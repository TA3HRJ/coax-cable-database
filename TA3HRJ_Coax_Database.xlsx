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2BAA0E4-3282-4C91-B8E6-9F0B20BC2B22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README" sheetId="1" r:id="rId1"/>
    <sheet name="Ham_Bands" sheetId="2" r:id="rId2"/>
    <sheet name="Graph" sheetId="3" r:id="rId3"/>
    <sheet name="Calculator" sheetId="4" r:id="rId4"/>
    <sheet name="Cables" sheetId="5" r:id="rId5"/>
    <sheet name="Attenuation" sheetId="6" r:id="rId6"/>
    <sheet name="Power" sheetId="7" r:id="rId7"/>
    <sheet name="Sources" sheetId="8" r:id="rId8"/>
    <sheet name="Legacy_Index" sheetId="9" r:id="rId9"/>
    <sheet name="Legacy_Points" sheetId="10" r:id="rId10"/>
    <sheet name="Data_Diction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8" i="10" l="1"/>
  <c r="B418" i="10"/>
  <c r="G417" i="10"/>
  <c r="B417" i="10"/>
  <c r="G416" i="10"/>
  <c r="B416" i="10"/>
  <c r="G415" i="10"/>
  <c r="B415" i="10"/>
  <c r="G414" i="10"/>
  <c r="B414" i="10"/>
  <c r="G413" i="10"/>
  <c r="B413" i="10"/>
  <c r="G412" i="10"/>
  <c r="B412" i="10"/>
  <c r="G411" i="10"/>
  <c r="B411" i="10"/>
  <c r="G410" i="10"/>
  <c r="B410" i="10"/>
  <c r="G409" i="10"/>
  <c r="B409" i="10"/>
  <c r="G408" i="10"/>
  <c r="B408" i="10"/>
  <c r="G407" i="10"/>
  <c r="B407" i="10"/>
  <c r="G406" i="10"/>
  <c r="B406" i="10"/>
  <c r="G405" i="10"/>
  <c r="B405" i="10"/>
  <c r="G404" i="10"/>
  <c r="B404" i="10"/>
  <c r="G403" i="10"/>
  <c r="B403" i="10"/>
  <c r="G402" i="10"/>
  <c r="B402" i="10"/>
  <c r="G401" i="10"/>
  <c r="B401" i="10"/>
  <c r="G400" i="10"/>
  <c r="B400" i="10"/>
  <c r="G399" i="10"/>
  <c r="B399" i="10"/>
  <c r="G398" i="10"/>
  <c r="B398" i="10"/>
  <c r="G397" i="10"/>
  <c r="B397" i="10"/>
  <c r="G396" i="10"/>
  <c r="B396" i="10"/>
  <c r="G395" i="10"/>
  <c r="B395" i="10"/>
  <c r="G394" i="10"/>
  <c r="B394" i="10"/>
  <c r="G393" i="10"/>
  <c r="B393" i="10"/>
  <c r="G392" i="10"/>
  <c r="B392" i="10"/>
  <c r="G391" i="10"/>
  <c r="B391" i="10"/>
  <c r="G390" i="10"/>
  <c r="B390" i="10"/>
  <c r="G389" i="10"/>
  <c r="B389" i="10"/>
  <c r="G388" i="10"/>
  <c r="B388" i="10"/>
  <c r="G387" i="10"/>
  <c r="B387" i="10"/>
  <c r="G386" i="10"/>
  <c r="B386" i="10"/>
  <c r="G385" i="10"/>
  <c r="B385" i="10"/>
  <c r="G384" i="10"/>
  <c r="B384" i="10"/>
  <c r="G383" i="10"/>
  <c r="B383" i="10"/>
  <c r="G382" i="10"/>
  <c r="B382" i="10"/>
  <c r="G381" i="10"/>
  <c r="B381" i="10"/>
  <c r="G380" i="10"/>
  <c r="B380" i="10"/>
  <c r="G379" i="10"/>
  <c r="B379" i="10"/>
  <c r="G378" i="10"/>
  <c r="B378" i="10"/>
  <c r="G377" i="10"/>
  <c r="B377" i="10"/>
  <c r="G376" i="10"/>
  <c r="B376" i="10"/>
  <c r="G375" i="10"/>
  <c r="B375" i="10"/>
  <c r="G374" i="10"/>
  <c r="B374" i="10"/>
  <c r="G373" i="10"/>
  <c r="B373" i="10"/>
  <c r="G372" i="10"/>
  <c r="B372" i="10"/>
  <c r="G371" i="10"/>
  <c r="B371" i="10"/>
  <c r="G370" i="10"/>
  <c r="B370" i="10"/>
  <c r="G369" i="10"/>
  <c r="B369" i="10"/>
  <c r="G368" i="10"/>
  <c r="B368" i="10"/>
  <c r="G367" i="10"/>
  <c r="B367" i="10"/>
  <c r="G366" i="10"/>
  <c r="B366" i="10"/>
  <c r="G365" i="10"/>
  <c r="B365" i="10"/>
  <c r="G364" i="10"/>
  <c r="B364" i="10"/>
  <c r="G363" i="10"/>
  <c r="B363" i="10"/>
  <c r="G362" i="10"/>
  <c r="B362" i="10"/>
  <c r="G361" i="10"/>
  <c r="B361" i="10"/>
  <c r="G360" i="10"/>
  <c r="B360" i="10"/>
  <c r="G359" i="10"/>
  <c r="B359" i="10"/>
  <c r="G358" i="10"/>
  <c r="B358" i="10"/>
  <c r="G357" i="10"/>
  <c r="B357" i="10"/>
  <c r="G356" i="10"/>
  <c r="B356" i="10"/>
  <c r="G355" i="10"/>
  <c r="B355" i="10"/>
  <c r="G354" i="10"/>
  <c r="B354" i="10"/>
  <c r="G353" i="10"/>
  <c r="B353" i="10"/>
  <c r="G352" i="10"/>
  <c r="B352" i="10"/>
  <c r="G351" i="10"/>
  <c r="B351" i="10"/>
  <c r="G350" i="10"/>
  <c r="B350" i="10"/>
  <c r="G349" i="10"/>
  <c r="B349" i="10"/>
  <c r="G348" i="10"/>
  <c r="B348" i="10"/>
  <c r="G347" i="10"/>
  <c r="B347" i="10"/>
  <c r="G346" i="10"/>
  <c r="B346" i="10"/>
  <c r="G345" i="10"/>
  <c r="B345" i="10"/>
  <c r="G344" i="10"/>
  <c r="B344" i="10"/>
  <c r="G343" i="10"/>
  <c r="B343" i="10"/>
  <c r="G342" i="10"/>
  <c r="B342" i="10"/>
  <c r="G341" i="10"/>
  <c r="B341" i="10"/>
  <c r="G340" i="10"/>
  <c r="B340" i="10"/>
  <c r="G339" i="10"/>
  <c r="B339" i="10"/>
  <c r="G338" i="10"/>
  <c r="B338" i="10"/>
  <c r="G337" i="10"/>
  <c r="B337" i="10"/>
  <c r="G336" i="10"/>
  <c r="B336" i="10"/>
  <c r="G335" i="10"/>
  <c r="B335" i="10"/>
  <c r="G334" i="10"/>
  <c r="B334" i="10"/>
  <c r="G333" i="10"/>
  <c r="B333" i="10"/>
  <c r="G332" i="10"/>
  <c r="B332" i="10"/>
  <c r="G331" i="10"/>
  <c r="B331" i="10"/>
  <c r="G330" i="10"/>
  <c r="B330" i="10"/>
  <c r="G329" i="10"/>
  <c r="B329" i="10"/>
  <c r="G328" i="10"/>
  <c r="B328" i="10"/>
  <c r="G327" i="10"/>
  <c r="B327" i="10"/>
  <c r="G326" i="10"/>
  <c r="B326" i="10"/>
  <c r="G325" i="10"/>
  <c r="B325" i="10"/>
  <c r="G324" i="10"/>
  <c r="B324" i="10"/>
  <c r="G323" i="10"/>
  <c r="B323" i="10"/>
  <c r="G322" i="10"/>
  <c r="B322" i="10"/>
  <c r="G321" i="10"/>
  <c r="B321" i="10"/>
  <c r="G320" i="10"/>
  <c r="B320" i="10"/>
  <c r="G319" i="10"/>
  <c r="B319" i="10"/>
  <c r="G318" i="10"/>
  <c r="B318" i="10"/>
  <c r="G317" i="10"/>
  <c r="B317" i="10"/>
  <c r="G316" i="10"/>
  <c r="B316" i="10"/>
  <c r="G315" i="10"/>
  <c r="B315" i="10"/>
  <c r="G314" i="10"/>
  <c r="B314" i="10"/>
  <c r="G313" i="10"/>
  <c r="B313" i="10"/>
  <c r="G312" i="10"/>
  <c r="B312" i="10"/>
  <c r="G311" i="10"/>
  <c r="B311" i="10"/>
  <c r="G310" i="10"/>
  <c r="B310" i="10"/>
  <c r="G309" i="10"/>
  <c r="B309" i="10"/>
  <c r="G308" i="10"/>
  <c r="B308" i="10"/>
  <c r="G307" i="10"/>
  <c r="B307" i="10"/>
  <c r="G306" i="10"/>
  <c r="B306" i="10"/>
  <c r="G305" i="10"/>
  <c r="B305" i="10"/>
  <c r="G304" i="10"/>
  <c r="B304" i="10"/>
  <c r="G303" i="10"/>
  <c r="B303" i="10"/>
  <c r="G302" i="10"/>
  <c r="B302" i="10"/>
  <c r="G301" i="10"/>
  <c r="B301" i="10"/>
  <c r="G300" i="10"/>
  <c r="B300" i="10"/>
  <c r="G299" i="10"/>
  <c r="B299" i="10"/>
  <c r="G298" i="10"/>
  <c r="B298" i="10"/>
  <c r="G297" i="10"/>
  <c r="B297" i="10"/>
  <c r="G296" i="10"/>
  <c r="B296" i="10"/>
  <c r="G295" i="10"/>
  <c r="B295" i="10"/>
  <c r="G294" i="10"/>
  <c r="B294" i="10"/>
  <c r="G293" i="10"/>
  <c r="B293" i="10"/>
  <c r="G292" i="10"/>
  <c r="B292" i="10"/>
  <c r="G291" i="10"/>
  <c r="B291" i="10"/>
  <c r="G290" i="10"/>
  <c r="B290" i="10"/>
  <c r="G289" i="10"/>
  <c r="B289" i="10"/>
  <c r="G288" i="10"/>
  <c r="B288" i="10"/>
  <c r="G287" i="10"/>
  <c r="B287" i="10"/>
  <c r="G286" i="10"/>
  <c r="B286" i="10"/>
  <c r="G285" i="10"/>
  <c r="B285" i="10"/>
  <c r="G284" i="10"/>
  <c r="B284" i="10"/>
  <c r="G283" i="10"/>
  <c r="B283" i="10"/>
  <c r="G282" i="10"/>
  <c r="B282" i="10"/>
  <c r="G281" i="10"/>
  <c r="B281" i="10"/>
  <c r="G280" i="10"/>
  <c r="B280" i="10"/>
  <c r="G279" i="10"/>
  <c r="B279" i="10"/>
  <c r="G278" i="10"/>
  <c r="B278" i="10"/>
  <c r="G277" i="10"/>
  <c r="B277" i="10"/>
  <c r="G276" i="10"/>
  <c r="B276" i="10"/>
  <c r="G275" i="10"/>
  <c r="B275" i="10"/>
  <c r="G274" i="10"/>
  <c r="B274" i="10"/>
  <c r="G273" i="10"/>
  <c r="B273" i="10"/>
  <c r="G272" i="10"/>
  <c r="B272" i="10"/>
  <c r="G271" i="10"/>
  <c r="B271" i="10"/>
  <c r="G270" i="10"/>
  <c r="B270" i="10"/>
  <c r="G269" i="10"/>
  <c r="B269" i="10"/>
  <c r="G268" i="10"/>
  <c r="B268" i="10"/>
  <c r="G267" i="10"/>
  <c r="B267" i="10"/>
  <c r="G266" i="10"/>
  <c r="B266" i="10"/>
  <c r="G265" i="10"/>
  <c r="B265" i="10"/>
  <c r="G264" i="10"/>
  <c r="B264" i="10"/>
  <c r="G263" i="10"/>
  <c r="B263" i="10"/>
  <c r="G262" i="10"/>
  <c r="B262" i="10"/>
  <c r="G261" i="10"/>
  <c r="B261" i="10"/>
  <c r="G260" i="10"/>
  <c r="B260" i="10"/>
  <c r="G259" i="10"/>
  <c r="B259" i="10"/>
  <c r="G258" i="10"/>
  <c r="B258" i="10"/>
  <c r="G257" i="10"/>
  <c r="B257" i="10"/>
  <c r="G256" i="10"/>
  <c r="B256" i="10"/>
  <c r="G255" i="10"/>
  <c r="B255" i="10"/>
  <c r="G254" i="10"/>
  <c r="B254" i="10"/>
  <c r="G253" i="10"/>
  <c r="B253" i="10"/>
  <c r="G252" i="10"/>
  <c r="B252" i="10"/>
  <c r="G251" i="10"/>
  <c r="B251" i="10"/>
  <c r="G250" i="10"/>
  <c r="B250" i="10"/>
  <c r="G249" i="10"/>
  <c r="B249" i="10"/>
  <c r="G248" i="10"/>
  <c r="B248" i="10"/>
  <c r="G247" i="10"/>
  <c r="B247" i="10"/>
  <c r="G246" i="10"/>
  <c r="B246" i="10"/>
  <c r="G245" i="10"/>
  <c r="B245" i="10"/>
  <c r="G244" i="10"/>
  <c r="B244" i="10"/>
  <c r="G243" i="10"/>
  <c r="B243" i="10"/>
  <c r="G242" i="10"/>
  <c r="B242" i="10"/>
  <c r="G241" i="10"/>
  <c r="B241" i="10"/>
  <c r="G240" i="10"/>
  <c r="B240" i="10"/>
  <c r="G239" i="10"/>
  <c r="B239" i="10"/>
  <c r="G238" i="10"/>
  <c r="B238" i="10"/>
  <c r="G237" i="10"/>
  <c r="B237" i="10"/>
  <c r="G236" i="10"/>
  <c r="B236" i="10"/>
  <c r="G235" i="10"/>
  <c r="B235" i="10"/>
  <c r="G234" i="10"/>
  <c r="B234" i="10"/>
  <c r="G233" i="10"/>
  <c r="B233" i="10"/>
  <c r="G232" i="10"/>
  <c r="B232" i="10"/>
  <c r="G231" i="10"/>
  <c r="B231" i="10"/>
  <c r="G230" i="10"/>
  <c r="B230" i="10"/>
  <c r="G229" i="10"/>
  <c r="B229" i="10"/>
  <c r="G228" i="10"/>
  <c r="B228" i="10"/>
  <c r="G227" i="10"/>
  <c r="B227" i="10"/>
  <c r="G226" i="10"/>
  <c r="B226" i="10"/>
  <c r="G225" i="10"/>
  <c r="B225" i="10"/>
  <c r="G224" i="10"/>
  <c r="B224" i="10"/>
  <c r="G223" i="10"/>
  <c r="B223" i="10"/>
  <c r="G222" i="10"/>
  <c r="B222" i="10"/>
  <c r="G221" i="10"/>
  <c r="B221" i="10"/>
  <c r="G220" i="10"/>
  <c r="B220" i="10"/>
  <c r="G219" i="10"/>
  <c r="B219" i="10"/>
  <c r="G218" i="10"/>
  <c r="B218" i="10"/>
  <c r="G217" i="10"/>
  <c r="B217" i="10"/>
  <c r="G216" i="10"/>
  <c r="B216" i="10"/>
  <c r="G215" i="10"/>
  <c r="B215" i="10"/>
  <c r="G214" i="10"/>
  <c r="B214" i="10"/>
  <c r="G213" i="10"/>
  <c r="B213" i="10"/>
  <c r="G212" i="10"/>
  <c r="B212" i="10"/>
  <c r="G211" i="10"/>
  <c r="B211" i="10"/>
  <c r="G210" i="10"/>
  <c r="B210" i="10"/>
  <c r="G209" i="10"/>
  <c r="B209" i="10"/>
  <c r="G208" i="10"/>
  <c r="B208" i="10"/>
  <c r="G207" i="10"/>
  <c r="B207" i="10"/>
  <c r="G206" i="10"/>
  <c r="B206" i="10"/>
  <c r="G205" i="10"/>
  <c r="B205" i="10"/>
  <c r="G204" i="10"/>
  <c r="B204" i="10"/>
  <c r="G203" i="10"/>
  <c r="B203" i="10"/>
  <c r="G202" i="10"/>
  <c r="B202" i="10"/>
  <c r="G201" i="10"/>
  <c r="B201" i="10"/>
  <c r="G200" i="10"/>
  <c r="B200" i="10"/>
  <c r="G199" i="10"/>
  <c r="B199" i="10"/>
  <c r="G198" i="10"/>
  <c r="B198" i="10"/>
  <c r="G197" i="10"/>
  <c r="B197" i="10"/>
  <c r="G196" i="10"/>
  <c r="B196" i="10"/>
  <c r="G195" i="10"/>
  <c r="B195" i="10"/>
  <c r="G194" i="10"/>
  <c r="B194" i="10"/>
  <c r="G193" i="10"/>
  <c r="B193" i="10"/>
  <c r="G192" i="10"/>
  <c r="B192" i="10"/>
  <c r="G191" i="10"/>
  <c r="B191" i="10"/>
  <c r="G190" i="10"/>
  <c r="B190" i="10"/>
  <c r="G189" i="10"/>
  <c r="B189" i="10"/>
  <c r="G188" i="10"/>
  <c r="B188" i="10"/>
  <c r="G187" i="10"/>
  <c r="B187" i="10"/>
  <c r="G186" i="10"/>
  <c r="B186" i="10"/>
  <c r="G185" i="10"/>
  <c r="B185" i="10"/>
  <c r="G184" i="10"/>
  <c r="B184" i="10"/>
  <c r="G183" i="10"/>
  <c r="B183" i="10"/>
  <c r="G182" i="10"/>
  <c r="B182" i="10"/>
  <c r="G181" i="10"/>
  <c r="B181" i="10"/>
  <c r="G180" i="10"/>
  <c r="B180" i="10"/>
  <c r="G179" i="10"/>
  <c r="B179" i="10"/>
  <c r="G178" i="10"/>
  <c r="B178" i="10"/>
  <c r="G177" i="10"/>
  <c r="B177" i="10"/>
  <c r="G176" i="10"/>
  <c r="B176" i="10"/>
  <c r="G175" i="10"/>
  <c r="B175" i="10"/>
  <c r="G174" i="10"/>
  <c r="B174" i="10"/>
  <c r="G173" i="10"/>
  <c r="B173" i="10"/>
  <c r="G172" i="10"/>
  <c r="B172" i="10"/>
  <c r="G171" i="10"/>
  <c r="B171" i="10"/>
  <c r="G170" i="10"/>
  <c r="B170" i="10"/>
  <c r="G169" i="10"/>
  <c r="B169" i="10"/>
  <c r="G168" i="10"/>
  <c r="B168" i="10"/>
  <c r="G167" i="10"/>
  <c r="B167" i="10"/>
  <c r="G166" i="10"/>
  <c r="B166" i="10"/>
  <c r="G165" i="10"/>
  <c r="B165" i="10"/>
  <c r="G164" i="10"/>
  <c r="B164" i="10"/>
  <c r="G163" i="10"/>
  <c r="B163" i="10"/>
  <c r="G162" i="10"/>
  <c r="B162" i="10"/>
  <c r="G161" i="10"/>
  <c r="B161" i="10"/>
  <c r="G160" i="10"/>
  <c r="B160" i="10"/>
  <c r="G159" i="10"/>
  <c r="B159" i="10"/>
  <c r="G158" i="10"/>
  <c r="B158" i="10"/>
  <c r="G157" i="10"/>
  <c r="B157" i="10"/>
  <c r="G156" i="10"/>
  <c r="B156" i="10"/>
  <c r="G155" i="10"/>
  <c r="B155" i="10"/>
  <c r="G154" i="10"/>
  <c r="B154" i="10"/>
  <c r="G153" i="10"/>
  <c r="B153" i="10"/>
  <c r="G152" i="10"/>
  <c r="B152" i="10"/>
  <c r="G151" i="10"/>
  <c r="B151" i="10"/>
  <c r="G150" i="10"/>
  <c r="B150" i="10"/>
  <c r="G149" i="10"/>
  <c r="B149" i="10"/>
  <c r="G148" i="10"/>
  <c r="B148" i="10"/>
  <c r="G147" i="10"/>
  <c r="B147" i="10"/>
  <c r="G146" i="10"/>
  <c r="B146" i="10"/>
  <c r="G145" i="10"/>
  <c r="B145" i="10"/>
  <c r="G144" i="10"/>
  <c r="B144" i="10"/>
  <c r="G143" i="10"/>
  <c r="B143" i="10"/>
  <c r="G142" i="10"/>
  <c r="B142" i="10"/>
  <c r="G141" i="10"/>
  <c r="B141" i="10"/>
  <c r="G140" i="10"/>
  <c r="B140" i="10"/>
  <c r="G139" i="10"/>
  <c r="B139" i="10"/>
  <c r="G138" i="10"/>
  <c r="B138" i="10"/>
  <c r="G137" i="10"/>
  <c r="B137" i="10"/>
  <c r="G136" i="10"/>
  <c r="B136" i="10"/>
  <c r="G135" i="10"/>
  <c r="B135" i="10"/>
  <c r="G134" i="10"/>
  <c r="B134" i="10"/>
  <c r="G133" i="10"/>
  <c r="B133" i="10"/>
  <c r="G132" i="10"/>
  <c r="B132" i="10"/>
  <c r="G131" i="10"/>
  <c r="B131" i="10"/>
  <c r="G130" i="10"/>
  <c r="B130" i="10"/>
  <c r="G129" i="10"/>
  <c r="B129" i="10"/>
  <c r="G128" i="10"/>
  <c r="B128" i="10"/>
  <c r="G127" i="10"/>
  <c r="B127" i="10"/>
  <c r="G126" i="10"/>
  <c r="B126" i="10"/>
  <c r="G125" i="10"/>
  <c r="B125" i="10"/>
  <c r="G124" i="10"/>
  <c r="B124" i="10"/>
  <c r="G123" i="10"/>
  <c r="B123" i="10"/>
  <c r="G122" i="10"/>
  <c r="B122" i="10"/>
  <c r="G121" i="10"/>
  <c r="B121" i="10"/>
  <c r="G120" i="10"/>
  <c r="B120" i="10"/>
  <c r="G119" i="10"/>
  <c r="B119" i="10"/>
  <c r="G118" i="10"/>
  <c r="B118" i="10"/>
  <c r="G117" i="10"/>
  <c r="B117" i="10"/>
  <c r="G116" i="10"/>
  <c r="B116" i="10"/>
  <c r="G115" i="10"/>
  <c r="B115" i="10"/>
  <c r="G114" i="10"/>
  <c r="B114" i="10"/>
  <c r="G113" i="10"/>
  <c r="B113" i="10"/>
  <c r="G112" i="10"/>
  <c r="B112" i="10"/>
  <c r="G111" i="10"/>
  <c r="B111" i="10"/>
  <c r="G110" i="10"/>
  <c r="B110" i="10"/>
  <c r="G109" i="10"/>
  <c r="B109" i="10"/>
  <c r="G108" i="10"/>
  <c r="B108" i="10"/>
  <c r="G107" i="10"/>
  <c r="B107" i="10"/>
  <c r="G106" i="10"/>
  <c r="B106" i="10"/>
  <c r="G105" i="10"/>
  <c r="B105" i="10"/>
  <c r="G104" i="10"/>
  <c r="B104" i="10"/>
  <c r="G103" i="10"/>
  <c r="B103" i="10"/>
  <c r="G102" i="10"/>
  <c r="B102" i="10"/>
  <c r="G101" i="10"/>
  <c r="B101" i="10"/>
  <c r="G100" i="10"/>
  <c r="B100" i="10"/>
  <c r="G99" i="10"/>
  <c r="B99" i="10"/>
  <c r="G98" i="10"/>
  <c r="B98" i="10"/>
  <c r="G97" i="10"/>
  <c r="B97" i="10"/>
  <c r="G96" i="10"/>
  <c r="B96" i="10"/>
  <c r="G95" i="10"/>
  <c r="B95" i="10"/>
  <c r="G94" i="10"/>
  <c r="B94" i="10"/>
  <c r="G93" i="10"/>
  <c r="B93" i="10"/>
  <c r="G92" i="10"/>
  <c r="B92" i="10"/>
  <c r="G91" i="10"/>
  <c r="B91" i="10"/>
  <c r="G90" i="10"/>
  <c r="B90" i="10"/>
  <c r="G89" i="10"/>
  <c r="B89" i="10"/>
  <c r="G88" i="10"/>
  <c r="B88" i="10"/>
  <c r="G87" i="10"/>
  <c r="B87" i="10"/>
  <c r="G86" i="10"/>
  <c r="B86" i="10"/>
  <c r="G85" i="10"/>
  <c r="B85" i="10"/>
  <c r="G84" i="10"/>
  <c r="B84" i="10"/>
  <c r="G83" i="10"/>
  <c r="B83" i="10"/>
  <c r="G82" i="10"/>
  <c r="B82" i="10"/>
  <c r="G81" i="10"/>
  <c r="B81" i="10"/>
  <c r="G80" i="10"/>
  <c r="B80" i="10"/>
  <c r="G79" i="10"/>
  <c r="B79" i="10"/>
  <c r="G78" i="10"/>
  <c r="B78" i="10"/>
  <c r="G77" i="10"/>
  <c r="B77" i="10"/>
  <c r="G76" i="10"/>
  <c r="I76" i="10" s="1"/>
  <c r="B76" i="10"/>
  <c r="J75" i="10"/>
  <c r="G75" i="10"/>
  <c r="H75" i="10" s="1"/>
  <c r="B75" i="10"/>
  <c r="H74" i="10"/>
  <c r="G74" i="10"/>
  <c r="B74" i="10"/>
  <c r="I73" i="10"/>
  <c r="H73" i="10"/>
  <c r="G73" i="10"/>
  <c r="B73" i="10"/>
  <c r="G72" i="10"/>
  <c r="B72" i="10"/>
  <c r="G71" i="10"/>
  <c r="B71" i="10"/>
  <c r="G70" i="10"/>
  <c r="B70" i="10"/>
  <c r="G69" i="10"/>
  <c r="B69" i="10"/>
  <c r="G68" i="10"/>
  <c r="B68" i="10"/>
  <c r="G67" i="10"/>
  <c r="B67" i="10"/>
  <c r="G66" i="10"/>
  <c r="B66" i="10"/>
  <c r="G65" i="10"/>
  <c r="B65" i="10"/>
  <c r="G64" i="10"/>
  <c r="B64" i="10"/>
  <c r="G63" i="10"/>
  <c r="B63" i="10"/>
  <c r="G62" i="10"/>
  <c r="B62" i="10"/>
  <c r="G61" i="10"/>
  <c r="B61" i="10"/>
  <c r="G60" i="10"/>
  <c r="B60" i="10"/>
  <c r="G59" i="10"/>
  <c r="B59" i="10"/>
  <c r="G58" i="10"/>
  <c r="B58" i="10"/>
  <c r="G57" i="10"/>
  <c r="B57" i="10"/>
  <c r="G56" i="10"/>
  <c r="B56" i="10"/>
  <c r="G55" i="10"/>
  <c r="B55" i="10"/>
  <c r="G54" i="10"/>
  <c r="B54" i="10"/>
  <c r="G53" i="10"/>
  <c r="B53" i="10"/>
  <c r="G52" i="10"/>
  <c r="B52" i="10"/>
  <c r="G51" i="10"/>
  <c r="B51" i="10"/>
  <c r="G50" i="10"/>
  <c r="B50" i="10"/>
  <c r="G49" i="10"/>
  <c r="B49" i="10"/>
  <c r="G48" i="10"/>
  <c r="B48" i="10"/>
  <c r="G47" i="10"/>
  <c r="B47" i="10"/>
  <c r="G46" i="10"/>
  <c r="B46" i="10"/>
  <c r="G45" i="10"/>
  <c r="B45" i="10"/>
  <c r="G44" i="10"/>
  <c r="B44" i="10"/>
  <c r="G43" i="10"/>
  <c r="B43" i="10"/>
  <c r="G42" i="10"/>
  <c r="B42" i="10"/>
  <c r="G41" i="10"/>
  <c r="B41" i="10"/>
  <c r="G40" i="10"/>
  <c r="B40" i="10"/>
  <c r="G39" i="10"/>
  <c r="B39" i="10"/>
  <c r="G38" i="10"/>
  <c r="B38" i="10"/>
  <c r="G37" i="10"/>
  <c r="B37" i="10"/>
  <c r="G36" i="10"/>
  <c r="B36" i="10"/>
  <c r="G35" i="10"/>
  <c r="B35" i="10"/>
  <c r="G34" i="10"/>
  <c r="B34" i="10"/>
  <c r="G33" i="10"/>
  <c r="B33" i="10"/>
  <c r="G32" i="10"/>
  <c r="B32" i="10"/>
  <c r="G31" i="10"/>
  <c r="B31" i="10"/>
  <c r="G30" i="10"/>
  <c r="B30" i="10"/>
  <c r="G29" i="10"/>
  <c r="B29" i="10"/>
  <c r="G28" i="10"/>
  <c r="B28" i="10"/>
  <c r="G27" i="10"/>
  <c r="B27" i="10"/>
  <c r="G26" i="10"/>
  <c r="B26" i="10"/>
  <c r="G25" i="10"/>
  <c r="B25" i="10"/>
  <c r="G24" i="10"/>
  <c r="B24" i="10"/>
  <c r="G23" i="10"/>
  <c r="B23" i="10"/>
  <c r="G22" i="10"/>
  <c r="B22" i="10"/>
  <c r="G21" i="10"/>
  <c r="B21" i="10"/>
  <c r="G20" i="10"/>
  <c r="B20" i="10"/>
  <c r="G19" i="10"/>
  <c r="B19" i="10"/>
  <c r="G18" i="10"/>
  <c r="B18" i="10"/>
  <c r="G17" i="10"/>
  <c r="B17" i="10"/>
  <c r="G16" i="10"/>
  <c r="B16" i="10"/>
  <c r="G15" i="10"/>
  <c r="B15" i="10"/>
  <c r="G14" i="10"/>
  <c r="B14" i="10"/>
  <c r="G13" i="10"/>
  <c r="B13" i="10"/>
  <c r="G12" i="10"/>
  <c r="B12" i="10"/>
  <c r="G11" i="10"/>
  <c r="B11" i="10"/>
  <c r="G10" i="10"/>
  <c r="B10" i="10"/>
  <c r="G9" i="10"/>
  <c r="B9" i="10"/>
  <c r="G8" i="10"/>
  <c r="B8" i="10"/>
  <c r="G7" i="10"/>
  <c r="B7" i="10"/>
  <c r="G6" i="10"/>
  <c r="B6" i="10"/>
  <c r="G5" i="10"/>
  <c r="B5" i="10"/>
  <c r="G4" i="10"/>
  <c r="B4" i="10"/>
  <c r="G3" i="10"/>
  <c r="B3" i="10"/>
  <c r="G2" i="10"/>
  <c r="B2" i="10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L776" i="7"/>
  <c r="J776" i="7"/>
  <c r="I776" i="7"/>
  <c r="K776" i="7" s="1"/>
  <c r="L775" i="7"/>
  <c r="J775" i="7"/>
  <c r="I775" i="7"/>
  <c r="K775" i="7" s="1"/>
  <c r="L774" i="7"/>
  <c r="J774" i="7"/>
  <c r="I774" i="7"/>
  <c r="K774" i="7" s="1"/>
  <c r="L773" i="7"/>
  <c r="J773" i="7"/>
  <c r="I773" i="7"/>
  <c r="K773" i="7" s="1"/>
  <c r="L772" i="7"/>
  <c r="J772" i="7"/>
  <c r="I772" i="7"/>
  <c r="K772" i="7" s="1"/>
  <c r="L771" i="7"/>
  <c r="J771" i="7"/>
  <c r="I771" i="7"/>
  <c r="K771" i="7" s="1"/>
  <c r="L770" i="7"/>
  <c r="J770" i="7"/>
  <c r="I770" i="7"/>
  <c r="K770" i="7" s="1"/>
  <c r="L769" i="7"/>
  <c r="J769" i="7"/>
  <c r="I769" i="7"/>
  <c r="K769" i="7" s="1"/>
  <c r="L768" i="7"/>
  <c r="J768" i="7"/>
  <c r="I768" i="7"/>
  <c r="K768" i="7" s="1"/>
  <c r="L767" i="7"/>
  <c r="J767" i="7"/>
  <c r="I767" i="7"/>
  <c r="K767" i="7" s="1"/>
  <c r="L766" i="7"/>
  <c r="J766" i="7"/>
  <c r="I766" i="7"/>
  <c r="K766" i="7" s="1"/>
  <c r="L765" i="7"/>
  <c r="J765" i="7"/>
  <c r="I765" i="7"/>
  <c r="K765" i="7" s="1"/>
  <c r="L764" i="7"/>
  <c r="J764" i="7"/>
  <c r="I764" i="7"/>
  <c r="K764" i="7" s="1"/>
  <c r="L763" i="7"/>
  <c r="J763" i="7"/>
  <c r="I763" i="7"/>
  <c r="K763" i="7" s="1"/>
  <c r="L762" i="7"/>
  <c r="J762" i="7"/>
  <c r="I762" i="7"/>
  <c r="K762" i="7" s="1"/>
  <c r="L761" i="7"/>
  <c r="J761" i="7"/>
  <c r="I761" i="7"/>
  <c r="K761" i="7" s="1"/>
  <c r="L760" i="7"/>
  <c r="J760" i="7"/>
  <c r="I760" i="7"/>
  <c r="K760" i="7" s="1"/>
  <c r="L759" i="7"/>
  <c r="J759" i="7"/>
  <c r="I759" i="7"/>
  <c r="K759" i="7" s="1"/>
  <c r="L758" i="7"/>
  <c r="J758" i="7"/>
  <c r="I758" i="7"/>
  <c r="K758" i="7" s="1"/>
  <c r="L757" i="7"/>
  <c r="J757" i="7"/>
  <c r="I757" i="7"/>
  <c r="K757" i="7" s="1"/>
  <c r="L756" i="7"/>
  <c r="J756" i="7"/>
  <c r="I756" i="7"/>
  <c r="K756" i="7" s="1"/>
  <c r="L755" i="7"/>
  <c r="J755" i="7"/>
  <c r="I755" i="7"/>
  <c r="K755" i="7" s="1"/>
  <c r="L754" i="7"/>
  <c r="J754" i="7"/>
  <c r="I754" i="7"/>
  <c r="K754" i="7" s="1"/>
  <c r="L753" i="7"/>
  <c r="J753" i="7"/>
  <c r="I753" i="7"/>
  <c r="K753" i="7" s="1"/>
  <c r="L752" i="7"/>
  <c r="J752" i="7"/>
  <c r="I752" i="7"/>
  <c r="K752" i="7" s="1"/>
  <c r="L751" i="7"/>
  <c r="J751" i="7"/>
  <c r="I751" i="7"/>
  <c r="K751" i="7" s="1"/>
  <c r="L750" i="7"/>
  <c r="J750" i="7"/>
  <c r="I750" i="7"/>
  <c r="K750" i="7" s="1"/>
  <c r="L749" i="7"/>
  <c r="J749" i="7"/>
  <c r="I749" i="7"/>
  <c r="K749" i="7" s="1"/>
  <c r="L748" i="7"/>
  <c r="J748" i="7"/>
  <c r="I748" i="7"/>
  <c r="K748" i="7" s="1"/>
  <c r="L747" i="7"/>
  <c r="J747" i="7"/>
  <c r="I747" i="7"/>
  <c r="K747" i="7" s="1"/>
  <c r="L746" i="7"/>
  <c r="J746" i="7"/>
  <c r="I746" i="7"/>
  <c r="K746" i="7" s="1"/>
  <c r="L745" i="7"/>
  <c r="J745" i="7"/>
  <c r="I745" i="7"/>
  <c r="K745" i="7" s="1"/>
  <c r="L744" i="7"/>
  <c r="J744" i="7"/>
  <c r="I744" i="7"/>
  <c r="K744" i="7" s="1"/>
  <c r="L743" i="7"/>
  <c r="J743" i="7"/>
  <c r="I743" i="7"/>
  <c r="K743" i="7" s="1"/>
  <c r="L742" i="7"/>
  <c r="J742" i="7"/>
  <c r="I742" i="7"/>
  <c r="K742" i="7" s="1"/>
  <c r="L741" i="7"/>
  <c r="J741" i="7"/>
  <c r="I741" i="7"/>
  <c r="K741" i="7" s="1"/>
  <c r="L740" i="7"/>
  <c r="J740" i="7"/>
  <c r="I740" i="7"/>
  <c r="K740" i="7" s="1"/>
  <c r="L739" i="7"/>
  <c r="J739" i="7"/>
  <c r="I739" i="7"/>
  <c r="K739" i="7" s="1"/>
  <c r="L738" i="7"/>
  <c r="J738" i="7"/>
  <c r="I738" i="7"/>
  <c r="K738" i="7" s="1"/>
  <c r="L737" i="7"/>
  <c r="J737" i="7"/>
  <c r="I737" i="7"/>
  <c r="K737" i="7" s="1"/>
  <c r="L736" i="7"/>
  <c r="J736" i="7"/>
  <c r="I736" i="7"/>
  <c r="K736" i="7" s="1"/>
  <c r="L735" i="7"/>
  <c r="J735" i="7"/>
  <c r="I735" i="7"/>
  <c r="K735" i="7" s="1"/>
  <c r="L734" i="7"/>
  <c r="J734" i="7"/>
  <c r="I734" i="7"/>
  <c r="K734" i="7" s="1"/>
  <c r="L733" i="7"/>
  <c r="J733" i="7"/>
  <c r="I733" i="7"/>
  <c r="K733" i="7" s="1"/>
  <c r="L732" i="7"/>
  <c r="J732" i="7"/>
  <c r="I732" i="7"/>
  <c r="K732" i="7" s="1"/>
  <c r="L731" i="7"/>
  <c r="J731" i="7"/>
  <c r="I731" i="7"/>
  <c r="K731" i="7" s="1"/>
  <c r="L730" i="7"/>
  <c r="J730" i="7"/>
  <c r="I730" i="7"/>
  <c r="K730" i="7" s="1"/>
  <c r="L729" i="7"/>
  <c r="J729" i="7"/>
  <c r="I729" i="7"/>
  <c r="K729" i="7" s="1"/>
  <c r="L728" i="7"/>
  <c r="J728" i="7"/>
  <c r="I728" i="7"/>
  <c r="K728" i="7" s="1"/>
  <c r="L727" i="7"/>
  <c r="J727" i="7"/>
  <c r="I727" i="7"/>
  <c r="K727" i="7" s="1"/>
  <c r="L726" i="7"/>
  <c r="J726" i="7"/>
  <c r="I726" i="7"/>
  <c r="K726" i="7" s="1"/>
  <c r="L725" i="7"/>
  <c r="J725" i="7"/>
  <c r="I725" i="7"/>
  <c r="K725" i="7" s="1"/>
  <c r="L724" i="7"/>
  <c r="J724" i="7"/>
  <c r="I724" i="7"/>
  <c r="K724" i="7" s="1"/>
  <c r="L723" i="7"/>
  <c r="J723" i="7"/>
  <c r="I723" i="7"/>
  <c r="K723" i="7" s="1"/>
  <c r="L722" i="7"/>
  <c r="J722" i="7"/>
  <c r="I722" i="7"/>
  <c r="K722" i="7" s="1"/>
  <c r="L721" i="7"/>
  <c r="J721" i="7"/>
  <c r="I721" i="7"/>
  <c r="K721" i="7" s="1"/>
  <c r="L720" i="7"/>
  <c r="J720" i="7"/>
  <c r="I720" i="7"/>
  <c r="K720" i="7" s="1"/>
  <c r="L719" i="7"/>
  <c r="J719" i="7"/>
  <c r="I719" i="7"/>
  <c r="K719" i="7" s="1"/>
  <c r="L718" i="7"/>
  <c r="J718" i="7"/>
  <c r="I718" i="7"/>
  <c r="K718" i="7" s="1"/>
  <c r="L717" i="7"/>
  <c r="J717" i="7"/>
  <c r="I717" i="7"/>
  <c r="K717" i="7" s="1"/>
  <c r="L716" i="7"/>
  <c r="J716" i="7"/>
  <c r="I716" i="7"/>
  <c r="K716" i="7" s="1"/>
  <c r="L715" i="7"/>
  <c r="J715" i="7"/>
  <c r="I715" i="7"/>
  <c r="K715" i="7" s="1"/>
  <c r="L714" i="7"/>
  <c r="J714" i="7"/>
  <c r="I714" i="7"/>
  <c r="K714" i="7" s="1"/>
  <c r="L713" i="7"/>
  <c r="J713" i="7"/>
  <c r="I713" i="7"/>
  <c r="K713" i="7" s="1"/>
  <c r="L712" i="7"/>
  <c r="J712" i="7"/>
  <c r="I712" i="7"/>
  <c r="K712" i="7" s="1"/>
  <c r="L711" i="7"/>
  <c r="J711" i="7"/>
  <c r="I711" i="7"/>
  <c r="K711" i="7" s="1"/>
  <c r="L710" i="7"/>
  <c r="J710" i="7"/>
  <c r="I710" i="7"/>
  <c r="K710" i="7" s="1"/>
  <c r="L709" i="7"/>
  <c r="J709" i="7"/>
  <c r="I709" i="7"/>
  <c r="K709" i="7" s="1"/>
  <c r="L708" i="7"/>
  <c r="J708" i="7"/>
  <c r="I708" i="7"/>
  <c r="K708" i="7" s="1"/>
  <c r="L707" i="7"/>
  <c r="J707" i="7"/>
  <c r="I707" i="7"/>
  <c r="K707" i="7" s="1"/>
  <c r="L706" i="7"/>
  <c r="J706" i="7"/>
  <c r="I706" i="7"/>
  <c r="K706" i="7" s="1"/>
  <c r="L705" i="7"/>
  <c r="J705" i="7"/>
  <c r="I705" i="7"/>
  <c r="K705" i="7" s="1"/>
  <c r="L704" i="7"/>
  <c r="J704" i="7"/>
  <c r="I704" i="7"/>
  <c r="K704" i="7" s="1"/>
  <c r="L703" i="7"/>
  <c r="J703" i="7"/>
  <c r="I703" i="7"/>
  <c r="K703" i="7" s="1"/>
  <c r="L702" i="7"/>
  <c r="J702" i="7"/>
  <c r="I702" i="7"/>
  <c r="K702" i="7" s="1"/>
  <c r="L701" i="7"/>
  <c r="J701" i="7"/>
  <c r="I701" i="7"/>
  <c r="K701" i="7" s="1"/>
  <c r="L700" i="7"/>
  <c r="J700" i="7"/>
  <c r="I700" i="7"/>
  <c r="K700" i="7" s="1"/>
  <c r="L699" i="7"/>
  <c r="J699" i="7"/>
  <c r="I699" i="7"/>
  <c r="K699" i="7" s="1"/>
  <c r="L698" i="7"/>
  <c r="J698" i="7"/>
  <c r="I698" i="7"/>
  <c r="K698" i="7" s="1"/>
  <c r="L697" i="7"/>
  <c r="J697" i="7"/>
  <c r="I697" i="7"/>
  <c r="K697" i="7" s="1"/>
  <c r="L696" i="7"/>
  <c r="J696" i="7"/>
  <c r="I696" i="7"/>
  <c r="K696" i="7" s="1"/>
  <c r="L695" i="7"/>
  <c r="J695" i="7"/>
  <c r="I695" i="7"/>
  <c r="K695" i="7" s="1"/>
  <c r="L694" i="7"/>
  <c r="K694" i="7"/>
  <c r="J694" i="7"/>
  <c r="I694" i="7"/>
  <c r="L693" i="7"/>
  <c r="K693" i="7"/>
  <c r="J693" i="7"/>
  <c r="I693" i="7"/>
  <c r="L692" i="7"/>
  <c r="K692" i="7"/>
  <c r="J692" i="7"/>
  <c r="I692" i="7"/>
  <c r="L691" i="7"/>
  <c r="K691" i="7"/>
  <c r="J691" i="7"/>
  <c r="I691" i="7"/>
  <c r="L690" i="7"/>
  <c r="K690" i="7"/>
  <c r="J690" i="7"/>
  <c r="I690" i="7"/>
  <c r="L689" i="7"/>
  <c r="K689" i="7"/>
  <c r="J689" i="7"/>
  <c r="I689" i="7"/>
  <c r="L688" i="7"/>
  <c r="K688" i="7"/>
  <c r="J688" i="7"/>
  <c r="I688" i="7"/>
  <c r="L687" i="7"/>
  <c r="K687" i="7"/>
  <c r="J687" i="7"/>
  <c r="I687" i="7"/>
  <c r="L686" i="7"/>
  <c r="K686" i="7"/>
  <c r="J686" i="7"/>
  <c r="I686" i="7"/>
  <c r="L685" i="7"/>
  <c r="K685" i="7"/>
  <c r="J685" i="7"/>
  <c r="I685" i="7"/>
  <c r="L684" i="7"/>
  <c r="K684" i="7"/>
  <c r="J684" i="7"/>
  <c r="I684" i="7"/>
  <c r="L683" i="7"/>
  <c r="K683" i="7"/>
  <c r="J683" i="7"/>
  <c r="I683" i="7"/>
  <c r="L682" i="7"/>
  <c r="K682" i="7"/>
  <c r="J682" i="7"/>
  <c r="I682" i="7"/>
  <c r="L681" i="7"/>
  <c r="K681" i="7"/>
  <c r="J681" i="7"/>
  <c r="I681" i="7"/>
  <c r="L680" i="7"/>
  <c r="K680" i="7"/>
  <c r="J680" i="7"/>
  <c r="I680" i="7"/>
  <c r="L679" i="7"/>
  <c r="K679" i="7"/>
  <c r="J679" i="7"/>
  <c r="I679" i="7"/>
  <c r="L678" i="7"/>
  <c r="K678" i="7"/>
  <c r="J678" i="7"/>
  <c r="I678" i="7"/>
  <c r="L677" i="7"/>
  <c r="K677" i="7"/>
  <c r="J677" i="7"/>
  <c r="I677" i="7"/>
  <c r="L676" i="7"/>
  <c r="K676" i="7"/>
  <c r="J676" i="7"/>
  <c r="I676" i="7"/>
  <c r="L675" i="7"/>
  <c r="K675" i="7"/>
  <c r="J675" i="7"/>
  <c r="I675" i="7"/>
  <c r="L674" i="7"/>
  <c r="K674" i="7"/>
  <c r="J674" i="7"/>
  <c r="I674" i="7"/>
  <c r="L673" i="7"/>
  <c r="K673" i="7"/>
  <c r="J673" i="7"/>
  <c r="I673" i="7"/>
  <c r="L672" i="7"/>
  <c r="K672" i="7"/>
  <c r="J672" i="7"/>
  <c r="I672" i="7"/>
  <c r="L671" i="7"/>
  <c r="K671" i="7"/>
  <c r="J671" i="7"/>
  <c r="I671" i="7"/>
  <c r="L670" i="7"/>
  <c r="K670" i="7"/>
  <c r="J670" i="7"/>
  <c r="I670" i="7"/>
  <c r="L669" i="7"/>
  <c r="K669" i="7"/>
  <c r="J669" i="7"/>
  <c r="I669" i="7"/>
  <c r="L668" i="7"/>
  <c r="K668" i="7"/>
  <c r="J668" i="7"/>
  <c r="I668" i="7"/>
  <c r="L667" i="7"/>
  <c r="K667" i="7"/>
  <c r="J667" i="7"/>
  <c r="I667" i="7"/>
  <c r="L666" i="7"/>
  <c r="K666" i="7"/>
  <c r="J666" i="7"/>
  <c r="I666" i="7"/>
  <c r="L665" i="7"/>
  <c r="K665" i="7"/>
  <c r="J665" i="7"/>
  <c r="I665" i="7"/>
  <c r="L664" i="7"/>
  <c r="K664" i="7"/>
  <c r="J664" i="7"/>
  <c r="I664" i="7"/>
  <c r="L663" i="7"/>
  <c r="K663" i="7"/>
  <c r="J663" i="7"/>
  <c r="I663" i="7"/>
  <c r="L662" i="7"/>
  <c r="K662" i="7"/>
  <c r="J662" i="7"/>
  <c r="I662" i="7"/>
  <c r="L661" i="7"/>
  <c r="K661" i="7"/>
  <c r="J661" i="7"/>
  <c r="I661" i="7"/>
  <c r="L660" i="7"/>
  <c r="K660" i="7"/>
  <c r="J660" i="7"/>
  <c r="I660" i="7"/>
  <c r="L659" i="7"/>
  <c r="K659" i="7"/>
  <c r="J659" i="7"/>
  <c r="I659" i="7"/>
  <c r="L658" i="7"/>
  <c r="K658" i="7"/>
  <c r="J658" i="7"/>
  <c r="I658" i="7"/>
  <c r="L657" i="7"/>
  <c r="K657" i="7"/>
  <c r="J657" i="7"/>
  <c r="I657" i="7"/>
  <c r="L656" i="7"/>
  <c r="K656" i="7"/>
  <c r="J656" i="7"/>
  <c r="I656" i="7"/>
  <c r="L655" i="7"/>
  <c r="K655" i="7"/>
  <c r="J655" i="7"/>
  <c r="I655" i="7"/>
  <c r="L654" i="7"/>
  <c r="K654" i="7"/>
  <c r="J654" i="7"/>
  <c r="I654" i="7"/>
  <c r="L653" i="7"/>
  <c r="K653" i="7"/>
  <c r="J653" i="7"/>
  <c r="I653" i="7"/>
  <c r="L652" i="7"/>
  <c r="K652" i="7"/>
  <c r="J652" i="7"/>
  <c r="I652" i="7"/>
  <c r="L651" i="7"/>
  <c r="K651" i="7"/>
  <c r="J651" i="7"/>
  <c r="I651" i="7"/>
  <c r="L650" i="7"/>
  <c r="K650" i="7"/>
  <c r="J650" i="7"/>
  <c r="I650" i="7"/>
  <c r="L649" i="7"/>
  <c r="K649" i="7"/>
  <c r="J649" i="7"/>
  <c r="I649" i="7"/>
  <c r="L648" i="7"/>
  <c r="K648" i="7"/>
  <c r="J648" i="7"/>
  <c r="I648" i="7"/>
  <c r="L647" i="7"/>
  <c r="K647" i="7"/>
  <c r="J647" i="7"/>
  <c r="I647" i="7"/>
  <c r="L646" i="7"/>
  <c r="K646" i="7"/>
  <c r="J646" i="7"/>
  <c r="I646" i="7"/>
  <c r="L645" i="7"/>
  <c r="K645" i="7"/>
  <c r="J645" i="7"/>
  <c r="I645" i="7"/>
  <c r="L644" i="7"/>
  <c r="K644" i="7"/>
  <c r="J644" i="7"/>
  <c r="I644" i="7"/>
  <c r="L643" i="7"/>
  <c r="K643" i="7"/>
  <c r="J643" i="7"/>
  <c r="I643" i="7"/>
  <c r="L642" i="7"/>
  <c r="K642" i="7"/>
  <c r="J642" i="7"/>
  <c r="I642" i="7"/>
  <c r="L641" i="7"/>
  <c r="K641" i="7"/>
  <c r="J641" i="7"/>
  <c r="I641" i="7"/>
  <c r="L640" i="7"/>
  <c r="K640" i="7"/>
  <c r="J640" i="7"/>
  <c r="I640" i="7"/>
  <c r="L639" i="7"/>
  <c r="K639" i="7"/>
  <c r="J639" i="7"/>
  <c r="I639" i="7"/>
  <c r="L638" i="7"/>
  <c r="K638" i="7"/>
  <c r="J638" i="7"/>
  <c r="I638" i="7"/>
  <c r="L637" i="7"/>
  <c r="K637" i="7"/>
  <c r="J637" i="7"/>
  <c r="I637" i="7"/>
  <c r="L636" i="7"/>
  <c r="K636" i="7"/>
  <c r="J636" i="7"/>
  <c r="I636" i="7"/>
  <c r="L635" i="7"/>
  <c r="K635" i="7"/>
  <c r="J635" i="7"/>
  <c r="I635" i="7"/>
  <c r="L634" i="7"/>
  <c r="K634" i="7"/>
  <c r="J634" i="7"/>
  <c r="I634" i="7"/>
  <c r="L633" i="7"/>
  <c r="K633" i="7"/>
  <c r="J633" i="7"/>
  <c r="I633" i="7"/>
  <c r="L632" i="7"/>
  <c r="K632" i="7"/>
  <c r="J632" i="7"/>
  <c r="I632" i="7"/>
  <c r="L631" i="7"/>
  <c r="K631" i="7"/>
  <c r="J631" i="7"/>
  <c r="I631" i="7"/>
  <c r="L630" i="7"/>
  <c r="K630" i="7"/>
  <c r="J630" i="7"/>
  <c r="I630" i="7"/>
  <c r="L629" i="7"/>
  <c r="K629" i="7"/>
  <c r="J629" i="7"/>
  <c r="I629" i="7"/>
  <c r="L628" i="7"/>
  <c r="K628" i="7"/>
  <c r="J628" i="7"/>
  <c r="I628" i="7"/>
  <c r="L627" i="7"/>
  <c r="K627" i="7"/>
  <c r="J627" i="7"/>
  <c r="I627" i="7"/>
  <c r="L626" i="7"/>
  <c r="K626" i="7"/>
  <c r="J626" i="7"/>
  <c r="I626" i="7"/>
  <c r="L625" i="7"/>
  <c r="K625" i="7"/>
  <c r="J625" i="7"/>
  <c r="I625" i="7"/>
  <c r="L624" i="7"/>
  <c r="K624" i="7"/>
  <c r="J624" i="7"/>
  <c r="I624" i="7"/>
  <c r="L623" i="7"/>
  <c r="K623" i="7"/>
  <c r="J623" i="7"/>
  <c r="I623" i="7"/>
  <c r="L622" i="7"/>
  <c r="K622" i="7"/>
  <c r="J622" i="7"/>
  <c r="I622" i="7"/>
  <c r="L621" i="7"/>
  <c r="K621" i="7"/>
  <c r="J621" i="7"/>
  <c r="I621" i="7"/>
  <c r="L620" i="7"/>
  <c r="K620" i="7"/>
  <c r="J620" i="7"/>
  <c r="I620" i="7"/>
  <c r="L619" i="7"/>
  <c r="K619" i="7"/>
  <c r="J619" i="7"/>
  <c r="I619" i="7"/>
  <c r="L618" i="7"/>
  <c r="K618" i="7"/>
  <c r="J618" i="7"/>
  <c r="I618" i="7"/>
  <c r="L617" i="7"/>
  <c r="K617" i="7"/>
  <c r="J617" i="7"/>
  <c r="I617" i="7"/>
  <c r="L616" i="7"/>
  <c r="K616" i="7"/>
  <c r="J616" i="7"/>
  <c r="I616" i="7"/>
  <c r="L615" i="7"/>
  <c r="K615" i="7"/>
  <c r="J615" i="7"/>
  <c r="I615" i="7"/>
  <c r="L614" i="7"/>
  <c r="K614" i="7"/>
  <c r="J614" i="7"/>
  <c r="I614" i="7"/>
  <c r="L613" i="7"/>
  <c r="K613" i="7"/>
  <c r="J613" i="7"/>
  <c r="I613" i="7"/>
  <c r="L612" i="7"/>
  <c r="K612" i="7"/>
  <c r="J612" i="7"/>
  <c r="I612" i="7"/>
  <c r="L611" i="7"/>
  <c r="K611" i="7"/>
  <c r="J611" i="7"/>
  <c r="I611" i="7"/>
  <c r="L610" i="7"/>
  <c r="K610" i="7"/>
  <c r="J610" i="7"/>
  <c r="I610" i="7"/>
  <c r="L609" i="7"/>
  <c r="K609" i="7"/>
  <c r="J609" i="7"/>
  <c r="I609" i="7"/>
  <c r="L608" i="7"/>
  <c r="K608" i="7"/>
  <c r="J608" i="7"/>
  <c r="I608" i="7"/>
  <c r="L607" i="7"/>
  <c r="K607" i="7"/>
  <c r="J607" i="7"/>
  <c r="I607" i="7"/>
  <c r="L606" i="7"/>
  <c r="K606" i="7"/>
  <c r="J606" i="7"/>
  <c r="I606" i="7"/>
  <c r="L605" i="7"/>
  <c r="K605" i="7"/>
  <c r="J605" i="7"/>
  <c r="I605" i="7"/>
  <c r="L604" i="7"/>
  <c r="K604" i="7"/>
  <c r="J604" i="7"/>
  <c r="I604" i="7"/>
  <c r="L603" i="7"/>
  <c r="K603" i="7"/>
  <c r="J603" i="7"/>
  <c r="I603" i="7"/>
  <c r="L602" i="7"/>
  <c r="K602" i="7"/>
  <c r="J602" i="7"/>
  <c r="I602" i="7"/>
  <c r="L601" i="7"/>
  <c r="K601" i="7"/>
  <c r="J601" i="7"/>
  <c r="I601" i="7"/>
  <c r="L600" i="7"/>
  <c r="K600" i="7"/>
  <c r="J600" i="7"/>
  <c r="I600" i="7"/>
  <c r="L599" i="7"/>
  <c r="K599" i="7"/>
  <c r="J599" i="7"/>
  <c r="I599" i="7"/>
  <c r="L598" i="7"/>
  <c r="K598" i="7"/>
  <c r="J598" i="7"/>
  <c r="I598" i="7"/>
  <c r="L597" i="7"/>
  <c r="K597" i="7"/>
  <c r="J597" i="7"/>
  <c r="I597" i="7"/>
  <c r="L596" i="7"/>
  <c r="K596" i="7"/>
  <c r="J596" i="7"/>
  <c r="I596" i="7"/>
  <c r="L595" i="7"/>
  <c r="K595" i="7"/>
  <c r="J595" i="7"/>
  <c r="I595" i="7"/>
  <c r="L594" i="7"/>
  <c r="K594" i="7"/>
  <c r="J594" i="7"/>
  <c r="I594" i="7"/>
  <c r="L593" i="7"/>
  <c r="K593" i="7"/>
  <c r="J593" i="7"/>
  <c r="I593" i="7"/>
  <c r="L592" i="7"/>
  <c r="K592" i="7"/>
  <c r="J592" i="7"/>
  <c r="I592" i="7"/>
  <c r="L591" i="7"/>
  <c r="K591" i="7"/>
  <c r="J591" i="7"/>
  <c r="I591" i="7"/>
  <c r="L590" i="7"/>
  <c r="K590" i="7"/>
  <c r="J590" i="7"/>
  <c r="I590" i="7"/>
  <c r="L589" i="7"/>
  <c r="K589" i="7"/>
  <c r="J589" i="7"/>
  <c r="I589" i="7"/>
  <c r="L588" i="7"/>
  <c r="K588" i="7"/>
  <c r="J588" i="7"/>
  <c r="I588" i="7"/>
  <c r="L587" i="7"/>
  <c r="K587" i="7"/>
  <c r="J587" i="7"/>
  <c r="I587" i="7"/>
  <c r="L586" i="7"/>
  <c r="K586" i="7"/>
  <c r="J586" i="7"/>
  <c r="I586" i="7"/>
  <c r="L585" i="7"/>
  <c r="K585" i="7"/>
  <c r="J585" i="7"/>
  <c r="I585" i="7"/>
  <c r="L584" i="7"/>
  <c r="K584" i="7"/>
  <c r="J584" i="7"/>
  <c r="I584" i="7"/>
  <c r="L583" i="7"/>
  <c r="K583" i="7"/>
  <c r="J583" i="7"/>
  <c r="I583" i="7"/>
  <c r="L582" i="7"/>
  <c r="K582" i="7"/>
  <c r="J582" i="7"/>
  <c r="I582" i="7"/>
  <c r="L581" i="7"/>
  <c r="K581" i="7"/>
  <c r="J581" i="7"/>
  <c r="I581" i="7"/>
  <c r="L580" i="7"/>
  <c r="K580" i="7"/>
  <c r="J580" i="7"/>
  <c r="I580" i="7"/>
  <c r="L579" i="7"/>
  <c r="K579" i="7"/>
  <c r="J579" i="7"/>
  <c r="I579" i="7"/>
  <c r="L578" i="7"/>
  <c r="K578" i="7"/>
  <c r="J578" i="7"/>
  <c r="I578" i="7"/>
  <c r="L577" i="7"/>
  <c r="K577" i="7"/>
  <c r="J577" i="7"/>
  <c r="I577" i="7"/>
  <c r="L576" i="7"/>
  <c r="K576" i="7"/>
  <c r="J576" i="7"/>
  <c r="I576" i="7"/>
  <c r="L575" i="7"/>
  <c r="K575" i="7"/>
  <c r="J575" i="7"/>
  <c r="I575" i="7"/>
  <c r="L574" i="7"/>
  <c r="K574" i="7"/>
  <c r="J574" i="7"/>
  <c r="I574" i="7"/>
  <c r="L573" i="7"/>
  <c r="K573" i="7"/>
  <c r="J573" i="7"/>
  <c r="I573" i="7"/>
  <c r="L572" i="7"/>
  <c r="K572" i="7"/>
  <c r="J572" i="7"/>
  <c r="I572" i="7"/>
  <c r="L571" i="7"/>
  <c r="K571" i="7"/>
  <c r="J571" i="7"/>
  <c r="I571" i="7"/>
  <c r="L570" i="7"/>
  <c r="K570" i="7"/>
  <c r="J570" i="7"/>
  <c r="I570" i="7"/>
  <c r="L569" i="7"/>
  <c r="K569" i="7"/>
  <c r="J569" i="7"/>
  <c r="I569" i="7"/>
  <c r="L568" i="7"/>
  <c r="K568" i="7"/>
  <c r="J568" i="7"/>
  <c r="I568" i="7"/>
  <c r="L567" i="7"/>
  <c r="K567" i="7"/>
  <c r="J567" i="7"/>
  <c r="I567" i="7"/>
  <c r="L566" i="7"/>
  <c r="K566" i="7"/>
  <c r="J566" i="7"/>
  <c r="I566" i="7"/>
  <c r="L565" i="7"/>
  <c r="K565" i="7"/>
  <c r="J565" i="7"/>
  <c r="I565" i="7"/>
  <c r="L564" i="7"/>
  <c r="K564" i="7"/>
  <c r="J564" i="7"/>
  <c r="I564" i="7"/>
  <c r="L563" i="7"/>
  <c r="K563" i="7"/>
  <c r="J563" i="7"/>
  <c r="I563" i="7"/>
  <c r="L562" i="7"/>
  <c r="K562" i="7"/>
  <c r="J562" i="7"/>
  <c r="I562" i="7"/>
  <c r="L561" i="7"/>
  <c r="K561" i="7"/>
  <c r="J561" i="7"/>
  <c r="I561" i="7"/>
  <c r="L560" i="7"/>
  <c r="K560" i="7"/>
  <c r="J560" i="7"/>
  <c r="I560" i="7"/>
  <c r="L559" i="7"/>
  <c r="K559" i="7"/>
  <c r="J559" i="7"/>
  <c r="I559" i="7"/>
  <c r="L558" i="7"/>
  <c r="K558" i="7"/>
  <c r="J558" i="7"/>
  <c r="I558" i="7"/>
  <c r="L557" i="7"/>
  <c r="K557" i="7"/>
  <c r="J557" i="7"/>
  <c r="I557" i="7"/>
  <c r="L556" i="7"/>
  <c r="K556" i="7"/>
  <c r="J556" i="7"/>
  <c r="I556" i="7"/>
  <c r="L555" i="7"/>
  <c r="K555" i="7"/>
  <c r="J555" i="7"/>
  <c r="I555" i="7"/>
  <c r="L554" i="7"/>
  <c r="K554" i="7"/>
  <c r="J554" i="7"/>
  <c r="I554" i="7"/>
  <c r="L553" i="7"/>
  <c r="K553" i="7"/>
  <c r="J553" i="7"/>
  <c r="I553" i="7"/>
  <c r="L552" i="7"/>
  <c r="K552" i="7"/>
  <c r="J552" i="7"/>
  <c r="I552" i="7"/>
  <c r="L551" i="7"/>
  <c r="K551" i="7"/>
  <c r="J551" i="7"/>
  <c r="I551" i="7"/>
  <c r="L550" i="7"/>
  <c r="K550" i="7"/>
  <c r="J550" i="7"/>
  <c r="I550" i="7"/>
  <c r="L549" i="7"/>
  <c r="K549" i="7"/>
  <c r="J549" i="7"/>
  <c r="I549" i="7"/>
  <c r="L548" i="7"/>
  <c r="K548" i="7"/>
  <c r="J548" i="7"/>
  <c r="I548" i="7"/>
  <c r="L547" i="7"/>
  <c r="K547" i="7"/>
  <c r="J547" i="7"/>
  <c r="I547" i="7"/>
  <c r="L546" i="7"/>
  <c r="K546" i="7"/>
  <c r="J546" i="7"/>
  <c r="I546" i="7"/>
  <c r="L545" i="7"/>
  <c r="K545" i="7"/>
  <c r="J545" i="7"/>
  <c r="I545" i="7"/>
  <c r="L544" i="7"/>
  <c r="K544" i="7"/>
  <c r="J544" i="7"/>
  <c r="I544" i="7"/>
  <c r="L543" i="7"/>
  <c r="K543" i="7"/>
  <c r="J543" i="7"/>
  <c r="I543" i="7"/>
  <c r="L542" i="7"/>
  <c r="K542" i="7"/>
  <c r="J542" i="7"/>
  <c r="I542" i="7"/>
  <c r="L541" i="7"/>
  <c r="K541" i="7"/>
  <c r="J541" i="7"/>
  <c r="I541" i="7"/>
  <c r="L540" i="7"/>
  <c r="K540" i="7"/>
  <c r="J540" i="7"/>
  <c r="I540" i="7"/>
  <c r="L539" i="7"/>
  <c r="K539" i="7"/>
  <c r="J539" i="7"/>
  <c r="I539" i="7"/>
  <c r="L538" i="7"/>
  <c r="K538" i="7"/>
  <c r="J538" i="7"/>
  <c r="I538" i="7"/>
  <c r="L537" i="7"/>
  <c r="K537" i="7"/>
  <c r="J537" i="7"/>
  <c r="I537" i="7"/>
  <c r="L536" i="7"/>
  <c r="K536" i="7"/>
  <c r="J536" i="7"/>
  <c r="I536" i="7"/>
  <c r="L535" i="7"/>
  <c r="K535" i="7"/>
  <c r="J535" i="7"/>
  <c r="I535" i="7"/>
  <c r="L534" i="7"/>
  <c r="K534" i="7"/>
  <c r="J534" i="7"/>
  <c r="I534" i="7"/>
  <c r="L533" i="7"/>
  <c r="K533" i="7"/>
  <c r="J533" i="7"/>
  <c r="I533" i="7"/>
  <c r="L532" i="7"/>
  <c r="K532" i="7"/>
  <c r="J532" i="7"/>
  <c r="I532" i="7"/>
  <c r="L531" i="7"/>
  <c r="K531" i="7"/>
  <c r="J531" i="7"/>
  <c r="I531" i="7"/>
  <c r="L530" i="7"/>
  <c r="K530" i="7"/>
  <c r="J530" i="7"/>
  <c r="I530" i="7"/>
  <c r="L529" i="7"/>
  <c r="K529" i="7"/>
  <c r="J529" i="7"/>
  <c r="I529" i="7"/>
  <c r="L528" i="7"/>
  <c r="K528" i="7"/>
  <c r="J528" i="7"/>
  <c r="I528" i="7"/>
  <c r="L527" i="7"/>
  <c r="K527" i="7"/>
  <c r="J527" i="7"/>
  <c r="I527" i="7"/>
  <c r="L526" i="7"/>
  <c r="K526" i="7"/>
  <c r="J526" i="7"/>
  <c r="I526" i="7"/>
  <c r="L525" i="7"/>
  <c r="K525" i="7"/>
  <c r="J525" i="7"/>
  <c r="I525" i="7"/>
  <c r="L524" i="7"/>
  <c r="K524" i="7"/>
  <c r="J524" i="7"/>
  <c r="I524" i="7"/>
  <c r="L523" i="7"/>
  <c r="K523" i="7"/>
  <c r="J523" i="7"/>
  <c r="I523" i="7"/>
  <c r="L522" i="7"/>
  <c r="K522" i="7"/>
  <c r="J522" i="7"/>
  <c r="I522" i="7"/>
  <c r="L521" i="7"/>
  <c r="K521" i="7"/>
  <c r="J521" i="7"/>
  <c r="I521" i="7"/>
  <c r="L520" i="7"/>
  <c r="K520" i="7"/>
  <c r="J520" i="7"/>
  <c r="I520" i="7"/>
  <c r="L519" i="7"/>
  <c r="K519" i="7"/>
  <c r="J519" i="7"/>
  <c r="I519" i="7"/>
  <c r="L518" i="7"/>
  <c r="K518" i="7"/>
  <c r="J518" i="7"/>
  <c r="I518" i="7"/>
  <c r="L517" i="7"/>
  <c r="K517" i="7"/>
  <c r="J517" i="7"/>
  <c r="I517" i="7"/>
  <c r="L516" i="7"/>
  <c r="K516" i="7"/>
  <c r="J516" i="7"/>
  <c r="I516" i="7"/>
  <c r="L515" i="7"/>
  <c r="K515" i="7"/>
  <c r="J515" i="7"/>
  <c r="I515" i="7"/>
  <c r="L514" i="7"/>
  <c r="K514" i="7"/>
  <c r="J514" i="7"/>
  <c r="I514" i="7"/>
  <c r="L513" i="7"/>
  <c r="K513" i="7"/>
  <c r="J513" i="7"/>
  <c r="I513" i="7"/>
  <c r="L512" i="7"/>
  <c r="K512" i="7"/>
  <c r="J512" i="7"/>
  <c r="I512" i="7"/>
  <c r="L511" i="7"/>
  <c r="K511" i="7"/>
  <c r="J511" i="7"/>
  <c r="I511" i="7"/>
  <c r="L510" i="7"/>
  <c r="K510" i="7"/>
  <c r="J510" i="7"/>
  <c r="I510" i="7"/>
  <c r="L509" i="7"/>
  <c r="K509" i="7"/>
  <c r="J509" i="7"/>
  <c r="I509" i="7"/>
  <c r="L508" i="7"/>
  <c r="K508" i="7"/>
  <c r="J508" i="7"/>
  <c r="I508" i="7"/>
  <c r="L507" i="7"/>
  <c r="K507" i="7"/>
  <c r="J507" i="7"/>
  <c r="I507" i="7"/>
  <c r="L506" i="7"/>
  <c r="K506" i="7"/>
  <c r="J506" i="7"/>
  <c r="I506" i="7"/>
  <c r="L505" i="7"/>
  <c r="K505" i="7"/>
  <c r="J505" i="7"/>
  <c r="I505" i="7"/>
  <c r="L504" i="7"/>
  <c r="K504" i="7"/>
  <c r="J504" i="7"/>
  <c r="I504" i="7"/>
  <c r="L503" i="7"/>
  <c r="K503" i="7"/>
  <c r="J503" i="7"/>
  <c r="I503" i="7"/>
  <c r="L502" i="7"/>
  <c r="K502" i="7"/>
  <c r="J502" i="7"/>
  <c r="I502" i="7"/>
  <c r="L501" i="7"/>
  <c r="K501" i="7"/>
  <c r="J501" i="7"/>
  <c r="I501" i="7"/>
  <c r="L500" i="7"/>
  <c r="K500" i="7"/>
  <c r="J500" i="7"/>
  <c r="I500" i="7"/>
  <c r="L499" i="7"/>
  <c r="K499" i="7"/>
  <c r="J499" i="7"/>
  <c r="I499" i="7"/>
  <c r="L498" i="7"/>
  <c r="K498" i="7"/>
  <c r="J498" i="7"/>
  <c r="I498" i="7"/>
  <c r="L497" i="7"/>
  <c r="K497" i="7"/>
  <c r="J497" i="7"/>
  <c r="I497" i="7"/>
  <c r="L496" i="7"/>
  <c r="K496" i="7"/>
  <c r="J496" i="7"/>
  <c r="I496" i="7"/>
  <c r="L495" i="7"/>
  <c r="K495" i="7"/>
  <c r="J495" i="7"/>
  <c r="I495" i="7"/>
  <c r="L494" i="7"/>
  <c r="K494" i="7"/>
  <c r="J494" i="7"/>
  <c r="I494" i="7"/>
  <c r="L493" i="7"/>
  <c r="K493" i="7"/>
  <c r="J493" i="7"/>
  <c r="I493" i="7"/>
  <c r="L492" i="7"/>
  <c r="K492" i="7"/>
  <c r="J492" i="7"/>
  <c r="I492" i="7"/>
  <c r="L491" i="7"/>
  <c r="K491" i="7"/>
  <c r="J491" i="7"/>
  <c r="I491" i="7"/>
  <c r="L490" i="7"/>
  <c r="K490" i="7"/>
  <c r="J490" i="7"/>
  <c r="I490" i="7"/>
  <c r="L489" i="7"/>
  <c r="K489" i="7"/>
  <c r="J489" i="7"/>
  <c r="I489" i="7"/>
  <c r="L488" i="7"/>
  <c r="K488" i="7"/>
  <c r="J488" i="7"/>
  <c r="I488" i="7"/>
  <c r="L487" i="7"/>
  <c r="K487" i="7"/>
  <c r="J487" i="7"/>
  <c r="I487" i="7"/>
  <c r="L486" i="7"/>
  <c r="K486" i="7"/>
  <c r="J486" i="7"/>
  <c r="I486" i="7"/>
  <c r="L485" i="7"/>
  <c r="K485" i="7"/>
  <c r="J485" i="7"/>
  <c r="I485" i="7"/>
  <c r="L484" i="7"/>
  <c r="K484" i="7"/>
  <c r="J484" i="7"/>
  <c r="I484" i="7"/>
  <c r="L483" i="7"/>
  <c r="K483" i="7"/>
  <c r="J483" i="7"/>
  <c r="I483" i="7"/>
  <c r="L482" i="7"/>
  <c r="K482" i="7"/>
  <c r="J482" i="7"/>
  <c r="I482" i="7"/>
  <c r="L481" i="7"/>
  <c r="K481" i="7"/>
  <c r="J481" i="7"/>
  <c r="I481" i="7"/>
  <c r="L480" i="7"/>
  <c r="K480" i="7"/>
  <c r="J480" i="7"/>
  <c r="I480" i="7"/>
  <c r="L479" i="7"/>
  <c r="K479" i="7"/>
  <c r="J479" i="7"/>
  <c r="I479" i="7"/>
  <c r="L478" i="7"/>
  <c r="K478" i="7"/>
  <c r="J478" i="7"/>
  <c r="I478" i="7"/>
  <c r="L477" i="7"/>
  <c r="K477" i="7"/>
  <c r="J477" i="7"/>
  <c r="I477" i="7"/>
  <c r="L476" i="7"/>
  <c r="K476" i="7"/>
  <c r="J476" i="7"/>
  <c r="I476" i="7"/>
  <c r="L475" i="7"/>
  <c r="K475" i="7"/>
  <c r="J475" i="7"/>
  <c r="I475" i="7"/>
  <c r="L474" i="7"/>
  <c r="K474" i="7"/>
  <c r="J474" i="7"/>
  <c r="I474" i="7"/>
  <c r="L473" i="7"/>
  <c r="K473" i="7"/>
  <c r="J473" i="7"/>
  <c r="I473" i="7"/>
  <c r="L472" i="7"/>
  <c r="K472" i="7"/>
  <c r="J472" i="7"/>
  <c r="I472" i="7"/>
  <c r="L471" i="7"/>
  <c r="K471" i="7"/>
  <c r="J471" i="7"/>
  <c r="I471" i="7"/>
  <c r="L470" i="7"/>
  <c r="K470" i="7"/>
  <c r="J470" i="7"/>
  <c r="I470" i="7"/>
  <c r="L469" i="7"/>
  <c r="K469" i="7"/>
  <c r="J469" i="7"/>
  <c r="I469" i="7"/>
  <c r="L468" i="7"/>
  <c r="K468" i="7"/>
  <c r="J468" i="7"/>
  <c r="I468" i="7"/>
  <c r="L467" i="7"/>
  <c r="K467" i="7"/>
  <c r="J467" i="7"/>
  <c r="I467" i="7"/>
  <c r="L466" i="7"/>
  <c r="K466" i="7"/>
  <c r="J466" i="7"/>
  <c r="I466" i="7"/>
  <c r="L465" i="7"/>
  <c r="K465" i="7"/>
  <c r="J465" i="7"/>
  <c r="I465" i="7"/>
  <c r="L464" i="7"/>
  <c r="K464" i="7"/>
  <c r="J464" i="7"/>
  <c r="I464" i="7"/>
  <c r="L463" i="7"/>
  <c r="K463" i="7"/>
  <c r="J463" i="7"/>
  <c r="I463" i="7"/>
  <c r="L462" i="7"/>
  <c r="K462" i="7"/>
  <c r="J462" i="7"/>
  <c r="I462" i="7"/>
  <c r="L461" i="7"/>
  <c r="K461" i="7"/>
  <c r="J461" i="7"/>
  <c r="I461" i="7"/>
  <c r="L460" i="7"/>
  <c r="K460" i="7"/>
  <c r="J460" i="7"/>
  <c r="I460" i="7"/>
  <c r="L459" i="7"/>
  <c r="K459" i="7"/>
  <c r="J459" i="7"/>
  <c r="I459" i="7"/>
  <c r="L458" i="7"/>
  <c r="K458" i="7"/>
  <c r="J458" i="7"/>
  <c r="I458" i="7"/>
  <c r="L457" i="7"/>
  <c r="K457" i="7"/>
  <c r="J457" i="7"/>
  <c r="I457" i="7"/>
  <c r="L456" i="7"/>
  <c r="K456" i="7"/>
  <c r="J456" i="7"/>
  <c r="I456" i="7"/>
  <c r="L455" i="7"/>
  <c r="K455" i="7"/>
  <c r="J455" i="7"/>
  <c r="I455" i="7"/>
  <c r="L454" i="7"/>
  <c r="K454" i="7"/>
  <c r="J454" i="7"/>
  <c r="I454" i="7"/>
  <c r="L453" i="7"/>
  <c r="K453" i="7"/>
  <c r="J453" i="7"/>
  <c r="I453" i="7"/>
  <c r="L452" i="7"/>
  <c r="K452" i="7"/>
  <c r="J452" i="7"/>
  <c r="I452" i="7"/>
  <c r="L451" i="7"/>
  <c r="K451" i="7"/>
  <c r="J451" i="7"/>
  <c r="I451" i="7"/>
  <c r="L450" i="7"/>
  <c r="K450" i="7"/>
  <c r="J450" i="7"/>
  <c r="I450" i="7"/>
  <c r="L449" i="7"/>
  <c r="K449" i="7"/>
  <c r="J449" i="7"/>
  <c r="I449" i="7"/>
  <c r="L448" i="7"/>
  <c r="K448" i="7"/>
  <c r="J448" i="7"/>
  <c r="I448" i="7"/>
  <c r="L447" i="7"/>
  <c r="K447" i="7"/>
  <c r="J447" i="7"/>
  <c r="I447" i="7"/>
  <c r="L446" i="7"/>
  <c r="K446" i="7"/>
  <c r="J446" i="7"/>
  <c r="I446" i="7"/>
  <c r="L445" i="7"/>
  <c r="K445" i="7"/>
  <c r="J445" i="7"/>
  <c r="I445" i="7"/>
  <c r="L444" i="7"/>
  <c r="K444" i="7"/>
  <c r="J444" i="7"/>
  <c r="I444" i="7"/>
  <c r="L443" i="7"/>
  <c r="K443" i="7"/>
  <c r="J443" i="7"/>
  <c r="I443" i="7"/>
  <c r="L442" i="7"/>
  <c r="K442" i="7"/>
  <c r="J442" i="7"/>
  <c r="I442" i="7"/>
  <c r="L441" i="7"/>
  <c r="K441" i="7"/>
  <c r="J441" i="7"/>
  <c r="I441" i="7"/>
  <c r="L440" i="7"/>
  <c r="K440" i="7"/>
  <c r="J440" i="7"/>
  <c r="I440" i="7"/>
  <c r="L439" i="7"/>
  <c r="K439" i="7"/>
  <c r="J439" i="7"/>
  <c r="I439" i="7"/>
  <c r="L438" i="7"/>
  <c r="K438" i="7"/>
  <c r="J438" i="7"/>
  <c r="I438" i="7"/>
  <c r="L437" i="7"/>
  <c r="K437" i="7"/>
  <c r="J437" i="7"/>
  <c r="I437" i="7"/>
  <c r="L436" i="7"/>
  <c r="K436" i="7"/>
  <c r="J436" i="7"/>
  <c r="I436" i="7"/>
  <c r="L435" i="7"/>
  <c r="K435" i="7"/>
  <c r="J435" i="7"/>
  <c r="I435" i="7"/>
  <c r="L434" i="7"/>
  <c r="K434" i="7"/>
  <c r="J434" i="7"/>
  <c r="I434" i="7"/>
  <c r="L433" i="7"/>
  <c r="K433" i="7"/>
  <c r="J433" i="7"/>
  <c r="I433" i="7"/>
  <c r="L432" i="7"/>
  <c r="K432" i="7"/>
  <c r="J432" i="7"/>
  <c r="I432" i="7"/>
  <c r="L431" i="7"/>
  <c r="K431" i="7"/>
  <c r="J431" i="7"/>
  <c r="I431" i="7"/>
  <c r="L430" i="7"/>
  <c r="K430" i="7"/>
  <c r="J430" i="7"/>
  <c r="I430" i="7"/>
  <c r="L429" i="7"/>
  <c r="K429" i="7"/>
  <c r="J429" i="7"/>
  <c r="I429" i="7"/>
  <c r="L428" i="7"/>
  <c r="K428" i="7"/>
  <c r="J428" i="7"/>
  <c r="I428" i="7"/>
  <c r="L427" i="7"/>
  <c r="K427" i="7"/>
  <c r="J427" i="7"/>
  <c r="I427" i="7"/>
  <c r="L426" i="7"/>
  <c r="K426" i="7"/>
  <c r="J426" i="7"/>
  <c r="I426" i="7"/>
  <c r="L425" i="7"/>
  <c r="K425" i="7"/>
  <c r="J425" i="7"/>
  <c r="I425" i="7"/>
  <c r="L424" i="7"/>
  <c r="K424" i="7"/>
  <c r="J424" i="7"/>
  <c r="I424" i="7"/>
  <c r="L423" i="7"/>
  <c r="K423" i="7"/>
  <c r="J423" i="7"/>
  <c r="I423" i="7"/>
  <c r="L422" i="7"/>
  <c r="K422" i="7"/>
  <c r="J422" i="7"/>
  <c r="I422" i="7"/>
  <c r="L421" i="7"/>
  <c r="K421" i="7"/>
  <c r="J421" i="7"/>
  <c r="I421" i="7"/>
  <c r="L420" i="7"/>
  <c r="K420" i="7"/>
  <c r="J420" i="7"/>
  <c r="I420" i="7"/>
  <c r="L419" i="7"/>
  <c r="K419" i="7"/>
  <c r="J419" i="7"/>
  <c r="I419" i="7"/>
  <c r="L418" i="7"/>
  <c r="K418" i="7"/>
  <c r="J418" i="7"/>
  <c r="I418" i="7"/>
  <c r="L417" i="7"/>
  <c r="K417" i="7"/>
  <c r="J417" i="7"/>
  <c r="I417" i="7"/>
  <c r="L416" i="7"/>
  <c r="K416" i="7"/>
  <c r="J416" i="7"/>
  <c r="I416" i="7"/>
  <c r="L415" i="7"/>
  <c r="K415" i="7"/>
  <c r="J415" i="7"/>
  <c r="I415" i="7"/>
  <c r="L414" i="7"/>
  <c r="K414" i="7"/>
  <c r="J414" i="7"/>
  <c r="I414" i="7"/>
  <c r="L413" i="7"/>
  <c r="K413" i="7"/>
  <c r="J413" i="7"/>
  <c r="I413" i="7"/>
  <c r="L412" i="7"/>
  <c r="K412" i="7"/>
  <c r="J412" i="7"/>
  <c r="I412" i="7"/>
  <c r="L411" i="7"/>
  <c r="K411" i="7"/>
  <c r="J411" i="7"/>
  <c r="I411" i="7"/>
  <c r="L410" i="7"/>
  <c r="K410" i="7"/>
  <c r="J410" i="7"/>
  <c r="I410" i="7"/>
  <c r="L409" i="7"/>
  <c r="K409" i="7"/>
  <c r="J409" i="7"/>
  <c r="I409" i="7"/>
  <c r="L408" i="7"/>
  <c r="K408" i="7"/>
  <c r="J408" i="7"/>
  <c r="I408" i="7"/>
  <c r="L407" i="7"/>
  <c r="K407" i="7"/>
  <c r="J407" i="7"/>
  <c r="I407" i="7"/>
  <c r="L406" i="7"/>
  <c r="K406" i="7"/>
  <c r="J406" i="7"/>
  <c r="I406" i="7"/>
  <c r="L405" i="7"/>
  <c r="K405" i="7"/>
  <c r="J405" i="7"/>
  <c r="I405" i="7"/>
  <c r="L404" i="7"/>
  <c r="K404" i="7"/>
  <c r="J404" i="7"/>
  <c r="I404" i="7"/>
  <c r="L403" i="7"/>
  <c r="K403" i="7"/>
  <c r="J403" i="7"/>
  <c r="I403" i="7"/>
  <c r="L402" i="7"/>
  <c r="K402" i="7"/>
  <c r="J402" i="7"/>
  <c r="I402" i="7"/>
  <c r="L401" i="7"/>
  <c r="K401" i="7"/>
  <c r="J401" i="7"/>
  <c r="I401" i="7"/>
  <c r="L400" i="7"/>
  <c r="K400" i="7"/>
  <c r="J400" i="7"/>
  <c r="I400" i="7"/>
  <c r="L399" i="7"/>
  <c r="K399" i="7"/>
  <c r="J399" i="7"/>
  <c r="I399" i="7"/>
  <c r="L398" i="7"/>
  <c r="K398" i="7"/>
  <c r="J398" i="7"/>
  <c r="I398" i="7"/>
  <c r="L397" i="7"/>
  <c r="K397" i="7"/>
  <c r="J397" i="7"/>
  <c r="I397" i="7"/>
  <c r="L396" i="7"/>
  <c r="K396" i="7"/>
  <c r="J396" i="7"/>
  <c r="I396" i="7"/>
  <c r="L395" i="7"/>
  <c r="K395" i="7"/>
  <c r="J395" i="7"/>
  <c r="I395" i="7"/>
  <c r="L394" i="7"/>
  <c r="K394" i="7"/>
  <c r="J394" i="7"/>
  <c r="I394" i="7"/>
  <c r="L393" i="7"/>
  <c r="K393" i="7"/>
  <c r="J393" i="7"/>
  <c r="I393" i="7"/>
  <c r="L392" i="7"/>
  <c r="K392" i="7"/>
  <c r="J392" i="7"/>
  <c r="I392" i="7"/>
  <c r="L391" i="7"/>
  <c r="K391" i="7"/>
  <c r="J391" i="7"/>
  <c r="I391" i="7"/>
  <c r="L390" i="7"/>
  <c r="K390" i="7"/>
  <c r="J390" i="7"/>
  <c r="I390" i="7"/>
  <c r="L389" i="7"/>
  <c r="K389" i="7"/>
  <c r="J389" i="7"/>
  <c r="I389" i="7"/>
  <c r="L388" i="7"/>
  <c r="K388" i="7"/>
  <c r="J388" i="7"/>
  <c r="I388" i="7"/>
  <c r="L387" i="7"/>
  <c r="K387" i="7"/>
  <c r="J387" i="7"/>
  <c r="I387" i="7"/>
  <c r="L386" i="7"/>
  <c r="K386" i="7"/>
  <c r="J386" i="7"/>
  <c r="I386" i="7"/>
  <c r="L385" i="7"/>
  <c r="K385" i="7"/>
  <c r="J385" i="7"/>
  <c r="I385" i="7"/>
  <c r="L384" i="7"/>
  <c r="K384" i="7"/>
  <c r="J384" i="7"/>
  <c r="I384" i="7"/>
  <c r="L383" i="7"/>
  <c r="K383" i="7"/>
  <c r="J383" i="7"/>
  <c r="I383" i="7"/>
  <c r="L382" i="7"/>
  <c r="K382" i="7"/>
  <c r="J382" i="7"/>
  <c r="I382" i="7"/>
  <c r="L381" i="7"/>
  <c r="K381" i="7"/>
  <c r="J381" i="7"/>
  <c r="I381" i="7"/>
  <c r="L380" i="7"/>
  <c r="K380" i="7"/>
  <c r="J380" i="7"/>
  <c r="I380" i="7"/>
  <c r="L379" i="7"/>
  <c r="K379" i="7"/>
  <c r="J379" i="7"/>
  <c r="I379" i="7"/>
  <c r="L378" i="7"/>
  <c r="K378" i="7"/>
  <c r="J378" i="7"/>
  <c r="I378" i="7"/>
  <c r="L377" i="7"/>
  <c r="K377" i="7"/>
  <c r="J377" i="7"/>
  <c r="I377" i="7"/>
  <c r="L376" i="7"/>
  <c r="K376" i="7"/>
  <c r="J376" i="7"/>
  <c r="I376" i="7"/>
  <c r="L375" i="7"/>
  <c r="K375" i="7"/>
  <c r="J375" i="7"/>
  <c r="I375" i="7"/>
  <c r="L374" i="7"/>
  <c r="K374" i="7"/>
  <c r="J374" i="7"/>
  <c r="I374" i="7"/>
  <c r="L373" i="7"/>
  <c r="K373" i="7"/>
  <c r="J373" i="7"/>
  <c r="I373" i="7"/>
  <c r="L372" i="7"/>
  <c r="K372" i="7"/>
  <c r="J372" i="7"/>
  <c r="I372" i="7"/>
  <c r="L371" i="7"/>
  <c r="K371" i="7"/>
  <c r="J371" i="7"/>
  <c r="I371" i="7"/>
  <c r="L370" i="7"/>
  <c r="K370" i="7"/>
  <c r="J370" i="7"/>
  <c r="I370" i="7"/>
  <c r="L369" i="7"/>
  <c r="K369" i="7"/>
  <c r="J369" i="7"/>
  <c r="I369" i="7"/>
  <c r="L368" i="7"/>
  <c r="K368" i="7"/>
  <c r="J368" i="7"/>
  <c r="I368" i="7"/>
  <c r="L367" i="7"/>
  <c r="K367" i="7"/>
  <c r="J367" i="7"/>
  <c r="I367" i="7"/>
  <c r="L366" i="7"/>
  <c r="K366" i="7"/>
  <c r="J366" i="7"/>
  <c r="I366" i="7"/>
  <c r="L365" i="7"/>
  <c r="K365" i="7"/>
  <c r="J365" i="7"/>
  <c r="I365" i="7"/>
  <c r="L364" i="7"/>
  <c r="K364" i="7"/>
  <c r="J364" i="7"/>
  <c r="I364" i="7"/>
  <c r="L363" i="7"/>
  <c r="K363" i="7"/>
  <c r="J363" i="7"/>
  <c r="I363" i="7"/>
  <c r="L362" i="7"/>
  <c r="K362" i="7"/>
  <c r="J362" i="7"/>
  <c r="I362" i="7"/>
  <c r="L361" i="7"/>
  <c r="K361" i="7"/>
  <c r="J361" i="7"/>
  <c r="I361" i="7"/>
  <c r="L360" i="7"/>
  <c r="K360" i="7"/>
  <c r="J360" i="7"/>
  <c r="I360" i="7"/>
  <c r="L359" i="7"/>
  <c r="K359" i="7"/>
  <c r="J359" i="7"/>
  <c r="I359" i="7"/>
  <c r="L358" i="7"/>
  <c r="K358" i="7"/>
  <c r="J358" i="7"/>
  <c r="I358" i="7"/>
  <c r="L357" i="7"/>
  <c r="K357" i="7"/>
  <c r="J357" i="7"/>
  <c r="I357" i="7"/>
  <c r="L356" i="7"/>
  <c r="K356" i="7"/>
  <c r="J356" i="7"/>
  <c r="I356" i="7"/>
  <c r="L355" i="7"/>
  <c r="K355" i="7"/>
  <c r="J355" i="7"/>
  <c r="I355" i="7"/>
  <c r="L354" i="7"/>
  <c r="K354" i="7"/>
  <c r="J354" i="7"/>
  <c r="I354" i="7"/>
  <c r="L353" i="7"/>
  <c r="K353" i="7"/>
  <c r="J353" i="7"/>
  <c r="I353" i="7"/>
  <c r="L352" i="7"/>
  <c r="K352" i="7"/>
  <c r="J352" i="7"/>
  <c r="I352" i="7"/>
  <c r="L351" i="7"/>
  <c r="K351" i="7"/>
  <c r="J351" i="7"/>
  <c r="I351" i="7"/>
  <c r="L350" i="7"/>
  <c r="K350" i="7"/>
  <c r="J350" i="7"/>
  <c r="I350" i="7"/>
  <c r="L349" i="7"/>
  <c r="K349" i="7"/>
  <c r="J349" i="7"/>
  <c r="I349" i="7"/>
  <c r="L348" i="7"/>
  <c r="K348" i="7"/>
  <c r="J348" i="7"/>
  <c r="I348" i="7"/>
  <c r="L347" i="7"/>
  <c r="K347" i="7"/>
  <c r="J347" i="7"/>
  <c r="I347" i="7"/>
  <c r="L346" i="7"/>
  <c r="K346" i="7"/>
  <c r="J346" i="7"/>
  <c r="I346" i="7"/>
  <c r="L345" i="7"/>
  <c r="K345" i="7"/>
  <c r="J345" i="7"/>
  <c r="I345" i="7"/>
  <c r="L344" i="7"/>
  <c r="K344" i="7"/>
  <c r="J344" i="7"/>
  <c r="I344" i="7"/>
  <c r="L343" i="7"/>
  <c r="K343" i="7"/>
  <c r="J343" i="7"/>
  <c r="I343" i="7"/>
  <c r="L342" i="7"/>
  <c r="K342" i="7"/>
  <c r="J342" i="7"/>
  <c r="I342" i="7"/>
  <c r="L341" i="7"/>
  <c r="K341" i="7"/>
  <c r="J341" i="7"/>
  <c r="I341" i="7"/>
  <c r="L340" i="7"/>
  <c r="K340" i="7"/>
  <c r="J340" i="7"/>
  <c r="I340" i="7"/>
  <c r="L339" i="7"/>
  <c r="K339" i="7"/>
  <c r="J339" i="7"/>
  <c r="I339" i="7"/>
  <c r="L338" i="7"/>
  <c r="K338" i="7"/>
  <c r="J338" i="7"/>
  <c r="I338" i="7"/>
  <c r="L337" i="7"/>
  <c r="K337" i="7"/>
  <c r="J337" i="7"/>
  <c r="I337" i="7"/>
  <c r="L336" i="7"/>
  <c r="K336" i="7"/>
  <c r="J336" i="7"/>
  <c r="I336" i="7"/>
  <c r="L335" i="7"/>
  <c r="K335" i="7"/>
  <c r="J335" i="7"/>
  <c r="I335" i="7"/>
  <c r="L334" i="7"/>
  <c r="K334" i="7"/>
  <c r="J334" i="7"/>
  <c r="I334" i="7"/>
  <c r="L333" i="7"/>
  <c r="K333" i="7"/>
  <c r="J333" i="7"/>
  <c r="I333" i="7"/>
  <c r="L332" i="7"/>
  <c r="K332" i="7"/>
  <c r="J332" i="7"/>
  <c r="I332" i="7"/>
  <c r="L331" i="7"/>
  <c r="K331" i="7"/>
  <c r="J331" i="7"/>
  <c r="I331" i="7"/>
  <c r="L330" i="7"/>
  <c r="K330" i="7"/>
  <c r="J330" i="7"/>
  <c r="I330" i="7"/>
  <c r="L329" i="7"/>
  <c r="K329" i="7"/>
  <c r="J329" i="7"/>
  <c r="I329" i="7"/>
  <c r="L328" i="7"/>
  <c r="K328" i="7"/>
  <c r="J328" i="7"/>
  <c r="I328" i="7"/>
  <c r="L327" i="7"/>
  <c r="K327" i="7"/>
  <c r="J327" i="7"/>
  <c r="I327" i="7"/>
  <c r="L326" i="7"/>
  <c r="K326" i="7"/>
  <c r="J326" i="7"/>
  <c r="I326" i="7"/>
  <c r="L325" i="7"/>
  <c r="K325" i="7"/>
  <c r="J325" i="7"/>
  <c r="I325" i="7"/>
  <c r="L324" i="7"/>
  <c r="K324" i="7"/>
  <c r="J324" i="7"/>
  <c r="I324" i="7"/>
  <c r="L323" i="7"/>
  <c r="K323" i="7"/>
  <c r="J323" i="7"/>
  <c r="I323" i="7"/>
  <c r="L322" i="7"/>
  <c r="K322" i="7"/>
  <c r="J322" i="7"/>
  <c r="I322" i="7"/>
  <c r="L321" i="7"/>
  <c r="K321" i="7"/>
  <c r="J321" i="7"/>
  <c r="I321" i="7"/>
  <c r="L320" i="7"/>
  <c r="K320" i="7"/>
  <c r="J320" i="7"/>
  <c r="I320" i="7"/>
  <c r="L319" i="7"/>
  <c r="K319" i="7"/>
  <c r="J319" i="7"/>
  <c r="I319" i="7"/>
  <c r="L318" i="7"/>
  <c r="K318" i="7"/>
  <c r="J318" i="7"/>
  <c r="I318" i="7"/>
  <c r="L317" i="7"/>
  <c r="K317" i="7"/>
  <c r="J317" i="7"/>
  <c r="I317" i="7"/>
  <c r="L316" i="7"/>
  <c r="K316" i="7"/>
  <c r="J316" i="7"/>
  <c r="I316" i="7"/>
  <c r="L315" i="7"/>
  <c r="K315" i="7"/>
  <c r="J315" i="7"/>
  <c r="I315" i="7"/>
  <c r="L314" i="7"/>
  <c r="K314" i="7"/>
  <c r="J314" i="7"/>
  <c r="I314" i="7"/>
  <c r="L313" i="7"/>
  <c r="K313" i="7"/>
  <c r="J313" i="7"/>
  <c r="I313" i="7"/>
  <c r="L312" i="7"/>
  <c r="K312" i="7"/>
  <c r="J312" i="7"/>
  <c r="I312" i="7"/>
  <c r="L311" i="7"/>
  <c r="K311" i="7"/>
  <c r="J311" i="7"/>
  <c r="I311" i="7"/>
  <c r="L310" i="7"/>
  <c r="K310" i="7"/>
  <c r="J310" i="7"/>
  <c r="I310" i="7"/>
  <c r="L309" i="7"/>
  <c r="K309" i="7"/>
  <c r="J309" i="7"/>
  <c r="I309" i="7"/>
  <c r="L308" i="7"/>
  <c r="K308" i="7"/>
  <c r="J308" i="7"/>
  <c r="I308" i="7"/>
  <c r="L307" i="7"/>
  <c r="K307" i="7"/>
  <c r="J307" i="7"/>
  <c r="I307" i="7"/>
  <c r="L306" i="7"/>
  <c r="K306" i="7"/>
  <c r="J306" i="7"/>
  <c r="I306" i="7"/>
  <c r="L305" i="7"/>
  <c r="K305" i="7"/>
  <c r="J305" i="7"/>
  <c r="I305" i="7"/>
  <c r="L304" i="7"/>
  <c r="K304" i="7"/>
  <c r="J304" i="7"/>
  <c r="I304" i="7"/>
  <c r="L303" i="7"/>
  <c r="K303" i="7"/>
  <c r="J303" i="7"/>
  <c r="I303" i="7"/>
  <c r="L302" i="7"/>
  <c r="K302" i="7"/>
  <c r="J302" i="7"/>
  <c r="I302" i="7"/>
  <c r="L301" i="7"/>
  <c r="K301" i="7"/>
  <c r="J301" i="7"/>
  <c r="I301" i="7"/>
  <c r="L300" i="7"/>
  <c r="K300" i="7"/>
  <c r="J300" i="7"/>
  <c r="I300" i="7"/>
  <c r="L299" i="7"/>
  <c r="K299" i="7"/>
  <c r="J299" i="7"/>
  <c r="I299" i="7"/>
  <c r="L298" i="7"/>
  <c r="K298" i="7"/>
  <c r="J298" i="7"/>
  <c r="I298" i="7"/>
  <c r="L297" i="7"/>
  <c r="K297" i="7"/>
  <c r="J297" i="7"/>
  <c r="I297" i="7"/>
  <c r="L296" i="7"/>
  <c r="K296" i="7"/>
  <c r="J296" i="7"/>
  <c r="I296" i="7"/>
  <c r="L295" i="7"/>
  <c r="K295" i="7"/>
  <c r="J295" i="7"/>
  <c r="I295" i="7"/>
  <c r="L294" i="7"/>
  <c r="K294" i="7"/>
  <c r="J294" i="7"/>
  <c r="I294" i="7"/>
  <c r="L293" i="7"/>
  <c r="K293" i="7"/>
  <c r="J293" i="7"/>
  <c r="I293" i="7"/>
  <c r="L292" i="7"/>
  <c r="K292" i="7"/>
  <c r="J292" i="7"/>
  <c r="I292" i="7"/>
  <c r="L291" i="7"/>
  <c r="K291" i="7"/>
  <c r="J291" i="7"/>
  <c r="I291" i="7"/>
  <c r="L290" i="7"/>
  <c r="K290" i="7"/>
  <c r="J290" i="7"/>
  <c r="I290" i="7"/>
  <c r="L289" i="7"/>
  <c r="K289" i="7"/>
  <c r="J289" i="7"/>
  <c r="I289" i="7"/>
  <c r="L288" i="7"/>
  <c r="K288" i="7"/>
  <c r="J288" i="7"/>
  <c r="I288" i="7"/>
  <c r="L287" i="7"/>
  <c r="K287" i="7"/>
  <c r="J287" i="7"/>
  <c r="I287" i="7"/>
  <c r="L286" i="7"/>
  <c r="K286" i="7"/>
  <c r="J286" i="7"/>
  <c r="I286" i="7"/>
  <c r="L285" i="7"/>
  <c r="K285" i="7"/>
  <c r="J285" i="7"/>
  <c r="I285" i="7"/>
  <c r="L284" i="7"/>
  <c r="K284" i="7"/>
  <c r="J284" i="7"/>
  <c r="I284" i="7"/>
  <c r="L283" i="7"/>
  <c r="K283" i="7"/>
  <c r="J283" i="7"/>
  <c r="I283" i="7"/>
  <c r="L282" i="7"/>
  <c r="K282" i="7"/>
  <c r="J282" i="7"/>
  <c r="I282" i="7"/>
  <c r="L281" i="7"/>
  <c r="K281" i="7"/>
  <c r="J281" i="7"/>
  <c r="I281" i="7"/>
  <c r="L280" i="7"/>
  <c r="K280" i="7"/>
  <c r="J280" i="7"/>
  <c r="I280" i="7"/>
  <c r="L279" i="7"/>
  <c r="K279" i="7"/>
  <c r="J279" i="7"/>
  <c r="I279" i="7"/>
  <c r="L278" i="7"/>
  <c r="K278" i="7"/>
  <c r="J278" i="7"/>
  <c r="I278" i="7"/>
  <c r="L277" i="7"/>
  <c r="K277" i="7"/>
  <c r="J277" i="7"/>
  <c r="I277" i="7"/>
  <c r="L276" i="7"/>
  <c r="K276" i="7"/>
  <c r="J276" i="7"/>
  <c r="I276" i="7"/>
  <c r="L275" i="7"/>
  <c r="K275" i="7"/>
  <c r="J275" i="7"/>
  <c r="I275" i="7"/>
  <c r="L274" i="7"/>
  <c r="K274" i="7"/>
  <c r="J274" i="7"/>
  <c r="I274" i="7"/>
  <c r="L273" i="7"/>
  <c r="K273" i="7"/>
  <c r="J273" i="7"/>
  <c r="I273" i="7"/>
  <c r="L272" i="7"/>
  <c r="K272" i="7"/>
  <c r="J272" i="7"/>
  <c r="I272" i="7"/>
  <c r="L271" i="7"/>
  <c r="K271" i="7"/>
  <c r="J271" i="7"/>
  <c r="I271" i="7"/>
  <c r="L270" i="7"/>
  <c r="K270" i="7"/>
  <c r="J270" i="7"/>
  <c r="I270" i="7"/>
  <c r="L269" i="7"/>
  <c r="K269" i="7"/>
  <c r="J269" i="7"/>
  <c r="I269" i="7"/>
  <c r="L268" i="7"/>
  <c r="K268" i="7"/>
  <c r="J268" i="7"/>
  <c r="I268" i="7"/>
  <c r="L267" i="7"/>
  <c r="K267" i="7"/>
  <c r="J267" i="7"/>
  <c r="I267" i="7"/>
  <c r="L266" i="7"/>
  <c r="K266" i="7"/>
  <c r="J266" i="7"/>
  <c r="I266" i="7"/>
  <c r="L265" i="7"/>
  <c r="K265" i="7"/>
  <c r="J265" i="7"/>
  <c r="I265" i="7"/>
  <c r="L264" i="7"/>
  <c r="K264" i="7"/>
  <c r="J264" i="7"/>
  <c r="I264" i="7"/>
  <c r="L263" i="7"/>
  <c r="K263" i="7"/>
  <c r="J263" i="7"/>
  <c r="I263" i="7"/>
  <c r="L262" i="7"/>
  <c r="K262" i="7"/>
  <c r="J262" i="7"/>
  <c r="I262" i="7"/>
  <c r="L261" i="7"/>
  <c r="K261" i="7"/>
  <c r="J261" i="7"/>
  <c r="I261" i="7"/>
  <c r="L260" i="7"/>
  <c r="K260" i="7"/>
  <c r="J260" i="7"/>
  <c r="I260" i="7"/>
  <c r="L259" i="7"/>
  <c r="K259" i="7"/>
  <c r="J259" i="7"/>
  <c r="I259" i="7"/>
  <c r="L258" i="7"/>
  <c r="K258" i="7"/>
  <c r="J258" i="7"/>
  <c r="I258" i="7"/>
  <c r="L257" i="7"/>
  <c r="K257" i="7"/>
  <c r="J257" i="7"/>
  <c r="I257" i="7"/>
  <c r="L256" i="7"/>
  <c r="K256" i="7"/>
  <c r="J256" i="7"/>
  <c r="I256" i="7"/>
  <c r="L255" i="7"/>
  <c r="K255" i="7"/>
  <c r="J255" i="7"/>
  <c r="I255" i="7"/>
  <c r="L254" i="7"/>
  <c r="K254" i="7"/>
  <c r="J254" i="7"/>
  <c r="I254" i="7"/>
  <c r="L253" i="7"/>
  <c r="K253" i="7"/>
  <c r="J253" i="7"/>
  <c r="I253" i="7"/>
  <c r="L252" i="7"/>
  <c r="K252" i="7"/>
  <c r="J252" i="7"/>
  <c r="I252" i="7"/>
  <c r="L251" i="7"/>
  <c r="K251" i="7"/>
  <c r="J251" i="7"/>
  <c r="I251" i="7"/>
  <c r="L250" i="7"/>
  <c r="K250" i="7"/>
  <c r="J250" i="7"/>
  <c r="I250" i="7"/>
  <c r="L249" i="7"/>
  <c r="K249" i="7"/>
  <c r="J249" i="7"/>
  <c r="I249" i="7"/>
  <c r="L248" i="7"/>
  <c r="K248" i="7"/>
  <c r="J248" i="7"/>
  <c r="I248" i="7"/>
  <c r="L247" i="7"/>
  <c r="K247" i="7"/>
  <c r="J247" i="7"/>
  <c r="I247" i="7"/>
  <c r="L246" i="7"/>
  <c r="K246" i="7"/>
  <c r="J246" i="7"/>
  <c r="I246" i="7"/>
  <c r="L245" i="7"/>
  <c r="K245" i="7"/>
  <c r="J245" i="7"/>
  <c r="I245" i="7"/>
  <c r="L244" i="7"/>
  <c r="K244" i="7"/>
  <c r="J244" i="7"/>
  <c r="I244" i="7"/>
  <c r="L243" i="7"/>
  <c r="K243" i="7"/>
  <c r="J243" i="7"/>
  <c r="I243" i="7"/>
  <c r="L242" i="7"/>
  <c r="K242" i="7"/>
  <c r="J242" i="7"/>
  <c r="I242" i="7"/>
  <c r="L241" i="7"/>
  <c r="K241" i="7"/>
  <c r="J241" i="7"/>
  <c r="I241" i="7"/>
  <c r="L240" i="7"/>
  <c r="K240" i="7"/>
  <c r="J240" i="7"/>
  <c r="I240" i="7"/>
  <c r="L239" i="7"/>
  <c r="K239" i="7"/>
  <c r="J239" i="7"/>
  <c r="I239" i="7"/>
  <c r="L238" i="7"/>
  <c r="K238" i="7"/>
  <c r="J238" i="7"/>
  <c r="I238" i="7"/>
  <c r="L237" i="7"/>
  <c r="K237" i="7"/>
  <c r="J237" i="7"/>
  <c r="I237" i="7"/>
  <c r="L236" i="7"/>
  <c r="K236" i="7"/>
  <c r="J236" i="7"/>
  <c r="I236" i="7"/>
  <c r="L235" i="7"/>
  <c r="K235" i="7"/>
  <c r="J235" i="7"/>
  <c r="I235" i="7"/>
  <c r="L234" i="7"/>
  <c r="K234" i="7"/>
  <c r="J234" i="7"/>
  <c r="I234" i="7"/>
  <c r="L233" i="7"/>
  <c r="K233" i="7"/>
  <c r="J233" i="7"/>
  <c r="I233" i="7"/>
  <c r="L232" i="7"/>
  <c r="K232" i="7"/>
  <c r="J232" i="7"/>
  <c r="I232" i="7"/>
  <c r="L231" i="7"/>
  <c r="K231" i="7"/>
  <c r="J231" i="7"/>
  <c r="I231" i="7"/>
  <c r="L230" i="7"/>
  <c r="K230" i="7"/>
  <c r="J230" i="7"/>
  <c r="I230" i="7"/>
  <c r="L229" i="7"/>
  <c r="K229" i="7"/>
  <c r="J229" i="7"/>
  <c r="I229" i="7"/>
  <c r="L228" i="7"/>
  <c r="K228" i="7"/>
  <c r="J228" i="7"/>
  <c r="I228" i="7"/>
  <c r="L227" i="7"/>
  <c r="K227" i="7"/>
  <c r="J227" i="7"/>
  <c r="I227" i="7"/>
  <c r="L226" i="7"/>
  <c r="K226" i="7"/>
  <c r="J226" i="7"/>
  <c r="I226" i="7"/>
  <c r="L225" i="7"/>
  <c r="K225" i="7"/>
  <c r="J225" i="7"/>
  <c r="I225" i="7"/>
  <c r="L224" i="7"/>
  <c r="K224" i="7"/>
  <c r="J224" i="7"/>
  <c r="I224" i="7"/>
  <c r="L223" i="7"/>
  <c r="K223" i="7"/>
  <c r="J223" i="7"/>
  <c r="I223" i="7"/>
  <c r="L222" i="7"/>
  <c r="K222" i="7"/>
  <c r="J222" i="7"/>
  <c r="I222" i="7"/>
  <c r="L221" i="7"/>
  <c r="K221" i="7"/>
  <c r="J221" i="7"/>
  <c r="I221" i="7"/>
  <c r="L220" i="7"/>
  <c r="K220" i="7"/>
  <c r="J220" i="7"/>
  <c r="I220" i="7"/>
  <c r="L219" i="7"/>
  <c r="K219" i="7"/>
  <c r="J219" i="7"/>
  <c r="I219" i="7"/>
  <c r="L218" i="7"/>
  <c r="K218" i="7"/>
  <c r="J218" i="7"/>
  <c r="I218" i="7"/>
  <c r="L217" i="7"/>
  <c r="K217" i="7"/>
  <c r="J217" i="7"/>
  <c r="I217" i="7"/>
  <c r="L216" i="7"/>
  <c r="K216" i="7"/>
  <c r="J216" i="7"/>
  <c r="I216" i="7"/>
  <c r="L215" i="7"/>
  <c r="K215" i="7"/>
  <c r="J215" i="7"/>
  <c r="I215" i="7"/>
  <c r="L214" i="7"/>
  <c r="K214" i="7"/>
  <c r="J214" i="7"/>
  <c r="I214" i="7"/>
  <c r="L213" i="7"/>
  <c r="K213" i="7"/>
  <c r="J213" i="7"/>
  <c r="I213" i="7"/>
  <c r="L212" i="7"/>
  <c r="K212" i="7"/>
  <c r="J212" i="7"/>
  <c r="I212" i="7"/>
  <c r="L211" i="7"/>
  <c r="K211" i="7"/>
  <c r="J211" i="7"/>
  <c r="I211" i="7"/>
  <c r="L210" i="7"/>
  <c r="K210" i="7"/>
  <c r="J210" i="7"/>
  <c r="I210" i="7"/>
  <c r="L209" i="7"/>
  <c r="K209" i="7"/>
  <c r="J209" i="7"/>
  <c r="I209" i="7"/>
  <c r="L208" i="7"/>
  <c r="K208" i="7"/>
  <c r="J208" i="7"/>
  <c r="I208" i="7"/>
  <c r="L207" i="7"/>
  <c r="K207" i="7"/>
  <c r="J207" i="7"/>
  <c r="I207" i="7"/>
  <c r="L206" i="7"/>
  <c r="K206" i="7"/>
  <c r="J206" i="7"/>
  <c r="I206" i="7"/>
  <c r="L205" i="7"/>
  <c r="K205" i="7"/>
  <c r="J205" i="7"/>
  <c r="I205" i="7"/>
  <c r="L204" i="7"/>
  <c r="K204" i="7"/>
  <c r="J204" i="7"/>
  <c r="I204" i="7"/>
  <c r="L203" i="7"/>
  <c r="K203" i="7"/>
  <c r="J203" i="7"/>
  <c r="I203" i="7"/>
  <c r="L202" i="7"/>
  <c r="K202" i="7"/>
  <c r="J202" i="7"/>
  <c r="I202" i="7"/>
  <c r="L201" i="7"/>
  <c r="K201" i="7"/>
  <c r="J201" i="7"/>
  <c r="I201" i="7"/>
  <c r="L200" i="7"/>
  <c r="K200" i="7"/>
  <c r="J200" i="7"/>
  <c r="I200" i="7"/>
  <c r="L199" i="7"/>
  <c r="K199" i="7"/>
  <c r="J199" i="7"/>
  <c r="I199" i="7"/>
  <c r="L198" i="7"/>
  <c r="K198" i="7"/>
  <c r="J198" i="7"/>
  <c r="I198" i="7"/>
  <c r="L197" i="7"/>
  <c r="K197" i="7"/>
  <c r="J197" i="7"/>
  <c r="I197" i="7"/>
  <c r="L196" i="7"/>
  <c r="K196" i="7"/>
  <c r="J196" i="7"/>
  <c r="I196" i="7"/>
  <c r="L195" i="7"/>
  <c r="K195" i="7"/>
  <c r="J195" i="7"/>
  <c r="I195" i="7"/>
  <c r="L194" i="7"/>
  <c r="K194" i="7"/>
  <c r="J194" i="7"/>
  <c r="I194" i="7"/>
  <c r="L193" i="7"/>
  <c r="K193" i="7"/>
  <c r="J193" i="7"/>
  <c r="I193" i="7"/>
  <c r="L192" i="7"/>
  <c r="K192" i="7"/>
  <c r="J192" i="7"/>
  <c r="I192" i="7"/>
  <c r="L191" i="7"/>
  <c r="K191" i="7"/>
  <c r="J191" i="7"/>
  <c r="I191" i="7"/>
  <c r="L190" i="7"/>
  <c r="K190" i="7"/>
  <c r="J190" i="7"/>
  <c r="I190" i="7"/>
  <c r="L189" i="7"/>
  <c r="K189" i="7"/>
  <c r="J189" i="7"/>
  <c r="I189" i="7"/>
  <c r="L188" i="7"/>
  <c r="K188" i="7"/>
  <c r="J188" i="7"/>
  <c r="I188" i="7"/>
  <c r="L187" i="7"/>
  <c r="K187" i="7"/>
  <c r="J187" i="7"/>
  <c r="I187" i="7"/>
  <c r="L186" i="7"/>
  <c r="K186" i="7"/>
  <c r="J186" i="7"/>
  <c r="I186" i="7"/>
  <c r="L185" i="7"/>
  <c r="K185" i="7"/>
  <c r="J185" i="7"/>
  <c r="I185" i="7"/>
  <c r="L184" i="7"/>
  <c r="K184" i="7"/>
  <c r="J184" i="7"/>
  <c r="I184" i="7"/>
  <c r="L183" i="7"/>
  <c r="K183" i="7"/>
  <c r="J183" i="7"/>
  <c r="I183" i="7"/>
  <c r="L182" i="7"/>
  <c r="K182" i="7"/>
  <c r="J182" i="7"/>
  <c r="I182" i="7"/>
  <c r="L181" i="7"/>
  <c r="K181" i="7"/>
  <c r="J181" i="7"/>
  <c r="I181" i="7"/>
  <c r="L180" i="7"/>
  <c r="K180" i="7"/>
  <c r="J180" i="7"/>
  <c r="I180" i="7"/>
  <c r="L179" i="7"/>
  <c r="K179" i="7"/>
  <c r="J179" i="7"/>
  <c r="I179" i="7"/>
  <c r="L178" i="7"/>
  <c r="K178" i="7"/>
  <c r="J178" i="7"/>
  <c r="I178" i="7"/>
  <c r="L177" i="7"/>
  <c r="K177" i="7"/>
  <c r="J177" i="7"/>
  <c r="I177" i="7"/>
  <c r="L176" i="7"/>
  <c r="K176" i="7"/>
  <c r="J176" i="7"/>
  <c r="I176" i="7"/>
  <c r="L175" i="7"/>
  <c r="K175" i="7"/>
  <c r="J175" i="7"/>
  <c r="I175" i="7"/>
  <c r="L174" i="7"/>
  <c r="K174" i="7"/>
  <c r="J174" i="7"/>
  <c r="I174" i="7"/>
  <c r="L173" i="7"/>
  <c r="K173" i="7"/>
  <c r="J173" i="7"/>
  <c r="I173" i="7"/>
  <c r="L172" i="7"/>
  <c r="K172" i="7"/>
  <c r="J172" i="7"/>
  <c r="I172" i="7"/>
  <c r="L171" i="7"/>
  <c r="K171" i="7"/>
  <c r="J171" i="7"/>
  <c r="I171" i="7"/>
  <c r="L170" i="7"/>
  <c r="K170" i="7"/>
  <c r="J170" i="7"/>
  <c r="I170" i="7"/>
  <c r="L169" i="7"/>
  <c r="K169" i="7"/>
  <c r="J169" i="7"/>
  <c r="I169" i="7"/>
  <c r="L168" i="7"/>
  <c r="K168" i="7"/>
  <c r="J168" i="7"/>
  <c r="I168" i="7"/>
  <c r="L167" i="7"/>
  <c r="K167" i="7"/>
  <c r="J167" i="7"/>
  <c r="I167" i="7"/>
  <c r="L166" i="7"/>
  <c r="K166" i="7"/>
  <c r="J166" i="7"/>
  <c r="I166" i="7"/>
  <c r="L165" i="7"/>
  <c r="K165" i="7"/>
  <c r="J165" i="7"/>
  <c r="I165" i="7"/>
  <c r="L164" i="7"/>
  <c r="K164" i="7"/>
  <c r="J164" i="7"/>
  <c r="I164" i="7"/>
  <c r="L163" i="7"/>
  <c r="K163" i="7"/>
  <c r="J163" i="7"/>
  <c r="I163" i="7"/>
  <c r="L162" i="7"/>
  <c r="K162" i="7"/>
  <c r="J162" i="7"/>
  <c r="I162" i="7"/>
  <c r="L161" i="7"/>
  <c r="K161" i="7"/>
  <c r="J161" i="7"/>
  <c r="I161" i="7"/>
  <c r="L160" i="7"/>
  <c r="K160" i="7"/>
  <c r="J160" i="7"/>
  <c r="I160" i="7"/>
  <c r="L159" i="7"/>
  <c r="K159" i="7"/>
  <c r="J159" i="7"/>
  <c r="I159" i="7"/>
  <c r="L158" i="7"/>
  <c r="K158" i="7"/>
  <c r="J158" i="7"/>
  <c r="I158" i="7"/>
  <c r="L157" i="7"/>
  <c r="K157" i="7"/>
  <c r="J157" i="7"/>
  <c r="I157" i="7"/>
  <c r="L156" i="7"/>
  <c r="K156" i="7"/>
  <c r="J156" i="7"/>
  <c r="I156" i="7"/>
  <c r="L155" i="7"/>
  <c r="K155" i="7"/>
  <c r="J155" i="7"/>
  <c r="I155" i="7"/>
  <c r="L154" i="7"/>
  <c r="K154" i="7"/>
  <c r="J154" i="7"/>
  <c r="I154" i="7"/>
  <c r="L153" i="7"/>
  <c r="K153" i="7"/>
  <c r="J153" i="7"/>
  <c r="I153" i="7"/>
  <c r="L152" i="7"/>
  <c r="K152" i="7"/>
  <c r="J152" i="7"/>
  <c r="I152" i="7"/>
  <c r="L151" i="7"/>
  <c r="K151" i="7"/>
  <c r="J151" i="7"/>
  <c r="I151" i="7"/>
  <c r="L150" i="7"/>
  <c r="K150" i="7"/>
  <c r="J150" i="7"/>
  <c r="I150" i="7"/>
  <c r="L149" i="7"/>
  <c r="K149" i="7"/>
  <c r="J149" i="7"/>
  <c r="I149" i="7"/>
  <c r="L148" i="7"/>
  <c r="K148" i="7"/>
  <c r="J148" i="7"/>
  <c r="I148" i="7"/>
  <c r="L147" i="7"/>
  <c r="K147" i="7"/>
  <c r="J147" i="7"/>
  <c r="I147" i="7"/>
  <c r="L146" i="7"/>
  <c r="K146" i="7"/>
  <c r="J146" i="7"/>
  <c r="I146" i="7"/>
  <c r="L145" i="7"/>
  <c r="K145" i="7"/>
  <c r="J145" i="7"/>
  <c r="I145" i="7"/>
  <c r="L144" i="7"/>
  <c r="K144" i="7"/>
  <c r="J144" i="7"/>
  <c r="I144" i="7"/>
  <c r="L143" i="7"/>
  <c r="K143" i="7"/>
  <c r="J143" i="7"/>
  <c r="I143" i="7"/>
  <c r="L142" i="7"/>
  <c r="K142" i="7"/>
  <c r="J142" i="7"/>
  <c r="I142" i="7"/>
  <c r="L141" i="7"/>
  <c r="K141" i="7"/>
  <c r="J141" i="7"/>
  <c r="I141" i="7"/>
  <c r="L140" i="7"/>
  <c r="K140" i="7"/>
  <c r="J140" i="7"/>
  <c r="I140" i="7"/>
  <c r="L139" i="7"/>
  <c r="K139" i="7"/>
  <c r="J139" i="7"/>
  <c r="I139" i="7"/>
  <c r="L138" i="7"/>
  <c r="K138" i="7"/>
  <c r="J138" i="7"/>
  <c r="I138" i="7"/>
  <c r="L137" i="7"/>
  <c r="K137" i="7"/>
  <c r="J137" i="7"/>
  <c r="I137" i="7"/>
  <c r="L136" i="7"/>
  <c r="K136" i="7"/>
  <c r="J136" i="7"/>
  <c r="I136" i="7"/>
  <c r="L135" i="7"/>
  <c r="K135" i="7"/>
  <c r="J135" i="7"/>
  <c r="I135" i="7"/>
  <c r="L134" i="7"/>
  <c r="K134" i="7"/>
  <c r="J134" i="7"/>
  <c r="I134" i="7"/>
  <c r="L133" i="7"/>
  <c r="K133" i="7"/>
  <c r="J133" i="7"/>
  <c r="I133" i="7"/>
  <c r="L132" i="7"/>
  <c r="K132" i="7"/>
  <c r="J132" i="7"/>
  <c r="I132" i="7"/>
  <c r="L131" i="7"/>
  <c r="K131" i="7"/>
  <c r="J131" i="7"/>
  <c r="I131" i="7"/>
  <c r="L130" i="7"/>
  <c r="K130" i="7"/>
  <c r="J130" i="7"/>
  <c r="I130" i="7"/>
  <c r="L129" i="7"/>
  <c r="K129" i="7"/>
  <c r="J129" i="7"/>
  <c r="I129" i="7"/>
  <c r="L128" i="7"/>
  <c r="K128" i="7"/>
  <c r="J128" i="7"/>
  <c r="I128" i="7"/>
  <c r="L127" i="7"/>
  <c r="K127" i="7"/>
  <c r="J127" i="7"/>
  <c r="I127" i="7"/>
  <c r="L126" i="7"/>
  <c r="K126" i="7"/>
  <c r="J126" i="7"/>
  <c r="I126" i="7"/>
  <c r="L125" i="7"/>
  <c r="K125" i="7"/>
  <c r="J125" i="7"/>
  <c r="I125" i="7"/>
  <c r="L124" i="7"/>
  <c r="K124" i="7"/>
  <c r="J124" i="7"/>
  <c r="I124" i="7"/>
  <c r="L123" i="7"/>
  <c r="K123" i="7"/>
  <c r="J123" i="7"/>
  <c r="I123" i="7"/>
  <c r="L122" i="7"/>
  <c r="K122" i="7"/>
  <c r="J122" i="7"/>
  <c r="I122" i="7"/>
  <c r="L121" i="7"/>
  <c r="K121" i="7"/>
  <c r="J121" i="7"/>
  <c r="I121" i="7"/>
  <c r="L120" i="7"/>
  <c r="K120" i="7"/>
  <c r="J120" i="7"/>
  <c r="I120" i="7"/>
  <c r="L119" i="7"/>
  <c r="K119" i="7"/>
  <c r="J119" i="7"/>
  <c r="I119" i="7"/>
  <c r="L118" i="7"/>
  <c r="K118" i="7"/>
  <c r="J118" i="7"/>
  <c r="I118" i="7"/>
  <c r="L117" i="7"/>
  <c r="K117" i="7"/>
  <c r="J117" i="7"/>
  <c r="I117" i="7"/>
  <c r="L116" i="7"/>
  <c r="K116" i="7"/>
  <c r="J116" i="7"/>
  <c r="I116" i="7"/>
  <c r="L115" i="7"/>
  <c r="K115" i="7"/>
  <c r="J115" i="7"/>
  <c r="I115" i="7"/>
  <c r="L114" i="7"/>
  <c r="K114" i="7"/>
  <c r="J114" i="7"/>
  <c r="I114" i="7"/>
  <c r="L113" i="7"/>
  <c r="K113" i="7"/>
  <c r="J113" i="7"/>
  <c r="I113" i="7"/>
  <c r="L112" i="7"/>
  <c r="K112" i="7"/>
  <c r="J112" i="7"/>
  <c r="I112" i="7"/>
  <c r="L111" i="7"/>
  <c r="K111" i="7"/>
  <c r="J111" i="7"/>
  <c r="I111" i="7"/>
  <c r="L110" i="7"/>
  <c r="K110" i="7"/>
  <c r="J110" i="7"/>
  <c r="I110" i="7"/>
  <c r="L109" i="7"/>
  <c r="K109" i="7"/>
  <c r="J109" i="7"/>
  <c r="I109" i="7"/>
  <c r="L108" i="7"/>
  <c r="K108" i="7"/>
  <c r="J108" i="7"/>
  <c r="I108" i="7"/>
  <c r="L107" i="7"/>
  <c r="K107" i="7"/>
  <c r="J107" i="7"/>
  <c r="I107" i="7"/>
  <c r="L106" i="7"/>
  <c r="K106" i="7"/>
  <c r="J106" i="7"/>
  <c r="I106" i="7"/>
  <c r="L105" i="7"/>
  <c r="K105" i="7"/>
  <c r="J105" i="7"/>
  <c r="I105" i="7"/>
  <c r="L104" i="7"/>
  <c r="K104" i="7"/>
  <c r="J104" i="7"/>
  <c r="I104" i="7"/>
  <c r="L103" i="7"/>
  <c r="K103" i="7"/>
  <c r="J103" i="7"/>
  <c r="I103" i="7"/>
  <c r="L102" i="7"/>
  <c r="K102" i="7"/>
  <c r="J102" i="7"/>
  <c r="I102" i="7"/>
  <c r="L101" i="7"/>
  <c r="K101" i="7"/>
  <c r="J101" i="7"/>
  <c r="I101" i="7"/>
  <c r="L100" i="7"/>
  <c r="K100" i="7"/>
  <c r="J100" i="7"/>
  <c r="I100" i="7"/>
  <c r="L99" i="7"/>
  <c r="K99" i="7"/>
  <c r="J99" i="7"/>
  <c r="I99" i="7"/>
  <c r="L98" i="7"/>
  <c r="K98" i="7"/>
  <c r="J98" i="7"/>
  <c r="I98" i="7"/>
  <c r="L97" i="7"/>
  <c r="K97" i="7"/>
  <c r="J97" i="7"/>
  <c r="I97" i="7"/>
  <c r="L96" i="7"/>
  <c r="K96" i="7"/>
  <c r="J96" i="7"/>
  <c r="I96" i="7"/>
  <c r="L95" i="7"/>
  <c r="K95" i="7"/>
  <c r="J95" i="7"/>
  <c r="I95" i="7"/>
  <c r="L94" i="7"/>
  <c r="K94" i="7"/>
  <c r="J94" i="7"/>
  <c r="I94" i="7"/>
  <c r="L93" i="7"/>
  <c r="K93" i="7"/>
  <c r="J93" i="7"/>
  <c r="I93" i="7"/>
  <c r="L92" i="7"/>
  <c r="K92" i="7"/>
  <c r="J92" i="7"/>
  <c r="I92" i="7"/>
  <c r="L91" i="7"/>
  <c r="K91" i="7"/>
  <c r="J91" i="7"/>
  <c r="I91" i="7"/>
  <c r="L90" i="7"/>
  <c r="K90" i="7"/>
  <c r="J90" i="7"/>
  <c r="I90" i="7"/>
  <c r="L89" i="7"/>
  <c r="K89" i="7"/>
  <c r="J89" i="7"/>
  <c r="I89" i="7"/>
  <c r="L88" i="7"/>
  <c r="K88" i="7"/>
  <c r="J88" i="7"/>
  <c r="I88" i="7"/>
  <c r="L87" i="7"/>
  <c r="K87" i="7"/>
  <c r="J87" i="7"/>
  <c r="I87" i="7"/>
  <c r="L86" i="7"/>
  <c r="K86" i="7"/>
  <c r="J86" i="7"/>
  <c r="I86" i="7"/>
  <c r="L85" i="7"/>
  <c r="K85" i="7"/>
  <c r="J85" i="7"/>
  <c r="I85" i="7"/>
  <c r="L84" i="7"/>
  <c r="K84" i="7"/>
  <c r="J84" i="7"/>
  <c r="I84" i="7"/>
  <c r="L83" i="7"/>
  <c r="K83" i="7"/>
  <c r="J83" i="7"/>
  <c r="I83" i="7"/>
  <c r="L82" i="7"/>
  <c r="K82" i="7"/>
  <c r="J82" i="7"/>
  <c r="I82" i="7"/>
  <c r="L81" i="7"/>
  <c r="K81" i="7"/>
  <c r="J81" i="7"/>
  <c r="I81" i="7"/>
  <c r="L80" i="7"/>
  <c r="K80" i="7"/>
  <c r="J80" i="7"/>
  <c r="I80" i="7"/>
  <c r="L79" i="7"/>
  <c r="K79" i="7"/>
  <c r="J79" i="7"/>
  <c r="I79" i="7"/>
  <c r="L78" i="7"/>
  <c r="K78" i="7"/>
  <c r="J78" i="7"/>
  <c r="I78" i="7"/>
  <c r="L77" i="7"/>
  <c r="K77" i="7"/>
  <c r="J77" i="7"/>
  <c r="I77" i="7"/>
  <c r="L76" i="7"/>
  <c r="K76" i="7"/>
  <c r="J76" i="7"/>
  <c r="I76" i="7"/>
  <c r="L75" i="7"/>
  <c r="K75" i="7"/>
  <c r="J75" i="7"/>
  <c r="I75" i="7"/>
  <c r="L74" i="7"/>
  <c r="K74" i="7"/>
  <c r="J74" i="7"/>
  <c r="I74" i="7"/>
  <c r="L73" i="7"/>
  <c r="K73" i="7"/>
  <c r="J73" i="7"/>
  <c r="I73" i="7"/>
  <c r="L72" i="7"/>
  <c r="K72" i="7"/>
  <c r="J72" i="7"/>
  <c r="I72" i="7"/>
  <c r="L71" i="7"/>
  <c r="K71" i="7"/>
  <c r="J71" i="7"/>
  <c r="I71" i="7"/>
  <c r="L70" i="7"/>
  <c r="K70" i="7"/>
  <c r="J70" i="7"/>
  <c r="I70" i="7"/>
  <c r="L69" i="7"/>
  <c r="K69" i="7"/>
  <c r="J69" i="7"/>
  <c r="I69" i="7"/>
  <c r="L68" i="7"/>
  <c r="K68" i="7"/>
  <c r="J68" i="7"/>
  <c r="I68" i="7"/>
  <c r="L67" i="7"/>
  <c r="K67" i="7"/>
  <c r="J67" i="7"/>
  <c r="I67" i="7"/>
  <c r="L66" i="7"/>
  <c r="K66" i="7"/>
  <c r="J66" i="7"/>
  <c r="I66" i="7"/>
  <c r="L65" i="7"/>
  <c r="K65" i="7"/>
  <c r="J65" i="7"/>
  <c r="I65" i="7"/>
  <c r="L64" i="7"/>
  <c r="K64" i="7"/>
  <c r="J64" i="7"/>
  <c r="I64" i="7"/>
  <c r="L63" i="7"/>
  <c r="K63" i="7"/>
  <c r="J63" i="7"/>
  <c r="I63" i="7"/>
  <c r="L62" i="7"/>
  <c r="K62" i="7"/>
  <c r="J62" i="7"/>
  <c r="I62" i="7"/>
  <c r="L61" i="7"/>
  <c r="K61" i="7"/>
  <c r="J61" i="7"/>
  <c r="I61" i="7"/>
  <c r="L60" i="7"/>
  <c r="K60" i="7"/>
  <c r="J60" i="7"/>
  <c r="I60" i="7"/>
  <c r="L59" i="7"/>
  <c r="K59" i="7"/>
  <c r="J59" i="7"/>
  <c r="I59" i="7"/>
  <c r="L58" i="7"/>
  <c r="K58" i="7"/>
  <c r="J58" i="7"/>
  <c r="I58" i="7"/>
  <c r="L57" i="7"/>
  <c r="K57" i="7"/>
  <c r="J57" i="7"/>
  <c r="I57" i="7"/>
  <c r="L56" i="7"/>
  <c r="K56" i="7"/>
  <c r="J56" i="7"/>
  <c r="I56" i="7"/>
  <c r="L55" i="7"/>
  <c r="K55" i="7"/>
  <c r="J55" i="7"/>
  <c r="I55" i="7"/>
  <c r="L54" i="7"/>
  <c r="K54" i="7"/>
  <c r="J54" i="7"/>
  <c r="I54" i="7"/>
  <c r="L53" i="7"/>
  <c r="K53" i="7"/>
  <c r="J53" i="7"/>
  <c r="I53" i="7"/>
  <c r="L52" i="7"/>
  <c r="K52" i="7"/>
  <c r="J52" i="7"/>
  <c r="I52" i="7"/>
  <c r="L51" i="7"/>
  <c r="K51" i="7"/>
  <c r="J51" i="7"/>
  <c r="I51" i="7"/>
  <c r="L50" i="7"/>
  <c r="K50" i="7"/>
  <c r="J50" i="7"/>
  <c r="I50" i="7"/>
  <c r="L49" i="7"/>
  <c r="K49" i="7"/>
  <c r="J49" i="7"/>
  <c r="I49" i="7"/>
  <c r="L48" i="7"/>
  <c r="K48" i="7"/>
  <c r="J48" i="7"/>
  <c r="I48" i="7"/>
  <c r="L47" i="7"/>
  <c r="K47" i="7"/>
  <c r="J47" i="7"/>
  <c r="I47" i="7"/>
  <c r="L46" i="7"/>
  <c r="K46" i="7"/>
  <c r="J46" i="7"/>
  <c r="I46" i="7"/>
  <c r="L45" i="7"/>
  <c r="K45" i="7"/>
  <c r="J45" i="7"/>
  <c r="I45" i="7"/>
  <c r="L44" i="7"/>
  <c r="K44" i="7"/>
  <c r="J44" i="7"/>
  <c r="I44" i="7"/>
  <c r="L43" i="7"/>
  <c r="K43" i="7"/>
  <c r="J43" i="7"/>
  <c r="I43" i="7"/>
  <c r="L42" i="7"/>
  <c r="K42" i="7"/>
  <c r="J42" i="7"/>
  <c r="I42" i="7"/>
  <c r="L41" i="7"/>
  <c r="K41" i="7"/>
  <c r="J41" i="7"/>
  <c r="I41" i="7"/>
  <c r="L40" i="7"/>
  <c r="K40" i="7"/>
  <c r="J40" i="7"/>
  <c r="I40" i="7"/>
  <c r="L39" i="7"/>
  <c r="K39" i="7"/>
  <c r="J39" i="7"/>
  <c r="I39" i="7"/>
  <c r="L38" i="7"/>
  <c r="K38" i="7"/>
  <c r="J38" i="7"/>
  <c r="I38" i="7"/>
  <c r="L37" i="7"/>
  <c r="K37" i="7"/>
  <c r="J37" i="7"/>
  <c r="I37" i="7"/>
  <c r="L36" i="7"/>
  <c r="K36" i="7"/>
  <c r="J36" i="7"/>
  <c r="I36" i="7"/>
  <c r="L35" i="7"/>
  <c r="K35" i="7"/>
  <c r="J35" i="7"/>
  <c r="I35" i="7"/>
  <c r="L34" i="7"/>
  <c r="K34" i="7"/>
  <c r="J34" i="7"/>
  <c r="I34" i="7"/>
  <c r="L33" i="7"/>
  <c r="K33" i="7"/>
  <c r="J33" i="7"/>
  <c r="I33" i="7"/>
  <c r="L32" i="7"/>
  <c r="K32" i="7"/>
  <c r="J32" i="7"/>
  <c r="I32" i="7"/>
  <c r="L31" i="7"/>
  <c r="K31" i="7"/>
  <c r="J31" i="7"/>
  <c r="I31" i="7"/>
  <c r="L30" i="7"/>
  <c r="K30" i="7"/>
  <c r="J30" i="7"/>
  <c r="I30" i="7"/>
  <c r="L29" i="7"/>
  <c r="K29" i="7"/>
  <c r="J29" i="7"/>
  <c r="I29" i="7"/>
  <c r="L28" i="7"/>
  <c r="K28" i="7"/>
  <c r="J28" i="7"/>
  <c r="I28" i="7"/>
  <c r="L27" i="7"/>
  <c r="K27" i="7"/>
  <c r="J27" i="7"/>
  <c r="I27" i="7"/>
  <c r="L26" i="7"/>
  <c r="K26" i="7"/>
  <c r="J26" i="7"/>
  <c r="I26" i="7"/>
  <c r="L25" i="7"/>
  <c r="K25" i="7"/>
  <c r="J25" i="7"/>
  <c r="I25" i="7"/>
  <c r="L24" i="7"/>
  <c r="K24" i="7"/>
  <c r="J24" i="7"/>
  <c r="I24" i="7"/>
  <c r="L23" i="7"/>
  <c r="K23" i="7"/>
  <c r="J23" i="7"/>
  <c r="I23" i="7"/>
  <c r="L22" i="7"/>
  <c r="K22" i="7"/>
  <c r="J22" i="7"/>
  <c r="I22" i="7"/>
  <c r="L21" i="7"/>
  <c r="K21" i="7"/>
  <c r="J21" i="7"/>
  <c r="I21" i="7"/>
  <c r="L20" i="7"/>
  <c r="K20" i="7"/>
  <c r="J20" i="7"/>
  <c r="I20" i="7"/>
  <c r="L19" i="7"/>
  <c r="K19" i="7"/>
  <c r="J19" i="7"/>
  <c r="I19" i="7"/>
  <c r="L18" i="7"/>
  <c r="K18" i="7"/>
  <c r="J18" i="7"/>
  <c r="I18" i="7"/>
  <c r="L17" i="7"/>
  <c r="K17" i="7"/>
  <c r="J17" i="7"/>
  <c r="I17" i="7"/>
  <c r="L16" i="7"/>
  <c r="K16" i="7"/>
  <c r="J16" i="7"/>
  <c r="I16" i="7"/>
  <c r="L15" i="7"/>
  <c r="K15" i="7"/>
  <c r="J15" i="7"/>
  <c r="I15" i="7"/>
  <c r="L14" i="7"/>
  <c r="K14" i="7"/>
  <c r="J14" i="7"/>
  <c r="I14" i="7"/>
  <c r="L13" i="7"/>
  <c r="K13" i="7"/>
  <c r="J13" i="7"/>
  <c r="I13" i="7"/>
  <c r="L12" i="7"/>
  <c r="K12" i="7"/>
  <c r="J12" i="7"/>
  <c r="I12" i="7"/>
  <c r="L11" i="7"/>
  <c r="K11" i="7"/>
  <c r="J11" i="7"/>
  <c r="I11" i="7"/>
  <c r="L10" i="7"/>
  <c r="K10" i="7"/>
  <c r="J10" i="7"/>
  <c r="I10" i="7"/>
  <c r="L9" i="7"/>
  <c r="K9" i="7"/>
  <c r="J9" i="7"/>
  <c r="I9" i="7"/>
  <c r="L8" i="7"/>
  <c r="K8" i="7"/>
  <c r="J8" i="7"/>
  <c r="I8" i="7"/>
  <c r="L7" i="7"/>
  <c r="K7" i="7"/>
  <c r="J7" i="7"/>
  <c r="I7" i="7"/>
  <c r="L6" i="7"/>
  <c r="K6" i="7"/>
  <c r="J6" i="7"/>
  <c r="I6" i="7"/>
  <c r="L5" i="7"/>
  <c r="K5" i="7"/>
  <c r="J5" i="7"/>
  <c r="I5" i="7"/>
  <c r="L4" i="7"/>
  <c r="K4" i="7"/>
  <c r="J4" i="7"/>
  <c r="I4" i="7"/>
  <c r="L3" i="7"/>
  <c r="K3" i="7"/>
  <c r="J3" i="7"/>
  <c r="I3" i="7"/>
  <c r="L2" i="7"/>
  <c r="K2" i="7"/>
  <c r="J2" i="7"/>
  <c r="I2" i="7"/>
  <c r="S1127" i="6"/>
  <c r="O1127" i="6"/>
  <c r="J1127" i="6"/>
  <c r="I1127" i="6"/>
  <c r="S1126" i="6"/>
  <c r="O1126" i="6"/>
  <c r="N1126" i="6"/>
  <c r="L1126" i="6"/>
  <c r="J1126" i="6"/>
  <c r="I1126" i="6"/>
  <c r="M1126" i="6" s="1"/>
  <c r="S1125" i="6"/>
  <c r="O1125" i="6"/>
  <c r="J1125" i="6"/>
  <c r="I1125" i="6"/>
  <c r="S1124" i="6"/>
  <c r="O1124" i="6"/>
  <c r="N1124" i="6"/>
  <c r="K1124" i="6"/>
  <c r="J1124" i="6"/>
  <c r="I1124" i="6"/>
  <c r="S1123" i="6"/>
  <c r="O1123" i="6"/>
  <c r="K1123" i="6"/>
  <c r="J1123" i="6"/>
  <c r="I1123" i="6"/>
  <c r="N1123" i="6" s="1"/>
  <c r="S1122" i="6"/>
  <c r="O1122" i="6"/>
  <c r="J1122" i="6"/>
  <c r="I1122" i="6"/>
  <c r="N1122" i="6" s="1"/>
  <c r="S1121" i="6"/>
  <c r="O1121" i="6"/>
  <c r="M1121" i="6"/>
  <c r="J1121" i="6"/>
  <c r="I1121" i="6"/>
  <c r="S1120" i="6"/>
  <c r="O1120" i="6"/>
  <c r="J1120" i="6"/>
  <c r="I1120" i="6"/>
  <c r="S1119" i="6"/>
  <c r="O1119" i="6"/>
  <c r="J1119" i="6"/>
  <c r="I1119" i="6"/>
  <c r="N1119" i="6" s="1"/>
  <c r="S1118" i="6"/>
  <c r="O1118" i="6"/>
  <c r="N1118" i="6"/>
  <c r="L1118" i="6"/>
  <c r="J1118" i="6"/>
  <c r="I1118" i="6"/>
  <c r="M1118" i="6" s="1"/>
  <c r="S1117" i="6"/>
  <c r="O1117" i="6"/>
  <c r="J1117" i="6"/>
  <c r="I1117" i="6"/>
  <c r="S1116" i="6"/>
  <c r="O1116" i="6"/>
  <c r="L1116" i="6"/>
  <c r="K1116" i="6"/>
  <c r="J1116" i="6"/>
  <c r="I1116" i="6"/>
  <c r="M1116" i="6" s="1"/>
  <c r="S1115" i="6"/>
  <c r="O1115" i="6"/>
  <c r="K1115" i="6"/>
  <c r="J1115" i="6"/>
  <c r="I1115" i="6"/>
  <c r="N1115" i="6" s="1"/>
  <c r="S1114" i="6"/>
  <c r="O1114" i="6"/>
  <c r="L1114" i="6"/>
  <c r="J1114" i="6"/>
  <c r="I1114" i="6"/>
  <c r="S1113" i="6"/>
  <c r="O1113" i="6"/>
  <c r="M1113" i="6"/>
  <c r="J1113" i="6"/>
  <c r="I1113" i="6"/>
  <c r="S1112" i="6"/>
  <c r="O1112" i="6"/>
  <c r="N1112" i="6"/>
  <c r="K1112" i="6"/>
  <c r="J1112" i="6"/>
  <c r="I1112" i="6"/>
  <c r="S1111" i="6"/>
  <c r="O1111" i="6"/>
  <c r="J1111" i="6"/>
  <c r="I1111" i="6"/>
  <c r="S1110" i="6"/>
  <c r="O1110" i="6"/>
  <c r="J1110" i="6"/>
  <c r="I1110" i="6"/>
  <c r="K1110" i="6" s="1"/>
  <c r="S1109" i="6"/>
  <c r="O1109" i="6"/>
  <c r="J1109" i="6"/>
  <c r="I1109" i="6"/>
  <c r="S1108" i="6"/>
  <c r="O1108" i="6"/>
  <c r="J1108" i="6"/>
  <c r="I1108" i="6"/>
  <c r="S1107" i="6"/>
  <c r="O1107" i="6"/>
  <c r="N1107" i="6"/>
  <c r="L1107" i="6"/>
  <c r="J1107" i="6"/>
  <c r="I1107" i="6"/>
  <c r="S1106" i="6"/>
  <c r="O1106" i="6"/>
  <c r="N1106" i="6"/>
  <c r="K1106" i="6"/>
  <c r="J1106" i="6"/>
  <c r="I1106" i="6"/>
  <c r="M1106" i="6" s="1"/>
  <c r="S1105" i="6"/>
  <c r="O1105" i="6"/>
  <c r="N1105" i="6"/>
  <c r="J1105" i="6"/>
  <c r="I1105" i="6"/>
  <c r="M1105" i="6" s="1"/>
  <c r="S1104" i="6"/>
  <c r="O1104" i="6"/>
  <c r="M1104" i="6"/>
  <c r="L1104" i="6"/>
  <c r="J1104" i="6"/>
  <c r="I1104" i="6"/>
  <c r="S1103" i="6"/>
  <c r="O1103" i="6"/>
  <c r="N1103" i="6"/>
  <c r="K1103" i="6"/>
  <c r="J1103" i="6"/>
  <c r="I1103" i="6"/>
  <c r="S1102" i="6"/>
  <c r="O1102" i="6"/>
  <c r="J1102" i="6"/>
  <c r="I1102" i="6"/>
  <c r="S1101" i="6"/>
  <c r="O1101" i="6"/>
  <c r="J1101" i="6"/>
  <c r="I1101" i="6"/>
  <c r="S1100" i="6"/>
  <c r="O1100" i="6"/>
  <c r="J1100" i="6"/>
  <c r="I1100" i="6"/>
  <c r="M1100" i="6" s="1"/>
  <c r="S1099" i="6"/>
  <c r="O1099" i="6"/>
  <c r="N1099" i="6"/>
  <c r="L1099" i="6"/>
  <c r="J1099" i="6"/>
  <c r="I1099" i="6"/>
  <c r="S1098" i="6"/>
  <c r="O1098" i="6"/>
  <c r="N1098" i="6"/>
  <c r="K1098" i="6"/>
  <c r="J1098" i="6"/>
  <c r="I1098" i="6"/>
  <c r="M1098" i="6" s="1"/>
  <c r="S1097" i="6"/>
  <c r="O1097" i="6"/>
  <c r="J1097" i="6"/>
  <c r="I1097" i="6"/>
  <c r="S1096" i="6"/>
  <c r="O1096" i="6"/>
  <c r="J1096" i="6"/>
  <c r="I1096" i="6"/>
  <c r="S1095" i="6"/>
  <c r="O1095" i="6"/>
  <c r="N1095" i="6"/>
  <c r="K1095" i="6"/>
  <c r="J1095" i="6"/>
  <c r="I1095" i="6"/>
  <c r="S1094" i="6"/>
  <c r="O1094" i="6"/>
  <c r="J1094" i="6"/>
  <c r="I1094" i="6"/>
  <c r="M1094" i="6" s="1"/>
  <c r="S1093" i="6"/>
  <c r="O1093" i="6"/>
  <c r="J1093" i="6"/>
  <c r="I1093" i="6"/>
  <c r="S1092" i="6"/>
  <c r="O1092" i="6"/>
  <c r="J1092" i="6"/>
  <c r="I1092" i="6"/>
  <c r="S1091" i="6"/>
  <c r="O1091" i="6"/>
  <c r="L1091" i="6"/>
  <c r="K1091" i="6"/>
  <c r="J1091" i="6"/>
  <c r="I1091" i="6"/>
  <c r="M1091" i="6" s="1"/>
  <c r="S1090" i="6"/>
  <c r="O1090" i="6"/>
  <c r="J1090" i="6"/>
  <c r="I1090" i="6"/>
  <c r="S1089" i="6"/>
  <c r="O1089" i="6"/>
  <c r="N1089" i="6"/>
  <c r="M1089" i="6"/>
  <c r="J1089" i="6"/>
  <c r="I1089" i="6"/>
  <c r="S1088" i="6"/>
  <c r="O1088" i="6"/>
  <c r="M1088" i="6"/>
  <c r="J1088" i="6"/>
  <c r="I1088" i="6"/>
  <c r="L1088" i="6" s="1"/>
  <c r="S1087" i="6"/>
  <c r="O1087" i="6"/>
  <c r="L1087" i="6"/>
  <c r="K1087" i="6"/>
  <c r="J1087" i="6"/>
  <c r="I1087" i="6"/>
  <c r="M1087" i="6" s="1"/>
  <c r="S1086" i="6"/>
  <c r="O1086" i="6"/>
  <c r="K1086" i="6"/>
  <c r="J1086" i="6"/>
  <c r="I1086" i="6"/>
  <c r="S1085" i="6"/>
  <c r="O1085" i="6"/>
  <c r="M1085" i="6"/>
  <c r="J1085" i="6"/>
  <c r="I1085" i="6"/>
  <c r="N1085" i="6" s="1"/>
  <c r="S1084" i="6"/>
  <c r="O1084" i="6"/>
  <c r="J1084" i="6"/>
  <c r="I1084" i="6"/>
  <c r="M1084" i="6" s="1"/>
  <c r="S1083" i="6"/>
  <c r="O1083" i="6"/>
  <c r="L1083" i="6"/>
  <c r="K1083" i="6"/>
  <c r="J1083" i="6"/>
  <c r="I1083" i="6"/>
  <c r="M1083" i="6" s="1"/>
  <c r="S1082" i="6"/>
  <c r="O1082" i="6"/>
  <c r="J1082" i="6"/>
  <c r="I1082" i="6"/>
  <c r="S1081" i="6"/>
  <c r="O1081" i="6"/>
  <c r="J1081" i="6"/>
  <c r="I1081" i="6"/>
  <c r="N1081" i="6" s="1"/>
  <c r="S1080" i="6"/>
  <c r="O1080" i="6"/>
  <c r="L1080" i="6"/>
  <c r="K1080" i="6"/>
  <c r="J1080" i="6"/>
  <c r="I1080" i="6"/>
  <c r="N1080" i="6" s="1"/>
  <c r="S1079" i="6"/>
  <c r="O1079" i="6"/>
  <c r="L1079" i="6"/>
  <c r="K1079" i="6"/>
  <c r="J1079" i="6"/>
  <c r="I1079" i="6"/>
  <c r="M1079" i="6" s="1"/>
  <c r="S1078" i="6"/>
  <c r="O1078" i="6"/>
  <c r="N1078" i="6"/>
  <c r="J1078" i="6"/>
  <c r="I1078" i="6"/>
  <c r="M1078" i="6" s="1"/>
  <c r="S1077" i="6"/>
  <c r="O1077" i="6"/>
  <c r="M1077" i="6"/>
  <c r="L1077" i="6"/>
  <c r="J1077" i="6"/>
  <c r="I1077" i="6"/>
  <c r="K1077" i="6" s="1"/>
  <c r="S1076" i="6"/>
  <c r="O1076" i="6"/>
  <c r="J1076" i="6"/>
  <c r="I1076" i="6"/>
  <c r="L1076" i="6" s="1"/>
  <c r="S1075" i="6"/>
  <c r="O1075" i="6"/>
  <c r="J1075" i="6"/>
  <c r="I1075" i="6"/>
  <c r="S1074" i="6"/>
  <c r="O1074" i="6"/>
  <c r="J1074" i="6"/>
  <c r="I1074" i="6"/>
  <c r="N1074" i="6" s="1"/>
  <c r="S1073" i="6"/>
  <c r="O1073" i="6"/>
  <c r="M1073" i="6"/>
  <c r="L1073" i="6"/>
  <c r="J1073" i="6"/>
  <c r="I1073" i="6"/>
  <c r="K1073" i="6" s="1"/>
  <c r="S1072" i="6"/>
  <c r="O1072" i="6"/>
  <c r="J1072" i="6"/>
  <c r="I1072" i="6"/>
  <c r="S1071" i="6"/>
  <c r="O1071" i="6"/>
  <c r="J1071" i="6"/>
  <c r="I1071" i="6"/>
  <c r="S1070" i="6"/>
  <c r="O1070" i="6"/>
  <c r="K1070" i="6"/>
  <c r="J1070" i="6"/>
  <c r="I1070" i="6"/>
  <c r="L1070" i="6" s="1"/>
  <c r="S1069" i="6"/>
  <c r="O1069" i="6"/>
  <c r="M1069" i="6"/>
  <c r="J1069" i="6"/>
  <c r="I1069" i="6"/>
  <c r="N1069" i="6" s="1"/>
  <c r="S1068" i="6"/>
  <c r="O1068" i="6"/>
  <c r="J1068" i="6"/>
  <c r="I1068" i="6"/>
  <c r="S1067" i="6"/>
  <c r="O1067" i="6"/>
  <c r="J1067" i="6"/>
  <c r="I1067" i="6"/>
  <c r="S1066" i="6"/>
  <c r="O1066" i="6"/>
  <c r="M1066" i="6"/>
  <c r="K1066" i="6"/>
  <c r="J1066" i="6"/>
  <c r="I1066" i="6"/>
  <c r="L1066" i="6" s="1"/>
  <c r="S1065" i="6"/>
  <c r="O1065" i="6"/>
  <c r="J1065" i="6"/>
  <c r="I1065" i="6"/>
  <c r="S1064" i="6"/>
  <c r="O1064" i="6"/>
  <c r="N1064" i="6"/>
  <c r="J1064" i="6"/>
  <c r="I1064" i="6"/>
  <c r="S1063" i="6"/>
  <c r="O1063" i="6"/>
  <c r="J1063" i="6"/>
  <c r="I1063" i="6"/>
  <c r="S1062" i="6"/>
  <c r="O1062" i="6"/>
  <c r="L1062" i="6"/>
  <c r="J1062" i="6"/>
  <c r="I1062" i="6"/>
  <c r="S1061" i="6"/>
  <c r="O1061" i="6"/>
  <c r="K1061" i="6"/>
  <c r="J1061" i="6"/>
  <c r="I1061" i="6"/>
  <c r="M1061" i="6" s="1"/>
  <c r="S1060" i="6"/>
  <c r="O1060" i="6"/>
  <c r="M1060" i="6"/>
  <c r="J1060" i="6"/>
  <c r="I1060" i="6"/>
  <c r="N1060" i="6" s="1"/>
  <c r="S1059" i="6"/>
  <c r="O1059" i="6"/>
  <c r="J1059" i="6"/>
  <c r="I1059" i="6"/>
  <c r="S1058" i="6"/>
  <c r="O1058" i="6"/>
  <c r="K1058" i="6"/>
  <c r="J1058" i="6"/>
  <c r="I1058" i="6"/>
  <c r="S1057" i="6"/>
  <c r="O1057" i="6"/>
  <c r="N1057" i="6"/>
  <c r="J1057" i="6"/>
  <c r="I1057" i="6"/>
  <c r="S1056" i="6"/>
  <c r="O1056" i="6"/>
  <c r="J1056" i="6"/>
  <c r="I1056" i="6"/>
  <c r="S1055" i="6"/>
  <c r="O1055" i="6"/>
  <c r="L1055" i="6"/>
  <c r="J1055" i="6"/>
  <c r="I1055" i="6"/>
  <c r="M1055" i="6" s="1"/>
  <c r="S1054" i="6"/>
  <c r="O1054" i="6"/>
  <c r="L1054" i="6"/>
  <c r="J1054" i="6"/>
  <c r="I1054" i="6"/>
  <c r="S1053" i="6"/>
  <c r="O1053" i="6"/>
  <c r="K1053" i="6"/>
  <c r="J1053" i="6"/>
  <c r="I1053" i="6"/>
  <c r="M1053" i="6" s="1"/>
  <c r="S1052" i="6"/>
  <c r="O1052" i="6"/>
  <c r="J1052" i="6"/>
  <c r="I1052" i="6"/>
  <c r="S1051" i="6"/>
  <c r="O1051" i="6"/>
  <c r="J1051" i="6"/>
  <c r="I1051" i="6"/>
  <c r="S1050" i="6"/>
  <c r="O1050" i="6"/>
  <c r="K1050" i="6"/>
  <c r="J1050" i="6"/>
  <c r="I1050" i="6"/>
  <c r="S1049" i="6"/>
  <c r="O1049" i="6"/>
  <c r="J1049" i="6"/>
  <c r="I1049" i="6"/>
  <c r="S1048" i="6"/>
  <c r="O1048" i="6"/>
  <c r="N1048" i="6"/>
  <c r="J1048" i="6"/>
  <c r="I1048" i="6"/>
  <c r="S1047" i="6"/>
  <c r="O1047" i="6"/>
  <c r="J1047" i="6"/>
  <c r="I1047" i="6"/>
  <c r="S1046" i="6"/>
  <c r="O1046" i="6"/>
  <c r="J1046" i="6"/>
  <c r="I1046" i="6"/>
  <c r="S1045" i="6"/>
  <c r="O1045" i="6"/>
  <c r="L1045" i="6"/>
  <c r="K1045" i="6"/>
  <c r="J1045" i="6"/>
  <c r="I1045" i="6"/>
  <c r="M1045" i="6" s="1"/>
  <c r="S1044" i="6"/>
  <c r="O1044" i="6"/>
  <c r="N1044" i="6"/>
  <c r="J1044" i="6"/>
  <c r="I1044" i="6"/>
  <c r="M1044" i="6" s="1"/>
  <c r="S1043" i="6"/>
  <c r="O1043" i="6"/>
  <c r="M1043" i="6"/>
  <c r="L1043" i="6"/>
  <c r="J1043" i="6"/>
  <c r="I1043" i="6"/>
  <c r="S1042" i="6"/>
  <c r="O1042" i="6"/>
  <c r="L1042" i="6"/>
  <c r="J1042" i="6"/>
  <c r="I1042" i="6"/>
  <c r="S1041" i="6"/>
  <c r="O1041" i="6"/>
  <c r="N1041" i="6"/>
  <c r="J1041" i="6"/>
  <c r="I1041" i="6"/>
  <c r="S1040" i="6"/>
  <c r="O1040" i="6"/>
  <c r="J1040" i="6"/>
  <c r="I1040" i="6"/>
  <c r="S1039" i="6"/>
  <c r="O1039" i="6"/>
  <c r="L1039" i="6"/>
  <c r="J1039" i="6"/>
  <c r="I1039" i="6"/>
  <c r="M1039" i="6" s="1"/>
  <c r="S1038" i="6"/>
  <c r="O1038" i="6"/>
  <c r="J1038" i="6"/>
  <c r="I1038" i="6"/>
  <c r="S1037" i="6"/>
  <c r="O1037" i="6"/>
  <c r="L1037" i="6"/>
  <c r="K1037" i="6"/>
  <c r="J1037" i="6"/>
  <c r="I1037" i="6"/>
  <c r="M1037" i="6" s="1"/>
  <c r="S1036" i="6"/>
  <c r="O1036" i="6"/>
  <c r="J1036" i="6"/>
  <c r="I1036" i="6"/>
  <c r="S1035" i="6"/>
  <c r="O1035" i="6"/>
  <c r="J1035" i="6"/>
  <c r="I1035" i="6"/>
  <c r="S1034" i="6"/>
  <c r="O1034" i="6"/>
  <c r="L1034" i="6"/>
  <c r="J1034" i="6"/>
  <c r="I1034" i="6"/>
  <c r="S1033" i="6"/>
  <c r="O1033" i="6"/>
  <c r="K1033" i="6"/>
  <c r="J1033" i="6"/>
  <c r="I1033" i="6"/>
  <c r="M1033" i="6" s="1"/>
  <c r="S1032" i="6"/>
  <c r="O1032" i="6"/>
  <c r="J1032" i="6"/>
  <c r="I1032" i="6"/>
  <c r="N1032" i="6" s="1"/>
  <c r="S1031" i="6"/>
  <c r="O1031" i="6"/>
  <c r="J1031" i="6"/>
  <c r="I1031" i="6"/>
  <c r="S1030" i="6"/>
  <c r="O1030" i="6"/>
  <c r="L1030" i="6"/>
  <c r="K1030" i="6"/>
  <c r="J1030" i="6"/>
  <c r="I1030" i="6"/>
  <c r="N1030" i="6" s="1"/>
  <c r="S1029" i="6"/>
  <c r="O1029" i="6"/>
  <c r="K1029" i="6"/>
  <c r="J1029" i="6"/>
  <c r="I1029" i="6"/>
  <c r="N1029" i="6" s="1"/>
  <c r="S1028" i="6"/>
  <c r="O1028" i="6"/>
  <c r="J1028" i="6"/>
  <c r="I1028" i="6"/>
  <c r="S1027" i="6"/>
  <c r="O1027" i="6"/>
  <c r="J1027" i="6"/>
  <c r="I1027" i="6"/>
  <c r="S1026" i="6"/>
  <c r="O1026" i="6"/>
  <c r="L1026" i="6"/>
  <c r="K1026" i="6"/>
  <c r="J1026" i="6"/>
  <c r="I1026" i="6"/>
  <c r="N1026" i="6" s="1"/>
  <c r="S1025" i="6"/>
  <c r="O1025" i="6"/>
  <c r="L1025" i="6"/>
  <c r="K1025" i="6"/>
  <c r="J1025" i="6"/>
  <c r="I1025" i="6"/>
  <c r="M1025" i="6" s="1"/>
  <c r="S1024" i="6"/>
  <c r="O1024" i="6"/>
  <c r="M1024" i="6"/>
  <c r="J1024" i="6"/>
  <c r="I1024" i="6"/>
  <c r="N1024" i="6" s="1"/>
  <c r="S1023" i="6"/>
  <c r="O1023" i="6"/>
  <c r="J1023" i="6"/>
  <c r="I1023" i="6"/>
  <c r="S1022" i="6"/>
  <c r="O1022" i="6"/>
  <c r="L1022" i="6"/>
  <c r="K1022" i="6"/>
  <c r="J1022" i="6"/>
  <c r="I1022" i="6"/>
  <c r="N1022" i="6" s="1"/>
  <c r="S1021" i="6"/>
  <c r="O1021" i="6"/>
  <c r="K1021" i="6"/>
  <c r="J1021" i="6"/>
  <c r="I1021" i="6"/>
  <c r="N1021" i="6" s="1"/>
  <c r="S1020" i="6"/>
  <c r="O1020" i="6"/>
  <c r="J1020" i="6"/>
  <c r="I1020" i="6"/>
  <c r="S1019" i="6"/>
  <c r="O1019" i="6"/>
  <c r="J1019" i="6"/>
  <c r="I1019" i="6"/>
  <c r="S1018" i="6"/>
  <c r="O1018" i="6"/>
  <c r="L1018" i="6"/>
  <c r="J1018" i="6"/>
  <c r="I1018" i="6"/>
  <c r="S1017" i="6"/>
  <c r="O1017" i="6"/>
  <c r="L1017" i="6"/>
  <c r="K1017" i="6"/>
  <c r="J1017" i="6"/>
  <c r="I1017" i="6"/>
  <c r="M1017" i="6" s="1"/>
  <c r="S1016" i="6"/>
  <c r="O1016" i="6"/>
  <c r="N1016" i="6"/>
  <c r="J1016" i="6"/>
  <c r="I1016" i="6"/>
  <c r="S1015" i="6"/>
  <c r="O1015" i="6"/>
  <c r="J1015" i="6"/>
  <c r="I1015" i="6"/>
  <c r="S1014" i="6"/>
  <c r="O1014" i="6"/>
  <c r="J1014" i="6"/>
  <c r="I1014" i="6"/>
  <c r="S1013" i="6"/>
  <c r="O1013" i="6"/>
  <c r="L1013" i="6"/>
  <c r="J1013" i="6"/>
  <c r="I1013" i="6"/>
  <c r="N1013" i="6" s="1"/>
  <c r="S1012" i="6"/>
  <c r="O1012" i="6"/>
  <c r="N1012" i="6"/>
  <c r="M1012" i="6"/>
  <c r="J1012" i="6"/>
  <c r="I1012" i="6"/>
  <c r="S1011" i="6"/>
  <c r="O1011" i="6"/>
  <c r="J1011" i="6"/>
  <c r="I1011" i="6"/>
  <c r="S1010" i="6"/>
  <c r="O1010" i="6"/>
  <c r="L1010" i="6"/>
  <c r="K1010" i="6"/>
  <c r="J1010" i="6"/>
  <c r="I1010" i="6"/>
  <c r="N1010" i="6" s="1"/>
  <c r="S1009" i="6"/>
  <c r="O1009" i="6"/>
  <c r="J1009" i="6"/>
  <c r="I1009" i="6"/>
  <c r="S1008" i="6"/>
  <c r="O1008" i="6"/>
  <c r="M1008" i="6"/>
  <c r="J1008" i="6"/>
  <c r="I1008" i="6"/>
  <c r="N1008" i="6" s="1"/>
  <c r="S1007" i="6"/>
  <c r="O1007" i="6"/>
  <c r="L1007" i="6"/>
  <c r="J1007" i="6"/>
  <c r="I1007" i="6"/>
  <c r="M1007" i="6" s="1"/>
  <c r="S1006" i="6"/>
  <c r="O1006" i="6"/>
  <c r="J1006" i="6"/>
  <c r="I1006" i="6"/>
  <c r="S1005" i="6"/>
  <c r="O1005" i="6"/>
  <c r="L1005" i="6"/>
  <c r="J1005" i="6"/>
  <c r="I1005" i="6"/>
  <c r="N1005" i="6" s="1"/>
  <c r="S1004" i="6"/>
  <c r="O1004" i="6"/>
  <c r="J1004" i="6"/>
  <c r="I1004" i="6"/>
  <c r="S1003" i="6"/>
  <c r="O1003" i="6"/>
  <c r="J1003" i="6"/>
  <c r="I1003" i="6"/>
  <c r="S1002" i="6"/>
  <c r="O1002" i="6"/>
  <c r="L1002" i="6"/>
  <c r="K1002" i="6"/>
  <c r="J1002" i="6"/>
  <c r="I1002" i="6"/>
  <c r="N1002" i="6" s="1"/>
  <c r="S1001" i="6"/>
  <c r="O1001" i="6"/>
  <c r="K1001" i="6"/>
  <c r="J1001" i="6"/>
  <c r="I1001" i="6"/>
  <c r="N1001" i="6" s="1"/>
  <c r="S1000" i="6"/>
  <c r="O1000" i="6"/>
  <c r="N1000" i="6"/>
  <c r="J1000" i="6"/>
  <c r="I1000" i="6"/>
  <c r="S999" i="6"/>
  <c r="O999" i="6"/>
  <c r="J999" i="6"/>
  <c r="I999" i="6"/>
  <c r="S998" i="6"/>
  <c r="O998" i="6"/>
  <c r="J998" i="6"/>
  <c r="I998" i="6"/>
  <c r="S997" i="6"/>
  <c r="O997" i="6"/>
  <c r="L997" i="6"/>
  <c r="K997" i="6"/>
  <c r="J997" i="6"/>
  <c r="I997" i="6"/>
  <c r="M997" i="6" s="1"/>
  <c r="S996" i="6"/>
  <c r="O996" i="6"/>
  <c r="J996" i="6"/>
  <c r="I996" i="6"/>
  <c r="S995" i="6"/>
  <c r="O995" i="6"/>
  <c r="L995" i="6"/>
  <c r="J995" i="6"/>
  <c r="I995" i="6"/>
  <c r="M995" i="6" s="1"/>
  <c r="S994" i="6"/>
  <c r="O994" i="6"/>
  <c r="K994" i="6"/>
  <c r="J994" i="6"/>
  <c r="I994" i="6"/>
  <c r="S993" i="6"/>
  <c r="O993" i="6"/>
  <c r="J993" i="6"/>
  <c r="I993" i="6"/>
  <c r="S992" i="6"/>
  <c r="O992" i="6"/>
  <c r="M992" i="6"/>
  <c r="J992" i="6"/>
  <c r="I992" i="6"/>
  <c r="N992" i="6" s="1"/>
  <c r="S991" i="6"/>
  <c r="O991" i="6"/>
  <c r="L991" i="6"/>
  <c r="J991" i="6"/>
  <c r="I991" i="6"/>
  <c r="M991" i="6" s="1"/>
  <c r="S990" i="6"/>
  <c r="O990" i="6"/>
  <c r="J990" i="6"/>
  <c r="I990" i="6"/>
  <c r="S989" i="6"/>
  <c r="O989" i="6"/>
  <c r="L989" i="6"/>
  <c r="K989" i="6"/>
  <c r="J989" i="6"/>
  <c r="I989" i="6"/>
  <c r="M989" i="6" s="1"/>
  <c r="S988" i="6"/>
  <c r="O988" i="6"/>
  <c r="J988" i="6"/>
  <c r="I988" i="6"/>
  <c r="S987" i="6"/>
  <c r="O987" i="6"/>
  <c r="J987" i="6"/>
  <c r="I987" i="6"/>
  <c r="S986" i="6"/>
  <c r="O986" i="6"/>
  <c r="J986" i="6"/>
  <c r="I986" i="6"/>
  <c r="S985" i="6"/>
  <c r="O985" i="6"/>
  <c r="L985" i="6"/>
  <c r="J985" i="6"/>
  <c r="I985" i="6"/>
  <c r="N985" i="6" s="1"/>
  <c r="S984" i="6"/>
  <c r="O984" i="6"/>
  <c r="N984" i="6"/>
  <c r="J984" i="6"/>
  <c r="I984" i="6"/>
  <c r="S983" i="6"/>
  <c r="O983" i="6"/>
  <c r="J983" i="6"/>
  <c r="I983" i="6"/>
  <c r="S982" i="6"/>
  <c r="O982" i="6"/>
  <c r="J982" i="6"/>
  <c r="I982" i="6"/>
  <c r="S981" i="6"/>
  <c r="O981" i="6"/>
  <c r="L981" i="6"/>
  <c r="K981" i="6"/>
  <c r="J981" i="6"/>
  <c r="I981" i="6"/>
  <c r="M981" i="6" s="1"/>
  <c r="S980" i="6"/>
  <c r="O980" i="6"/>
  <c r="J980" i="6"/>
  <c r="I980" i="6"/>
  <c r="S979" i="6"/>
  <c r="O979" i="6"/>
  <c r="M979" i="6"/>
  <c r="L979" i="6"/>
  <c r="J979" i="6"/>
  <c r="I979" i="6"/>
  <c r="S978" i="6"/>
  <c r="O978" i="6"/>
  <c r="L978" i="6"/>
  <c r="J978" i="6"/>
  <c r="I978" i="6"/>
  <c r="S977" i="6"/>
  <c r="O977" i="6"/>
  <c r="K977" i="6"/>
  <c r="J977" i="6"/>
  <c r="I977" i="6"/>
  <c r="M977" i="6" s="1"/>
  <c r="S976" i="6"/>
  <c r="O976" i="6"/>
  <c r="K976" i="6"/>
  <c r="J976" i="6"/>
  <c r="I976" i="6"/>
  <c r="S975" i="6"/>
  <c r="O975" i="6"/>
  <c r="J975" i="6"/>
  <c r="I975" i="6"/>
  <c r="S974" i="6"/>
  <c r="O974" i="6"/>
  <c r="K974" i="6"/>
  <c r="J974" i="6"/>
  <c r="I974" i="6"/>
  <c r="N974" i="6" s="1"/>
  <c r="S973" i="6"/>
  <c r="O973" i="6"/>
  <c r="N973" i="6"/>
  <c r="K973" i="6"/>
  <c r="J973" i="6"/>
  <c r="I973" i="6"/>
  <c r="S972" i="6"/>
  <c r="O972" i="6"/>
  <c r="J972" i="6"/>
  <c r="I972" i="6"/>
  <c r="M972" i="6" s="1"/>
  <c r="S971" i="6"/>
  <c r="O971" i="6"/>
  <c r="J971" i="6"/>
  <c r="I971" i="6"/>
  <c r="S970" i="6"/>
  <c r="O970" i="6"/>
  <c r="L970" i="6"/>
  <c r="K970" i="6"/>
  <c r="J970" i="6"/>
  <c r="I970" i="6"/>
  <c r="N970" i="6" s="1"/>
  <c r="S969" i="6"/>
  <c r="O969" i="6"/>
  <c r="J969" i="6"/>
  <c r="I969" i="6"/>
  <c r="S968" i="6"/>
  <c r="O968" i="6"/>
  <c r="N968" i="6"/>
  <c r="J968" i="6"/>
  <c r="I968" i="6"/>
  <c r="S967" i="6"/>
  <c r="O967" i="6"/>
  <c r="M967" i="6"/>
  <c r="J967" i="6"/>
  <c r="I967" i="6"/>
  <c r="S966" i="6"/>
  <c r="O966" i="6"/>
  <c r="J966" i="6"/>
  <c r="I966" i="6"/>
  <c r="S965" i="6"/>
  <c r="O965" i="6"/>
  <c r="N965" i="6"/>
  <c r="J965" i="6"/>
  <c r="I965" i="6"/>
  <c r="S964" i="6"/>
  <c r="O964" i="6"/>
  <c r="J964" i="6"/>
  <c r="I964" i="6"/>
  <c r="S963" i="6"/>
  <c r="O963" i="6"/>
  <c r="M963" i="6"/>
  <c r="J963" i="6"/>
  <c r="I963" i="6"/>
  <c r="N963" i="6" s="1"/>
  <c r="S962" i="6"/>
  <c r="O962" i="6"/>
  <c r="M962" i="6"/>
  <c r="J962" i="6"/>
  <c r="I962" i="6"/>
  <c r="S961" i="6"/>
  <c r="O961" i="6"/>
  <c r="J961" i="6"/>
  <c r="I961" i="6"/>
  <c r="S960" i="6"/>
  <c r="O960" i="6"/>
  <c r="M960" i="6"/>
  <c r="K960" i="6"/>
  <c r="J960" i="6"/>
  <c r="I960" i="6"/>
  <c r="L960" i="6" s="1"/>
  <c r="S959" i="6"/>
  <c r="O959" i="6"/>
  <c r="J959" i="6"/>
  <c r="I959" i="6"/>
  <c r="S958" i="6"/>
  <c r="O958" i="6"/>
  <c r="J958" i="6"/>
  <c r="I958" i="6"/>
  <c r="S957" i="6"/>
  <c r="O957" i="6"/>
  <c r="L957" i="6"/>
  <c r="K957" i="6"/>
  <c r="J957" i="6"/>
  <c r="I957" i="6"/>
  <c r="M957" i="6" s="1"/>
  <c r="S956" i="6"/>
  <c r="O956" i="6"/>
  <c r="M956" i="6"/>
  <c r="J956" i="6"/>
  <c r="I956" i="6"/>
  <c r="N956" i="6" s="1"/>
  <c r="S955" i="6"/>
  <c r="O955" i="6"/>
  <c r="L955" i="6"/>
  <c r="J955" i="6"/>
  <c r="I955" i="6"/>
  <c r="K955" i="6" s="1"/>
  <c r="S954" i="6"/>
  <c r="O954" i="6"/>
  <c r="J954" i="6"/>
  <c r="I954" i="6"/>
  <c r="S953" i="6"/>
  <c r="O953" i="6"/>
  <c r="J953" i="6"/>
  <c r="I953" i="6"/>
  <c r="N953" i="6" s="1"/>
  <c r="S952" i="6"/>
  <c r="O952" i="6"/>
  <c r="J952" i="6"/>
  <c r="I952" i="6"/>
  <c r="N952" i="6" s="1"/>
  <c r="S951" i="6"/>
  <c r="O951" i="6"/>
  <c r="M951" i="6"/>
  <c r="L951" i="6"/>
  <c r="J951" i="6"/>
  <c r="I951" i="6"/>
  <c r="K951" i="6" s="1"/>
  <c r="S950" i="6"/>
  <c r="O950" i="6"/>
  <c r="J950" i="6"/>
  <c r="I950" i="6"/>
  <c r="S949" i="6"/>
  <c r="O949" i="6"/>
  <c r="J949" i="6"/>
  <c r="I949" i="6"/>
  <c r="S948" i="6"/>
  <c r="O948" i="6"/>
  <c r="K948" i="6"/>
  <c r="J948" i="6"/>
  <c r="I948" i="6"/>
  <c r="L948" i="6" s="1"/>
  <c r="S947" i="6"/>
  <c r="O947" i="6"/>
  <c r="M947" i="6"/>
  <c r="J947" i="6"/>
  <c r="I947" i="6"/>
  <c r="N947" i="6" s="1"/>
  <c r="S946" i="6"/>
  <c r="O946" i="6"/>
  <c r="J946" i="6"/>
  <c r="I946" i="6"/>
  <c r="M946" i="6" s="1"/>
  <c r="S945" i="6"/>
  <c r="O945" i="6"/>
  <c r="N945" i="6"/>
  <c r="J945" i="6"/>
  <c r="I945" i="6"/>
  <c r="S944" i="6"/>
  <c r="O944" i="6"/>
  <c r="K944" i="6"/>
  <c r="J944" i="6"/>
  <c r="I944" i="6"/>
  <c r="S943" i="6"/>
  <c r="O943" i="6"/>
  <c r="J943" i="6"/>
  <c r="I943" i="6"/>
  <c r="S942" i="6"/>
  <c r="O942" i="6"/>
  <c r="K942" i="6"/>
  <c r="J942" i="6"/>
  <c r="I942" i="6"/>
  <c r="N942" i="6" s="1"/>
  <c r="S941" i="6"/>
  <c r="O941" i="6"/>
  <c r="J941" i="6"/>
  <c r="I941" i="6"/>
  <c r="S940" i="6"/>
  <c r="O940" i="6"/>
  <c r="N940" i="6"/>
  <c r="M940" i="6"/>
  <c r="J940" i="6"/>
  <c r="I940" i="6"/>
  <c r="S939" i="6"/>
  <c r="O939" i="6"/>
  <c r="J939" i="6"/>
  <c r="I939" i="6"/>
  <c r="S938" i="6"/>
  <c r="O938" i="6"/>
  <c r="L938" i="6"/>
  <c r="K938" i="6"/>
  <c r="J938" i="6"/>
  <c r="I938" i="6"/>
  <c r="N938" i="6" s="1"/>
  <c r="S937" i="6"/>
  <c r="O937" i="6"/>
  <c r="N937" i="6"/>
  <c r="K937" i="6"/>
  <c r="J937" i="6"/>
  <c r="I937" i="6"/>
  <c r="S936" i="6"/>
  <c r="O936" i="6"/>
  <c r="N936" i="6"/>
  <c r="J936" i="6"/>
  <c r="I936" i="6"/>
  <c r="S935" i="6"/>
  <c r="O935" i="6"/>
  <c r="J935" i="6"/>
  <c r="I935" i="6"/>
  <c r="S934" i="6"/>
  <c r="O934" i="6"/>
  <c r="J934" i="6"/>
  <c r="I934" i="6"/>
  <c r="S933" i="6"/>
  <c r="O933" i="6"/>
  <c r="L933" i="6"/>
  <c r="J933" i="6"/>
  <c r="I933" i="6"/>
  <c r="N933" i="6" s="1"/>
  <c r="S932" i="6"/>
  <c r="O932" i="6"/>
  <c r="J932" i="6"/>
  <c r="I932" i="6"/>
  <c r="S931" i="6"/>
  <c r="O931" i="6"/>
  <c r="J931" i="6"/>
  <c r="I931" i="6"/>
  <c r="K931" i="6" s="1"/>
  <c r="S930" i="6"/>
  <c r="O930" i="6"/>
  <c r="J930" i="6"/>
  <c r="I930" i="6"/>
  <c r="S929" i="6"/>
  <c r="O929" i="6"/>
  <c r="N929" i="6"/>
  <c r="L929" i="6"/>
  <c r="J929" i="6"/>
  <c r="I929" i="6"/>
  <c r="S928" i="6"/>
  <c r="O928" i="6"/>
  <c r="M928" i="6"/>
  <c r="K928" i="6"/>
  <c r="J928" i="6"/>
  <c r="I928" i="6"/>
  <c r="L928" i="6" s="1"/>
  <c r="S927" i="6"/>
  <c r="O927" i="6"/>
  <c r="J927" i="6"/>
  <c r="I927" i="6"/>
  <c r="S926" i="6"/>
  <c r="O926" i="6"/>
  <c r="M926" i="6"/>
  <c r="J926" i="6"/>
  <c r="I926" i="6"/>
  <c r="K926" i="6" s="1"/>
  <c r="S925" i="6"/>
  <c r="O925" i="6"/>
  <c r="J925" i="6"/>
  <c r="I925" i="6"/>
  <c r="S924" i="6"/>
  <c r="O924" i="6"/>
  <c r="J924" i="6"/>
  <c r="I924" i="6"/>
  <c r="L924" i="6" s="1"/>
  <c r="S923" i="6"/>
  <c r="O923" i="6"/>
  <c r="J923" i="6"/>
  <c r="I923" i="6"/>
  <c r="S922" i="6"/>
  <c r="O922" i="6"/>
  <c r="K922" i="6"/>
  <c r="J922" i="6"/>
  <c r="I922" i="6"/>
  <c r="S921" i="6"/>
  <c r="O921" i="6"/>
  <c r="N921" i="6"/>
  <c r="J921" i="6"/>
  <c r="I921" i="6"/>
  <c r="S920" i="6"/>
  <c r="O920" i="6"/>
  <c r="J920" i="6"/>
  <c r="I920" i="6"/>
  <c r="S919" i="6"/>
  <c r="O919" i="6"/>
  <c r="M919" i="6"/>
  <c r="L919" i="6"/>
  <c r="J919" i="6"/>
  <c r="I919" i="6"/>
  <c r="K919" i="6" s="1"/>
  <c r="S918" i="6"/>
  <c r="O918" i="6"/>
  <c r="K918" i="6"/>
  <c r="J918" i="6"/>
  <c r="I918" i="6"/>
  <c r="N918" i="6" s="1"/>
  <c r="S917" i="6"/>
  <c r="O917" i="6"/>
  <c r="L917" i="6"/>
  <c r="K917" i="6"/>
  <c r="J917" i="6"/>
  <c r="I917" i="6"/>
  <c r="M917" i="6" s="1"/>
  <c r="S916" i="6"/>
  <c r="O916" i="6"/>
  <c r="J916" i="6"/>
  <c r="I916" i="6"/>
  <c r="S915" i="6"/>
  <c r="O915" i="6"/>
  <c r="M915" i="6"/>
  <c r="J915" i="6"/>
  <c r="I915" i="6"/>
  <c r="S914" i="6"/>
  <c r="O914" i="6"/>
  <c r="M914" i="6"/>
  <c r="K914" i="6"/>
  <c r="J914" i="6"/>
  <c r="I914" i="6"/>
  <c r="L914" i="6" s="1"/>
  <c r="S913" i="6"/>
  <c r="O913" i="6"/>
  <c r="J913" i="6"/>
  <c r="I913" i="6"/>
  <c r="K913" i="6" s="1"/>
  <c r="S912" i="6"/>
  <c r="O912" i="6"/>
  <c r="J912" i="6"/>
  <c r="I912" i="6"/>
  <c r="S911" i="6"/>
  <c r="O911" i="6"/>
  <c r="L911" i="6"/>
  <c r="K911" i="6"/>
  <c r="J911" i="6"/>
  <c r="I911" i="6"/>
  <c r="M911" i="6" s="1"/>
  <c r="S910" i="6"/>
  <c r="O910" i="6"/>
  <c r="J910" i="6"/>
  <c r="I910" i="6"/>
  <c r="S909" i="6"/>
  <c r="O909" i="6"/>
  <c r="J909" i="6"/>
  <c r="I909" i="6"/>
  <c r="S908" i="6"/>
  <c r="O908" i="6"/>
  <c r="J908" i="6"/>
  <c r="I908" i="6"/>
  <c r="S907" i="6"/>
  <c r="O907" i="6"/>
  <c r="N907" i="6"/>
  <c r="L907" i="6"/>
  <c r="J907" i="6"/>
  <c r="I907" i="6"/>
  <c r="S906" i="6"/>
  <c r="O906" i="6"/>
  <c r="J906" i="6"/>
  <c r="I906" i="6"/>
  <c r="S905" i="6"/>
  <c r="O905" i="6"/>
  <c r="L905" i="6"/>
  <c r="J905" i="6"/>
  <c r="I905" i="6"/>
  <c r="K905" i="6" s="1"/>
  <c r="S904" i="6"/>
  <c r="O904" i="6"/>
  <c r="J904" i="6"/>
  <c r="I904" i="6"/>
  <c r="M904" i="6" s="1"/>
  <c r="S903" i="6"/>
  <c r="O903" i="6"/>
  <c r="J903" i="6"/>
  <c r="I903" i="6"/>
  <c r="S902" i="6"/>
  <c r="O902" i="6"/>
  <c r="J902" i="6"/>
  <c r="I902" i="6"/>
  <c r="S901" i="6"/>
  <c r="O901" i="6"/>
  <c r="J901" i="6"/>
  <c r="I901" i="6"/>
  <c r="S900" i="6"/>
  <c r="O900" i="6"/>
  <c r="L900" i="6"/>
  <c r="J900" i="6"/>
  <c r="I900" i="6"/>
  <c r="N900" i="6" s="1"/>
  <c r="S899" i="6"/>
  <c r="O899" i="6"/>
  <c r="N899" i="6"/>
  <c r="J899" i="6"/>
  <c r="I899" i="6"/>
  <c r="S898" i="6"/>
  <c r="O898" i="6"/>
  <c r="M898" i="6"/>
  <c r="K898" i="6"/>
  <c r="J898" i="6"/>
  <c r="I898" i="6"/>
  <c r="L898" i="6" s="1"/>
  <c r="S897" i="6"/>
  <c r="O897" i="6"/>
  <c r="M897" i="6"/>
  <c r="J897" i="6"/>
  <c r="I897" i="6"/>
  <c r="K897" i="6" s="1"/>
  <c r="S896" i="6"/>
  <c r="O896" i="6"/>
  <c r="J896" i="6"/>
  <c r="I896" i="6"/>
  <c r="S895" i="6"/>
  <c r="O895" i="6"/>
  <c r="K895" i="6"/>
  <c r="J895" i="6"/>
  <c r="I895" i="6"/>
  <c r="M895" i="6" s="1"/>
  <c r="S894" i="6"/>
  <c r="O894" i="6"/>
  <c r="J894" i="6"/>
  <c r="I894" i="6"/>
  <c r="S893" i="6"/>
  <c r="O893" i="6"/>
  <c r="J893" i="6"/>
  <c r="I893" i="6"/>
  <c r="S892" i="6"/>
  <c r="O892" i="6"/>
  <c r="L892" i="6"/>
  <c r="K892" i="6"/>
  <c r="J892" i="6"/>
  <c r="I892" i="6"/>
  <c r="N892" i="6" s="1"/>
  <c r="S891" i="6"/>
  <c r="O891" i="6"/>
  <c r="K891" i="6"/>
  <c r="J891" i="6"/>
  <c r="I891" i="6"/>
  <c r="N891" i="6" s="1"/>
  <c r="S890" i="6"/>
  <c r="O890" i="6"/>
  <c r="M890" i="6"/>
  <c r="J890" i="6"/>
  <c r="I890" i="6"/>
  <c r="L890" i="6" s="1"/>
  <c r="S889" i="6"/>
  <c r="O889" i="6"/>
  <c r="J889" i="6"/>
  <c r="I889" i="6"/>
  <c r="S888" i="6"/>
  <c r="O888" i="6"/>
  <c r="J888" i="6"/>
  <c r="I888" i="6"/>
  <c r="M888" i="6" s="1"/>
  <c r="S887" i="6"/>
  <c r="O887" i="6"/>
  <c r="N887" i="6"/>
  <c r="L887" i="6"/>
  <c r="J887" i="6"/>
  <c r="I887" i="6"/>
  <c r="S886" i="6"/>
  <c r="O886" i="6"/>
  <c r="J886" i="6"/>
  <c r="I886" i="6"/>
  <c r="S885" i="6"/>
  <c r="O885" i="6"/>
  <c r="J885" i="6"/>
  <c r="I885" i="6"/>
  <c r="S884" i="6"/>
  <c r="O884" i="6"/>
  <c r="L884" i="6"/>
  <c r="J884" i="6"/>
  <c r="I884" i="6"/>
  <c r="N884" i="6" s="1"/>
  <c r="S883" i="6"/>
  <c r="O883" i="6"/>
  <c r="N883" i="6"/>
  <c r="K883" i="6"/>
  <c r="J883" i="6"/>
  <c r="I883" i="6"/>
  <c r="S882" i="6"/>
  <c r="O882" i="6"/>
  <c r="J882" i="6"/>
  <c r="I882" i="6"/>
  <c r="S881" i="6"/>
  <c r="O881" i="6"/>
  <c r="J881" i="6"/>
  <c r="I881" i="6"/>
  <c r="S880" i="6"/>
  <c r="O880" i="6"/>
  <c r="K880" i="6"/>
  <c r="J880" i="6"/>
  <c r="I880" i="6"/>
  <c r="N880" i="6" s="1"/>
  <c r="S879" i="6"/>
  <c r="O879" i="6"/>
  <c r="N879" i="6"/>
  <c r="J879" i="6"/>
  <c r="I879" i="6"/>
  <c r="S878" i="6"/>
  <c r="O878" i="6"/>
  <c r="J878" i="6"/>
  <c r="I878" i="6"/>
  <c r="S877" i="6"/>
  <c r="O877" i="6"/>
  <c r="J877" i="6"/>
  <c r="I877" i="6"/>
  <c r="S876" i="6"/>
  <c r="O876" i="6"/>
  <c r="L876" i="6"/>
  <c r="K876" i="6"/>
  <c r="J876" i="6"/>
  <c r="I876" i="6"/>
  <c r="N876" i="6" s="1"/>
  <c r="S875" i="6"/>
  <c r="O875" i="6"/>
  <c r="L875" i="6"/>
  <c r="K875" i="6"/>
  <c r="J875" i="6"/>
  <c r="I875" i="6"/>
  <c r="M875" i="6" s="1"/>
  <c r="S874" i="6"/>
  <c r="O874" i="6"/>
  <c r="M874" i="6"/>
  <c r="J874" i="6"/>
  <c r="I874" i="6"/>
  <c r="L874" i="6" s="1"/>
  <c r="S873" i="6"/>
  <c r="O873" i="6"/>
  <c r="L873" i="6"/>
  <c r="J873" i="6"/>
  <c r="I873" i="6"/>
  <c r="S872" i="6"/>
  <c r="O872" i="6"/>
  <c r="M872" i="6"/>
  <c r="J872" i="6"/>
  <c r="I872" i="6"/>
  <c r="S871" i="6"/>
  <c r="O871" i="6"/>
  <c r="K871" i="6"/>
  <c r="J871" i="6"/>
  <c r="I871" i="6"/>
  <c r="N871" i="6" s="1"/>
  <c r="S870" i="6"/>
  <c r="O870" i="6"/>
  <c r="K870" i="6"/>
  <c r="J870" i="6"/>
  <c r="I870" i="6"/>
  <c r="L870" i="6" s="1"/>
  <c r="S869" i="6"/>
  <c r="O869" i="6"/>
  <c r="J869" i="6"/>
  <c r="I869" i="6"/>
  <c r="S868" i="6"/>
  <c r="O868" i="6"/>
  <c r="J868" i="6"/>
  <c r="I868" i="6"/>
  <c r="S867" i="6"/>
  <c r="O867" i="6"/>
  <c r="L867" i="6"/>
  <c r="K867" i="6"/>
  <c r="J867" i="6"/>
  <c r="I867" i="6"/>
  <c r="M867" i="6" s="1"/>
  <c r="S866" i="6"/>
  <c r="O866" i="6"/>
  <c r="M866" i="6"/>
  <c r="J866" i="6"/>
  <c r="I866" i="6"/>
  <c r="S865" i="6"/>
  <c r="O865" i="6"/>
  <c r="J865" i="6"/>
  <c r="I865" i="6"/>
  <c r="S864" i="6"/>
  <c r="O864" i="6"/>
  <c r="K864" i="6"/>
  <c r="J864" i="6"/>
  <c r="I864" i="6"/>
  <c r="N864" i="6" s="1"/>
  <c r="S863" i="6"/>
  <c r="O863" i="6"/>
  <c r="N863" i="6"/>
  <c r="K863" i="6"/>
  <c r="J863" i="6"/>
  <c r="I863" i="6"/>
  <c r="S862" i="6"/>
  <c r="O862" i="6"/>
  <c r="J862" i="6"/>
  <c r="I862" i="6"/>
  <c r="S861" i="6"/>
  <c r="O861" i="6"/>
  <c r="L861" i="6"/>
  <c r="J861" i="6"/>
  <c r="I861" i="6"/>
  <c r="K861" i="6" s="1"/>
  <c r="S860" i="6"/>
  <c r="O860" i="6"/>
  <c r="J860" i="6"/>
  <c r="I860" i="6"/>
  <c r="S859" i="6"/>
  <c r="O859" i="6"/>
  <c r="N859" i="6"/>
  <c r="J859" i="6"/>
  <c r="I859" i="6"/>
  <c r="S858" i="6"/>
  <c r="O858" i="6"/>
  <c r="J858" i="6"/>
  <c r="I858" i="6"/>
  <c r="S857" i="6"/>
  <c r="O857" i="6"/>
  <c r="M857" i="6"/>
  <c r="L857" i="6"/>
  <c r="J857" i="6"/>
  <c r="I857" i="6"/>
  <c r="K857" i="6" s="1"/>
  <c r="S856" i="6"/>
  <c r="O856" i="6"/>
  <c r="M856" i="6"/>
  <c r="J856" i="6"/>
  <c r="I856" i="6"/>
  <c r="S855" i="6"/>
  <c r="O855" i="6"/>
  <c r="L855" i="6"/>
  <c r="K855" i="6"/>
  <c r="J855" i="6"/>
  <c r="I855" i="6"/>
  <c r="M855" i="6" s="1"/>
  <c r="S854" i="6"/>
  <c r="O854" i="6"/>
  <c r="K854" i="6"/>
  <c r="J854" i="6"/>
  <c r="I854" i="6"/>
  <c r="L854" i="6" s="1"/>
  <c r="S853" i="6"/>
  <c r="O853" i="6"/>
  <c r="J853" i="6"/>
  <c r="I853" i="6"/>
  <c r="S852" i="6"/>
  <c r="O852" i="6"/>
  <c r="J852" i="6"/>
  <c r="I852" i="6"/>
  <c r="N852" i="6" s="1"/>
  <c r="S851" i="6"/>
  <c r="O851" i="6"/>
  <c r="L851" i="6"/>
  <c r="K851" i="6"/>
  <c r="J851" i="6"/>
  <c r="I851" i="6"/>
  <c r="M851" i="6" s="1"/>
  <c r="S850" i="6"/>
  <c r="O850" i="6"/>
  <c r="J850" i="6"/>
  <c r="I850" i="6"/>
  <c r="S849" i="6"/>
  <c r="O849" i="6"/>
  <c r="J849" i="6"/>
  <c r="I849" i="6"/>
  <c r="K849" i="6" s="1"/>
  <c r="S848" i="6"/>
  <c r="O848" i="6"/>
  <c r="K848" i="6"/>
  <c r="J848" i="6"/>
  <c r="I848" i="6"/>
  <c r="N848" i="6" s="1"/>
  <c r="S847" i="6"/>
  <c r="O847" i="6"/>
  <c r="N847" i="6"/>
  <c r="J847" i="6"/>
  <c r="I847" i="6"/>
  <c r="S846" i="6"/>
  <c r="O846" i="6"/>
  <c r="J846" i="6"/>
  <c r="I846" i="6"/>
  <c r="N846" i="6" s="1"/>
  <c r="S845" i="6"/>
  <c r="O845" i="6"/>
  <c r="L845" i="6"/>
  <c r="J845" i="6"/>
  <c r="I845" i="6"/>
  <c r="K845" i="6" s="1"/>
  <c r="S844" i="6"/>
  <c r="O844" i="6"/>
  <c r="L844" i="6"/>
  <c r="J844" i="6"/>
  <c r="I844" i="6"/>
  <c r="S843" i="6"/>
  <c r="O843" i="6"/>
  <c r="L843" i="6"/>
  <c r="K843" i="6"/>
  <c r="J843" i="6"/>
  <c r="I843" i="6"/>
  <c r="M843" i="6" s="1"/>
  <c r="S842" i="6"/>
  <c r="O842" i="6"/>
  <c r="J842" i="6"/>
  <c r="I842" i="6"/>
  <c r="L842" i="6" s="1"/>
  <c r="S841" i="6"/>
  <c r="O841" i="6"/>
  <c r="L841" i="6"/>
  <c r="J841" i="6"/>
  <c r="I841" i="6"/>
  <c r="S840" i="6"/>
  <c r="O840" i="6"/>
  <c r="M840" i="6"/>
  <c r="J840" i="6"/>
  <c r="I840" i="6"/>
  <c r="S839" i="6"/>
  <c r="O839" i="6"/>
  <c r="N839" i="6"/>
  <c r="K839" i="6"/>
  <c r="J839" i="6"/>
  <c r="I839" i="6"/>
  <c r="S838" i="6"/>
  <c r="O838" i="6"/>
  <c r="K838" i="6"/>
  <c r="J838" i="6"/>
  <c r="I838" i="6"/>
  <c r="L838" i="6" s="1"/>
  <c r="S837" i="6"/>
  <c r="O837" i="6"/>
  <c r="J837" i="6"/>
  <c r="I837" i="6"/>
  <c r="N837" i="6" s="1"/>
  <c r="S836" i="6"/>
  <c r="O836" i="6"/>
  <c r="J836" i="6"/>
  <c r="I836" i="6"/>
  <c r="N836" i="6" s="1"/>
  <c r="S835" i="6"/>
  <c r="O835" i="6"/>
  <c r="L835" i="6"/>
  <c r="K835" i="6"/>
  <c r="J835" i="6"/>
  <c r="I835" i="6"/>
  <c r="M835" i="6" s="1"/>
  <c r="S834" i="6"/>
  <c r="O834" i="6"/>
  <c r="M834" i="6"/>
  <c r="J834" i="6"/>
  <c r="I834" i="6"/>
  <c r="S833" i="6"/>
  <c r="O833" i="6"/>
  <c r="J833" i="6"/>
  <c r="I833" i="6"/>
  <c r="K833" i="6" s="1"/>
  <c r="S832" i="6"/>
  <c r="O832" i="6"/>
  <c r="J832" i="6"/>
  <c r="I832" i="6"/>
  <c r="S831" i="6"/>
  <c r="O831" i="6"/>
  <c r="N831" i="6"/>
  <c r="L831" i="6"/>
  <c r="J831" i="6"/>
  <c r="I831" i="6"/>
  <c r="S830" i="6"/>
  <c r="O830" i="6"/>
  <c r="J830" i="6"/>
  <c r="I830" i="6"/>
  <c r="S829" i="6"/>
  <c r="O829" i="6"/>
  <c r="L829" i="6"/>
  <c r="J829" i="6"/>
  <c r="I829" i="6"/>
  <c r="K829" i="6" s="1"/>
  <c r="S828" i="6"/>
  <c r="O828" i="6"/>
  <c r="J828" i="6"/>
  <c r="I828" i="6"/>
  <c r="S827" i="6"/>
  <c r="O827" i="6"/>
  <c r="L827" i="6"/>
  <c r="K827" i="6"/>
  <c r="J827" i="6"/>
  <c r="I827" i="6"/>
  <c r="M827" i="6" s="1"/>
  <c r="S826" i="6"/>
  <c r="O826" i="6"/>
  <c r="J826" i="6"/>
  <c r="I826" i="6"/>
  <c r="L826" i="6" s="1"/>
  <c r="S825" i="6"/>
  <c r="O825" i="6"/>
  <c r="J825" i="6"/>
  <c r="I825" i="6"/>
  <c r="S824" i="6"/>
  <c r="O824" i="6"/>
  <c r="J824" i="6"/>
  <c r="I824" i="6"/>
  <c r="S823" i="6"/>
  <c r="O823" i="6"/>
  <c r="L823" i="6"/>
  <c r="K823" i="6"/>
  <c r="J823" i="6"/>
  <c r="I823" i="6"/>
  <c r="M823" i="6" s="1"/>
  <c r="S822" i="6"/>
  <c r="O822" i="6"/>
  <c r="J822" i="6"/>
  <c r="I822" i="6"/>
  <c r="S821" i="6"/>
  <c r="O821" i="6"/>
  <c r="J821" i="6"/>
  <c r="I821" i="6"/>
  <c r="N821" i="6" s="1"/>
  <c r="S820" i="6"/>
  <c r="O820" i="6"/>
  <c r="J820" i="6"/>
  <c r="I820" i="6"/>
  <c r="N820" i="6" s="1"/>
  <c r="S819" i="6"/>
  <c r="O819" i="6"/>
  <c r="N819" i="6"/>
  <c r="L819" i="6"/>
  <c r="J819" i="6"/>
  <c r="I819" i="6"/>
  <c r="S818" i="6"/>
  <c r="O818" i="6"/>
  <c r="M818" i="6"/>
  <c r="K818" i="6"/>
  <c r="J818" i="6"/>
  <c r="I818" i="6"/>
  <c r="L818" i="6" s="1"/>
  <c r="S817" i="6"/>
  <c r="O817" i="6"/>
  <c r="J817" i="6"/>
  <c r="I817" i="6"/>
  <c r="K817" i="6" s="1"/>
  <c r="S816" i="6"/>
  <c r="O816" i="6"/>
  <c r="J816" i="6"/>
  <c r="I816" i="6"/>
  <c r="S815" i="6"/>
  <c r="O815" i="6"/>
  <c r="L815" i="6"/>
  <c r="K815" i="6"/>
  <c r="J815" i="6"/>
  <c r="I815" i="6"/>
  <c r="M815" i="6" s="1"/>
  <c r="S814" i="6"/>
  <c r="O814" i="6"/>
  <c r="J814" i="6"/>
  <c r="I814" i="6"/>
  <c r="S813" i="6"/>
  <c r="O813" i="6"/>
  <c r="J813" i="6"/>
  <c r="I813" i="6"/>
  <c r="S812" i="6"/>
  <c r="O812" i="6"/>
  <c r="J812" i="6"/>
  <c r="I812" i="6"/>
  <c r="S811" i="6"/>
  <c r="O811" i="6"/>
  <c r="N811" i="6"/>
  <c r="L811" i="6"/>
  <c r="J811" i="6"/>
  <c r="I811" i="6"/>
  <c r="S810" i="6"/>
  <c r="O810" i="6"/>
  <c r="J810" i="6"/>
  <c r="I810" i="6"/>
  <c r="L810" i="6" s="1"/>
  <c r="S809" i="6"/>
  <c r="O809" i="6"/>
  <c r="M809" i="6"/>
  <c r="L809" i="6"/>
  <c r="J809" i="6"/>
  <c r="I809" i="6"/>
  <c r="K809" i="6" s="1"/>
  <c r="S808" i="6"/>
  <c r="O808" i="6"/>
  <c r="J808" i="6"/>
  <c r="I808" i="6"/>
  <c r="S807" i="6"/>
  <c r="O807" i="6"/>
  <c r="N807" i="6"/>
  <c r="K807" i="6"/>
  <c r="J807" i="6"/>
  <c r="I807" i="6"/>
  <c r="S806" i="6"/>
  <c r="O806" i="6"/>
  <c r="K806" i="6"/>
  <c r="J806" i="6"/>
  <c r="I806" i="6"/>
  <c r="L806" i="6" s="1"/>
  <c r="S805" i="6"/>
  <c r="O805" i="6"/>
  <c r="J805" i="6"/>
  <c r="I805" i="6"/>
  <c r="S804" i="6"/>
  <c r="O804" i="6"/>
  <c r="J804" i="6"/>
  <c r="I804" i="6"/>
  <c r="N804" i="6" s="1"/>
  <c r="S803" i="6"/>
  <c r="O803" i="6"/>
  <c r="N803" i="6"/>
  <c r="K803" i="6"/>
  <c r="J803" i="6"/>
  <c r="I803" i="6"/>
  <c r="S802" i="6"/>
  <c r="O802" i="6"/>
  <c r="J802" i="6"/>
  <c r="I802" i="6"/>
  <c r="S801" i="6"/>
  <c r="O801" i="6"/>
  <c r="J801" i="6"/>
  <c r="I801" i="6"/>
  <c r="K801" i="6" s="1"/>
  <c r="S800" i="6"/>
  <c r="O800" i="6"/>
  <c r="J800" i="6"/>
  <c r="I800" i="6"/>
  <c r="S799" i="6"/>
  <c r="O799" i="6"/>
  <c r="J799" i="6"/>
  <c r="I799" i="6"/>
  <c r="N799" i="6" s="1"/>
  <c r="S798" i="6"/>
  <c r="O798" i="6"/>
  <c r="M798" i="6"/>
  <c r="L798" i="6"/>
  <c r="J798" i="6"/>
  <c r="I798" i="6"/>
  <c r="S797" i="6"/>
  <c r="O797" i="6"/>
  <c r="L797" i="6"/>
  <c r="K797" i="6"/>
  <c r="J797" i="6"/>
  <c r="I797" i="6"/>
  <c r="M797" i="6" s="1"/>
  <c r="S796" i="6"/>
  <c r="O796" i="6"/>
  <c r="N796" i="6"/>
  <c r="J796" i="6"/>
  <c r="I796" i="6"/>
  <c r="S795" i="6"/>
  <c r="O795" i="6"/>
  <c r="M795" i="6"/>
  <c r="J795" i="6"/>
  <c r="I795" i="6"/>
  <c r="N795" i="6" s="1"/>
  <c r="S794" i="6"/>
  <c r="O794" i="6"/>
  <c r="L794" i="6"/>
  <c r="J794" i="6"/>
  <c r="I794" i="6"/>
  <c r="M794" i="6" s="1"/>
  <c r="S793" i="6"/>
  <c r="O793" i="6"/>
  <c r="N793" i="6"/>
  <c r="K793" i="6"/>
  <c r="J793" i="6"/>
  <c r="I793" i="6"/>
  <c r="S792" i="6"/>
  <c r="O792" i="6"/>
  <c r="N792" i="6"/>
  <c r="J792" i="6"/>
  <c r="I792" i="6"/>
  <c r="S791" i="6"/>
  <c r="O791" i="6"/>
  <c r="J791" i="6"/>
  <c r="I791" i="6"/>
  <c r="S790" i="6"/>
  <c r="O790" i="6"/>
  <c r="J790" i="6"/>
  <c r="I790" i="6"/>
  <c r="S789" i="6"/>
  <c r="O789" i="6"/>
  <c r="L789" i="6"/>
  <c r="K789" i="6"/>
  <c r="J789" i="6"/>
  <c r="I789" i="6"/>
  <c r="M789" i="6" s="1"/>
  <c r="S788" i="6"/>
  <c r="O788" i="6"/>
  <c r="N788" i="6"/>
  <c r="J788" i="6"/>
  <c r="I788" i="6"/>
  <c r="S787" i="6"/>
  <c r="O787" i="6"/>
  <c r="J787" i="6"/>
  <c r="I787" i="6"/>
  <c r="N787" i="6" s="1"/>
  <c r="S786" i="6"/>
  <c r="O786" i="6"/>
  <c r="M786" i="6"/>
  <c r="J786" i="6"/>
  <c r="I786" i="6"/>
  <c r="S785" i="6"/>
  <c r="O785" i="6"/>
  <c r="N785" i="6"/>
  <c r="K785" i="6"/>
  <c r="J785" i="6"/>
  <c r="I785" i="6"/>
  <c r="S784" i="6"/>
  <c r="O784" i="6"/>
  <c r="J784" i="6"/>
  <c r="I784" i="6"/>
  <c r="S783" i="6"/>
  <c r="O783" i="6"/>
  <c r="M783" i="6"/>
  <c r="J783" i="6"/>
  <c r="I783" i="6"/>
  <c r="N783" i="6" s="1"/>
  <c r="S782" i="6"/>
  <c r="O782" i="6"/>
  <c r="M782" i="6"/>
  <c r="J782" i="6"/>
  <c r="I782" i="6"/>
  <c r="L782" i="6" s="1"/>
  <c r="S781" i="6"/>
  <c r="O781" i="6"/>
  <c r="L781" i="6"/>
  <c r="K781" i="6"/>
  <c r="J781" i="6"/>
  <c r="I781" i="6"/>
  <c r="M781" i="6" s="1"/>
  <c r="S780" i="6"/>
  <c r="O780" i="6"/>
  <c r="N780" i="6"/>
  <c r="J780" i="6"/>
  <c r="I780" i="6"/>
  <c r="S779" i="6"/>
  <c r="O779" i="6"/>
  <c r="M779" i="6"/>
  <c r="L779" i="6"/>
  <c r="J779" i="6"/>
  <c r="I779" i="6"/>
  <c r="K779" i="6" s="1"/>
  <c r="S778" i="6"/>
  <c r="O778" i="6"/>
  <c r="L778" i="6"/>
  <c r="J778" i="6"/>
  <c r="I778" i="6"/>
  <c r="S777" i="6"/>
  <c r="O777" i="6"/>
  <c r="L777" i="6"/>
  <c r="K777" i="6"/>
  <c r="J777" i="6"/>
  <c r="I777" i="6"/>
  <c r="M777" i="6" s="1"/>
  <c r="S776" i="6"/>
  <c r="O776" i="6"/>
  <c r="J776" i="6"/>
  <c r="I776" i="6"/>
  <c r="S775" i="6"/>
  <c r="O775" i="6"/>
  <c r="M775" i="6"/>
  <c r="J775" i="6"/>
  <c r="I775" i="6"/>
  <c r="N775" i="6" s="1"/>
  <c r="S774" i="6"/>
  <c r="O774" i="6"/>
  <c r="J774" i="6"/>
  <c r="I774" i="6"/>
  <c r="M774" i="6" s="1"/>
  <c r="S773" i="6"/>
  <c r="O773" i="6"/>
  <c r="J773" i="6"/>
  <c r="I773" i="6"/>
  <c r="S772" i="6"/>
  <c r="O772" i="6"/>
  <c r="M772" i="6"/>
  <c r="K772" i="6"/>
  <c r="J772" i="6"/>
  <c r="I772" i="6"/>
  <c r="L772" i="6" s="1"/>
  <c r="S771" i="6"/>
  <c r="O771" i="6"/>
  <c r="N771" i="6"/>
  <c r="J771" i="6"/>
  <c r="I771" i="6"/>
  <c r="S770" i="6"/>
  <c r="O770" i="6"/>
  <c r="J770" i="6"/>
  <c r="I770" i="6"/>
  <c r="S769" i="6"/>
  <c r="O769" i="6"/>
  <c r="K769" i="6"/>
  <c r="J769" i="6"/>
  <c r="I769" i="6"/>
  <c r="M769" i="6" s="1"/>
  <c r="S768" i="6"/>
  <c r="O768" i="6"/>
  <c r="J768" i="6"/>
  <c r="I768" i="6"/>
  <c r="N768" i="6" s="1"/>
  <c r="S767" i="6"/>
  <c r="O767" i="6"/>
  <c r="J767" i="6"/>
  <c r="I767" i="6"/>
  <c r="S766" i="6"/>
  <c r="O766" i="6"/>
  <c r="L766" i="6"/>
  <c r="K766" i="6"/>
  <c r="J766" i="6"/>
  <c r="I766" i="6"/>
  <c r="N766" i="6" s="1"/>
  <c r="S765" i="6"/>
  <c r="O765" i="6"/>
  <c r="K765" i="6"/>
  <c r="J765" i="6"/>
  <c r="I765" i="6"/>
  <c r="N765" i="6" s="1"/>
  <c r="S764" i="6"/>
  <c r="O764" i="6"/>
  <c r="N764" i="6"/>
  <c r="J764" i="6"/>
  <c r="I764" i="6"/>
  <c r="S763" i="6"/>
  <c r="O763" i="6"/>
  <c r="J763" i="6"/>
  <c r="I763" i="6"/>
  <c r="S762" i="6"/>
  <c r="O762" i="6"/>
  <c r="J762" i="6"/>
  <c r="I762" i="6"/>
  <c r="L762" i="6" s="1"/>
  <c r="S761" i="6"/>
  <c r="O761" i="6"/>
  <c r="N761" i="6"/>
  <c r="L761" i="6"/>
  <c r="J761" i="6"/>
  <c r="I761" i="6"/>
  <c r="S760" i="6"/>
  <c r="O760" i="6"/>
  <c r="J760" i="6"/>
  <c r="I760" i="6"/>
  <c r="S759" i="6"/>
  <c r="O759" i="6"/>
  <c r="M759" i="6"/>
  <c r="J759" i="6"/>
  <c r="I759" i="6"/>
  <c r="N759" i="6" s="1"/>
  <c r="S758" i="6"/>
  <c r="O758" i="6"/>
  <c r="J758" i="6"/>
  <c r="I758" i="6"/>
  <c r="M758" i="6" s="1"/>
  <c r="S757" i="6"/>
  <c r="O757" i="6"/>
  <c r="L757" i="6"/>
  <c r="K757" i="6"/>
  <c r="J757" i="6"/>
  <c r="I757" i="6"/>
  <c r="M757" i="6" s="1"/>
  <c r="S756" i="6"/>
  <c r="O756" i="6"/>
  <c r="J756" i="6"/>
  <c r="I756" i="6"/>
  <c r="S755" i="6"/>
  <c r="O755" i="6"/>
  <c r="N755" i="6"/>
  <c r="J755" i="6"/>
  <c r="I755" i="6"/>
  <c r="S754" i="6"/>
  <c r="O754" i="6"/>
  <c r="K754" i="6"/>
  <c r="J754" i="6"/>
  <c r="I754" i="6"/>
  <c r="N754" i="6" s="1"/>
  <c r="S753" i="6"/>
  <c r="O753" i="6"/>
  <c r="J753" i="6"/>
  <c r="I753" i="6"/>
  <c r="S752" i="6"/>
  <c r="O752" i="6"/>
  <c r="J752" i="6"/>
  <c r="I752" i="6"/>
  <c r="N752" i="6" s="1"/>
  <c r="S751" i="6"/>
  <c r="O751" i="6"/>
  <c r="L751" i="6"/>
  <c r="J751" i="6"/>
  <c r="I751" i="6"/>
  <c r="K751" i="6" s="1"/>
  <c r="S750" i="6"/>
  <c r="O750" i="6"/>
  <c r="L750" i="6"/>
  <c r="J750" i="6"/>
  <c r="I750" i="6"/>
  <c r="S749" i="6"/>
  <c r="O749" i="6"/>
  <c r="K749" i="6"/>
  <c r="J749" i="6"/>
  <c r="I749" i="6"/>
  <c r="S748" i="6"/>
  <c r="O748" i="6"/>
  <c r="J748" i="6"/>
  <c r="I748" i="6"/>
  <c r="N748" i="6" s="1"/>
  <c r="S747" i="6"/>
  <c r="O747" i="6"/>
  <c r="M747" i="6"/>
  <c r="L747" i="6"/>
  <c r="J747" i="6"/>
  <c r="I747" i="6"/>
  <c r="K747" i="6" s="1"/>
  <c r="S746" i="6"/>
  <c r="O746" i="6"/>
  <c r="J746" i="6"/>
  <c r="I746" i="6"/>
  <c r="L746" i="6" s="1"/>
  <c r="S745" i="6"/>
  <c r="O745" i="6"/>
  <c r="L745" i="6"/>
  <c r="K745" i="6"/>
  <c r="J745" i="6"/>
  <c r="I745" i="6"/>
  <c r="M745" i="6" s="1"/>
  <c r="S744" i="6"/>
  <c r="O744" i="6"/>
  <c r="J744" i="6"/>
  <c r="I744" i="6"/>
  <c r="S743" i="6"/>
  <c r="O743" i="6"/>
  <c r="J743" i="6"/>
  <c r="I743" i="6"/>
  <c r="S742" i="6"/>
  <c r="O742" i="6"/>
  <c r="J742" i="6"/>
  <c r="I742" i="6"/>
  <c r="M742" i="6" s="1"/>
  <c r="S741" i="6"/>
  <c r="O741" i="6"/>
  <c r="N741" i="6"/>
  <c r="L741" i="6"/>
  <c r="J741" i="6"/>
  <c r="I741" i="6"/>
  <c r="S740" i="6"/>
  <c r="O740" i="6"/>
  <c r="M740" i="6"/>
  <c r="K740" i="6"/>
  <c r="J740" i="6"/>
  <c r="I740" i="6"/>
  <c r="L740" i="6" s="1"/>
  <c r="S739" i="6"/>
  <c r="O739" i="6"/>
  <c r="J739" i="6"/>
  <c r="I739" i="6"/>
  <c r="N739" i="6" s="1"/>
  <c r="S738" i="6"/>
  <c r="O738" i="6"/>
  <c r="J738" i="6"/>
  <c r="I738" i="6"/>
  <c r="S737" i="6"/>
  <c r="O737" i="6"/>
  <c r="N737" i="6"/>
  <c r="L737" i="6"/>
  <c r="J737" i="6"/>
  <c r="I737" i="6"/>
  <c r="S736" i="6"/>
  <c r="O736" i="6"/>
  <c r="J736" i="6"/>
  <c r="I736" i="6"/>
  <c r="N736" i="6" s="1"/>
  <c r="S735" i="6"/>
  <c r="O735" i="6"/>
  <c r="J735" i="6"/>
  <c r="I735" i="6"/>
  <c r="S734" i="6"/>
  <c r="O734" i="6"/>
  <c r="L734" i="6"/>
  <c r="K734" i="6"/>
  <c r="J734" i="6"/>
  <c r="I734" i="6"/>
  <c r="N734" i="6" s="1"/>
  <c r="S733" i="6"/>
  <c r="O733" i="6"/>
  <c r="N733" i="6"/>
  <c r="J733" i="6"/>
  <c r="I733" i="6"/>
  <c r="S732" i="6"/>
  <c r="O732" i="6"/>
  <c r="N732" i="6"/>
  <c r="J732" i="6"/>
  <c r="I732" i="6"/>
  <c r="S731" i="6"/>
  <c r="O731" i="6"/>
  <c r="J731" i="6"/>
  <c r="I731" i="6"/>
  <c r="S730" i="6"/>
  <c r="O730" i="6"/>
  <c r="J730" i="6"/>
  <c r="I730" i="6"/>
  <c r="L730" i="6" s="1"/>
  <c r="S729" i="6"/>
  <c r="O729" i="6"/>
  <c r="N729" i="6"/>
  <c r="L729" i="6"/>
  <c r="J729" i="6"/>
  <c r="I729" i="6"/>
  <c r="S728" i="6"/>
  <c r="O728" i="6"/>
  <c r="J728" i="6"/>
  <c r="I728" i="6"/>
  <c r="S727" i="6"/>
  <c r="O727" i="6"/>
  <c r="M727" i="6"/>
  <c r="J727" i="6"/>
  <c r="I727" i="6"/>
  <c r="N727" i="6" s="1"/>
  <c r="S726" i="6"/>
  <c r="O726" i="6"/>
  <c r="J726" i="6"/>
  <c r="I726" i="6"/>
  <c r="M726" i="6" s="1"/>
  <c r="S725" i="6"/>
  <c r="O725" i="6"/>
  <c r="L725" i="6"/>
  <c r="K725" i="6"/>
  <c r="J725" i="6"/>
  <c r="I725" i="6"/>
  <c r="M725" i="6" s="1"/>
  <c r="S724" i="6"/>
  <c r="O724" i="6"/>
  <c r="J724" i="6"/>
  <c r="I724" i="6"/>
  <c r="S723" i="6"/>
  <c r="O723" i="6"/>
  <c r="N723" i="6"/>
  <c r="J723" i="6"/>
  <c r="I723" i="6"/>
  <c r="S722" i="6"/>
  <c r="O722" i="6"/>
  <c r="K722" i="6"/>
  <c r="J722" i="6"/>
  <c r="I722" i="6"/>
  <c r="N722" i="6" s="1"/>
  <c r="S721" i="6"/>
  <c r="O721" i="6"/>
  <c r="J721" i="6"/>
  <c r="I721" i="6"/>
  <c r="S720" i="6"/>
  <c r="O720" i="6"/>
  <c r="J720" i="6"/>
  <c r="I720" i="6"/>
  <c r="N720" i="6" s="1"/>
  <c r="S719" i="6"/>
  <c r="O719" i="6"/>
  <c r="L719" i="6"/>
  <c r="J719" i="6"/>
  <c r="I719" i="6"/>
  <c r="K719" i="6" s="1"/>
  <c r="S718" i="6"/>
  <c r="O718" i="6"/>
  <c r="L718" i="6"/>
  <c r="J718" i="6"/>
  <c r="I718" i="6"/>
  <c r="S717" i="6"/>
  <c r="O717" i="6"/>
  <c r="K717" i="6"/>
  <c r="J717" i="6"/>
  <c r="I717" i="6"/>
  <c r="M717" i="6" s="1"/>
  <c r="S716" i="6"/>
  <c r="O716" i="6"/>
  <c r="J716" i="6"/>
  <c r="I716" i="6"/>
  <c r="N716" i="6" s="1"/>
  <c r="S715" i="6"/>
  <c r="O715" i="6"/>
  <c r="M715" i="6"/>
  <c r="L715" i="6"/>
  <c r="J715" i="6"/>
  <c r="I715" i="6"/>
  <c r="K715" i="6" s="1"/>
  <c r="S714" i="6"/>
  <c r="O714" i="6"/>
  <c r="J714" i="6"/>
  <c r="I714" i="6"/>
  <c r="L714" i="6" s="1"/>
  <c r="S713" i="6"/>
  <c r="O713" i="6"/>
  <c r="L713" i="6"/>
  <c r="K713" i="6"/>
  <c r="J713" i="6"/>
  <c r="I713" i="6"/>
  <c r="M713" i="6" s="1"/>
  <c r="S712" i="6"/>
  <c r="O712" i="6"/>
  <c r="J712" i="6"/>
  <c r="I712" i="6"/>
  <c r="S711" i="6"/>
  <c r="O711" i="6"/>
  <c r="J711" i="6"/>
  <c r="I711" i="6"/>
  <c r="S710" i="6"/>
  <c r="O710" i="6"/>
  <c r="J710" i="6"/>
  <c r="I710" i="6"/>
  <c r="M710" i="6" s="1"/>
  <c r="S709" i="6"/>
  <c r="O709" i="6"/>
  <c r="J709" i="6"/>
  <c r="I709" i="6"/>
  <c r="N709" i="6" s="1"/>
  <c r="S708" i="6"/>
  <c r="O708" i="6"/>
  <c r="K708" i="6"/>
  <c r="J708" i="6"/>
  <c r="I708" i="6"/>
  <c r="L708" i="6" s="1"/>
  <c r="S707" i="6"/>
  <c r="O707" i="6"/>
  <c r="N707" i="6"/>
  <c r="J707" i="6"/>
  <c r="I707" i="6"/>
  <c r="S706" i="6"/>
  <c r="O706" i="6"/>
  <c r="J706" i="6"/>
  <c r="I706" i="6"/>
  <c r="S705" i="6"/>
  <c r="O705" i="6"/>
  <c r="L705" i="6"/>
  <c r="K705" i="6"/>
  <c r="J705" i="6"/>
  <c r="I705" i="6"/>
  <c r="M705" i="6" s="1"/>
  <c r="S704" i="6"/>
  <c r="O704" i="6"/>
  <c r="J704" i="6"/>
  <c r="I704" i="6"/>
  <c r="N704" i="6" s="1"/>
  <c r="S703" i="6"/>
  <c r="O703" i="6"/>
  <c r="J703" i="6"/>
  <c r="I703" i="6"/>
  <c r="S702" i="6"/>
  <c r="O702" i="6"/>
  <c r="K702" i="6"/>
  <c r="J702" i="6"/>
  <c r="I702" i="6"/>
  <c r="N702" i="6" s="1"/>
  <c r="S701" i="6"/>
  <c r="O701" i="6"/>
  <c r="N701" i="6"/>
  <c r="J701" i="6"/>
  <c r="I701" i="6"/>
  <c r="S700" i="6"/>
  <c r="O700" i="6"/>
  <c r="N700" i="6"/>
  <c r="J700" i="6"/>
  <c r="I700" i="6"/>
  <c r="S699" i="6"/>
  <c r="O699" i="6"/>
  <c r="J699" i="6"/>
  <c r="I699" i="6"/>
  <c r="M699" i="6" s="1"/>
  <c r="S698" i="6"/>
  <c r="O698" i="6"/>
  <c r="J698" i="6"/>
  <c r="I698" i="6"/>
  <c r="L698" i="6" s="1"/>
  <c r="S697" i="6"/>
  <c r="O697" i="6"/>
  <c r="L697" i="6"/>
  <c r="J697" i="6"/>
  <c r="I697" i="6"/>
  <c r="N697" i="6" s="1"/>
  <c r="S696" i="6"/>
  <c r="O696" i="6"/>
  <c r="J696" i="6"/>
  <c r="I696" i="6"/>
  <c r="S695" i="6"/>
  <c r="O695" i="6"/>
  <c r="N695" i="6"/>
  <c r="M695" i="6"/>
  <c r="J695" i="6"/>
  <c r="I695" i="6"/>
  <c r="S694" i="6"/>
  <c r="O694" i="6"/>
  <c r="J694" i="6"/>
  <c r="I694" i="6"/>
  <c r="M694" i="6" s="1"/>
  <c r="S693" i="6"/>
  <c r="O693" i="6"/>
  <c r="K693" i="6"/>
  <c r="J693" i="6"/>
  <c r="I693" i="6"/>
  <c r="M693" i="6" s="1"/>
  <c r="S692" i="6"/>
  <c r="O692" i="6"/>
  <c r="M692" i="6"/>
  <c r="J692" i="6"/>
  <c r="I692" i="6"/>
  <c r="S691" i="6"/>
  <c r="O691" i="6"/>
  <c r="J691" i="6"/>
  <c r="I691" i="6"/>
  <c r="N691" i="6" s="1"/>
  <c r="S690" i="6"/>
  <c r="O690" i="6"/>
  <c r="K690" i="6"/>
  <c r="J690" i="6"/>
  <c r="I690" i="6"/>
  <c r="N690" i="6" s="1"/>
  <c r="S689" i="6"/>
  <c r="O689" i="6"/>
  <c r="J689" i="6"/>
  <c r="I689" i="6"/>
  <c r="N689" i="6" s="1"/>
  <c r="S688" i="6"/>
  <c r="O688" i="6"/>
  <c r="J688" i="6"/>
  <c r="I688" i="6"/>
  <c r="N688" i="6" s="1"/>
  <c r="S687" i="6"/>
  <c r="O687" i="6"/>
  <c r="L687" i="6"/>
  <c r="J687" i="6"/>
  <c r="I687" i="6"/>
  <c r="K687" i="6" s="1"/>
  <c r="S686" i="6"/>
  <c r="O686" i="6"/>
  <c r="L686" i="6"/>
  <c r="J686" i="6"/>
  <c r="I686" i="6"/>
  <c r="S685" i="6"/>
  <c r="O685" i="6"/>
  <c r="L685" i="6"/>
  <c r="K685" i="6"/>
  <c r="J685" i="6"/>
  <c r="I685" i="6"/>
  <c r="M685" i="6" s="1"/>
  <c r="S684" i="6"/>
  <c r="O684" i="6"/>
  <c r="J684" i="6"/>
  <c r="I684" i="6"/>
  <c r="N684" i="6" s="1"/>
  <c r="S683" i="6"/>
  <c r="O683" i="6"/>
  <c r="L683" i="6"/>
  <c r="J683" i="6"/>
  <c r="I683" i="6"/>
  <c r="K683" i="6" s="1"/>
  <c r="S682" i="6"/>
  <c r="O682" i="6"/>
  <c r="L682" i="6"/>
  <c r="J682" i="6"/>
  <c r="I682" i="6"/>
  <c r="S681" i="6"/>
  <c r="O681" i="6"/>
  <c r="K681" i="6"/>
  <c r="J681" i="6"/>
  <c r="I681" i="6"/>
  <c r="M681" i="6" s="1"/>
  <c r="S680" i="6"/>
  <c r="O680" i="6"/>
  <c r="K680" i="6"/>
  <c r="J680" i="6"/>
  <c r="I680" i="6"/>
  <c r="L680" i="6" s="1"/>
  <c r="S679" i="6"/>
  <c r="O679" i="6"/>
  <c r="J679" i="6"/>
  <c r="I679" i="6"/>
  <c r="S678" i="6"/>
  <c r="O678" i="6"/>
  <c r="J678" i="6"/>
  <c r="I678" i="6"/>
  <c r="M678" i="6" s="1"/>
  <c r="S677" i="6"/>
  <c r="O677" i="6"/>
  <c r="L677" i="6"/>
  <c r="J677" i="6"/>
  <c r="I677" i="6"/>
  <c r="N677" i="6" s="1"/>
  <c r="S676" i="6"/>
  <c r="O676" i="6"/>
  <c r="K676" i="6"/>
  <c r="J676" i="6"/>
  <c r="I676" i="6"/>
  <c r="L676" i="6" s="1"/>
  <c r="S675" i="6"/>
  <c r="O675" i="6"/>
  <c r="N675" i="6"/>
  <c r="J675" i="6"/>
  <c r="I675" i="6"/>
  <c r="S674" i="6"/>
  <c r="O674" i="6"/>
  <c r="J674" i="6"/>
  <c r="I674" i="6"/>
  <c r="S673" i="6"/>
  <c r="O673" i="6"/>
  <c r="L673" i="6"/>
  <c r="K673" i="6"/>
  <c r="J673" i="6"/>
  <c r="I673" i="6"/>
  <c r="M673" i="6" s="1"/>
  <c r="S672" i="6"/>
  <c r="O672" i="6"/>
  <c r="J672" i="6"/>
  <c r="I672" i="6"/>
  <c r="N672" i="6" s="1"/>
  <c r="S671" i="6"/>
  <c r="O671" i="6"/>
  <c r="J671" i="6"/>
  <c r="I671" i="6"/>
  <c r="S670" i="6"/>
  <c r="O670" i="6"/>
  <c r="K670" i="6"/>
  <c r="J670" i="6"/>
  <c r="I670" i="6"/>
  <c r="N670" i="6" s="1"/>
  <c r="S669" i="6"/>
  <c r="O669" i="6"/>
  <c r="J669" i="6"/>
  <c r="I669" i="6"/>
  <c r="N669" i="6" s="1"/>
  <c r="S668" i="6"/>
  <c r="O668" i="6"/>
  <c r="N668" i="6"/>
  <c r="J668" i="6"/>
  <c r="I668" i="6"/>
  <c r="S667" i="6"/>
  <c r="O667" i="6"/>
  <c r="M667" i="6"/>
  <c r="J667" i="6"/>
  <c r="I667" i="6"/>
  <c r="L667" i="6" s="1"/>
  <c r="S666" i="6"/>
  <c r="O666" i="6"/>
  <c r="L666" i="6"/>
  <c r="K666" i="6"/>
  <c r="J666" i="6"/>
  <c r="I666" i="6"/>
  <c r="M666" i="6" s="1"/>
  <c r="S665" i="6"/>
  <c r="O665" i="6"/>
  <c r="J665" i="6"/>
  <c r="I665" i="6"/>
  <c r="S664" i="6"/>
  <c r="O664" i="6"/>
  <c r="M664" i="6"/>
  <c r="J664" i="6"/>
  <c r="I664" i="6"/>
  <c r="S663" i="6"/>
  <c r="O663" i="6"/>
  <c r="L663" i="6"/>
  <c r="J663" i="6"/>
  <c r="I663" i="6"/>
  <c r="S662" i="6"/>
  <c r="O662" i="6"/>
  <c r="L662" i="6"/>
  <c r="K662" i="6"/>
  <c r="J662" i="6"/>
  <c r="I662" i="6"/>
  <c r="M662" i="6" s="1"/>
  <c r="S661" i="6"/>
  <c r="O661" i="6"/>
  <c r="J661" i="6"/>
  <c r="I661" i="6"/>
  <c r="N661" i="6" s="1"/>
  <c r="S660" i="6"/>
  <c r="O660" i="6"/>
  <c r="J660" i="6"/>
  <c r="I660" i="6"/>
  <c r="N660" i="6" s="1"/>
  <c r="S659" i="6"/>
  <c r="O659" i="6"/>
  <c r="M659" i="6"/>
  <c r="J659" i="6"/>
  <c r="I659" i="6"/>
  <c r="S658" i="6"/>
  <c r="O658" i="6"/>
  <c r="N658" i="6"/>
  <c r="J658" i="6"/>
  <c r="I658" i="6"/>
  <c r="S657" i="6"/>
  <c r="O657" i="6"/>
  <c r="N657" i="6"/>
  <c r="K657" i="6"/>
  <c r="J657" i="6"/>
  <c r="I657" i="6"/>
  <c r="M657" i="6" s="1"/>
  <c r="S656" i="6"/>
  <c r="O656" i="6"/>
  <c r="J656" i="6"/>
  <c r="I656" i="6"/>
  <c r="N656" i="6" s="1"/>
  <c r="S655" i="6"/>
  <c r="O655" i="6"/>
  <c r="J655" i="6"/>
  <c r="I655" i="6"/>
  <c r="M655" i="6" s="1"/>
  <c r="S654" i="6"/>
  <c r="O654" i="6"/>
  <c r="L654" i="6"/>
  <c r="K654" i="6"/>
  <c r="J654" i="6"/>
  <c r="I654" i="6"/>
  <c r="M654" i="6" s="1"/>
  <c r="S653" i="6"/>
  <c r="O653" i="6"/>
  <c r="J653" i="6"/>
  <c r="I653" i="6"/>
  <c r="N653" i="6" s="1"/>
  <c r="S652" i="6"/>
  <c r="O652" i="6"/>
  <c r="N652" i="6"/>
  <c r="M652" i="6"/>
  <c r="J652" i="6"/>
  <c r="I652" i="6"/>
  <c r="S651" i="6"/>
  <c r="O651" i="6"/>
  <c r="M651" i="6"/>
  <c r="J651" i="6"/>
  <c r="I651" i="6"/>
  <c r="L651" i="6" s="1"/>
  <c r="S650" i="6"/>
  <c r="O650" i="6"/>
  <c r="L650" i="6"/>
  <c r="K650" i="6"/>
  <c r="J650" i="6"/>
  <c r="I650" i="6"/>
  <c r="M650" i="6" s="1"/>
  <c r="S649" i="6"/>
  <c r="O649" i="6"/>
  <c r="J649" i="6"/>
  <c r="I649" i="6"/>
  <c r="S648" i="6"/>
  <c r="O648" i="6"/>
  <c r="M648" i="6"/>
  <c r="J648" i="6"/>
  <c r="I648" i="6"/>
  <c r="S647" i="6"/>
  <c r="O647" i="6"/>
  <c r="L647" i="6"/>
  <c r="J647" i="6"/>
  <c r="I647" i="6"/>
  <c r="S646" i="6"/>
  <c r="O646" i="6"/>
  <c r="L646" i="6"/>
  <c r="K646" i="6"/>
  <c r="J646" i="6"/>
  <c r="I646" i="6"/>
  <c r="M646" i="6" s="1"/>
  <c r="S645" i="6"/>
  <c r="O645" i="6"/>
  <c r="N645" i="6"/>
  <c r="J645" i="6"/>
  <c r="I645" i="6"/>
  <c r="S644" i="6"/>
  <c r="O644" i="6"/>
  <c r="J644" i="6"/>
  <c r="I644" i="6"/>
  <c r="N644" i="6" s="1"/>
  <c r="S643" i="6"/>
  <c r="O643" i="6"/>
  <c r="M643" i="6"/>
  <c r="J643" i="6"/>
  <c r="I643" i="6"/>
  <c r="S642" i="6"/>
  <c r="O642" i="6"/>
  <c r="N642" i="6"/>
  <c r="J642" i="6"/>
  <c r="I642" i="6"/>
  <c r="K642" i="6" s="1"/>
  <c r="S641" i="6"/>
  <c r="O641" i="6"/>
  <c r="N641" i="6"/>
  <c r="K641" i="6"/>
  <c r="J641" i="6"/>
  <c r="I641" i="6"/>
  <c r="M641" i="6" s="1"/>
  <c r="S640" i="6"/>
  <c r="O640" i="6"/>
  <c r="J640" i="6"/>
  <c r="I640" i="6"/>
  <c r="N640" i="6" s="1"/>
  <c r="S639" i="6"/>
  <c r="O639" i="6"/>
  <c r="J639" i="6"/>
  <c r="I639" i="6"/>
  <c r="M639" i="6" s="1"/>
  <c r="S638" i="6"/>
  <c r="O638" i="6"/>
  <c r="L638" i="6"/>
  <c r="K638" i="6"/>
  <c r="J638" i="6"/>
  <c r="I638" i="6"/>
  <c r="M638" i="6" s="1"/>
  <c r="S637" i="6"/>
  <c r="O637" i="6"/>
  <c r="N637" i="6"/>
  <c r="J637" i="6"/>
  <c r="I637" i="6"/>
  <c r="S636" i="6"/>
  <c r="O636" i="6"/>
  <c r="N636" i="6"/>
  <c r="M636" i="6"/>
  <c r="J636" i="6"/>
  <c r="I636" i="6"/>
  <c r="S635" i="6"/>
  <c r="O635" i="6"/>
  <c r="J635" i="6"/>
  <c r="I635" i="6"/>
  <c r="L635" i="6" s="1"/>
  <c r="S634" i="6"/>
  <c r="O634" i="6"/>
  <c r="J634" i="6"/>
  <c r="I634" i="6"/>
  <c r="M634" i="6" s="1"/>
  <c r="S633" i="6"/>
  <c r="O633" i="6"/>
  <c r="J633" i="6"/>
  <c r="I633" i="6"/>
  <c r="K633" i="6" s="1"/>
  <c r="S632" i="6"/>
  <c r="O632" i="6"/>
  <c r="M632" i="6"/>
  <c r="J632" i="6"/>
  <c r="I632" i="6"/>
  <c r="S631" i="6"/>
  <c r="O631" i="6"/>
  <c r="L631" i="6"/>
  <c r="J631" i="6"/>
  <c r="I631" i="6"/>
  <c r="S630" i="6"/>
  <c r="O630" i="6"/>
  <c r="L630" i="6"/>
  <c r="K630" i="6"/>
  <c r="J630" i="6"/>
  <c r="I630" i="6"/>
  <c r="M630" i="6" s="1"/>
  <c r="S629" i="6"/>
  <c r="O629" i="6"/>
  <c r="N629" i="6"/>
  <c r="J629" i="6"/>
  <c r="I629" i="6"/>
  <c r="S628" i="6"/>
  <c r="O628" i="6"/>
  <c r="N628" i="6"/>
  <c r="J628" i="6"/>
  <c r="I628" i="6"/>
  <c r="S627" i="6"/>
  <c r="O627" i="6"/>
  <c r="M627" i="6"/>
  <c r="J627" i="6"/>
  <c r="I627" i="6"/>
  <c r="S626" i="6"/>
  <c r="O626" i="6"/>
  <c r="K626" i="6"/>
  <c r="J626" i="6"/>
  <c r="I626" i="6"/>
  <c r="N626" i="6" s="1"/>
  <c r="S625" i="6"/>
  <c r="O625" i="6"/>
  <c r="J625" i="6"/>
  <c r="I625" i="6"/>
  <c r="M625" i="6" s="1"/>
  <c r="S624" i="6"/>
  <c r="O624" i="6"/>
  <c r="J624" i="6"/>
  <c r="I624" i="6"/>
  <c r="N624" i="6" s="1"/>
  <c r="S623" i="6"/>
  <c r="O623" i="6"/>
  <c r="J623" i="6"/>
  <c r="I623" i="6"/>
  <c r="M623" i="6" s="1"/>
  <c r="S622" i="6"/>
  <c r="O622" i="6"/>
  <c r="L622" i="6"/>
  <c r="K622" i="6"/>
  <c r="J622" i="6"/>
  <c r="I622" i="6"/>
  <c r="M622" i="6" s="1"/>
  <c r="S621" i="6"/>
  <c r="O621" i="6"/>
  <c r="N621" i="6"/>
  <c r="J621" i="6"/>
  <c r="I621" i="6"/>
  <c r="S620" i="6"/>
  <c r="O620" i="6"/>
  <c r="N620" i="6"/>
  <c r="M620" i="6"/>
  <c r="J620" i="6"/>
  <c r="I620" i="6"/>
  <c r="S619" i="6"/>
  <c r="O619" i="6"/>
  <c r="M619" i="6"/>
  <c r="J619" i="6"/>
  <c r="I619" i="6"/>
  <c r="L619" i="6" s="1"/>
  <c r="S618" i="6"/>
  <c r="O618" i="6"/>
  <c r="L618" i="6"/>
  <c r="J618" i="6"/>
  <c r="I618" i="6"/>
  <c r="M618" i="6" s="1"/>
  <c r="S617" i="6"/>
  <c r="O617" i="6"/>
  <c r="K617" i="6"/>
  <c r="J617" i="6"/>
  <c r="I617" i="6"/>
  <c r="S616" i="6"/>
  <c r="O616" i="6"/>
  <c r="M616" i="6"/>
  <c r="J616" i="6"/>
  <c r="I616" i="6"/>
  <c r="S615" i="6"/>
  <c r="O615" i="6"/>
  <c r="J615" i="6"/>
  <c r="I615" i="6"/>
  <c r="L615" i="6" s="1"/>
  <c r="S614" i="6"/>
  <c r="O614" i="6"/>
  <c r="L614" i="6"/>
  <c r="K614" i="6"/>
  <c r="J614" i="6"/>
  <c r="I614" i="6"/>
  <c r="M614" i="6" s="1"/>
  <c r="S613" i="6"/>
  <c r="O613" i="6"/>
  <c r="N613" i="6"/>
  <c r="J613" i="6"/>
  <c r="I613" i="6"/>
  <c r="S612" i="6"/>
  <c r="O612" i="6"/>
  <c r="J612" i="6"/>
  <c r="I612" i="6"/>
  <c r="N612" i="6" s="1"/>
  <c r="S611" i="6"/>
  <c r="O611" i="6"/>
  <c r="M611" i="6"/>
  <c r="J611" i="6"/>
  <c r="I611" i="6"/>
  <c r="S610" i="6"/>
  <c r="O610" i="6"/>
  <c r="N610" i="6"/>
  <c r="K610" i="6"/>
  <c r="J610" i="6"/>
  <c r="I610" i="6"/>
  <c r="S609" i="6"/>
  <c r="O609" i="6"/>
  <c r="N609" i="6"/>
  <c r="J609" i="6"/>
  <c r="I609" i="6"/>
  <c r="M609" i="6" s="1"/>
  <c r="S608" i="6"/>
  <c r="O608" i="6"/>
  <c r="J608" i="6"/>
  <c r="I608" i="6"/>
  <c r="N608" i="6" s="1"/>
  <c r="S607" i="6"/>
  <c r="O607" i="6"/>
  <c r="J607" i="6"/>
  <c r="I607" i="6"/>
  <c r="M607" i="6" s="1"/>
  <c r="S606" i="6"/>
  <c r="O606" i="6"/>
  <c r="L606" i="6"/>
  <c r="K606" i="6"/>
  <c r="J606" i="6"/>
  <c r="I606" i="6"/>
  <c r="M606" i="6" s="1"/>
  <c r="S605" i="6"/>
  <c r="O605" i="6"/>
  <c r="J605" i="6"/>
  <c r="I605" i="6"/>
  <c r="N605" i="6" s="1"/>
  <c r="S604" i="6"/>
  <c r="O604" i="6"/>
  <c r="J604" i="6"/>
  <c r="I604" i="6"/>
  <c r="M604" i="6" s="1"/>
  <c r="S603" i="6"/>
  <c r="O603" i="6"/>
  <c r="M603" i="6"/>
  <c r="J603" i="6"/>
  <c r="I603" i="6"/>
  <c r="L603" i="6" s="1"/>
  <c r="S602" i="6"/>
  <c r="O602" i="6"/>
  <c r="J602" i="6"/>
  <c r="I602" i="6"/>
  <c r="N602" i="6" s="1"/>
  <c r="S601" i="6"/>
  <c r="O601" i="6"/>
  <c r="K601" i="6"/>
  <c r="J601" i="6"/>
  <c r="I601" i="6"/>
  <c r="M601" i="6" s="1"/>
  <c r="S600" i="6"/>
  <c r="O600" i="6"/>
  <c r="M600" i="6"/>
  <c r="J600" i="6"/>
  <c r="I600" i="6"/>
  <c r="N600" i="6" s="1"/>
  <c r="S599" i="6"/>
  <c r="O599" i="6"/>
  <c r="M599" i="6"/>
  <c r="J599" i="6"/>
  <c r="I599" i="6"/>
  <c r="L599" i="6" s="1"/>
  <c r="S598" i="6"/>
  <c r="O598" i="6"/>
  <c r="L598" i="6"/>
  <c r="K598" i="6"/>
  <c r="J598" i="6"/>
  <c r="I598" i="6"/>
  <c r="M598" i="6" s="1"/>
  <c r="S597" i="6"/>
  <c r="O597" i="6"/>
  <c r="J597" i="6"/>
  <c r="I597" i="6"/>
  <c r="N597" i="6" s="1"/>
  <c r="S596" i="6"/>
  <c r="O596" i="6"/>
  <c r="N596" i="6"/>
  <c r="M596" i="6"/>
  <c r="J596" i="6"/>
  <c r="I596" i="6"/>
  <c r="S595" i="6"/>
  <c r="O595" i="6"/>
  <c r="M595" i="6"/>
  <c r="J595" i="6"/>
  <c r="I595" i="6"/>
  <c r="L595" i="6" s="1"/>
  <c r="S594" i="6"/>
  <c r="O594" i="6"/>
  <c r="K594" i="6"/>
  <c r="J594" i="6"/>
  <c r="I594" i="6"/>
  <c r="M594" i="6" s="1"/>
  <c r="S593" i="6"/>
  <c r="O593" i="6"/>
  <c r="K593" i="6"/>
  <c r="J593" i="6"/>
  <c r="I593" i="6"/>
  <c r="S592" i="6"/>
  <c r="O592" i="6"/>
  <c r="J592" i="6"/>
  <c r="I592" i="6"/>
  <c r="N592" i="6" s="1"/>
  <c r="S591" i="6"/>
  <c r="O591" i="6"/>
  <c r="J591" i="6"/>
  <c r="I591" i="6"/>
  <c r="M591" i="6" s="1"/>
  <c r="S590" i="6"/>
  <c r="O590" i="6"/>
  <c r="N590" i="6"/>
  <c r="J590" i="6"/>
  <c r="I590" i="6"/>
  <c r="L590" i="6" s="1"/>
  <c r="S589" i="6"/>
  <c r="O589" i="6"/>
  <c r="N589" i="6"/>
  <c r="K589" i="6"/>
  <c r="J589" i="6"/>
  <c r="I589" i="6"/>
  <c r="M589" i="6" s="1"/>
  <c r="S588" i="6"/>
  <c r="O588" i="6"/>
  <c r="J588" i="6"/>
  <c r="I588" i="6"/>
  <c r="M588" i="6" s="1"/>
  <c r="S587" i="6"/>
  <c r="O587" i="6"/>
  <c r="J587" i="6"/>
  <c r="I587" i="6"/>
  <c r="S586" i="6"/>
  <c r="O586" i="6"/>
  <c r="L586" i="6"/>
  <c r="K586" i="6"/>
  <c r="J586" i="6"/>
  <c r="I586" i="6"/>
  <c r="M586" i="6" s="1"/>
  <c r="S585" i="6"/>
  <c r="O585" i="6"/>
  <c r="J585" i="6"/>
  <c r="I585" i="6"/>
  <c r="K585" i="6" s="1"/>
  <c r="S584" i="6"/>
  <c r="O584" i="6"/>
  <c r="M584" i="6"/>
  <c r="J584" i="6"/>
  <c r="I584" i="6"/>
  <c r="N584" i="6" s="1"/>
  <c r="S583" i="6"/>
  <c r="O583" i="6"/>
  <c r="L583" i="6"/>
  <c r="J583" i="6"/>
  <c r="I583" i="6"/>
  <c r="M583" i="6" s="1"/>
  <c r="S582" i="6"/>
  <c r="O582" i="6"/>
  <c r="N582" i="6"/>
  <c r="J582" i="6"/>
  <c r="I582" i="6"/>
  <c r="L582" i="6" s="1"/>
  <c r="S581" i="6"/>
  <c r="O581" i="6"/>
  <c r="N581" i="6"/>
  <c r="K581" i="6"/>
  <c r="J581" i="6"/>
  <c r="I581" i="6"/>
  <c r="M581" i="6" s="1"/>
  <c r="S580" i="6"/>
  <c r="O580" i="6"/>
  <c r="J580" i="6"/>
  <c r="I580" i="6"/>
  <c r="M580" i="6" s="1"/>
  <c r="S579" i="6"/>
  <c r="O579" i="6"/>
  <c r="M579" i="6"/>
  <c r="L579" i="6"/>
  <c r="J579" i="6"/>
  <c r="I579" i="6"/>
  <c r="S578" i="6"/>
  <c r="O578" i="6"/>
  <c r="J578" i="6"/>
  <c r="I578" i="6"/>
  <c r="N578" i="6" s="1"/>
  <c r="S577" i="6"/>
  <c r="O577" i="6"/>
  <c r="K577" i="6"/>
  <c r="J577" i="6"/>
  <c r="I577" i="6"/>
  <c r="M577" i="6" s="1"/>
  <c r="S576" i="6"/>
  <c r="O576" i="6"/>
  <c r="J576" i="6"/>
  <c r="I576" i="6"/>
  <c r="S575" i="6"/>
  <c r="O575" i="6"/>
  <c r="J575" i="6"/>
  <c r="I575" i="6"/>
  <c r="S574" i="6"/>
  <c r="O574" i="6"/>
  <c r="L574" i="6"/>
  <c r="K574" i="6"/>
  <c r="J574" i="6"/>
  <c r="I574" i="6"/>
  <c r="M574" i="6" s="1"/>
  <c r="S573" i="6"/>
  <c r="O573" i="6"/>
  <c r="J573" i="6"/>
  <c r="I573" i="6"/>
  <c r="N573" i="6" s="1"/>
  <c r="S572" i="6"/>
  <c r="O572" i="6"/>
  <c r="N572" i="6"/>
  <c r="J572" i="6"/>
  <c r="I572" i="6"/>
  <c r="M572" i="6" s="1"/>
  <c r="S571" i="6"/>
  <c r="O571" i="6"/>
  <c r="M571" i="6"/>
  <c r="J571" i="6"/>
  <c r="I571" i="6"/>
  <c r="L571" i="6" s="1"/>
  <c r="S570" i="6"/>
  <c r="O570" i="6"/>
  <c r="N570" i="6"/>
  <c r="J570" i="6"/>
  <c r="I570" i="6"/>
  <c r="K570" i="6" s="1"/>
  <c r="S569" i="6"/>
  <c r="O569" i="6"/>
  <c r="N569" i="6"/>
  <c r="K569" i="6"/>
  <c r="J569" i="6"/>
  <c r="I569" i="6"/>
  <c r="M569" i="6" s="1"/>
  <c r="S568" i="6"/>
  <c r="O568" i="6"/>
  <c r="J568" i="6"/>
  <c r="I568" i="6"/>
  <c r="N568" i="6" s="1"/>
  <c r="S567" i="6"/>
  <c r="O567" i="6"/>
  <c r="L567" i="6"/>
  <c r="J567" i="6"/>
  <c r="I567" i="6"/>
  <c r="M567" i="6" s="1"/>
  <c r="S566" i="6"/>
  <c r="O566" i="6"/>
  <c r="L566" i="6"/>
  <c r="K566" i="6"/>
  <c r="J566" i="6"/>
  <c r="I566" i="6"/>
  <c r="M566" i="6" s="1"/>
  <c r="S565" i="6"/>
  <c r="O565" i="6"/>
  <c r="J565" i="6"/>
  <c r="I565" i="6"/>
  <c r="N565" i="6" s="1"/>
  <c r="S564" i="6"/>
  <c r="O564" i="6"/>
  <c r="N564" i="6"/>
  <c r="M564" i="6"/>
  <c r="J564" i="6"/>
  <c r="I564" i="6"/>
  <c r="S563" i="6"/>
  <c r="O563" i="6"/>
  <c r="J563" i="6"/>
  <c r="I563" i="6"/>
  <c r="L563" i="6" s="1"/>
  <c r="S562" i="6"/>
  <c r="O562" i="6"/>
  <c r="L562" i="6"/>
  <c r="K562" i="6"/>
  <c r="J562" i="6"/>
  <c r="I562" i="6"/>
  <c r="M562" i="6" s="1"/>
  <c r="S561" i="6"/>
  <c r="O561" i="6"/>
  <c r="J561" i="6"/>
  <c r="I561" i="6"/>
  <c r="S560" i="6"/>
  <c r="O560" i="6"/>
  <c r="J560" i="6"/>
  <c r="I560" i="6"/>
  <c r="S559" i="6"/>
  <c r="O559" i="6"/>
  <c r="J559" i="6"/>
  <c r="I559" i="6"/>
  <c r="S558" i="6"/>
  <c r="O558" i="6"/>
  <c r="L558" i="6"/>
  <c r="J558" i="6"/>
  <c r="I558" i="6"/>
  <c r="N558" i="6" s="1"/>
  <c r="S557" i="6"/>
  <c r="O557" i="6"/>
  <c r="N557" i="6"/>
  <c r="K557" i="6"/>
  <c r="J557" i="6"/>
  <c r="I557" i="6"/>
  <c r="M557" i="6" s="1"/>
  <c r="S556" i="6"/>
  <c r="O556" i="6"/>
  <c r="J556" i="6"/>
  <c r="I556" i="6"/>
  <c r="M556" i="6" s="1"/>
  <c r="S555" i="6"/>
  <c r="O555" i="6"/>
  <c r="J555" i="6"/>
  <c r="I555" i="6"/>
  <c r="S554" i="6"/>
  <c r="O554" i="6"/>
  <c r="L554" i="6"/>
  <c r="K554" i="6"/>
  <c r="J554" i="6"/>
  <c r="I554" i="6"/>
  <c r="M554" i="6" s="1"/>
  <c r="S553" i="6"/>
  <c r="O553" i="6"/>
  <c r="J553" i="6"/>
  <c r="I553" i="6"/>
  <c r="S552" i="6"/>
  <c r="O552" i="6"/>
  <c r="N552" i="6"/>
  <c r="M552" i="6"/>
  <c r="J552" i="6"/>
  <c r="I552" i="6"/>
  <c r="S551" i="6"/>
  <c r="O551" i="6"/>
  <c r="M551" i="6"/>
  <c r="J551" i="6"/>
  <c r="I551" i="6"/>
  <c r="L551" i="6" s="1"/>
  <c r="S550" i="6"/>
  <c r="O550" i="6"/>
  <c r="K550" i="6"/>
  <c r="J550" i="6"/>
  <c r="I550" i="6"/>
  <c r="M550" i="6" s="1"/>
  <c r="S549" i="6"/>
  <c r="O549" i="6"/>
  <c r="J549" i="6"/>
  <c r="I549" i="6"/>
  <c r="S548" i="6"/>
  <c r="O548" i="6"/>
  <c r="M548" i="6"/>
  <c r="J548" i="6"/>
  <c r="I548" i="6"/>
  <c r="N548" i="6" s="1"/>
  <c r="S547" i="6"/>
  <c r="O547" i="6"/>
  <c r="J547" i="6"/>
  <c r="I547" i="6"/>
  <c r="S546" i="6"/>
  <c r="O546" i="6"/>
  <c r="L546" i="6"/>
  <c r="K546" i="6"/>
  <c r="J546" i="6"/>
  <c r="I546" i="6"/>
  <c r="M546" i="6" s="1"/>
  <c r="S545" i="6"/>
  <c r="O545" i="6"/>
  <c r="N545" i="6"/>
  <c r="J545" i="6"/>
  <c r="I545" i="6"/>
  <c r="M545" i="6" s="1"/>
  <c r="S544" i="6"/>
  <c r="O544" i="6"/>
  <c r="J544" i="6"/>
  <c r="I544" i="6"/>
  <c r="S543" i="6"/>
  <c r="O543" i="6"/>
  <c r="J543" i="6"/>
  <c r="I543" i="6"/>
  <c r="S542" i="6"/>
  <c r="O542" i="6"/>
  <c r="N542" i="6"/>
  <c r="J542" i="6"/>
  <c r="I542" i="6"/>
  <c r="S541" i="6"/>
  <c r="O541" i="6"/>
  <c r="K541" i="6"/>
  <c r="J541" i="6"/>
  <c r="I541" i="6"/>
  <c r="M541" i="6" s="1"/>
  <c r="S540" i="6"/>
  <c r="O540" i="6"/>
  <c r="J540" i="6"/>
  <c r="I540" i="6"/>
  <c r="S539" i="6"/>
  <c r="O539" i="6"/>
  <c r="M539" i="6"/>
  <c r="J539" i="6"/>
  <c r="I539" i="6"/>
  <c r="S538" i="6"/>
  <c r="O538" i="6"/>
  <c r="K538" i="6"/>
  <c r="J538" i="6"/>
  <c r="I538" i="6"/>
  <c r="M538" i="6" s="1"/>
  <c r="S537" i="6"/>
  <c r="O537" i="6"/>
  <c r="J537" i="6"/>
  <c r="I537" i="6"/>
  <c r="S536" i="6"/>
  <c r="O536" i="6"/>
  <c r="M536" i="6"/>
  <c r="J536" i="6"/>
  <c r="I536" i="6"/>
  <c r="N536" i="6" s="1"/>
  <c r="S535" i="6"/>
  <c r="O535" i="6"/>
  <c r="J535" i="6"/>
  <c r="I535" i="6"/>
  <c r="S534" i="6"/>
  <c r="O534" i="6"/>
  <c r="L534" i="6"/>
  <c r="K534" i="6"/>
  <c r="J534" i="6"/>
  <c r="I534" i="6"/>
  <c r="M534" i="6" s="1"/>
  <c r="S533" i="6"/>
  <c r="O533" i="6"/>
  <c r="N533" i="6"/>
  <c r="J533" i="6"/>
  <c r="I533" i="6"/>
  <c r="M533" i="6" s="1"/>
  <c r="S532" i="6"/>
  <c r="O532" i="6"/>
  <c r="N532" i="6"/>
  <c r="M532" i="6"/>
  <c r="J532" i="6"/>
  <c r="I532" i="6"/>
  <c r="S531" i="6"/>
  <c r="O531" i="6"/>
  <c r="M531" i="6"/>
  <c r="J531" i="6"/>
  <c r="I531" i="6"/>
  <c r="L531" i="6" s="1"/>
  <c r="S530" i="6"/>
  <c r="O530" i="6"/>
  <c r="J530" i="6"/>
  <c r="I530" i="6"/>
  <c r="S529" i="6"/>
  <c r="O529" i="6"/>
  <c r="K529" i="6"/>
  <c r="J529" i="6"/>
  <c r="I529" i="6"/>
  <c r="M529" i="6" s="1"/>
  <c r="S528" i="6"/>
  <c r="O528" i="6"/>
  <c r="J528" i="6"/>
  <c r="I528" i="6"/>
  <c r="S527" i="6"/>
  <c r="O527" i="6"/>
  <c r="J527" i="6"/>
  <c r="I527" i="6"/>
  <c r="S526" i="6"/>
  <c r="O526" i="6"/>
  <c r="L526" i="6"/>
  <c r="J526" i="6"/>
  <c r="I526" i="6"/>
  <c r="M526" i="6" s="1"/>
  <c r="S525" i="6"/>
  <c r="O525" i="6"/>
  <c r="N525" i="6"/>
  <c r="K525" i="6"/>
  <c r="J525" i="6"/>
  <c r="I525" i="6"/>
  <c r="M525" i="6" s="1"/>
  <c r="S524" i="6"/>
  <c r="O524" i="6"/>
  <c r="J524" i="6"/>
  <c r="I524" i="6"/>
  <c r="N524" i="6" s="1"/>
  <c r="S523" i="6"/>
  <c r="O523" i="6"/>
  <c r="J523" i="6"/>
  <c r="I523" i="6"/>
  <c r="S522" i="6"/>
  <c r="O522" i="6"/>
  <c r="L522" i="6"/>
  <c r="K522" i="6"/>
  <c r="J522" i="6"/>
  <c r="I522" i="6"/>
  <c r="M522" i="6" s="1"/>
  <c r="S521" i="6"/>
  <c r="O521" i="6"/>
  <c r="N521" i="6"/>
  <c r="J521" i="6"/>
  <c r="I521" i="6"/>
  <c r="M521" i="6" s="1"/>
  <c r="S520" i="6"/>
  <c r="O520" i="6"/>
  <c r="N520" i="6"/>
  <c r="M520" i="6"/>
  <c r="J520" i="6"/>
  <c r="I520" i="6"/>
  <c r="S519" i="6"/>
  <c r="O519" i="6"/>
  <c r="M519" i="6"/>
  <c r="J519" i="6"/>
  <c r="I519" i="6"/>
  <c r="L519" i="6" s="1"/>
  <c r="S518" i="6"/>
  <c r="O518" i="6"/>
  <c r="J518" i="6"/>
  <c r="I518" i="6"/>
  <c r="S517" i="6"/>
  <c r="O517" i="6"/>
  <c r="K517" i="6"/>
  <c r="J517" i="6"/>
  <c r="I517" i="6"/>
  <c r="M517" i="6" s="1"/>
  <c r="S516" i="6"/>
  <c r="O516" i="6"/>
  <c r="J516" i="6"/>
  <c r="I516" i="6"/>
  <c r="S515" i="6"/>
  <c r="O515" i="6"/>
  <c r="L515" i="6"/>
  <c r="J515" i="6"/>
  <c r="I515" i="6"/>
  <c r="M515" i="6" s="1"/>
  <c r="S514" i="6"/>
  <c r="O514" i="6"/>
  <c r="L514" i="6"/>
  <c r="J514" i="6"/>
  <c r="I514" i="6"/>
  <c r="M514" i="6" s="1"/>
  <c r="S513" i="6"/>
  <c r="O513" i="6"/>
  <c r="N513" i="6"/>
  <c r="K513" i="6"/>
  <c r="J513" i="6"/>
  <c r="I513" i="6"/>
  <c r="M513" i="6" s="1"/>
  <c r="S512" i="6"/>
  <c r="O512" i="6"/>
  <c r="J512" i="6"/>
  <c r="I512" i="6"/>
  <c r="S511" i="6"/>
  <c r="O511" i="6"/>
  <c r="J511" i="6"/>
  <c r="I511" i="6"/>
  <c r="S510" i="6"/>
  <c r="O510" i="6"/>
  <c r="K510" i="6"/>
  <c r="J510" i="6"/>
  <c r="I510" i="6"/>
  <c r="M510" i="6" s="1"/>
  <c r="S509" i="6"/>
  <c r="O509" i="6"/>
  <c r="J509" i="6"/>
  <c r="I509" i="6"/>
  <c r="S508" i="6"/>
  <c r="O508" i="6"/>
  <c r="J508" i="6"/>
  <c r="I508" i="6"/>
  <c r="S507" i="6"/>
  <c r="O507" i="6"/>
  <c r="J507" i="6"/>
  <c r="I507" i="6"/>
  <c r="M507" i="6" s="1"/>
  <c r="S506" i="6"/>
  <c r="O506" i="6"/>
  <c r="N506" i="6"/>
  <c r="J506" i="6"/>
  <c r="I506" i="6"/>
  <c r="S505" i="6"/>
  <c r="O505" i="6"/>
  <c r="K505" i="6"/>
  <c r="J505" i="6"/>
  <c r="I505" i="6"/>
  <c r="M505" i="6" s="1"/>
  <c r="S504" i="6"/>
  <c r="O504" i="6"/>
  <c r="J504" i="6"/>
  <c r="I504" i="6"/>
  <c r="S503" i="6"/>
  <c r="O503" i="6"/>
  <c r="L503" i="6"/>
  <c r="J503" i="6"/>
  <c r="I503" i="6"/>
  <c r="M503" i="6" s="1"/>
  <c r="S502" i="6"/>
  <c r="O502" i="6"/>
  <c r="L502" i="6"/>
  <c r="J502" i="6"/>
  <c r="I502" i="6"/>
  <c r="M502" i="6" s="1"/>
  <c r="S501" i="6"/>
  <c r="O501" i="6"/>
  <c r="N501" i="6"/>
  <c r="K501" i="6"/>
  <c r="J501" i="6"/>
  <c r="I501" i="6"/>
  <c r="M501" i="6" s="1"/>
  <c r="S500" i="6"/>
  <c r="O500" i="6"/>
  <c r="N500" i="6"/>
  <c r="J500" i="6"/>
  <c r="I500" i="6"/>
  <c r="M500" i="6" s="1"/>
  <c r="S499" i="6"/>
  <c r="O499" i="6"/>
  <c r="M499" i="6"/>
  <c r="L499" i="6"/>
  <c r="J499" i="6"/>
  <c r="I499" i="6"/>
  <c r="S498" i="6"/>
  <c r="O498" i="6"/>
  <c r="K498" i="6"/>
  <c r="J498" i="6"/>
  <c r="I498" i="6"/>
  <c r="M498" i="6" s="1"/>
  <c r="S497" i="6"/>
  <c r="O497" i="6"/>
  <c r="J497" i="6"/>
  <c r="I497" i="6"/>
  <c r="S496" i="6"/>
  <c r="O496" i="6"/>
  <c r="J496" i="6"/>
  <c r="I496" i="6"/>
  <c r="S495" i="6"/>
  <c r="O495" i="6"/>
  <c r="J495" i="6"/>
  <c r="I495" i="6"/>
  <c r="S494" i="6"/>
  <c r="O494" i="6"/>
  <c r="L494" i="6"/>
  <c r="K494" i="6"/>
  <c r="J494" i="6"/>
  <c r="I494" i="6"/>
  <c r="M494" i="6" s="1"/>
  <c r="S493" i="6"/>
  <c r="O493" i="6"/>
  <c r="N493" i="6"/>
  <c r="J493" i="6"/>
  <c r="I493" i="6"/>
  <c r="M493" i="6" s="1"/>
  <c r="S492" i="6"/>
  <c r="O492" i="6"/>
  <c r="N492" i="6"/>
  <c r="J492" i="6"/>
  <c r="I492" i="6"/>
  <c r="S491" i="6"/>
  <c r="O491" i="6"/>
  <c r="J491" i="6"/>
  <c r="I491" i="6"/>
  <c r="S490" i="6"/>
  <c r="O490" i="6"/>
  <c r="L490" i="6"/>
  <c r="J490" i="6"/>
  <c r="I490" i="6"/>
  <c r="M490" i="6" s="1"/>
  <c r="S489" i="6"/>
  <c r="O489" i="6"/>
  <c r="N489" i="6"/>
  <c r="K489" i="6"/>
  <c r="J489" i="6"/>
  <c r="I489" i="6"/>
  <c r="M489" i="6" s="1"/>
  <c r="S488" i="6"/>
  <c r="O488" i="6"/>
  <c r="N488" i="6"/>
  <c r="J488" i="6"/>
  <c r="I488" i="6"/>
  <c r="M488" i="6" s="1"/>
  <c r="S487" i="6"/>
  <c r="O487" i="6"/>
  <c r="M487" i="6"/>
  <c r="L487" i="6"/>
  <c r="J487" i="6"/>
  <c r="I487" i="6"/>
  <c r="S486" i="6"/>
  <c r="O486" i="6"/>
  <c r="K486" i="6"/>
  <c r="J486" i="6"/>
  <c r="I486" i="6"/>
  <c r="M486" i="6" s="1"/>
  <c r="S485" i="6"/>
  <c r="O485" i="6"/>
  <c r="J485" i="6"/>
  <c r="I485" i="6"/>
  <c r="S484" i="6"/>
  <c r="O484" i="6"/>
  <c r="M484" i="6"/>
  <c r="J484" i="6"/>
  <c r="I484" i="6"/>
  <c r="N484" i="6" s="1"/>
  <c r="S483" i="6"/>
  <c r="O483" i="6"/>
  <c r="J483" i="6"/>
  <c r="I483" i="6"/>
  <c r="S482" i="6"/>
  <c r="O482" i="6"/>
  <c r="L482" i="6"/>
  <c r="K482" i="6"/>
  <c r="J482" i="6"/>
  <c r="I482" i="6"/>
  <c r="M482" i="6" s="1"/>
  <c r="S481" i="6"/>
  <c r="O481" i="6"/>
  <c r="N481" i="6"/>
  <c r="J481" i="6"/>
  <c r="I481" i="6"/>
  <c r="M481" i="6" s="1"/>
  <c r="S480" i="6"/>
  <c r="O480" i="6"/>
  <c r="J480" i="6"/>
  <c r="I480" i="6"/>
  <c r="S479" i="6"/>
  <c r="O479" i="6"/>
  <c r="J479" i="6"/>
  <c r="I479" i="6"/>
  <c r="S478" i="6"/>
  <c r="O478" i="6"/>
  <c r="J478" i="6"/>
  <c r="I478" i="6"/>
  <c r="S477" i="6"/>
  <c r="O477" i="6"/>
  <c r="K477" i="6"/>
  <c r="J477" i="6"/>
  <c r="I477" i="6"/>
  <c r="M477" i="6" s="1"/>
  <c r="S476" i="6"/>
  <c r="O476" i="6"/>
  <c r="J476" i="6"/>
  <c r="I476" i="6"/>
  <c r="S475" i="6"/>
  <c r="O475" i="6"/>
  <c r="J475" i="6"/>
  <c r="I475" i="6"/>
  <c r="M475" i="6" s="1"/>
  <c r="S474" i="6"/>
  <c r="O474" i="6"/>
  <c r="K474" i="6"/>
  <c r="J474" i="6"/>
  <c r="I474" i="6"/>
  <c r="M474" i="6" s="1"/>
  <c r="S473" i="6"/>
  <c r="O473" i="6"/>
  <c r="J473" i="6"/>
  <c r="I473" i="6"/>
  <c r="S472" i="6"/>
  <c r="O472" i="6"/>
  <c r="M472" i="6"/>
  <c r="J472" i="6"/>
  <c r="I472" i="6"/>
  <c r="N472" i="6" s="1"/>
  <c r="S471" i="6"/>
  <c r="O471" i="6"/>
  <c r="J471" i="6"/>
  <c r="I471" i="6"/>
  <c r="S470" i="6"/>
  <c r="O470" i="6"/>
  <c r="L470" i="6"/>
  <c r="J470" i="6"/>
  <c r="I470" i="6"/>
  <c r="M470" i="6" s="1"/>
  <c r="S469" i="6"/>
  <c r="O469" i="6"/>
  <c r="N469" i="6"/>
  <c r="K469" i="6"/>
  <c r="J469" i="6"/>
  <c r="I469" i="6"/>
  <c r="M469" i="6" s="1"/>
  <c r="S468" i="6"/>
  <c r="O468" i="6"/>
  <c r="N468" i="6"/>
  <c r="J468" i="6"/>
  <c r="I468" i="6"/>
  <c r="M468" i="6" s="1"/>
  <c r="S467" i="6"/>
  <c r="O467" i="6"/>
  <c r="M467" i="6"/>
  <c r="L467" i="6"/>
  <c r="J467" i="6"/>
  <c r="I467" i="6"/>
  <c r="S466" i="6"/>
  <c r="O466" i="6"/>
  <c r="N466" i="6"/>
  <c r="J466" i="6"/>
  <c r="I466" i="6"/>
  <c r="S465" i="6"/>
  <c r="O465" i="6"/>
  <c r="K465" i="6"/>
  <c r="J465" i="6"/>
  <c r="I465" i="6"/>
  <c r="M465" i="6" s="1"/>
  <c r="S464" i="6"/>
  <c r="O464" i="6"/>
  <c r="J464" i="6"/>
  <c r="I464" i="6"/>
  <c r="S463" i="6"/>
  <c r="O463" i="6"/>
  <c r="J463" i="6"/>
  <c r="I463" i="6"/>
  <c r="S462" i="6"/>
  <c r="O462" i="6"/>
  <c r="L462" i="6"/>
  <c r="K462" i="6"/>
  <c r="J462" i="6"/>
  <c r="I462" i="6"/>
  <c r="M462" i="6" s="1"/>
  <c r="S461" i="6"/>
  <c r="O461" i="6"/>
  <c r="N461" i="6"/>
  <c r="J461" i="6"/>
  <c r="I461" i="6"/>
  <c r="M461" i="6" s="1"/>
  <c r="S460" i="6"/>
  <c r="O460" i="6"/>
  <c r="J460" i="6"/>
  <c r="I460" i="6"/>
  <c r="N460" i="6" s="1"/>
  <c r="S459" i="6"/>
  <c r="O459" i="6"/>
  <c r="J459" i="6"/>
  <c r="I459" i="6"/>
  <c r="S458" i="6"/>
  <c r="O458" i="6"/>
  <c r="L458" i="6"/>
  <c r="J458" i="6"/>
  <c r="I458" i="6"/>
  <c r="M458" i="6" s="1"/>
  <c r="S457" i="6"/>
  <c r="O457" i="6"/>
  <c r="N457" i="6"/>
  <c r="K457" i="6"/>
  <c r="J457" i="6"/>
  <c r="I457" i="6"/>
  <c r="M457" i="6" s="1"/>
  <c r="S456" i="6"/>
  <c r="O456" i="6"/>
  <c r="N456" i="6"/>
  <c r="J456" i="6"/>
  <c r="I456" i="6"/>
  <c r="M456" i="6" s="1"/>
  <c r="S455" i="6"/>
  <c r="O455" i="6"/>
  <c r="M455" i="6"/>
  <c r="L455" i="6"/>
  <c r="J455" i="6"/>
  <c r="I455" i="6"/>
  <c r="S454" i="6"/>
  <c r="O454" i="6"/>
  <c r="K454" i="6"/>
  <c r="J454" i="6"/>
  <c r="I454" i="6"/>
  <c r="N454" i="6" s="1"/>
  <c r="S453" i="6"/>
  <c r="O453" i="6"/>
  <c r="K453" i="6"/>
  <c r="J453" i="6"/>
  <c r="I453" i="6"/>
  <c r="S452" i="6"/>
  <c r="O452" i="6"/>
  <c r="J452" i="6"/>
  <c r="I452" i="6"/>
  <c r="N452" i="6" s="1"/>
  <c r="S451" i="6"/>
  <c r="O451" i="6"/>
  <c r="J451" i="6"/>
  <c r="I451" i="6"/>
  <c r="M451" i="6" s="1"/>
  <c r="S450" i="6"/>
  <c r="O450" i="6"/>
  <c r="L450" i="6"/>
  <c r="K450" i="6"/>
  <c r="J450" i="6"/>
  <c r="I450" i="6"/>
  <c r="M450" i="6" s="1"/>
  <c r="S449" i="6"/>
  <c r="O449" i="6"/>
  <c r="N449" i="6"/>
  <c r="J449" i="6"/>
  <c r="I449" i="6"/>
  <c r="M449" i="6" s="1"/>
  <c r="S448" i="6"/>
  <c r="O448" i="6"/>
  <c r="J448" i="6"/>
  <c r="I448" i="6"/>
  <c r="S447" i="6"/>
  <c r="O447" i="6"/>
  <c r="J447" i="6"/>
  <c r="I447" i="6"/>
  <c r="S446" i="6"/>
  <c r="O446" i="6"/>
  <c r="K446" i="6"/>
  <c r="J446" i="6"/>
  <c r="I446" i="6"/>
  <c r="N446" i="6" s="1"/>
  <c r="S445" i="6"/>
  <c r="O445" i="6"/>
  <c r="K445" i="6"/>
  <c r="J445" i="6"/>
  <c r="I445" i="6"/>
  <c r="S444" i="6"/>
  <c r="O444" i="6"/>
  <c r="J444" i="6"/>
  <c r="I444" i="6"/>
  <c r="S443" i="6"/>
  <c r="O443" i="6"/>
  <c r="J443" i="6"/>
  <c r="I443" i="6"/>
  <c r="S442" i="6"/>
  <c r="O442" i="6"/>
  <c r="L442" i="6"/>
  <c r="K442" i="6"/>
  <c r="J442" i="6"/>
  <c r="I442" i="6"/>
  <c r="M442" i="6" s="1"/>
  <c r="S441" i="6"/>
  <c r="O441" i="6"/>
  <c r="J441" i="6"/>
  <c r="I441" i="6"/>
  <c r="S440" i="6"/>
  <c r="O440" i="6"/>
  <c r="M440" i="6"/>
  <c r="J440" i="6"/>
  <c r="I440" i="6"/>
  <c r="K440" i="6" s="1"/>
  <c r="S439" i="6"/>
  <c r="O439" i="6"/>
  <c r="L439" i="6"/>
  <c r="K439" i="6"/>
  <c r="J439" i="6"/>
  <c r="I439" i="6"/>
  <c r="N439" i="6" s="1"/>
  <c r="S438" i="6"/>
  <c r="O438" i="6"/>
  <c r="J438" i="6"/>
  <c r="I438" i="6"/>
  <c r="N438" i="6" s="1"/>
  <c r="S437" i="6"/>
  <c r="O437" i="6"/>
  <c r="J437" i="6"/>
  <c r="I437" i="6"/>
  <c r="S436" i="6"/>
  <c r="O436" i="6"/>
  <c r="J436" i="6"/>
  <c r="I436" i="6"/>
  <c r="S435" i="6"/>
  <c r="O435" i="6"/>
  <c r="L435" i="6"/>
  <c r="J435" i="6"/>
  <c r="I435" i="6"/>
  <c r="M435" i="6" s="1"/>
  <c r="S434" i="6"/>
  <c r="O434" i="6"/>
  <c r="L434" i="6"/>
  <c r="J434" i="6"/>
  <c r="I434" i="6"/>
  <c r="M434" i="6" s="1"/>
  <c r="S433" i="6"/>
  <c r="O433" i="6"/>
  <c r="M433" i="6"/>
  <c r="K433" i="6"/>
  <c r="J433" i="6"/>
  <c r="I433" i="6"/>
  <c r="L433" i="6" s="1"/>
  <c r="S432" i="6"/>
  <c r="O432" i="6"/>
  <c r="J432" i="6"/>
  <c r="I432" i="6"/>
  <c r="S431" i="6"/>
  <c r="O431" i="6"/>
  <c r="M431" i="6"/>
  <c r="J431" i="6"/>
  <c r="I431" i="6"/>
  <c r="S430" i="6"/>
  <c r="O430" i="6"/>
  <c r="L430" i="6"/>
  <c r="K430" i="6"/>
  <c r="J430" i="6"/>
  <c r="I430" i="6"/>
  <c r="M430" i="6" s="1"/>
  <c r="S429" i="6"/>
  <c r="O429" i="6"/>
  <c r="M429" i="6"/>
  <c r="J429" i="6"/>
  <c r="I429" i="6"/>
  <c r="L429" i="6" s="1"/>
  <c r="S428" i="6"/>
  <c r="O428" i="6"/>
  <c r="J428" i="6"/>
  <c r="I428" i="6"/>
  <c r="S427" i="6"/>
  <c r="O427" i="6"/>
  <c r="L427" i="6"/>
  <c r="K427" i="6"/>
  <c r="J427" i="6"/>
  <c r="I427" i="6"/>
  <c r="N427" i="6" s="1"/>
  <c r="S426" i="6"/>
  <c r="O426" i="6"/>
  <c r="N426" i="6"/>
  <c r="J426" i="6"/>
  <c r="I426" i="6"/>
  <c r="S425" i="6"/>
  <c r="O425" i="6"/>
  <c r="M425" i="6"/>
  <c r="J425" i="6"/>
  <c r="I425" i="6"/>
  <c r="N425" i="6" s="1"/>
  <c r="S424" i="6"/>
  <c r="O424" i="6"/>
  <c r="L424" i="6"/>
  <c r="J424" i="6"/>
  <c r="I424" i="6"/>
  <c r="S423" i="6"/>
  <c r="O423" i="6"/>
  <c r="J423" i="6"/>
  <c r="I423" i="6"/>
  <c r="K423" i="6" s="1"/>
  <c r="S422" i="6"/>
  <c r="O422" i="6"/>
  <c r="L422" i="6"/>
  <c r="K422" i="6"/>
  <c r="J422" i="6"/>
  <c r="I422" i="6"/>
  <c r="M422" i="6" s="1"/>
  <c r="S421" i="6"/>
  <c r="O421" i="6"/>
  <c r="J421" i="6"/>
  <c r="I421" i="6"/>
  <c r="N421" i="6" s="1"/>
  <c r="S420" i="6"/>
  <c r="O420" i="6"/>
  <c r="J420" i="6"/>
  <c r="I420" i="6"/>
  <c r="L420" i="6" s="1"/>
  <c r="S419" i="6"/>
  <c r="O419" i="6"/>
  <c r="L419" i="6"/>
  <c r="J419" i="6"/>
  <c r="I419" i="6"/>
  <c r="M419" i="6" s="1"/>
  <c r="S418" i="6"/>
  <c r="O418" i="6"/>
  <c r="N418" i="6"/>
  <c r="J418" i="6"/>
  <c r="I418" i="6"/>
  <c r="K418" i="6" s="1"/>
  <c r="S417" i="6"/>
  <c r="O417" i="6"/>
  <c r="J417" i="6"/>
  <c r="I417" i="6"/>
  <c r="K417" i="6" s="1"/>
  <c r="S416" i="6"/>
  <c r="O416" i="6"/>
  <c r="J416" i="6"/>
  <c r="I416" i="6"/>
  <c r="N416" i="6" s="1"/>
  <c r="S415" i="6"/>
  <c r="O415" i="6"/>
  <c r="J415" i="6"/>
  <c r="I415" i="6"/>
  <c r="S414" i="6"/>
  <c r="O414" i="6"/>
  <c r="L414" i="6"/>
  <c r="K414" i="6"/>
  <c r="J414" i="6"/>
  <c r="I414" i="6"/>
  <c r="M414" i="6" s="1"/>
  <c r="S413" i="6"/>
  <c r="O413" i="6"/>
  <c r="M413" i="6"/>
  <c r="J413" i="6"/>
  <c r="I413" i="6"/>
  <c r="L413" i="6" s="1"/>
  <c r="S412" i="6"/>
  <c r="O412" i="6"/>
  <c r="J412" i="6"/>
  <c r="I412" i="6"/>
  <c r="N412" i="6" s="1"/>
  <c r="S411" i="6"/>
  <c r="O411" i="6"/>
  <c r="K411" i="6"/>
  <c r="J411" i="6"/>
  <c r="I411" i="6"/>
  <c r="S410" i="6"/>
  <c r="O410" i="6"/>
  <c r="L410" i="6"/>
  <c r="K410" i="6"/>
  <c r="J410" i="6"/>
  <c r="I410" i="6"/>
  <c r="M410" i="6" s="1"/>
  <c r="S409" i="6"/>
  <c r="O409" i="6"/>
  <c r="J409" i="6"/>
  <c r="I409" i="6"/>
  <c r="N409" i="6" s="1"/>
  <c r="S408" i="6"/>
  <c r="O408" i="6"/>
  <c r="L408" i="6"/>
  <c r="J408" i="6"/>
  <c r="I408" i="6"/>
  <c r="S407" i="6"/>
  <c r="O407" i="6"/>
  <c r="K407" i="6"/>
  <c r="J407" i="6"/>
  <c r="I407" i="6"/>
  <c r="S406" i="6"/>
  <c r="O406" i="6"/>
  <c r="L406" i="6"/>
  <c r="K406" i="6"/>
  <c r="J406" i="6"/>
  <c r="I406" i="6"/>
  <c r="M406" i="6" s="1"/>
  <c r="S405" i="6"/>
  <c r="O405" i="6"/>
  <c r="N405" i="6"/>
  <c r="J405" i="6"/>
  <c r="I405" i="6"/>
  <c r="S404" i="6"/>
  <c r="O404" i="6"/>
  <c r="L404" i="6"/>
  <c r="J404" i="6"/>
  <c r="I404" i="6"/>
  <c r="S403" i="6"/>
  <c r="O403" i="6"/>
  <c r="J403" i="6"/>
  <c r="I403" i="6"/>
  <c r="S402" i="6"/>
  <c r="O402" i="6"/>
  <c r="L402" i="6"/>
  <c r="J402" i="6"/>
  <c r="I402" i="6"/>
  <c r="M402" i="6" s="1"/>
  <c r="S401" i="6"/>
  <c r="O401" i="6"/>
  <c r="M401" i="6"/>
  <c r="K401" i="6"/>
  <c r="J401" i="6"/>
  <c r="I401" i="6"/>
  <c r="L401" i="6" s="1"/>
  <c r="S400" i="6"/>
  <c r="O400" i="6"/>
  <c r="N400" i="6"/>
  <c r="J400" i="6"/>
  <c r="I400" i="6"/>
  <c r="M400" i="6" s="1"/>
  <c r="S399" i="6"/>
  <c r="O399" i="6"/>
  <c r="J399" i="6"/>
  <c r="I399" i="6"/>
  <c r="S398" i="6"/>
  <c r="O398" i="6"/>
  <c r="J398" i="6"/>
  <c r="I398" i="6"/>
  <c r="N398" i="6" s="1"/>
  <c r="S397" i="6"/>
  <c r="O397" i="6"/>
  <c r="K397" i="6"/>
  <c r="J397" i="6"/>
  <c r="I397" i="6"/>
  <c r="S396" i="6"/>
  <c r="O396" i="6"/>
  <c r="N396" i="6"/>
  <c r="J396" i="6"/>
  <c r="I396" i="6"/>
  <c r="S395" i="6"/>
  <c r="O395" i="6"/>
  <c r="L395" i="6"/>
  <c r="J395" i="6"/>
  <c r="I395" i="6"/>
  <c r="N395" i="6" s="1"/>
  <c r="S394" i="6"/>
  <c r="O394" i="6"/>
  <c r="N394" i="6"/>
  <c r="K394" i="6"/>
  <c r="J394" i="6"/>
  <c r="I394" i="6"/>
  <c r="S393" i="6"/>
  <c r="O393" i="6"/>
  <c r="J393" i="6"/>
  <c r="I393" i="6"/>
  <c r="S392" i="6"/>
  <c r="O392" i="6"/>
  <c r="L392" i="6"/>
  <c r="J392" i="6"/>
  <c r="I392" i="6"/>
  <c r="S391" i="6"/>
  <c r="O391" i="6"/>
  <c r="J391" i="6"/>
  <c r="I391" i="6"/>
  <c r="K391" i="6" s="1"/>
  <c r="S390" i="6"/>
  <c r="O390" i="6"/>
  <c r="L390" i="6"/>
  <c r="K390" i="6"/>
  <c r="J390" i="6"/>
  <c r="I390" i="6"/>
  <c r="M390" i="6" s="1"/>
  <c r="S389" i="6"/>
  <c r="O389" i="6"/>
  <c r="J389" i="6"/>
  <c r="I389" i="6"/>
  <c r="S388" i="6"/>
  <c r="O388" i="6"/>
  <c r="M388" i="6"/>
  <c r="J388" i="6"/>
  <c r="I388" i="6"/>
  <c r="K388" i="6" s="1"/>
  <c r="S387" i="6"/>
  <c r="O387" i="6"/>
  <c r="J387" i="6"/>
  <c r="I387" i="6"/>
  <c r="M387" i="6" s="1"/>
  <c r="S386" i="6"/>
  <c r="O386" i="6"/>
  <c r="L386" i="6"/>
  <c r="J386" i="6"/>
  <c r="I386" i="6"/>
  <c r="M386" i="6" s="1"/>
  <c r="S385" i="6"/>
  <c r="O385" i="6"/>
  <c r="K385" i="6"/>
  <c r="J385" i="6"/>
  <c r="I385" i="6"/>
  <c r="N385" i="6" s="1"/>
  <c r="S384" i="6"/>
  <c r="O384" i="6"/>
  <c r="M384" i="6"/>
  <c r="J384" i="6"/>
  <c r="I384" i="6"/>
  <c r="N384" i="6" s="1"/>
  <c r="S383" i="6"/>
  <c r="O383" i="6"/>
  <c r="J383" i="6"/>
  <c r="I383" i="6"/>
  <c r="M383" i="6" s="1"/>
  <c r="S382" i="6"/>
  <c r="O382" i="6"/>
  <c r="L382" i="6"/>
  <c r="J382" i="6"/>
  <c r="I382" i="6"/>
  <c r="M382" i="6" s="1"/>
  <c r="S381" i="6"/>
  <c r="O381" i="6"/>
  <c r="M381" i="6"/>
  <c r="K381" i="6"/>
  <c r="J381" i="6"/>
  <c r="I381" i="6"/>
  <c r="L381" i="6" s="1"/>
  <c r="S380" i="6"/>
  <c r="O380" i="6"/>
  <c r="N380" i="6"/>
  <c r="J380" i="6"/>
  <c r="I380" i="6"/>
  <c r="M380" i="6" s="1"/>
  <c r="S379" i="6"/>
  <c r="O379" i="6"/>
  <c r="J379" i="6"/>
  <c r="I379" i="6"/>
  <c r="M379" i="6" s="1"/>
  <c r="S378" i="6"/>
  <c r="O378" i="6"/>
  <c r="K378" i="6"/>
  <c r="J378" i="6"/>
  <c r="I378" i="6"/>
  <c r="S377" i="6"/>
  <c r="O377" i="6"/>
  <c r="L377" i="6"/>
  <c r="K377" i="6"/>
  <c r="J377" i="6"/>
  <c r="I377" i="6"/>
  <c r="M377" i="6" s="1"/>
  <c r="S376" i="6"/>
  <c r="O376" i="6"/>
  <c r="J376" i="6"/>
  <c r="I376" i="6"/>
  <c r="N376" i="6" s="1"/>
  <c r="S375" i="6"/>
  <c r="O375" i="6"/>
  <c r="L375" i="6"/>
  <c r="J375" i="6"/>
  <c r="I375" i="6"/>
  <c r="S374" i="6"/>
  <c r="O374" i="6"/>
  <c r="J374" i="6"/>
  <c r="I374" i="6"/>
  <c r="M374" i="6" s="1"/>
  <c r="S373" i="6"/>
  <c r="O373" i="6"/>
  <c r="L373" i="6"/>
  <c r="J373" i="6"/>
  <c r="I373" i="6"/>
  <c r="M373" i="6" s="1"/>
  <c r="S372" i="6"/>
  <c r="O372" i="6"/>
  <c r="J372" i="6"/>
  <c r="I372" i="6"/>
  <c r="L372" i="6" s="1"/>
  <c r="S371" i="6"/>
  <c r="O371" i="6"/>
  <c r="J371" i="6"/>
  <c r="I371" i="6"/>
  <c r="N371" i="6" s="1"/>
  <c r="S370" i="6"/>
  <c r="O370" i="6"/>
  <c r="J370" i="6"/>
  <c r="I370" i="6"/>
  <c r="M370" i="6" s="1"/>
  <c r="S369" i="6"/>
  <c r="O369" i="6"/>
  <c r="N369" i="6"/>
  <c r="K369" i="6"/>
  <c r="J369" i="6"/>
  <c r="I369" i="6"/>
  <c r="S368" i="6"/>
  <c r="O368" i="6"/>
  <c r="J368" i="6"/>
  <c r="I368" i="6"/>
  <c r="K368" i="6" s="1"/>
  <c r="S367" i="6"/>
  <c r="O367" i="6"/>
  <c r="J367" i="6"/>
  <c r="I367" i="6"/>
  <c r="N367" i="6" s="1"/>
  <c r="S366" i="6"/>
  <c r="O366" i="6"/>
  <c r="J366" i="6"/>
  <c r="I366" i="6"/>
  <c r="K366" i="6" s="1"/>
  <c r="S365" i="6"/>
  <c r="O365" i="6"/>
  <c r="L365" i="6"/>
  <c r="K365" i="6"/>
  <c r="J365" i="6"/>
  <c r="I365" i="6"/>
  <c r="M365" i="6" s="1"/>
  <c r="S364" i="6"/>
  <c r="O364" i="6"/>
  <c r="J364" i="6"/>
  <c r="I364" i="6"/>
  <c r="N364" i="6" s="1"/>
  <c r="S363" i="6"/>
  <c r="O363" i="6"/>
  <c r="J363" i="6"/>
  <c r="I363" i="6"/>
  <c r="L363" i="6" s="1"/>
  <c r="S362" i="6"/>
  <c r="O362" i="6"/>
  <c r="K362" i="6"/>
  <c r="J362" i="6"/>
  <c r="I362" i="6"/>
  <c r="S361" i="6"/>
  <c r="O361" i="6"/>
  <c r="L361" i="6"/>
  <c r="K361" i="6"/>
  <c r="J361" i="6"/>
  <c r="I361" i="6"/>
  <c r="M361" i="6" s="1"/>
  <c r="S360" i="6"/>
  <c r="O360" i="6"/>
  <c r="J360" i="6"/>
  <c r="I360" i="6"/>
  <c r="S359" i="6"/>
  <c r="O359" i="6"/>
  <c r="M359" i="6"/>
  <c r="J359" i="6"/>
  <c r="I359" i="6"/>
  <c r="K359" i="6" s="1"/>
  <c r="S358" i="6"/>
  <c r="O358" i="6"/>
  <c r="M358" i="6"/>
  <c r="L358" i="6"/>
  <c r="J358" i="6"/>
  <c r="I358" i="6"/>
  <c r="S357" i="6"/>
  <c r="O357" i="6"/>
  <c r="J357" i="6"/>
  <c r="I357" i="6"/>
  <c r="N357" i="6" s="1"/>
  <c r="S356" i="6"/>
  <c r="O356" i="6"/>
  <c r="K356" i="6"/>
  <c r="J356" i="6"/>
  <c r="I356" i="6"/>
  <c r="S355" i="6"/>
  <c r="O355" i="6"/>
  <c r="J355" i="6"/>
  <c r="I355" i="6"/>
  <c r="N355" i="6" s="1"/>
  <c r="S354" i="6"/>
  <c r="O354" i="6"/>
  <c r="J354" i="6"/>
  <c r="I354" i="6"/>
  <c r="M354" i="6" s="1"/>
  <c r="S353" i="6"/>
  <c r="O353" i="6"/>
  <c r="J353" i="6"/>
  <c r="I353" i="6"/>
  <c r="N353" i="6" s="1"/>
  <c r="S352" i="6"/>
  <c r="O352" i="6"/>
  <c r="J352" i="6"/>
  <c r="I352" i="6"/>
  <c r="K352" i="6" s="1"/>
  <c r="S351" i="6"/>
  <c r="O351" i="6"/>
  <c r="J351" i="6"/>
  <c r="I351" i="6"/>
  <c r="S350" i="6"/>
  <c r="O350" i="6"/>
  <c r="K350" i="6"/>
  <c r="J350" i="6"/>
  <c r="I350" i="6"/>
  <c r="S349" i="6"/>
  <c r="O349" i="6"/>
  <c r="L349" i="6"/>
  <c r="K349" i="6"/>
  <c r="J349" i="6"/>
  <c r="I349" i="6"/>
  <c r="M349" i="6" s="1"/>
  <c r="S348" i="6"/>
  <c r="O348" i="6"/>
  <c r="N348" i="6"/>
  <c r="J348" i="6"/>
  <c r="I348" i="6"/>
  <c r="M348" i="6" s="1"/>
  <c r="S347" i="6"/>
  <c r="O347" i="6"/>
  <c r="M347" i="6"/>
  <c r="L347" i="6"/>
  <c r="J347" i="6"/>
  <c r="I347" i="6"/>
  <c r="K347" i="6" s="1"/>
  <c r="S346" i="6"/>
  <c r="O346" i="6"/>
  <c r="L346" i="6"/>
  <c r="J346" i="6"/>
  <c r="I346" i="6"/>
  <c r="N346" i="6" s="1"/>
  <c r="S345" i="6"/>
  <c r="O345" i="6"/>
  <c r="K345" i="6"/>
  <c r="J345" i="6"/>
  <c r="I345" i="6"/>
  <c r="N345" i="6" s="1"/>
  <c r="S344" i="6"/>
  <c r="O344" i="6"/>
  <c r="J344" i="6"/>
  <c r="I344" i="6"/>
  <c r="N344" i="6" s="1"/>
  <c r="S343" i="6"/>
  <c r="O343" i="6"/>
  <c r="M343" i="6"/>
  <c r="L343" i="6"/>
  <c r="J343" i="6"/>
  <c r="I343" i="6"/>
  <c r="K343" i="6" s="1"/>
  <c r="S342" i="6"/>
  <c r="O342" i="6"/>
  <c r="M342" i="6"/>
  <c r="J342" i="6"/>
  <c r="I342" i="6"/>
  <c r="L342" i="6" s="1"/>
  <c r="S341" i="6"/>
  <c r="O341" i="6"/>
  <c r="N341" i="6"/>
  <c r="K341" i="6"/>
  <c r="J341" i="6"/>
  <c r="I341" i="6"/>
  <c r="S340" i="6"/>
  <c r="O340" i="6"/>
  <c r="J340" i="6"/>
  <c r="I340" i="6"/>
  <c r="K340" i="6" s="1"/>
  <c r="S339" i="6"/>
  <c r="O339" i="6"/>
  <c r="N339" i="6"/>
  <c r="J339" i="6"/>
  <c r="I339" i="6"/>
  <c r="S338" i="6"/>
  <c r="O338" i="6"/>
  <c r="J338" i="6"/>
  <c r="I338" i="6"/>
  <c r="M338" i="6" s="1"/>
  <c r="S337" i="6"/>
  <c r="O337" i="6"/>
  <c r="N337" i="6"/>
  <c r="K337" i="6"/>
  <c r="J337" i="6"/>
  <c r="I337" i="6"/>
  <c r="S336" i="6"/>
  <c r="O336" i="6"/>
  <c r="J336" i="6"/>
  <c r="I336" i="6"/>
  <c r="K336" i="6" s="1"/>
  <c r="S335" i="6"/>
  <c r="O335" i="6"/>
  <c r="J335" i="6"/>
  <c r="I335" i="6"/>
  <c r="N335" i="6" s="1"/>
  <c r="S334" i="6"/>
  <c r="O334" i="6"/>
  <c r="L334" i="6"/>
  <c r="K334" i="6"/>
  <c r="J334" i="6"/>
  <c r="I334" i="6"/>
  <c r="N334" i="6" s="1"/>
  <c r="S333" i="6"/>
  <c r="O333" i="6"/>
  <c r="M333" i="6"/>
  <c r="J333" i="6"/>
  <c r="I333" i="6"/>
  <c r="L333" i="6" s="1"/>
  <c r="S332" i="6"/>
  <c r="O332" i="6"/>
  <c r="L332" i="6"/>
  <c r="K332" i="6"/>
  <c r="J332" i="6"/>
  <c r="I332" i="6"/>
  <c r="N332" i="6" s="1"/>
  <c r="S331" i="6"/>
  <c r="O331" i="6"/>
  <c r="N331" i="6"/>
  <c r="K331" i="6"/>
  <c r="J331" i="6"/>
  <c r="I331" i="6"/>
  <c r="S330" i="6"/>
  <c r="O330" i="6"/>
  <c r="J330" i="6"/>
  <c r="I330" i="6"/>
  <c r="N330" i="6" s="1"/>
  <c r="S329" i="6"/>
  <c r="O329" i="6"/>
  <c r="J329" i="6"/>
  <c r="I329" i="6"/>
  <c r="M329" i="6" s="1"/>
  <c r="S328" i="6"/>
  <c r="O328" i="6"/>
  <c r="J328" i="6"/>
  <c r="I328" i="6"/>
  <c r="K328" i="6" s="1"/>
  <c r="S327" i="6"/>
  <c r="O327" i="6"/>
  <c r="L327" i="6"/>
  <c r="K327" i="6"/>
  <c r="J327" i="6"/>
  <c r="I327" i="6"/>
  <c r="M327" i="6" s="1"/>
  <c r="S326" i="6"/>
  <c r="O326" i="6"/>
  <c r="N326" i="6"/>
  <c r="J326" i="6"/>
  <c r="I326" i="6"/>
  <c r="S325" i="6"/>
  <c r="O325" i="6"/>
  <c r="J325" i="6"/>
  <c r="I325" i="6"/>
  <c r="M325" i="6" s="1"/>
  <c r="S324" i="6"/>
  <c r="O324" i="6"/>
  <c r="L324" i="6"/>
  <c r="K324" i="6"/>
  <c r="J324" i="6"/>
  <c r="I324" i="6"/>
  <c r="N324" i="6" s="1"/>
  <c r="S323" i="6"/>
  <c r="O323" i="6"/>
  <c r="N323" i="6"/>
  <c r="K323" i="6"/>
  <c r="J323" i="6"/>
  <c r="I323" i="6"/>
  <c r="S322" i="6"/>
  <c r="O322" i="6"/>
  <c r="J322" i="6"/>
  <c r="I322" i="6"/>
  <c r="N322" i="6" s="1"/>
  <c r="S321" i="6"/>
  <c r="O321" i="6"/>
  <c r="J321" i="6"/>
  <c r="I321" i="6"/>
  <c r="M321" i="6" s="1"/>
  <c r="S320" i="6"/>
  <c r="O320" i="6"/>
  <c r="L320" i="6"/>
  <c r="K320" i="6"/>
  <c r="J320" i="6"/>
  <c r="I320" i="6"/>
  <c r="N320" i="6" s="1"/>
  <c r="S319" i="6"/>
  <c r="O319" i="6"/>
  <c r="L319" i="6"/>
  <c r="K319" i="6"/>
  <c r="J319" i="6"/>
  <c r="I319" i="6"/>
  <c r="M319" i="6" s="1"/>
  <c r="S318" i="6"/>
  <c r="O318" i="6"/>
  <c r="N318" i="6"/>
  <c r="J318" i="6"/>
  <c r="I318" i="6"/>
  <c r="M318" i="6" s="1"/>
  <c r="S317" i="6"/>
  <c r="O317" i="6"/>
  <c r="M317" i="6"/>
  <c r="L317" i="6"/>
  <c r="J317" i="6"/>
  <c r="I317" i="6"/>
  <c r="S316" i="6"/>
  <c r="O316" i="6"/>
  <c r="J316" i="6"/>
  <c r="I316" i="6"/>
  <c r="L316" i="6" s="1"/>
  <c r="S315" i="6"/>
  <c r="O315" i="6"/>
  <c r="J315" i="6"/>
  <c r="I315" i="6"/>
  <c r="M315" i="6" s="1"/>
  <c r="S314" i="6"/>
  <c r="O314" i="6"/>
  <c r="J314" i="6"/>
  <c r="I314" i="6"/>
  <c r="N314" i="6" s="1"/>
  <c r="S313" i="6"/>
  <c r="O313" i="6"/>
  <c r="J313" i="6"/>
  <c r="I313" i="6"/>
  <c r="M313" i="6" s="1"/>
  <c r="S312" i="6"/>
  <c r="O312" i="6"/>
  <c r="J312" i="6"/>
  <c r="I312" i="6"/>
  <c r="K312" i="6" s="1"/>
  <c r="S311" i="6"/>
  <c r="O311" i="6"/>
  <c r="N311" i="6"/>
  <c r="L311" i="6"/>
  <c r="J311" i="6"/>
  <c r="I311" i="6"/>
  <c r="S310" i="6"/>
  <c r="O310" i="6"/>
  <c r="J310" i="6"/>
  <c r="I310" i="6"/>
  <c r="N310" i="6" s="1"/>
  <c r="S309" i="6"/>
  <c r="O309" i="6"/>
  <c r="M309" i="6"/>
  <c r="J309" i="6"/>
  <c r="I309" i="6"/>
  <c r="S308" i="6"/>
  <c r="O308" i="6"/>
  <c r="L308" i="6"/>
  <c r="J308" i="6"/>
  <c r="I308" i="6"/>
  <c r="S307" i="6"/>
  <c r="O307" i="6"/>
  <c r="J307" i="6"/>
  <c r="I307" i="6"/>
  <c r="M307" i="6" s="1"/>
  <c r="S306" i="6"/>
  <c r="O306" i="6"/>
  <c r="M306" i="6"/>
  <c r="J306" i="6"/>
  <c r="I306" i="6"/>
  <c r="N306" i="6" s="1"/>
  <c r="S305" i="6"/>
  <c r="O305" i="6"/>
  <c r="J305" i="6"/>
  <c r="I305" i="6"/>
  <c r="M305" i="6" s="1"/>
  <c r="S304" i="6"/>
  <c r="O304" i="6"/>
  <c r="J304" i="6"/>
  <c r="I304" i="6"/>
  <c r="K304" i="6" s="1"/>
  <c r="S303" i="6"/>
  <c r="O303" i="6"/>
  <c r="N303" i="6"/>
  <c r="L303" i="6"/>
  <c r="J303" i="6"/>
  <c r="I303" i="6"/>
  <c r="S302" i="6"/>
  <c r="O302" i="6"/>
  <c r="N302" i="6"/>
  <c r="M302" i="6"/>
  <c r="J302" i="6"/>
  <c r="I302" i="6"/>
  <c r="S301" i="6"/>
  <c r="O301" i="6"/>
  <c r="M301" i="6"/>
  <c r="J301" i="6"/>
  <c r="I301" i="6"/>
  <c r="L301" i="6" s="1"/>
  <c r="S300" i="6"/>
  <c r="O300" i="6"/>
  <c r="L300" i="6"/>
  <c r="K300" i="6"/>
  <c r="J300" i="6"/>
  <c r="I300" i="6"/>
  <c r="N300" i="6" s="1"/>
  <c r="S299" i="6"/>
  <c r="O299" i="6"/>
  <c r="K299" i="6"/>
  <c r="J299" i="6"/>
  <c r="I299" i="6"/>
  <c r="N299" i="6" s="1"/>
  <c r="S298" i="6"/>
  <c r="O298" i="6"/>
  <c r="J298" i="6"/>
  <c r="I298" i="6"/>
  <c r="N298" i="6" s="1"/>
  <c r="S297" i="6"/>
  <c r="O297" i="6"/>
  <c r="J297" i="6"/>
  <c r="I297" i="6"/>
  <c r="M297" i="6" s="1"/>
  <c r="S296" i="6"/>
  <c r="O296" i="6"/>
  <c r="J296" i="6"/>
  <c r="I296" i="6"/>
  <c r="N296" i="6" s="1"/>
  <c r="S295" i="6"/>
  <c r="O295" i="6"/>
  <c r="L295" i="6"/>
  <c r="K295" i="6"/>
  <c r="J295" i="6"/>
  <c r="I295" i="6"/>
  <c r="M295" i="6" s="1"/>
  <c r="S294" i="6"/>
  <c r="O294" i="6"/>
  <c r="N294" i="6"/>
  <c r="J294" i="6"/>
  <c r="I294" i="6"/>
  <c r="S293" i="6"/>
  <c r="O293" i="6"/>
  <c r="J293" i="6"/>
  <c r="I293" i="6"/>
  <c r="M293" i="6" s="1"/>
  <c r="S292" i="6"/>
  <c r="O292" i="6"/>
  <c r="L292" i="6"/>
  <c r="K292" i="6"/>
  <c r="J292" i="6"/>
  <c r="I292" i="6"/>
  <c r="N292" i="6" s="1"/>
  <c r="S291" i="6"/>
  <c r="O291" i="6"/>
  <c r="N291" i="6"/>
  <c r="K291" i="6"/>
  <c r="J291" i="6"/>
  <c r="I291" i="6"/>
  <c r="S290" i="6"/>
  <c r="O290" i="6"/>
  <c r="N290" i="6"/>
  <c r="J290" i="6"/>
  <c r="I290" i="6"/>
  <c r="M290" i="6" s="1"/>
  <c r="S289" i="6"/>
  <c r="O289" i="6"/>
  <c r="L289" i="6"/>
  <c r="J289" i="6"/>
  <c r="I289" i="6"/>
  <c r="M289" i="6" s="1"/>
  <c r="S288" i="6"/>
  <c r="O288" i="6"/>
  <c r="J288" i="6"/>
  <c r="I288" i="6"/>
  <c r="N288" i="6" s="1"/>
  <c r="S287" i="6"/>
  <c r="O287" i="6"/>
  <c r="L287" i="6"/>
  <c r="K287" i="6"/>
  <c r="J287" i="6"/>
  <c r="I287" i="6"/>
  <c r="M287" i="6" s="1"/>
  <c r="S286" i="6"/>
  <c r="O286" i="6"/>
  <c r="N286" i="6"/>
  <c r="J286" i="6"/>
  <c r="I286" i="6"/>
  <c r="M286" i="6" s="1"/>
  <c r="S285" i="6"/>
  <c r="O285" i="6"/>
  <c r="M285" i="6"/>
  <c r="L285" i="6"/>
  <c r="J285" i="6"/>
  <c r="I285" i="6"/>
  <c r="S284" i="6"/>
  <c r="O284" i="6"/>
  <c r="L284" i="6"/>
  <c r="J284" i="6"/>
  <c r="I284" i="6"/>
  <c r="S283" i="6"/>
  <c r="O283" i="6"/>
  <c r="L283" i="6"/>
  <c r="J283" i="6"/>
  <c r="I283" i="6"/>
  <c r="M283" i="6" s="1"/>
  <c r="S282" i="6"/>
  <c r="O282" i="6"/>
  <c r="J282" i="6"/>
  <c r="I282" i="6"/>
  <c r="N282" i="6" s="1"/>
  <c r="S281" i="6"/>
  <c r="O281" i="6"/>
  <c r="J281" i="6"/>
  <c r="I281" i="6"/>
  <c r="M281" i="6" s="1"/>
  <c r="S280" i="6"/>
  <c r="O280" i="6"/>
  <c r="J280" i="6"/>
  <c r="I280" i="6"/>
  <c r="S279" i="6"/>
  <c r="O279" i="6"/>
  <c r="L279" i="6"/>
  <c r="J279" i="6"/>
  <c r="I279" i="6"/>
  <c r="N279" i="6" s="1"/>
  <c r="S278" i="6"/>
  <c r="O278" i="6"/>
  <c r="J278" i="6"/>
  <c r="I278" i="6"/>
  <c r="N278" i="6" s="1"/>
  <c r="S277" i="6"/>
  <c r="O277" i="6"/>
  <c r="M277" i="6"/>
  <c r="J277" i="6"/>
  <c r="I277" i="6"/>
  <c r="S276" i="6"/>
  <c r="O276" i="6"/>
  <c r="L276" i="6"/>
  <c r="J276" i="6"/>
  <c r="I276" i="6"/>
  <c r="S275" i="6"/>
  <c r="O275" i="6"/>
  <c r="J275" i="6"/>
  <c r="I275" i="6"/>
  <c r="M275" i="6" s="1"/>
  <c r="S274" i="6"/>
  <c r="O274" i="6"/>
  <c r="M274" i="6"/>
  <c r="J274" i="6"/>
  <c r="I274" i="6"/>
  <c r="N274" i="6" s="1"/>
  <c r="S273" i="6"/>
  <c r="O273" i="6"/>
  <c r="M273" i="6"/>
  <c r="J273" i="6"/>
  <c r="I273" i="6"/>
  <c r="L273" i="6" s="1"/>
  <c r="S272" i="6"/>
  <c r="O272" i="6"/>
  <c r="J272" i="6"/>
  <c r="I272" i="6"/>
  <c r="S271" i="6"/>
  <c r="O271" i="6"/>
  <c r="L271" i="6"/>
  <c r="J271" i="6"/>
  <c r="I271" i="6"/>
  <c r="N271" i="6" s="1"/>
  <c r="S270" i="6"/>
  <c r="O270" i="6"/>
  <c r="N270" i="6"/>
  <c r="M270" i="6"/>
  <c r="J270" i="6"/>
  <c r="I270" i="6"/>
  <c r="S269" i="6"/>
  <c r="O269" i="6"/>
  <c r="M269" i="6"/>
  <c r="J269" i="6"/>
  <c r="I269" i="6"/>
  <c r="L269" i="6" s="1"/>
  <c r="S268" i="6"/>
  <c r="O268" i="6"/>
  <c r="L268" i="6"/>
  <c r="K268" i="6"/>
  <c r="J268" i="6"/>
  <c r="I268" i="6"/>
  <c r="N268" i="6" s="1"/>
  <c r="S267" i="6"/>
  <c r="O267" i="6"/>
  <c r="N267" i="6"/>
  <c r="K267" i="6"/>
  <c r="J267" i="6"/>
  <c r="I267" i="6"/>
  <c r="S266" i="6"/>
  <c r="O266" i="6"/>
  <c r="J266" i="6"/>
  <c r="I266" i="6"/>
  <c r="N266" i="6" s="1"/>
  <c r="S265" i="6"/>
  <c r="O265" i="6"/>
  <c r="J265" i="6"/>
  <c r="I265" i="6"/>
  <c r="M265" i="6" s="1"/>
  <c r="S264" i="6"/>
  <c r="O264" i="6"/>
  <c r="L264" i="6"/>
  <c r="J264" i="6"/>
  <c r="I264" i="6"/>
  <c r="N264" i="6" s="1"/>
  <c r="S263" i="6"/>
  <c r="O263" i="6"/>
  <c r="L263" i="6"/>
  <c r="K263" i="6"/>
  <c r="J263" i="6"/>
  <c r="I263" i="6"/>
  <c r="M263" i="6" s="1"/>
  <c r="S262" i="6"/>
  <c r="O262" i="6"/>
  <c r="N262" i="6"/>
  <c r="J262" i="6"/>
  <c r="I262" i="6"/>
  <c r="S261" i="6"/>
  <c r="O261" i="6"/>
  <c r="J261" i="6"/>
  <c r="I261" i="6"/>
  <c r="M261" i="6" s="1"/>
  <c r="S260" i="6"/>
  <c r="O260" i="6"/>
  <c r="L260" i="6"/>
  <c r="K260" i="6"/>
  <c r="J260" i="6"/>
  <c r="I260" i="6"/>
  <c r="N260" i="6" s="1"/>
  <c r="S259" i="6"/>
  <c r="O259" i="6"/>
  <c r="K259" i="6"/>
  <c r="J259" i="6"/>
  <c r="I259" i="6"/>
  <c r="N259" i="6" s="1"/>
  <c r="S258" i="6"/>
  <c r="O258" i="6"/>
  <c r="J258" i="6"/>
  <c r="I258" i="6"/>
  <c r="M258" i="6" s="1"/>
  <c r="S257" i="6"/>
  <c r="O257" i="6"/>
  <c r="L257" i="6"/>
  <c r="J257" i="6"/>
  <c r="I257" i="6"/>
  <c r="M257" i="6" s="1"/>
  <c r="S256" i="6"/>
  <c r="O256" i="6"/>
  <c r="L256" i="6"/>
  <c r="J256" i="6"/>
  <c r="I256" i="6"/>
  <c r="N256" i="6" s="1"/>
  <c r="S255" i="6"/>
  <c r="O255" i="6"/>
  <c r="L255" i="6"/>
  <c r="K255" i="6"/>
  <c r="J255" i="6"/>
  <c r="I255" i="6"/>
  <c r="M255" i="6" s="1"/>
  <c r="S254" i="6"/>
  <c r="O254" i="6"/>
  <c r="N254" i="6"/>
  <c r="J254" i="6"/>
  <c r="I254" i="6"/>
  <c r="M254" i="6" s="1"/>
  <c r="S253" i="6"/>
  <c r="O253" i="6"/>
  <c r="M253" i="6"/>
  <c r="L253" i="6"/>
  <c r="J253" i="6"/>
  <c r="I253" i="6"/>
  <c r="S252" i="6"/>
  <c r="O252" i="6"/>
  <c r="L252" i="6"/>
  <c r="J252" i="6"/>
  <c r="I252" i="6"/>
  <c r="S251" i="6"/>
  <c r="O251" i="6"/>
  <c r="J251" i="6"/>
  <c r="I251" i="6"/>
  <c r="M251" i="6" s="1"/>
  <c r="S250" i="6"/>
  <c r="O250" i="6"/>
  <c r="J250" i="6"/>
  <c r="I250" i="6"/>
  <c r="N250" i="6" s="1"/>
  <c r="S249" i="6"/>
  <c r="O249" i="6"/>
  <c r="J249" i="6"/>
  <c r="I249" i="6"/>
  <c r="M249" i="6" s="1"/>
  <c r="S248" i="6"/>
  <c r="O248" i="6"/>
  <c r="K248" i="6"/>
  <c r="J248" i="6"/>
  <c r="I248" i="6"/>
  <c r="S247" i="6"/>
  <c r="O247" i="6"/>
  <c r="N247" i="6"/>
  <c r="J247" i="6"/>
  <c r="I247" i="6"/>
  <c r="L247" i="6" s="1"/>
  <c r="S246" i="6"/>
  <c r="O246" i="6"/>
  <c r="J246" i="6"/>
  <c r="I246" i="6"/>
  <c r="N246" i="6" s="1"/>
  <c r="S245" i="6"/>
  <c r="O245" i="6"/>
  <c r="M245" i="6"/>
  <c r="J245" i="6"/>
  <c r="I245" i="6"/>
  <c r="S244" i="6"/>
  <c r="O244" i="6"/>
  <c r="L244" i="6"/>
  <c r="J244" i="6"/>
  <c r="I244" i="6"/>
  <c r="S243" i="6"/>
  <c r="O243" i="6"/>
  <c r="L243" i="6"/>
  <c r="K243" i="6"/>
  <c r="J243" i="6"/>
  <c r="I243" i="6"/>
  <c r="M243" i="6" s="1"/>
  <c r="S242" i="6"/>
  <c r="O242" i="6"/>
  <c r="M242" i="6"/>
  <c r="J242" i="6"/>
  <c r="I242" i="6"/>
  <c r="N242" i="6" s="1"/>
  <c r="S241" i="6"/>
  <c r="O241" i="6"/>
  <c r="J241" i="6"/>
  <c r="I241" i="6"/>
  <c r="L241" i="6" s="1"/>
  <c r="S240" i="6"/>
  <c r="O240" i="6"/>
  <c r="K240" i="6"/>
  <c r="J240" i="6"/>
  <c r="I240" i="6"/>
  <c r="S239" i="6"/>
  <c r="O239" i="6"/>
  <c r="N239" i="6"/>
  <c r="J239" i="6"/>
  <c r="I239" i="6"/>
  <c r="L239" i="6" s="1"/>
  <c r="S238" i="6"/>
  <c r="O238" i="6"/>
  <c r="N238" i="6"/>
  <c r="M238" i="6"/>
  <c r="J238" i="6"/>
  <c r="I238" i="6"/>
  <c r="S237" i="6"/>
  <c r="O237" i="6"/>
  <c r="M237" i="6"/>
  <c r="J237" i="6"/>
  <c r="I237" i="6"/>
  <c r="L237" i="6" s="1"/>
  <c r="S236" i="6"/>
  <c r="O236" i="6"/>
  <c r="L236" i="6"/>
  <c r="K236" i="6"/>
  <c r="J236" i="6"/>
  <c r="I236" i="6"/>
  <c r="N236" i="6" s="1"/>
  <c r="S235" i="6"/>
  <c r="O235" i="6"/>
  <c r="K235" i="6"/>
  <c r="J235" i="6"/>
  <c r="I235" i="6"/>
  <c r="N235" i="6" s="1"/>
  <c r="S234" i="6"/>
  <c r="O234" i="6"/>
  <c r="J234" i="6"/>
  <c r="I234" i="6"/>
  <c r="N234" i="6" s="1"/>
  <c r="S233" i="6"/>
  <c r="O233" i="6"/>
  <c r="J233" i="6"/>
  <c r="I233" i="6"/>
  <c r="M233" i="6" s="1"/>
  <c r="S232" i="6"/>
  <c r="O232" i="6"/>
  <c r="J232" i="6"/>
  <c r="I232" i="6"/>
  <c r="N232" i="6" s="1"/>
  <c r="S231" i="6"/>
  <c r="O231" i="6"/>
  <c r="L231" i="6"/>
  <c r="K231" i="6"/>
  <c r="J231" i="6"/>
  <c r="I231" i="6"/>
  <c r="M231" i="6" s="1"/>
  <c r="S230" i="6"/>
  <c r="O230" i="6"/>
  <c r="J230" i="6"/>
  <c r="I230" i="6"/>
  <c r="N230" i="6" s="1"/>
  <c r="S229" i="6"/>
  <c r="O229" i="6"/>
  <c r="J229" i="6"/>
  <c r="I229" i="6"/>
  <c r="M229" i="6" s="1"/>
  <c r="S228" i="6"/>
  <c r="O228" i="6"/>
  <c r="L228" i="6"/>
  <c r="K228" i="6"/>
  <c r="J228" i="6"/>
  <c r="I228" i="6"/>
  <c r="N228" i="6" s="1"/>
  <c r="S227" i="6"/>
  <c r="O227" i="6"/>
  <c r="N227" i="6"/>
  <c r="J227" i="6"/>
  <c r="I227" i="6"/>
  <c r="K227" i="6" s="1"/>
  <c r="S226" i="6"/>
  <c r="O226" i="6"/>
  <c r="N226" i="6"/>
  <c r="M226" i="6"/>
  <c r="J226" i="6"/>
  <c r="I226" i="6"/>
  <c r="S225" i="6"/>
  <c r="O225" i="6"/>
  <c r="L225" i="6"/>
  <c r="J225" i="6"/>
  <c r="I225" i="6"/>
  <c r="M225" i="6" s="1"/>
  <c r="S224" i="6"/>
  <c r="O224" i="6"/>
  <c r="J224" i="6"/>
  <c r="I224" i="6"/>
  <c r="N224" i="6" s="1"/>
  <c r="S223" i="6"/>
  <c r="O223" i="6"/>
  <c r="L223" i="6"/>
  <c r="K223" i="6"/>
  <c r="J223" i="6"/>
  <c r="I223" i="6"/>
  <c r="M223" i="6" s="1"/>
  <c r="S222" i="6"/>
  <c r="O222" i="6"/>
  <c r="J222" i="6"/>
  <c r="I222" i="6"/>
  <c r="M222" i="6" s="1"/>
  <c r="S221" i="6"/>
  <c r="O221" i="6"/>
  <c r="M221" i="6"/>
  <c r="L221" i="6"/>
  <c r="J221" i="6"/>
  <c r="I221" i="6"/>
  <c r="S220" i="6"/>
  <c r="O220" i="6"/>
  <c r="L220" i="6"/>
  <c r="J220" i="6"/>
  <c r="I220" i="6"/>
  <c r="S219" i="6"/>
  <c r="O219" i="6"/>
  <c r="L219" i="6"/>
  <c r="K219" i="6"/>
  <c r="J219" i="6"/>
  <c r="I219" i="6"/>
  <c r="M219" i="6" s="1"/>
  <c r="S218" i="6"/>
  <c r="O218" i="6"/>
  <c r="J218" i="6"/>
  <c r="I218" i="6"/>
  <c r="N218" i="6" s="1"/>
  <c r="S217" i="6"/>
  <c r="O217" i="6"/>
  <c r="J217" i="6"/>
  <c r="I217" i="6"/>
  <c r="M217" i="6" s="1"/>
  <c r="S216" i="6"/>
  <c r="O216" i="6"/>
  <c r="K216" i="6"/>
  <c r="J216" i="6"/>
  <c r="I216" i="6"/>
  <c r="S215" i="6"/>
  <c r="O215" i="6"/>
  <c r="J215" i="6"/>
  <c r="I215" i="6"/>
  <c r="N215" i="6" s="1"/>
  <c r="S214" i="6"/>
  <c r="O214" i="6"/>
  <c r="N214" i="6"/>
  <c r="J214" i="6"/>
  <c r="I214" i="6"/>
  <c r="S213" i="6"/>
  <c r="O213" i="6"/>
  <c r="M213" i="6"/>
  <c r="J213" i="6"/>
  <c r="I213" i="6"/>
  <c r="S212" i="6"/>
  <c r="O212" i="6"/>
  <c r="J212" i="6"/>
  <c r="I212" i="6"/>
  <c r="L212" i="6" s="1"/>
  <c r="S211" i="6"/>
  <c r="O211" i="6"/>
  <c r="K211" i="6"/>
  <c r="J211" i="6"/>
  <c r="I211" i="6"/>
  <c r="M211" i="6" s="1"/>
  <c r="S210" i="6"/>
  <c r="O210" i="6"/>
  <c r="J210" i="6"/>
  <c r="I210" i="6"/>
  <c r="N210" i="6" s="1"/>
  <c r="S209" i="6"/>
  <c r="O209" i="6"/>
  <c r="M209" i="6"/>
  <c r="L209" i="6"/>
  <c r="J209" i="6"/>
  <c r="I209" i="6"/>
  <c r="S208" i="6"/>
  <c r="O208" i="6"/>
  <c r="J208" i="6"/>
  <c r="I208" i="6"/>
  <c r="K208" i="6" s="1"/>
  <c r="S207" i="6"/>
  <c r="O207" i="6"/>
  <c r="J207" i="6"/>
  <c r="I207" i="6"/>
  <c r="N207" i="6" s="1"/>
  <c r="S206" i="6"/>
  <c r="O206" i="6"/>
  <c r="N206" i="6"/>
  <c r="M206" i="6"/>
  <c r="J206" i="6"/>
  <c r="I206" i="6"/>
  <c r="S205" i="6"/>
  <c r="O205" i="6"/>
  <c r="J205" i="6"/>
  <c r="I205" i="6"/>
  <c r="L205" i="6" s="1"/>
  <c r="S204" i="6"/>
  <c r="O204" i="6"/>
  <c r="L204" i="6"/>
  <c r="K204" i="6"/>
  <c r="J204" i="6"/>
  <c r="I204" i="6"/>
  <c r="N204" i="6" s="1"/>
  <c r="S203" i="6"/>
  <c r="O203" i="6"/>
  <c r="N203" i="6"/>
  <c r="J203" i="6"/>
  <c r="I203" i="6"/>
  <c r="K203" i="6" s="1"/>
  <c r="S202" i="6"/>
  <c r="O202" i="6"/>
  <c r="J202" i="6"/>
  <c r="I202" i="6"/>
  <c r="N202" i="6" s="1"/>
  <c r="S201" i="6"/>
  <c r="O201" i="6"/>
  <c r="J201" i="6"/>
  <c r="I201" i="6"/>
  <c r="M201" i="6" s="1"/>
  <c r="S200" i="6"/>
  <c r="O200" i="6"/>
  <c r="L200" i="6"/>
  <c r="K200" i="6"/>
  <c r="J200" i="6"/>
  <c r="I200" i="6"/>
  <c r="N200" i="6" s="1"/>
  <c r="S199" i="6"/>
  <c r="O199" i="6"/>
  <c r="L199" i="6"/>
  <c r="K199" i="6"/>
  <c r="J199" i="6"/>
  <c r="I199" i="6"/>
  <c r="M199" i="6" s="1"/>
  <c r="S198" i="6"/>
  <c r="O198" i="6"/>
  <c r="J198" i="6"/>
  <c r="I198" i="6"/>
  <c r="N198" i="6" s="1"/>
  <c r="S197" i="6"/>
  <c r="O197" i="6"/>
  <c r="J197" i="6"/>
  <c r="I197" i="6"/>
  <c r="M197" i="6" s="1"/>
  <c r="S196" i="6"/>
  <c r="O196" i="6"/>
  <c r="L196" i="6"/>
  <c r="K196" i="6"/>
  <c r="J196" i="6"/>
  <c r="I196" i="6"/>
  <c r="N196" i="6" s="1"/>
  <c r="S195" i="6"/>
  <c r="O195" i="6"/>
  <c r="J195" i="6"/>
  <c r="I195" i="6"/>
  <c r="N195" i="6" s="1"/>
  <c r="S194" i="6"/>
  <c r="O194" i="6"/>
  <c r="M194" i="6"/>
  <c r="J194" i="6"/>
  <c r="I194" i="6"/>
  <c r="N194" i="6" s="1"/>
  <c r="S193" i="6"/>
  <c r="O193" i="6"/>
  <c r="J193" i="6"/>
  <c r="I193" i="6"/>
  <c r="M193" i="6" s="1"/>
  <c r="S192" i="6"/>
  <c r="O192" i="6"/>
  <c r="L192" i="6"/>
  <c r="K192" i="6"/>
  <c r="J192" i="6"/>
  <c r="I192" i="6"/>
  <c r="N192" i="6" s="1"/>
  <c r="S191" i="6"/>
  <c r="O191" i="6"/>
  <c r="L191" i="6"/>
  <c r="K191" i="6"/>
  <c r="J191" i="6"/>
  <c r="I191" i="6"/>
  <c r="M191" i="6" s="1"/>
  <c r="S190" i="6"/>
  <c r="O190" i="6"/>
  <c r="N190" i="6"/>
  <c r="J190" i="6"/>
  <c r="I190" i="6"/>
  <c r="M190" i="6" s="1"/>
  <c r="S189" i="6"/>
  <c r="O189" i="6"/>
  <c r="M189" i="6"/>
  <c r="L189" i="6"/>
  <c r="J189" i="6"/>
  <c r="I189" i="6"/>
  <c r="S188" i="6"/>
  <c r="O188" i="6"/>
  <c r="J188" i="6"/>
  <c r="I188" i="6"/>
  <c r="L188" i="6" s="1"/>
  <c r="S187" i="6"/>
  <c r="O187" i="6"/>
  <c r="J187" i="6"/>
  <c r="I187" i="6"/>
  <c r="M187" i="6" s="1"/>
  <c r="S186" i="6"/>
  <c r="O186" i="6"/>
  <c r="J186" i="6"/>
  <c r="I186" i="6"/>
  <c r="N186" i="6" s="1"/>
  <c r="S185" i="6"/>
  <c r="O185" i="6"/>
  <c r="J185" i="6"/>
  <c r="I185" i="6"/>
  <c r="M185" i="6" s="1"/>
  <c r="S184" i="6"/>
  <c r="O184" i="6"/>
  <c r="J184" i="6"/>
  <c r="I184" i="6"/>
  <c r="K184" i="6" s="1"/>
  <c r="S183" i="6"/>
  <c r="O183" i="6"/>
  <c r="N183" i="6"/>
  <c r="L183" i="6"/>
  <c r="J183" i="6"/>
  <c r="I183" i="6"/>
  <c r="S182" i="6"/>
  <c r="O182" i="6"/>
  <c r="J182" i="6"/>
  <c r="I182" i="6"/>
  <c r="N182" i="6" s="1"/>
  <c r="S181" i="6"/>
  <c r="O181" i="6"/>
  <c r="M181" i="6"/>
  <c r="J181" i="6"/>
  <c r="I181" i="6"/>
  <c r="S180" i="6"/>
  <c r="O180" i="6"/>
  <c r="L180" i="6"/>
  <c r="J180" i="6"/>
  <c r="I180" i="6"/>
  <c r="S179" i="6"/>
  <c r="O179" i="6"/>
  <c r="L179" i="6"/>
  <c r="J179" i="6"/>
  <c r="I179" i="6"/>
  <c r="M179" i="6" s="1"/>
  <c r="S178" i="6"/>
  <c r="O178" i="6"/>
  <c r="M178" i="6"/>
  <c r="J178" i="6"/>
  <c r="I178" i="6"/>
  <c r="N178" i="6" s="1"/>
  <c r="S177" i="6"/>
  <c r="O177" i="6"/>
  <c r="J177" i="6"/>
  <c r="I177" i="6"/>
  <c r="M177" i="6" s="1"/>
  <c r="S176" i="6"/>
  <c r="O176" i="6"/>
  <c r="J176" i="6"/>
  <c r="I176" i="6"/>
  <c r="K176" i="6" s="1"/>
  <c r="S175" i="6"/>
  <c r="O175" i="6"/>
  <c r="N175" i="6"/>
  <c r="L175" i="6"/>
  <c r="J175" i="6"/>
  <c r="I175" i="6"/>
  <c r="S174" i="6"/>
  <c r="O174" i="6"/>
  <c r="N174" i="6"/>
  <c r="M174" i="6"/>
  <c r="J174" i="6"/>
  <c r="I174" i="6"/>
  <c r="S173" i="6"/>
  <c r="O173" i="6"/>
  <c r="M173" i="6"/>
  <c r="J173" i="6"/>
  <c r="I173" i="6"/>
  <c r="L173" i="6" s="1"/>
  <c r="S172" i="6"/>
  <c r="O172" i="6"/>
  <c r="L172" i="6"/>
  <c r="K172" i="6"/>
  <c r="J172" i="6"/>
  <c r="I172" i="6"/>
  <c r="N172" i="6" s="1"/>
  <c r="S171" i="6"/>
  <c r="O171" i="6"/>
  <c r="K171" i="6"/>
  <c r="J171" i="6"/>
  <c r="I171" i="6"/>
  <c r="N171" i="6" s="1"/>
  <c r="S170" i="6"/>
  <c r="O170" i="6"/>
  <c r="J170" i="6"/>
  <c r="I170" i="6"/>
  <c r="N170" i="6" s="1"/>
  <c r="S169" i="6"/>
  <c r="O169" i="6"/>
  <c r="J169" i="6"/>
  <c r="I169" i="6"/>
  <c r="M169" i="6" s="1"/>
  <c r="S168" i="6"/>
  <c r="O168" i="6"/>
  <c r="J168" i="6"/>
  <c r="I168" i="6"/>
  <c r="N168" i="6" s="1"/>
  <c r="S167" i="6"/>
  <c r="O167" i="6"/>
  <c r="L167" i="6"/>
  <c r="K167" i="6"/>
  <c r="J167" i="6"/>
  <c r="I167" i="6"/>
  <c r="M167" i="6" s="1"/>
  <c r="S166" i="6"/>
  <c r="O166" i="6"/>
  <c r="J166" i="6"/>
  <c r="I166" i="6"/>
  <c r="N166" i="6" s="1"/>
  <c r="S165" i="6"/>
  <c r="O165" i="6"/>
  <c r="J165" i="6"/>
  <c r="I165" i="6"/>
  <c r="M165" i="6" s="1"/>
  <c r="S164" i="6"/>
  <c r="O164" i="6"/>
  <c r="L164" i="6"/>
  <c r="K164" i="6"/>
  <c r="J164" i="6"/>
  <c r="I164" i="6"/>
  <c r="N164" i="6" s="1"/>
  <c r="S163" i="6"/>
  <c r="O163" i="6"/>
  <c r="K163" i="6"/>
  <c r="J163" i="6"/>
  <c r="I163" i="6"/>
  <c r="M163" i="6" s="1"/>
  <c r="S162" i="6"/>
  <c r="O162" i="6"/>
  <c r="J162" i="6"/>
  <c r="I162" i="6"/>
  <c r="N162" i="6" s="1"/>
  <c r="S161" i="6"/>
  <c r="O161" i="6"/>
  <c r="L161" i="6"/>
  <c r="J161" i="6"/>
  <c r="I161" i="6"/>
  <c r="M161" i="6" s="1"/>
  <c r="S160" i="6"/>
  <c r="O160" i="6"/>
  <c r="J160" i="6"/>
  <c r="I160" i="6"/>
  <c r="N160" i="6" s="1"/>
  <c r="S159" i="6"/>
  <c r="O159" i="6"/>
  <c r="L159" i="6"/>
  <c r="K159" i="6"/>
  <c r="J159" i="6"/>
  <c r="I159" i="6"/>
  <c r="M159" i="6" s="1"/>
  <c r="S158" i="6"/>
  <c r="O158" i="6"/>
  <c r="N158" i="6"/>
  <c r="J158" i="6"/>
  <c r="I158" i="6"/>
  <c r="M158" i="6" s="1"/>
  <c r="S157" i="6"/>
  <c r="O157" i="6"/>
  <c r="M157" i="6"/>
  <c r="L157" i="6"/>
  <c r="J157" i="6"/>
  <c r="I157" i="6"/>
  <c r="S156" i="6"/>
  <c r="O156" i="6"/>
  <c r="L156" i="6"/>
  <c r="J156" i="6"/>
  <c r="I156" i="6"/>
  <c r="N156" i="6" s="1"/>
  <c r="S155" i="6"/>
  <c r="O155" i="6"/>
  <c r="J155" i="6"/>
  <c r="I155" i="6"/>
  <c r="M155" i="6" s="1"/>
  <c r="S154" i="6"/>
  <c r="O154" i="6"/>
  <c r="J154" i="6"/>
  <c r="I154" i="6"/>
  <c r="N154" i="6" s="1"/>
  <c r="S153" i="6"/>
  <c r="O153" i="6"/>
  <c r="J153" i="6"/>
  <c r="I153" i="6"/>
  <c r="M153" i="6" s="1"/>
  <c r="S152" i="6"/>
  <c r="O152" i="6"/>
  <c r="K152" i="6"/>
  <c r="J152" i="6"/>
  <c r="I152" i="6"/>
  <c r="N152" i="6" s="1"/>
  <c r="S151" i="6"/>
  <c r="O151" i="6"/>
  <c r="L151" i="6"/>
  <c r="J151" i="6"/>
  <c r="I151" i="6"/>
  <c r="M151" i="6" s="1"/>
  <c r="S150" i="6"/>
  <c r="O150" i="6"/>
  <c r="N150" i="6"/>
  <c r="J150" i="6"/>
  <c r="I150" i="6"/>
  <c r="S149" i="6"/>
  <c r="O149" i="6"/>
  <c r="M149" i="6"/>
  <c r="J149" i="6"/>
  <c r="I149" i="6"/>
  <c r="S148" i="6"/>
  <c r="O148" i="6"/>
  <c r="L148" i="6"/>
  <c r="J148" i="6"/>
  <c r="I148" i="6"/>
  <c r="N148" i="6" s="1"/>
  <c r="S147" i="6"/>
  <c r="O147" i="6"/>
  <c r="J147" i="6"/>
  <c r="I147" i="6"/>
  <c r="M147" i="6" s="1"/>
  <c r="S146" i="6"/>
  <c r="O146" i="6"/>
  <c r="M146" i="6"/>
  <c r="J146" i="6"/>
  <c r="I146" i="6"/>
  <c r="N146" i="6" s="1"/>
  <c r="S145" i="6"/>
  <c r="O145" i="6"/>
  <c r="J145" i="6"/>
  <c r="I145" i="6"/>
  <c r="M145" i="6" s="1"/>
  <c r="S144" i="6"/>
  <c r="O144" i="6"/>
  <c r="K144" i="6"/>
  <c r="J144" i="6"/>
  <c r="I144" i="6"/>
  <c r="N144" i="6" s="1"/>
  <c r="S143" i="6"/>
  <c r="O143" i="6"/>
  <c r="L143" i="6"/>
  <c r="J143" i="6"/>
  <c r="I143" i="6"/>
  <c r="M143" i="6" s="1"/>
  <c r="S142" i="6"/>
  <c r="O142" i="6"/>
  <c r="N142" i="6"/>
  <c r="M142" i="6"/>
  <c r="J142" i="6"/>
  <c r="I142" i="6"/>
  <c r="S141" i="6"/>
  <c r="O141" i="6"/>
  <c r="M141" i="6"/>
  <c r="J141" i="6"/>
  <c r="I141" i="6"/>
  <c r="L141" i="6" s="1"/>
  <c r="S140" i="6"/>
  <c r="O140" i="6"/>
  <c r="L140" i="6"/>
  <c r="K140" i="6"/>
  <c r="J140" i="6"/>
  <c r="I140" i="6"/>
  <c r="N140" i="6" s="1"/>
  <c r="S139" i="6"/>
  <c r="O139" i="6"/>
  <c r="K139" i="6"/>
  <c r="J139" i="6"/>
  <c r="I139" i="6"/>
  <c r="M139" i="6" s="1"/>
  <c r="S138" i="6"/>
  <c r="O138" i="6"/>
  <c r="J138" i="6"/>
  <c r="I138" i="6"/>
  <c r="N138" i="6" s="1"/>
  <c r="S137" i="6"/>
  <c r="O137" i="6"/>
  <c r="J137" i="6"/>
  <c r="I137" i="6"/>
  <c r="M137" i="6" s="1"/>
  <c r="S136" i="6"/>
  <c r="O136" i="6"/>
  <c r="J136" i="6"/>
  <c r="I136" i="6"/>
  <c r="N136" i="6" s="1"/>
  <c r="S135" i="6"/>
  <c r="O135" i="6"/>
  <c r="L135" i="6"/>
  <c r="K135" i="6"/>
  <c r="J135" i="6"/>
  <c r="I135" i="6"/>
  <c r="M135" i="6" s="1"/>
  <c r="S134" i="6"/>
  <c r="O134" i="6"/>
  <c r="J134" i="6"/>
  <c r="I134" i="6"/>
  <c r="N134" i="6" s="1"/>
  <c r="S133" i="6"/>
  <c r="O133" i="6"/>
  <c r="J133" i="6"/>
  <c r="I133" i="6"/>
  <c r="M133" i="6" s="1"/>
  <c r="S132" i="6"/>
  <c r="O132" i="6"/>
  <c r="L132" i="6"/>
  <c r="K132" i="6"/>
  <c r="J132" i="6"/>
  <c r="I132" i="6"/>
  <c r="N132" i="6" s="1"/>
  <c r="S131" i="6"/>
  <c r="O131" i="6"/>
  <c r="K131" i="6"/>
  <c r="J131" i="6"/>
  <c r="I131" i="6"/>
  <c r="M131" i="6" s="1"/>
  <c r="S130" i="6"/>
  <c r="O130" i="6"/>
  <c r="J130" i="6"/>
  <c r="I130" i="6"/>
  <c r="N130" i="6" s="1"/>
  <c r="S129" i="6"/>
  <c r="O129" i="6"/>
  <c r="L129" i="6"/>
  <c r="J129" i="6"/>
  <c r="I129" i="6"/>
  <c r="M129" i="6" s="1"/>
  <c r="S128" i="6"/>
  <c r="O128" i="6"/>
  <c r="J128" i="6"/>
  <c r="I128" i="6"/>
  <c r="N128" i="6" s="1"/>
  <c r="S127" i="6"/>
  <c r="O127" i="6"/>
  <c r="L127" i="6"/>
  <c r="K127" i="6"/>
  <c r="J127" i="6"/>
  <c r="I127" i="6"/>
  <c r="M127" i="6" s="1"/>
  <c r="S126" i="6"/>
  <c r="O126" i="6"/>
  <c r="N126" i="6"/>
  <c r="J126" i="6"/>
  <c r="I126" i="6"/>
  <c r="M126" i="6" s="1"/>
  <c r="S125" i="6"/>
  <c r="O125" i="6"/>
  <c r="M125" i="6"/>
  <c r="L125" i="6"/>
  <c r="J125" i="6"/>
  <c r="I125" i="6"/>
  <c r="S124" i="6"/>
  <c r="O124" i="6"/>
  <c r="L124" i="6"/>
  <c r="J124" i="6"/>
  <c r="I124" i="6"/>
  <c r="N124" i="6" s="1"/>
  <c r="S123" i="6"/>
  <c r="O123" i="6"/>
  <c r="J123" i="6"/>
  <c r="I123" i="6"/>
  <c r="M123" i="6" s="1"/>
  <c r="S122" i="6"/>
  <c r="O122" i="6"/>
  <c r="J122" i="6"/>
  <c r="I122" i="6"/>
  <c r="N122" i="6" s="1"/>
  <c r="S121" i="6"/>
  <c r="O121" i="6"/>
  <c r="J121" i="6"/>
  <c r="I121" i="6"/>
  <c r="M121" i="6" s="1"/>
  <c r="S120" i="6"/>
  <c r="O120" i="6"/>
  <c r="K120" i="6"/>
  <c r="J120" i="6"/>
  <c r="I120" i="6"/>
  <c r="N120" i="6" s="1"/>
  <c r="S119" i="6"/>
  <c r="O119" i="6"/>
  <c r="L119" i="6"/>
  <c r="J119" i="6"/>
  <c r="I119" i="6"/>
  <c r="M119" i="6" s="1"/>
  <c r="S118" i="6"/>
  <c r="O118" i="6"/>
  <c r="J118" i="6"/>
  <c r="I118" i="6"/>
  <c r="L118" i="6" s="1"/>
  <c r="S117" i="6"/>
  <c r="O117" i="6"/>
  <c r="M117" i="6"/>
  <c r="L117" i="6"/>
  <c r="J117" i="6"/>
  <c r="I117" i="6"/>
  <c r="K117" i="6" s="1"/>
  <c r="S116" i="6"/>
  <c r="O116" i="6"/>
  <c r="J116" i="6"/>
  <c r="I116" i="6"/>
  <c r="N116" i="6" s="1"/>
  <c r="S115" i="6"/>
  <c r="O115" i="6"/>
  <c r="L115" i="6"/>
  <c r="K115" i="6"/>
  <c r="J115" i="6"/>
  <c r="I115" i="6"/>
  <c r="M115" i="6" s="1"/>
  <c r="S114" i="6"/>
  <c r="O114" i="6"/>
  <c r="M114" i="6"/>
  <c r="J114" i="6"/>
  <c r="I114" i="6"/>
  <c r="L114" i="6" s="1"/>
  <c r="S113" i="6"/>
  <c r="O113" i="6"/>
  <c r="M113" i="6"/>
  <c r="J113" i="6"/>
  <c r="I113" i="6"/>
  <c r="K113" i="6" s="1"/>
  <c r="S112" i="6"/>
  <c r="O112" i="6"/>
  <c r="J112" i="6"/>
  <c r="I112" i="6"/>
  <c r="N112" i="6" s="1"/>
  <c r="S111" i="6"/>
  <c r="O111" i="6"/>
  <c r="L111" i="6"/>
  <c r="J111" i="6"/>
  <c r="I111" i="6"/>
  <c r="M111" i="6" s="1"/>
  <c r="S110" i="6"/>
  <c r="O110" i="6"/>
  <c r="M110" i="6"/>
  <c r="K110" i="6"/>
  <c r="J110" i="6"/>
  <c r="I110" i="6"/>
  <c r="L110" i="6" s="1"/>
  <c r="S109" i="6"/>
  <c r="O109" i="6"/>
  <c r="J109" i="6"/>
  <c r="I109" i="6"/>
  <c r="K109" i="6" s="1"/>
  <c r="S108" i="6"/>
  <c r="O108" i="6"/>
  <c r="L108" i="6"/>
  <c r="J108" i="6"/>
  <c r="I108" i="6"/>
  <c r="N108" i="6" s="1"/>
  <c r="S107" i="6"/>
  <c r="O107" i="6"/>
  <c r="J107" i="6"/>
  <c r="I107" i="6"/>
  <c r="M107" i="6" s="1"/>
  <c r="S106" i="6"/>
  <c r="O106" i="6"/>
  <c r="J106" i="6"/>
  <c r="I106" i="6"/>
  <c r="L106" i="6" s="1"/>
  <c r="S105" i="6"/>
  <c r="O105" i="6"/>
  <c r="M105" i="6"/>
  <c r="L105" i="6"/>
  <c r="J105" i="6"/>
  <c r="I105" i="6"/>
  <c r="K105" i="6" s="1"/>
  <c r="S104" i="6"/>
  <c r="O104" i="6"/>
  <c r="L104" i="6"/>
  <c r="J104" i="6"/>
  <c r="I104" i="6"/>
  <c r="N104" i="6" s="1"/>
  <c r="S103" i="6"/>
  <c r="O103" i="6"/>
  <c r="J103" i="6"/>
  <c r="I103" i="6"/>
  <c r="M103" i="6" s="1"/>
  <c r="S102" i="6"/>
  <c r="O102" i="6"/>
  <c r="J102" i="6"/>
  <c r="I102" i="6"/>
  <c r="L102" i="6" s="1"/>
  <c r="S101" i="6"/>
  <c r="O101" i="6"/>
  <c r="L101" i="6"/>
  <c r="J101" i="6"/>
  <c r="I101" i="6"/>
  <c r="K101" i="6" s="1"/>
  <c r="S100" i="6"/>
  <c r="O100" i="6"/>
  <c r="L100" i="6"/>
  <c r="J100" i="6"/>
  <c r="I100" i="6"/>
  <c r="N100" i="6" s="1"/>
  <c r="S99" i="6"/>
  <c r="O99" i="6"/>
  <c r="K99" i="6"/>
  <c r="J99" i="6"/>
  <c r="I99" i="6"/>
  <c r="M99" i="6" s="1"/>
  <c r="S98" i="6"/>
  <c r="O98" i="6"/>
  <c r="J98" i="6"/>
  <c r="I98" i="6"/>
  <c r="L98" i="6" s="1"/>
  <c r="S97" i="6"/>
  <c r="O97" i="6"/>
  <c r="J97" i="6"/>
  <c r="I97" i="6"/>
  <c r="K97" i="6" s="1"/>
  <c r="S96" i="6"/>
  <c r="O96" i="6"/>
  <c r="J96" i="6"/>
  <c r="I96" i="6"/>
  <c r="N96" i="6" s="1"/>
  <c r="S95" i="6"/>
  <c r="O95" i="6"/>
  <c r="J95" i="6"/>
  <c r="I95" i="6"/>
  <c r="M95" i="6" s="1"/>
  <c r="S94" i="6"/>
  <c r="O94" i="6"/>
  <c r="K94" i="6"/>
  <c r="J94" i="6"/>
  <c r="I94" i="6"/>
  <c r="L94" i="6" s="1"/>
  <c r="S93" i="6"/>
  <c r="O93" i="6"/>
  <c r="J93" i="6"/>
  <c r="I93" i="6"/>
  <c r="K93" i="6" s="1"/>
  <c r="S92" i="6"/>
  <c r="O92" i="6"/>
  <c r="J92" i="6"/>
  <c r="I92" i="6"/>
  <c r="N92" i="6" s="1"/>
  <c r="S91" i="6"/>
  <c r="O91" i="6"/>
  <c r="L91" i="6"/>
  <c r="K91" i="6"/>
  <c r="J91" i="6"/>
  <c r="I91" i="6"/>
  <c r="M91" i="6" s="1"/>
  <c r="S90" i="6"/>
  <c r="O90" i="6"/>
  <c r="J90" i="6"/>
  <c r="I90" i="6"/>
  <c r="L90" i="6" s="1"/>
  <c r="S89" i="6"/>
  <c r="O89" i="6"/>
  <c r="L89" i="6"/>
  <c r="J89" i="6"/>
  <c r="I89" i="6"/>
  <c r="K89" i="6" s="1"/>
  <c r="S88" i="6"/>
  <c r="O88" i="6"/>
  <c r="J88" i="6"/>
  <c r="I88" i="6"/>
  <c r="N88" i="6" s="1"/>
  <c r="S87" i="6"/>
  <c r="O87" i="6"/>
  <c r="L87" i="6"/>
  <c r="K87" i="6"/>
  <c r="J87" i="6"/>
  <c r="I87" i="6"/>
  <c r="M87" i="6" s="1"/>
  <c r="S86" i="6"/>
  <c r="O86" i="6"/>
  <c r="J86" i="6"/>
  <c r="I86" i="6"/>
  <c r="L86" i="6" s="1"/>
  <c r="S85" i="6"/>
  <c r="O85" i="6"/>
  <c r="M85" i="6"/>
  <c r="J85" i="6"/>
  <c r="I85" i="6"/>
  <c r="K85" i="6" s="1"/>
  <c r="S84" i="6"/>
  <c r="O84" i="6"/>
  <c r="L84" i="6"/>
  <c r="J84" i="6"/>
  <c r="I84" i="6"/>
  <c r="N84" i="6" s="1"/>
  <c r="S83" i="6"/>
  <c r="O83" i="6"/>
  <c r="L83" i="6"/>
  <c r="J83" i="6"/>
  <c r="I83" i="6"/>
  <c r="M83" i="6" s="1"/>
  <c r="S82" i="6"/>
  <c r="O82" i="6"/>
  <c r="M82" i="6"/>
  <c r="K82" i="6"/>
  <c r="J82" i="6"/>
  <c r="I82" i="6"/>
  <c r="L82" i="6" s="1"/>
  <c r="S81" i="6"/>
  <c r="O81" i="6"/>
  <c r="J81" i="6"/>
  <c r="I81" i="6"/>
  <c r="K81" i="6" s="1"/>
  <c r="S80" i="6"/>
  <c r="O80" i="6"/>
  <c r="J80" i="6"/>
  <c r="I80" i="6"/>
  <c r="N80" i="6" s="1"/>
  <c r="S79" i="6"/>
  <c r="O79" i="6"/>
  <c r="L79" i="6"/>
  <c r="K79" i="6"/>
  <c r="J79" i="6"/>
  <c r="I79" i="6"/>
  <c r="M79" i="6" s="1"/>
  <c r="S78" i="6"/>
  <c r="O78" i="6"/>
  <c r="M78" i="6"/>
  <c r="J78" i="6"/>
  <c r="I78" i="6"/>
  <c r="L78" i="6" s="1"/>
  <c r="S77" i="6"/>
  <c r="O77" i="6"/>
  <c r="J77" i="6"/>
  <c r="I77" i="6"/>
  <c r="K77" i="6" s="1"/>
  <c r="S76" i="6"/>
  <c r="O76" i="6"/>
  <c r="L76" i="6"/>
  <c r="K76" i="6"/>
  <c r="J76" i="6"/>
  <c r="I76" i="6"/>
  <c r="N76" i="6" s="1"/>
  <c r="S75" i="6"/>
  <c r="O75" i="6"/>
  <c r="K75" i="6"/>
  <c r="J75" i="6"/>
  <c r="I75" i="6"/>
  <c r="M75" i="6" s="1"/>
  <c r="S74" i="6"/>
  <c r="O74" i="6"/>
  <c r="M74" i="6"/>
  <c r="J74" i="6"/>
  <c r="I74" i="6"/>
  <c r="L74" i="6" s="1"/>
  <c r="S73" i="6"/>
  <c r="O73" i="6"/>
  <c r="M73" i="6"/>
  <c r="J73" i="6"/>
  <c r="I73" i="6"/>
  <c r="K73" i="6" s="1"/>
  <c r="S72" i="6"/>
  <c r="O72" i="6"/>
  <c r="L72" i="6"/>
  <c r="K72" i="6"/>
  <c r="J72" i="6"/>
  <c r="I72" i="6"/>
  <c r="N72" i="6" s="1"/>
  <c r="S71" i="6"/>
  <c r="O71" i="6"/>
  <c r="K71" i="6"/>
  <c r="J71" i="6"/>
  <c r="I71" i="6"/>
  <c r="M71" i="6" s="1"/>
  <c r="S70" i="6"/>
  <c r="O70" i="6"/>
  <c r="J70" i="6"/>
  <c r="I70" i="6"/>
  <c r="L70" i="6" s="1"/>
  <c r="S69" i="6"/>
  <c r="O69" i="6"/>
  <c r="J69" i="6"/>
  <c r="I69" i="6"/>
  <c r="K69" i="6" s="1"/>
  <c r="S68" i="6"/>
  <c r="O68" i="6"/>
  <c r="J68" i="6"/>
  <c r="I68" i="6"/>
  <c r="N68" i="6" s="1"/>
  <c r="S67" i="6"/>
  <c r="O67" i="6"/>
  <c r="J67" i="6"/>
  <c r="I67" i="6"/>
  <c r="M67" i="6" s="1"/>
  <c r="S66" i="6"/>
  <c r="O66" i="6"/>
  <c r="K66" i="6"/>
  <c r="J66" i="6"/>
  <c r="I66" i="6"/>
  <c r="L66" i="6" s="1"/>
  <c r="S65" i="6"/>
  <c r="O65" i="6"/>
  <c r="M65" i="6"/>
  <c r="J65" i="6"/>
  <c r="I65" i="6"/>
  <c r="K65" i="6" s="1"/>
  <c r="S64" i="6"/>
  <c r="O64" i="6"/>
  <c r="J64" i="6"/>
  <c r="I64" i="6"/>
  <c r="N64" i="6" s="1"/>
  <c r="S63" i="6"/>
  <c r="O63" i="6"/>
  <c r="K63" i="6"/>
  <c r="J63" i="6"/>
  <c r="I63" i="6"/>
  <c r="M63" i="6" s="1"/>
  <c r="S62" i="6"/>
  <c r="O62" i="6"/>
  <c r="J62" i="6"/>
  <c r="I62" i="6"/>
  <c r="L62" i="6" s="1"/>
  <c r="S61" i="6"/>
  <c r="O61" i="6"/>
  <c r="J61" i="6"/>
  <c r="I61" i="6"/>
  <c r="K61" i="6" s="1"/>
  <c r="S60" i="6"/>
  <c r="O60" i="6"/>
  <c r="K60" i="6"/>
  <c r="J60" i="6"/>
  <c r="I60" i="6"/>
  <c r="N60" i="6" s="1"/>
  <c r="S59" i="6"/>
  <c r="O59" i="6"/>
  <c r="J59" i="6"/>
  <c r="I59" i="6"/>
  <c r="M59" i="6" s="1"/>
  <c r="S58" i="6"/>
  <c r="O58" i="6"/>
  <c r="M58" i="6"/>
  <c r="J58" i="6"/>
  <c r="I58" i="6"/>
  <c r="L58" i="6" s="1"/>
  <c r="S57" i="6"/>
  <c r="O57" i="6"/>
  <c r="J57" i="6"/>
  <c r="I57" i="6"/>
  <c r="K57" i="6" s="1"/>
  <c r="S56" i="6"/>
  <c r="O56" i="6"/>
  <c r="K56" i="6"/>
  <c r="J56" i="6"/>
  <c r="I56" i="6"/>
  <c r="N56" i="6" s="1"/>
  <c r="S55" i="6"/>
  <c r="O55" i="6"/>
  <c r="J55" i="6"/>
  <c r="I55" i="6"/>
  <c r="M55" i="6" s="1"/>
  <c r="S54" i="6"/>
  <c r="O54" i="6"/>
  <c r="J54" i="6"/>
  <c r="I54" i="6"/>
  <c r="L54" i="6" s="1"/>
  <c r="S53" i="6"/>
  <c r="O53" i="6"/>
  <c r="M53" i="6"/>
  <c r="L53" i="6"/>
  <c r="J53" i="6"/>
  <c r="I53" i="6"/>
  <c r="K53" i="6" s="1"/>
  <c r="S52" i="6"/>
  <c r="O52" i="6"/>
  <c r="J52" i="6"/>
  <c r="I52" i="6"/>
  <c r="N52" i="6" s="1"/>
  <c r="S51" i="6"/>
  <c r="O51" i="6"/>
  <c r="L51" i="6"/>
  <c r="K51" i="6"/>
  <c r="J51" i="6"/>
  <c r="I51" i="6"/>
  <c r="M51" i="6" s="1"/>
  <c r="S50" i="6"/>
  <c r="O50" i="6"/>
  <c r="J50" i="6"/>
  <c r="I50" i="6"/>
  <c r="L50" i="6" s="1"/>
  <c r="S49" i="6"/>
  <c r="O49" i="6"/>
  <c r="M49" i="6"/>
  <c r="J49" i="6"/>
  <c r="I49" i="6"/>
  <c r="K49" i="6" s="1"/>
  <c r="S48" i="6"/>
  <c r="O48" i="6"/>
  <c r="J48" i="6"/>
  <c r="I48" i="6"/>
  <c r="N48" i="6" s="1"/>
  <c r="S47" i="6"/>
  <c r="O47" i="6"/>
  <c r="J47" i="6"/>
  <c r="I47" i="6"/>
  <c r="M47" i="6" s="1"/>
  <c r="S46" i="6"/>
  <c r="O46" i="6"/>
  <c r="M46" i="6"/>
  <c r="K46" i="6"/>
  <c r="J46" i="6"/>
  <c r="I46" i="6"/>
  <c r="L46" i="6" s="1"/>
  <c r="S45" i="6"/>
  <c r="O45" i="6"/>
  <c r="J45" i="6"/>
  <c r="I45" i="6"/>
  <c r="K45" i="6" s="1"/>
  <c r="S44" i="6"/>
  <c r="O44" i="6"/>
  <c r="J44" i="6"/>
  <c r="I44" i="6"/>
  <c r="N44" i="6" s="1"/>
  <c r="S43" i="6"/>
  <c r="O43" i="6"/>
  <c r="J43" i="6"/>
  <c r="I43" i="6"/>
  <c r="M43" i="6" s="1"/>
  <c r="S42" i="6"/>
  <c r="O42" i="6"/>
  <c r="J42" i="6"/>
  <c r="I42" i="6"/>
  <c r="L42" i="6" s="1"/>
  <c r="S41" i="6"/>
  <c r="O41" i="6"/>
  <c r="M41" i="6"/>
  <c r="L41" i="6"/>
  <c r="J41" i="6"/>
  <c r="I41" i="6"/>
  <c r="K41" i="6" s="1"/>
  <c r="S40" i="6"/>
  <c r="O40" i="6"/>
  <c r="J40" i="6"/>
  <c r="I40" i="6"/>
  <c r="N40" i="6" s="1"/>
  <c r="S39" i="6"/>
  <c r="O39" i="6"/>
  <c r="J39" i="6"/>
  <c r="I39" i="6"/>
  <c r="M39" i="6" s="1"/>
  <c r="S38" i="6"/>
  <c r="O38" i="6"/>
  <c r="J38" i="6"/>
  <c r="I38" i="6"/>
  <c r="L38" i="6" s="1"/>
  <c r="S37" i="6"/>
  <c r="O37" i="6"/>
  <c r="L37" i="6"/>
  <c r="J37" i="6"/>
  <c r="I37" i="6"/>
  <c r="K37" i="6" s="1"/>
  <c r="S36" i="6"/>
  <c r="O36" i="6"/>
  <c r="L36" i="6"/>
  <c r="J36" i="6"/>
  <c r="I36" i="6"/>
  <c r="N36" i="6" s="1"/>
  <c r="S35" i="6"/>
  <c r="O35" i="6"/>
  <c r="K35" i="6"/>
  <c r="J35" i="6"/>
  <c r="I35" i="6"/>
  <c r="M35" i="6" s="1"/>
  <c r="S34" i="6"/>
  <c r="O34" i="6"/>
  <c r="J34" i="6"/>
  <c r="I34" i="6"/>
  <c r="L34" i="6" s="1"/>
  <c r="S33" i="6"/>
  <c r="O33" i="6"/>
  <c r="J33" i="6"/>
  <c r="I33" i="6"/>
  <c r="K33" i="6" s="1"/>
  <c r="S32" i="6"/>
  <c r="O32" i="6"/>
  <c r="J32" i="6"/>
  <c r="I32" i="6"/>
  <c r="N32" i="6" s="1"/>
  <c r="S31" i="6"/>
  <c r="O31" i="6"/>
  <c r="L31" i="6"/>
  <c r="J31" i="6"/>
  <c r="I31" i="6"/>
  <c r="M31" i="6" s="1"/>
  <c r="S30" i="6"/>
  <c r="O30" i="6"/>
  <c r="K30" i="6"/>
  <c r="J30" i="6"/>
  <c r="I30" i="6"/>
  <c r="L30" i="6" s="1"/>
  <c r="S29" i="6"/>
  <c r="O29" i="6"/>
  <c r="J29" i="6"/>
  <c r="I29" i="6"/>
  <c r="K29" i="6" s="1"/>
  <c r="S28" i="6"/>
  <c r="O28" i="6"/>
  <c r="L28" i="6"/>
  <c r="J28" i="6"/>
  <c r="I28" i="6"/>
  <c r="N28" i="6" s="1"/>
  <c r="S27" i="6"/>
  <c r="O27" i="6"/>
  <c r="L27" i="6"/>
  <c r="K27" i="6"/>
  <c r="J27" i="6"/>
  <c r="I27" i="6"/>
  <c r="M27" i="6" s="1"/>
  <c r="S26" i="6"/>
  <c r="O26" i="6"/>
  <c r="J26" i="6"/>
  <c r="I26" i="6"/>
  <c r="L26" i="6" s="1"/>
  <c r="S25" i="6"/>
  <c r="O25" i="6"/>
  <c r="L25" i="6"/>
  <c r="J25" i="6"/>
  <c r="I25" i="6"/>
  <c r="K25" i="6" s="1"/>
  <c r="S24" i="6"/>
  <c r="O24" i="6"/>
  <c r="L24" i="6"/>
  <c r="J24" i="6"/>
  <c r="I24" i="6"/>
  <c r="N24" i="6" s="1"/>
  <c r="S23" i="6"/>
  <c r="O23" i="6"/>
  <c r="L23" i="6"/>
  <c r="K23" i="6"/>
  <c r="J23" i="6"/>
  <c r="I23" i="6"/>
  <c r="M23" i="6" s="1"/>
  <c r="S22" i="6"/>
  <c r="O22" i="6"/>
  <c r="J22" i="6"/>
  <c r="I22" i="6"/>
  <c r="L22" i="6" s="1"/>
  <c r="S21" i="6"/>
  <c r="O21" i="6"/>
  <c r="J21" i="6"/>
  <c r="I21" i="6"/>
  <c r="K21" i="6" s="1"/>
  <c r="S20" i="6"/>
  <c r="O20" i="6"/>
  <c r="L20" i="6"/>
  <c r="J20" i="6"/>
  <c r="I20" i="6"/>
  <c r="N20" i="6" s="1"/>
  <c r="S19" i="6"/>
  <c r="O19" i="6"/>
  <c r="J19" i="6"/>
  <c r="I19" i="6"/>
  <c r="M19" i="6" s="1"/>
  <c r="S18" i="6"/>
  <c r="O18" i="6"/>
  <c r="M18" i="6"/>
  <c r="K18" i="6"/>
  <c r="J18" i="6"/>
  <c r="I18" i="6"/>
  <c r="L18" i="6" s="1"/>
  <c r="S17" i="6"/>
  <c r="O17" i="6"/>
  <c r="J17" i="6"/>
  <c r="I17" i="6"/>
  <c r="K17" i="6" s="1"/>
  <c r="S16" i="6"/>
  <c r="O16" i="6"/>
  <c r="J16" i="6"/>
  <c r="I16" i="6"/>
  <c r="N16" i="6" s="1"/>
  <c r="S15" i="6"/>
  <c r="O15" i="6"/>
  <c r="L15" i="6"/>
  <c r="K15" i="6"/>
  <c r="J15" i="6"/>
  <c r="I15" i="6"/>
  <c r="M15" i="6" s="1"/>
  <c r="S14" i="6"/>
  <c r="O14" i="6"/>
  <c r="J14" i="6"/>
  <c r="I14" i="6"/>
  <c r="L14" i="6" s="1"/>
  <c r="S13" i="6"/>
  <c r="O13" i="6"/>
  <c r="J13" i="6"/>
  <c r="I13" i="6"/>
  <c r="K13" i="6" s="1"/>
  <c r="S12" i="6"/>
  <c r="O12" i="6"/>
  <c r="L12" i="6"/>
  <c r="K12" i="6"/>
  <c r="J12" i="6"/>
  <c r="I12" i="6"/>
  <c r="N12" i="6" s="1"/>
  <c r="S11" i="6"/>
  <c r="O11" i="6"/>
  <c r="K11" i="6"/>
  <c r="J11" i="6"/>
  <c r="I11" i="6"/>
  <c r="M11" i="6" s="1"/>
  <c r="S10" i="6"/>
  <c r="O10" i="6"/>
  <c r="M10" i="6"/>
  <c r="J10" i="6"/>
  <c r="I10" i="6"/>
  <c r="L10" i="6" s="1"/>
  <c r="S9" i="6"/>
  <c r="O9" i="6"/>
  <c r="J9" i="6"/>
  <c r="I9" i="6"/>
  <c r="K9" i="6" s="1"/>
  <c r="S8" i="6"/>
  <c r="O8" i="6"/>
  <c r="L8" i="6"/>
  <c r="K8" i="6"/>
  <c r="J8" i="6"/>
  <c r="I8" i="6"/>
  <c r="N8" i="6" s="1"/>
  <c r="S7" i="6"/>
  <c r="O7" i="6"/>
  <c r="J7" i="6"/>
  <c r="I7" i="6"/>
  <c r="M7" i="6" s="1"/>
  <c r="S6" i="6"/>
  <c r="O6" i="6"/>
  <c r="K6" i="6"/>
  <c r="J6" i="6"/>
  <c r="I6" i="6"/>
  <c r="N6" i="6" s="1"/>
  <c r="S5" i="6"/>
  <c r="O5" i="6"/>
  <c r="J5" i="6"/>
  <c r="I5" i="6"/>
  <c r="M5" i="6" s="1"/>
  <c r="S4" i="6"/>
  <c r="O4" i="6"/>
  <c r="J4" i="6"/>
  <c r="I4" i="6"/>
  <c r="M4" i="6" s="1"/>
  <c r="S3" i="6"/>
  <c r="O3" i="6"/>
  <c r="L3" i="6"/>
  <c r="J3" i="6"/>
  <c r="I3" i="6"/>
  <c r="K3" i="6" s="1"/>
  <c r="S2" i="6"/>
  <c r="O2" i="6"/>
  <c r="J2" i="6"/>
  <c r="I2" i="6"/>
  <c r="N2" i="6" s="1"/>
  <c r="AX66" i="5"/>
  <c r="AW66" i="5"/>
  <c r="AP66" i="5"/>
  <c r="AO66" i="5"/>
  <c r="AR66" i="5" s="1"/>
  <c r="AX65" i="5"/>
  <c r="AW65" i="5"/>
  <c r="AP65" i="5"/>
  <c r="AO65" i="5"/>
  <c r="AQ65" i="5" s="1"/>
  <c r="AX64" i="5"/>
  <c r="AW64" i="5"/>
  <c r="AP64" i="5"/>
  <c r="AO64" i="5"/>
  <c r="AX63" i="5"/>
  <c r="AW63" i="5"/>
  <c r="AR63" i="5"/>
  <c r="AP63" i="5"/>
  <c r="AO63" i="5"/>
  <c r="AQ63" i="5" s="1"/>
  <c r="AX62" i="5"/>
  <c r="AW62" i="5"/>
  <c r="AP62" i="5"/>
  <c r="AO62" i="5"/>
  <c r="AR62" i="5" s="1"/>
  <c r="AX61" i="5"/>
  <c r="AW61" i="5"/>
  <c r="AP61" i="5"/>
  <c r="AO61" i="5"/>
  <c r="AQ61" i="5" s="1"/>
  <c r="AX60" i="5"/>
  <c r="AW60" i="5"/>
  <c r="AP60" i="5"/>
  <c r="AO60" i="5"/>
  <c r="AX59" i="5"/>
  <c r="AW59" i="5"/>
  <c r="AR59" i="5"/>
  <c r="AP59" i="5"/>
  <c r="AO59" i="5"/>
  <c r="AQ59" i="5" s="1"/>
  <c r="AX58" i="5"/>
  <c r="AW58" i="5"/>
  <c r="AP58" i="5"/>
  <c r="AO58" i="5"/>
  <c r="AX57" i="5"/>
  <c r="AW57" i="5"/>
  <c r="AP57" i="5"/>
  <c r="AO57" i="5"/>
  <c r="AQ57" i="5" s="1"/>
  <c r="AX56" i="5"/>
  <c r="AW56" i="5"/>
  <c r="AP56" i="5"/>
  <c r="AO56" i="5"/>
  <c r="AX55" i="5"/>
  <c r="AW55" i="5"/>
  <c r="AP55" i="5"/>
  <c r="AR55" i="5" s="1"/>
  <c r="AO55" i="5"/>
  <c r="AQ55" i="5" s="1"/>
  <c r="AX54" i="5"/>
  <c r="AW54" i="5"/>
  <c r="AP54" i="5"/>
  <c r="AO54" i="5"/>
  <c r="AX53" i="5"/>
  <c r="AW53" i="5"/>
  <c r="AQ53" i="5"/>
  <c r="AP53" i="5"/>
  <c r="AO53" i="5"/>
  <c r="AX52" i="5"/>
  <c r="AW52" i="5"/>
  <c r="AP52" i="5"/>
  <c r="AO52" i="5"/>
  <c r="AR52" i="5" s="1"/>
  <c r="AX51" i="5"/>
  <c r="AW51" i="5"/>
  <c r="AP51" i="5"/>
  <c r="AO51" i="5"/>
  <c r="AQ51" i="5" s="1"/>
  <c r="AX50" i="5"/>
  <c r="AW50" i="5"/>
  <c r="AP50" i="5"/>
  <c r="AR50" i="5" s="1"/>
  <c r="AO50" i="5"/>
  <c r="AX49" i="5"/>
  <c r="AW49" i="5"/>
  <c r="AQ49" i="5"/>
  <c r="AP49" i="5"/>
  <c r="AO49" i="5"/>
  <c r="AX48" i="5"/>
  <c r="AW48" i="5"/>
  <c r="AP48" i="5"/>
  <c r="AO48" i="5"/>
  <c r="AR48" i="5" s="1"/>
  <c r="AX47" i="5"/>
  <c r="AW47" i="5"/>
  <c r="AP47" i="5"/>
  <c r="AO47" i="5"/>
  <c r="AQ47" i="5" s="1"/>
  <c r="AX46" i="5"/>
  <c r="AW46" i="5"/>
  <c r="AP46" i="5"/>
  <c r="AO46" i="5"/>
  <c r="AR46" i="5" s="1"/>
  <c r="AX45" i="5"/>
  <c r="AW45" i="5"/>
  <c r="AP45" i="5"/>
  <c r="AO45" i="5"/>
  <c r="AQ45" i="5" s="1"/>
  <c r="AX44" i="5"/>
  <c r="AW44" i="5"/>
  <c r="AP44" i="5"/>
  <c r="AO44" i="5"/>
  <c r="AR44" i="5" s="1"/>
  <c r="AX43" i="5"/>
  <c r="AW43" i="5"/>
  <c r="AQ43" i="5"/>
  <c r="AP43" i="5"/>
  <c r="AO43" i="5"/>
  <c r="AX42" i="5"/>
  <c r="AW42" i="5"/>
  <c r="AP42" i="5"/>
  <c r="AO42" i="5"/>
  <c r="AX41" i="5"/>
  <c r="AW41" i="5"/>
  <c r="AQ41" i="5"/>
  <c r="AP41" i="5"/>
  <c r="AO41" i="5"/>
  <c r="AX40" i="5"/>
  <c r="AW40" i="5"/>
  <c r="AP40" i="5"/>
  <c r="AO40" i="5"/>
  <c r="AR40" i="5" s="1"/>
  <c r="AX39" i="5"/>
  <c r="AW39" i="5"/>
  <c r="AP39" i="5"/>
  <c r="AO39" i="5"/>
  <c r="AQ39" i="5" s="1"/>
  <c r="AE5" i="3" s="1"/>
  <c r="AX38" i="5"/>
  <c r="AW38" i="5"/>
  <c r="AP38" i="5"/>
  <c r="AO38" i="5"/>
  <c r="AX37" i="5"/>
  <c r="AW37" i="5"/>
  <c r="AP37" i="5"/>
  <c r="AO37" i="5"/>
  <c r="AQ37" i="5" s="1"/>
  <c r="AX36" i="5"/>
  <c r="AW36" i="5"/>
  <c r="AP36" i="5"/>
  <c r="AO36" i="5"/>
  <c r="AX35" i="5"/>
  <c r="AW35" i="5"/>
  <c r="AP35" i="5"/>
  <c r="AO35" i="5"/>
  <c r="AX34" i="5"/>
  <c r="AW34" i="5"/>
  <c r="AP34" i="5"/>
  <c r="AO34" i="5"/>
  <c r="AX33" i="5"/>
  <c r="AW33" i="5"/>
  <c r="AP33" i="5"/>
  <c r="AO33" i="5"/>
  <c r="AX32" i="5"/>
  <c r="AW32" i="5"/>
  <c r="AQ32" i="5"/>
  <c r="AP32" i="5"/>
  <c r="AO32" i="5"/>
  <c r="AX31" i="5"/>
  <c r="AW31" i="5"/>
  <c r="AQ31" i="5"/>
  <c r="AP31" i="5"/>
  <c r="AO31" i="5"/>
  <c r="AX30" i="5"/>
  <c r="AW30" i="5"/>
  <c r="AP30" i="5"/>
  <c r="AO30" i="5"/>
  <c r="AX29" i="5"/>
  <c r="AW29" i="5"/>
  <c r="AP29" i="5"/>
  <c r="AO29" i="5"/>
  <c r="AX28" i="5"/>
  <c r="AW28" i="5"/>
  <c r="AP28" i="5"/>
  <c r="AO28" i="5"/>
  <c r="AQ28" i="5" s="1"/>
  <c r="AX27" i="5"/>
  <c r="AW27" i="5"/>
  <c r="AP27" i="5"/>
  <c r="AO27" i="5"/>
  <c r="AQ27" i="5" s="1"/>
  <c r="AX26" i="5"/>
  <c r="AW26" i="5"/>
  <c r="AP26" i="5"/>
  <c r="AO26" i="5"/>
  <c r="AX25" i="5"/>
  <c r="AW25" i="5"/>
  <c r="AP25" i="5"/>
  <c r="AO25" i="5"/>
  <c r="AX24" i="5"/>
  <c r="AW24" i="5"/>
  <c r="AP24" i="5"/>
  <c r="AO24" i="5"/>
  <c r="AR24" i="5" s="1"/>
  <c r="AX23" i="5"/>
  <c r="AW23" i="5"/>
  <c r="AP23" i="5"/>
  <c r="AO23" i="5"/>
  <c r="AR23" i="5" s="1"/>
  <c r="AX22" i="5"/>
  <c r="AW22" i="5"/>
  <c r="AP22" i="5"/>
  <c r="AR22" i="5" s="1"/>
  <c r="AO22" i="5"/>
  <c r="AX21" i="5"/>
  <c r="AW21" i="5"/>
  <c r="AP21" i="5"/>
  <c r="AO21" i="5"/>
  <c r="AX20" i="5"/>
  <c r="AW20" i="5"/>
  <c r="AQ20" i="5"/>
  <c r="AP20" i="5"/>
  <c r="AO20" i="5"/>
  <c r="AX19" i="5"/>
  <c r="AW19" i="5"/>
  <c r="AP19" i="5"/>
  <c r="AO19" i="5"/>
  <c r="AQ19" i="5" s="1"/>
  <c r="AX18" i="5"/>
  <c r="AW18" i="5"/>
  <c r="AQ18" i="5"/>
  <c r="AP18" i="5"/>
  <c r="AR18" i="5" s="1"/>
  <c r="AO18" i="5"/>
  <c r="AX17" i="5"/>
  <c r="AW17" i="5"/>
  <c r="AQ17" i="5"/>
  <c r="AP17" i="5"/>
  <c r="AO17" i="5"/>
  <c r="AX16" i="5"/>
  <c r="AW16" i="5"/>
  <c r="AP16" i="5"/>
  <c r="AO16" i="5"/>
  <c r="AR16" i="5" s="1"/>
  <c r="AX15" i="5"/>
  <c r="AW15" i="5"/>
  <c r="AP15" i="5"/>
  <c r="AO15" i="5"/>
  <c r="AR15" i="5" s="1"/>
  <c r="AX14" i="5"/>
  <c r="AW14" i="5"/>
  <c r="AP14" i="5"/>
  <c r="AO14" i="5"/>
  <c r="AR14" i="5" s="1"/>
  <c r="AC6" i="3" s="1"/>
  <c r="AX13" i="5"/>
  <c r="AW13" i="5"/>
  <c r="AP13" i="5"/>
  <c r="AO13" i="5"/>
  <c r="AX12" i="5"/>
  <c r="AW12" i="5"/>
  <c r="AP12" i="5"/>
  <c r="AO12" i="5"/>
  <c r="AQ12" i="5" s="1"/>
  <c r="AX11" i="5"/>
  <c r="AW11" i="5"/>
  <c r="AQ11" i="5"/>
  <c r="AP11" i="5"/>
  <c r="AO11" i="5"/>
  <c r="AX10" i="5"/>
  <c r="AW10" i="5"/>
  <c r="AP10" i="5"/>
  <c r="AO10" i="5"/>
  <c r="AX9" i="5"/>
  <c r="AW9" i="5"/>
  <c r="AP9" i="5"/>
  <c r="AO9" i="5"/>
  <c r="AQ9" i="5" s="1"/>
  <c r="AX8" i="5"/>
  <c r="AW8" i="5"/>
  <c r="AP8" i="5"/>
  <c r="AO8" i="5"/>
  <c r="AX7" i="5"/>
  <c r="AW7" i="5"/>
  <c r="AP7" i="5"/>
  <c r="AB4" i="3" s="1"/>
  <c r="AO7" i="5"/>
  <c r="AX6" i="5"/>
  <c r="AW6" i="5"/>
  <c r="AR6" i="5"/>
  <c r="AP6" i="5"/>
  <c r="AO6" i="5"/>
  <c r="AX5" i="5"/>
  <c r="AW5" i="5"/>
  <c r="AP5" i="5"/>
  <c r="AO5" i="5"/>
  <c r="AX4" i="5"/>
  <c r="AW4" i="5"/>
  <c r="AP4" i="5"/>
  <c r="AO4" i="5"/>
  <c r="AQ4" i="5" s="1"/>
  <c r="F8" i="2" s="1"/>
  <c r="AX3" i="5"/>
  <c r="AW3" i="5"/>
  <c r="AP3" i="5"/>
  <c r="AO3" i="5"/>
  <c r="AQ3" i="5" s="1"/>
  <c r="AX2" i="5"/>
  <c r="AW2" i="5"/>
  <c r="AR2" i="5"/>
  <c r="AQ2" i="5"/>
  <c r="AP2" i="5"/>
  <c r="AO2" i="5"/>
  <c r="G130" i="4"/>
  <c r="B130" i="4"/>
  <c r="H130" i="4" s="1"/>
  <c r="F129" i="4"/>
  <c r="D129" i="4"/>
  <c r="C129" i="4"/>
  <c r="B129" i="4"/>
  <c r="E129" i="4" s="1"/>
  <c r="B128" i="4"/>
  <c r="F128" i="4" s="1"/>
  <c r="F127" i="4"/>
  <c r="D127" i="4"/>
  <c r="B127" i="4"/>
  <c r="E126" i="4"/>
  <c r="B126" i="4"/>
  <c r="H125" i="4"/>
  <c r="B125" i="4"/>
  <c r="E124" i="4"/>
  <c r="B124" i="4"/>
  <c r="F123" i="4"/>
  <c r="E123" i="4"/>
  <c r="D123" i="4"/>
  <c r="B123" i="4"/>
  <c r="B122" i="4"/>
  <c r="H121" i="4"/>
  <c r="C121" i="4"/>
  <c r="B121" i="4"/>
  <c r="B120" i="4"/>
  <c r="F120" i="4" s="1"/>
  <c r="B119" i="4"/>
  <c r="F119" i="4" s="1"/>
  <c r="E118" i="4"/>
  <c r="D118" i="4"/>
  <c r="B118" i="4"/>
  <c r="F118" i="4" s="1"/>
  <c r="H117" i="4"/>
  <c r="F117" i="4"/>
  <c r="B117" i="4"/>
  <c r="E117" i="4" s="1"/>
  <c r="B116" i="4"/>
  <c r="E116" i="4" s="1"/>
  <c r="B115" i="4"/>
  <c r="E114" i="4"/>
  <c r="D114" i="4"/>
  <c r="B114" i="4"/>
  <c r="F114" i="4" s="1"/>
  <c r="H113" i="4"/>
  <c r="B113" i="4"/>
  <c r="F113" i="4" s="1"/>
  <c r="B112" i="4"/>
  <c r="F112" i="4" s="1"/>
  <c r="B111" i="4"/>
  <c r="H110" i="4"/>
  <c r="E110" i="4"/>
  <c r="D110" i="4"/>
  <c r="C110" i="4"/>
  <c r="B110" i="4"/>
  <c r="F110" i="4" s="1"/>
  <c r="H109" i="4"/>
  <c r="F109" i="4"/>
  <c r="C109" i="4"/>
  <c r="B109" i="4"/>
  <c r="E109" i="4" s="1"/>
  <c r="B108" i="4"/>
  <c r="E108" i="4" s="1"/>
  <c r="B107" i="4"/>
  <c r="H106" i="4"/>
  <c r="E106" i="4"/>
  <c r="D106" i="4"/>
  <c r="C106" i="4"/>
  <c r="B106" i="4"/>
  <c r="F106" i="4" s="1"/>
  <c r="F105" i="4"/>
  <c r="D105" i="4"/>
  <c r="B105" i="4"/>
  <c r="E105" i="4" s="1"/>
  <c r="B104" i="4"/>
  <c r="F104" i="4" s="1"/>
  <c r="F103" i="4"/>
  <c r="B103" i="4"/>
  <c r="D103" i="4" s="1"/>
  <c r="H102" i="4"/>
  <c r="G102" i="4"/>
  <c r="C102" i="4"/>
  <c r="B102" i="4"/>
  <c r="C101" i="4"/>
  <c r="B101" i="4"/>
  <c r="B100" i="4"/>
  <c r="E100" i="4" s="1"/>
  <c r="F99" i="4"/>
  <c r="E99" i="4"/>
  <c r="B99" i="4"/>
  <c r="D99" i="4" s="1"/>
  <c r="H98" i="4"/>
  <c r="C98" i="4"/>
  <c r="B98" i="4"/>
  <c r="F97" i="4"/>
  <c r="D97" i="4"/>
  <c r="C97" i="4"/>
  <c r="B97" i="4"/>
  <c r="E97" i="4" s="1"/>
  <c r="B96" i="4"/>
  <c r="F96" i="4" s="1"/>
  <c r="B95" i="4"/>
  <c r="B94" i="4"/>
  <c r="G94" i="4" s="1"/>
  <c r="B93" i="4"/>
  <c r="B92" i="4"/>
  <c r="B91" i="4"/>
  <c r="B90" i="4"/>
  <c r="G90" i="4" s="1"/>
  <c r="B89" i="4"/>
  <c r="C89" i="4" s="1"/>
  <c r="D89" i="4" s="1"/>
  <c r="B88" i="4"/>
  <c r="B87" i="4"/>
  <c r="B86" i="4"/>
  <c r="B85" i="4"/>
  <c r="B84" i="4"/>
  <c r="B83" i="4"/>
  <c r="G82" i="4"/>
  <c r="B82" i="4"/>
  <c r="B81" i="4"/>
  <c r="B80" i="4"/>
  <c r="B79" i="4"/>
  <c r="B78" i="4"/>
  <c r="B77" i="4"/>
  <c r="B76" i="4"/>
  <c r="B75" i="4"/>
  <c r="G74" i="4"/>
  <c r="B74" i="4"/>
  <c r="B73" i="4"/>
  <c r="B72" i="4"/>
  <c r="B71" i="4"/>
  <c r="G70" i="4"/>
  <c r="B70" i="4"/>
  <c r="B69" i="4"/>
  <c r="B68" i="4"/>
  <c r="B67" i="4"/>
  <c r="B66" i="4"/>
  <c r="G66" i="4" s="1"/>
  <c r="B65" i="4"/>
  <c r="B64" i="4"/>
  <c r="B63" i="4"/>
  <c r="G62" i="4"/>
  <c r="B62" i="4"/>
  <c r="B61" i="4"/>
  <c r="B60" i="4"/>
  <c r="B59" i="4"/>
  <c r="G58" i="4"/>
  <c r="B58" i="4"/>
  <c r="C58" i="4" s="1"/>
  <c r="D58" i="4" s="1"/>
  <c r="E58" i="4" s="1"/>
  <c r="B57" i="4"/>
  <c r="B56" i="4"/>
  <c r="B55" i="4"/>
  <c r="B54" i="4"/>
  <c r="G54" i="4" s="1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C37" i="4"/>
  <c r="D37" i="4" s="1"/>
  <c r="B37" i="4"/>
  <c r="B36" i="4"/>
  <c r="B35" i="4"/>
  <c r="B34" i="4"/>
  <c r="B33" i="4"/>
  <c r="B32" i="4"/>
  <c r="B31" i="4"/>
  <c r="G13" i="4"/>
  <c r="G5" i="4"/>
  <c r="G9" i="4" s="1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I9" i="3"/>
  <c r="AH9" i="3"/>
  <c r="AG9" i="3"/>
  <c r="AF9" i="3"/>
  <c r="AE9" i="3"/>
  <c r="AD9" i="3"/>
  <c r="AC9" i="3"/>
  <c r="AB9" i="3"/>
  <c r="AG6" i="3"/>
  <c r="AI5" i="3"/>
  <c r="AF5" i="3"/>
  <c r="AI4" i="3"/>
  <c r="AH4" i="3"/>
  <c r="AG4" i="3"/>
  <c r="AF4" i="3"/>
  <c r="AE4" i="3"/>
  <c r="AD4" i="3"/>
  <c r="AC4" i="3"/>
  <c r="AI3" i="3"/>
  <c r="AH3" i="3"/>
  <c r="AG3" i="3"/>
  <c r="AF3" i="3"/>
  <c r="AE3" i="3"/>
  <c r="AC3" i="3"/>
  <c r="A105" i="2"/>
  <c r="B105" i="2" s="1"/>
  <c r="AB104" i="2"/>
  <c r="T104" i="2"/>
  <c r="AG104" i="2" s="1"/>
  <c r="S104" i="2"/>
  <c r="AF104" i="2" s="1"/>
  <c r="R104" i="2"/>
  <c r="AE104" i="2" s="1"/>
  <c r="O104" i="2"/>
  <c r="N104" i="2"/>
  <c r="AA104" i="2" s="1"/>
  <c r="L104" i="2"/>
  <c r="Y104" i="2" s="1"/>
  <c r="J104" i="2"/>
  <c r="W104" i="2" s="1"/>
  <c r="H104" i="2"/>
  <c r="G104" i="2"/>
  <c r="D104" i="2"/>
  <c r="C104" i="2"/>
  <c r="B104" i="2"/>
  <c r="A104" i="2"/>
  <c r="U104" i="2" s="1"/>
  <c r="AH104" i="2" s="1"/>
  <c r="P103" i="2"/>
  <c r="AC103" i="2" s="1"/>
  <c r="I103" i="2"/>
  <c r="C103" i="2"/>
  <c r="A103" i="2"/>
  <c r="U103" i="2" s="1"/>
  <c r="AH103" i="2" s="1"/>
  <c r="N102" i="2"/>
  <c r="AA102" i="2" s="1"/>
  <c r="I102" i="2"/>
  <c r="D102" i="2"/>
  <c r="A102" i="2"/>
  <c r="U102" i="2" s="1"/>
  <c r="AH102" i="2" s="1"/>
  <c r="R101" i="2"/>
  <c r="AE101" i="2" s="1"/>
  <c r="O101" i="2"/>
  <c r="AB101" i="2" s="1"/>
  <c r="G101" i="2"/>
  <c r="E101" i="2"/>
  <c r="A101" i="2"/>
  <c r="S101" i="2" s="1"/>
  <c r="AF101" i="2" s="1"/>
  <c r="T100" i="2"/>
  <c r="AG100" i="2" s="1"/>
  <c r="O100" i="2"/>
  <c r="AB100" i="2" s="1"/>
  <c r="J100" i="2"/>
  <c r="W100" i="2" s="1"/>
  <c r="D100" i="2"/>
  <c r="A100" i="2"/>
  <c r="P100" i="2" s="1"/>
  <c r="AC100" i="2" s="1"/>
  <c r="O99" i="2"/>
  <c r="AB99" i="2" s="1"/>
  <c r="E99" i="2"/>
  <c r="A99" i="2"/>
  <c r="S99" i="2" s="1"/>
  <c r="AF99" i="2" s="1"/>
  <c r="N98" i="2"/>
  <c r="AA98" i="2" s="1"/>
  <c r="A98" i="2"/>
  <c r="T98" i="2" s="1"/>
  <c r="AG98" i="2" s="1"/>
  <c r="U97" i="2"/>
  <c r="AH97" i="2" s="1"/>
  <c r="O97" i="2"/>
  <c r="AB97" i="2" s="1"/>
  <c r="J97" i="2"/>
  <c r="W97" i="2" s="1"/>
  <c r="E97" i="2"/>
  <c r="B97" i="2"/>
  <c r="A97" i="2"/>
  <c r="AE96" i="2"/>
  <c r="Y96" i="2"/>
  <c r="T96" i="2"/>
  <c r="AG96" i="2" s="1"/>
  <c r="S96" i="2"/>
  <c r="AF96" i="2" s="1"/>
  <c r="R96" i="2"/>
  <c r="O96" i="2"/>
  <c r="AB96" i="2" s="1"/>
  <c r="N96" i="2"/>
  <c r="AA96" i="2" s="1"/>
  <c r="L96" i="2"/>
  <c r="J96" i="2"/>
  <c r="W96" i="2" s="1"/>
  <c r="H96" i="2"/>
  <c r="G96" i="2"/>
  <c r="D96" i="2"/>
  <c r="C96" i="2"/>
  <c r="B96" i="2"/>
  <c r="A96" i="2"/>
  <c r="U96" i="2" s="1"/>
  <c r="AH96" i="2" s="1"/>
  <c r="U95" i="2"/>
  <c r="AH95" i="2" s="1"/>
  <c r="P95" i="2"/>
  <c r="AC95" i="2" s="1"/>
  <c r="K95" i="2"/>
  <c r="X95" i="2" s="1"/>
  <c r="H95" i="2"/>
  <c r="D95" i="2"/>
  <c r="C95" i="2"/>
  <c r="A95" i="2"/>
  <c r="N94" i="2"/>
  <c r="AA94" i="2" s="1"/>
  <c r="I94" i="2"/>
  <c r="D94" i="2"/>
  <c r="A94" i="2"/>
  <c r="U94" i="2" s="1"/>
  <c r="AH94" i="2" s="1"/>
  <c r="A93" i="2"/>
  <c r="J93" i="2" s="1"/>
  <c r="W93" i="2" s="1"/>
  <c r="A92" i="2"/>
  <c r="P92" i="2" s="1"/>
  <c r="AC92" i="2" s="1"/>
  <c r="U91" i="2"/>
  <c r="AH91" i="2" s="1"/>
  <c r="S91" i="2"/>
  <c r="AF91" i="2" s="1"/>
  <c r="M91" i="2"/>
  <c r="Z91" i="2" s="1"/>
  <c r="H91" i="2"/>
  <c r="D91" i="2"/>
  <c r="A91" i="2"/>
  <c r="O91" i="2" s="1"/>
  <c r="AB91" i="2" s="1"/>
  <c r="T90" i="2"/>
  <c r="AG90" i="2" s="1"/>
  <c r="F90" i="2"/>
  <c r="A90" i="2"/>
  <c r="I90" i="2" s="1"/>
  <c r="A89" i="2"/>
  <c r="S89" i="2" s="1"/>
  <c r="AF89" i="2" s="1"/>
  <c r="S88" i="2"/>
  <c r="AF88" i="2" s="1"/>
  <c r="P88" i="2"/>
  <c r="AC88" i="2" s="1"/>
  <c r="L88" i="2"/>
  <c r="Y88" i="2" s="1"/>
  <c r="H88" i="2"/>
  <c r="F88" i="2"/>
  <c r="B88" i="2"/>
  <c r="A88" i="2"/>
  <c r="R88" i="2" s="1"/>
  <c r="AE88" i="2" s="1"/>
  <c r="O87" i="2"/>
  <c r="AB87" i="2" s="1"/>
  <c r="G87" i="2"/>
  <c r="A87" i="2"/>
  <c r="K87" i="2" s="1"/>
  <c r="X87" i="2" s="1"/>
  <c r="T86" i="2"/>
  <c r="AG86" i="2" s="1"/>
  <c r="R86" i="2"/>
  <c r="AE86" i="2" s="1"/>
  <c r="N86" i="2"/>
  <c r="AA86" i="2" s="1"/>
  <c r="L86" i="2"/>
  <c r="Y86" i="2" s="1"/>
  <c r="J86" i="2"/>
  <c r="W86" i="2" s="1"/>
  <c r="F86" i="2"/>
  <c r="D86" i="2"/>
  <c r="B86" i="2"/>
  <c r="A86" i="2"/>
  <c r="U86" i="2" s="1"/>
  <c r="AH86" i="2" s="1"/>
  <c r="A85" i="2"/>
  <c r="S85" i="2" s="1"/>
  <c r="AF85" i="2" s="1"/>
  <c r="T84" i="2"/>
  <c r="AG84" i="2" s="1"/>
  <c r="S84" i="2"/>
  <c r="AF84" i="2" s="1"/>
  <c r="P84" i="2"/>
  <c r="AC84" i="2" s="1"/>
  <c r="N84" i="2"/>
  <c r="AA84" i="2" s="1"/>
  <c r="K84" i="2"/>
  <c r="X84" i="2" s="1"/>
  <c r="J84" i="2"/>
  <c r="W84" i="2" s="1"/>
  <c r="F84" i="2"/>
  <c r="D84" i="2"/>
  <c r="C84" i="2"/>
  <c r="A84" i="2"/>
  <c r="G83" i="2"/>
  <c r="A83" i="2"/>
  <c r="O83" i="2" s="1"/>
  <c r="AB83" i="2" s="1"/>
  <c r="P82" i="2"/>
  <c r="AC82" i="2" s="1"/>
  <c r="F82" i="2"/>
  <c r="A82" i="2"/>
  <c r="R82" i="2" s="1"/>
  <c r="AE82" i="2" s="1"/>
  <c r="A81" i="2"/>
  <c r="S81" i="2" s="1"/>
  <c r="AF81" i="2" s="1"/>
  <c r="S80" i="2"/>
  <c r="AF80" i="2" s="1"/>
  <c r="P80" i="2"/>
  <c r="AC80" i="2" s="1"/>
  <c r="L80" i="2"/>
  <c r="Y80" i="2" s="1"/>
  <c r="H80" i="2"/>
  <c r="F80" i="2"/>
  <c r="B80" i="2"/>
  <c r="A80" i="2"/>
  <c r="R80" i="2" s="1"/>
  <c r="AE80" i="2" s="1"/>
  <c r="O79" i="2"/>
  <c r="AB79" i="2" s="1"/>
  <c r="G79" i="2"/>
  <c r="A79" i="2"/>
  <c r="K79" i="2" s="1"/>
  <c r="X79" i="2" s="1"/>
  <c r="T78" i="2"/>
  <c r="AG78" i="2" s="1"/>
  <c r="R78" i="2"/>
  <c r="AE78" i="2" s="1"/>
  <c r="N78" i="2"/>
  <c r="AA78" i="2" s="1"/>
  <c r="L78" i="2"/>
  <c r="Y78" i="2" s="1"/>
  <c r="J78" i="2"/>
  <c r="W78" i="2" s="1"/>
  <c r="F78" i="2"/>
  <c r="D78" i="2"/>
  <c r="B78" i="2"/>
  <c r="A78" i="2"/>
  <c r="U78" i="2" s="1"/>
  <c r="AH78" i="2" s="1"/>
  <c r="A77" i="2"/>
  <c r="S77" i="2" s="1"/>
  <c r="AF77" i="2" s="1"/>
  <c r="T76" i="2"/>
  <c r="AG76" i="2" s="1"/>
  <c r="S76" i="2"/>
  <c r="AF76" i="2" s="1"/>
  <c r="P76" i="2"/>
  <c r="AC76" i="2" s="1"/>
  <c r="N76" i="2"/>
  <c r="AA76" i="2" s="1"/>
  <c r="K76" i="2"/>
  <c r="X76" i="2" s="1"/>
  <c r="J76" i="2"/>
  <c r="W76" i="2" s="1"/>
  <c r="F76" i="2"/>
  <c r="D76" i="2"/>
  <c r="C76" i="2"/>
  <c r="A76" i="2"/>
  <c r="G75" i="2"/>
  <c r="A75" i="2"/>
  <c r="O75" i="2" s="1"/>
  <c r="AB75" i="2" s="1"/>
  <c r="P74" i="2"/>
  <c r="AC74" i="2" s="1"/>
  <c r="F74" i="2"/>
  <c r="A74" i="2"/>
  <c r="R74" i="2" s="1"/>
  <c r="AE74" i="2" s="1"/>
  <c r="A73" i="2"/>
  <c r="S73" i="2" s="1"/>
  <c r="AF73" i="2" s="1"/>
  <c r="S72" i="2"/>
  <c r="AF72" i="2" s="1"/>
  <c r="P72" i="2"/>
  <c r="AC72" i="2" s="1"/>
  <c r="L72" i="2"/>
  <c r="Y72" i="2" s="1"/>
  <c r="H72" i="2"/>
  <c r="F72" i="2"/>
  <c r="B72" i="2"/>
  <c r="A72" i="2"/>
  <c r="R72" i="2" s="1"/>
  <c r="AE72" i="2" s="1"/>
  <c r="O71" i="2"/>
  <c r="AB71" i="2" s="1"/>
  <c r="G71" i="2"/>
  <c r="A71" i="2"/>
  <c r="K71" i="2" s="1"/>
  <c r="X71" i="2" s="1"/>
  <c r="H70" i="2"/>
  <c r="A70" i="2"/>
  <c r="B70" i="2" s="1"/>
  <c r="A69" i="2"/>
  <c r="H68" i="2"/>
  <c r="D68" i="2"/>
  <c r="C68" i="2"/>
  <c r="B68" i="2"/>
  <c r="A68" i="2"/>
  <c r="C67" i="2"/>
  <c r="A67" i="2"/>
  <c r="G67" i="2" s="1"/>
  <c r="D66" i="2"/>
  <c r="A66" i="2"/>
  <c r="H66" i="2" s="1"/>
  <c r="A65" i="2"/>
  <c r="A64" i="2"/>
  <c r="A63" i="2"/>
  <c r="C63" i="2" s="1"/>
  <c r="H62" i="2"/>
  <c r="D62" i="2"/>
  <c r="A62" i="2"/>
  <c r="B62" i="2" s="1"/>
  <c r="A61" i="2"/>
  <c r="H60" i="2"/>
  <c r="D60" i="2"/>
  <c r="C60" i="2"/>
  <c r="B60" i="2"/>
  <c r="A60" i="2"/>
  <c r="G59" i="2"/>
  <c r="A59" i="2"/>
  <c r="C59" i="2" s="1"/>
  <c r="D58" i="2"/>
  <c r="B58" i="2"/>
  <c r="A58" i="2"/>
  <c r="H58" i="2" s="1"/>
  <c r="A57" i="2"/>
  <c r="G56" i="2"/>
  <c r="B56" i="2"/>
  <c r="A56" i="2"/>
  <c r="C56" i="2" s="1"/>
  <c r="C55" i="2"/>
  <c r="A55" i="2"/>
  <c r="H54" i="2"/>
  <c r="D54" i="2"/>
  <c r="B54" i="2"/>
  <c r="A54" i="2"/>
  <c r="A53" i="2"/>
  <c r="G52" i="2"/>
  <c r="B52" i="2"/>
  <c r="A52" i="2"/>
  <c r="C52" i="2" s="1"/>
  <c r="A51" i="2"/>
  <c r="C51" i="2" s="1"/>
  <c r="D50" i="2"/>
  <c r="A50" i="2"/>
  <c r="B50" i="2" s="1"/>
  <c r="A49" i="2"/>
  <c r="H48" i="2"/>
  <c r="D48" i="2"/>
  <c r="C48" i="2"/>
  <c r="B48" i="2"/>
  <c r="A48" i="2"/>
  <c r="G48" i="2" s="1"/>
  <c r="C47" i="2"/>
  <c r="A47" i="2"/>
  <c r="H46" i="2"/>
  <c r="A46" i="2"/>
  <c r="D46" i="2" s="1"/>
  <c r="A45" i="2"/>
  <c r="G44" i="2"/>
  <c r="C44" i="2"/>
  <c r="A44" i="2"/>
  <c r="D44" i="2" s="1"/>
  <c r="C43" i="2"/>
  <c r="A43" i="2"/>
  <c r="A42" i="2"/>
  <c r="H42" i="2" s="1"/>
  <c r="A41" i="2"/>
  <c r="H40" i="2"/>
  <c r="D40" i="2"/>
  <c r="C40" i="2"/>
  <c r="A40" i="2"/>
  <c r="B40" i="2" s="1"/>
  <c r="C39" i="2"/>
  <c r="A39" i="2"/>
  <c r="D38" i="2"/>
  <c r="A38" i="2"/>
  <c r="H38" i="2" s="1"/>
  <c r="A37" i="2"/>
  <c r="A36" i="2"/>
  <c r="C36" i="2" s="1"/>
  <c r="C35" i="2"/>
  <c r="A35" i="2"/>
  <c r="H34" i="2"/>
  <c r="D34" i="2"/>
  <c r="B34" i="2"/>
  <c r="A34" i="2"/>
  <c r="A33" i="2"/>
  <c r="A32" i="2"/>
  <c r="D32" i="2" s="1"/>
  <c r="A31" i="2"/>
  <c r="C31" i="2" s="1"/>
  <c r="A30" i="2"/>
  <c r="B30" i="2" s="1"/>
  <c r="A29" i="2"/>
  <c r="H28" i="2"/>
  <c r="C28" i="2"/>
  <c r="B28" i="2"/>
  <c r="A28" i="2"/>
  <c r="D28" i="2" s="1"/>
  <c r="C27" i="2"/>
  <c r="A27" i="2"/>
  <c r="H26" i="2"/>
  <c r="A26" i="2"/>
  <c r="D26" i="2" s="1"/>
  <c r="A25" i="2"/>
  <c r="F24" i="2"/>
  <c r="C24" i="2"/>
  <c r="A24" i="2"/>
  <c r="D24" i="2" s="1"/>
  <c r="C23" i="2"/>
  <c r="A23" i="2"/>
  <c r="F22" i="2"/>
  <c r="D22" i="2"/>
  <c r="B22" i="2"/>
  <c r="A22" i="2"/>
  <c r="H22" i="2" s="1"/>
  <c r="A21" i="2"/>
  <c r="D20" i="2"/>
  <c r="A20" i="2"/>
  <c r="C20" i="2" s="1"/>
  <c r="A19" i="2"/>
  <c r="G19" i="2" s="1"/>
  <c r="D18" i="2"/>
  <c r="A18" i="2"/>
  <c r="B18" i="2" s="1"/>
  <c r="A17" i="2"/>
  <c r="H16" i="2"/>
  <c r="D16" i="2"/>
  <c r="C16" i="2"/>
  <c r="B16" i="2"/>
  <c r="A16" i="2"/>
  <c r="F16" i="2" s="1"/>
  <c r="A15" i="2"/>
  <c r="D14" i="2"/>
  <c r="B14" i="2"/>
  <c r="A14" i="2"/>
  <c r="H14" i="2" s="1"/>
  <c r="A13" i="2"/>
  <c r="H12" i="2"/>
  <c r="D12" i="2"/>
  <c r="B12" i="2"/>
  <c r="A12" i="2"/>
  <c r="C11" i="2"/>
  <c r="A11" i="2"/>
  <c r="H10" i="2"/>
  <c r="D10" i="2"/>
  <c r="B10" i="2"/>
  <c r="A10" i="2"/>
  <c r="A9" i="2"/>
  <c r="C8" i="2"/>
  <c r="B8" i="2"/>
  <c r="A8" i="2"/>
  <c r="D8" i="2" s="1"/>
  <c r="A7" i="2"/>
  <c r="C7" i="2" s="1"/>
  <c r="F6" i="2"/>
  <c r="A6" i="2"/>
  <c r="D6" i="2" s="1"/>
  <c r="H32" i="2" l="1"/>
  <c r="C64" i="2"/>
  <c r="H64" i="2"/>
  <c r="B6" i="2"/>
  <c r="H8" i="2"/>
  <c r="C12" i="2"/>
  <c r="H18" i="2"/>
  <c r="B20" i="2"/>
  <c r="B26" i="2"/>
  <c r="F32" i="2"/>
  <c r="F36" i="2"/>
  <c r="B38" i="2"/>
  <c r="B46" i="2"/>
  <c r="H50" i="2"/>
  <c r="D56" i="2"/>
  <c r="G63" i="2"/>
  <c r="B66" i="2"/>
  <c r="D70" i="2"/>
  <c r="C72" i="2"/>
  <c r="K72" i="2"/>
  <c r="X72" i="2" s="1"/>
  <c r="B74" i="2"/>
  <c r="N74" i="2"/>
  <c r="AA74" i="2" s="1"/>
  <c r="C75" i="2"/>
  <c r="U76" i="2"/>
  <c r="AH76" i="2" s="1"/>
  <c r="R76" i="2"/>
  <c r="AE76" i="2" s="1"/>
  <c r="L76" i="2"/>
  <c r="Y76" i="2" s="1"/>
  <c r="G76" i="2"/>
  <c r="B76" i="2"/>
  <c r="H76" i="2"/>
  <c r="O76" i="2"/>
  <c r="AB76" i="2" s="1"/>
  <c r="C80" i="2"/>
  <c r="K80" i="2"/>
  <c r="X80" i="2" s="1"/>
  <c r="B82" i="2"/>
  <c r="N82" i="2"/>
  <c r="AA82" i="2" s="1"/>
  <c r="C83" i="2"/>
  <c r="U84" i="2"/>
  <c r="AH84" i="2" s="1"/>
  <c r="R84" i="2"/>
  <c r="AE84" i="2" s="1"/>
  <c r="L84" i="2"/>
  <c r="Y84" i="2" s="1"/>
  <c r="G84" i="2"/>
  <c r="B84" i="2"/>
  <c r="H84" i="2"/>
  <c r="O84" i="2"/>
  <c r="AB84" i="2" s="1"/>
  <c r="C88" i="2"/>
  <c r="K88" i="2"/>
  <c r="X88" i="2" s="1"/>
  <c r="B90" i="2"/>
  <c r="Q90" i="2"/>
  <c r="AD90" i="2" s="1"/>
  <c r="E91" i="2"/>
  <c r="F92" i="2"/>
  <c r="L92" i="2"/>
  <c r="Y92" i="2" s="1"/>
  <c r="T92" i="2"/>
  <c r="AG92" i="2" s="1"/>
  <c r="T95" i="2"/>
  <c r="AG95" i="2" s="1"/>
  <c r="M95" i="2"/>
  <c r="Z95" i="2" s="1"/>
  <c r="E95" i="2"/>
  <c r="I95" i="2"/>
  <c r="S95" i="2"/>
  <c r="AF95" i="2" s="1"/>
  <c r="S97" i="2"/>
  <c r="AF97" i="2" s="1"/>
  <c r="R97" i="2"/>
  <c r="AE97" i="2" s="1"/>
  <c r="G97" i="2"/>
  <c r="M97" i="2"/>
  <c r="Z97" i="2" s="1"/>
  <c r="D98" i="2"/>
  <c r="D99" i="2"/>
  <c r="M99" i="2"/>
  <c r="Z99" i="2" s="1"/>
  <c r="U99" i="2"/>
  <c r="AH99" i="2" s="1"/>
  <c r="F100" i="2"/>
  <c r="H103" i="2"/>
  <c r="M105" i="2"/>
  <c r="Z105" i="2" s="1"/>
  <c r="F98" i="4"/>
  <c r="E98" i="4"/>
  <c r="D98" i="4"/>
  <c r="E101" i="4"/>
  <c r="H101" i="4"/>
  <c r="F101" i="4"/>
  <c r="D119" i="4"/>
  <c r="F126" i="4"/>
  <c r="D126" i="4"/>
  <c r="H126" i="4"/>
  <c r="C126" i="4"/>
  <c r="C130" i="4"/>
  <c r="G34" i="4"/>
  <c r="S93" i="2"/>
  <c r="AF93" i="2" s="1"/>
  <c r="M93" i="2"/>
  <c r="Z93" i="2" s="1"/>
  <c r="B93" i="2"/>
  <c r="G78" i="4"/>
  <c r="E107" i="4"/>
  <c r="D107" i="4"/>
  <c r="F111" i="4"/>
  <c r="D111" i="4"/>
  <c r="F115" i="4"/>
  <c r="E115" i="4"/>
  <c r="F122" i="4"/>
  <c r="D122" i="4"/>
  <c r="H122" i="4"/>
  <c r="C122" i="4"/>
  <c r="H6" i="2"/>
  <c r="C15" i="2"/>
  <c r="H20" i="2"/>
  <c r="H24" i="2"/>
  <c r="B24" i="2"/>
  <c r="U27" i="2"/>
  <c r="AH27" i="2" s="1"/>
  <c r="G27" i="2"/>
  <c r="D30" i="2"/>
  <c r="B32" i="2"/>
  <c r="B36" i="2"/>
  <c r="B42" i="2"/>
  <c r="H44" i="2"/>
  <c r="B44" i="2"/>
  <c r="U52" i="2"/>
  <c r="AH52" i="2" s="1"/>
  <c r="D52" i="2"/>
  <c r="H52" i="2"/>
  <c r="H56" i="2"/>
  <c r="B64" i="2"/>
  <c r="U67" i="2"/>
  <c r="AH67" i="2" s="1"/>
  <c r="U71" i="2"/>
  <c r="AH71" i="2" s="1"/>
  <c r="S71" i="2"/>
  <c r="AF71" i="2" s="1"/>
  <c r="C71" i="2"/>
  <c r="U72" i="2"/>
  <c r="AH72" i="2" s="1"/>
  <c r="T72" i="2"/>
  <c r="AG72" i="2" s="1"/>
  <c r="O72" i="2"/>
  <c r="AB72" i="2" s="1"/>
  <c r="J72" i="2"/>
  <c r="W72" i="2" s="1"/>
  <c r="D72" i="2"/>
  <c r="G72" i="2"/>
  <c r="N72" i="2"/>
  <c r="AA72" i="2" s="1"/>
  <c r="H74" i="2"/>
  <c r="U79" i="2"/>
  <c r="AH79" i="2" s="1"/>
  <c r="S79" i="2"/>
  <c r="AF79" i="2" s="1"/>
  <c r="C79" i="2"/>
  <c r="U80" i="2"/>
  <c r="AH80" i="2" s="1"/>
  <c r="T80" i="2"/>
  <c r="AG80" i="2" s="1"/>
  <c r="O80" i="2"/>
  <c r="AB80" i="2" s="1"/>
  <c r="J80" i="2"/>
  <c r="W80" i="2" s="1"/>
  <c r="D80" i="2"/>
  <c r="G80" i="2"/>
  <c r="N80" i="2"/>
  <c r="AA80" i="2" s="1"/>
  <c r="H82" i="2"/>
  <c r="U87" i="2"/>
  <c r="AH87" i="2" s="1"/>
  <c r="S87" i="2"/>
  <c r="AF87" i="2" s="1"/>
  <c r="C87" i="2"/>
  <c r="U88" i="2"/>
  <c r="AH88" i="2" s="1"/>
  <c r="T88" i="2"/>
  <c r="AG88" i="2" s="1"/>
  <c r="O88" i="2"/>
  <c r="AB88" i="2" s="1"/>
  <c r="J88" i="2"/>
  <c r="W88" i="2" s="1"/>
  <c r="D88" i="2"/>
  <c r="G88" i="2"/>
  <c r="N88" i="2"/>
  <c r="AA88" i="2" s="1"/>
  <c r="P91" i="2"/>
  <c r="AC91" i="2" s="1"/>
  <c r="I91" i="2"/>
  <c r="C91" i="2"/>
  <c r="K91" i="2"/>
  <c r="X91" i="2" s="1"/>
  <c r="T91" i="2"/>
  <c r="AG91" i="2" s="1"/>
  <c r="B92" i="2"/>
  <c r="J92" i="2"/>
  <c r="W92" i="2" s="1"/>
  <c r="E93" i="2"/>
  <c r="R93" i="2"/>
  <c r="AE93" i="2" s="1"/>
  <c r="O95" i="2"/>
  <c r="AB95" i="2" s="1"/>
  <c r="H99" i="2"/>
  <c r="U100" i="2"/>
  <c r="AH100" i="2" s="1"/>
  <c r="S100" i="2"/>
  <c r="AF100" i="2" s="1"/>
  <c r="N100" i="2"/>
  <c r="AA100" i="2" s="1"/>
  <c r="H100" i="2"/>
  <c r="C100" i="2"/>
  <c r="R100" i="2"/>
  <c r="AE100" i="2" s="1"/>
  <c r="L100" i="2"/>
  <c r="Y100" i="2" s="1"/>
  <c r="G100" i="2"/>
  <c r="B100" i="2"/>
  <c r="K100" i="2"/>
  <c r="X100" i="2" s="1"/>
  <c r="T103" i="2"/>
  <c r="AG103" i="2" s="1"/>
  <c r="M103" i="2"/>
  <c r="Z103" i="2" s="1"/>
  <c r="E103" i="2"/>
  <c r="S103" i="2"/>
  <c r="AF103" i="2" s="1"/>
  <c r="K103" i="2"/>
  <c r="X103" i="2" s="1"/>
  <c r="D103" i="2"/>
  <c r="O103" i="2"/>
  <c r="AB103" i="2" s="1"/>
  <c r="G98" i="4"/>
  <c r="F102" i="4"/>
  <c r="E102" i="4"/>
  <c r="D102" i="4"/>
  <c r="F107" i="4"/>
  <c r="D115" i="4"/>
  <c r="E121" i="4"/>
  <c r="F121" i="4"/>
  <c r="D121" i="4"/>
  <c r="E122" i="4"/>
  <c r="E125" i="4"/>
  <c r="F125" i="4"/>
  <c r="C125" i="4"/>
  <c r="G126" i="4"/>
  <c r="AQ10" i="5"/>
  <c r="F14" i="2" s="1"/>
  <c r="AR10" i="5"/>
  <c r="U19" i="2"/>
  <c r="AH19" i="2" s="1"/>
  <c r="C19" i="2"/>
  <c r="H36" i="2"/>
  <c r="U92" i="2"/>
  <c r="AH92" i="2" s="1"/>
  <c r="S92" i="2"/>
  <c r="AF92" i="2" s="1"/>
  <c r="N92" i="2"/>
  <c r="AA92" i="2" s="1"/>
  <c r="H92" i="2"/>
  <c r="C92" i="2"/>
  <c r="G92" i="2"/>
  <c r="O92" i="2"/>
  <c r="AB92" i="2" s="1"/>
  <c r="O93" i="2"/>
  <c r="AB93" i="2" s="1"/>
  <c r="S105" i="2"/>
  <c r="AF105" i="2" s="1"/>
  <c r="R105" i="2"/>
  <c r="AE105" i="2" s="1"/>
  <c r="G105" i="2"/>
  <c r="O105" i="2"/>
  <c r="AB105" i="2" s="1"/>
  <c r="E105" i="2"/>
  <c r="U105" i="2"/>
  <c r="AH105" i="2" s="1"/>
  <c r="H30" i="2"/>
  <c r="C32" i="2"/>
  <c r="D36" i="2"/>
  <c r="D42" i="2"/>
  <c r="U59" i="2"/>
  <c r="AH59" i="2" s="1"/>
  <c r="D64" i="2"/>
  <c r="U74" i="2"/>
  <c r="AH74" i="2" s="1"/>
  <c r="T74" i="2"/>
  <c r="AG74" i="2" s="1"/>
  <c r="L74" i="2"/>
  <c r="Y74" i="2" s="1"/>
  <c r="D74" i="2"/>
  <c r="J74" i="2"/>
  <c r="W74" i="2" s="1"/>
  <c r="U75" i="2"/>
  <c r="AH75" i="2" s="1"/>
  <c r="K75" i="2"/>
  <c r="X75" i="2" s="1"/>
  <c r="S75" i="2"/>
  <c r="AF75" i="2" s="1"/>
  <c r="U82" i="2"/>
  <c r="AH82" i="2" s="1"/>
  <c r="T82" i="2"/>
  <c r="AG82" i="2" s="1"/>
  <c r="L82" i="2"/>
  <c r="Y82" i="2" s="1"/>
  <c r="D82" i="2"/>
  <c r="J82" i="2"/>
  <c r="W82" i="2" s="1"/>
  <c r="U83" i="2"/>
  <c r="AH83" i="2" s="1"/>
  <c r="K83" i="2"/>
  <c r="X83" i="2" s="1"/>
  <c r="S83" i="2"/>
  <c r="AF83" i="2" s="1"/>
  <c r="R90" i="2"/>
  <c r="AE90" i="2" s="1"/>
  <c r="N90" i="2"/>
  <c r="AA90" i="2" s="1"/>
  <c r="D90" i="2"/>
  <c r="L90" i="2"/>
  <c r="Y90" i="2" s="1"/>
  <c r="D92" i="2"/>
  <c r="K92" i="2"/>
  <c r="X92" i="2" s="1"/>
  <c r="R92" i="2"/>
  <c r="AE92" i="2" s="1"/>
  <c r="G93" i="2"/>
  <c r="U93" i="2"/>
  <c r="AH93" i="2" s="1"/>
  <c r="U98" i="2"/>
  <c r="AH98" i="2" s="1"/>
  <c r="I98" i="2"/>
  <c r="P99" i="2"/>
  <c r="AC99" i="2" s="1"/>
  <c r="I99" i="2"/>
  <c r="C99" i="2"/>
  <c r="K99" i="2"/>
  <c r="X99" i="2" s="1"/>
  <c r="T99" i="2"/>
  <c r="AG99" i="2" s="1"/>
  <c r="J105" i="2"/>
  <c r="W105" i="2" s="1"/>
  <c r="G86" i="4"/>
  <c r="E113" i="4"/>
  <c r="D113" i="4"/>
  <c r="C113" i="4"/>
  <c r="G122" i="4"/>
  <c r="F130" i="4"/>
  <c r="E130" i="4"/>
  <c r="D130" i="4"/>
  <c r="J101" i="2"/>
  <c r="W101" i="2" s="1"/>
  <c r="U101" i="2"/>
  <c r="AH101" i="2" s="1"/>
  <c r="H105" i="4"/>
  <c r="G114" i="4"/>
  <c r="G118" i="4"/>
  <c r="H78" i="2"/>
  <c r="P78" i="2"/>
  <c r="AC78" i="2" s="1"/>
  <c r="H86" i="2"/>
  <c r="P86" i="2"/>
  <c r="AC86" i="2" s="1"/>
  <c r="T94" i="2"/>
  <c r="AG94" i="2" s="1"/>
  <c r="F96" i="2"/>
  <c r="K96" i="2"/>
  <c r="X96" i="2" s="1"/>
  <c r="P96" i="2"/>
  <c r="AC96" i="2" s="1"/>
  <c r="B101" i="2"/>
  <c r="M101" i="2"/>
  <c r="Z101" i="2" s="1"/>
  <c r="T102" i="2"/>
  <c r="AG102" i="2" s="1"/>
  <c r="F104" i="2"/>
  <c r="K104" i="2"/>
  <c r="X104" i="2" s="1"/>
  <c r="P104" i="2"/>
  <c r="AC104" i="2" s="1"/>
  <c r="H97" i="4"/>
  <c r="C105" i="4"/>
  <c r="G106" i="4"/>
  <c r="G110" i="4"/>
  <c r="C114" i="4"/>
  <c r="H114" i="4"/>
  <c r="C117" i="4"/>
  <c r="C118" i="4"/>
  <c r="H118" i="4"/>
  <c r="H129" i="4"/>
  <c r="AR8" i="5"/>
  <c r="G12" i="2" s="1"/>
  <c r="U12" i="2" s="1"/>
  <c r="AH12" i="2" s="1"/>
  <c r="G38" i="4"/>
  <c r="G42" i="4"/>
  <c r="AR57" i="5"/>
  <c r="AI6" i="3" s="1"/>
  <c r="AI30" i="3" s="1"/>
  <c r="AR61" i="5"/>
  <c r="H90" i="4" s="1"/>
  <c r="AR65" i="5"/>
  <c r="H94" i="4" s="1"/>
  <c r="K5" i="6"/>
  <c r="L6" i="6"/>
  <c r="L9" i="6"/>
  <c r="L11" i="6"/>
  <c r="K14" i="6"/>
  <c r="N15" i="6"/>
  <c r="K19" i="6"/>
  <c r="L21" i="6"/>
  <c r="N23" i="6"/>
  <c r="M25" i="6"/>
  <c r="N27" i="6"/>
  <c r="M30" i="6"/>
  <c r="M33" i="6"/>
  <c r="L35" i="6"/>
  <c r="M37" i="6"/>
  <c r="K40" i="6"/>
  <c r="M42" i="6"/>
  <c r="K44" i="6"/>
  <c r="K47" i="6"/>
  <c r="K50" i="6"/>
  <c r="N51" i="6"/>
  <c r="K55" i="6"/>
  <c r="L56" i="6"/>
  <c r="K59" i="6"/>
  <c r="L60" i="6"/>
  <c r="L63" i="6"/>
  <c r="M66" i="6"/>
  <c r="L68" i="6"/>
  <c r="L71" i="6"/>
  <c r="L73" i="6"/>
  <c r="L75" i="6"/>
  <c r="K78" i="6"/>
  <c r="N79" i="6"/>
  <c r="K83" i="6"/>
  <c r="L85" i="6"/>
  <c r="N87" i="6"/>
  <c r="M89" i="6"/>
  <c r="N91" i="6"/>
  <c r="M94" i="6"/>
  <c r="M97" i="6"/>
  <c r="L99" i="6"/>
  <c r="M101" i="6"/>
  <c r="K104" i="6"/>
  <c r="M106" i="6"/>
  <c r="K108" i="6"/>
  <c r="K111" i="6"/>
  <c r="C42" i="4" s="1"/>
  <c r="D42" i="4" s="1"/>
  <c r="E42" i="4" s="1"/>
  <c r="F42" i="4" s="1"/>
  <c r="K114" i="6"/>
  <c r="N115" i="6"/>
  <c r="K119" i="6"/>
  <c r="L120" i="6"/>
  <c r="K124" i="6"/>
  <c r="N127" i="6"/>
  <c r="L131" i="6"/>
  <c r="N135" i="6"/>
  <c r="L139" i="6"/>
  <c r="K143" i="6"/>
  <c r="L144" i="6"/>
  <c r="K148" i="6"/>
  <c r="K151" i="6"/>
  <c r="L152" i="6"/>
  <c r="K156" i="6"/>
  <c r="N159" i="6"/>
  <c r="L163" i="6"/>
  <c r="N167" i="6"/>
  <c r="M175" i="6"/>
  <c r="K175" i="6"/>
  <c r="K179" i="6"/>
  <c r="M183" i="6"/>
  <c r="K183" i="6"/>
  <c r="L193" i="6"/>
  <c r="M205" i="6"/>
  <c r="M210" i="6"/>
  <c r="N219" i="6"/>
  <c r="N222" i="6"/>
  <c r="L224" i="6"/>
  <c r="L232" i="6"/>
  <c r="N240" i="6"/>
  <c r="L240" i="6"/>
  <c r="M241" i="6"/>
  <c r="N243" i="6"/>
  <c r="N248" i="6"/>
  <c r="L248" i="6"/>
  <c r="L251" i="6"/>
  <c r="N252" i="6"/>
  <c r="K252" i="6"/>
  <c r="K256" i="6"/>
  <c r="N258" i="6"/>
  <c r="K264" i="6"/>
  <c r="M267" i="6"/>
  <c r="L267" i="6"/>
  <c r="L275" i="6"/>
  <c r="N276" i="6"/>
  <c r="K276" i="6"/>
  <c r="K283" i="6"/>
  <c r="M291" i="6"/>
  <c r="L291" i="6"/>
  <c r="M303" i="6"/>
  <c r="K303" i="6"/>
  <c r="K307" i="6"/>
  <c r="M311" i="6"/>
  <c r="K311" i="6"/>
  <c r="L321" i="6"/>
  <c r="M323" i="6"/>
  <c r="L323" i="6"/>
  <c r="M331" i="6"/>
  <c r="L331" i="6"/>
  <c r="M337" i="6"/>
  <c r="L337" i="6"/>
  <c r="M341" i="6"/>
  <c r="L341" i="6"/>
  <c r="K357" i="6"/>
  <c r="M369" i="6"/>
  <c r="L369" i="6"/>
  <c r="M371" i="6"/>
  <c r="K379" i="6"/>
  <c r="K392" i="6"/>
  <c r="M392" i="6"/>
  <c r="K398" i="6"/>
  <c r="K404" i="6"/>
  <c r="M404" i="6"/>
  <c r="N407" i="6"/>
  <c r="L407" i="6"/>
  <c r="M409" i="6"/>
  <c r="K438" i="6"/>
  <c r="N516" i="6"/>
  <c r="M516" i="6"/>
  <c r="M530" i="6"/>
  <c r="L530" i="6"/>
  <c r="K530" i="6"/>
  <c r="M537" i="6"/>
  <c r="N537" i="6"/>
  <c r="K537" i="6"/>
  <c r="M549" i="6"/>
  <c r="N549" i="6"/>
  <c r="K549" i="6"/>
  <c r="M553" i="6"/>
  <c r="K553" i="6"/>
  <c r="N553" i="6"/>
  <c r="AR56" i="5"/>
  <c r="G60" i="2" s="1"/>
  <c r="U60" i="2" s="1"/>
  <c r="AH60" i="2" s="1"/>
  <c r="AR60" i="5"/>
  <c r="G64" i="2" s="1"/>
  <c r="U64" i="2" s="1"/>
  <c r="AH64" i="2" s="1"/>
  <c r="AR64" i="5"/>
  <c r="G68" i="2" s="1"/>
  <c r="K2" i="6"/>
  <c r="L5" i="6"/>
  <c r="L7" i="6"/>
  <c r="M9" i="6"/>
  <c r="N11" i="6"/>
  <c r="M14" i="6"/>
  <c r="M17" i="6"/>
  <c r="L19" i="6"/>
  <c r="M21" i="6"/>
  <c r="K24" i="6"/>
  <c r="C33" i="4" s="1"/>
  <c r="D33" i="4" s="1"/>
  <c r="E33" i="4" s="1"/>
  <c r="F33" i="4" s="1"/>
  <c r="M26" i="6"/>
  <c r="K28" i="6"/>
  <c r="K31" i="6"/>
  <c r="K34" i="6"/>
  <c r="N35" i="6"/>
  <c r="K39" i="6"/>
  <c r="L40" i="6"/>
  <c r="K43" i="6"/>
  <c r="L44" i="6"/>
  <c r="L47" i="6"/>
  <c r="M50" i="6"/>
  <c r="L52" i="6"/>
  <c r="L55" i="6"/>
  <c r="L57" i="6"/>
  <c r="L59" i="6"/>
  <c r="K62" i="6"/>
  <c r="N63" i="6"/>
  <c r="K67" i="6"/>
  <c r="L69" i="6"/>
  <c r="N71" i="6"/>
  <c r="N75" i="6"/>
  <c r="M81" i="6"/>
  <c r="K88" i="6"/>
  <c r="M90" i="6"/>
  <c r="K92" i="6"/>
  <c r="K95" i="6"/>
  <c r="K98" i="6"/>
  <c r="C41" i="4" s="1"/>
  <c r="D41" i="4" s="1"/>
  <c r="E41" i="4" s="1"/>
  <c r="F41" i="4" s="1"/>
  <c r="N99" i="6"/>
  <c r="K103" i="6"/>
  <c r="K107" i="6"/>
  <c r="L116" i="6"/>
  <c r="K123" i="6"/>
  <c r="K128" i="6"/>
  <c r="M130" i="6"/>
  <c r="N131" i="6"/>
  <c r="K136" i="6"/>
  <c r="N139" i="6"/>
  <c r="L145" i="6"/>
  <c r="K147" i="6"/>
  <c r="K155" i="6"/>
  <c r="K160" i="6"/>
  <c r="M162" i="6"/>
  <c r="N163" i="6"/>
  <c r="K168" i="6"/>
  <c r="M171" i="6"/>
  <c r="L171" i="6"/>
  <c r="L177" i="6"/>
  <c r="N180" i="6"/>
  <c r="K180" i="6"/>
  <c r="K187" i="6"/>
  <c r="M195" i="6"/>
  <c r="L195" i="6"/>
  <c r="M207" i="6"/>
  <c r="K207" i="6"/>
  <c r="M215" i="6"/>
  <c r="K215" i="6"/>
  <c r="N251" i="6"/>
  <c r="N272" i="6"/>
  <c r="L272" i="6"/>
  <c r="N275" i="6"/>
  <c r="N280" i="6"/>
  <c r="L280" i="6"/>
  <c r="N284" i="6"/>
  <c r="K284" i="6"/>
  <c r="K288" i="6"/>
  <c r="K296" i="6"/>
  <c r="M299" i="6"/>
  <c r="L299" i="6"/>
  <c r="L305" i="6"/>
  <c r="L307" i="6"/>
  <c r="N308" i="6"/>
  <c r="K308" i="6"/>
  <c r="K315" i="6"/>
  <c r="M322" i="6"/>
  <c r="M345" i="6"/>
  <c r="L345" i="6"/>
  <c r="N350" i="6"/>
  <c r="L350" i="6"/>
  <c r="K353" i="6"/>
  <c r="L356" i="6"/>
  <c r="M356" i="6"/>
  <c r="N362" i="6"/>
  <c r="L362" i="6"/>
  <c r="K372" i="6"/>
  <c r="K375" i="6"/>
  <c r="M375" i="6"/>
  <c r="N378" i="6"/>
  <c r="L378" i="6"/>
  <c r="L383" i="6"/>
  <c r="M394" i="6"/>
  <c r="L394" i="6"/>
  <c r="L397" i="6"/>
  <c r="M397" i="6"/>
  <c r="K408" i="6"/>
  <c r="M408" i="6"/>
  <c r="N411" i="6"/>
  <c r="L411" i="6"/>
  <c r="M426" i="6"/>
  <c r="L426" i="6"/>
  <c r="K436" i="6"/>
  <c r="M436" i="6"/>
  <c r="N443" i="6"/>
  <c r="L443" i="6"/>
  <c r="M478" i="6"/>
  <c r="L478" i="6"/>
  <c r="K478" i="6"/>
  <c r="M483" i="6"/>
  <c r="L483" i="6"/>
  <c r="M497" i="6"/>
  <c r="N497" i="6"/>
  <c r="K497" i="6"/>
  <c r="N504" i="6"/>
  <c r="M504" i="6"/>
  <c r="M518" i="6"/>
  <c r="L518" i="6"/>
  <c r="K518" i="6"/>
  <c r="M561" i="6"/>
  <c r="N561" i="6"/>
  <c r="K561" i="6"/>
  <c r="G20" i="2"/>
  <c r="G46" i="4"/>
  <c r="G50" i="4"/>
  <c r="L2" i="6"/>
  <c r="N5" i="6"/>
  <c r="N19" i="6"/>
  <c r="M34" i="6"/>
  <c r="L39" i="6"/>
  <c r="L43" i="6"/>
  <c r="N47" i="6"/>
  <c r="N55" i="6"/>
  <c r="M57" i="6"/>
  <c r="N59" i="6"/>
  <c r="M62" i="6"/>
  <c r="L67" i="6"/>
  <c r="M69" i="6"/>
  <c r="N83" i="6"/>
  <c r="L88" i="6"/>
  <c r="L92" i="6"/>
  <c r="L95" i="6"/>
  <c r="M98" i="6"/>
  <c r="L103" i="6"/>
  <c r="L107" i="6"/>
  <c r="N111" i="6"/>
  <c r="N119" i="6"/>
  <c r="L123" i="6"/>
  <c r="L128" i="6"/>
  <c r="L136" i="6"/>
  <c r="N143" i="6"/>
  <c r="L147" i="6"/>
  <c r="N151" i="6"/>
  <c r="L155" i="6"/>
  <c r="L160" i="6"/>
  <c r="L168" i="6"/>
  <c r="N176" i="6"/>
  <c r="L176" i="6"/>
  <c r="N179" i="6"/>
  <c r="N184" i="6"/>
  <c r="L184" i="6"/>
  <c r="L187" i="6"/>
  <c r="N188" i="6"/>
  <c r="K188" i="6"/>
  <c r="M203" i="6"/>
  <c r="L203" i="6"/>
  <c r="L211" i="6"/>
  <c r="N212" i="6"/>
  <c r="K212" i="6"/>
  <c r="M227" i="6"/>
  <c r="L227" i="6"/>
  <c r="M239" i="6"/>
  <c r="K239" i="6"/>
  <c r="M247" i="6"/>
  <c r="K247" i="6"/>
  <c r="N283" i="6"/>
  <c r="L288" i="6"/>
  <c r="L296" i="6"/>
  <c r="N304" i="6"/>
  <c r="L304" i="6"/>
  <c r="N307" i="6"/>
  <c r="N312" i="6"/>
  <c r="L312" i="6"/>
  <c r="L315" i="6"/>
  <c r="N316" i="6"/>
  <c r="K316" i="6"/>
  <c r="L352" i="6"/>
  <c r="M352" i="6"/>
  <c r="M357" i="6"/>
  <c r="L357" i="6"/>
  <c r="K363" i="6"/>
  <c r="M363" i="6"/>
  <c r="N366" i="6"/>
  <c r="L366" i="6"/>
  <c r="M398" i="6"/>
  <c r="L398" i="6"/>
  <c r="L417" i="6"/>
  <c r="M417" i="6"/>
  <c r="K420" i="6"/>
  <c r="M420" i="6"/>
  <c r="N423" i="6"/>
  <c r="L423" i="6"/>
  <c r="M438" i="6"/>
  <c r="L438" i="6"/>
  <c r="M445" i="6"/>
  <c r="N445" i="6"/>
  <c r="L451" i="6"/>
  <c r="M453" i="6"/>
  <c r="N453" i="6"/>
  <c r="M471" i="6"/>
  <c r="L471" i="6"/>
  <c r="M485" i="6"/>
  <c r="N485" i="6"/>
  <c r="K485" i="6"/>
  <c r="M506" i="6"/>
  <c r="L506" i="6"/>
  <c r="K506" i="6"/>
  <c r="N530" i="6"/>
  <c r="AR11" i="5"/>
  <c r="G15" i="2" s="1"/>
  <c r="AR54" i="5"/>
  <c r="AH6" i="3" s="1"/>
  <c r="N31" i="6"/>
  <c r="N39" i="6"/>
  <c r="N43" i="6"/>
  <c r="N67" i="6"/>
  <c r="N95" i="6"/>
  <c r="N103" i="6"/>
  <c r="N107" i="6"/>
  <c r="N123" i="6"/>
  <c r="N147" i="6"/>
  <c r="N155" i="6"/>
  <c r="N187" i="6"/>
  <c r="K195" i="6"/>
  <c r="L207" i="6"/>
  <c r="N208" i="6"/>
  <c r="L208" i="6"/>
  <c r="N211" i="6"/>
  <c r="L215" i="6"/>
  <c r="N216" i="6"/>
  <c r="L216" i="6"/>
  <c r="N220" i="6"/>
  <c r="K220" i="6"/>
  <c r="K224" i="6"/>
  <c r="K232" i="6"/>
  <c r="C50" i="4" s="1"/>
  <c r="D50" i="4" s="1"/>
  <c r="E50" i="4" s="1"/>
  <c r="M235" i="6"/>
  <c r="L235" i="6"/>
  <c r="N244" i="6"/>
  <c r="K244" i="6"/>
  <c r="K251" i="6"/>
  <c r="M259" i="6"/>
  <c r="L259" i="6"/>
  <c r="M271" i="6"/>
  <c r="K271" i="6"/>
  <c r="K272" i="6"/>
  <c r="K275" i="6"/>
  <c r="C54" i="4" s="1"/>
  <c r="D54" i="4" s="1"/>
  <c r="E54" i="4" s="1"/>
  <c r="M279" i="6"/>
  <c r="K279" i="6"/>
  <c r="K280" i="6"/>
  <c r="N315" i="6"/>
  <c r="N328" i="6"/>
  <c r="L328" i="6"/>
  <c r="L336" i="6"/>
  <c r="M336" i="6"/>
  <c r="L340" i="6"/>
  <c r="M340" i="6"/>
  <c r="M353" i="6"/>
  <c r="L353" i="6"/>
  <c r="L368" i="6"/>
  <c r="M368" i="6"/>
  <c r="N391" i="6"/>
  <c r="L391" i="6"/>
  <c r="M418" i="6"/>
  <c r="L418" i="6"/>
  <c r="K424" i="6"/>
  <c r="M424" i="6"/>
  <c r="K426" i="6"/>
  <c r="L436" i="6"/>
  <c r="K443" i="6"/>
  <c r="M446" i="6"/>
  <c r="L446" i="6"/>
  <c r="M452" i="6"/>
  <c r="M454" i="6"/>
  <c r="L454" i="6"/>
  <c r="M466" i="6"/>
  <c r="L466" i="6"/>
  <c r="K466" i="6"/>
  <c r="M473" i="6"/>
  <c r="N473" i="6"/>
  <c r="K473" i="6"/>
  <c r="N478" i="6"/>
  <c r="M509" i="6"/>
  <c r="N509" i="6"/>
  <c r="K509" i="6"/>
  <c r="N518" i="6"/>
  <c r="M535" i="6"/>
  <c r="L535" i="6"/>
  <c r="M542" i="6"/>
  <c r="L542" i="6"/>
  <c r="K542" i="6"/>
  <c r="M547" i="6"/>
  <c r="L547" i="6"/>
  <c r="N373" i="6"/>
  <c r="N382" i="6"/>
  <c r="N386" i="6"/>
  <c r="N402" i="6"/>
  <c r="N434" i="6"/>
  <c r="N458" i="6"/>
  <c r="N465" i="6"/>
  <c r="N470" i="6"/>
  <c r="L474" i="6"/>
  <c r="N477" i="6"/>
  <c r="K481" i="6"/>
  <c r="N482" i="6"/>
  <c r="L486" i="6"/>
  <c r="K490" i="6"/>
  <c r="K493" i="6"/>
  <c r="N494" i="6"/>
  <c r="L498" i="6"/>
  <c r="K502" i="6"/>
  <c r="N505" i="6"/>
  <c r="L510" i="6"/>
  <c r="K514" i="6"/>
  <c r="N517" i="6"/>
  <c r="K521" i="6"/>
  <c r="N522" i="6"/>
  <c r="K526" i="6"/>
  <c r="N529" i="6"/>
  <c r="K533" i="6"/>
  <c r="N534" i="6"/>
  <c r="L538" i="6"/>
  <c r="N541" i="6"/>
  <c r="K545" i="6"/>
  <c r="C70" i="4" s="1"/>
  <c r="D70" i="4" s="1"/>
  <c r="E70" i="4" s="1"/>
  <c r="F70" i="4" s="1"/>
  <c r="N546" i="6"/>
  <c r="L550" i="6"/>
  <c r="N556" i="6"/>
  <c r="N562" i="6"/>
  <c r="N577" i="6"/>
  <c r="N586" i="6"/>
  <c r="M593" i="6"/>
  <c r="N593" i="6"/>
  <c r="L594" i="6"/>
  <c r="N601" i="6"/>
  <c r="N604" i="6"/>
  <c r="K609" i="6"/>
  <c r="M610" i="6"/>
  <c r="L610" i="6"/>
  <c r="M613" i="6"/>
  <c r="K613" i="6"/>
  <c r="K618" i="6"/>
  <c r="M621" i="6"/>
  <c r="K621" i="6"/>
  <c r="M635" i="6"/>
  <c r="M658" i="6"/>
  <c r="L658" i="6"/>
  <c r="K658" i="6"/>
  <c r="M721" i="6"/>
  <c r="L721" i="6"/>
  <c r="N721" i="6"/>
  <c r="K721" i="6"/>
  <c r="M753" i="6"/>
  <c r="L753" i="6"/>
  <c r="N753" i="6"/>
  <c r="K753" i="6"/>
  <c r="L886" i="6"/>
  <c r="K886" i="6"/>
  <c r="L902" i="6"/>
  <c r="K902" i="6"/>
  <c r="M903" i="6"/>
  <c r="L903" i="6"/>
  <c r="K903" i="6"/>
  <c r="N903" i="6"/>
  <c r="M980" i="6"/>
  <c r="N980" i="6"/>
  <c r="N986" i="6"/>
  <c r="L986" i="6"/>
  <c r="K986" i="6"/>
  <c r="M993" i="6"/>
  <c r="K993" i="6"/>
  <c r="N993" i="6"/>
  <c r="L993" i="6"/>
  <c r="N998" i="6"/>
  <c r="K998" i="6"/>
  <c r="L998" i="6"/>
  <c r="N1014" i="6"/>
  <c r="L1014" i="6"/>
  <c r="K1014" i="6"/>
  <c r="M1027" i="6"/>
  <c r="L1027" i="6"/>
  <c r="M1028" i="6"/>
  <c r="N1028" i="6"/>
  <c r="M1075" i="6"/>
  <c r="L1075" i="6"/>
  <c r="K1075" i="6"/>
  <c r="N1075" i="6"/>
  <c r="N474" i="6"/>
  <c r="N486" i="6"/>
  <c r="N498" i="6"/>
  <c r="N510" i="6"/>
  <c r="N538" i="6"/>
  <c r="N550" i="6"/>
  <c r="M558" i="6"/>
  <c r="K558" i="6"/>
  <c r="M563" i="6"/>
  <c r="M568" i="6"/>
  <c r="K578" i="6"/>
  <c r="N580" i="6"/>
  <c r="N588" i="6"/>
  <c r="N594" i="6"/>
  <c r="K602" i="6"/>
  <c r="M617" i="6"/>
  <c r="N617" i="6"/>
  <c r="K625" i="6"/>
  <c r="M626" i="6"/>
  <c r="L626" i="6"/>
  <c r="M629" i="6"/>
  <c r="K629" i="6"/>
  <c r="K634" i="6"/>
  <c r="M637" i="6"/>
  <c r="K637" i="6"/>
  <c r="M645" i="6"/>
  <c r="K645" i="6"/>
  <c r="K671" i="6"/>
  <c r="L671" i="6"/>
  <c r="M677" i="6"/>
  <c r="K677" i="6"/>
  <c r="N686" i="6"/>
  <c r="K686" i="6"/>
  <c r="L692" i="6"/>
  <c r="K692" i="6"/>
  <c r="L696" i="6"/>
  <c r="K696" i="6"/>
  <c r="M697" i="6"/>
  <c r="K697" i="6"/>
  <c r="M701" i="6"/>
  <c r="L701" i="6"/>
  <c r="K701" i="6"/>
  <c r="N706" i="6"/>
  <c r="K706" i="6"/>
  <c r="L709" i="6"/>
  <c r="N711" i="6"/>
  <c r="M711" i="6"/>
  <c r="L712" i="6"/>
  <c r="K712" i="6"/>
  <c r="L728" i="6"/>
  <c r="K728" i="6"/>
  <c r="N738" i="6"/>
  <c r="K738" i="6"/>
  <c r="N743" i="6"/>
  <c r="M743" i="6"/>
  <c r="L744" i="6"/>
  <c r="K744" i="6"/>
  <c r="N816" i="6"/>
  <c r="K816" i="6"/>
  <c r="N828" i="6"/>
  <c r="L828" i="6"/>
  <c r="K828" i="6"/>
  <c r="K935" i="6"/>
  <c r="L935" i="6"/>
  <c r="M935" i="6"/>
  <c r="M949" i="6"/>
  <c r="L949" i="6"/>
  <c r="K949" i="6"/>
  <c r="N949" i="6"/>
  <c r="N191" i="6"/>
  <c r="N199" i="6"/>
  <c r="N223" i="6"/>
  <c r="N231" i="6"/>
  <c r="N255" i="6"/>
  <c r="N263" i="6"/>
  <c r="N287" i="6"/>
  <c r="N295" i="6"/>
  <c r="N319" i="6"/>
  <c r="N327" i="6"/>
  <c r="K346" i="6"/>
  <c r="N349" i="6"/>
  <c r="L359" i="6"/>
  <c r="N361" i="6"/>
  <c r="N365" i="6"/>
  <c r="K373" i="6"/>
  <c r="N377" i="6"/>
  <c r="K382" i="6"/>
  <c r="K386" i="6"/>
  <c r="L388" i="6"/>
  <c r="N390" i="6"/>
  <c r="K395" i="6"/>
  <c r="K402" i="6"/>
  <c r="N406" i="6"/>
  <c r="N410" i="6"/>
  <c r="K413" i="6"/>
  <c r="N414" i="6"/>
  <c r="N422" i="6"/>
  <c r="K429" i="6"/>
  <c r="N430" i="6"/>
  <c r="K434" i="6"/>
  <c r="L440" i="6"/>
  <c r="N442" i="6"/>
  <c r="K449" i="6"/>
  <c r="N450" i="6"/>
  <c r="K458" i="6"/>
  <c r="K461" i="6"/>
  <c r="N462" i="6"/>
  <c r="K470" i="6"/>
  <c r="N490" i="6"/>
  <c r="N502" i="6"/>
  <c r="N514" i="6"/>
  <c r="N526" i="6"/>
  <c r="M565" i="6"/>
  <c r="K565" i="6"/>
  <c r="M570" i="6"/>
  <c r="L570" i="6"/>
  <c r="M573" i="6"/>
  <c r="K573" i="6"/>
  <c r="M582" i="6"/>
  <c r="K582" i="6"/>
  <c r="M590" i="6"/>
  <c r="K590" i="6"/>
  <c r="N618" i="6"/>
  <c r="N625" i="6"/>
  <c r="M633" i="6"/>
  <c r="N633" i="6"/>
  <c r="L634" i="6"/>
  <c r="M642" i="6"/>
  <c r="L642" i="6"/>
  <c r="M649" i="6"/>
  <c r="N649" i="6"/>
  <c r="K649" i="6"/>
  <c r="M661" i="6"/>
  <c r="K661" i="6"/>
  <c r="L724" i="6"/>
  <c r="K724" i="6"/>
  <c r="M724" i="6"/>
  <c r="M784" i="6"/>
  <c r="N784" i="6"/>
  <c r="K784" i="6"/>
  <c r="N800" i="6"/>
  <c r="K800" i="6"/>
  <c r="L802" i="6"/>
  <c r="K802" i="6"/>
  <c r="M802" i="6"/>
  <c r="M969" i="6"/>
  <c r="L969" i="6"/>
  <c r="K969" i="6"/>
  <c r="N969" i="6"/>
  <c r="M578" i="6"/>
  <c r="L578" i="6"/>
  <c r="M585" i="6"/>
  <c r="N585" i="6"/>
  <c r="L587" i="6"/>
  <c r="M587" i="6"/>
  <c r="M597" i="6"/>
  <c r="K597" i="6"/>
  <c r="M602" i="6"/>
  <c r="L602" i="6"/>
  <c r="M605" i="6"/>
  <c r="K605" i="6"/>
  <c r="N634" i="6"/>
  <c r="M653" i="6"/>
  <c r="K653" i="6"/>
  <c r="M665" i="6"/>
  <c r="N665" i="6"/>
  <c r="K665" i="6"/>
  <c r="M669" i="6"/>
  <c r="L669" i="6"/>
  <c r="K669" i="6"/>
  <c r="N674" i="6"/>
  <c r="K674" i="6"/>
  <c r="N679" i="6"/>
  <c r="M679" i="6"/>
  <c r="M689" i="6"/>
  <c r="L689" i="6"/>
  <c r="K689" i="6"/>
  <c r="K699" i="6"/>
  <c r="L699" i="6"/>
  <c r="K703" i="6"/>
  <c r="L703" i="6"/>
  <c r="M709" i="6"/>
  <c r="K709" i="6"/>
  <c r="K731" i="6"/>
  <c r="L731" i="6"/>
  <c r="M731" i="6"/>
  <c r="K763" i="6"/>
  <c r="L763" i="6"/>
  <c r="M763" i="6"/>
  <c r="M773" i="6"/>
  <c r="K773" i="6"/>
  <c r="L773" i="6"/>
  <c r="N773" i="6"/>
  <c r="N908" i="6"/>
  <c r="L908" i="6"/>
  <c r="K908" i="6"/>
  <c r="K909" i="6"/>
  <c r="L909" i="6"/>
  <c r="M925" i="6"/>
  <c r="L925" i="6"/>
  <c r="K925" i="6"/>
  <c r="N925" i="6"/>
  <c r="N1038" i="6"/>
  <c r="K1038" i="6"/>
  <c r="L1038" i="6"/>
  <c r="L1082" i="6"/>
  <c r="K1082" i="6"/>
  <c r="M1082" i="6"/>
  <c r="L850" i="6"/>
  <c r="K850" i="6"/>
  <c r="M850" i="6"/>
  <c r="L858" i="6"/>
  <c r="M858" i="6"/>
  <c r="M859" i="6"/>
  <c r="K859" i="6"/>
  <c r="K881" i="6"/>
  <c r="M881" i="6"/>
  <c r="L882" i="6"/>
  <c r="M882" i="6"/>
  <c r="K882" i="6"/>
  <c r="M945" i="6"/>
  <c r="L945" i="6"/>
  <c r="K945" i="6"/>
  <c r="L953" i="6"/>
  <c r="N954" i="6"/>
  <c r="K954" i="6"/>
  <c r="L954" i="6"/>
  <c r="L964" i="6"/>
  <c r="K964" i="6"/>
  <c r="M965" i="6"/>
  <c r="L965" i="6"/>
  <c r="K965" i="6"/>
  <c r="N972" i="6"/>
  <c r="N1006" i="6"/>
  <c r="L1006" i="6"/>
  <c r="K1006" i="6"/>
  <c r="L1011" i="6"/>
  <c r="M1011" i="6"/>
  <c r="N1046" i="6"/>
  <c r="K1046" i="6"/>
  <c r="M1059" i="6"/>
  <c r="L1059" i="6"/>
  <c r="M1065" i="6"/>
  <c r="L1065" i="6"/>
  <c r="N1065" i="6"/>
  <c r="K1065" i="6"/>
  <c r="M1071" i="6"/>
  <c r="L1071" i="6"/>
  <c r="K1071" i="6"/>
  <c r="M1090" i="6"/>
  <c r="K1090" i="6"/>
  <c r="N1090" i="6"/>
  <c r="N1101" i="6"/>
  <c r="M1101" i="6"/>
  <c r="M1102" i="6"/>
  <c r="N1102" i="6"/>
  <c r="K1102" i="6"/>
  <c r="N650" i="6"/>
  <c r="N666" i="6"/>
  <c r="L670" i="6"/>
  <c r="N673" i="6"/>
  <c r="M676" i="6"/>
  <c r="L681" i="6"/>
  <c r="M683" i="6"/>
  <c r="N685" i="6"/>
  <c r="L693" i="6"/>
  <c r="L702" i="6"/>
  <c r="N705" i="6"/>
  <c r="M708" i="6"/>
  <c r="L717" i="6"/>
  <c r="N718" i="6"/>
  <c r="K718" i="6"/>
  <c r="M729" i="6"/>
  <c r="K729" i="6"/>
  <c r="K735" i="6"/>
  <c r="L735" i="6"/>
  <c r="M737" i="6"/>
  <c r="K737" i="6"/>
  <c r="M749" i="6"/>
  <c r="N749" i="6"/>
  <c r="L749" i="6"/>
  <c r="L760" i="6"/>
  <c r="K760" i="6"/>
  <c r="L776" i="6"/>
  <c r="K776" i="6"/>
  <c r="C78" i="4" s="1"/>
  <c r="D78" i="4" s="1"/>
  <c r="E78" i="4" s="1"/>
  <c r="F78" i="4" s="1"/>
  <c r="M792" i="6"/>
  <c r="K792" i="6"/>
  <c r="N812" i="6"/>
  <c r="L812" i="6"/>
  <c r="K812" i="6"/>
  <c r="K813" i="6"/>
  <c r="L813" i="6"/>
  <c r="K825" i="6"/>
  <c r="L825" i="6"/>
  <c r="M825" i="6"/>
  <c r="N868" i="6"/>
  <c r="L868" i="6"/>
  <c r="K889" i="6"/>
  <c r="L889" i="6"/>
  <c r="M889" i="6"/>
  <c r="M899" i="6"/>
  <c r="K899" i="6"/>
  <c r="L899" i="6"/>
  <c r="L906" i="6"/>
  <c r="M906" i="6"/>
  <c r="N912" i="6"/>
  <c r="K912" i="6"/>
  <c r="M921" i="6"/>
  <c r="K921" i="6"/>
  <c r="L921" i="6"/>
  <c r="N932" i="6"/>
  <c r="K932" i="6"/>
  <c r="M933" i="6"/>
  <c r="K933" i="6"/>
  <c r="N982" i="6"/>
  <c r="L982" i="6"/>
  <c r="K982" i="6"/>
  <c r="N990" i="6"/>
  <c r="K990" i="6"/>
  <c r="L990" i="6"/>
  <c r="N996" i="6"/>
  <c r="M996" i="6"/>
  <c r="N1040" i="6"/>
  <c r="M1040" i="6"/>
  <c r="M1041" i="6"/>
  <c r="L1041" i="6"/>
  <c r="K1041" i="6"/>
  <c r="M1111" i="6"/>
  <c r="N1111" i="6"/>
  <c r="K1111" i="6"/>
  <c r="N554" i="6"/>
  <c r="N566" i="6"/>
  <c r="N574" i="6"/>
  <c r="N598" i="6"/>
  <c r="N606" i="6"/>
  <c r="N614" i="6"/>
  <c r="N622" i="6"/>
  <c r="N630" i="6"/>
  <c r="N638" i="6"/>
  <c r="N646" i="6"/>
  <c r="N654" i="6"/>
  <c r="N662" i="6"/>
  <c r="N681" i="6"/>
  <c r="N693" i="6"/>
  <c r="N717" i="6"/>
  <c r="M733" i="6"/>
  <c r="L733" i="6"/>
  <c r="K733" i="6"/>
  <c r="L756" i="6"/>
  <c r="K756" i="6"/>
  <c r="M756" i="6"/>
  <c r="N832" i="6"/>
  <c r="K832" i="6"/>
  <c r="M847" i="6"/>
  <c r="K847" i="6"/>
  <c r="L847" i="6"/>
  <c r="L859" i="6"/>
  <c r="N860" i="6"/>
  <c r="K860" i="6"/>
  <c r="L860" i="6"/>
  <c r="K865" i="6"/>
  <c r="M865" i="6"/>
  <c r="K877" i="6"/>
  <c r="L877" i="6"/>
  <c r="M879" i="6"/>
  <c r="K879" i="6"/>
  <c r="L879" i="6"/>
  <c r="M941" i="6"/>
  <c r="L941" i="6"/>
  <c r="N941" i="6"/>
  <c r="K941" i="6"/>
  <c r="M953" i="6"/>
  <c r="K953" i="6"/>
  <c r="M961" i="6"/>
  <c r="L961" i="6"/>
  <c r="N961" i="6"/>
  <c r="K961" i="6"/>
  <c r="K971" i="6"/>
  <c r="L971" i="6"/>
  <c r="M1009" i="6"/>
  <c r="L1009" i="6"/>
  <c r="N1009" i="6"/>
  <c r="K1009" i="6"/>
  <c r="N1018" i="6"/>
  <c r="K1018" i="6"/>
  <c r="L1046" i="6"/>
  <c r="M1049" i="6"/>
  <c r="K1049" i="6"/>
  <c r="N1049" i="6"/>
  <c r="L1049" i="6"/>
  <c r="N1056" i="6"/>
  <c r="M1056" i="6"/>
  <c r="M1057" i="6"/>
  <c r="K1057" i="6"/>
  <c r="L1057" i="6"/>
  <c r="M1067" i="6"/>
  <c r="K1067" i="6"/>
  <c r="N1067" i="6"/>
  <c r="L1067" i="6"/>
  <c r="N1071" i="6"/>
  <c r="M1120" i="6"/>
  <c r="K1120" i="6"/>
  <c r="N1120" i="6"/>
  <c r="L1120" i="6"/>
  <c r="M741" i="6"/>
  <c r="K741" i="6"/>
  <c r="N750" i="6"/>
  <c r="K750" i="6"/>
  <c r="M761" i="6"/>
  <c r="K761" i="6"/>
  <c r="L769" i="6"/>
  <c r="N770" i="6"/>
  <c r="K770" i="6"/>
  <c r="M780" i="6"/>
  <c r="K780" i="6"/>
  <c r="M785" i="6"/>
  <c r="L785" i="6"/>
  <c r="M788" i="6"/>
  <c r="K788" i="6"/>
  <c r="M807" i="6"/>
  <c r="L807" i="6"/>
  <c r="M811" i="6"/>
  <c r="K811" i="6"/>
  <c r="L822" i="6"/>
  <c r="K822" i="6"/>
  <c r="N823" i="6"/>
  <c r="L834" i="6"/>
  <c r="K834" i="6"/>
  <c r="K841" i="6"/>
  <c r="M841" i="6"/>
  <c r="N844" i="6"/>
  <c r="K844" i="6"/>
  <c r="C82" i="4" s="1"/>
  <c r="D82" i="4" s="1"/>
  <c r="E82" i="4" s="1"/>
  <c r="M863" i="6"/>
  <c r="L863" i="6"/>
  <c r="L866" i="6"/>
  <c r="K866" i="6"/>
  <c r="K873" i="6"/>
  <c r="M873" i="6"/>
  <c r="M883" i="6"/>
  <c r="L883" i="6"/>
  <c r="M887" i="6"/>
  <c r="K887" i="6"/>
  <c r="L895" i="6"/>
  <c r="N896" i="6"/>
  <c r="K896" i="6"/>
  <c r="M905" i="6"/>
  <c r="M907" i="6"/>
  <c r="K907" i="6"/>
  <c r="M929" i="6"/>
  <c r="K929" i="6"/>
  <c r="M937" i="6"/>
  <c r="L937" i="6"/>
  <c r="K939" i="6"/>
  <c r="AI26" i="3" s="1"/>
  <c r="L939" i="6"/>
  <c r="N958" i="6"/>
  <c r="K958" i="6"/>
  <c r="L976" i="6"/>
  <c r="M976" i="6"/>
  <c r="L977" i="6"/>
  <c r="N978" i="6"/>
  <c r="K978" i="6"/>
  <c r="N989" i="6"/>
  <c r="N994" i="6"/>
  <c r="L994" i="6"/>
  <c r="N997" i="6"/>
  <c r="L1033" i="6"/>
  <c r="N1034" i="6"/>
  <c r="K1034" i="6"/>
  <c r="N1050" i="6"/>
  <c r="L1050" i="6"/>
  <c r="L1053" i="6"/>
  <c r="N1054" i="6"/>
  <c r="K1054" i="6"/>
  <c r="L1061" i="6"/>
  <c r="N1062" i="6"/>
  <c r="K1062" i="6"/>
  <c r="M1070" i="6"/>
  <c r="L1084" i="6"/>
  <c r="M1086" i="6"/>
  <c r="N1086" i="6"/>
  <c r="K1094" i="6"/>
  <c r="M1095" i="6"/>
  <c r="L1095" i="6"/>
  <c r="M1099" i="6"/>
  <c r="K1099" i="6"/>
  <c r="L1100" i="6"/>
  <c r="M1107" i="6"/>
  <c r="K1107" i="6"/>
  <c r="M1114" i="6"/>
  <c r="N1114" i="6"/>
  <c r="K1119" i="6"/>
  <c r="M1124" i="6"/>
  <c r="L1124" i="6"/>
  <c r="N1127" i="6"/>
  <c r="K1127" i="6"/>
  <c r="M765" i="6"/>
  <c r="L765" i="6"/>
  <c r="K767" i="6"/>
  <c r="L767" i="6"/>
  <c r="N769" i="6"/>
  <c r="M793" i="6"/>
  <c r="L793" i="6"/>
  <c r="M796" i="6"/>
  <c r="K796" i="6"/>
  <c r="M803" i="6"/>
  <c r="L803" i="6"/>
  <c r="M819" i="6"/>
  <c r="K819" i="6"/>
  <c r="M831" i="6"/>
  <c r="K831" i="6"/>
  <c r="M839" i="6"/>
  <c r="L839" i="6"/>
  <c r="N843" i="6"/>
  <c r="M871" i="6"/>
  <c r="L871" i="6"/>
  <c r="M891" i="6"/>
  <c r="L891" i="6"/>
  <c r="K893" i="6"/>
  <c r="L893" i="6"/>
  <c r="N895" i="6"/>
  <c r="K915" i="6"/>
  <c r="L915" i="6"/>
  <c r="N922" i="6"/>
  <c r="L922" i="6"/>
  <c r="L944" i="6"/>
  <c r="M944" i="6"/>
  <c r="N957" i="6"/>
  <c r="K967" i="6"/>
  <c r="L967" i="6"/>
  <c r="M973" i="6"/>
  <c r="L973" i="6"/>
  <c r="N977" i="6"/>
  <c r="M985" i="6"/>
  <c r="K985" i="6"/>
  <c r="M1001" i="6"/>
  <c r="L1001" i="6"/>
  <c r="M1005" i="6"/>
  <c r="K1005" i="6"/>
  <c r="M1013" i="6"/>
  <c r="K1013" i="6"/>
  <c r="M1021" i="6"/>
  <c r="L1021" i="6"/>
  <c r="M1023" i="6"/>
  <c r="L1023" i="6"/>
  <c r="M1029" i="6"/>
  <c r="L1029" i="6"/>
  <c r="N1033" i="6"/>
  <c r="N1042" i="6"/>
  <c r="K1042" i="6"/>
  <c r="N1053" i="6"/>
  <c r="N1058" i="6"/>
  <c r="L1058" i="6"/>
  <c r="N1061" i="6"/>
  <c r="N1087" i="6"/>
  <c r="N1094" i="6"/>
  <c r="M1103" i="6"/>
  <c r="L1103" i="6"/>
  <c r="M1112" i="6"/>
  <c r="L1112" i="6"/>
  <c r="N1076" i="6"/>
  <c r="K1076" i="6"/>
  <c r="M1110" i="6"/>
  <c r="N1110" i="6"/>
  <c r="M1122" i="6"/>
  <c r="L1122" i="6"/>
  <c r="N713" i="6"/>
  <c r="N725" i="6"/>
  <c r="N745" i="6"/>
  <c r="N757" i="6"/>
  <c r="N777" i="6"/>
  <c r="N781" i="6"/>
  <c r="N789" i="6"/>
  <c r="N797" i="6"/>
  <c r="N815" i="6"/>
  <c r="N827" i="6"/>
  <c r="N835" i="6"/>
  <c r="N851" i="6"/>
  <c r="N855" i="6"/>
  <c r="N867" i="6"/>
  <c r="N875" i="6"/>
  <c r="N911" i="6"/>
  <c r="N917" i="6"/>
  <c r="N981" i="6"/>
  <c r="N1017" i="6"/>
  <c r="N1025" i="6"/>
  <c r="N1037" i="6"/>
  <c r="N1045" i="6"/>
  <c r="N1079" i="6"/>
  <c r="N1083" i="6"/>
  <c r="N1091" i="6"/>
  <c r="N1116" i="6"/>
  <c r="K73" i="10"/>
  <c r="J73" i="10"/>
  <c r="I74" i="10"/>
  <c r="J74" i="10"/>
  <c r="K75" i="10"/>
  <c r="I75" i="10"/>
  <c r="AD6" i="3"/>
  <c r="G28" i="2"/>
  <c r="C41" i="2"/>
  <c r="G84" i="4"/>
  <c r="H84" i="4" s="1"/>
  <c r="G92" i="4"/>
  <c r="H92" i="4" s="1"/>
  <c r="E96" i="4"/>
  <c r="H100" i="4"/>
  <c r="D100" i="4"/>
  <c r="G100" i="4"/>
  <c r="E104" i="4"/>
  <c r="H108" i="4"/>
  <c r="D108" i="4"/>
  <c r="G108" i="4"/>
  <c r="E112" i="4"/>
  <c r="H116" i="4"/>
  <c r="D116" i="4"/>
  <c r="G116" i="4"/>
  <c r="E120" i="4"/>
  <c r="H124" i="4"/>
  <c r="D124" i="4"/>
  <c r="G124" i="4"/>
  <c r="E128" i="4"/>
  <c r="I12" i="10"/>
  <c r="I8" i="10"/>
  <c r="I6" i="10"/>
  <c r="AR3" i="5"/>
  <c r="G7" i="2" s="1"/>
  <c r="AQ7" i="5"/>
  <c r="AB5" i="3" s="1"/>
  <c r="AQ8" i="5"/>
  <c r="I81" i="10"/>
  <c r="H78" i="10"/>
  <c r="J78" i="10" s="1"/>
  <c r="I77" i="10"/>
  <c r="H77" i="10"/>
  <c r="H82" i="10"/>
  <c r="AQ15" i="5"/>
  <c r="AQ16" i="5"/>
  <c r="I88" i="10"/>
  <c r="H84" i="10"/>
  <c r="H88" i="10"/>
  <c r="AR19" i="5"/>
  <c r="G23" i="2" s="1"/>
  <c r="AQ23" i="5"/>
  <c r="AQ24" i="5"/>
  <c r="AQ25" i="5"/>
  <c r="AR27" i="5"/>
  <c r="G31" i="2" s="1"/>
  <c r="AQ29" i="5"/>
  <c r="I172" i="10"/>
  <c r="I167" i="10"/>
  <c r="AR31" i="5"/>
  <c r="G35" i="2" s="1"/>
  <c r="AQ33" i="5"/>
  <c r="C6" i="2"/>
  <c r="G6" i="2"/>
  <c r="U6" i="2" s="1"/>
  <c r="AH6" i="2" s="1"/>
  <c r="B7" i="2"/>
  <c r="F7" i="2"/>
  <c r="E8" i="2"/>
  <c r="I8" i="2"/>
  <c r="D9" i="2"/>
  <c r="H9" i="2"/>
  <c r="C10" i="2"/>
  <c r="G10" i="2"/>
  <c r="B11" i="2"/>
  <c r="F11" i="2"/>
  <c r="E12" i="2"/>
  <c r="I12" i="2"/>
  <c r="D13" i="2"/>
  <c r="H13" i="2"/>
  <c r="C14" i="2"/>
  <c r="G14" i="2"/>
  <c r="U14" i="2" s="1"/>
  <c r="AH14" i="2" s="1"/>
  <c r="B15" i="2"/>
  <c r="F15" i="2"/>
  <c r="E16" i="2"/>
  <c r="I16" i="2"/>
  <c r="D17" i="2"/>
  <c r="H17" i="2"/>
  <c r="C18" i="2"/>
  <c r="G18" i="2"/>
  <c r="U18" i="2" s="1"/>
  <c r="AH18" i="2" s="1"/>
  <c r="B19" i="2"/>
  <c r="F19" i="2"/>
  <c r="E20" i="2"/>
  <c r="I20" i="2"/>
  <c r="T20" i="2" s="1"/>
  <c r="AG20" i="2" s="1"/>
  <c r="M20" i="2"/>
  <c r="Z20" i="2" s="1"/>
  <c r="D21" i="2"/>
  <c r="H21" i="2"/>
  <c r="C22" i="2"/>
  <c r="G22" i="2"/>
  <c r="B23" i="2"/>
  <c r="F23" i="2"/>
  <c r="E24" i="2"/>
  <c r="I24" i="2"/>
  <c r="D25" i="2"/>
  <c r="H25" i="2"/>
  <c r="C26" i="2"/>
  <c r="G26" i="2"/>
  <c r="B27" i="2"/>
  <c r="F27" i="2"/>
  <c r="E28" i="2"/>
  <c r="I28" i="2"/>
  <c r="M28" i="2"/>
  <c r="Z28" i="2" s="1"/>
  <c r="D29" i="2"/>
  <c r="H29" i="2"/>
  <c r="C30" i="2"/>
  <c r="B31" i="2"/>
  <c r="F31" i="2"/>
  <c r="E32" i="2"/>
  <c r="I32" i="2"/>
  <c r="D33" i="2"/>
  <c r="H33" i="2"/>
  <c r="C34" i="2"/>
  <c r="B35" i="2"/>
  <c r="F35" i="2"/>
  <c r="E36" i="2"/>
  <c r="I36" i="2"/>
  <c r="D37" i="2"/>
  <c r="H37" i="2"/>
  <c r="C38" i="2"/>
  <c r="B39" i="2"/>
  <c r="E40" i="2"/>
  <c r="I40" i="2"/>
  <c r="D41" i="2"/>
  <c r="H41" i="2"/>
  <c r="C42" i="2"/>
  <c r="B43" i="2"/>
  <c r="F43" i="2"/>
  <c r="E44" i="2"/>
  <c r="I44" i="2"/>
  <c r="T44" i="2" s="1"/>
  <c r="AG44" i="2" s="1"/>
  <c r="D45" i="2"/>
  <c r="H45" i="2"/>
  <c r="C46" i="2"/>
  <c r="B47" i="2"/>
  <c r="F47" i="2"/>
  <c r="E48" i="2"/>
  <c r="I48" i="2"/>
  <c r="U48" i="2" s="1"/>
  <c r="AH48" i="2" s="1"/>
  <c r="D49" i="2"/>
  <c r="H49" i="2"/>
  <c r="C50" i="2"/>
  <c r="G50" i="2"/>
  <c r="B51" i="2"/>
  <c r="F51" i="2"/>
  <c r="E52" i="2"/>
  <c r="I52" i="2"/>
  <c r="M52" i="2" s="1"/>
  <c r="Z52" i="2" s="1"/>
  <c r="D53" i="2"/>
  <c r="H53" i="2"/>
  <c r="C54" i="2"/>
  <c r="G54" i="2"/>
  <c r="B55" i="2"/>
  <c r="F55" i="2"/>
  <c r="E56" i="2"/>
  <c r="I56" i="2"/>
  <c r="S56" i="2" s="1"/>
  <c r="AF56" i="2" s="1"/>
  <c r="D57" i="2"/>
  <c r="H57" i="2"/>
  <c r="C58" i="2"/>
  <c r="G58" i="2"/>
  <c r="B59" i="2"/>
  <c r="F59" i="2"/>
  <c r="E60" i="2"/>
  <c r="I60" i="2"/>
  <c r="D61" i="2"/>
  <c r="H61" i="2"/>
  <c r="C62" i="2"/>
  <c r="B63" i="2"/>
  <c r="F63" i="2"/>
  <c r="E64" i="2"/>
  <c r="I64" i="2"/>
  <c r="D65" i="2"/>
  <c r="H65" i="2"/>
  <c r="C66" i="2"/>
  <c r="G66" i="2"/>
  <c r="U66" i="2" s="1"/>
  <c r="AH66" i="2" s="1"/>
  <c r="B67" i="2"/>
  <c r="F67" i="2"/>
  <c r="E68" i="2"/>
  <c r="I68" i="2"/>
  <c r="D69" i="2"/>
  <c r="H69" i="2"/>
  <c r="C70" i="2"/>
  <c r="G70" i="2"/>
  <c r="B71" i="2"/>
  <c r="F71" i="2"/>
  <c r="J71" i="2"/>
  <c r="W71" i="2" s="1"/>
  <c r="N71" i="2"/>
  <c r="AA71" i="2" s="1"/>
  <c r="R71" i="2"/>
  <c r="AE71" i="2" s="1"/>
  <c r="E72" i="2"/>
  <c r="I72" i="2"/>
  <c r="M72" i="2"/>
  <c r="Z72" i="2" s="1"/>
  <c r="Q72" i="2"/>
  <c r="AD72" i="2" s="1"/>
  <c r="D73" i="2"/>
  <c r="H73" i="2"/>
  <c r="L73" i="2"/>
  <c r="Y73" i="2" s="1"/>
  <c r="P73" i="2"/>
  <c r="AC73" i="2" s="1"/>
  <c r="T73" i="2"/>
  <c r="AG73" i="2" s="1"/>
  <c r="C74" i="2"/>
  <c r="G74" i="2"/>
  <c r="K74" i="2"/>
  <c r="X74" i="2" s="1"/>
  <c r="O74" i="2"/>
  <c r="AB74" i="2" s="1"/>
  <c r="S74" i="2"/>
  <c r="AF74" i="2" s="1"/>
  <c r="B75" i="2"/>
  <c r="F75" i="2"/>
  <c r="J75" i="2"/>
  <c r="W75" i="2" s="1"/>
  <c r="N75" i="2"/>
  <c r="AA75" i="2" s="1"/>
  <c r="R75" i="2"/>
  <c r="AE75" i="2" s="1"/>
  <c r="E76" i="2"/>
  <c r="I76" i="2"/>
  <c r="M76" i="2"/>
  <c r="Z76" i="2" s="1"/>
  <c r="Q76" i="2"/>
  <c r="AD76" i="2" s="1"/>
  <c r="D77" i="2"/>
  <c r="H77" i="2"/>
  <c r="L77" i="2"/>
  <c r="Y77" i="2" s="1"/>
  <c r="P77" i="2"/>
  <c r="AC77" i="2" s="1"/>
  <c r="T77" i="2"/>
  <c r="AG77" i="2" s="1"/>
  <c r="C78" i="2"/>
  <c r="G78" i="2"/>
  <c r="K78" i="2"/>
  <c r="X78" i="2" s="1"/>
  <c r="O78" i="2"/>
  <c r="AB78" i="2" s="1"/>
  <c r="S78" i="2"/>
  <c r="AF78" i="2" s="1"/>
  <c r="B79" i="2"/>
  <c r="F79" i="2"/>
  <c r="J79" i="2"/>
  <c r="W79" i="2" s="1"/>
  <c r="N79" i="2"/>
  <c r="AA79" i="2" s="1"/>
  <c r="R79" i="2"/>
  <c r="AE79" i="2" s="1"/>
  <c r="E80" i="2"/>
  <c r="I80" i="2"/>
  <c r="M80" i="2"/>
  <c r="Z80" i="2" s="1"/>
  <c r="Q80" i="2"/>
  <c r="AD80" i="2" s="1"/>
  <c r="D81" i="2"/>
  <c r="H81" i="2"/>
  <c r="L81" i="2"/>
  <c r="Y81" i="2" s="1"/>
  <c r="P81" i="2"/>
  <c r="AC81" i="2" s="1"/>
  <c r="T81" i="2"/>
  <c r="AG81" i="2" s="1"/>
  <c r="C82" i="2"/>
  <c r="G82" i="2"/>
  <c r="K82" i="2"/>
  <c r="X82" i="2" s="1"/>
  <c r="O82" i="2"/>
  <c r="AB82" i="2" s="1"/>
  <c r="S82" i="2"/>
  <c r="AF82" i="2" s="1"/>
  <c r="B83" i="2"/>
  <c r="F83" i="2"/>
  <c r="J83" i="2"/>
  <c r="W83" i="2" s="1"/>
  <c r="N83" i="2"/>
  <c r="AA83" i="2" s="1"/>
  <c r="R83" i="2"/>
  <c r="AE83" i="2" s="1"/>
  <c r="E84" i="2"/>
  <c r="I84" i="2"/>
  <c r="M84" i="2"/>
  <c r="Z84" i="2" s="1"/>
  <c r="Q84" i="2"/>
  <c r="AD84" i="2" s="1"/>
  <c r="D85" i="2"/>
  <c r="H85" i="2"/>
  <c r="L85" i="2"/>
  <c r="Y85" i="2" s="1"/>
  <c r="P85" i="2"/>
  <c r="AC85" i="2" s="1"/>
  <c r="T85" i="2"/>
  <c r="AG85" i="2" s="1"/>
  <c r="C86" i="2"/>
  <c r="G86" i="2"/>
  <c r="K86" i="2"/>
  <c r="X86" i="2" s="1"/>
  <c r="O86" i="2"/>
  <c r="AB86" i="2" s="1"/>
  <c r="S86" i="2"/>
  <c r="AF86" i="2" s="1"/>
  <c r="B87" i="2"/>
  <c r="F87" i="2"/>
  <c r="J87" i="2"/>
  <c r="W87" i="2" s="1"/>
  <c r="N87" i="2"/>
  <c r="AA87" i="2" s="1"/>
  <c r="R87" i="2"/>
  <c r="AE87" i="2" s="1"/>
  <c r="E88" i="2"/>
  <c r="I88" i="2"/>
  <c r="M88" i="2"/>
  <c r="Z88" i="2" s="1"/>
  <c r="Q88" i="2"/>
  <c r="AD88" i="2" s="1"/>
  <c r="D89" i="2"/>
  <c r="H89" i="2"/>
  <c r="L89" i="2"/>
  <c r="Y89" i="2" s="1"/>
  <c r="P89" i="2"/>
  <c r="AC89" i="2" s="1"/>
  <c r="T89" i="2"/>
  <c r="AG89" i="2" s="1"/>
  <c r="C90" i="2"/>
  <c r="H90" i="2"/>
  <c r="M90" i="2"/>
  <c r="Z90" i="2" s="1"/>
  <c r="R91" i="2"/>
  <c r="AE91" i="2" s="1"/>
  <c r="N91" i="2"/>
  <c r="AA91" i="2" s="1"/>
  <c r="J91" i="2"/>
  <c r="W91" i="2" s="1"/>
  <c r="F91" i="2"/>
  <c r="B91" i="2"/>
  <c r="G91" i="2"/>
  <c r="L91" i="2"/>
  <c r="Y91" i="2" s="1"/>
  <c r="Q91" i="2"/>
  <c r="AD91" i="2" s="1"/>
  <c r="C93" i="2"/>
  <c r="I93" i="2"/>
  <c r="N93" i="2"/>
  <c r="AA93" i="2" s="1"/>
  <c r="B94" i="2"/>
  <c r="H94" i="2"/>
  <c r="M94" i="2"/>
  <c r="Z94" i="2" s="1"/>
  <c r="R94" i="2"/>
  <c r="AE94" i="2" s="1"/>
  <c r="R95" i="2"/>
  <c r="AE95" i="2" s="1"/>
  <c r="N95" i="2"/>
  <c r="AA95" i="2" s="1"/>
  <c r="J95" i="2"/>
  <c r="W95" i="2" s="1"/>
  <c r="F95" i="2"/>
  <c r="B95" i="2"/>
  <c r="G95" i="2"/>
  <c r="L95" i="2"/>
  <c r="Y95" i="2" s="1"/>
  <c r="Q95" i="2"/>
  <c r="AD95" i="2" s="1"/>
  <c r="C97" i="2"/>
  <c r="I97" i="2"/>
  <c r="N97" i="2"/>
  <c r="AA97" i="2" s="1"/>
  <c r="B98" i="2"/>
  <c r="H98" i="2"/>
  <c r="M98" i="2"/>
  <c r="Z98" i="2" s="1"/>
  <c r="R98" i="2"/>
  <c r="AE98" i="2" s="1"/>
  <c r="R99" i="2"/>
  <c r="AE99" i="2" s="1"/>
  <c r="N99" i="2"/>
  <c r="AA99" i="2" s="1"/>
  <c r="J99" i="2"/>
  <c r="W99" i="2" s="1"/>
  <c r="F99" i="2"/>
  <c r="B99" i="2"/>
  <c r="G99" i="2"/>
  <c r="L99" i="2"/>
  <c r="Y99" i="2" s="1"/>
  <c r="Q99" i="2"/>
  <c r="AD99" i="2" s="1"/>
  <c r="C101" i="2"/>
  <c r="I101" i="2"/>
  <c r="N101" i="2"/>
  <c r="AA101" i="2" s="1"/>
  <c r="B102" i="2"/>
  <c r="H102" i="2"/>
  <c r="M102" i="2"/>
  <c r="Z102" i="2" s="1"/>
  <c r="R102" i="2"/>
  <c r="AE102" i="2" s="1"/>
  <c r="R103" i="2"/>
  <c r="AE103" i="2" s="1"/>
  <c r="N103" i="2"/>
  <c r="AA103" i="2" s="1"/>
  <c r="J103" i="2"/>
  <c r="W103" i="2" s="1"/>
  <c r="F103" i="2"/>
  <c r="B103" i="2"/>
  <c r="G103" i="2"/>
  <c r="L103" i="2"/>
  <c r="Y103" i="2" s="1"/>
  <c r="Q103" i="2"/>
  <c r="AD103" i="2" s="1"/>
  <c r="C105" i="2"/>
  <c r="I105" i="2"/>
  <c r="N105" i="2"/>
  <c r="AA105" i="2" s="1"/>
  <c r="AI24" i="3"/>
  <c r="G31" i="4"/>
  <c r="H31" i="4" s="1"/>
  <c r="C31" i="4"/>
  <c r="D31" i="4" s="1"/>
  <c r="E31" i="4" s="1"/>
  <c r="F31" i="4" s="1"/>
  <c r="C36" i="4"/>
  <c r="E37" i="4"/>
  <c r="F37" i="4" s="1"/>
  <c r="G37" i="4"/>
  <c r="G39" i="4"/>
  <c r="H39" i="4" s="1"/>
  <c r="C39" i="4"/>
  <c r="D39" i="4" s="1"/>
  <c r="E39" i="4" s="1"/>
  <c r="F39" i="4" s="1"/>
  <c r="G45" i="4"/>
  <c r="G47" i="4"/>
  <c r="C47" i="4"/>
  <c r="D47" i="4" s="1"/>
  <c r="E47" i="4" s="1"/>
  <c r="F47" i="4" s="1"/>
  <c r="H47" i="4"/>
  <c r="F50" i="4"/>
  <c r="G53" i="4"/>
  <c r="G55" i="4"/>
  <c r="F58" i="4"/>
  <c r="C60" i="4"/>
  <c r="G61" i="4"/>
  <c r="G63" i="4"/>
  <c r="G69" i="4"/>
  <c r="G71" i="4"/>
  <c r="G77" i="4"/>
  <c r="G79" i="4"/>
  <c r="F82" i="4"/>
  <c r="C84" i="4"/>
  <c r="D84" i="4" s="1"/>
  <c r="E84" i="4" s="1"/>
  <c r="F84" i="4" s="1"/>
  <c r="G85" i="4"/>
  <c r="G87" i="4"/>
  <c r="C87" i="4"/>
  <c r="D87" i="4" s="1"/>
  <c r="G93" i="4"/>
  <c r="G95" i="4"/>
  <c r="C100" i="4"/>
  <c r="G101" i="4"/>
  <c r="G103" i="4"/>
  <c r="C103" i="4"/>
  <c r="H103" i="4"/>
  <c r="C108" i="4"/>
  <c r="G109" i="4"/>
  <c r="G111" i="4"/>
  <c r="C111" i="4"/>
  <c r="H111" i="4"/>
  <c r="C116" i="4"/>
  <c r="G117" i="4"/>
  <c r="G119" i="4"/>
  <c r="C119" i="4"/>
  <c r="H119" i="4"/>
  <c r="C124" i="4"/>
  <c r="G125" i="4"/>
  <c r="G127" i="4"/>
  <c r="C127" i="4"/>
  <c r="H127" i="4"/>
  <c r="H23" i="10"/>
  <c r="J23" i="10" s="1"/>
  <c r="I23" i="10"/>
  <c r="AR5" i="5"/>
  <c r="H51" i="10"/>
  <c r="I51" i="10"/>
  <c r="AR13" i="5"/>
  <c r="H71" i="10"/>
  <c r="H70" i="10"/>
  <c r="I69" i="10"/>
  <c r="H66" i="10"/>
  <c r="I65" i="10"/>
  <c r="I61" i="10"/>
  <c r="I57" i="10"/>
  <c r="I71" i="10"/>
  <c r="AR21" i="5"/>
  <c r="AR26" i="5"/>
  <c r="G30" i="2" s="1"/>
  <c r="AR30" i="5"/>
  <c r="G34" i="2" s="1"/>
  <c r="AR34" i="5"/>
  <c r="G38" i="2" s="1"/>
  <c r="E21" i="2"/>
  <c r="I21" i="2"/>
  <c r="E29" i="2"/>
  <c r="I29" i="2"/>
  <c r="I73" i="2"/>
  <c r="Q73" i="2"/>
  <c r="AD73" i="2" s="1"/>
  <c r="I77" i="2"/>
  <c r="U77" i="2"/>
  <c r="AH77" i="2" s="1"/>
  <c r="I81" i="2"/>
  <c r="U81" i="2"/>
  <c r="AH81" i="2" s="1"/>
  <c r="E85" i="2"/>
  <c r="M85" i="2"/>
  <c r="Z85" i="2" s="1"/>
  <c r="U85" i="2"/>
  <c r="AH85" i="2" s="1"/>
  <c r="I89" i="2"/>
  <c r="U89" i="2"/>
  <c r="AH89" i="2" s="1"/>
  <c r="AI25" i="3"/>
  <c r="AI33" i="3"/>
  <c r="AI45" i="3"/>
  <c r="G10" i="4"/>
  <c r="C23" i="4" s="1"/>
  <c r="G6" i="4"/>
  <c r="G11" i="4"/>
  <c r="G32" i="4"/>
  <c r="H32" i="4" s="1"/>
  <c r="G40" i="4"/>
  <c r="H40" i="4" s="1"/>
  <c r="G48" i="4"/>
  <c r="H48" i="4" s="1"/>
  <c r="H56" i="4"/>
  <c r="G56" i="4"/>
  <c r="G64" i="4"/>
  <c r="G72" i="4"/>
  <c r="G80" i="4"/>
  <c r="G88" i="4"/>
  <c r="H88" i="4" s="1"/>
  <c r="H96" i="4"/>
  <c r="D96" i="4"/>
  <c r="G96" i="4"/>
  <c r="H104" i="4"/>
  <c r="D104" i="4"/>
  <c r="G104" i="4"/>
  <c r="H112" i="4"/>
  <c r="D112" i="4"/>
  <c r="G112" i="4"/>
  <c r="H120" i="4"/>
  <c r="D120" i="4"/>
  <c r="G120" i="4"/>
  <c r="H128" i="4"/>
  <c r="D128" i="4"/>
  <c r="G128" i="4"/>
  <c r="I195" i="10"/>
  <c r="I200" i="10"/>
  <c r="AR33" i="5"/>
  <c r="AQ35" i="5"/>
  <c r="H31" i="10"/>
  <c r="J31" i="10" s="1"/>
  <c r="H27" i="10"/>
  <c r="J27" i="10" s="1"/>
  <c r="I33" i="10"/>
  <c r="H33" i="10"/>
  <c r="J33" i="10" s="1"/>
  <c r="I31" i="10"/>
  <c r="I27" i="10"/>
  <c r="AR7" i="5"/>
  <c r="H39" i="10"/>
  <c r="J39" i="10" s="1"/>
  <c r="H35" i="10"/>
  <c r="I37" i="10"/>
  <c r="H37" i="10"/>
  <c r="J37" i="10" s="1"/>
  <c r="AD3" i="3"/>
  <c r="AR25" i="5"/>
  <c r="H244" i="10"/>
  <c r="I246" i="10"/>
  <c r="AR29" i="5"/>
  <c r="E6" i="2"/>
  <c r="I6" i="2"/>
  <c r="Q6" i="2" s="1"/>
  <c r="AD6" i="2" s="1"/>
  <c r="D7" i="2"/>
  <c r="H7" i="2"/>
  <c r="T7" i="2"/>
  <c r="AG7" i="2" s="1"/>
  <c r="B9" i="2"/>
  <c r="E10" i="2"/>
  <c r="I10" i="2"/>
  <c r="D11" i="2"/>
  <c r="H11" i="2"/>
  <c r="B13" i="2"/>
  <c r="F13" i="2"/>
  <c r="E14" i="2"/>
  <c r="I14" i="2"/>
  <c r="Q14" i="2"/>
  <c r="AD14" i="2" s="1"/>
  <c r="D15" i="2"/>
  <c r="H15" i="2"/>
  <c r="B17" i="2"/>
  <c r="E18" i="2"/>
  <c r="I18" i="2"/>
  <c r="S18" i="2" s="1"/>
  <c r="AF18" i="2" s="1"/>
  <c r="D19" i="2"/>
  <c r="H19" i="2"/>
  <c r="B21" i="2"/>
  <c r="F21" i="2"/>
  <c r="E22" i="2"/>
  <c r="I22" i="2"/>
  <c r="Q22" i="2" s="1"/>
  <c r="AD22" i="2" s="1"/>
  <c r="D23" i="2"/>
  <c r="H23" i="2"/>
  <c r="B25" i="2"/>
  <c r="E26" i="2"/>
  <c r="I26" i="2"/>
  <c r="D27" i="2"/>
  <c r="H27" i="2"/>
  <c r="T27" i="2"/>
  <c r="AG27" i="2" s="1"/>
  <c r="B29" i="2"/>
  <c r="F29" i="2"/>
  <c r="E30" i="2"/>
  <c r="I30" i="2"/>
  <c r="D31" i="2"/>
  <c r="H31" i="2"/>
  <c r="B33" i="2"/>
  <c r="F33" i="2"/>
  <c r="E34" i="2"/>
  <c r="I34" i="2"/>
  <c r="D35" i="2"/>
  <c r="H35" i="2"/>
  <c r="B37" i="2"/>
  <c r="F37" i="2"/>
  <c r="E38" i="2"/>
  <c r="I38" i="2"/>
  <c r="D39" i="2"/>
  <c r="H39" i="2"/>
  <c r="B41" i="2"/>
  <c r="F41" i="2"/>
  <c r="E42" i="2"/>
  <c r="I42" i="2"/>
  <c r="D43" i="2"/>
  <c r="H43" i="2"/>
  <c r="B45" i="2"/>
  <c r="F45" i="2"/>
  <c r="E46" i="2"/>
  <c r="I46" i="2"/>
  <c r="D47" i="2"/>
  <c r="H47" i="2"/>
  <c r="B49" i="2"/>
  <c r="F49" i="2"/>
  <c r="E50" i="2"/>
  <c r="I50" i="2"/>
  <c r="D51" i="2"/>
  <c r="H51" i="2"/>
  <c r="K52" i="2"/>
  <c r="X52" i="2" s="1"/>
  <c r="O52" i="2"/>
  <c r="AB52" i="2" s="1"/>
  <c r="B53" i="2"/>
  <c r="F53" i="2"/>
  <c r="E54" i="2"/>
  <c r="I54" i="2"/>
  <c r="D55" i="2"/>
  <c r="H55" i="2"/>
  <c r="K56" i="2"/>
  <c r="X56" i="2" s="1"/>
  <c r="B57" i="2"/>
  <c r="F57" i="2"/>
  <c r="E58" i="2"/>
  <c r="I58" i="2"/>
  <c r="U58" i="2" s="1"/>
  <c r="AH58" i="2" s="1"/>
  <c r="D59" i="2"/>
  <c r="H59" i="2"/>
  <c r="B61" i="2"/>
  <c r="F61" i="2"/>
  <c r="E62" i="2"/>
  <c r="I62" i="2"/>
  <c r="D63" i="2"/>
  <c r="H63" i="2"/>
  <c r="B65" i="2"/>
  <c r="F65" i="2"/>
  <c r="E66" i="2"/>
  <c r="I66" i="2"/>
  <c r="D67" i="2"/>
  <c r="H67" i="2"/>
  <c r="T67" i="2"/>
  <c r="AG67" i="2" s="1"/>
  <c r="B69" i="2"/>
  <c r="F69" i="2"/>
  <c r="E70" i="2"/>
  <c r="I70" i="2"/>
  <c r="D71" i="2"/>
  <c r="H71" i="2"/>
  <c r="L71" i="2"/>
  <c r="Y71" i="2" s="1"/>
  <c r="P71" i="2"/>
  <c r="AC71" i="2" s="1"/>
  <c r="T71" i="2"/>
  <c r="AG71" i="2" s="1"/>
  <c r="B73" i="2"/>
  <c r="F73" i="2"/>
  <c r="J73" i="2"/>
  <c r="W73" i="2" s="1"/>
  <c r="N73" i="2"/>
  <c r="AA73" i="2" s="1"/>
  <c r="R73" i="2"/>
  <c r="AE73" i="2" s="1"/>
  <c r="E74" i="2"/>
  <c r="I74" i="2"/>
  <c r="M74" i="2"/>
  <c r="Z74" i="2" s="1"/>
  <c r="Q74" i="2"/>
  <c r="AD74" i="2" s="1"/>
  <c r="D75" i="2"/>
  <c r="H75" i="2"/>
  <c r="L75" i="2"/>
  <c r="Y75" i="2" s="1"/>
  <c r="P75" i="2"/>
  <c r="AC75" i="2" s="1"/>
  <c r="T75" i="2"/>
  <c r="AG75" i="2" s="1"/>
  <c r="B77" i="2"/>
  <c r="F77" i="2"/>
  <c r="J77" i="2"/>
  <c r="W77" i="2" s="1"/>
  <c r="N77" i="2"/>
  <c r="AA77" i="2" s="1"/>
  <c r="R77" i="2"/>
  <c r="AE77" i="2" s="1"/>
  <c r="E78" i="2"/>
  <c r="I78" i="2"/>
  <c r="M78" i="2"/>
  <c r="Z78" i="2" s="1"/>
  <c r="Q78" i="2"/>
  <c r="AD78" i="2" s="1"/>
  <c r="D79" i="2"/>
  <c r="H79" i="2"/>
  <c r="L79" i="2"/>
  <c r="Y79" i="2" s="1"/>
  <c r="P79" i="2"/>
  <c r="AC79" i="2" s="1"/>
  <c r="T79" i="2"/>
  <c r="AG79" i="2" s="1"/>
  <c r="B81" i="2"/>
  <c r="F81" i="2"/>
  <c r="J81" i="2"/>
  <c r="W81" i="2" s="1"/>
  <c r="N81" i="2"/>
  <c r="AA81" i="2" s="1"/>
  <c r="R81" i="2"/>
  <c r="AE81" i="2" s="1"/>
  <c r="E82" i="2"/>
  <c r="I82" i="2"/>
  <c r="M82" i="2"/>
  <c r="Z82" i="2" s="1"/>
  <c r="Q82" i="2"/>
  <c r="AD82" i="2" s="1"/>
  <c r="D83" i="2"/>
  <c r="H83" i="2"/>
  <c r="L83" i="2"/>
  <c r="Y83" i="2" s="1"/>
  <c r="P83" i="2"/>
  <c r="AC83" i="2" s="1"/>
  <c r="T83" i="2"/>
  <c r="AG83" i="2" s="1"/>
  <c r="B85" i="2"/>
  <c r="F85" i="2"/>
  <c r="J85" i="2"/>
  <c r="W85" i="2" s="1"/>
  <c r="N85" i="2"/>
  <c r="AA85" i="2" s="1"/>
  <c r="R85" i="2"/>
  <c r="AE85" i="2" s="1"/>
  <c r="E86" i="2"/>
  <c r="I86" i="2"/>
  <c r="M86" i="2"/>
  <c r="Z86" i="2" s="1"/>
  <c r="Q86" i="2"/>
  <c r="AD86" i="2" s="1"/>
  <c r="D87" i="2"/>
  <c r="H87" i="2"/>
  <c r="L87" i="2"/>
  <c r="Y87" i="2" s="1"/>
  <c r="P87" i="2"/>
  <c r="AC87" i="2" s="1"/>
  <c r="T87" i="2"/>
  <c r="AG87" i="2" s="1"/>
  <c r="B89" i="2"/>
  <c r="F89" i="2"/>
  <c r="J89" i="2"/>
  <c r="W89" i="2" s="1"/>
  <c r="N89" i="2"/>
  <c r="AA89" i="2" s="1"/>
  <c r="R89" i="2"/>
  <c r="AE89" i="2" s="1"/>
  <c r="S90" i="2"/>
  <c r="AF90" i="2" s="1"/>
  <c r="O90" i="2"/>
  <c r="AB90" i="2" s="1"/>
  <c r="K90" i="2"/>
  <c r="X90" i="2" s="1"/>
  <c r="G90" i="2"/>
  <c r="E90" i="2"/>
  <c r="J90" i="2"/>
  <c r="W90" i="2" s="1"/>
  <c r="P90" i="2"/>
  <c r="AC90" i="2" s="1"/>
  <c r="U90" i="2"/>
  <c r="AH90" i="2" s="1"/>
  <c r="T93" i="2"/>
  <c r="AG93" i="2" s="1"/>
  <c r="P93" i="2"/>
  <c r="AC93" i="2" s="1"/>
  <c r="L93" i="2"/>
  <c r="Y93" i="2" s="1"/>
  <c r="H93" i="2"/>
  <c r="D93" i="2"/>
  <c r="F93" i="2"/>
  <c r="K93" i="2"/>
  <c r="X93" i="2" s="1"/>
  <c r="Q93" i="2"/>
  <c r="AD93" i="2" s="1"/>
  <c r="E94" i="2"/>
  <c r="J94" i="2"/>
  <c r="W94" i="2" s="1"/>
  <c r="P94" i="2"/>
  <c r="AC94" i="2" s="1"/>
  <c r="T97" i="2"/>
  <c r="AG97" i="2" s="1"/>
  <c r="P97" i="2"/>
  <c r="AC97" i="2" s="1"/>
  <c r="L97" i="2"/>
  <c r="Y97" i="2" s="1"/>
  <c r="H97" i="2"/>
  <c r="D97" i="2"/>
  <c r="F97" i="2"/>
  <c r="K97" i="2"/>
  <c r="X97" i="2" s="1"/>
  <c r="Q97" i="2"/>
  <c r="AD97" i="2" s="1"/>
  <c r="E98" i="2"/>
  <c r="J98" i="2"/>
  <c r="W98" i="2" s="1"/>
  <c r="P98" i="2"/>
  <c r="AC98" i="2" s="1"/>
  <c r="T101" i="2"/>
  <c r="AG101" i="2" s="1"/>
  <c r="P101" i="2"/>
  <c r="AC101" i="2" s="1"/>
  <c r="L101" i="2"/>
  <c r="Y101" i="2" s="1"/>
  <c r="H101" i="2"/>
  <c r="D101" i="2"/>
  <c r="F101" i="2"/>
  <c r="K101" i="2"/>
  <c r="X101" i="2" s="1"/>
  <c r="Q101" i="2"/>
  <c r="AD101" i="2" s="1"/>
  <c r="E102" i="2"/>
  <c r="J102" i="2"/>
  <c r="W102" i="2" s="1"/>
  <c r="P102" i="2"/>
  <c r="AC102" i="2" s="1"/>
  <c r="T105" i="2"/>
  <c r="AG105" i="2" s="1"/>
  <c r="P105" i="2"/>
  <c r="AC105" i="2" s="1"/>
  <c r="L105" i="2"/>
  <c r="Y105" i="2" s="1"/>
  <c r="H105" i="2"/>
  <c r="D105" i="2"/>
  <c r="F105" i="2"/>
  <c r="K105" i="2"/>
  <c r="X105" i="2" s="1"/>
  <c r="Q105" i="2"/>
  <c r="AD105" i="2" s="1"/>
  <c r="G7" i="4"/>
  <c r="C32" i="4"/>
  <c r="D32" i="4" s="1"/>
  <c r="E32" i="4" s="1"/>
  <c r="F32" i="4" s="1"/>
  <c r="G33" i="4"/>
  <c r="G35" i="4"/>
  <c r="C35" i="4"/>
  <c r="D35" i="4" s="1"/>
  <c r="E35" i="4" s="1"/>
  <c r="F35" i="4" s="1"/>
  <c r="C40" i="4"/>
  <c r="D40" i="4" s="1"/>
  <c r="E40" i="4" s="1"/>
  <c r="F40" i="4" s="1"/>
  <c r="G41" i="4"/>
  <c r="G43" i="4"/>
  <c r="C43" i="4"/>
  <c r="D43" i="4" s="1"/>
  <c r="E43" i="4" s="1"/>
  <c r="F43" i="4" s="1"/>
  <c r="G49" i="4"/>
  <c r="G51" i="4"/>
  <c r="C51" i="4"/>
  <c r="D51" i="4" s="1"/>
  <c r="E51" i="4" s="1"/>
  <c r="F51" i="4" s="1"/>
  <c r="F54" i="4"/>
  <c r="C56" i="4"/>
  <c r="D56" i="4" s="1"/>
  <c r="E56" i="4" s="1"/>
  <c r="F56" i="4" s="1"/>
  <c r="G57" i="4"/>
  <c r="G59" i="4"/>
  <c r="G65" i="4"/>
  <c r="G67" i="4"/>
  <c r="G73" i="4"/>
  <c r="G75" i="4"/>
  <c r="G81" i="4"/>
  <c r="G83" i="4"/>
  <c r="E87" i="4"/>
  <c r="F87" i="4" s="1"/>
  <c r="E89" i="4"/>
  <c r="F89" i="4" s="1"/>
  <c r="G89" i="4"/>
  <c r="G91" i="4"/>
  <c r="C96" i="4"/>
  <c r="G97" i="4"/>
  <c r="G99" i="4"/>
  <c r="C99" i="4"/>
  <c r="H99" i="4"/>
  <c r="F100" i="4"/>
  <c r="D101" i="4"/>
  <c r="E103" i="4"/>
  <c r="C104" i="4"/>
  <c r="G105" i="4"/>
  <c r="G107" i="4"/>
  <c r="C107" i="4"/>
  <c r="H107" i="4"/>
  <c r="F108" i="4"/>
  <c r="D109" i="4"/>
  <c r="E111" i="4"/>
  <c r="C112" i="4"/>
  <c r="G113" i="4"/>
  <c r="G115" i="4"/>
  <c r="C115" i="4"/>
  <c r="H115" i="4"/>
  <c r="F116" i="4"/>
  <c r="D117" i="4"/>
  <c r="E119" i="4"/>
  <c r="C120" i="4"/>
  <c r="G121" i="4"/>
  <c r="G123" i="4"/>
  <c r="C123" i="4"/>
  <c r="H123" i="4"/>
  <c r="F124" i="4"/>
  <c r="D125" i="4"/>
  <c r="E127" i="4"/>
  <c r="C128" i="4"/>
  <c r="G129" i="4"/>
  <c r="I2" i="10"/>
  <c r="AR4" i="5"/>
  <c r="G8" i="2" s="1"/>
  <c r="AQ5" i="5"/>
  <c r="H34" i="4" s="1"/>
  <c r="AQ6" i="5"/>
  <c r="F10" i="2" s="1"/>
  <c r="I49" i="10"/>
  <c r="H49" i="10"/>
  <c r="J49" i="10" s="1"/>
  <c r="AR9" i="5"/>
  <c r="H38" i="4" s="1"/>
  <c r="H43" i="10"/>
  <c r="I43" i="10"/>
  <c r="AR12" i="5"/>
  <c r="G16" i="2" s="1"/>
  <c r="Q16" i="2" s="1"/>
  <c r="AD16" i="2" s="1"/>
  <c r="AQ13" i="5"/>
  <c r="H42" i="4" s="1"/>
  <c r="AQ14" i="5"/>
  <c r="AR17" i="5"/>
  <c r="H46" i="4" s="1"/>
  <c r="AR20" i="5"/>
  <c r="G24" i="2" s="1"/>
  <c r="AQ21" i="5"/>
  <c r="H50" i="4" s="1"/>
  <c r="AQ22" i="5"/>
  <c r="F26" i="2" s="1"/>
  <c r="AQ26" i="5"/>
  <c r="F30" i="2" s="1"/>
  <c r="AR28" i="5"/>
  <c r="AQ30" i="5"/>
  <c r="F34" i="2" s="1"/>
  <c r="I215" i="10"/>
  <c r="I193" i="10"/>
  <c r="AR32" i="5"/>
  <c r="AQ34" i="5"/>
  <c r="F38" i="2" s="1"/>
  <c r="AR36" i="5"/>
  <c r="G40" i="2" s="1"/>
  <c r="AQ36" i="5"/>
  <c r="E9" i="2"/>
  <c r="I9" i="2"/>
  <c r="E13" i="2"/>
  <c r="I13" i="2"/>
  <c r="E17" i="2"/>
  <c r="I17" i="2"/>
  <c r="E25" i="2"/>
  <c r="I25" i="2"/>
  <c r="E33" i="2"/>
  <c r="I33" i="2"/>
  <c r="E37" i="2"/>
  <c r="I37" i="2"/>
  <c r="E41" i="2"/>
  <c r="I41" i="2"/>
  <c r="E45" i="2"/>
  <c r="I45" i="2"/>
  <c r="E49" i="2"/>
  <c r="I49" i="2"/>
  <c r="E53" i="2"/>
  <c r="I53" i="2"/>
  <c r="E57" i="2"/>
  <c r="I57" i="2"/>
  <c r="E61" i="2"/>
  <c r="I61" i="2"/>
  <c r="E65" i="2"/>
  <c r="I65" i="2"/>
  <c r="E69" i="2"/>
  <c r="I69" i="2"/>
  <c r="E73" i="2"/>
  <c r="M73" i="2"/>
  <c r="Z73" i="2" s="1"/>
  <c r="U73" i="2"/>
  <c r="AH73" i="2" s="1"/>
  <c r="E77" i="2"/>
  <c r="M77" i="2"/>
  <c r="Z77" i="2" s="1"/>
  <c r="Q77" i="2"/>
  <c r="AD77" i="2" s="1"/>
  <c r="E81" i="2"/>
  <c r="M81" i="2"/>
  <c r="Z81" i="2" s="1"/>
  <c r="Q81" i="2"/>
  <c r="AD81" i="2" s="1"/>
  <c r="I85" i="2"/>
  <c r="Q85" i="2"/>
  <c r="AD85" i="2" s="1"/>
  <c r="E89" i="2"/>
  <c r="M89" i="2"/>
  <c r="Z89" i="2" s="1"/>
  <c r="Q89" i="2"/>
  <c r="AD89" i="2" s="1"/>
  <c r="E7" i="2"/>
  <c r="I7" i="2"/>
  <c r="L7" i="2" s="1"/>
  <c r="Y7" i="2" s="1"/>
  <c r="C9" i="2"/>
  <c r="G9" i="2"/>
  <c r="E11" i="2"/>
  <c r="I11" i="2"/>
  <c r="C13" i="2"/>
  <c r="G13" i="2"/>
  <c r="S13" i="2" s="1"/>
  <c r="AF13" i="2" s="1"/>
  <c r="E15" i="2"/>
  <c r="I15" i="2"/>
  <c r="C17" i="2"/>
  <c r="G17" i="2"/>
  <c r="Q17" i="2" s="1"/>
  <c r="AD17" i="2" s="1"/>
  <c r="E19" i="2"/>
  <c r="I19" i="2"/>
  <c r="C21" i="2"/>
  <c r="G21" i="2"/>
  <c r="E23" i="2"/>
  <c r="I23" i="2"/>
  <c r="L23" i="2" s="1"/>
  <c r="Y23" i="2" s="1"/>
  <c r="C25" i="2"/>
  <c r="G25" i="2"/>
  <c r="P25" i="2" s="1"/>
  <c r="AC25" i="2" s="1"/>
  <c r="E27" i="2"/>
  <c r="I27" i="2"/>
  <c r="C29" i="2"/>
  <c r="G29" i="2"/>
  <c r="E31" i="2"/>
  <c r="I31" i="2"/>
  <c r="L31" i="2" s="1"/>
  <c r="Y31" i="2" s="1"/>
  <c r="C33" i="2"/>
  <c r="G33" i="2"/>
  <c r="E35" i="2"/>
  <c r="I35" i="2"/>
  <c r="C37" i="2"/>
  <c r="G37" i="2"/>
  <c r="L37" i="2" s="1"/>
  <c r="Y37" i="2" s="1"/>
  <c r="E39" i="2"/>
  <c r="I39" i="2"/>
  <c r="E43" i="2"/>
  <c r="I43" i="2"/>
  <c r="C45" i="2"/>
  <c r="E47" i="2"/>
  <c r="I47" i="2"/>
  <c r="P48" i="2"/>
  <c r="AC48" i="2" s="1"/>
  <c r="C49" i="2"/>
  <c r="E51" i="2"/>
  <c r="I51" i="2"/>
  <c r="L52" i="2"/>
  <c r="Y52" i="2" s="1"/>
  <c r="C53" i="2"/>
  <c r="E55" i="2"/>
  <c r="I55" i="2"/>
  <c r="L56" i="2"/>
  <c r="Y56" i="2" s="1"/>
  <c r="C57" i="2"/>
  <c r="E59" i="2"/>
  <c r="I59" i="2"/>
  <c r="K59" i="2" s="1"/>
  <c r="X59" i="2" s="1"/>
  <c r="C61" i="2"/>
  <c r="G61" i="2"/>
  <c r="O61" i="2" s="1"/>
  <c r="AB61" i="2" s="1"/>
  <c r="E63" i="2"/>
  <c r="I63" i="2"/>
  <c r="K63" i="2" s="1"/>
  <c r="X63" i="2" s="1"/>
  <c r="C65" i="2"/>
  <c r="G65" i="2"/>
  <c r="E67" i="2"/>
  <c r="I67" i="2"/>
  <c r="O67" i="2" s="1"/>
  <c r="AB67" i="2" s="1"/>
  <c r="C69" i="2"/>
  <c r="G69" i="2"/>
  <c r="L69" i="2" s="1"/>
  <c r="Y69" i="2" s="1"/>
  <c r="K69" i="2"/>
  <c r="X69" i="2" s="1"/>
  <c r="E71" i="2"/>
  <c r="I71" i="2"/>
  <c r="M71" i="2"/>
  <c r="Z71" i="2" s="1"/>
  <c r="Q71" i="2"/>
  <c r="AD71" i="2" s="1"/>
  <c r="C73" i="2"/>
  <c r="G73" i="2"/>
  <c r="K73" i="2"/>
  <c r="X73" i="2" s="1"/>
  <c r="O73" i="2"/>
  <c r="AB73" i="2" s="1"/>
  <c r="E75" i="2"/>
  <c r="I75" i="2"/>
  <c r="M75" i="2"/>
  <c r="Z75" i="2" s="1"/>
  <c r="Q75" i="2"/>
  <c r="AD75" i="2" s="1"/>
  <c r="C77" i="2"/>
  <c r="G77" i="2"/>
  <c r="K77" i="2"/>
  <c r="X77" i="2" s="1"/>
  <c r="O77" i="2"/>
  <c r="AB77" i="2" s="1"/>
  <c r="E79" i="2"/>
  <c r="I79" i="2"/>
  <c r="M79" i="2"/>
  <c r="Z79" i="2" s="1"/>
  <c r="Q79" i="2"/>
  <c r="AD79" i="2" s="1"/>
  <c r="C81" i="2"/>
  <c r="G81" i="2"/>
  <c r="K81" i="2"/>
  <c r="X81" i="2" s="1"/>
  <c r="O81" i="2"/>
  <c r="AB81" i="2" s="1"/>
  <c r="E83" i="2"/>
  <c r="I83" i="2"/>
  <c r="M83" i="2"/>
  <c r="Z83" i="2" s="1"/>
  <c r="Q83" i="2"/>
  <c r="AD83" i="2" s="1"/>
  <c r="C85" i="2"/>
  <c r="G85" i="2"/>
  <c r="K85" i="2"/>
  <c r="X85" i="2" s="1"/>
  <c r="O85" i="2"/>
  <c r="AB85" i="2" s="1"/>
  <c r="E87" i="2"/>
  <c r="I87" i="2"/>
  <c r="M87" i="2"/>
  <c r="Z87" i="2" s="1"/>
  <c r="Q87" i="2"/>
  <c r="AD87" i="2" s="1"/>
  <c r="C89" i="2"/>
  <c r="G89" i="2"/>
  <c r="K89" i="2"/>
  <c r="X89" i="2" s="1"/>
  <c r="O89" i="2"/>
  <c r="AB89" i="2" s="1"/>
  <c r="S94" i="2"/>
  <c r="AF94" i="2" s="1"/>
  <c r="O94" i="2"/>
  <c r="AB94" i="2" s="1"/>
  <c r="K94" i="2"/>
  <c r="X94" i="2" s="1"/>
  <c r="G94" i="2"/>
  <c r="C94" i="2"/>
  <c r="F94" i="2"/>
  <c r="L94" i="2"/>
  <c r="Y94" i="2" s="1"/>
  <c r="Q94" i="2"/>
  <c r="AD94" i="2" s="1"/>
  <c r="S98" i="2"/>
  <c r="AF98" i="2" s="1"/>
  <c r="O98" i="2"/>
  <c r="AB98" i="2" s="1"/>
  <c r="K98" i="2"/>
  <c r="X98" i="2" s="1"/>
  <c r="G98" i="2"/>
  <c r="C98" i="2"/>
  <c r="F98" i="2"/>
  <c r="L98" i="2"/>
  <c r="Y98" i="2" s="1"/>
  <c r="Q98" i="2"/>
  <c r="AD98" i="2" s="1"/>
  <c r="S102" i="2"/>
  <c r="AF102" i="2" s="1"/>
  <c r="O102" i="2"/>
  <c r="AB102" i="2" s="1"/>
  <c r="K102" i="2"/>
  <c r="X102" i="2" s="1"/>
  <c r="G102" i="2"/>
  <c r="C102" i="2"/>
  <c r="F102" i="2"/>
  <c r="L102" i="2"/>
  <c r="Y102" i="2" s="1"/>
  <c r="Q102" i="2"/>
  <c r="AD102" i="2" s="1"/>
  <c r="AB3" i="3"/>
  <c r="G8" i="4"/>
  <c r="C21" i="4" s="1"/>
  <c r="C22" i="4" s="1"/>
  <c r="D36" i="4"/>
  <c r="E36" i="4" s="1"/>
  <c r="F36" i="4" s="1"/>
  <c r="G36" i="4"/>
  <c r="H36" i="4" s="1"/>
  <c r="G44" i="4"/>
  <c r="H44" i="4" s="1"/>
  <c r="G52" i="4"/>
  <c r="H52" i="4" s="1"/>
  <c r="D60" i="4"/>
  <c r="E60" i="4" s="1"/>
  <c r="F60" i="4" s="1"/>
  <c r="G60" i="4"/>
  <c r="H60" i="4" s="1"/>
  <c r="G68" i="4"/>
  <c r="G76" i="4"/>
  <c r="I207" i="10"/>
  <c r="I181" i="10"/>
  <c r="AR35" i="5"/>
  <c r="G39" i="2" s="1"/>
  <c r="N39" i="2" s="1"/>
  <c r="AA39" i="2" s="1"/>
  <c r="E92" i="2"/>
  <c r="I92" i="2"/>
  <c r="M92" i="2"/>
  <c r="Z92" i="2" s="1"/>
  <c r="Q92" i="2"/>
  <c r="AD92" i="2" s="1"/>
  <c r="E96" i="2"/>
  <c r="I96" i="2"/>
  <c r="M96" i="2"/>
  <c r="Z96" i="2" s="1"/>
  <c r="Q96" i="2"/>
  <c r="AD96" i="2" s="1"/>
  <c r="E100" i="2"/>
  <c r="I100" i="2"/>
  <c r="M100" i="2"/>
  <c r="Z100" i="2" s="1"/>
  <c r="Q100" i="2"/>
  <c r="AD100" i="2" s="1"/>
  <c r="E104" i="2"/>
  <c r="I104" i="2"/>
  <c r="M104" i="2"/>
  <c r="Z104" i="2" s="1"/>
  <c r="Q104" i="2"/>
  <c r="AD104" i="2" s="1"/>
  <c r="AR37" i="5"/>
  <c r="H66" i="4" s="1"/>
  <c r="AR39" i="5"/>
  <c r="G12" i="4" s="1"/>
  <c r="AR41" i="5"/>
  <c r="AR43" i="5"/>
  <c r="G47" i="2" s="1"/>
  <c r="AR45" i="5"/>
  <c r="H74" i="4" s="1"/>
  <c r="AR47" i="5"/>
  <c r="G51" i="2" s="1"/>
  <c r="R51" i="2" s="1"/>
  <c r="AE51" i="2" s="1"/>
  <c r="AR49" i="5"/>
  <c r="H78" i="4" s="1"/>
  <c r="AR51" i="5"/>
  <c r="G55" i="2" s="1"/>
  <c r="AR53" i="5"/>
  <c r="H82" i="4" s="1"/>
  <c r="M3" i="6"/>
  <c r="N4" i="6"/>
  <c r="N7" i="6"/>
  <c r="N10" i="6"/>
  <c r="N17" i="6"/>
  <c r="M20" i="6"/>
  <c r="N26" i="6"/>
  <c r="N33" i="6"/>
  <c r="M36" i="6"/>
  <c r="N42" i="6"/>
  <c r="N49" i="6"/>
  <c r="M52" i="6"/>
  <c r="N58" i="6"/>
  <c r="N65" i="6"/>
  <c r="M68" i="6"/>
  <c r="N74" i="6"/>
  <c r="N81" i="6"/>
  <c r="M84" i="6"/>
  <c r="N90" i="6"/>
  <c r="N97" i="6"/>
  <c r="M100" i="6"/>
  <c r="N106" i="6"/>
  <c r="N113" i="6"/>
  <c r="M116" i="6"/>
  <c r="K133" i="6"/>
  <c r="N133" i="6"/>
  <c r="L134" i="6"/>
  <c r="K134" i="6"/>
  <c r="K149" i="6"/>
  <c r="N149" i="6"/>
  <c r="L150" i="6"/>
  <c r="K150" i="6"/>
  <c r="K165" i="6"/>
  <c r="N165" i="6"/>
  <c r="L166" i="6"/>
  <c r="K166" i="6"/>
  <c r="K181" i="6"/>
  <c r="I96" i="10" s="1"/>
  <c r="N181" i="6"/>
  <c r="L182" i="6"/>
  <c r="K182" i="6"/>
  <c r="H98" i="10" s="1"/>
  <c r="K197" i="6"/>
  <c r="N197" i="6"/>
  <c r="L198" i="6"/>
  <c r="K198" i="6"/>
  <c r="H90" i="10" s="1"/>
  <c r="K213" i="6"/>
  <c r="N213" i="6"/>
  <c r="L214" i="6"/>
  <c r="K214" i="6"/>
  <c r="K229" i="6"/>
  <c r="N229" i="6"/>
  <c r="L230" i="6"/>
  <c r="K230" i="6"/>
  <c r="H106" i="10" s="1"/>
  <c r="K245" i="6"/>
  <c r="N245" i="6"/>
  <c r="L246" i="6"/>
  <c r="K246" i="6"/>
  <c r="K261" i="6"/>
  <c r="N261" i="6"/>
  <c r="L262" i="6"/>
  <c r="K262" i="6"/>
  <c r="K277" i="6"/>
  <c r="N277" i="6"/>
  <c r="L278" i="6"/>
  <c r="K278" i="6"/>
  <c r="K293" i="6"/>
  <c r="N293" i="6"/>
  <c r="L294" i="6"/>
  <c r="K294" i="6"/>
  <c r="K309" i="6"/>
  <c r="N309" i="6"/>
  <c r="L310" i="6"/>
  <c r="K310" i="6"/>
  <c r="K325" i="6"/>
  <c r="N325" i="6"/>
  <c r="L326" i="6"/>
  <c r="K326" i="6"/>
  <c r="K339" i="6"/>
  <c r="L339" i="6"/>
  <c r="K351" i="6"/>
  <c r="M351" i="6"/>
  <c r="L351" i="6"/>
  <c r="L360" i="6"/>
  <c r="M360" i="6"/>
  <c r="K360" i="6"/>
  <c r="I248" i="10" s="1"/>
  <c r="L364" i="6"/>
  <c r="K364" i="6"/>
  <c r="K432" i="6"/>
  <c r="L432" i="6"/>
  <c r="N432" i="6"/>
  <c r="M432" i="6"/>
  <c r="L441" i="6"/>
  <c r="K441" i="6"/>
  <c r="M441" i="6"/>
  <c r="L476" i="6"/>
  <c r="K476" i="6"/>
  <c r="M476" i="6"/>
  <c r="N476" i="6"/>
  <c r="L540" i="6"/>
  <c r="K540" i="6"/>
  <c r="M540" i="6"/>
  <c r="N540" i="6"/>
  <c r="K559" i="6"/>
  <c r="N559" i="6"/>
  <c r="M559" i="6"/>
  <c r="L559" i="6"/>
  <c r="L560" i="6"/>
  <c r="K560" i="6"/>
  <c r="N560" i="6"/>
  <c r="M560" i="6"/>
  <c r="K575" i="6"/>
  <c r="N575" i="6"/>
  <c r="M575" i="6"/>
  <c r="L575" i="6"/>
  <c r="L576" i="6"/>
  <c r="K576" i="6"/>
  <c r="N576" i="6"/>
  <c r="M576" i="6"/>
  <c r="I183" i="10"/>
  <c r="AQ38" i="5"/>
  <c r="F42" i="2" s="1"/>
  <c r="H234" i="10"/>
  <c r="I238" i="10"/>
  <c r="AQ40" i="5"/>
  <c r="H252" i="10"/>
  <c r="I252" i="10"/>
  <c r="AQ42" i="5"/>
  <c r="F46" i="2" s="1"/>
  <c r="I222" i="10"/>
  <c r="I219" i="10"/>
  <c r="AQ44" i="5"/>
  <c r="AQ46" i="5"/>
  <c r="F50" i="2" s="1"/>
  <c r="I291" i="10"/>
  <c r="I287" i="10"/>
  <c r="I293" i="10"/>
  <c r="AQ48" i="5"/>
  <c r="I278" i="10"/>
  <c r="I281" i="10"/>
  <c r="AQ50" i="5"/>
  <c r="F54" i="2" s="1"/>
  <c r="I319" i="10"/>
  <c r="I315" i="10"/>
  <c r="I318" i="10"/>
  <c r="AQ52" i="5"/>
  <c r="I328" i="10"/>
  <c r="I326" i="10"/>
  <c r="I322" i="10"/>
  <c r="H328" i="10"/>
  <c r="H326" i="10"/>
  <c r="H322" i="10"/>
  <c r="AQ54" i="5"/>
  <c r="AQ56" i="5"/>
  <c r="I349" i="10"/>
  <c r="I350" i="10"/>
  <c r="AQ58" i="5"/>
  <c r="F62" i="2" s="1"/>
  <c r="H376" i="10"/>
  <c r="H374" i="10"/>
  <c r="AQ60" i="5"/>
  <c r="AQ62" i="5"/>
  <c r="F66" i="2" s="1"/>
  <c r="I416" i="10"/>
  <c r="I412" i="10"/>
  <c r="H416" i="10"/>
  <c r="H412" i="10"/>
  <c r="J412" i="10" s="1"/>
  <c r="AQ64" i="5"/>
  <c r="AQ66" i="5"/>
  <c r="F70" i="2" s="1"/>
  <c r="M2" i="6"/>
  <c r="N3" i="6"/>
  <c r="K4" i="6"/>
  <c r="M6" i="2" s="1"/>
  <c r="Z6" i="2" s="1"/>
  <c r="M6" i="6"/>
  <c r="M8" i="6"/>
  <c r="L13" i="6"/>
  <c r="N14" i="6"/>
  <c r="K16" i="6"/>
  <c r="I10" i="10" s="1"/>
  <c r="N21" i="6"/>
  <c r="K22" i="6"/>
  <c r="H15" i="10" s="1"/>
  <c r="M24" i="6"/>
  <c r="L29" i="6"/>
  <c r="N30" i="6"/>
  <c r="K32" i="6"/>
  <c r="H19" i="10" s="1"/>
  <c r="J19" i="10" s="1"/>
  <c r="N37" i="6"/>
  <c r="K38" i="6"/>
  <c r="M40" i="6"/>
  <c r="L45" i="6"/>
  <c r="N46" i="6"/>
  <c r="K48" i="6"/>
  <c r="N53" i="6"/>
  <c r="K54" i="6"/>
  <c r="H25" i="10" s="1"/>
  <c r="M56" i="6"/>
  <c r="L61" i="6"/>
  <c r="N62" i="6"/>
  <c r="K64" i="6"/>
  <c r="I35" i="10" s="1"/>
  <c r="N69" i="6"/>
  <c r="K70" i="6"/>
  <c r="M72" i="6"/>
  <c r="L77" i="6"/>
  <c r="N78" i="6"/>
  <c r="K80" i="6"/>
  <c r="M14" i="2" s="1"/>
  <c r="Z14" i="2" s="1"/>
  <c r="N85" i="6"/>
  <c r="K86" i="6"/>
  <c r="H45" i="10" s="1"/>
  <c r="M88" i="6"/>
  <c r="L93" i="6"/>
  <c r="N94" i="6"/>
  <c r="K96" i="6"/>
  <c r="N101" i="6"/>
  <c r="K102" i="6"/>
  <c r="H81" i="10" s="1"/>
  <c r="J81" i="10" s="1"/>
  <c r="M104" i="6"/>
  <c r="L109" i="6"/>
  <c r="N110" i="6"/>
  <c r="K112" i="6"/>
  <c r="I53" i="10" s="1"/>
  <c r="N117" i="6"/>
  <c r="K118" i="6"/>
  <c r="L121" i="6"/>
  <c r="M122" i="6"/>
  <c r="K129" i="6"/>
  <c r="N129" i="6"/>
  <c r="L130" i="6"/>
  <c r="K130" i="6"/>
  <c r="C44" i="4" s="1"/>
  <c r="D44" i="4" s="1"/>
  <c r="E44" i="4" s="1"/>
  <c r="F44" i="4" s="1"/>
  <c r="L137" i="6"/>
  <c r="M138" i="6"/>
  <c r="K145" i="6"/>
  <c r="N145" i="6"/>
  <c r="L146" i="6"/>
  <c r="K146" i="6"/>
  <c r="L153" i="6"/>
  <c r="M154" i="6"/>
  <c r="K161" i="6"/>
  <c r="N161" i="6"/>
  <c r="L162" i="6"/>
  <c r="K162" i="6"/>
  <c r="L169" i="6"/>
  <c r="M170" i="6"/>
  <c r="K177" i="6"/>
  <c r="H94" i="10" s="1"/>
  <c r="N177" i="6"/>
  <c r="L178" i="6"/>
  <c r="K178" i="6"/>
  <c r="L185" i="6"/>
  <c r="M186" i="6"/>
  <c r="K193" i="6"/>
  <c r="N193" i="6"/>
  <c r="L194" i="6"/>
  <c r="K194" i="6"/>
  <c r="L201" i="6"/>
  <c r="M202" i="6"/>
  <c r="K209" i="6"/>
  <c r="N209" i="6"/>
  <c r="L210" i="6"/>
  <c r="K210" i="6"/>
  <c r="L217" i="6"/>
  <c r="M218" i="6"/>
  <c r="K225" i="6"/>
  <c r="N225" i="6"/>
  <c r="L226" i="6"/>
  <c r="K226" i="6"/>
  <c r="L233" i="6"/>
  <c r="M234" i="6"/>
  <c r="K241" i="6"/>
  <c r="N241" i="6"/>
  <c r="L242" i="6"/>
  <c r="K242" i="6"/>
  <c r="L249" i="6"/>
  <c r="M250" i="6"/>
  <c r="K257" i="6"/>
  <c r="C52" i="4" s="1"/>
  <c r="D52" i="4" s="1"/>
  <c r="E52" i="4" s="1"/>
  <c r="F52" i="4" s="1"/>
  <c r="N257" i="6"/>
  <c r="L258" i="6"/>
  <c r="K258" i="6"/>
  <c r="L265" i="6"/>
  <c r="M266" i="6"/>
  <c r="K273" i="6"/>
  <c r="N273" i="6"/>
  <c r="L274" i="6"/>
  <c r="K274" i="6"/>
  <c r="L281" i="6"/>
  <c r="M282" i="6"/>
  <c r="K289" i="6"/>
  <c r="N289" i="6"/>
  <c r="L290" i="6"/>
  <c r="K290" i="6"/>
  <c r="L297" i="6"/>
  <c r="M298" i="6"/>
  <c r="K305" i="6"/>
  <c r="N305" i="6"/>
  <c r="L306" i="6"/>
  <c r="K306" i="6"/>
  <c r="L313" i="6"/>
  <c r="M314" i="6"/>
  <c r="K321" i="6"/>
  <c r="N321" i="6"/>
  <c r="L322" i="6"/>
  <c r="K322" i="6"/>
  <c r="L329" i="6"/>
  <c r="M330" i="6"/>
  <c r="K335" i="6"/>
  <c r="M335" i="6"/>
  <c r="L335" i="6"/>
  <c r="L344" i="6"/>
  <c r="M344" i="6"/>
  <c r="K344" i="6"/>
  <c r="L348" i="6"/>
  <c r="K348" i="6"/>
  <c r="M355" i="6"/>
  <c r="N358" i="6"/>
  <c r="K358" i="6"/>
  <c r="N370" i="6"/>
  <c r="L370" i="6"/>
  <c r="K370" i="6"/>
  <c r="C59" i="4" s="1"/>
  <c r="D59" i="4" s="1"/>
  <c r="E59" i="4" s="1"/>
  <c r="F59" i="4" s="1"/>
  <c r="L374" i="6"/>
  <c r="K384" i="6"/>
  <c r="L384" i="6"/>
  <c r="L393" i="6"/>
  <c r="K393" i="6"/>
  <c r="N393" i="6"/>
  <c r="M393" i="6"/>
  <c r="K463" i="6"/>
  <c r="N463" i="6"/>
  <c r="M463" i="6"/>
  <c r="L463" i="6"/>
  <c r="L464" i="6"/>
  <c r="K464" i="6"/>
  <c r="N464" i="6"/>
  <c r="M464" i="6"/>
  <c r="K491" i="6"/>
  <c r="N491" i="6"/>
  <c r="L491" i="6"/>
  <c r="M491" i="6"/>
  <c r="K527" i="6"/>
  <c r="I230" i="10" s="1"/>
  <c r="N527" i="6"/>
  <c r="M527" i="6"/>
  <c r="L527" i="6"/>
  <c r="L528" i="6"/>
  <c r="K528" i="6"/>
  <c r="N528" i="6"/>
  <c r="M528" i="6"/>
  <c r="AR38" i="5"/>
  <c r="G42" i="2" s="1"/>
  <c r="AR42" i="5"/>
  <c r="G46" i="2" s="1"/>
  <c r="AR58" i="5"/>
  <c r="G62" i="2" s="1"/>
  <c r="L4" i="6"/>
  <c r="K7" i="6"/>
  <c r="I4" i="10" s="1"/>
  <c r="N9" i="6"/>
  <c r="K10" i="6"/>
  <c r="M12" i="6"/>
  <c r="M13" i="6"/>
  <c r="L16" i="6"/>
  <c r="L17" i="6"/>
  <c r="N18" i="6"/>
  <c r="K20" i="6"/>
  <c r="M22" i="6"/>
  <c r="N25" i="6"/>
  <c r="K26" i="6"/>
  <c r="H17" i="10" s="1"/>
  <c r="M28" i="6"/>
  <c r="M29" i="6"/>
  <c r="L32" i="6"/>
  <c r="L33" i="6"/>
  <c r="N34" i="6"/>
  <c r="K36" i="6"/>
  <c r="C34" i="4" s="1"/>
  <c r="D34" i="4" s="1"/>
  <c r="E34" i="4" s="1"/>
  <c r="F34" i="4" s="1"/>
  <c r="M38" i="6"/>
  <c r="N41" i="6"/>
  <c r="K42" i="6"/>
  <c r="M44" i="6"/>
  <c r="M45" i="6"/>
  <c r="L48" i="6"/>
  <c r="L49" i="6"/>
  <c r="N50" i="6"/>
  <c r="K52" i="6"/>
  <c r="M54" i="6"/>
  <c r="N57" i="6"/>
  <c r="K58" i="6"/>
  <c r="I29" i="10" s="1"/>
  <c r="M60" i="6"/>
  <c r="M61" i="6"/>
  <c r="L64" i="6"/>
  <c r="L65" i="6"/>
  <c r="N66" i="6"/>
  <c r="K68" i="6"/>
  <c r="R12" i="2" s="1"/>
  <c r="AE12" i="2" s="1"/>
  <c r="M70" i="6"/>
  <c r="N73" i="6"/>
  <c r="K74" i="6"/>
  <c r="C38" i="4" s="1"/>
  <c r="D38" i="4" s="1"/>
  <c r="E38" i="4" s="1"/>
  <c r="F38" i="4" s="1"/>
  <c r="M76" i="6"/>
  <c r="M77" i="6"/>
  <c r="L80" i="6"/>
  <c r="L81" i="6"/>
  <c r="N82" i="6"/>
  <c r="K84" i="6"/>
  <c r="M86" i="6"/>
  <c r="N89" i="6"/>
  <c r="K90" i="6"/>
  <c r="M92" i="6"/>
  <c r="M93" i="6"/>
  <c r="L96" i="6"/>
  <c r="L97" i="6"/>
  <c r="N98" i="6"/>
  <c r="K100" i="6"/>
  <c r="H80" i="10" s="1"/>
  <c r="J80" i="10" s="1"/>
  <c r="M102" i="6"/>
  <c r="N105" i="6"/>
  <c r="K106" i="6"/>
  <c r="M108" i="6"/>
  <c r="M109" i="6"/>
  <c r="L112" i="6"/>
  <c r="L113" i="6"/>
  <c r="N114" i="6"/>
  <c r="K116" i="6"/>
  <c r="M118" i="6"/>
  <c r="K125" i="6"/>
  <c r="H67" i="10" s="1"/>
  <c r="N125" i="6"/>
  <c r="L126" i="6"/>
  <c r="K126" i="6"/>
  <c r="H61" i="10" s="1"/>
  <c r="J61" i="10" s="1"/>
  <c r="L133" i="6"/>
  <c r="M134" i="6"/>
  <c r="K141" i="6"/>
  <c r="C45" i="4" s="1"/>
  <c r="D45" i="4" s="1"/>
  <c r="E45" i="4" s="1"/>
  <c r="F45" i="4" s="1"/>
  <c r="N141" i="6"/>
  <c r="L142" i="6"/>
  <c r="K142" i="6"/>
  <c r="R20" i="2" s="1"/>
  <c r="AE20" i="2" s="1"/>
  <c r="L149" i="6"/>
  <c r="M150" i="6"/>
  <c r="K157" i="6"/>
  <c r="N157" i="6"/>
  <c r="L158" i="6"/>
  <c r="K158" i="6"/>
  <c r="L165" i="6"/>
  <c r="M166" i="6"/>
  <c r="K173" i="6"/>
  <c r="N173" i="6"/>
  <c r="L174" i="6"/>
  <c r="K174" i="6"/>
  <c r="M22" i="2" s="1"/>
  <c r="Z22" i="2" s="1"/>
  <c r="L181" i="6"/>
  <c r="M182" i="6"/>
  <c r="K189" i="6"/>
  <c r="N189" i="6"/>
  <c r="L190" i="6"/>
  <c r="K190" i="6"/>
  <c r="L197" i="6"/>
  <c r="M198" i="6"/>
  <c r="K205" i="6"/>
  <c r="N205" i="6"/>
  <c r="L206" i="6"/>
  <c r="K206" i="6"/>
  <c r="L213" i="6"/>
  <c r="M214" i="6"/>
  <c r="K221" i="6"/>
  <c r="N221" i="6"/>
  <c r="L222" i="6"/>
  <c r="K222" i="6"/>
  <c r="L229" i="6"/>
  <c r="M230" i="6"/>
  <c r="K237" i="6"/>
  <c r="N237" i="6"/>
  <c r="L238" i="6"/>
  <c r="K238" i="6"/>
  <c r="L245" i="6"/>
  <c r="M246" i="6"/>
  <c r="K253" i="6"/>
  <c r="N253" i="6"/>
  <c r="L254" i="6"/>
  <c r="K254" i="6"/>
  <c r="L261" i="6"/>
  <c r="M262" i="6"/>
  <c r="K269" i="6"/>
  <c r="N269" i="6"/>
  <c r="L270" i="6"/>
  <c r="K270" i="6"/>
  <c r="L277" i="6"/>
  <c r="M278" i="6"/>
  <c r="K285" i="6"/>
  <c r="N285" i="6"/>
  <c r="L286" i="6"/>
  <c r="K286" i="6"/>
  <c r="C55" i="4" s="1"/>
  <c r="D55" i="4" s="1"/>
  <c r="E55" i="4" s="1"/>
  <c r="F55" i="4" s="1"/>
  <c r="L293" i="6"/>
  <c r="M294" i="6"/>
  <c r="K301" i="6"/>
  <c r="N301" i="6"/>
  <c r="L302" i="6"/>
  <c r="K302" i="6"/>
  <c r="L309" i="6"/>
  <c r="M310" i="6"/>
  <c r="K317" i="6"/>
  <c r="N317" i="6"/>
  <c r="L318" i="6"/>
  <c r="K318" i="6"/>
  <c r="L325" i="6"/>
  <c r="M326" i="6"/>
  <c r="K333" i="6"/>
  <c r="I244" i="10" s="1"/>
  <c r="N333" i="6"/>
  <c r="M339" i="6"/>
  <c r="N342" i="6"/>
  <c r="K342" i="6"/>
  <c r="H246" i="10" s="1"/>
  <c r="N351" i="6"/>
  <c r="N354" i="6"/>
  <c r="L354" i="6"/>
  <c r="K354" i="6"/>
  <c r="N360" i="6"/>
  <c r="M364" i="6"/>
  <c r="K371" i="6"/>
  <c r="L371" i="6"/>
  <c r="L376" i="6"/>
  <c r="M376" i="6"/>
  <c r="K376" i="6"/>
  <c r="N387" i="6"/>
  <c r="K387" i="6"/>
  <c r="L387" i="6"/>
  <c r="L389" i="6"/>
  <c r="M389" i="6"/>
  <c r="K389" i="6"/>
  <c r="N389" i="6"/>
  <c r="K428" i="6"/>
  <c r="M428" i="6"/>
  <c r="L428" i="6"/>
  <c r="N428" i="6"/>
  <c r="N441" i="6"/>
  <c r="K444" i="6"/>
  <c r="I203" i="10" s="1"/>
  <c r="M444" i="6"/>
  <c r="L444" i="6"/>
  <c r="N444" i="6"/>
  <c r="L508" i="6"/>
  <c r="K508" i="6"/>
  <c r="M508" i="6"/>
  <c r="N508" i="6"/>
  <c r="H232" i="10"/>
  <c r="H230" i="10"/>
  <c r="I232" i="10"/>
  <c r="I226" i="10"/>
  <c r="I266" i="10"/>
  <c r="I260" i="10"/>
  <c r="I277" i="10"/>
  <c r="I270" i="10"/>
  <c r="H269" i="10"/>
  <c r="I309" i="10"/>
  <c r="I310" i="10"/>
  <c r="I297" i="10"/>
  <c r="I301" i="10"/>
  <c r="I337" i="10"/>
  <c r="I342" i="10"/>
  <c r="H342" i="10"/>
  <c r="I358" i="10"/>
  <c r="I388" i="10"/>
  <c r="I400" i="10"/>
  <c r="H400" i="10"/>
  <c r="H396" i="10"/>
  <c r="I404" i="10"/>
  <c r="H404" i="10"/>
  <c r="N13" i="6"/>
  <c r="M16" i="6"/>
  <c r="N22" i="6"/>
  <c r="N29" i="6"/>
  <c r="M32" i="6"/>
  <c r="N38" i="6"/>
  <c r="N45" i="6"/>
  <c r="M48" i="6"/>
  <c r="N54" i="6"/>
  <c r="N61" i="6"/>
  <c r="M64" i="6"/>
  <c r="N70" i="6"/>
  <c r="N77" i="6"/>
  <c r="M80" i="6"/>
  <c r="N86" i="6"/>
  <c r="N93" i="6"/>
  <c r="M96" i="6"/>
  <c r="N102" i="6"/>
  <c r="N109" i="6"/>
  <c r="M112" i="6"/>
  <c r="N118" i="6"/>
  <c r="K121" i="6"/>
  <c r="N121" i="6"/>
  <c r="L122" i="6"/>
  <c r="K122" i="6"/>
  <c r="K137" i="6"/>
  <c r="N137" i="6"/>
  <c r="L138" i="6"/>
  <c r="K138" i="6"/>
  <c r="K153" i="6"/>
  <c r="N153" i="6"/>
  <c r="L154" i="6"/>
  <c r="K154" i="6"/>
  <c r="C46" i="4" s="1"/>
  <c r="D46" i="4" s="1"/>
  <c r="E46" i="4" s="1"/>
  <c r="F46" i="4" s="1"/>
  <c r="K169" i="6"/>
  <c r="N169" i="6"/>
  <c r="L170" i="6"/>
  <c r="K170" i="6"/>
  <c r="H92" i="10" s="1"/>
  <c r="K185" i="6"/>
  <c r="N185" i="6"/>
  <c r="L186" i="6"/>
  <c r="K186" i="6"/>
  <c r="K201" i="6"/>
  <c r="N201" i="6"/>
  <c r="L202" i="6"/>
  <c r="K202" i="6"/>
  <c r="K217" i="6"/>
  <c r="N217" i="6"/>
  <c r="L218" i="6"/>
  <c r="K218" i="6"/>
  <c r="C49" i="4" s="1"/>
  <c r="D49" i="4" s="1"/>
  <c r="E49" i="4" s="1"/>
  <c r="F49" i="4" s="1"/>
  <c r="K233" i="6"/>
  <c r="N233" i="6"/>
  <c r="L234" i="6"/>
  <c r="K234" i="6"/>
  <c r="I110" i="10" s="1"/>
  <c r="K249" i="6"/>
  <c r="N249" i="6"/>
  <c r="L250" i="6"/>
  <c r="K250" i="6"/>
  <c r="K265" i="6"/>
  <c r="N265" i="6"/>
  <c r="L266" i="6"/>
  <c r="K266" i="6"/>
  <c r="H118" i="10" s="1"/>
  <c r="K281" i="6"/>
  <c r="N281" i="6"/>
  <c r="L282" i="6"/>
  <c r="K282" i="6"/>
  <c r="K297" i="6"/>
  <c r="N297" i="6"/>
  <c r="L298" i="6"/>
  <c r="K298" i="6"/>
  <c r="K313" i="6"/>
  <c r="C57" i="4" s="1"/>
  <c r="D57" i="4" s="1"/>
  <c r="E57" i="4" s="1"/>
  <c r="F57" i="4" s="1"/>
  <c r="N313" i="6"/>
  <c r="L314" i="6"/>
  <c r="K314" i="6"/>
  <c r="K329" i="6"/>
  <c r="N329" i="6"/>
  <c r="L330" i="6"/>
  <c r="K330" i="6"/>
  <c r="N338" i="6"/>
  <c r="L338" i="6"/>
  <c r="K338" i="6"/>
  <c r="K355" i="6"/>
  <c r="L355" i="6"/>
  <c r="K367" i="6"/>
  <c r="M367" i="6"/>
  <c r="L367" i="6"/>
  <c r="N374" i="6"/>
  <c r="K374" i="6"/>
  <c r="N399" i="6"/>
  <c r="L399" i="6"/>
  <c r="K399" i="6"/>
  <c r="I170" i="10" s="1"/>
  <c r="M399" i="6"/>
  <c r="N403" i="6"/>
  <c r="K403" i="6"/>
  <c r="M403" i="6"/>
  <c r="L403" i="6"/>
  <c r="N415" i="6"/>
  <c r="L415" i="6"/>
  <c r="K415" i="6"/>
  <c r="M415" i="6"/>
  <c r="K416" i="6"/>
  <c r="I199" i="10" s="1"/>
  <c r="L416" i="6"/>
  <c r="M416" i="6"/>
  <c r="L437" i="6"/>
  <c r="M437" i="6"/>
  <c r="K437" i="6"/>
  <c r="N437" i="6"/>
  <c r="K459" i="6"/>
  <c r="N459" i="6"/>
  <c r="L459" i="6"/>
  <c r="M459" i="6"/>
  <c r="K495" i="6"/>
  <c r="N495" i="6"/>
  <c r="M495" i="6"/>
  <c r="L495" i="6"/>
  <c r="L496" i="6"/>
  <c r="K496" i="6"/>
  <c r="N496" i="6"/>
  <c r="M496" i="6"/>
  <c r="K523" i="6"/>
  <c r="N523" i="6"/>
  <c r="L523" i="6"/>
  <c r="M523" i="6"/>
  <c r="K555" i="6"/>
  <c r="N555" i="6"/>
  <c r="L555" i="6"/>
  <c r="M120" i="6"/>
  <c r="M124" i="6"/>
  <c r="M128" i="6"/>
  <c r="M132" i="6"/>
  <c r="M136" i="6"/>
  <c r="M140" i="6"/>
  <c r="M144" i="6"/>
  <c r="M148" i="6"/>
  <c r="M152" i="6"/>
  <c r="M156" i="6"/>
  <c r="M160" i="6"/>
  <c r="M164" i="6"/>
  <c r="M168" i="6"/>
  <c r="M172" i="6"/>
  <c r="M176" i="6"/>
  <c r="M180" i="6"/>
  <c r="M184" i="6"/>
  <c r="M188" i="6"/>
  <c r="M192" i="6"/>
  <c r="M196" i="6"/>
  <c r="M200" i="6"/>
  <c r="M204" i="6"/>
  <c r="M208" i="6"/>
  <c r="M212" i="6"/>
  <c r="M216" i="6"/>
  <c r="M220" i="6"/>
  <c r="M224" i="6"/>
  <c r="M228" i="6"/>
  <c r="M232" i="6"/>
  <c r="M236" i="6"/>
  <c r="M240" i="6"/>
  <c r="M244" i="6"/>
  <c r="M248" i="6"/>
  <c r="M252" i="6"/>
  <c r="M256" i="6"/>
  <c r="M260" i="6"/>
  <c r="M264" i="6"/>
  <c r="M268" i="6"/>
  <c r="M272" i="6"/>
  <c r="M276" i="6"/>
  <c r="M280" i="6"/>
  <c r="M284" i="6"/>
  <c r="M288" i="6"/>
  <c r="M292" i="6"/>
  <c r="M296" i="6"/>
  <c r="M300" i="6"/>
  <c r="M304" i="6"/>
  <c r="M308" i="6"/>
  <c r="M312" i="6"/>
  <c r="M316" i="6"/>
  <c r="M320" i="6"/>
  <c r="M324" i="6"/>
  <c r="M328" i="6"/>
  <c r="M332" i="6"/>
  <c r="N336" i="6"/>
  <c r="N343" i="6"/>
  <c r="M346" i="6"/>
  <c r="N352" i="6"/>
  <c r="N359" i="6"/>
  <c r="M362" i="6"/>
  <c r="N368" i="6"/>
  <c r="M372" i="6"/>
  <c r="N375" i="6"/>
  <c r="M378" i="6"/>
  <c r="K380" i="6"/>
  <c r="L380" i="6"/>
  <c r="N383" i="6"/>
  <c r="K383" i="6"/>
  <c r="K400" i="6"/>
  <c r="L400" i="6"/>
  <c r="K412" i="6"/>
  <c r="M412" i="6"/>
  <c r="L412" i="6"/>
  <c r="L421" i="6"/>
  <c r="M421" i="6"/>
  <c r="K421" i="6"/>
  <c r="L425" i="6"/>
  <c r="K425" i="6"/>
  <c r="N435" i="6"/>
  <c r="K435" i="6"/>
  <c r="K447" i="6"/>
  <c r="N447" i="6"/>
  <c r="M447" i="6"/>
  <c r="L447" i="6"/>
  <c r="L460" i="6"/>
  <c r="K460" i="6"/>
  <c r="C65" i="4" s="1"/>
  <c r="D65" i="4" s="1"/>
  <c r="E65" i="4" s="1"/>
  <c r="F65" i="4" s="1"/>
  <c r="M460" i="6"/>
  <c r="K479" i="6"/>
  <c r="N479" i="6"/>
  <c r="M479" i="6"/>
  <c r="L479" i="6"/>
  <c r="L492" i="6"/>
  <c r="K492" i="6"/>
  <c r="M492" i="6"/>
  <c r="K511" i="6"/>
  <c r="N511" i="6"/>
  <c r="M511" i="6"/>
  <c r="L511" i="6"/>
  <c r="L524" i="6"/>
  <c r="K524" i="6"/>
  <c r="M524" i="6"/>
  <c r="K543" i="6"/>
  <c r="N543" i="6"/>
  <c r="M543" i="6"/>
  <c r="L543" i="6"/>
  <c r="M334" i="6"/>
  <c r="N340" i="6"/>
  <c r="N347" i="6"/>
  <c r="M350" i="6"/>
  <c r="N356" i="6"/>
  <c r="N363" i="6"/>
  <c r="M366" i="6"/>
  <c r="N372" i="6"/>
  <c r="N379" i="6"/>
  <c r="L379" i="6"/>
  <c r="L385" i="6"/>
  <c r="M385" i="6"/>
  <c r="K396" i="6"/>
  <c r="I168" i="10" s="1"/>
  <c r="M396" i="6"/>
  <c r="L396" i="6"/>
  <c r="L405" i="6"/>
  <c r="M405" i="6"/>
  <c r="K405" i="6"/>
  <c r="I173" i="10" s="1"/>
  <c r="L409" i="6"/>
  <c r="K409" i="6"/>
  <c r="N419" i="6"/>
  <c r="K419" i="6"/>
  <c r="I201" i="10" s="1"/>
  <c r="N431" i="6"/>
  <c r="L431" i="6"/>
  <c r="K431" i="6"/>
  <c r="L448" i="6"/>
  <c r="K448" i="6"/>
  <c r="I180" i="10" s="1"/>
  <c r="N448" i="6"/>
  <c r="M448" i="6"/>
  <c r="K475" i="6"/>
  <c r="N475" i="6"/>
  <c r="L475" i="6"/>
  <c r="L480" i="6"/>
  <c r="K480" i="6"/>
  <c r="I187" i="10" s="1"/>
  <c r="N480" i="6"/>
  <c r="M480" i="6"/>
  <c r="K507" i="6"/>
  <c r="N507" i="6"/>
  <c r="L507" i="6"/>
  <c r="L512" i="6"/>
  <c r="K512" i="6"/>
  <c r="N512" i="6"/>
  <c r="M512" i="6"/>
  <c r="K539" i="6"/>
  <c r="N539" i="6"/>
  <c r="L539" i="6"/>
  <c r="L544" i="6"/>
  <c r="K544" i="6"/>
  <c r="N544" i="6"/>
  <c r="M544" i="6"/>
  <c r="M555" i="6"/>
  <c r="N381" i="6"/>
  <c r="N388" i="6"/>
  <c r="M391" i="6"/>
  <c r="N397" i="6"/>
  <c r="N404" i="6"/>
  <c r="M407" i="6"/>
  <c r="N413" i="6"/>
  <c r="N420" i="6"/>
  <c r="M423" i="6"/>
  <c r="N429" i="6"/>
  <c r="N436" i="6"/>
  <c r="M439" i="6"/>
  <c r="K455" i="6"/>
  <c r="N455" i="6"/>
  <c r="L456" i="6"/>
  <c r="K456" i="6"/>
  <c r="K471" i="6"/>
  <c r="N471" i="6"/>
  <c r="L472" i="6"/>
  <c r="K472" i="6"/>
  <c r="K487" i="6"/>
  <c r="N487" i="6"/>
  <c r="L488" i="6"/>
  <c r="K488" i="6"/>
  <c r="K503" i="6"/>
  <c r="N503" i="6"/>
  <c r="L504" i="6"/>
  <c r="K504" i="6"/>
  <c r="H238" i="10" s="1"/>
  <c r="K519" i="6"/>
  <c r="N519" i="6"/>
  <c r="L520" i="6"/>
  <c r="K520" i="6"/>
  <c r="P44" i="2" s="1"/>
  <c r="AC44" i="2" s="1"/>
  <c r="K535" i="6"/>
  <c r="N535" i="6"/>
  <c r="L536" i="6"/>
  <c r="K536" i="6"/>
  <c r="K551" i="6"/>
  <c r="N551" i="6"/>
  <c r="L552" i="6"/>
  <c r="K552" i="6"/>
  <c r="K567" i="6"/>
  <c r="N567" i="6"/>
  <c r="L568" i="6"/>
  <c r="K568" i="6"/>
  <c r="C71" i="4" s="1"/>
  <c r="D71" i="4" s="1"/>
  <c r="E71" i="4" s="1"/>
  <c r="F71" i="4" s="1"/>
  <c r="K583" i="6"/>
  <c r="N583" i="6"/>
  <c r="L584" i="6"/>
  <c r="K584" i="6"/>
  <c r="L591" i="6"/>
  <c r="M592" i="6"/>
  <c r="K599" i="6"/>
  <c r="N599" i="6"/>
  <c r="L600" i="6"/>
  <c r="K600" i="6"/>
  <c r="L607" i="6"/>
  <c r="M608" i="6"/>
  <c r="K615" i="6"/>
  <c r="N615" i="6"/>
  <c r="L616" i="6"/>
  <c r="K616" i="6"/>
  <c r="L623" i="6"/>
  <c r="M624" i="6"/>
  <c r="K631" i="6"/>
  <c r="N631" i="6"/>
  <c r="L632" i="6"/>
  <c r="K632" i="6"/>
  <c r="L639" i="6"/>
  <c r="M640" i="6"/>
  <c r="K647" i="6"/>
  <c r="N647" i="6"/>
  <c r="L648" i="6"/>
  <c r="K648" i="6"/>
  <c r="L655" i="6"/>
  <c r="M656" i="6"/>
  <c r="K663" i="6"/>
  <c r="N663" i="6"/>
  <c r="L664" i="6"/>
  <c r="K664" i="6"/>
  <c r="M672" i="6"/>
  <c r="K675" i="6"/>
  <c r="M675" i="6"/>
  <c r="L675" i="6"/>
  <c r="N682" i="6"/>
  <c r="K682" i="6"/>
  <c r="M688" i="6"/>
  <c r="K691" i="6"/>
  <c r="M691" i="6"/>
  <c r="L691" i="6"/>
  <c r="N698" i="6"/>
  <c r="K698" i="6"/>
  <c r="I273" i="10" s="1"/>
  <c r="M704" i="6"/>
  <c r="K707" i="6"/>
  <c r="I275" i="10" s="1"/>
  <c r="M707" i="6"/>
  <c r="L707" i="6"/>
  <c r="N714" i="6"/>
  <c r="K714" i="6"/>
  <c r="I276" i="10" s="1"/>
  <c r="M720" i="6"/>
  <c r="K723" i="6"/>
  <c r="M723" i="6"/>
  <c r="L723" i="6"/>
  <c r="N730" i="6"/>
  <c r="K730" i="6"/>
  <c r="M736" i="6"/>
  <c r="K739" i="6"/>
  <c r="M739" i="6"/>
  <c r="L739" i="6"/>
  <c r="N746" i="6"/>
  <c r="K746" i="6"/>
  <c r="I285" i="10" s="1"/>
  <c r="M752" i="6"/>
  <c r="K755" i="6"/>
  <c r="M755" i="6"/>
  <c r="L755" i="6"/>
  <c r="N762" i="6"/>
  <c r="K762" i="6"/>
  <c r="M768" i="6"/>
  <c r="K771" i="6"/>
  <c r="M771" i="6"/>
  <c r="L771" i="6"/>
  <c r="N778" i="6"/>
  <c r="K778" i="6"/>
  <c r="K790" i="6"/>
  <c r="N790" i="6"/>
  <c r="M790" i="6"/>
  <c r="L790" i="6"/>
  <c r="L791" i="6"/>
  <c r="K791" i="6"/>
  <c r="N791" i="6"/>
  <c r="M791" i="6"/>
  <c r="L814" i="6"/>
  <c r="K814" i="6"/>
  <c r="M814" i="6"/>
  <c r="N814" i="6"/>
  <c r="K869" i="6"/>
  <c r="L869" i="6"/>
  <c r="M869" i="6"/>
  <c r="N869" i="6"/>
  <c r="L878" i="6"/>
  <c r="K878" i="6"/>
  <c r="M878" i="6"/>
  <c r="N878" i="6"/>
  <c r="K927" i="6"/>
  <c r="L927" i="6"/>
  <c r="M927" i="6"/>
  <c r="N927" i="6"/>
  <c r="N392" i="6"/>
  <c r="M395" i="6"/>
  <c r="N401" i="6"/>
  <c r="N408" i="6"/>
  <c r="M411" i="6"/>
  <c r="N417" i="6"/>
  <c r="N424" i="6"/>
  <c r="M427" i="6"/>
  <c r="N433" i="6"/>
  <c r="N440" i="6"/>
  <c r="M443" i="6"/>
  <c r="K451" i="6"/>
  <c r="N451" i="6"/>
  <c r="L452" i="6"/>
  <c r="K452" i="6"/>
  <c r="K467" i="6"/>
  <c r="N467" i="6"/>
  <c r="L468" i="6"/>
  <c r="K468" i="6"/>
  <c r="K483" i="6"/>
  <c r="N483" i="6"/>
  <c r="L484" i="6"/>
  <c r="K484" i="6"/>
  <c r="K499" i="6"/>
  <c r="N499" i="6"/>
  <c r="L500" i="6"/>
  <c r="K500" i="6"/>
  <c r="K515" i="6"/>
  <c r="N515" i="6"/>
  <c r="L516" i="6"/>
  <c r="K516" i="6"/>
  <c r="I224" i="10" s="1"/>
  <c r="K531" i="6"/>
  <c r="N531" i="6"/>
  <c r="L532" i="6"/>
  <c r="K532" i="6"/>
  <c r="K547" i="6"/>
  <c r="H254" i="10" s="1"/>
  <c r="N547" i="6"/>
  <c r="L548" i="6"/>
  <c r="K548" i="6"/>
  <c r="I254" i="10" s="1"/>
  <c r="K563" i="6"/>
  <c r="N563" i="6"/>
  <c r="L564" i="6"/>
  <c r="K564" i="6"/>
  <c r="K579" i="6"/>
  <c r="N579" i="6"/>
  <c r="L580" i="6"/>
  <c r="K580" i="6"/>
  <c r="K595" i="6"/>
  <c r="N595" i="6"/>
  <c r="L596" i="6"/>
  <c r="K596" i="6"/>
  <c r="K611" i="6"/>
  <c r="I221" i="10" s="1"/>
  <c r="N611" i="6"/>
  <c r="L612" i="6"/>
  <c r="K612" i="6"/>
  <c r="K627" i="6"/>
  <c r="N627" i="6"/>
  <c r="L628" i="6"/>
  <c r="K628" i="6"/>
  <c r="K643" i="6"/>
  <c r="K48" i="2" s="1"/>
  <c r="X48" i="2" s="1"/>
  <c r="N643" i="6"/>
  <c r="L644" i="6"/>
  <c r="K644" i="6"/>
  <c r="L48" i="2" s="1"/>
  <c r="Y48" i="2" s="1"/>
  <c r="K659" i="6"/>
  <c r="H267" i="10" s="1"/>
  <c r="N659" i="6"/>
  <c r="L660" i="6"/>
  <c r="K660" i="6"/>
  <c r="K853" i="6"/>
  <c r="L853" i="6"/>
  <c r="M853" i="6"/>
  <c r="N853" i="6"/>
  <c r="L862" i="6"/>
  <c r="K862" i="6"/>
  <c r="M862" i="6"/>
  <c r="N862" i="6"/>
  <c r="K999" i="6"/>
  <c r="N999" i="6"/>
  <c r="L999" i="6"/>
  <c r="M999" i="6"/>
  <c r="K1031" i="6"/>
  <c r="N1031" i="6"/>
  <c r="L1031" i="6"/>
  <c r="M1031" i="6"/>
  <c r="K1063" i="6"/>
  <c r="N1063" i="6"/>
  <c r="L1063" i="6"/>
  <c r="M1063" i="6"/>
  <c r="K591" i="6"/>
  <c r="N591" i="6"/>
  <c r="L592" i="6"/>
  <c r="K592" i="6"/>
  <c r="K607" i="6"/>
  <c r="N607" i="6"/>
  <c r="L608" i="6"/>
  <c r="K608" i="6"/>
  <c r="K623" i="6"/>
  <c r="N623" i="6"/>
  <c r="L624" i="6"/>
  <c r="K624" i="6"/>
  <c r="K639" i="6"/>
  <c r="N639" i="6"/>
  <c r="L640" i="6"/>
  <c r="K640" i="6"/>
  <c r="K655" i="6"/>
  <c r="N655" i="6"/>
  <c r="L656" i="6"/>
  <c r="K656" i="6"/>
  <c r="L672" i="6"/>
  <c r="K672" i="6"/>
  <c r="C74" i="4" s="1"/>
  <c r="D74" i="4" s="1"/>
  <c r="E74" i="4" s="1"/>
  <c r="F74" i="4" s="1"/>
  <c r="N678" i="6"/>
  <c r="L678" i="6"/>
  <c r="K678" i="6"/>
  <c r="L688" i="6"/>
  <c r="K688" i="6"/>
  <c r="I269" i="10" s="1"/>
  <c r="N694" i="6"/>
  <c r="L694" i="6"/>
  <c r="K694" i="6"/>
  <c r="L704" i="6"/>
  <c r="K704" i="6"/>
  <c r="I274" i="10" s="1"/>
  <c r="N710" i="6"/>
  <c r="L710" i="6"/>
  <c r="K710" i="6"/>
  <c r="L720" i="6"/>
  <c r="K720" i="6"/>
  <c r="N726" i="6"/>
  <c r="L726" i="6"/>
  <c r="K726" i="6"/>
  <c r="L736" i="6"/>
  <c r="K736" i="6"/>
  <c r="I283" i="10" s="1"/>
  <c r="N742" i="6"/>
  <c r="L742" i="6"/>
  <c r="K742" i="6"/>
  <c r="L752" i="6"/>
  <c r="K752" i="6"/>
  <c r="N758" i="6"/>
  <c r="L758" i="6"/>
  <c r="K758" i="6"/>
  <c r="L768" i="6"/>
  <c r="K768" i="6"/>
  <c r="N774" i="6"/>
  <c r="L774" i="6"/>
  <c r="K774" i="6"/>
  <c r="K901" i="6"/>
  <c r="L901" i="6"/>
  <c r="M901" i="6"/>
  <c r="N901" i="6"/>
  <c r="L910" i="6"/>
  <c r="K910" i="6"/>
  <c r="M910" i="6"/>
  <c r="N910" i="6"/>
  <c r="L988" i="6"/>
  <c r="K988" i="6"/>
  <c r="N988" i="6"/>
  <c r="M988" i="6"/>
  <c r="L1020" i="6"/>
  <c r="K1020" i="6"/>
  <c r="N1020" i="6"/>
  <c r="M1020" i="6"/>
  <c r="L1052" i="6"/>
  <c r="K1052" i="6"/>
  <c r="N1052" i="6"/>
  <c r="M1052" i="6"/>
  <c r="L556" i="6"/>
  <c r="K556" i="6"/>
  <c r="K571" i="6"/>
  <c r="N571" i="6"/>
  <c r="L572" i="6"/>
  <c r="K572" i="6"/>
  <c r="K587" i="6"/>
  <c r="N587" i="6"/>
  <c r="L588" i="6"/>
  <c r="K588" i="6"/>
  <c r="K603" i="6"/>
  <c r="N603" i="6"/>
  <c r="L604" i="6"/>
  <c r="K604" i="6"/>
  <c r="L611" i="6"/>
  <c r="M612" i="6"/>
  <c r="M615" i="6"/>
  <c r="N616" i="6"/>
  <c r="K619" i="6"/>
  <c r="N619" i="6"/>
  <c r="L620" i="6"/>
  <c r="K620" i="6"/>
  <c r="L627" i="6"/>
  <c r="M628" i="6"/>
  <c r="M631" i="6"/>
  <c r="N632" i="6"/>
  <c r="K635" i="6"/>
  <c r="N635" i="6"/>
  <c r="L636" i="6"/>
  <c r="K636" i="6"/>
  <c r="L643" i="6"/>
  <c r="M644" i="6"/>
  <c r="M647" i="6"/>
  <c r="N648" i="6"/>
  <c r="K651" i="6"/>
  <c r="N651" i="6"/>
  <c r="L652" i="6"/>
  <c r="K652" i="6"/>
  <c r="H263" i="10" s="1"/>
  <c r="L659" i="6"/>
  <c r="M660" i="6"/>
  <c r="M663" i="6"/>
  <c r="N664" i="6"/>
  <c r="K667" i="6"/>
  <c r="N667" i="6"/>
  <c r="L668" i="6"/>
  <c r="M668" i="6"/>
  <c r="K668" i="6"/>
  <c r="K679" i="6"/>
  <c r="L679" i="6"/>
  <c r="M682" i="6"/>
  <c r="L684" i="6"/>
  <c r="M684" i="6"/>
  <c r="K684" i="6"/>
  <c r="K695" i="6"/>
  <c r="H273" i="10" s="1"/>
  <c r="L695" i="6"/>
  <c r="M698" i="6"/>
  <c r="L700" i="6"/>
  <c r="M700" i="6"/>
  <c r="K700" i="6"/>
  <c r="K711" i="6"/>
  <c r="L711" i="6"/>
  <c r="M714" i="6"/>
  <c r="L716" i="6"/>
  <c r="M716" i="6"/>
  <c r="K716" i="6"/>
  <c r="K727" i="6"/>
  <c r="L727" i="6"/>
  <c r="M730" i="6"/>
  <c r="L732" i="6"/>
  <c r="M732" i="6"/>
  <c r="K732" i="6"/>
  <c r="K743" i="6"/>
  <c r="L743" i="6"/>
  <c r="M746" i="6"/>
  <c r="L748" i="6"/>
  <c r="M748" i="6"/>
  <c r="K748" i="6"/>
  <c r="I286" i="10" s="1"/>
  <c r="K759" i="6"/>
  <c r="L759" i="6"/>
  <c r="M762" i="6"/>
  <c r="L764" i="6"/>
  <c r="M764" i="6"/>
  <c r="K764" i="6"/>
  <c r="K775" i="6"/>
  <c r="L775" i="6"/>
  <c r="M778" i="6"/>
  <c r="N808" i="6"/>
  <c r="K808" i="6"/>
  <c r="L808" i="6"/>
  <c r="M808" i="6"/>
  <c r="K885" i="6"/>
  <c r="L885" i="6"/>
  <c r="M885" i="6"/>
  <c r="N885" i="6"/>
  <c r="L894" i="6"/>
  <c r="K894" i="6"/>
  <c r="M894" i="6"/>
  <c r="N894" i="6"/>
  <c r="L1097" i="6"/>
  <c r="K1097" i="6"/>
  <c r="N1097" i="6"/>
  <c r="M1097" i="6"/>
  <c r="K786" i="6"/>
  <c r="I295" i="10" s="1"/>
  <c r="N786" i="6"/>
  <c r="L787" i="6"/>
  <c r="K787" i="6"/>
  <c r="I296" i="10" s="1"/>
  <c r="K805" i="6"/>
  <c r="L805" i="6"/>
  <c r="M805" i="6"/>
  <c r="N824" i="6"/>
  <c r="K824" i="6"/>
  <c r="L824" i="6"/>
  <c r="L830" i="6"/>
  <c r="K830" i="6"/>
  <c r="M830" i="6"/>
  <c r="N930" i="6"/>
  <c r="K930" i="6"/>
  <c r="L930" i="6"/>
  <c r="M930" i="6"/>
  <c r="L445" i="6"/>
  <c r="L449" i="6"/>
  <c r="L453" i="6"/>
  <c r="L457" i="6"/>
  <c r="L461" i="6"/>
  <c r="L465" i="6"/>
  <c r="L469" i="6"/>
  <c r="L473" i="6"/>
  <c r="L477" i="6"/>
  <c r="L481" i="6"/>
  <c r="L485" i="6"/>
  <c r="L489" i="6"/>
  <c r="L493" i="6"/>
  <c r="L497" i="6"/>
  <c r="L501" i="6"/>
  <c r="L505" i="6"/>
  <c r="L509" i="6"/>
  <c r="L513" i="6"/>
  <c r="L517" i="6"/>
  <c r="L521" i="6"/>
  <c r="L525" i="6"/>
  <c r="L529" i="6"/>
  <c r="L533" i="6"/>
  <c r="L537" i="6"/>
  <c r="L541" i="6"/>
  <c r="L545" i="6"/>
  <c r="L549" i="6"/>
  <c r="L553" i="6"/>
  <c r="L557" i="6"/>
  <c r="L561" i="6"/>
  <c r="L565" i="6"/>
  <c r="L569" i="6"/>
  <c r="L573" i="6"/>
  <c r="L577" i="6"/>
  <c r="L581" i="6"/>
  <c r="L585" i="6"/>
  <c r="L589" i="6"/>
  <c r="L593" i="6"/>
  <c r="L597" i="6"/>
  <c r="L601" i="6"/>
  <c r="L605" i="6"/>
  <c r="L609" i="6"/>
  <c r="L613" i="6"/>
  <c r="L617" i="6"/>
  <c r="L621" i="6"/>
  <c r="L625" i="6"/>
  <c r="L629" i="6"/>
  <c r="L633" i="6"/>
  <c r="L637" i="6"/>
  <c r="L641" i="6"/>
  <c r="L645" i="6"/>
  <c r="L649" i="6"/>
  <c r="L653" i="6"/>
  <c r="L657" i="6"/>
  <c r="L661" i="6"/>
  <c r="L665" i="6"/>
  <c r="M670" i="6"/>
  <c r="M671" i="6"/>
  <c r="L674" i="6"/>
  <c r="N676" i="6"/>
  <c r="M680" i="6"/>
  <c r="N683" i="6"/>
  <c r="M686" i="6"/>
  <c r="M687" i="6"/>
  <c r="L690" i="6"/>
  <c r="N692" i="6"/>
  <c r="M696" i="6"/>
  <c r="N699" i="6"/>
  <c r="M702" i="6"/>
  <c r="M703" i="6"/>
  <c r="L706" i="6"/>
  <c r="N708" i="6"/>
  <c r="M712" i="6"/>
  <c r="N715" i="6"/>
  <c r="M718" i="6"/>
  <c r="M719" i="6"/>
  <c r="L722" i="6"/>
  <c r="N724" i="6"/>
  <c r="M728" i="6"/>
  <c r="N731" i="6"/>
  <c r="M734" i="6"/>
  <c r="M735" i="6"/>
  <c r="L738" i="6"/>
  <c r="N740" i="6"/>
  <c r="M744" i="6"/>
  <c r="N747" i="6"/>
  <c r="M750" i="6"/>
  <c r="M751" i="6"/>
  <c r="L754" i="6"/>
  <c r="N756" i="6"/>
  <c r="M760" i="6"/>
  <c r="N763" i="6"/>
  <c r="M766" i="6"/>
  <c r="M767" i="6"/>
  <c r="L770" i="6"/>
  <c r="N772" i="6"/>
  <c r="M776" i="6"/>
  <c r="N779" i="6"/>
  <c r="K782" i="6"/>
  <c r="N782" i="6"/>
  <c r="L783" i="6"/>
  <c r="K783" i="6"/>
  <c r="K798" i="6"/>
  <c r="N798" i="6"/>
  <c r="L799" i="6"/>
  <c r="K799" i="6"/>
  <c r="I311" i="10" s="1"/>
  <c r="M799" i="6"/>
  <c r="K821" i="6"/>
  <c r="L821" i="6"/>
  <c r="M821" i="6"/>
  <c r="N840" i="6"/>
  <c r="K840" i="6"/>
  <c r="L840" i="6"/>
  <c r="L846" i="6"/>
  <c r="K846" i="6"/>
  <c r="M846" i="6"/>
  <c r="K983" i="6"/>
  <c r="N983" i="6"/>
  <c r="L983" i="6"/>
  <c r="M983" i="6"/>
  <c r="L1004" i="6"/>
  <c r="K1004" i="6"/>
  <c r="I376" i="10" s="1"/>
  <c r="N1004" i="6"/>
  <c r="M1004" i="6"/>
  <c r="K1015" i="6"/>
  <c r="N1015" i="6"/>
  <c r="L1015" i="6"/>
  <c r="M1015" i="6"/>
  <c r="L1036" i="6"/>
  <c r="K1036" i="6"/>
  <c r="N1036" i="6"/>
  <c r="M1036" i="6"/>
  <c r="K1047" i="6"/>
  <c r="N1047" i="6"/>
  <c r="L1047" i="6"/>
  <c r="M1047" i="6"/>
  <c r="N671" i="6"/>
  <c r="M674" i="6"/>
  <c r="N680" i="6"/>
  <c r="N687" i="6"/>
  <c r="M690" i="6"/>
  <c r="N696" i="6"/>
  <c r="N703" i="6"/>
  <c r="M706" i="6"/>
  <c r="N712" i="6"/>
  <c r="N719" i="6"/>
  <c r="M722" i="6"/>
  <c r="N728" i="6"/>
  <c r="N735" i="6"/>
  <c r="M738" i="6"/>
  <c r="N744" i="6"/>
  <c r="N751" i="6"/>
  <c r="M754" i="6"/>
  <c r="N760" i="6"/>
  <c r="N767" i="6"/>
  <c r="M770" i="6"/>
  <c r="N776" i="6"/>
  <c r="L786" i="6"/>
  <c r="M787" i="6"/>
  <c r="K794" i="6"/>
  <c r="N794" i="6"/>
  <c r="L795" i="6"/>
  <c r="K795" i="6"/>
  <c r="N805" i="6"/>
  <c r="M824" i="6"/>
  <c r="N830" i="6"/>
  <c r="K837" i="6"/>
  <c r="L837" i="6"/>
  <c r="M837" i="6"/>
  <c r="N856" i="6"/>
  <c r="K856" i="6"/>
  <c r="L856" i="6"/>
  <c r="N872" i="6"/>
  <c r="K872" i="6"/>
  <c r="L872" i="6"/>
  <c r="N888" i="6"/>
  <c r="K888" i="6"/>
  <c r="L888" i="6"/>
  <c r="N904" i="6"/>
  <c r="K904" i="6"/>
  <c r="L904" i="6"/>
  <c r="N801" i="6"/>
  <c r="M804" i="6"/>
  <c r="N810" i="6"/>
  <c r="N817" i="6"/>
  <c r="M820" i="6"/>
  <c r="N826" i="6"/>
  <c r="N833" i="6"/>
  <c r="M836" i="6"/>
  <c r="N842" i="6"/>
  <c r="N849" i="6"/>
  <c r="M852" i="6"/>
  <c r="N858" i="6"/>
  <c r="N865" i="6"/>
  <c r="M868" i="6"/>
  <c r="N874" i="6"/>
  <c r="N881" i="6"/>
  <c r="M884" i="6"/>
  <c r="N890" i="6"/>
  <c r="N897" i="6"/>
  <c r="M900" i="6"/>
  <c r="N906" i="6"/>
  <c r="N913" i="6"/>
  <c r="L916" i="6"/>
  <c r="M916" i="6"/>
  <c r="L920" i="6"/>
  <c r="K920" i="6"/>
  <c r="K923" i="6"/>
  <c r="M923" i="6"/>
  <c r="N924" i="6"/>
  <c r="N931" i="6"/>
  <c r="N934" i="6"/>
  <c r="K934" i="6"/>
  <c r="K943" i="6"/>
  <c r="M943" i="6"/>
  <c r="L943" i="6"/>
  <c r="N950" i="6"/>
  <c r="K950" i="6"/>
  <c r="K959" i="6"/>
  <c r="M959" i="6"/>
  <c r="L959" i="6"/>
  <c r="N966" i="6"/>
  <c r="K966" i="6"/>
  <c r="K975" i="6"/>
  <c r="M975" i="6"/>
  <c r="L975" i="6"/>
  <c r="K987" i="6"/>
  <c r="N987" i="6"/>
  <c r="M987" i="6"/>
  <c r="L987" i="6"/>
  <c r="K1003" i="6"/>
  <c r="N1003" i="6"/>
  <c r="M1003" i="6"/>
  <c r="L1003" i="6"/>
  <c r="K1019" i="6"/>
  <c r="N1019" i="6"/>
  <c r="M1019" i="6"/>
  <c r="L1019" i="6"/>
  <c r="K1035" i="6"/>
  <c r="H388" i="10" s="1"/>
  <c r="J388" i="10" s="1"/>
  <c r="K388" i="10" s="1"/>
  <c r="N1035" i="6"/>
  <c r="M1035" i="6"/>
  <c r="L1035" i="6"/>
  <c r="K1051" i="6"/>
  <c r="N1051" i="6"/>
  <c r="M1051" i="6"/>
  <c r="L1051" i="6"/>
  <c r="K1092" i="6"/>
  <c r="N1092" i="6"/>
  <c r="L1092" i="6"/>
  <c r="M1092" i="6"/>
  <c r="L1093" i="6"/>
  <c r="K1093" i="6"/>
  <c r="M1093" i="6"/>
  <c r="N1093" i="6"/>
  <c r="L780" i="6"/>
  <c r="L784" i="6"/>
  <c r="L788" i="6"/>
  <c r="L792" i="6"/>
  <c r="L796" i="6"/>
  <c r="L800" i="6"/>
  <c r="L801" i="6"/>
  <c r="N802" i="6"/>
  <c r="K804" i="6"/>
  <c r="I313" i="10" s="1"/>
  <c r="M806" i="6"/>
  <c r="N809" i="6"/>
  <c r="K810" i="6"/>
  <c r="I317" i="10" s="1"/>
  <c r="M812" i="6"/>
  <c r="M813" i="6"/>
  <c r="L816" i="6"/>
  <c r="L817" i="6"/>
  <c r="N818" i="6"/>
  <c r="K820" i="6"/>
  <c r="M822" i="6"/>
  <c r="N825" i="6"/>
  <c r="K826" i="6"/>
  <c r="M828" i="6"/>
  <c r="M829" i="6"/>
  <c r="L832" i="6"/>
  <c r="L833" i="6"/>
  <c r="N834" i="6"/>
  <c r="K836" i="6"/>
  <c r="M838" i="6"/>
  <c r="N841" i="6"/>
  <c r="K842" i="6"/>
  <c r="M844" i="6"/>
  <c r="M845" i="6"/>
  <c r="L848" i="6"/>
  <c r="L849" i="6"/>
  <c r="N850" i="6"/>
  <c r="K852" i="6"/>
  <c r="M854" i="6"/>
  <c r="N857" i="6"/>
  <c r="K858" i="6"/>
  <c r="H330" i="10" s="1"/>
  <c r="M860" i="6"/>
  <c r="M861" i="6"/>
  <c r="L864" i="6"/>
  <c r="L865" i="6"/>
  <c r="N866" i="6"/>
  <c r="K868" i="6"/>
  <c r="H338" i="10" s="1"/>
  <c r="M870" i="6"/>
  <c r="N873" i="6"/>
  <c r="K874" i="6"/>
  <c r="M876" i="6"/>
  <c r="M877" i="6"/>
  <c r="L880" i="6"/>
  <c r="L881" i="6"/>
  <c r="N882" i="6"/>
  <c r="K884" i="6"/>
  <c r="M886" i="6"/>
  <c r="N889" i="6"/>
  <c r="K890" i="6"/>
  <c r="M892" i="6"/>
  <c r="M893" i="6"/>
  <c r="L896" i="6"/>
  <c r="L897" i="6"/>
  <c r="N898" i="6"/>
  <c r="K900" i="6"/>
  <c r="M902" i="6"/>
  <c r="N905" i="6"/>
  <c r="K906" i="6"/>
  <c r="M908" i="6"/>
  <c r="M909" i="6"/>
  <c r="L912" i="6"/>
  <c r="L913" i="6"/>
  <c r="N914" i="6"/>
  <c r="N915" i="6"/>
  <c r="K916" i="6"/>
  <c r="L918" i="6"/>
  <c r="M920" i="6"/>
  <c r="L923" i="6"/>
  <c r="K924" i="6"/>
  <c r="N926" i="6"/>
  <c r="L926" i="6"/>
  <c r="L931" i="6"/>
  <c r="L932" i="6"/>
  <c r="M932" i="6"/>
  <c r="L934" i="6"/>
  <c r="L940" i="6"/>
  <c r="K940" i="6"/>
  <c r="N943" i="6"/>
  <c r="N946" i="6"/>
  <c r="L946" i="6"/>
  <c r="K946" i="6"/>
  <c r="L950" i="6"/>
  <c r="L956" i="6"/>
  <c r="K956" i="6"/>
  <c r="N959" i="6"/>
  <c r="N962" i="6"/>
  <c r="L962" i="6"/>
  <c r="K962" i="6"/>
  <c r="L966" i="6"/>
  <c r="L972" i="6"/>
  <c r="K972" i="6"/>
  <c r="AI46" i="3" s="1"/>
  <c r="N975" i="6"/>
  <c r="L984" i="6"/>
  <c r="K984" i="6"/>
  <c r="M984" i="6"/>
  <c r="L1000" i="6"/>
  <c r="K1000" i="6"/>
  <c r="M1000" i="6"/>
  <c r="L1016" i="6"/>
  <c r="K1016" i="6"/>
  <c r="M1016" i="6"/>
  <c r="L1032" i="6"/>
  <c r="K1032" i="6"/>
  <c r="H380" i="10" s="1"/>
  <c r="M1032" i="6"/>
  <c r="L1048" i="6"/>
  <c r="K1048" i="6"/>
  <c r="M1048" i="6"/>
  <c r="L1064" i="6"/>
  <c r="K1064" i="6"/>
  <c r="M1064" i="6"/>
  <c r="K1108" i="6"/>
  <c r="N1108" i="6"/>
  <c r="L1108" i="6"/>
  <c r="M1108" i="6"/>
  <c r="L1109" i="6"/>
  <c r="K1109" i="6"/>
  <c r="M1109" i="6"/>
  <c r="N1109" i="6"/>
  <c r="M800" i="6"/>
  <c r="M801" i="6"/>
  <c r="L804" i="6"/>
  <c r="N806" i="6"/>
  <c r="M810" i="6"/>
  <c r="N813" i="6"/>
  <c r="M816" i="6"/>
  <c r="M817" i="6"/>
  <c r="L820" i="6"/>
  <c r="N822" i="6"/>
  <c r="M826" i="6"/>
  <c r="N829" i="6"/>
  <c r="M832" i="6"/>
  <c r="M833" i="6"/>
  <c r="L836" i="6"/>
  <c r="N838" i="6"/>
  <c r="M842" i="6"/>
  <c r="N845" i="6"/>
  <c r="M848" i="6"/>
  <c r="M849" i="6"/>
  <c r="L852" i="6"/>
  <c r="N854" i="6"/>
  <c r="N861" i="6"/>
  <c r="M864" i="6"/>
  <c r="N870" i="6"/>
  <c r="N877" i="6"/>
  <c r="M880" i="6"/>
  <c r="N886" i="6"/>
  <c r="N893" i="6"/>
  <c r="M896" i="6"/>
  <c r="N902" i="6"/>
  <c r="N909" i="6"/>
  <c r="M912" i="6"/>
  <c r="M913" i="6"/>
  <c r="N916" i="6"/>
  <c r="M918" i="6"/>
  <c r="N920" i="6"/>
  <c r="N923" i="6"/>
  <c r="M924" i="6"/>
  <c r="M931" i="6"/>
  <c r="M934" i="6"/>
  <c r="L936" i="6"/>
  <c r="M936" i="6"/>
  <c r="K936" i="6"/>
  <c r="K947" i="6"/>
  <c r="H362" i="10" s="1"/>
  <c r="L947" i="6"/>
  <c r="M950" i="6"/>
  <c r="L952" i="6"/>
  <c r="M952" i="6"/>
  <c r="K952" i="6"/>
  <c r="K963" i="6"/>
  <c r="AI43" i="3" s="1"/>
  <c r="L963" i="6"/>
  <c r="M966" i="6"/>
  <c r="L968" i="6"/>
  <c r="M968" i="6"/>
  <c r="K968" i="6"/>
  <c r="N1068" i="6"/>
  <c r="L1068" i="6"/>
  <c r="K1068" i="6"/>
  <c r="I398" i="10" s="1"/>
  <c r="M1068" i="6"/>
  <c r="N1072" i="6"/>
  <c r="K1072" i="6"/>
  <c r="H402" i="10" s="1"/>
  <c r="J402" i="10" s="1"/>
  <c r="K402" i="10" s="1"/>
  <c r="M1072" i="6"/>
  <c r="L1072" i="6"/>
  <c r="N919" i="6"/>
  <c r="M922" i="6"/>
  <c r="N928" i="6"/>
  <c r="N935" i="6"/>
  <c r="M938" i="6"/>
  <c r="M939" i="6"/>
  <c r="L942" i="6"/>
  <c r="N944" i="6"/>
  <c r="M948" i="6"/>
  <c r="N951" i="6"/>
  <c r="M954" i="6"/>
  <c r="M955" i="6"/>
  <c r="L958" i="6"/>
  <c r="N960" i="6"/>
  <c r="M964" i="6"/>
  <c r="N967" i="6"/>
  <c r="M970" i="6"/>
  <c r="M971" i="6"/>
  <c r="L974" i="6"/>
  <c r="N976" i="6"/>
  <c r="K979" i="6"/>
  <c r="N979" i="6"/>
  <c r="L980" i="6"/>
  <c r="K980" i="6"/>
  <c r="K995" i="6"/>
  <c r="I374" i="10" s="1"/>
  <c r="N995" i="6"/>
  <c r="L996" i="6"/>
  <c r="K996" i="6"/>
  <c r="K1011" i="6"/>
  <c r="I370" i="10" s="1"/>
  <c r="N1011" i="6"/>
  <c r="L1012" i="6"/>
  <c r="K1012" i="6"/>
  <c r="K1027" i="6"/>
  <c r="N1027" i="6"/>
  <c r="L1028" i="6"/>
  <c r="K1028" i="6"/>
  <c r="I386" i="10" s="1"/>
  <c r="K1043" i="6"/>
  <c r="N1043" i="6"/>
  <c r="L1044" i="6"/>
  <c r="K1044" i="6"/>
  <c r="I382" i="10" s="1"/>
  <c r="K1059" i="6"/>
  <c r="N1059" i="6"/>
  <c r="L1060" i="6"/>
  <c r="K1060" i="6"/>
  <c r="K1069" i="6"/>
  <c r="L1069" i="6"/>
  <c r="K1081" i="6"/>
  <c r="M1081" i="6"/>
  <c r="L1081" i="6"/>
  <c r="L1117" i="6"/>
  <c r="K1117" i="6"/>
  <c r="N1117" i="6"/>
  <c r="M1117" i="6"/>
  <c r="L1125" i="6"/>
  <c r="K1125" i="6"/>
  <c r="H104" i="10" s="1"/>
  <c r="N1125" i="6"/>
  <c r="M1125" i="6"/>
  <c r="N939" i="6"/>
  <c r="M942" i="6"/>
  <c r="N948" i="6"/>
  <c r="N955" i="6"/>
  <c r="M958" i="6"/>
  <c r="N964" i="6"/>
  <c r="N971" i="6"/>
  <c r="M974" i="6"/>
  <c r="K991" i="6"/>
  <c r="N991" i="6"/>
  <c r="L992" i="6"/>
  <c r="K992" i="6"/>
  <c r="K1007" i="6"/>
  <c r="H370" i="10" s="1"/>
  <c r="N1007" i="6"/>
  <c r="L1008" i="6"/>
  <c r="K1008" i="6"/>
  <c r="K1023" i="6"/>
  <c r="N1023" i="6"/>
  <c r="L1024" i="6"/>
  <c r="K1024" i="6"/>
  <c r="K1039" i="6"/>
  <c r="H382" i="10" s="1"/>
  <c r="J382" i="10" s="1"/>
  <c r="K382" i="10" s="1"/>
  <c r="N1039" i="6"/>
  <c r="L1040" i="6"/>
  <c r="K1040" i="6"/>
  <c r="K1055" i="6"/>
  <c r="I390" i="10" s="1"/>
  <c r="N1055" i="6"/>
  <c r="L1056" i="6"/>
  <c r="K1056" i="6"/>
  <c r="L1074" i="6"/>
  <c r="M1074" i="6"/>
  <c r="K1074" i="6"/>
  <c r="L1078" i="6"/>
  <c r="K1078" i="6"/>
  <c r="K1096" i="6"/>
  <c r="I406" i="10" s="1"/>
  <c r="N1096" i="6"/>
  <c r="M1096" i="6"/>
  <c r="L1096" i="6"/>
  <c r="M978" i="6"/>
  <c r="M982" i="6"/>
  <c r="M986" i="6"/>
  <c r="M990" i="6"/>
  <c r="M994" i="6"/>
  <c r="M998" i="6"/>
  <c r="M1002" i="6"/>
  <c r="M1006" i="6"/>
  <c r="M1010" i="6"/>
  <c r="M1014" i="6"/>
  <c r="M1018" i="6"/>
  <c r="M1022" i="6"/>
  <c r="M1026" i="6"/>
  <c r="M1030" i="6"/>
  <c r="M1034" i="6"/>
  <c r="M1038" i="6"/>
  <c r="M1042" i="6"/>
  <c r="M1046" i="6"/>
  <c r="M1050" i="6"/>
  <c r="M1054" i="6"/>
  <c r="M1058" i="6"/>
  <c r="M1062" i="6"/>
  <c r="N1066" i="6"/>
  <c r="N1073" i="6"/>
  <c r="M1076" i="6"/>
  <c r="N1082" i="6"/>
  <c r="K1088" i="6"/>
  <c r="N1088" i="6"/>
  <c r="L1089" i="6"/>
  <c r="K1089" i="6"/>
  <c r="K1104" i="6"/>
  <c r="I410" i="10" s="1"/>
  <c r="N1104" i="6"/>
  <c r="L1105" i="6"/>
  <c r="K1105" i="6"/>
  <c r="L1113" i="6"/>
  <c r="K1113" i="6"/>
  <c r="N1113" i="6"/>
  <c r="L1121" i="6"/>
  <c r="K1121" i="6"/>
  <c r="N1121" i="6"/>
  <c r="N1070" i="6"/>
  <c r="N1077" i="6"/>
  <c r="M1080" i="6"/>
  <c r="K1084" i="6"/>
  <c r="N1084" i="6"/>
  <c r="L1085" i="6"/>
  <c r="K1085" i="6"/>
  <c r="K1100" i="6"/>
  <c r="I408" i="10" s="1"/>
  <c r="N1100" i="6"/>
  <c r="L1101" i="6"/>
  <c r="K1101" i="6"/>
  <c r="H2" i="10"/>
  <c r="J2" i="10" s="1"/>
  <c r="K2" i="10" s="1"/>
  <c r="H4" i="10"/>
  <c r="H6" i="10"/>
  <c r="H8" i="10"/>
  <c r="H10" i="10"/>
  <c r="J10" i="10" s="1"/>
  <c r="K10" i="10" s="1"/>
  <c r="H12" i="10"/>
  <c r="J12" i="10" s="1"/>
  <c r="K12" i="10" s="1"/>
  <c r="K78" i="10"/>
  <c r="L1111" i="6"/>
  <c r="K1114" i="6"/>
  <c r="L1115" i="6"/>
  <c r="K1118" i="6"/>
  <c r="L1119" i="6"/>
  <c r="K1122" i="6"/>
  <c r="C95" i="4" s="1"/>
  <c r="D95" i="4" s="1"/>
  <c r="E95" i="4" s="1"/>
  <c r="F95" i="4" s="1"/>
  <c r="L1123" i="6"/>
  <c r="K1126" i="6"/>
  <c r="I105" i="10" s="1"/>
  <c r="L1127" i="6"/>
  <c r="H3" i="10"/>
  <c r="J4" i="10"/>
  <c r="H5" i="10"/>
  <c r="J6" i="10"/>
  <c r="K6" i="10" s="1"/>
  <c r="H7" i="10"/>
  <c r="J7" i="10" s="1"/>
  <c r="K7" i="10" s="1"/>
  <c r="J8" i="10"/>
  <c r="H9" i="10"/>
  <c r="H11" i="10"/>
  <c r="H13" i="10"/>
  <c r="H16" i="10"/>
  <c r="H20" i="10"/>
  <c r="H24" i="10"/>
  <c r="H28" i="10"/>
  <c r="J28" i="10" s="1"/>
  <c r="K28" i="10" s="1"/>
  <c r="H32" i="10"/>
  <c r="K33" i="10"/>
  <c r="H36" i="10"/>
  <c r="K37" i="10"/>
  <c r="H40" i="10"/>
  <c r="H44" i="10"/>
  <c r="H48" i="10"/>
  <c r="K49" i="10"/>
  <c r="H52" i="10"/>
  <c r="H60" i="10"/>
  <c r="K61" i="10"/>
  <c r="H68" i="10"/>
  <c r="H72" i="10"/>
  <c r="K74" i="10"/>
  <c r="H76" i="10"/>
  <c r="H89" i="10"/>
  <c r="I89" i="10"/>
  <c r="H97" i="10"/>
  <c r="I97" i="10"/>
  <c r="J97" i="10" s="1"/>
  <c r="K97" i="10" s="1"/>
  <c r="H105" i="10"/>
  <c r="J105" i="10" s="1"/>
  <c r="K105" i="10" s="1"/>
  <c r="H110" i="10"/>
  <c r="H114" i="10"/>
  <c r="I114" i="10"/>
  <c r="J114" i="10" s="1"/>
  <c r="K114" i="10" s="1"/>
  <c r="I118" i="10"/>
  <c r="H122" i="10"/>
  <c r="I122" i="10"/>
  <c r="H126" i="10"/>
  <c r="J126" i="10"/>
  <c r="K126" i="10" s="1"/>
  <c r="H130" i="10"/>
  <c r="I130" i="10"/>
  <c r="J130" i="10" s="1"/>
  <c r="K130" i="10" s="1"/>
  <c r="H134" i="10"/>
  <c r="I134" i="10"/>
  <c r="J134" i="10" s="1"/>
  <c r="K134" i="10" s="1"/>
  <c r="H138" i="10"/>
  <c r="I138" i="10"/>
  <c r="L1086" i="6"/>
  <c r="L1090" i="6"/>
  <c r="L1094" i="6"/>
  <c r="L1098" i="6"/>
  <c r="L1102" i="6"/>
  <c r="L1106" i="6"/>
  <c r="L1110" i="6"/>
  <c r="M1115" i="6"/>
  <c r="M1119" i="6"/>
  <c r="M1123" i="6"/>
  <c r="M1127" i="6"/>
  <c r="I3" i="10"/>
  <c r="K4" i="10"/>
  <c r="I5" i="10"/>
  <c r="J5" i="10" s="1"/>
  <c r="K5" i="10" s="1"/>
  <c r="I7" i="10"/>
  <c r="K8" i="10"/>
  <c r="I9" i="10"/>
  <c r="J9" i="10" s="1"/>
  <c r="K9" i="10" s="1"/>
  <c r="I11" i="10"/>
  <c r="I13" i="10"/>
  <c r="I14" i="10"/>
  <c r="J16" i="10"/>
  <c r="K16" i="10" s="1"/>
  <c r="I18" i="10"/>
  <c r="I22" i="10"/>
  <c r="I26" i="10"/>
  <c r="I30" i="10"/>
  <c r="J32" i="10"/>
  <c r="K32" i="10" s="1"/>
  <c r="I34" i="10"/>
  <c r="I38" i="10"/>
  <c r="I42" i="10"/>
  <c r="I46" i="10"/>
  <c r="J48" i="10"/>
  <c r="K48" i="10" s="1"/>
  <c r="I50" i="10"/>
  <c r="I54" i="10"/>
  <c r="I58" i="10"/>
  <c r="I62" i="10"/>
  <c r="I66" i="10"/>
  <c r="I70" i="10"/>
  <c r="J76" i="10"/>
  <c r="I78" i="10"/>
  <c r="H87" i="10"/>
  <c r="I87" i="10"/>
  <c r="H95" i="10"/>
  <c r="J95" i="10" s="1"/>
  <c r="I95" i="10"/>
  <c r="K95" i="10"/>
  <c r="I103" i="10"/>
  <c r="H109" i="10"/>
  <c r="I109" i="10"/>
  <c r="H113" i="10"/>
  <c r="I113" i="10"/>
  <c r="J113" i="10" s="1"/>
  <c r="K113" i="10" s="1"/>
  <c r="H117" i="10"/>
  <c r="I117" i="10"/>
  <c r="H121" i="10"/>
  <c r="I121" i="10"/>
  <c r="H125" i="10"/>
  <c r="J125" i="10" s="1"/>
  <c r="K125" i="10" s="1"/>
  <c r="I125" i="10"/>
  <c r="H129" i="10"/>
  <c r="I129" i="10"/>
  <c r="H133" i="10"/>
  <c r="J133" i="10" s="1"/>
  <c r="K133" i="10" s="1"/>
  <c r="I133" i="10"/>
  <c r="H137" i="10"/>
  <c r="I137" i="10"/>
  <c r="J3" i="10"/>
  <c r="K3" i="10" s="1"/>
  <c r="J11" i="10"/>
  <c r="K11" i="10" s="1"/>
  <c r="J13" i="10"/>
  <c r="K13" i="10" s="1"/>
  <c r="H14" i="10"/>
  <c r="J14" i="10" s="1"/>
  <c r="K14" i="10" s="1"/>
  <c r="H18" i="10"/>
  <c r="J18" i="10" s="1"/>
  <c r="K18" i="10" s="1"/>
  <c r="K19" i="10"/>
  <c r="H22" i="10"/>
  <c r="J22" i="10" s="1"/>
  <c r="K22" i="10" s="1"/>
  <c r="K23" i="10"/>
  <c r="H26" i="10"/>
  <c r="K27" i="10"/>
  <c r="H30" i="10"/>
  <c r="K31" i="10"/>
  <c r="H34" i="10"/>
  <c r="H38" i="10"/>
  <c r="J38" i="10" s="1"/>
  <c r="K38" i="10" s="1"/>
  <c r="K39" i="10"/>
  <c r="H42" i="10"/>
  <c r="H46" i="10"/>
  <c r="H50" i="10"/>
  <c r="J50" i="10" s="1"/>
  <c r="K50" i="10" s="1"/>
  <c r="H54" i="10"/>
  <c r="H58" i="10"/>
  <c r="J58" i="10" s="1"/>
  <c r="K58" i="10" s="1"/>
  <c r="H62" i="10"/>
  <c r="K76" i="10"/>
  <c r="H85" i="10"/>
  <c r="J85" i="10" s="1"/>
  <c r="K85" i="10" s="1"/>
  <c r="I85" i="10"/>
  <c r="H93" i="10"/>
  <c r="I93" i="10"/>
  <c r="H101" i="10"/>
  <c r="J101" i="10" s="1"/>
  <c r="K101" i="10" s="1"/>
  <c r="I101" i="10"/>
  <c r="H108" i="10"/>
  <c r="I108" i="10"/>
  <c r="H112" i="10"/>
  <c r="I112" i="10"/>
  <c r="J112" i="10" s="1"/>
  <c r="K112" i="10" s="1"/>
  <c r="H116" i="10"/>
  <c r="I116" i="10"/>
  <c r="H120" i="10"/>
  <c r="I120" i="10"/>
  <c r="J120" i="10" s="1"/>
  <c r="K120" i="10" s="1"/>
  <c r="H124" i="10"/>
  <c r="J124" i="10" s="1"/>
  <c r="K124" i="10" s="1"/>
  <c r="I124" i="10"/>
  <c r="H128" i="10"/>
  <c r="J128" i="10"/>
  <c r="K128" i="10" s="1"/>
  <c r="I128" i="10"/>
  <c r="H132" i="10"/>
  <c r="J132" i="10"/>
  <c r="K132" i="10" s="1"/>
  <c r="I132" i="10"/>
  <c r="H136" i="10"/>
  <c r="I136" i="10"/>
  <c r="H170" i="10"/>
  <c r="I16" i="10"/>
  <c r="I20" i="10"/>
  <c r="I24" i="10"/>
  <c r="J24" i="10" s="1"/>
  <c r="K24" i="10" s="1"/>
  <c r="I28" i="10"/>
  <c r="I32" i="10"/>
  <c r="I36" i="10"/>
  <c r="I40" i="10"/>
  <c r="J40" i="10" s="1"/>
  <c r="K40" i="10" s="1"/>
  <c r="I44" i="10"/>
  <c r="I48" i="10"/>
  <c r="I52" i="10"/>
  <c r="I56" i="10"/>
  <c r="I60" i="10"/>
  <c r="I64" i="10"/>
  <c r="I68" i="10"/>
  <c r="I72" i="10"/>
  <c r="J72" i="10" s="1"/>
  <c r="K72" i="10" s="1"/>
  <c r="I80" i="10"/>
  <c r="K81" i="10"/>
  <c r="H83" i="10"/>
  <c r="J83" i="10" s="1"/>
  <c r="K83" i="10" s="1"/>
  <c r="I83" i="10"/>
  <c r="H91" i="10"/>
  <c r="J91" i="10" s="1"/>
  <c r="K91" i="10" s="1"/>
  <c r="I91" i="10"/>
  <c r="H99" i="10"/>
  <c r="J99" i="10" s="1"/>
  <c r="K99" i="10" s="1"/>
  <c r="I99" i="10"/>
  <c r="H107" i="10"/>
  <c r="I107" i="10"/>
  <c r="H111" i="10"/>
  <c r="I111" i="10"/>
  <c r="H115" i="10"/>
  <c r="I115" i="10"/>
  <c r="H119" i="10"/>
  <c r="I119" i="10"/>
  <c r="H123" i="10"/>
  <c r="I123" i="10"/>
  <c r="H127" i="10"/>
  <c r="I127" i="10"/>
  <c r="H131" i="10"/>
  <c r="I131" i="10"/>
  <c r="H135" i="10"/>
  <c r="I135" i="10"/>
  <c r="I174" i="10"/>
  <c r="H174" i="10"/>
  <c r="K80" i="10"/>
  <c r="J82" i="10"/>
  <c r="K82" i="10" s="1"/>
  <c r="J90" i="10"/>
  <c r="K90" i="10" s="1"/>
  <c r="I169" i="10"/>
  <c r="H169" i="10"/>
  <c r="J169" i="10" s="1"/>
  <c r="K169" i="10" s="1"/>
  <c r="H139" i="10"/>
  <c r="J139" i="10" s="1"/>
  <c r="K139" i="10" s="1"/>
  <c r="H140" i="10"/>
  <c r="H141" i="10"/>
  <c r="J141" i="10" s="1"/>
  <c r="K141" i="10" s="1"/>
  <c r="H142" i="10"/>
  <c r="H143" i="10"/>
  <c r="J143" i="10" s="1"/>
  <c r="K143" i="10" s="1"/>
  <c r="H144" i="10"/>
  <c r="H145" i="10"/>
  <c r="H146" i="10"/>
  <c r="J146" i="10"/>
  <c r="K146" i="10" s="1"/>
  <c r="H147" i="10"/>
  <c r="J147" i="10" s="1"/>
  <c r="K147" i="10" s="1"/>
  <c r="H148" i="10"/>
  <c r="H149" i="10"/>
  <c r="H150" i="10"/>
  <c r="H151" i="10"/>
  <c r="J151" i="10" s="1"/>
  <c r="K151" i="10" s="1"/>
  <c r="H152" i="10"/>
  <c r="H153" i="10"/>
  <c r="J153" i="10" s="1"/>
  <c r="K153" i="10" s="1"/>
  <c r="H154" i="10"/>
  <c r="J154" i="10"/>
  <c r="K154" i="10" s="1"/>
  <c r="H155" i="10"/>
  <c r="H156" i="10"/>
  <c r="H157" i="10"/>
  <c r="H158" i="10"/>
  <c r="J158" i="10" s="1"/>
  <c r="K158" i="10" s="1"/>
  <c r="H159" i="10"/>
  <c r="H160" i="10"/>
  <c r="H161" i="10"/>
  <c r="H162" i="10"/>
  <c r="H163" i="10"/>
  <c r="J163" i="10" s="1"/>
  <c r="K163" i="10" s="1"/>
  <c r="H164" i="10"/>
  <c r="H165" i="10"/>
  <c r="H166" i="10"/>
  <c r="H167" i="10"/>
  <c r="J167" i="10" s="1"/>
  <c r="K167" i="10" s="1"/>
  <c r="H168" i="10"/>
  <c r="I82" i="10"/>
  <c r="I86" i="10"/>
  <c r="J88" i="10"/>
  <c r="K88" i="10" s="1"/>
  <c r="I90" i="10"/>
  <c r="I94" i="10"/>
  <c r="J94" i="10" s="1"/>
  <c r="K94" i="10" s="1"/>
  <c r="I98" i="10"/>
  <c r="J98" i="10" s="1"/>
  <c r="K98" i="10" s="1"/>
  <c r="I102" i="10"/>
  <c r="I106" i="10"/>
  <c r="J106" i="10" s="1"/>
  <c r="K106" i="10" s="1"/>
  <c r="I139" i="10"/>
  <c r="I140" i="10"/>
  <c r="I141" i="10"/>
  <c r="I142" i="10"/>
  <c r="J142" i="10" s="1"/>
  <c r="K142" i="10" s="1"/>
  <c r="I143" i="10"/>
  <c r="I144" i="10"/>
  <c r="I145" i="10"/>
  <c r="I146" i="10"/>
  <c r="I147" i="10"/>
  <c r="I148" i="10"/>
  <c r="J148" i="10" s="1"/>
  <c r="K148" i="10" s="1"/>
  <c r="I149" i="10"/>
  <c r="I150" i="10"/>
  <c r="J150" i="10" s="1"/>
  <c r="K150" i="10" s="1"/>
  <c r="I151" i="10"/>
  <c r="I152" i="10"/>
  <c r="J152" i="10" s="1"/>
  <c r="K152" i="10" s="1"/>
  <c r="I153" i="10"/>
  <c r="I154" i="10"/>
  <c r="I155" i="10"/>
  <c r="I156" i="10"/>
  <c r="J156" i="10" s="1"/>
  <c r="K156" i="10" s="1"/>
  <c r="I157" i="10"/>
  <c r="I158" i="10"/>
  <c r="I159" i="10"/>
  <c r="I160" i="10"/>
  <c r="J160" i="10" s="1"/>
  <c r="K160" i="10" s="1"/>
  <c r="I161" i="10"/>
  <c r="I162" i="10"/>
  <c r="J162" i="10" s="1"/>
  <c r="K162" i="10" s="1"/>
  <c r="I163" i="10"/>
  <c r="I164" i="10"/>
  <c r="J164" i="10" s="1"/>
  <c r="K164" i="10" s="1"/>
  <c r="I165" i="10"/>
  <c r="I166" i="10"/>
  <c r="J166" i="10" s="1"/>
  <c r="K166" i="10" s="1"/>
  <c r="I171" i="10"/>
  <c r="H171" i="10"/>
  <c r="J171" i="10" s="1"/>
  <c r="K171" i="10" s="1"/>
  <c r="H225" i="10"/>
  <c r="I225" i="10"/>
  <c r="J225" i="10" s="1"/>
  <c r="K225" i="10" s="1"/>
  <c r="H229" i="10"/>
  <c r="I229" i="10"/>
  <c r="J229" i="10" s="1"/>
  <c r="K229" i="10" s="1"/>
  <c r="H233" i="10"/>
  <c r="J233" i="10" s="1"/>
  <c r="K233" i="10" s="1"/>
  <c r="I233" i="10"/>
  <c r="H237" i="10"/>
  <c r="J237" i="10"/>
  <c r="K237" i="10" s="1"/>
  <c r="I237" i="10"/>
  <c r="H241" i="10"/>
  <c r="I241" i="10"/>
  <c r="J241" i="10" s="1"/>
  <c r="K241" i="10" s="1"/>
  <c r="H245" i="10"/>
  <c r="J245" i="10" s="1"/>
  <c r="K245" i="10" s="1"/>
  <c r="I245" i="10"/>
  <c r="H249" i="10"/>
  <c r="I249" i="10"/>
  <c r="H253" i="10"/>
  <c r="J253" i="10"/>
  <c r="K253" i="10" s="1"/>
  <c r="I253" i="10"/>
  <c r="H257" i="10"/>
  <c r="J257" i="10" s="1"/>
  <c r="K257" i="10" s="1"/>
  <c r="I257" i="10"/>
  <c r="H261" i="10"/>
  <c r="I261" i="10"/>
  <c r="J261" i="10" s="1"/>
  <c r="K261" i="10" s="1"/>
  <c r="H268" i="10"/>
  <c r="J268" i="10" s="1"/>
  <c r="K268" i="10" s="1"/>
  <c r="I268" i="10"/>
  <c r="I298" i="10"/>
  <c r="J300" i="10"/>
  <c r="K300" i="10" s="1"/>
  <c r="H300" i="10"/>
  <c r="I300" i="10"/>
  <c r="J168" i="10"/>
  <c r="J170" i="10"/>
  <c r="K170" i="10" s="1"/>
  <c r="H175" i="10"/>
  <c r="H178" i="10"/>
  <c r="H179" i="10"/>
  <c r="H182" i="10"/>
  <c r="H183" i="10"/>
  <c r="J183" i="10" s="1"/>
  <c r="K183" i="10" s="1"/>
  <c r="H186" i="10"/>
  <c r="H187" i="10"/>
  <c r="J187" i="10" s="1"/>
  <c r="K187" i="10" s="1"/>
  <c r="H190" i="10"/>
  <c r="H191" i="10"/>
  <c r="H194" i="10"/>
  <c r="J194" i="10" s="1"/>
  <c r="K194" i="10" s="1"/>
  <c r="H195" i="10"/>
  <c r="J195" i="10" s="1"/>
  <c r="K195" i="10" s="1"/>
  <c r="H198" i="10"/>
  <c r="J198" i="10" s="1"/>
  <c r="K198" i="10" s="1"/>
  <c r="H199" i="10"/>
  <c r="J199" i="10" s="1"/>
  <c r="K199" i="10" s="1"/>
  <c r="H202" i="10"/>
  <c r="J202" i="10" s="1"/>
  <c r="K202" i="10" s="1"/>
  <c r="H203" i="10"/>
  <c r="J203" i="10" s="1"/>
  <c r="K203" i="10" s="1"/>
  <c r="H206" i="10"/>
  <c r="H207" i="10"/>
  <c r="J207" i="10" s="1"/>
  <c r="K207" i="10" s="1"/>
  <c r="H210" i="10"/>
  <c r="J210" i="10" s="1"/>
  <c r="K210" i="10" s="1"/>
  <c r="H211" i="10"/>
  <c r="J211" i="10" s="1"/>
  <c r="K211" i="10" s="1"/>
  <c r="H214" i="10"/>
  <c r="H215" i="10"/>
  <c r="J215" i="10" s="1"/>
  <c r="K215" i="10" s="1"/>
  <c r="J232" i="10"/>
  <c r="J244" i="10"/>
  <c r="K244" i="10" s="1"/>
  <c r="J252" i="10"/>
  <c r="K252" i="10" s="1"/>
  <c r="H264" i="10"/>
  <c r="J264" i="10" s="1"/>
  <c r="K264" i="10" s="1"/>
  <c r="I264" i="10"/>
  <c r="I290" i="10"/>
  <c r="J292" i="10"/>
  <c r="K292" i="10"/>
  <c r="H292" i="10"/>
  <c r="I292" i="10"/>
  <c r="K168" i="10"/>
  <c r="I178" i="10"/>
  <c r="J178" i="10" s="1"/>
  <c r="K178" i="10" s="1"/>
  <c r="I182" i="10"/>
  <c r="I186" i="10"/>
  <c r="I190" i="10"/>
  <c r="I194" i="10"/>
  <c r="I198" i="10"/>
  <c r="I202" i="10"/>
  <c r="I206" i="10"/>
  <c r="I210" i="10"/>
  <c r="I214" i="10"/>
  <c r="H223" i="10"/>
  <c r="J223" i="10" s="1"/>
  <c r="K223" i="10" s="1"/>
  <c r="I223" i="10"/>
  <c r="H227" i="10"/>
  <c r="I227" i="10"/>
  <c r="J227" i="10" s="1"/>
  <c r="K227" i="10" s="1"/>
  <c r="H231" i="10"/>
  <c r="I231" i="10"/>
  <c r="J231" i="10" s="1"/>
  <c r="K231" i="10" s="1"/>
  <c r="H235" i="10"/>
  <c r="I235" i="10"/>
  <c r="J235" i="10" s="1"/>
  <c r="K235" i="10" s="1"/>
  <c r="H239" i="10"/>
  <c r="I239" i="10"/>
  <c r="H243" i="10"/>
  <c r="J243" i="10"/>
  <c r="K243" i="10" s="1"/>
  <c r="I243" i="10"/>
  <c r="H247" i="10"/>
  <c r="J247" i="10"/>
  <c r="K247" i="10" s="1"/>
  <c r="I247" i="10"/>
  <c r="H251" i="10"/>
  <c r="I251" i="10"/>
  <c r="J251" i="10" s="1"/>
  <c r="K251" i="10" s="1"/>
  <c r="H255" i="10"/>
  <c r="I255" i="10"/>
  <c r="H259" i="10"/>
  <c r="I259" i="10"/>
  <c r="J259" i="10" s="1"/>
  <c r="K259" i="10" s="1"/>
  <c r="I282" i="10"/>
  <c r="H284" i="10"/>
  <c r="J284" i="10" s="1"/>
  <c r="K284" i="10" s="1"/>
  <c r="I284" i="10"/>
  <c r="H172" i="10"/>
  <c r="J172" i="10" s="1"/>
  <c r="K172" i="10" s="1"/>
  <c r="H173" i="10"/>
  <c r="J173" i="10" s="1"/>
  <c r="K173" i="10" s="1"/>
  <c r="H176" i="10"/>
  <c r="H177" i="10"/>
  <c r="H180" i="10"/>
  <c r="J180" i="10" s="1"/>
  <c r="K180" i="10" s="1"/>
  <c r="H181" i="10"/>
  <c r="J181" i="10" s="1"/>
  <c r="K181" i="10" s="1"/>
  <c r="H184" i="10"/>
  <c r="H185" i="10"/>
  <c r="H188" i="10"/>
  <c r="H189" i="10"/>
  <c r="H192" i="10"/>
  <c r="H193" i="10"/>
  <c r="J193" i="10" s="1"/>
  <c r="K193" i="10" s="1"/>
  <c r="H196" i="10"/>
  <c r="H197" i="10"/>
  <c r="H200" i="10"/>
  <c r="J200" i="10" s="1"/>
  <c r="K200" i="10" s="1"/>
  <c r="H201" i="10"/>
  <c r="J201" i="10" s="1"/>
  <c r="K201" i="10" s="1"/>
  <c r="H204" i="10"/>
  <c r="J204" i="10" s="1"/>
  <c r="K204" i="10" s="1"/>
  <c r="H205" i="10"/>
  <c r="H208" i="10"/>
  <c r="H209" i="10"/>
  <c r="J209" i="10" s="1"/>
  <c r="K209" i="10" s="1"/>
  <c r="H212" i="10"/>
  <c r="J212" i="10" s="1"/>
  <c r="K212" i="10" s="1"/>
  <c r="H213" i="10"/>
  <c r="J213" i="10" s="1"/>
  <c r="K213" i="10" s="1"/>
  <c r="H216" i="10"/>
  <c r="J216" i="10" s="1"/>
  <c r="K216" i="10" s="1"/>
  <c r="H217" i="10"/>
  <c r="J217" i="10"/>
  <c r="K217" i="10" s="1"/>
  <c r="H218" i="10"/>
  <c r="J218" i="10" s="1"/>
  <c r="K218" i="10" s="1"/>
  <c r="H219" i="10"/>
  <c r="J219" i="10" s="1"/>
  <c r="K219" i="10" s="1"/>
  <c r="H220" i="10"/>
  <c r="H221" i="10"/>
  <c r="J221" i="10"/>
  <c r="K221" i="10" s="1"/>
  <c r="J230" i="10"/>
  <c r="J238" i="10"/>
  <c r="J246" i="10"/>
  <c r="K246" i="10" s="1"/>
  <c r="J254" i="10"/>
  <c r="H272" i="10"/>
  <c r="J272" i="10" s="1"/>
  <c r="K272" i="10" s="1"/>
  <c r="I272" i="10"/>
  <c r="J308" i="10"/>
  <c r="K308" i="10" s="1"/>
  <c r="I308" i="10"/>
  <c r="H308" i="10"/>
  <c r="K230" i="10"/>
  <c r="K232" i="10"/>
  <c r="K238" i="10"/>
  <c r="K254" i="10"/>
  <c r="H262" i="10"/>
  <c r="J262" i="10" s="1"/>
  <c r="H266" i="10"/>
  <c r="J266" i="10" s="1"/>
  <c r="H270" i="10"/>
  <c r="J270" i="10" s="1"/>
  <c r="K270" i="10" s="1"/>
  <c r="H274" i="10"/>
  <c r="J274" i="10" s="1"/>
  <c r="K274" i="10" s="1"/>
  <c r="H275" i="10"/>
  <c r="J275" i="10"/>
  <c r="K275" i="10" s="1"/>
  <c r="H276" i="10"/>
  <c r="J276" i="10" s="1"/>
  <c r="K276" i="10" s="1"/>
  <c r="H277" i="10"/>
  <c r="J277" i="10" s="1"/>
  <c r="K277" i="10" s="1"/>
  <c r="H278" i="10"/>
  <c r="J278" i="10" s="1"/>
  <c r="K278" i="10" s="1"/>
  <c r="H279" i="10"/>
  <c r="H280" i="10"/>
  <c r="H288" i="10"/>
  <c r="J288" i="10" s="1"/>
  <c r="K288" i="10" s="1"/>
  <c r="H296" i="10"/>
  <c r="J296" i="10" s="1"/>
  <c r="K296" i="10" s="1"/>
  <c r="I316" i="10"/>
  <c r="J316" i="10" s="1"/>
  <c r="K316" i="10" s="1"/>
  <c r="H316" i="10"/>
  <c r="H343" i="10"/>
  <c r="J343" i="10" s="1"/>
  <c r="K343" i="10" s="1"/>
  <c r="I343" i="10"/>
  <c r="H222" i="10"/>
  <c r="J222" i="10" s="1"/>
  <c r="K222" i="10" s="1"/>
  <c r="H224" i="10"/>
  <c r="J224" i="10" s="1"/>
  <c r="K224" i="10" s="1"/>
  <c r="H226" i="10"/>
  <c r="J226" i="10" s="1"/>
  <c r="K226" i="10" s="1"/>
  <c r="H228" i="10"/>
  <c r="J228" i="10" s="1"/>
  <c r="K228" i="10" s="1"/>
  <c r="J263" i="10"/>
  <c r="K263" i="10" s="1"/>
  <c r="J267" i="10"/>
  <c r="K267" i="10" s="1"/>
  <c r="H286" i="10"/>
  <c r="J286" i="10" s="1"/>
  <c r="K286" i="10" s="1"/>
  <c r="H294" i="10"/>
  <c r="J294" i="10" s="1"/>
  <c r="K294" i="10" s="1"/>
  <c r="I312" i="10"/>
  <c r="H312" i="10"/>
  <c r="I321" i="10"/>
  <c r="H321" i="10"/>
  <c r="I323" i="10"/>
  <c r="H323" i="10"/>
  <c r="I325" i="10"/>
  <c r="H325" i="10"/>
  <c r="I327" i="10"/>
  <c r="H327" i="10"/>
  <c r="I329" i="10"/>
  <c r="H329" i="10"/>
  <c r="I331" i="10"/>
  <c r="H331" i="10"/>
  <c r="J331" i="10" s="1"/>
  <c r="K331" i="10" s="1"/>
  <c r="I333" i="10"/>
  <c r="H333" i="10"/>
  <c r="H335" i="10"/>
  <c r="J335" i="10" s="1"/>
  <c r="K335" i="10" s="1"/>
  <c r="I335" i="10"/>
  <c r="K262" i="10"/>
  <c r="I263" i="10"/>
  <c r="K266" i="10"/>
  <c r="I267" i="10"/>
  <c r="J269" i="10"/>
  <c r="K269" i="10" s="1"/>
  <c r="I271" i="10"/>
  <c r="J273" i="10"/>
  <c r="K273" i="10" s="1"/>
  <c r="H282" i="10"/>
  <c r="J282" i="10" s="1"/>
  <c r="K282" i="10" s="1"/>
  <c r="H290" i="10"/>
  <c r="J290" i="10" s="1"/>
  <c r="K290" i="10" s="1"/>
  <c r="H298" i="10"/>
  <c r="J298" i="10" s="1"/>
  <c r="K298" i="10" s="1"/>
  <c r="I304" i="10"/>
  <c r="H304" i="10"/>
  <c r="J304" i="10" s="1"/>
  <c r="K304" i="10" s="1"/>
  <c r="I320" i="10"/>
  <c r="H320" i="10"/>
  <c r="J320" i="10" s="1"/>
  <c r="K320" i="10" s="1"/>
  <c r="H359" i="10"/>
  <c r="I359" i="10"/>
  <c r="H281" i="10"/>
  <c r="J281" i="10" s="1"/>
  <c r="K281" i="10" s="1"/>
  <c r="H285" i="10"/>
  <c r="J285" i="10" s="1"/>
  <c r="K285" i="10" s="1"/>
  <c r="H289" i="10"/>
  <c r="H293" i="10"/>
  <c r="J293" i="10" s="1"/>
  <c r="K293" i="10" s="1"/>
  <c r="H297" i="10"/>
  <c r="J297" i="10" s="1"/>
  <c r="K297" i="10" s="1"/>
  <c r="H301" i="10"/>
  <c r="J301" i="10" s="1"/>
  <c r="K301" i="10" s="1"/>
  <c r="H305" i="10"/>
  <c r="H309" i="10"/>
  <c r="J309" i="10" s="1"/>
  <c r="K309" i="10" s="1"/>
  <c r="H313" i="10"/>
  <c r="J313" i="10" s="1"/>
  <c r="K313" i="10" s="1"/>
  <c r="H317" i="10"/>
  <c r="J317" i="10" s="1"/>
  <c r="K317" i="10" s="1"/>
  <c r="H339" i="10"/>
  <c r="J339" i="10"/>
  <c r="K339" i="10" s="1"/>
  <c r="I339" i="10"/>
  <c r="H355" i="10"/>
  <c r="I355" i="10"/>
  <c r="J314" i="10"/>
  <c r="K314" i="10" s="1"/>
  <c r="H351" i="10"/>
  <c r="I351" i="10"/>
  <c r="K412" i="10"/>
  <c r="H283" i="10"/>
  <c r="J283" i="10" s="1"/>
  <c r="K283" i="10" s="1"/>
  <c r="H287" i="10"/>
  <c r="J287" i="10" s="1"/>
  <c r="K287" i="10" s="1"/>
  <c r="H291" i="10"/>
  <c r="J291" i="10" s="1"/>
  <c r="K291" i="10" s="1"/>
  <c r="H295" i="10"/>
  <c r="J295" i="10" s="1"/>
  <c r="K295" i="10" s="1"/>
  <c r="H299" i="10"/>
  <c r="J299" i="10" s="1"/>
  <c r="K299" i="10" s="1"/>
  <c r="H302" i="10"/>
  <c r="H303" i="10"/>
  <c r="J303" i="10" s="1"/>
  <c r="K303" i="10" s="1"/>
  <c r="H306" i="10"/>
  <c r="H307" i="10"/>
  <c r="J307" i="10" s="1"/>
  <c r="K307" i="10" s="1"/>
  <c r="H310" i="10"/>
  <c r="J310" i="10" s="1"/>
  <c r="K310" i="10" s="1"/>
  <c r="H311" i="10"/>
  <c r="J311" i="10" s="1"/>
  <c r="K311" i="10" s="1"/>
  <c r="H314" i="10"/>
  <c r="H315" i="10"/>
  <c r="J315" i="10" s="1"/>
  <c r="K315" i="10" s="1"/>
  <c r="H318" i="10"/>
  <c r="J318" i="10" s="1"/>
  <c r="K318" i="10" s="1"/>
  <c r="H319" i="10"/>
  <c r="J319" i="10" s="1"/>
  <c r="K319" i="10" s="1"/>
  <c r="I336" i="10"/>
  <c r="H336" i="10"/>
  <c r="J336" i="10" s="1"/>
  <c r="K336" i="10" s="1"/>
  <c r="H347" i="10"/>
  <c r="I347" i="10"/>
  <c r="H363" i="10"/>
  <c r="I363" i="10"/>
  <c r="J363" i="10" s="1"/>
  <c r="K363" i="10" s="1"/>
  <c r="I365" i="10"/>
  <c r="H365" i="10"/>
  <c r="I367" i="10"/>
  <c r="H367" i="10"/>
  <c r="I369" i="10"/>
  <c r="H369" i="10"/>
  <c r="I371" i="10"/>
  <c r="H371" i="10"/>
  <c r="J371" i="10" s="1"/>
  <c r="K371" i="10" s="1"/>
  <c r="I373" i="10"/>
  <c r="H373" i="10"/>
  <c r="I375" i="10"/>
  <c r="H375" i="10"/>
  <c r="I377" i="10"/>
  <c r="J377" i="10" s="1"/>
  <c r="K377" i="10" s="1"/>
  <c r="H377" i="10"/>
  <c r="I379" i="10"/>
  <c r="H379" i="10"/>
  <c r="J379" i="10" s="1"/>
  <c r="K379" i="10" s="1"/>
  <c r="I381" i="10"/>
  <c r="J381" i="10" s="1"/>
  <c r="K381" i="10" s="1"/>
  <c r="H381" i="10"/>
  <c r="I383" i="10"/>
  <c r="H383" i="10"/>
  <c r="I385" i="10"/>
  <c r="J385" i="10" s="1"/>
  <c r="K385" i="10" s="1"/>
  <c r="H385" i="10"/>
  <c r="I387" i="10"/>
  <c r="H387" i="10"/>
  <c r="J387" i="10" s="1"/>
  <c r="K387" i="10" s="1"/>
  <c r="I389" i="10"/>
  <c r="J389" i="10" s="1"/>
  <c r="K389" i="10" s="1"/>
  <c r="H389" i="10"/>
  <c r="I391" i="10"/>
  <c r="I395" i="10"/>
  <c r="I399" i="10"/>
  <c r="I403" i="10"/>
  <c r="I407" i="10"/>
  <c r="I411" i="10"/>
  <c r="I415" i="10"/>
  <c r="J322" i="10"/>
  <c r="K322" i="10" s="1"/>
  <c r="J326" i="10"/>
  <c r="K326" i="10" s="1"/>
  <c r="J328" i="10"/>
  <c r="K328" i="10" s="1"/>
  <c r="H337" i="10"/>
  <c r="J337" i="10" s="1"/>
  <c r="K337" i="10" s="1"/>
  <c r="H340" i="10"/>
  <c r="H341" i="10"/>
  <c r="H344" i="10"/>
  <c r="J344" i="10" s="1"/>
  <c r="K344" i="10" s="1"/>
  <c r="H345" i="10"/>
  <c r="J345" i="10" s="1"/>
  <c r="K345" i="10" s="1"/>
  <c r="H348" i="10"/>
  <c r="H349" i="10"/>
  <c r="J349" i="10" s="1"/>
  <c r="K349" i="10" s="1"/>
  <c r="H352" i="10"/>
  <c r="H353" i="10"/>
  <c r="H356" i="10"/>
  <c r="H357" i="10"/>
  <c r="H360" i="10"/>
  <c r="J360" i="10" s="1"/>
  <c r="K360" i="10" s="1"/>
  <c r="H361" i="10"/>
  <c r="J365" i="10"/>
  <c r="K365" i="10" s="1"/>
  <c r="J367" i="10"/>
  <c r="K367" i="10" s="1"/>
  <c r="J373" i="10"/>
  <c r="K373" i="10" s="1"/>
  <c r="J375" i="10"/>
  <c r="K375" i="10" s="1"/>
  <c r="J383" i="10"/>
  <c r="K383" i="10" s="1"/>
  <c r="I340" i="10"/>
  <c r="J342" i="10"/>
  <c r="K342" i="10" s="1"/>
  <c r="I344" i="10"/>
  <c r="I348" i="10"/>
  <c r="I352" i="10"/>
  <c r="J352" i="10" s="1"/>
  <c r="K352" i="10" s="1"/>
  <c r="I356" i="10"/>
  <c r="I360" i="10"/>
  <c r="I393" i="10"/>
  <c r="I397" i="10"/>
  <c r="I401" i="10"/>
  <c r="I405" i="10"/>
  <c r="I409" i="10"/>
  <c r="I413" i="10"/>
  <c r="I417" i="10"/>
  <c r="J370" i="10"/>
  <c r="K370" i="10" s="1"/>
  <c r="J374" i="10"/>
  <c r="K374" i="10" s="1"/>
  <c r="J376" i="10"/>
  <c r="K376" i="10" s="1"/>
  <c r="H391" i="10"/>
  <c r="J391" i="10" s="1"/>
  <c r="K391" i="10" s="1"/>
  <c r="H393" i="10"/>
  <c r="J393" i="10" s="1"/>
  <c r="K393" i="10" s="1"/>
  <c r="H395" i="10"/>
  <c r="H397" i="10"/>
  <c r="H399" i="10"/>
  <c r="J399" i="10" s="1"/>
  <c r="K399" i="10" s="1"/>
  <c r="J400" i="10"/>
  <c r="K400" i="10" s="1"/>
  <c r="H401" i="10"/>
  <c r="H403" i="10"/>
  <c r="J404" i="10"/>
  <c r="K404" i="10" s="1"/>
  <c r="H405" i="10"/>
  <c r="J405" i="10" s="1"/>
  <c r="K405" i="10" s="1"/>
  <c r="H407" i="10"/>
  <c r="J407" i="10" s="1"/>
  <c r="K407" i="10" s="1"/>
  <c r="H409" i="10"/>
  <c r="H411" i="10"/>
  <c r="H413" i="10"/>
  <c r="H415" i="10"/>
  <c r="J415" i="10" s="1"/>
  <c r="K415" i="10" s="1"/>
  <c r="H417" i="10"/>
  <c r="J417" i="10" s="1"/>
  <c r="K417" i="10" s="1"/>
  <c r="O68" i="2" l="1"/>
  <c r="AB68" i="2" s="1"/>
  <c r="P68" i="2"/>
  <c r="AC68" i="2" s="1"/>
  <c r="J369" i="10"/>
  <c r="K369" i="10" s="1"/>
  <c r="J359" i="10"/>
  <c r="K359" i="10" s="1"/>
  <c r="J333" i="10"/>
  <c r="K333" i="10" s="1"/>
  <c r="J329" i="10"/>
  <c r="K329" i="10" s="1"/>
  <c r="J325" i="10"/>
  <c r="K325" i="10" s="1"/>
  <c r="J321" i="10"/>
  <c r="K321" i="10" s="1"/>
  <c r="J255" i="10"/>
  <c r="K255" i="10" s="1"/>
  <c r="J186" i="10"/>
  <c r="K186" i="10" s="1"/>
  <c r="J249" i="10"/>
  <c r="K249" i="10" s="1"/>
  <c r="J157" i="10"/>
  <c r="K157" i="10" s="1"/>
  <c r="J174" i="10"/>
  <c r="K174" i="10" s="1"/>
  <c r="J131" i="10"/>
  <c r="K131" i="10" s="1"/>
  <c r="J123" i="10"/>
  <c r="K123" i="10" s="1"/>
  <c r="J115" i="10"/>
  <c r="K115" i="10" s="1"/>
  <c r="J107" i="10"/>
  <c r="K107" i="10" s="1"/>
  <c r="J108" i="10"/>
  <c r="K108" i="10" s="1"/>
  <c r="AS64" i="5"/>
  <c r="J36" i="10"/>
  <c r="K36" i="10" s="1"/>
  <c r="K68" i="2"/>
  <c r="X68" i="2" s="1"/>
  <c r="AS56" i="5"/>
  <c r="L33" i="2"/>
  <c r="Y33" i="2" s="1"/>
  <c r="L21" i="2"/>
  <c r="Y21" i="2" s="1"/>
  <c r="P9" i="2"/>
  <c r="AC9" i="2" s="1"/>
  <c r="H51" i="4"/>
  <c r="J69" i="2"/>
  <c r="W69" i="2" s="1"/>
  <c r="N35" i="2"/>
  <c r="AA35" i="2" s="1"/>
  <c r="K10" i="2"/>
  <c r="X10" i="2" s="1"/>
  <c r="S60" i="2"/>
  <c r="AF60" i="2" s="1"/>
  <c r="M44" i="2"/>
  <c r="Z44" i="2" s="1"/>
  <c r="T12" i="2"/>
  <c r="AG12" i="2" s="1"/>
  <c r="J409" i="10"/>
  <c r="K409" i="10" s="1"/>
  <c r="J397" i="10"/>
  <c r="K397" i="10" s="1"/>
  <c r="J355" i="10"/>
  <c r="K355" i="10" s="1"/>
  <c r="J144" i="10"/>
  <c r="K144" i="10" s="1"/>
  <c r="J140" i="10"/>
  <c r="K140" i="10" s="1"/>
  <c r="J159" i="10"/>
  <c r="K159" i="10" s="1"/>
  <c r="J149" i="10"/>
  <c r="K149" i="10" s="1"/>
  <c r="J93" i="10"/>
  <c r="K93" i="10" s="1"/>
  <c r="J137" i="10"/>
  <c r="K137" i="10" s="1"/>
  <c r="J129" i="10"/>
  <c r="K129" i="10" s="1"/>
  <c r="J121" i="10"/>
  <c r="K121" i="10" s="1"/>
  <c r="J60" i="10"/>
  <c r="K60" i="10" s="1"/>
  <c r="J44" i="10"/>
  <c r="K44" i="10" s="1"/>
  <c r="J20" i="10"/>
  <c r="K20" i="10" s="1"/>
  <c r="H102" i="10"/>
  <c r="J102" i="10" s="1"/>
  <c r="K102" i="10" s="1"/>
  <c r="L68" i="2"/>
  <c r="Y68" i="2" s="1"/>
  <c r="O64" i="2"/>
  <c r="AB64" i="2" s="1"/>
  <c r="N67" i="2"/>
  <c r="AA67" i="2" s="1"/>
  <c r="J27" i="2"/>
  <c r="W27" i="2" s="1"/>
  <c r="N19" i="2"/>
  <c r="AA19" i="2" s="1"/>
  <c r="F17" i="2"/>
  <c r="R7" i="2"/>
  <c r="AE7" i="2" s="1"/>
  <c r="K70" i="2"/>
  <c r="X70" i="2" s="1"/>
  <c r="U50" i="2"/>
  <c r="AH50" i="2" s="1"/>
  <c r="S44" i="2"/>
  <c r="AF44" i="2" s="1"/>
  <c r="AI42" i="3"/>
  <c r="J356" i="10"/>
  <c r="K356" i="10" s="1"/>
  <c r="J348" i="10"/>
  <c r="K348" i="10" s="1"/>
  <c r="J340" i="10"/>
  <c r="K340" i="10" s="1"/>
  <c r="J347" i="10"/>
  <c r="K347" i="10" s="1"/>
  <c r="J351" i="10"/>
  <c r="K351" i="10" s="1"/>
  <c r="J327" i="10"/>
  <c r="K327" i="10" s="1"/>
  <c r="J323" i="10"/>
  <c r="K323" i="10" s="1"/>
  <c r="J312" i="10"/>
  <c r="K312" i="10" s="1"/>
  <c r="J239" i="10"/>
  <c r="K239" i="10" s="1"/>
  <c r="J214" i="10"/>
  <c r="K214" i="10" s="1"/>
  <c r="J206" i="10"/>
  <c r="K206" i="10" s="1"/>
  <c r="J190" i="10"/>
  <c r="K190" i="10" s="1"/>
  <c r="J182" i="10"/>
  <c r="K182" i="10" s="1"/>
  <c r="J155" i="10"/>
  <c r="K155" i="10" s="1"/>
  <c r="J145" i="10"/>
  <c r="K145" i="10" s="1"/>
  <c r="J135" i="10"/>
  <c r="K135" i="10" s="1"/>
  <c r="J127" i="10"/>
  <c r="K127" i="10" s="1"/>
  <c r="J119" i="10"/>
  <c r="K119" i="10" s="1"/>
  <c r="J111" i="10"/>
  <c r="K111" i="10" s="1"/>
  <c r="J136" i="10"/>
  <c r="K136" i="10" s="1"/>
  <c r="J116" i="10"/>
  <c r="K116" i="10" s="1"/>
  <c r="J117" i="10"/>
  <c r="K117" i="10" s="1"/>
  <c r="J109" i="10"/>
  <c r="K109" i="10" s="1"/>
  <c r="H103" i="10"/>
  <c r="J103" i="10" s="1"/>
  <c r="K103" i="10" s="1"/>
  <c r="J138" i="10"/>
  <c r="K138" i="10" s="1"/>
  <c r="J122" i="10"/>
  <c r="K122" i="10" s="1"/>
  <c r="J89" i="10"/>
  <c r="K89" i="10" s="1"/>
  <c r="J52" i="10"/>
  <c r="K52" i="10" s="1"/>
  <c r="M68" i="2"/>
  <c r="Z68" i="2" s="1"/>
  <c r="I92" i="10"/>
  <c r="J92" i="10" s="1"/>
  <c r="K92" i="10" s="1"/>
  <c r="N55" i="2"/>
  <c r="AA55" i="2" s="1"/>
  <c r="M65" i="2"/>
  <c r="Z65" i="2" s="1"/>
  <c r="K27" i="2"/>
  <c r="X27" i="2" s="1"/>
  <c r="L15" i="2"/>
  <c r="Y15" i="2" s="1"/>
  <c r="U69" i="2"/>
  <c r="AH69" i="2" s="1"/>
  <c r="J31" i="2"/>
  <c r="W31" i="2" s="1"/>
  <c r="R23" i="2"/>
  <c r="AE23" i="2" s="1"/>
  <c r="O14" i="2"/>
  <c r="AB14" i="2" s="1"/>
  <c r="F9" i="2"/>
  <c r="H64" i="4"/>
  <c r="K22" i="2"/>
  <c r="X22" i="2" s="1"/>
  <c r="O20" i="2"/>
  <c r="AB20" i="2" s="1"/>
  <c r="H86" i="4"/>
  <c r="J165" i="10"/>
  <c r="K165" i="10" s="1"/>
  <c r="J161" i="10"/>
  <c r="K161" i="10" s="1"/>
  <c r="J68" i="10"/>
  <c r="K68" i="10" s="1"/>
  <c r="AS66" i="5"/>
  <c r="J118" i="10"/>
  <c r="K118" i="10" s="1"/>
  <c r="J110" i="10"/>
  <c r="K110" i="10" s="1"/>
  <c r="H86" i="10"/>
  <c r="J86" i="10" s="1"/>
  <c r="K86" i="10" s="1"/>
  <c r="O69" i="2"/>
  <c r="AB69" i="2" s="1"/>
  <c r="M24" i="2"/>
  <c r="Z24" i="2" s="1"/>
  <c r="M8" i="2"/>
  <c r="Z8" i="2" s="1"/>
  <c r="K26" i="2"/>
  <c r="X26" i="2" s="1"/>
  <c r="U15" i="2"/>
  <c r="AH15" i="2" s="1"/>
  <c r="K14" i="2"/>
  <c r="X14" i="2" s="1"/>
  <c r="M12" i="2"/>
  <c r="Z12" i="2" s="1"/>
  <c r="O12" i="2"/>
  <c r="AB12" i="2" s="1"/>
  <c r="J411" i="10"/>
  <c r="K411" i="10" s="1"/>
  <c r="J403" i="10"/>
  <c r="K403" i="10" s="1"/>
  <c r="J395" i="10"/>
  <c r="K395" i="10" s="1"/>
  <c r="J62" i="10"/>
  <c r="K62" i="10" s="1"/>
  <c r="J54" i="10"/>
  <c r="K54" i="10" s="1"/>
  <c r="J46" i="10"/>
  <c r="K46" i="10" s="1"/>
  <c r="J30" i="10"/>
  <c r="K30" i="10" s="1"/>
  <c r="AU65" i="5"/>
  <c r="AT65" i="5"/>
  <c r="AS65" i="5"/>
  <c r="I126" i="10"/>
  <c r="AT66" i="5"/>
  <c r="P1121" i="6" s="1"/>
  <c r="Q1121" i="6" s="1"/>
  <c r="R1121" i="6" s="1"/>
  <c r="AU66" i="5"/>
  <c r="AU61" i="5"/>
  <c r="AT61" i="5"/>
  <c r="AS61" i="5"/>
  <c r="C88" i="4"/>
  <c r="D88" i="4" s="1"/>
  <c r="E88" i="4" s="1"/>
  <c r="F88" i="4" s="1"/>
  <c r="Q63" i="2"/>
  <c r="AD63" i="2" s="1"/>
  <c r="I353" i="10"/>
  <c r="AI44" i="3"/>
  <c r="AI22" i="3"/>
  <c r="AI14" i="3"/>
  <c r="AI18" i="3"/>
  <c r="AI20" i="3"/>
  <c r="K61" i="2"/>
  <c r="X61" i="2" s="1"/>
  <c r="AI17" i="3"/>
  <c r="AI21" i="3"/>
  <c r="M61" i="2"/>
  <c r="Z61" i="2" s="1"/>
  <c r="AI15" i="3"/>
  <c r="AI19" i="3"/>
  <c r="AI16" i="3"/>
  <c r="AI23" i="3"/>
  <c r="AI49" i="3"/>
  <c r="AI47" i="3"/>
  <c r="I366" i="10"/>
  <c r="AI50" i="3"/>
  <c r="H366" i="10"/>
  <c r="J366" i="10" s="1"/>
  <c r="K366" i="10" s="1"/>
  <c r="AI48" i="3"/>
  <c r="C85" i="4"/>
  <c r="D85" i="4" s="1"/>
  <c r="E85" i="4" s="1"/>
  <c r="F85" i="4" s="1"/>
  <c r="L60" i="2"/>
  <c r="Y60" i="2" s="1"/>
  <c r="K60" i="2"/>
  <c r="X60" i="2" s="1"/>
  <c r="P60" i="2"/>
  <c r="AC60" i="2" s="1"/>
  <c r="M60" i="2"/>
  <c r="Z60" i="2" s="1"/>
  <c r="O60" i="2"/>
  <c r="AB60" i="2" s="1"/>
  <c r="I354" i="10"/>
  <c r="I303" i="10"/>
  <c r="AU43" i="5"/>
  <c r="AT43" i="5"/>
  <c r="AS43" i="5"/>
  <c r="O56" i="2"/>
  <c r="AB56" i="2" s="1"/>
  <c r="P56" i="2"/>
  <c r="AC56" i="2" s="1"/>
  <c r="I314" i="10"/>
  <c r="C80" i="4"/>
  <c r="D80" i="4" s="1"/>
  <c r="E80" i="4" s="1"/>
  <c r="F80" i="4" s="1"/>
  <c r="I289" i="10"/>
  <c r="J289" i="10" s="1"/>
  <c r="K289" i="10" s="1"/>
  <c r="C76" i="4"/>
  <c r="D76" i="4" s="1"/>
  <c r="E76" i="4" s="1"/>
  <c r="F76" i="4" s="1"/>
  <c r="AS46" i="5"/>
  <c r="AT46" i="5"/>
  <c r="AU46" i="5"/>
  <c r="C73" i="4"/>
  <c r="D73" i="4" s="1"/>
  <c r="E73" i="4" s="1"/>
  <c r="F73" i="4" s="1"/>
  <c r="I262" i="10"/>
  <c r="AT44" i="5"/>
  <c r="AU44" i="5"/>
  <c r="AS44" i="5"/>
  <c r="I220" i="10"/>
  <c r="J220" i="10" s="1"/>
  <c r="K220" i="10" s="1"/>
  <c r="I330" i="10"/>
  <c r="J330" i="10" s="1"/>
  <c r="K330" i="10" s="1"/>
  <c r="C83" i="4"/>
  <c r="D83" i="4" s="1"/>
  <c r="E83" i="4" s="1"/>
  <c r="F83" i="4" s="1"/>
  <c r="I357" i="10"/>
  <c r="H358" i="10"/>
  <c r="J358" i="10" s="1"/>
  <c r="K358" i="10" s="1"/>
  <c r="I299" i="10"/>
  <c r="C79" i="4"/>
  <c r="D79" i="4" s="1"/>
  <c r="E79" i="4" s="1"/>
  <c r="F79" i="4" s="1"/>
  <c r="H256" i="10"/>
  <c r="I256" i="10"/>
  <c r="O44" i="2"/>
  <c r="AB44" i="2" s="1"/>
  <c r="C68" i="4"/>
  <c r="D68" i="4" s="1"/>
  <c r="E68" i="4" s="1"/>
  <c r="F68" i="4" s="1"/>
  <c r="I234" i="10"/>
  <c r="J234" i="10" s="1"/>
  <c r="K234" i="10" s="1"/>
  <c r="I236" i="10"/>
  <c r="H236" i="10"/>
  <c r="C61" i="4"/>
  <c r="D61" i="4" s="1"/>
  <c r="E61" i="4" s="1"/>
  <c r="F61" i="4" s="1"/>
  <c r="I211" i="10"/>
  <c r="I213" i="10"/>
  <c r="I191" i="10"/>
  <c r="J191" i="10" s="1"/>
  <c r="K191" i="10" s="1"/>
  <c r="I212" i="10"/>
  <c r="I192" i="10"/>
  <c r="J192" i="10" s="1"/>
  <c r="K192" i="10" s="1"/>
  <c r="I209" i="10"/>
  <c r="I208" i="10"/>
  <c r="J208" i="10" s="1"/>
  <c r="K208" i="10" s="1"/>
  <c r="I179" i="10"/>
  <c r="I205" i="10"/>
  <c r="J205" i="10" s="1"/>
  <c r="K205" i="10" s="1"/>
  <c r="I196" i="10"/>
  <c r="J196" i="10" s="1"/>
  <c r="K196" i="10" s="1"/>
  <c r="C62" i="4"/>
  <c r="D62" i="4" s="1"/>
  <c r="E62" i="4" s="1"/>
  <c r="F62" i="4" s="1"/>
  <c r="I197" i="10"/>
  <c r="J197" i="10" s="1"/>
  <c r="K197" i="10" s="1"/>
  <c r="C53" i="4"/>
  <c r="D53" i="4" s="1"/>
  <c r="E53" i="4" s="1"/>
  <c r="F53" i="4" s="1"/>
  <c r="I63" i="10"/>
  <c r="H63" i="10"/>
  <c r="I55" i="10"/>
  <c r="H55" i="10"/>
  <c r="J55" i="10" s="1"/>
  <c r="K55" i="10" s="1"/>
  <c r="H408" i="10"/>
  <c r="J408" i="10" s="1"/>
  <c r="K408" i="10" s="1"/>
  <c r="I380" i="10"/>
  <c r="J380" i="10" s="1"/>
  <c r="K380" i="10" s="1"/>
  <c r="H332" i="10"/>
  <c r="AT35" i="5"/>
  <c r="AU27" i="5"/>
  <c r="AT16" i="5"/>
  <c r="R42" i="2"/>
  <c r="AE42" i="2" s="1"/>
  <c r="N42" i="2"/>
  <c r="AA42" i="2" s="1"/>
  <c r="J42" i="2"/>
  <c r="W42" i="2" s="1"/>
  <c r="T42" i="2"/>
  <c r="AG42" i="2" s="1"/>
  <c r="P42" i="2"/>
  <c r="AC42" i="2" s="1"/>
  <c r="L42" i="2"/>
  <c r="Y42" i="2" s="1"/>
  <c r="K42" i="2"/>
  <c r="X42" i="2" s="1"/>
  <c r="O42" i="2"/>
  <c r="AB42" i="2" s="1"/>
  <c r="S42" i="2"/>
  <c r="AF42" i="2" s="1"/>
  <c r="M42" i="2"/>
  <c r="Z42" i="2" s="1"/>
  <c r="U42" i="2"/>
  <c r="AH42" i="2" s="1"/>
  <c r="Q42" i="2"/>
  <c r="AD42" i="2" s="1"/>
  <c r="C67" i="4"/>
  <c r="D67" i="4" s="1"/>
  <c r="E67" i="4" s="1"/>
  <c r="F67" i="4" s="1"/>
  <c r="AS11" i="5"/>
  <c r="AT8" i="5"/>
  <c r="AS4" i="5"/>
  <c r="S29" i="2"/>
  <c r="AF29" i="2" s="1"/>
  <c r="J61" i="2"/>
  <c r="W61" i="2" s="1"/>
  <c r="R30" i="2"/>
  <c r="AE30" i="2" s="1"/>
  <c r="N30" i="2"/>
  <c r="AA30" i="2" s="1"/>
  <c r="J30" i="2"/>
  <c r="W30" i="2" s="1"/>
  <c r="P30" i="2"/>
  <c r="AC30" i="2" s="1"/>
  <c r="L30" i="2"/>
  <c r="Y30" i="2" s="1"/>
  <c r="T30" i="2"/>
  <c r="AG30" i="2" s="1"/>
  <c r="O30" i="2"/>
  <c r="AB30" i="2" s="1"/>
  <c r="M30" i="2"/>
  <c r="Z30" i="2" s="1"/>
  <c r="U30" i="2"/>
  <c r="AH30" i="2" s="1"/>
  <c r="S30" i="2"/>
  <c r="AF30" i="2" s="1"/>
  <c r="Q30" i="2"/>
  <c r="AD30" i="2" s="1"/>
  <c r="K30" i="2"/>
  <c r="X30" i="2" s="1"/>
  <c r="M56" i="2"/>
  <c r="Z56" i="2" s="1"/>
  <c r="K54" i="2"/>
  <c r="X54" i="2" s="1"/>
  <c r="C94" i="4"/>
  <c r="D94" i="4" s="1"/>
  <c r="E94" i="4" s="1"/>
  <c r="F94" i="4" s="1"/>
  <c r="Q69" i="2"/>
  <c r="AD69" i="2" s="1"/>
  <c r="C93" i="4"/>
  <c r="D93" i="4" s="1"/>
  <c r="E93" i="4" s="1"/>
  <c r="F93" i="4" s="1"/>
  <c r="Q68" i="2"/>
  <c r="AD68" i="2" s="1"/>
  <c r="I418" i="10"/>
  <c r="H418" i="10"/>
  <c r="J418" i="10" s="1"/>
  <c r="K418" i="10" s="1"/>
  <c r="AS58" i="5"/>
  <c r="AT58" i="5"/>
  <c r="AU58" i="5"/>
  <c r="C91" i="4"/>
  <c r="D91" i="4" s="1"/>
  <c r="E91" i="4" s="1"/>
  <c r="F91" i="4" s="1"/>
  <c r="I396" i="10"/>
  <c r="J396" i="10" s="1"/>
  <c r="K396" i="10" s="1"/>
  <c r="AI36" i="3"/>
  <c r="AI34" i="3"/>
  <c r="AI35" i="3"/>
  <c r="I361" i="10"/>
  <c r="J361" i="10" s="1"/>
  <c r="K361" i="10" s="1"/>
  <c r="AI27" i="3"/>
  <c r="AI29" i="3"/>
  <c r="AI28" i="3"/>
  <c r="AU57" i="5"/>
  <c r="AT57" i="5"/>
  <c r="AS57" i="5"/>
  <c r="I346" i="10"/>
  <c r="H346" i="10"/>
  <c r="I345" i="10"/>
  <c r="AU55" i="5"/>
  <c r="AS55" i="5"/>
  <c r="AT55" i="5"/>
  <c r="I341" i="10"/>
  <c r="J341" i="10" s="1"/>
  <c r="K341" i="10" s="1"/>
  <c r="H334" i="10"/>
  <c r="C81" i="4"/>
  <c r="D81" i="4" s="1"/>
  <c r="E81" i="4" s="1"/>
  <c r="F81" i="4" s="1"/>
  <c r="Q56" i="2"/>
  <c r="AD56" i="2" s="1"/>
  <c r="AS51" i="5"/>
  <c r="AT51" i="5"/>
  <c r="AU51" i="5"/>
  <c r="AS49" i="5"/>
  <c r="AT49" i="5"/>
  <c r="AU49" i="5"/>
  <c r="AI40" i="3"/>
  <c r="AI41" i="3"/>
  <c r="I364" i="10"/>
  <c r="H364" i="10"/>
  <c r="I324" i="10"/>
  <c r="H324" i="10"/>
  <c r="AU39" i="5"/>
  <c r="AT39" i="5"/>
  <c r="AS39" i="5"/>
  <c r="H265" i="10"/>
  <c r="I265" i="10"/>
  <c r="H394" i="10"/>
  <c r="I394" i="10"/>
  <c r="I368" i="10"/>
  <c r="H368" i="10"/>
  <c r="C72" i="4"/>
  <c r="D72" i="4" s="1"/>
  <c r="E72" i="4" s="1"/>
  <c r="F72" i="4" s="1"/>
  <c r="I218" i="10"/>
  <c r="L44" i="2"/>
  <c r="Y44" i="2" s="1"/>
  <c r="K44" i="2"/>
  <c r="X44" i="2" s="1"/>
  <c r="I189" i="10"/>
  <c r="J189" i="10" s="1"/>
  <c r="K189" i="10" s="1"/>
  <c r="I188" i="10"/>
  <c r="J188" i="10" s="1"/>
  <c r="K188" i="10" s="1"/>
  <c r="I280" i="10"/>
  <c r="J280" i="10" s="1"/>
  <c r="K280" i="10" s="1"/>
  <c r="I279" i="10"/>
  <c r="J279" i="10" s="1"/>
  <c r="K279" i="10" s="1"/>
  <c r="H260" i="10"/>
  <c r="J260" i="10" s="1"/>
  <c r="K260" i="10" s="1"/>
  <c r="O48" i="2"/>
  <c r="AB48" i="2" s="1"/>
  <c r="AS32" i="5"/>
  <c r="AU32" i="5"/>
  <c r="AT32" i="5"/>
  <c r="AU31" i="5"/>
  <c r="AS31" i="5"/>
  <c r="AT31" i="5"/>
  <c r="C66" i="4"/>
  <c r="D66" i="4" s="1"/>
  <c r="E66" i="4" s="1"/>
  <c r="F66" i="4" s="1"/>
  <c r="I184" i="10"/>
  <c r="J184" i="10" s="1"/>
  <c r="K184" i="10" s="1"/>
  <c r="I185" i="10"/>
  <c r="J185" i="10" s="1"/>
  <c r="K185" i="10" s="1"/>
  <c r="M38" i="2"/>
  <c r="Z38" i="2" s="1"/>
  <c r="C63" i="4"/>
  <c r="D63" i="4" s="1"/>
  <c r="E63" i="4" s="1"/>
  <c r="F63" i="4" s="1"/>
  <c r="Q38" i="2"/>
  <c r="AD38" i="2" s="1"/>
  <c r="AT33" i="5"/>
  <c r="AS33" i="5"/>
  <c r="AU33" i="5"/>
  <c r="H100" i="10"/>
  <c r="I100" i="10"/>
  <c r="H57" i="10"/>
  <c r="J57" i="10" s="1"/>
  <c r="K57" i="10" s="1"/>
  <c r="H65" i="10"/>
  <c r="J65" i="10" s="1"/>
  <c r="K65" i="10" s="1"/>
  <c r="I104" i="10"/>
  <c r="J104" i="10" s="1"/>
  <c r="K104" i="10" s="1"/>
  <c r="H406" i="10"/>
  <c r="J406" i="10" s="1"/>
  <c r="K406" i="10" s="1"/>
  <c r="H384" i="10"/>
  <c r="I384" i="10"/>
  <c r="H354" i="10"/>
  <c r="J354" i="10" s="1"/>
  <c r="K354" i="10" s="1"/>
  <c r="I334" i="10"/>
  <c r="I302" i="10"/>
  <c r="J302" i="10" s="1"/>
  <c r="K302" i="10" s="1"/>
  <c r="AS12" i="5"/>
  <c r="AU5" i="5"/>
  <c r="AU29" i="5"/>
  <c r="AT28" i="5"/>
  <c r="AT19" i="5"/>
  <c r="AS15" i="5"/>
  <c r="AT14" i="5"/>
  <c r="AS7" i="5"/>
  <c r="T59" i="2"/>
  <c r="AG59" i="2" s="1"/>
  <c r="M64" i="2"/>
  <c r="Z64" i="2" s="1"/>
  <c r="J179" i="10"/>
  <c r="K179" i="10" s="1"/>
  <c r="J42" i="10"/>
  <c r="K42" i="10" s="1"/>
  <c r="J34" i="10"/>
  <c r="K34" i="10" s="1"/>
  <c r="J26" i="10"/>
  <c r="K26" i="10" s="1"/>
  <c r="C92" i="4"/>
  <c r="D92" i="4" s="1"/>
  <c r="E92" i="4" s="1"/>
  <c r="F92" i="4" s="1"/>
  <c r="H414" i="10"/>
  <c r="I414" i="10"/>
  <c r="AU63" i="5"/>
  <c r="AS63" i="5"/>
  <c r="AT63" i="5"/>
  <c r="K64" i="2"/>
  <c r="X64" i="2" s="1"/>
  <c r="L64" i="2"/>
  <c r="Y64" i="2" s="1"/>
  <c r="M63" i="2"/>
  <c r="Z63" i="2" s="1"/>
  <c r="O63" i="2"/>
  <c r="AB63" i="2" s="1"/>
  <c r="AU62" i="5"/>
  <c r="AT62" i="5"/>
  <c r="AI38" i="3"/>
  <c r="AI39" i="3"/>
  <c r="H372" i="10"/>
  <c r="H378" i="10"/>
  <c r="I372" i="10"/>
  <c r="I378" i="10"/>
  <c r="AT56" i="5"/>
  <c r="P924" i="6" s="1"/>
  <c r="Q924" i="6" s="1"/>
  <c r="R924" i="6" s="1"/>
  <c r="AU56" i="5"/>
  <c r="AU60" i="5"/>
  <c r="AT60" i="5"/>
  <c r="AS60" i="5"/>
  <c r="AU59" i="5"/>
  <c r="AT59" i="5"/>
  <c r="AS59" i="5"/>
  <c r="I362" i="10"/>
  <c r="J362" i="10" s="1"/>
  <c r="K362" i="10" s="1"/>
  <c r="AI37" i="3"/>
  <c r="C86" i="4"/>
  <c r="D86" i="4" s="1"/>
  <c r="E86" i="4" s="1"/>
  <c r="F86" i="4" s="1"/>
  <c r="AI31" i="3"/>
  <c r="AI32" i="3"/>
  <c r="H350" i="10"/>
  <c r="J350" i="10" s="1"/>
  <c r="K350" i="10" s="1"/>
  <c r="I338" i="10"/>
  <c r="J338" i="10" s="1"/>
  <c r="K338" i="10" s="1"/>
  <c r="I332" i="10"/>
  <c r="AT50" i="5"/>
  <c r="AU50" i="5"/>
  <c r="AS50" i="5"/>
  <c r="AS53" i="5"/>
  <c r="AT53" i="5"/>
  <c r="AU53" i="5"/>
  <c r="AS42" i="5"/>
  <c r="AT42" i="5"/>
  <c r="AU42" i="5"/>
  <c r="AU40" i="5"/>
  <c r="AS40" i="5"/>
  <c r="AT40" i="5"/>
  <c r="AU45" i="5"/>
  <c r="AT45" i="5"/>
  <c r="AS45" i="5"/>
  <c r="C77" i="4"/>
  <c r="D77" i="4" s="1"/>
  <c r="E77" i="4" s="1"/>
  <c r="F77" i="4" s="1"/>
  <c r="I306" i="10"/>
  <c r="J306" i="10" s="1"/>
  <c r="K306" i="10" s="1"/>
  <c r="Q52" i="2"/>
  <c r="AD52" i="2" s="1"/>
  <c r="P52" i="2"/>
  <c r="AC52" i="2" s="1"/>
  <c r="I307" i="10"/>
  <c r="I305" i="10"/>
  <c r="J305" i="10" s="1"/>
  <c r="K305" i="10" s="1"/>
  <c r="AU41" i="5"/>
  <c r="AT41" i="5"/>
  <c r="AS41" i="5"/>
  <c r="AS36" i="5"/>
  <c r="AU36" i="5"/>
  <c r="AT36" i="5"/>
  <c r="H242" i="10"/>
  <c r="I242" i="10"/>
  <c r="I217" i="10"/>
  <c r="I216" i="10"/>
  <c r="AS26" i="5"/>
  <c r="AT26" i="5"/>
  <c r="AU26" i="5"/>
  <c r="AU18" i="5"/>
  <c r="AT18" i="5"/>
  <c r="AS18" i="5"/>
  <c r="H410" i="10"/>
  <c r="J410" i="10" s="1"/>
  <c r="K410" i="10" s="1"/>
  <c r="H398" i="10"/>
  <c r="J398" i="10" s="1"/>
  <c r="K398" i="10" s="1"/>
  <c r="I402" i="10"/>
  <c r="AU23" i="5"/>
  <c r="R62" i="2"/>
  <c r="AE62" i="2" s="1"/>
  <c r="N62" i="2"/>
  <c r="AA62" i="2" s="1"/>
  <c r="J62" i="2"/>
  <c r="W62" i="2" s="1"/>
  <c r="T62" i="2"/>
  <c r="AG62" i="2" s="1"/>
  <c r="P62" i="2"/>
  <c r="AC62" i="2" s="1"/>
  <c r="L62" i="2"/>
  <c r="Y62" i="2" s="1"/>
  <c r="U62" i="2"/>
  <c r="AH62" i="2" s="1"/>
  <c r="O62" i="2"/>
  <c r="AB62" i="2" s="1"/>
  <c r="S62" i="2"/>
  <c r="AF62" i="2" s="1"/>
  <c r="M62" i="2"/>
  <c r="Z62" i="2" s="1"/>
  <c r="K62" i="2"/>
  <c r="X62" i="2" s="1"/>
  <c r="Q62" i="2"/>
  <c r="AD62" i="2" s="1"/>
  <c r="AS38" i="5"/>
  <c r="AU13" i="5"/>
  <c r="AT9" i="5"/>
  <c r="AS6" i="5"/>
  <c r="AT3" i="5"/>
  <c r="AS35" i="5"/>
  <c r="AS24" i="5"/>
  <c r="AU21" i="5"/>
  <c r="P47" i="2"/>
  <c r="AC47" i="2" s="1"/>
  <c r="M70" i="2"/>
  <c r="Z70" i="2" s="1"/>
  <c r="M54" i="2"/>
  <c r="Z54" i="2" s="1"/>
  <c r="S50" i="2"/>
  <c r="AF50" i="2" s="1"/>
  <c r="Q28" i="2"/>
  <c r="AD28" i="2" s="1"/>
  <c r="J357" i="10"/>
  <c r="K357" i="10" s="1"/>
  <c r="J401" i="10"/>
  <c r="K401" i="10" s="1"/>
  <c r="J413" i="10"/>
  <c r="K413" i="10" s="1"/>
  <c r="J353" i="10"/>
  <c r="K353" i="10" s="1"/>
  <c r="J87" i="10"/>
  <c r="K87" i="10" s="1"/>
  <c r="H64" i="10"/>
  <c r="J64" i="10" s="1"/>
  <c r="K64" i="10" s="1"/>
  <c r="H56" i="10"/>
  <c r="J56" i="10" s="1"/>
  <c r="K56" i="10" s="1"/>
  <c r="AT64" i="5"/>
  <c r="AU64" i="5"/>
  <c r="C90" i="4"/>
  <c r="D90" i="4" s="1"/>
  <c r="E90" i="4" s="1"/>
  <c r="F90" i="4" s="1"/>
  <c r="H392" i="10"/>
  <c r="J392" i="10" s="1"/>
  <c r="K392" i="10" s="1"/>
  <c r="I392" i="10"/>
  <c r="P64" i="2"/>
  <c r="AC64" i="2" s="1"/>
  <c r="H386" i="10"/>
  <c r="J386" i="10" s="1"/>
  <c r="K386" i="10" s="1"/>
  <c r="AU54" i="5"/>
  <c r="AT54" i="5"/>
  <c r="U68" i="2"/>
  <c r="AH68" i="2" s="1"/>
  <c r="AI11" i="3"/>
  <c r="AI13" i="3"/>
  <c r="AI12" i="3"/>
  <c r="AI10" i="3"/>
  <c r="AU47" i="5"/>
  <c r="AS47" i="5"/>
  <c r="AT47" i="5"/>
  <c r="AS37" i="5"/>
  <c r="AT52" i="5"/>
  <c r="AS52" i="5"/>
  <c r="AU52" i="5"/>
  <c r="AT48" i="5"/>
  <c r="AU48" i="5"/>
  <c r="AS48" i="5"/>
  <c r="I294" i="10"/>
  <c r="I288" i="10"/>
  <c r="H271" i="10"/>
  <c r="J271" i="10" s="1"/>
  <c r="K271" i="10" s="1"/>
  <c r="C75" i="4"/>
  <c r="D75" i="4" s="1"/>
  <c r="E75" i="4" s="1"/>
  <c r="F75" i="4" s="1"/>
  <c r="H240" i="10"/>
  <c r="I240" i="10"/>
  <c r="H250" i="10"/>
  <c r="I250" i="10"/>
  <c r="AS34" i="5"/>
  <c r="AT34" i="5"/>
  <c r="AU34" i="5"/>
  <c r="I258" i="10"/>
  <c r="H258" i="10"/>
  <c r="J258" i="10" s="1"/>
  <c r="K258" i="10" s="1"/>
  <c r="C69" i="4"/>
  <c r="D69" i="4" s="1"/>
  <c r="E69" i="4" s="1"/>
  <c r="F69" i="4" s="1"/>
  <c r="I228" i="10"/>
  <c r="AS62" i="5"/>
  <c r="H390" i="10"/>
  <c r="J390" i="10" s="1"/>
  <c r="K390" i="10" s="1"/>
  <c r="AS54" i="5"/>
  <c r="AT10" i="5"/>
  <c r="R46" i="2"/>
  <c r="AE46" i="2" s="1"/>
  <c r="N46" i="2"/>
  <c r="AA46" i="2" s="1"/>
  <c r="J46" i="2"/>
  <c r="W46" i="2" s="1"/>
  <c r="T46" i="2"/>
  <c r="AG46" i="2" s="1"/>
  <c r="P46" i="2"/>
  <c r="AC46" i="2" s="1"/>
  <c r="L46" i="2"/>
  <c r="Y46" i="2" s="1"/>
  <c r="U46" i="2"/>
  <c r="AH46" i="2" s="1"/>
  <c r="O46" i="2"/>
  <c r="AB46" i="2" s="1"/>
  <c r="S46" i="2"/>
  <c r="AF46" i="2" s="1"/>
  <c r="M46" i="2"/>
  <c r="Z46" i="2" s="1"/>
  <c r="K46" i="2"/>
  <c r="X46" i="2" s="1"/>
  <c r="Q46" i="2"/>
  <c r="AD46" i="2" s="1"/>
  <c r="AU25" i="5"/>
  <c r="AU20" i="5"/>
  <c r="T61" i="2"/>
  <c r="AG61" i="2" s="1"/>
  <c r="S66" i="2"/>
  <c r="AF66" i="2" s="1"/>
  <c r="J63" i="2"/>
  <c r="W63" i="2" s="1"/>
  <c r="R34" i="2"/>
  <c r="AE34" i="2" s="1"/>
  <c r="N34" i="2"/>
  <c r="AA34" i="2" s="1"/>
  <c r="J34" i="2"/>
  <c r="W34" i="2" s="1"/>
  <c r="T34" i="2"/>
  <c r="AG34" i="2" s="1"/>
  <c r="P34" i="2"/>
  <c r="AC34" i="2" s="1"/>
  <c r="L34" i="2"/>
  <c r="Y34" i="2" s="1"/>
  <c r="U34" i="2"/>
  <c r="AH34" i="2" s="1"/>
  <c r="S34" i="2"/>
  <c r="AF34" i="2" s="1"/>
  <c r="K34" i="2"/>
  <c r="X34" i="2" s="1"/>
  <c r="M34" i="2"/>
  <c r="Z34" i="2" s="1"/>
  <c r="O34" i="2"/>
  <c r="AB34" i="2" s="1"/>
  <c r="Q34" i="2"/>
  <c r="AD34" i="2" s="1"/>
  <c r="K38" i="2"/>
  <c r="X38" i="2" s="1"/>
  <c r="U35" i="2"/>
  <c r="AH35" i="2" s="1"/>
  <c r="AU2" i="5"/>
  <c r="AU22" i="5"/>
  <c r="J416" i="10"/>
  <c r="K416" i="10" s="1"/>
  <c r="F60" i="2"/>
  <c r="H85" i="4"/>
  <c r="F44" i="2"/>
  <c r="H69" i="4"/>
  <c r="AU38" i="5"/>
  <c r="AU37" i="5"/>
  <c r="H70" i="4"/>
  <c r="AF6" i="3"/>
  <c r="AT38" i="5"/>
  <c r="AU35" i="5"/>
  <c r="I176" i="10"/>
  <c r="J176" i="10" s="1"/>
  <c r="K176" i="10" s="1"/>
  <c r="Q67" i="2"/>
  <c r="AD67" i="2" s="1"/>
  <c r="O65" i="2"/>
  <c r="AB65" i="2" s="1"/>
  <c r="Q59" i="2"/>
  <c r="AD59" i="2" s="1"/>
  <c r="G53" i="2"/>
  <c r="Q51" i="2"/>
  <c r="AD51" i="2" s="1"/>
  <c r="G45" i="2"/>
  <c r="Q39" i="2"/>
  <c r="AD39" i="2" s="1"/>
  <c r="O37" i="2"/>
  <c r="AB37" i="2" s="1"/>
  <c r="Q35" i="2"/>
  <c r="AD35" i="2" s="1"/>
  <c r="O33" i="2"/>
  <c r="AB33" i="2" s="1"/>
  <c r="Q31" i="2"/>
  <c r="AD31" i="2" s="1"/>
  <c r="O29" i="2"/>
  <c r="AB29" i="2" s="1"/>
  <c r="Q27" i="2"/>
  <c r="AD27" i="2" s="1"/>
  <c r="O25" i="2"/>
  <c r="AB25" i="2" s="1"/>
  <c r="Q23" i="2"/>
  <c r="AD23" i="2" s="1"/>
  <c r="O21" i="2"/>
  <c r="AB21" i="2" s="1"/>
  <c r="Q19" i="2"/>
  <c r="AD19" i="2" s="1"/>
  <c r="O17" i="2"/>
  <c r="AB17" i="2" s="1"/>
  <c r="Q15" i="2"/>
  <c r="AD15" i="2" s="1"/>
  <c r="O13" i="2"/>
  <c r="AB13" i="2" s="1"/>
  <c r="O9" i="2"/>
  <c r="AB9" i="2" s="1"/>
  <c r="Q7" i="2"/>
  <c r="AD7" i="2" s="1"/>
  <c r="M69" i="2"/>
  <c r="Z69" i="2" s="1"/>
  <c r="K67" i="2"/>
  <c r="X67" i="2" s="1"/>
  <c r="U61" i="2"/>
  <c r="AH61" i="2" s="1"/>
  <c r="Q37" i="2"/>
  <c r="AD37" i="2" s="1"/>
  <c r="U33" i="2"/>
  <c r="AH33" i="2" s="1"/>
  <c r="Q25" i="2"/>
  <c r="AD25" i="2" s="1"/>
  <c r="O19" i="2"/>
  <c r="AB19" i="2" s="1"/>
  <c r="M17" i="2"/>
  <c r="Z17" i="2" s="1"/>
  <c r="K15" i="2"/>
  <c r="X15" i="2" s="1"/>
  <c r="M9" i="2"/>
  <c r="Z9" i="2" s="1"/>
  <c r="R40" i="2"/>
  <c r="AE40" i="2" s="1"/>
  <c r="N40" i="2"/>
  <c r="AA40" i="2" s="1"/>
  <c r="J40" i="2"/>
  <c r="W40" i="2" s="1"/>
  <c r="S40" i="2"/>
  <c r="AF40" i="2" s="1"/>
  <c r="O40" i="2"/>
  <c r="AB40" i="2" s="1"/>
  <c r="K40" i="2"/>
  <c r="X40" i="2" s="1"/>
  <c r="T40" i="2"/>
  <c r="AG40" i="2" s="1"/>
  <c r="P40" i="2"/>
  <c r="AC40" i="2" s="1"/>
  <c r="L40" i="2"/>
  <c r="Y40" i="2" s="1"/>
  <c r="AU28" i="5"/>
  <c r="AS19" i="5"/>
  <c r="H96" i="10"/>
  <c r="J96" i="10" s="1"/>
  <c r="K96" i="10" s="1"/>
  <c r="AC5" i="3"/>
  <c r="F18" i="2"/>
  <c r="AS10" i="5"/>
  <c r="I45" i="10"/>
  <c r="J45" i="10" s="1"/>
  <c r="K45" i="10" s="1"/>
  <c r="I47" i="10"/>
  <c r="AU8" i="5"/>
  <c r="AT2" i="5"/>
  <c r="H75" i="4"/>
  <c r="H67" i="4"/>
  <c r="H35" i="4"/>
  <c r="Q70" i="2"/>
  <c r="AD70" i="2" s="1"/>
  <c r="R69" i="2"/>
  <c r="AE69" i="2" s="1"/>
  <c r="P67" i="2"/>
  <c r="AC67" i="2" s="1"/>
  <c r="Q66" i="2"/>
  <c r="AD66" i="2" s="1"/>
  <c r="R65" i="2"/>
  <c r="AE65" i="2" s="1"/>
  <c r="P63" i="2"/>
  <c r="AC63" i="2" s="1"/>
  <c r="R61" i="2"/>
  <c r="AE61" i="2" s="1"/>
  <c r="P59" i="2"/>
  <c r="AC59" i="2" s="1"/>
  <c r="Q58" i="2"/>
  <c r="AD58" i="2" s="1"/>
  <c r="P55" i="2"/>
  <c r="AC55" i="2" s="1"/>
  <c r="Q54" i="2"/>
  <c r="AD54" i="2" s="1"/>
  <c r="P51" i="2"/>
  <c r="AC51" i="2" s="1"/>
  <c r="Q50" i="2"/>
  <c r="AD50" i="2" s="1"/>
  <c r="J37" i="2"/>
  <c r="W37" i="2" s="1"/>
  <c r="P35" i="2"/>
  <c r="AC35" i="2" s="1"/>
  <c r="R33" i="2"/>
  <c r="AE33" i="2" s="1"/>
  <c r="J29" i="2"/>
  <c r="W29" i="2" s="1"/>
  <c r="P27" i="2"/>
  <c r="AC27" i="2" s="1"/>
  <c r="Q26" i="2"/>
  <c r="AD26" i="2" s="1"/>
  <c r="R25" i="2"/>
  <c r="AE25" i="2" s="1"/>
  <c r="J21" i="2"/>
  <c r="W21" i="2" s="1"/>
  <c r="P19" i="2"/>
  <c r="AC19" i="2" s="1"/>
  <c r="Q18" i="2"/>
  <c r="AD18" i="2" s="1"/>
  <c r="R17" i="2"/>
  <c r="AE17" i="2" s="1"/>
  <c r="J13" i="2"/>
  <c r="W13" i="2" s="1"/>
  <c r="Q10" i="2"/>
  <c r="AD10" i="2" s="1"/>
  <c r="R9" i="2"/>
  <c r="AE9" i="2" s="1"/>
  <c r="AT29" i="5"/>
  <c r="AT24" i="5"/>
  <c r="AS16" i="5"/>
  <c r="I39" i="10"/>
  <c r="I41" i="10"/>
  <c r="G11" i="2"/>
  <c r="AB6" i="3"/>
  <c r="AB42" i="3" s="1"/>
  <c r="H29" i="10"/>
  <c r="J29" i="10" s="1"/>
  <c r="K29" i="10" s="1"/>
  <c r="H72" i="4"/>
  <c r="C26" i="4"/>
  <c r="M21" i="2"/>
  <c r="Z21" i="2" s="1"/>
  <c r="AT37" i="5"/>
  <c r="AT21" i="5"/>
  <c r="AU19" i="5"/>
  <c r="I67" i="10"/>
  <c r="J67" i="10" s="1"/>
  <c r="K67" i="10" s="1"/>
  <c r="J71" i="10"/>
  <c r="K71" i="10" s="1"/>
  <c r="H53" i="10"/>
  <c r="J53" i="10" s="1"/>
  <c r="K53" i="10" s="1"/>
  <c r="AU11" i="5"/>
  <c r="AT5" i="5"/>
  <c r="I21" i="10"/>
  <c r="H87" i="4"/>
  <c r="H55" i="4"/>
  <c r="S70" i="2"/>
  <c r="AF70" i="2" s="1"/>
  <c r="N68" i="2"/>
  <c r="AA68" i="2" s="1"/>
  <c r="R68" i="2"/>
  <c r="AE68" i="2" s="1"/>
  <c r="J68" i="2"/>
  <c r="W68" i="2" s="1"/>
  <c r="J67" i="2"/>
  <c r="W67" i="2" s="1"/>
  <c r="O66" i="2"/>
  <c r="AB66" i="2" s="1"/>
  <c r="T65" i="2"/>
  <c r="AG65" i="2" s="1"/>
  <c r="P61" i="2"/>
  <c r="AC61" i="2" s="1"/>
  <c r="Q60" i="2"/>
  <c r="AD60" i="2" s="1"/>
  <c r="R59" i="2"/>
  <c r="AE59" i="2" s="1"/>
  <c r="R58" i="2"/>
  <c r="AE58" i="2" s="1"/>
  <c r="N58" i="2"/>
  <c r="AA58" i="2" s="1"/>
  <c r="J58" i="2"/>
  <c r="W58" i="2" s="1"/>
  <c r="T58" i="2"/>
  <c r="AG58" i="2" s="1"/>
  <c r="P58" i="2"/>
  <c r="AC58" i="2" s="1"/>
  <c r="L58" i="2"/>
  <c r="Y58" i="2" s="1"/>
  <c r="S54" i="2"/>
  <c r="AF54" i="2" s="1"/>
  <c r="R52" i="2"/>
  <c r="AE52" i="2" s="1"/>
  <c r="N52" i="2"/>
  <c r="AA52" i="2" s="1"/>
  <c r="J52" i="2"/>
  <c r="W52" i="2" s="1"/>
  <c r="J51" i="2"/>
  <c r="W51" i="2" s="1"/>
  <c r="O50" i="2"/>
  <c r="AB50" i="2" s="1"/>
  <c r="Q44" i="2"/>
  <c r="AD44" i="2" s="1"/>
  <c r="M40" i="2"/>
  <c r="Z40" i="2" s="1"/>
  <c r="S38" i="2"/>
  <c r="AF38" i="2" s="1"/>
  <c r="J35" i="2"/>
  <c r="W35" i="2" s="1"/>
  <c r="T33" i="2"/>
  <c r="AG33" i="2" s="1"/>
  <c r="P29" i="2"/>
  <c r="AC29" i="2" s="1"/>
  <c r="R27" i="2"/>
  <c r="AE27" i="2" s="1"/>
  <c r="R26" i="2"/>
  <c r="AE26" i="2" s="1"/>
  <c r="N26" i="2"/>
  <c r="AA26" i="2" s="1"/>
  <c r="J26" i="2"/>
  <c r="W26" i="2" s="1"/>
  <c r="T26" i="2"/>
  <c r="AG26" i="2" s="1"/>
  <c r="P26" i="2"/>
  <c r="AC26" i="2" s="1"/>
  <c r="L26" i="2"/>
  <c r="Y26" i="2" s="1"/>
  <c r="L25" i="2"/>
  <c r="Y25" i="2" s="1"/>
  <c r="N23" i="2"/>
  <c r="AA23" i="2" s="1"/>
  <c r="S22" i="2"/>
  <c r="AF22" i="2" s="1"/>
  <c r="J19" i="2"/>
  <c r="W19" i="2" s="1"/>
  <c r="O18" i="2"/>
  <c r="AB18" i="2" s="1"/>
  <c r="T17" i="2"/>
  <c r="AG17" i="2" s="1"/>
  <c r="P13" i="2"/>
  <c r="AC13" i="2" s="1"/>
  <c r="Q12" i="2"/>
  <c r="AD12" i="2" s="1"/>
  <c r="R10" i="2"/>
  <c r="AE10" i="2" s="1"/>
  <c r="N10" i="2"/>
  <c r="AA10" i="2" s="1"/>
  <c r="J10" i="2"/>
  <c r="W10" i="2" s="1"/>
  <c r="T10" i="2"/>
  <c r="AG10" i="2" s="1"/>
  <c r="P10" i="2"/>
  <c r="AC10" i="2" s="1"/>
  <c r="L10" i="2"/>
  <c r="Y10" i="2" s="1"/>
  <c r="L9" i="2"/>
  <c r="Y9" i="2" s="1"/>
  <c r="N7" i="2"/>
  <c r="AA7" i="2" s="1"/>
  <c r="S6" i="2"/>
  <c r="AF6" i="2" s="1"/>
  <c r="S31" i="2"/>
  <c r="AF31" i="2" s="1"/>
  <c r="O31" i="2"/>
  <c r="AB31" i="2" s="1"/>
  <c r="K31" i="2"/>
  <c r="X31" i="2" s="1"/>
  <c r="S23" i="2"/>
  <c r="AF23" i="2" s="1"/>
  <c r="O23" i="2"/>
  <c r="AB23" i="2" s="1"/>
  <c r="K23" i="2"/>
  <c r="X23" i="2" s="1"/>
  <c r="AT12" i="5"/>
  <c r="H79" i="10"/>
  <c r="J79" i="10" s="1"/>
  <c r="K79" i="10" s="1"/>
  <c r="AT4" i="5"/>
  <c r="I17" i="10"/>
  <c r="J17" i="10" s="1"/>
  <c r="K17" i="10" s="1"/>
  <c r="S7" i="2"/>
  <c r="AF7" i="2" s="1"/>
  <c r="O7" i="2"/>
  <c r="AB7" i="2" s="1"/>
  <c r="K7" i="2"/>
  <c r="X7" i="2" s="1"/>
  <c r="AS21" i="5"/>
  <c r="S12" i="2"/>
  <c r="AF12" i="2" s="1"/>
  <c r="L12" i="2"/>
  <c r="Y12" i="2" s="1"/>
  <c r="AS5" i="5"/>
  <c r="S65" i="2"/>
  <c r="AF65" i="2" s="1"/>
  <c r="U54" i="2"/>
  <c r="AH54" i="2" s="1"/>
  <c r="S27" i="2"/>
  <c r="AF27" i="2" s="1"/>
  <c r="S20" i="2"/>
  <c r="AF20" i="2" s="1"/>
  <c r="L20" i="2"/>
  <c r="Y20" i="2" s="1"/>
  <c r="S64" i="2"/>
  <c r="AF64" i="2" s="1"/>
  <c r="T68" i="2"/>
  <c r="AG68" i="2" s="1"/>
  <c r="U38" i="2"/>
  <c r="AH38" i="2" s="1"/>
  <c r="S67" i="2"/>
  <c r="AF67" i="2" s="1"/>
  <c r="S59" i="2"/>
  <c r="AF59" i="2" s="1"/>
  <c r="S33" i="2"/>
  <c r="AF33" i="2" s="1"/>
  <c r="S21" i="2"/>
  <c r="AF21" i="2" s="1"/>
  <c r="S9" i="2"/>
  <c r="AF9" i="2" s="1"/>
  <c r="U26" i="2"/>
  <c r="AH26" i="2" s="1"/>
  <c r="S52" i="2"/>
  <c r="AF52" i="2" s="1"/>
  <c r="AS29" i="5"/>
  <c r="U20" i="2"/>
  <c r="AH20" i="2" s="1"/>
  <c r="F68" i="2"/>
  <c r="H93" i="4"/>
  <c r="F56" i="2"/>
  <c r="H81" i="4"/>
  <c r="H77" i="4"/>
  <c r="F52" i="2"/>
  <c r="S55" i="2"/>
  <c r="AF55" i="2" s="1"/>
  <c r="O55" i="2"/>
  <c r="AB55" i="2" s="1"/>
  <c r="K55" i="2"/>
  <c r="X55" i="2" s="1"/>
  <c r="S47" i="2"/>
  <c r="AF47" i="2" s="1"/>
  <c r="O47" i="2"/>
  <c r="AB47" i="2" s="1"/>
  <c r="K47" i="2"/>
  <c r="X47" i="2" s="1"/>
  <c r="S39" i="2"/>
  <c r="AF39" i="2" s="1"/>
  <c r="O39" i="2"/>
  <c r="AB39" i="2" s="1"/>
  <c r="K39" i="2"/>
  <c r="X39" i="2" s="1"/>
  <c r="I175" i="10"/>
  <c r="J175" i="10" s="1"/>
  <c r="K175" i="10" s="1"/>
  <c r="M67" i="2"/>
  <c r="Z67" i="2" s="1"/>
  <c r="K65" i="2"/>
  <c r="X65" i="2" s="1"/>
  <c r="M59" i="2"/>
  <c r="Z59" i="2" s="1"/>
  <c r="M51" i="2"/>
  <c r="Z51" i="2" s="1"/>
  <c r="M39" i="2"/>
  <c r="Z39" i="2" s="1"/>
  <c r="K37" i="2"/>
  <c r="X37" i="2" s="1"/>
  <c r="M35" i="2"/>
  <c r="Z35" i="2" s="1"/>
  <c r="K33" i="2"/>
  <c r="X33" i="2" s="1"/>
  <c r="M31" i="2"/>
  <c r="Z31" i="2" s="1"/>
  <c r="K29" i="2"/>
  <c r="X29" i="2" s="1"/>
  <c r="M27" i="2"/>
  <c r="Z27" i="2" s="1"/>
  <c r="K25" i="2"/>
  <c r="X25" i="2" s="1"/>
  <c r="M23" i="2"/>
  <c r="Z23" i="2" s="1"/>
  <c r="K21" i="2"/>
  <c r="X21" i="2" s="1"/>
  <c r="M19" i="2"/>
  <c r="Z19" i="2" s="1"/>
  <c r="K17" i="2"/>
  <c r="X17" i="2" s="1"/>
  <c r="M15" i="2"/>
  <c r="Z15" i="2" s="1"/>
  <c r="K13" i="2"/>
  <c r="X13" i="2" s="1"/>
  <c r="K9" i="2"/>
  <c r="X9" i="2" s="1"/>
  <c r="M7" i="2"/>
  <c r="Z7" i="2" s="1"/>
  <c r="U65" i="2"/>
  <c r="AH65" i="2" s="1"/>
  <c r="Q61" i="2"/>
  <c r="AD61" i="2" s="1"/>
  <c r="O59" i="2"/>
  <c r="AB59" i="2" s="1"/>
  <c r="M37" i="2"/>
  <c r="Z37" i="2" s="1"/>
  <c r="Q33" i="2"/>
  <c r="AD33" i="2" s="1"/>
  <c r="O27" i="2"/>
  <c r="AB27" i="2" s="1"/>
  <c r="M25" i="2"/>
  <c r="Z25" i="2" s="1"/>
  <c r="K19" i="2"/>
  <c r="X19" i="2" s="1"/>
  <c r="U13" i="2"/>
  <c r="AH13" i="2" s="1"/>
  <c r="G36" i="2"/>
  <c r="H61" i="4"/>
  <c r="AU16" i="5"/>
  <c r="J43" i="10"/>
  <c r="K43" i="10" s="1"/>
  <c r="AU7" i="5"/>
  <c r="T8" i="2"/>
  <c r="AG8" i="2" s="1"/>
  <c r="P8" i="2"/>
  <c r="AC8" i="2" s="1"/>
  <c r="L8" i="2"/>
  <c r="Y8" i="2" s="1"/>
  <c r="R8" i="2"/>
  <c r="AE8" i="2" s="1"/>
  <c r="N8" i="2"/>
  <c r="AA8" i="2" s="1"/>
  <c r="J8" i="2"/>
  <c r="W8" i="2" s="1"/>
  <c r="S8" i="2"/>
  <c r="AF8" i="2" s="1"/>
  <c r="O8" i="2"/>
  <c r="AB8" i="2" s="1"/>
  <c r="K8" i="2"/>
  <c r="X8" i="2" s="1"/>
  <c r="H91" i="4"/>
  <c r="C64" i="4"/>
  <c r="D64" i="4" s="1"/>
  <c r="E64" i="4" s="1"/>
  <c r="F64" i="4" s="1"/>
  <c r="H43" i="4"/>
  <c r="N69" i="2"/>
  <c r="AA69" i="2" s="1"/>
  <c r="L67" i="2"/>
  <c r="Y67" i="2" s="1"/>
  <c r="M66" i="2"/>
  <c r="Z66" i="2" s="1"/>
  <c r="N65" i="2"/>
  <c r="AA65" i="2" s="1"/>
  <c r="L63" i="2"/>
  <c r="Y63" i="2" s="1"/>
  <c r="N61" i="2"/>
  <c r="AA61" i="2" s="1"/>
  <c r="L59" i="2"/>
  <c r="Y59" i="2" s="1"/>
  <c r="M58" i="2"/>
  <c r="Z58" i="2" s="1"/>
  <c r="L55" i="2"/>
  <c r="Y55" i="2" s="1"/>
  <c r="L51" i="2"/>
  <c r="Y51" i="2" s="1"/>
  <c r="M50" i="2"/>
  <c r="Z50" i="2" s="1"/>
  <c r="L47" i="2"/>
  <c r="Y47" i="2" s="1"/>
  <c r="T39" i="2"/>
  <c r="AG39" i="2" s="1"/>
  <c r="L35" i="2"/>
  <c r="Y35" i="2" s="1"/>
  <c r="N33" i="2"/>
  <c r="AA33" i="2" s="1"/>
  <c r="T31" i="2"/>
  <c r="AG31" i="2" s="1"/>
  <c r="L27" i="2"/>
  <c r="Y27" i="2" s="1"/>
  <c r="M26" i="2"/>
  <c r="Z26" i="2" s="1"/>
  <c r="N25" i="2"/>
  <c r="AA25" i="2" s="1"/>
  <c r="T23" i="2"/>
  <c r="AG23" i="2" s="1"/>
  <c r="L19" i="2"/>
  <c r="Y19" i="2" s="1"/>
  <c r="M18" i="2"/>
  <c r="Z18" i="2" s="1"/>
  <c r="N17" i="2"/>
  <c r="AA17" i="2" s="1"/>
  <c r="T15" i="2"/>
  <c r="AG15" i="2" s="1"/>
  <c r="M10" i="2"/>
  <c r="Z10" i="2" s="1"/>
  <c r="N9" i="2"/>
  <c r="AA9" i="2" s="1"/>
  <c r="AT25" i="5"/>
  <c r="AT23" i="5"/>
  <c r="AS8" i="5"/>
  <c r="J35" i="10"/>
  <c r="K35" i="10" s="1"/>
  <c r="H80" i="4"/>
  <c r="C13" i="4"/>
  <c r="U29" i="2"/>
  <c r="AH29" i="2" s="1"/>
  <c r="AS23" i="5"/>
  <c r="H69" i="10"/>
  <c r="J69" i="10" s="1"/>
  <c r="K69" i="10" s="1"/>
  <c r="J66" i="10"/>
  <c r="K66" i="10" s="1"/>
  <c r="H59" i="10"/>
  <c r="J59" i="10" s="1"/>
  <c r="K59" i="10" s="1"/>
  <c r="AT13" i="5"/>
  <c r="H95" i="4"/>
  <c r="H63" i="4"/>
  <c r="O70" i="2"/>
  <c r="AB70" i="2" s="1"/>
  <c r="T69" i="2"/>
  <c r="AG69" i="2" s="1"/>
  <c r="K66" i="2"/>
  <c r="X66" i="2" s="1"/>
  <c r="P65" i="2"/>
  <c r="AC65" i="2" s="1"/>
  <c r="Q64" i="2"/>
  <c r="AD64" i="2" s="1"/>
  <c r="R63" i="2"/>
  <c r="AE63" i="2" s="1"/>
  <c r="L61" i="2"/>
  <c r="Y61" i="2" s="1"/>
  <c r="N59" i="2"/>
  <c r="AA59" i="2" s="1"/>
  <c r="S58" i="2"/>
  <c r="AF58" i="2" s="1"/>
  <c r="R56" i="2"/>
  <c r="AE56" i="2" s="1"/>
  <c r="N56" i="2"/>
  <c r="AA56" i="2" s="1"/>
  <c r="J56" i="2"/>
  <c r="W56" i="2" s="1"/>
  <c r="J55" i="2"/>
  <c r="W55" i="2" s="1"/>
  <c r="O54" i="2"/>
  <c r="AB54" i="2" s="1"/>
  <c r="K50" i="2"/>
  <c r="X50" i="2" s="1"/>
  <c r="Q48" i="2"/>
  <c r="AD48" i="2" s="1"/>
  <c r="R47" i="2"/>
  <c r="AE47" i="2" s="1"/>
  <c r="J39" i="2"/>
  <c r="W39" i="2" s="1"/>
  <c r="O38" i="2"/>
  <c r="AB38" i="2" s="1"/>
  <c r="T37" i="2"/>
  <c r="AG37" i="2" s="1"/>
  <c r="P33" i="2"/>
  <c r="AC33" i="2" s="1"/>
  <c r="R31" i="2"/>
  <c r="AE31" i="2" s="1"/>
  <c r="L29" i="2"/>
  <c r="Y29" i="2" s="1"/>
  <c r="N27" i="2"/>
  <c r="AA27" i="2" s="1"/>
  <c r="S26" i="2"/>
  <c r="AF26" i="2" s="1"/>
  <c r="J23" i="2"/>
  <c r="W23" i="2" s="1"/>
  <c r="O22" i="2"/>
  <c r="AB22" i="2" s="1"/>
  <c r="T21" i="2"/>
  <c r="AG21" i="2" s="1"/>
  <c r="K18" i="2"/>
  <c r="X18" i="2" s="1"/>
  <c r="P17" i="2"/>
  <c r="AC17" i="2" s="1"/>
  <c r="R15" i="2"/>
  <c r="AE15" i="2" s="1"/>
  <c r="R14" i="2"/>
  <c r="AE14" i="2" s="1"/>
  <c r="N14" i="2"/>
  <c r="AA14" i="2" s="1"/>
  <c r="J14" i="2"/>
  <c r="W14" i="2" s="1"/>
  <c r="T14" i="2"/>
  <c r="AG14" i="2" s="1"/>
  <c r="P14" i="2"/>
  <c r="AC14" i="2" s="1"/>
  <c r="L14" i="2"/>
  <c r="Y14" i="2" s="1"/>
  <c r="L13" i="2"/>
  <c r="Y13" i="2" s="1"/>
  <c r="S10" i="2"/>
  <c r="AF10" i="2" s="1"/>
  <c r="J7" i="2"/>
  <c r="W7" i="2" s="1"/>
  <c r="O6" i="2"/>
  <c r="AB6" i="2" s="1"/>
  <c r="H62" i="4"/>
  <c r="AT27" i="5"/>
  <c r="AS20" i="5"/>
  <c r="I84" i="10"/>
  <c r="J84" i="10" s="1"/>
  <c r="K84" i="10" s="1"/>
  <c r="F20" i="2"/>
  <c r="H45" i="4"/>
  <c r="I79" i="10"/>
  <c r="J77" i="10"/>
  <c r="K77" i="10" s="1"/>
  <c r="F12" i="2"/>
  <c r="H37" i="4"/>
  <c r="I15" i="10"/>
  <c r="J15" i="10" s="1"/>
  <c r="K15" i="10" s="1"/>
  <c r="G41" i="2"/>
  <c r="AS25" i="5"/>
  <c r="H49" i="4"/>
  <c r="J12" i="2"/>
  <c r="W12" i="2" s="1"/>
  <c r="P12" i="2"/>
  <c r="AC12" i="2" s="1"/>
  <c r="H33" i="4"/>
  <c r="S48" i="2"/>
  <c r="AF48" i="2" s="1"/>
  <c r="S37" i="2"/>
  <c r="AF37" i="2" s="1"/>
  <c r="U22" i="2"/>
  <c r="AH22" i="2" s="1"/>
  <c r="U10" i="2"/>
  <c r="AH10" i="2" s="1"/>
  <c r="J20" i="2"/>
  <c r="W20" i="2" s="1"/>
  <c r="P20" i="2"/>
  <c r="AC20" i="2" s="1"/>
  <c r="U56" i="2"/>
  <c r="AH56" i="2" s="1"/>
  <c r="S63" i="2"/>
  <c r="AF63" i="2" s="1"/>
  <c r="S25" i="2"/>
  <c r="AF25" i="2" s="1"/>
  <c r="T64" i="2"/>
  <c r="AG64" i="2" s="1"/>
  <c r="T56" i="2"/>
  <c r="AG56" i="2" s="1"/>
  <c r="U31" i="2"/>
  <c r="AH31" i="2" s="1"/>
  <c r="U7" i="2"/>
  <c r="AH7" i="2" s="1"/>
  <c r="S17" i="2"/>
  <c r="AF17" i="2" s="1"/>
  <c r="U39" i="2"/>
  <c r="AH39" i="2" s="1"/>
  <c r="AS13" i="5"/>
  <c r="S69" i="2"/>
  <c r="AF69" i="2" s="1"/>
  <c r="U47" i="2"/>
  <c r="AH47" i="2" s="1"/>
  <c r="AU10" i="5"/>
  <c r="AS30" i="5"/>
  <c r="AS28" i="5"/>
  <c r="AU14" i="5"/>
  <c r="AH5" i="3"/>
  <c r="F58" i="2"/>
  <c r="G57" i="2"/>
  <c r="Q55" i="2"/>
  <c r="AD55" i="2" s="1"/>
  <c r="G49" i="2"/>
  <c r="Q47" i="2"/>
  <c r="AD47" i="2" s="1"/>
  <c r="Q65" i="2"/>
  <c r="AD65" i="2" s="1"/>
  <c r="M33" i="2"/>
  <c r="Z33" i="2" s="1"/>
  <c r="U17" i="2"/>
  <c r="AH17" i="2" s="1"/>
  <c r="Q13" i="2"/>
  <c r="AD13" i="2" s="1"/>
  <c r="U9" i="2"/>
  <c r="AH9" i="2" s="1"/>
  <c r="H65" i="4"/>
  <c r="F40" i="2"/>
  <c r="H57" i="4"/>
  <c r="G32" i="2"/>
  <c r="AU24" i="5"/>
  <c r="AU15" i="5"/>
  <c r="T16" i="2"/>
  <c r="AG16" i="2" s="1"/>
  <c r="P16" i="2"/>
  <c r="AC16" i="2" s="1"/>
  <c r="L16" i="2"/>
  <c r="Y16" i="2" s="1"/>
  <c r="R16" i="2"/>
  <c r="AE16" i="2" s="1"/>
  <c r="N16" i="2"/>
  <c r="AA16" i="2" s="1"/>
  <c r="J16" i="2"/>
  <c r="W16" i="2" s="1"/>
  <c r="S16" i="2"/>
  <c r="AF16" i="2" s="1"/>
  <c r="O16" i="2"/>
  <c r="AB16" i="2" s="1"/>
  <c r="K16" i="2"/>
  <c r="X16" i="2" s="1"/>
  <c r="AS3" i="5"/>
  <c r="J65" i="2"/>
  <c r="W65" i="2" s="1"/>
  <c r="P39" i="2"/>
  <c r="AC39" i="2" s="1"/>
  <c r="R37" i="2"/>
  <c r="AE37" i="2" s="1"/>
  <c r="J33" i="2"/>
  <c r="W33" i="2" s="1"/>
  <c r="P31" i="2"/>
  <c r="AC31" i="2" s="1"/>
  <c r="R29" i="2"/>
  <c r="AE29" i="2" s="1"/>
  <c r="J25" i="2"/>
  <c r="W25" i="2" s="1"/>
  <c r="P23" i="2"/>
  <c r="AC23" i="2" s="1"/>
  <c r="R21" i="2"/>
  <c r="AE21" i="2" s="1"/>
  <c r="J17" i="2"/>
  <c r="W17" i="2" s="1"/>
  <c r="P15" i="2"/>
  <c r="AC15" i="2" s="1"/>
  <c r="R13" i="2"/>
  <c r="AE13" i="2" s="1"/>
  <c r="J9" i="2"/>
  <c r="W9" i="2" s="1"/>
  <c r="P7" i="2"/>
  <c r="AC7" i="2" s="1"/>
  <c r="H248" i="10"/>
  <c r="J248" i="10" s="1"/>
  <c r="K248" i="10" s="1"/>
  <c r="AT15" i="5"/>
  <c r="H41" i="10"/>
  <c r="I25" i="10"/>
  <c r="J25" i="10" s="1"/>
  <c r="K25" i="10" s="1"/>
  <c r="C24" i="4"/>
  <c r="C25" i="4"/>
  <c r="Q29" i="2"/>
  <c r="AD29" i="2" s="1"/>
  <c r="U21" i="2"/>
  <c r="AH21" i="2" s="1"/>
  <c r="AU30" i="5"/>
  <c r="AS22" i="5"/>
  <c r="I59" i="10"/>
  <c r="J51" i="10"/>
  <c r="K51" i="10" s="1"/>
  <c r="AU4" i="5"/>
  <c r="H71" i="4"/>
  <c r="P69" i="2"/>
  <c r="AC69" i="2" s="1"/>
  <c r="R67" i="2"/>
  <c r="AE67" i="2" s="1"/>
  <c r="R66" i="2"/>
  <c r="AE66" i="2" s="1"/>
  <c r="N66" i="2"/>
  <c r="AA66" i="2" s="1"/>
  <c r="J66" i="2"/>
  <c r="W66" i="2" s="1"/>
  <c r="T66" i="2"/>
  <c r="AG66" i="2" s="1"/>
  <c r="P66" i="2"/>
  <c r="AC66" i="2" s="1"/>
  <c r="L66" i="2"/>
  <c r="Y66" i="2" s="1"/>
  <c r="L65" i="2"/>
  <c r="Y65" i="2" s="1"/>
  <c r="N63" i="2"/>
  <c r="AA63" i="2" s="1"/>
  <c r="R60" i="2"/>
  <c r="AE60" i="2" s="1"/>
  <c r="N60" i="2"/>
  <c r="AA60" i="2" s="1"/>
  <c r="J60" i="2"/>
  <c r="W60" i="2" s="1"/>
  <c r="J59" i="2"/>
  <c r="W59" i="2" s="1"/>
  <c r="O58" i="2"/>
  <c r="AB58" i="2" s="1"/>
  <c r="R50" i="2"/>
  <c r="AE50" i="2" s="1"/>
  <c r="N50" i="2"/>
  <c r="AA50" i="2" s="1"/>
  <c r="J50" i="2"/>
  <c r="W50" i="2" s="1"/>
  <c r="T50" i="2"/>
  <c r="AG50" i="2" s="1"/>
  <c r="P50" i="2"/>
  <c r="AC50" i="2" s="1"/>
  <c r="L50" i="2"/>
  <c r="Y50" i="2" s="1"/>
  <c r="M48" i="2"/>
  <c r="Z48" i="2" s="1"/>
  <c r="N47" i="2"/>
  <c r="AA47" i="2" s="1"/>
  <c r="R44" i="2"/>
  <c r="AE44" i="2" s="1"/>
  <c r="N44" i="2"/>
  <c r="AA44" i="2" s="1"/>
  <c r="J44" i="2"/>
  <c r="W44" i="2" s="1"/>
  <c r="F39" i="2"/>
  <c r="P37" i="2"/>
  <c r="AC37" i="2" s="1"/>
  <c r="R35" i="2"/>
  <c r="AE35" i="2" s="1"/>
  <c r="N31" i="2"/>
  <c r="AA31" i="2" s="1"/>
  <c r="O26" i="2"/>
  <c r="AB26" i="2" s="1"/>
  <c r="T25" i="2"/>
  <c r="AG25" i="2" s="1"/>
  <c r="P21" i="2"/>
  <c r="AC21" i="2" s="1"/>
  <c r="Q20" i="2"/>
  <c r="AD20" i="2" s="1"/>
  <c r="R19" i="2"/>
  <c r="AE19" i="2" s="1"/>
  <c r="R18" i="2"/>
  <c r="AE18" i="2" s="1"/>
  <c r="N18" i="2"/>
  <c r="AA18" i="2" s="1"/>
  <c r="J18" i="2"/>
  <c r="W18" i="2" s="1"/>
  <c r="T18" i="2"/>
  <c r="AG18" i="2" s="1"/>
  <c r="P18" i="2"/>
  <c r="AC18" i="2" s="1"/>
  <c r="L18" i="2"/>
  <c r="Y18" i="2" s="1"/>
  <c r="L17" i="2"/>
  <c r="Y17" i="2" s="1"/>
  <c r="M16" i="2"/>
  <c r="Z16" i="2" s="1"/>
  <c r="N15" i="2"/>
  <c r="AA15" i="2" s="1"/>
  <c r="S14" i="2"/>
  <c r="AF14" i="2" s="1"/>
  <c r="O10" i="2"/>
  <c r="AB10" i="2" s="1"/>
  <c r="T9" i="2"/>
  <c r="AG9" i="2" s="1"/>
  <c r="K6" i="2"/>
  <c r="X6" i="2" s="1"/>
  <c r="H58" i="4"/>
  <c r="H54" i="4"/>
  <c r="AT20" i="5"/>
  <c r="AT11" i="5"/>
  <c r="AB30" i="3"/>
  <c r="AB40" i="3"/>
  <c r="I19" i="10"/>
  <c r="T28" i="2"/>
  <c r="AG28" i="2" s="1"/>
  <c r="P28" i="2"/>
  <c r="AC28" i="2" s="1"/>
  <c r="L28" i="2"/>
  <c r="Y28" i="2" s="1"/>
  <c r="R28" i="2"/>
  <c r="AE28" i="2" s="1"/>
  <c r="N28" i="2"/>
  <c r="AA28" i="2" s="1"/>
  <c r="J28" i="2"/>
  <c r="W28" i="2" s="1"/>
  <c r="S28" i="2"/>
  <c r="AF28" i="2" s="1"/>
  <c r="O28" i="2"/>
  <c r="AB28" i="2" s="1"/>
  <c r="K28" i="2"/>
  <c r="X28" i="2" s="1"/>
  <c r="K12" i="2"/>
  <c r="X12" i="2" s="1"/>
  <c r="N12" i="2"/>
  <c r="AA12" i="2" s="1"/>
  <c r="S68" i="2"/>
  <c r="AF68" i="2" s="1"/>
  <c r="U16" i="2"/>
  <c r="AH16" i="2" s="1"/>
  <c r="K20" i="2"/>
  <c r="X20" i="2" s="1"/>
  <c r="N20" i="2"/>
  <c r="AA20" i="2" s="1"/>
  <c r="T52" i="2"/>
  <c r="AG52" i="2" s="1"/>
  <c r="S19" i="2"/>
  <c r="AF19" i="2" s="1"/>
  <c r="U63" i="2"/>
  <c r="AH63" i="2" s="1"/>
  <c r="U44" i="2"/>
  <c r="AH44" i="2" s="1"/>
  <c r="S15" i="2"/>
  <c r="AF15" i="2" s="1"/>
  <c r="U28" i="2"/>
  <c r="AH28" i="2" s="1"/>
  <c r="H41" i="4"/>
  <c r="S61" i="2"/>
  <c r="AF61" i="2" s="1"/>
  <c r="T60" i="2"/>
  <c r="AG60" i="2" s="1"/>
  <c r="U23" i="2"/>
  <c r="AH23" i="2" s="1"/>
  <c r="AS9" i="5"/>
  <c r="AU6" i="5"/>
  <c r="F64" i="2"/>
  <c r="H89" i="4"/>
  <c r="H73" i="4"/>
  <c r="F48" i="2"/>
  <c r="AG5" i="3"/>
  <c r="AS17" i="5"/>
  <c r="S51" i="2"/>
  <c r="AF51" i="2" s="1"/>
  <c r="O51" i="2"/>
  <c r="AB51" i="2" s="1"/>
  <c r="K51" i="2"/>
  <c r="X51" i="2" s="1"/>
  <c r="G43" i="2"/>
  <c r="AE6" i="3"/>
  <c r="I177" i="10"/>
  <c r="J177" i="10" s="1"/>
  <c r="K177" i="10" s="1"/>
  <c r="I204" i="10"/>
  <c r="H76" i="4"/>
  <c r="H68" i="4"/>
  <c r="M55" i="2"/>
  <c r="Z55" i="2" s="1"/>
  <c r="M47" i="2"/>
  <c r="Z47" i="2" s="1"/>
  <c r="U37" i="2"/>
  <c r="AH37" i="2" s="1"/>
  <c r="U25" i="2"/>
  <c r="AH25" i="2" s="1"/>
  <c r="O15" i="2"/>
  <c r="AB15" i="2" s="1"/>
  <c r="M13" i="2"/>
  <c r="Z13" i="2" s="1"/>
  <c r="Q9" i="2"/>
  <c r="AD9" i="2" s="1"/>
  <c r="AS27" i="5"/>
  <c r="T24" i="2"/>
  <c r="AG24" i="2" s="1"/>
  <c r="P24" i="2"/>
  <c r="AC24" i="2" s="1"/>
  <c r="L24" i="2"/>
  <c r="Y24" i="2" s="1"/>
  <c r="R24" i="2"/>
  <c r="AE24" i="2" s="1"/>
  <c r="N24" i="2"/>
  <c r="AA24" i="2" s="1"/>
  <c r="J24" i="2"/>
  <c r="W24" i="2" s="1"/>
  <c r="S24" i="2"/>
  <c r="AF24" i="2" s="1"/>
  <c r="O24" i="2"/>
  <c r="AB24" i="2" s="1"/>
  <c r="K24" i="2"/>
  <c r="X24" i="2" s="1"/>
  <c r="AT17" i="5"/>
  <c r="H47" i="10"/>
  <c r="J47" i="10" s="1"/>
  <c r="K47" i="10" s="1"/>
  <c r="AS2" i="5"/>
  <c r="H83" i="4"/>
  <c r="H59" i="4"/>
  <c r="C48" i="4"/>
  <c r="D48" i="4" s="1"/>
  <c r="E48" i="4" s="1"/>
  <c r="F48" i="4" s="1"/>
  <c r="T63" i="2"/>
  <c r="AG63" i="2" s="1"/>
  <c r="T55" i="2"/>
  <c r="AG55" i="2" s="1"/>
  <c r="T51" i="2"/>
  <c r="AG51" i="2" s="1"/>
  <c r="T47" i="2"/>
  <c r="AG47" i="2" s="1"/>
  <c r="L39" i="2"/>
  <c r="Y39" i="2" s="1"/>
  <c r="N37" i="2"/>
  <c r="AA37" i="2" s="1"/>
  <c r="T35" i="2"/>
  <c r="AG35" i="2" s="1"/>
  <c r="N29" i="2"/>
  <c r="AA29" i="2" s="1"/>
  <c r="F25" i="2"/>
  <c r="N21" i="2"/>
  <c r="AA21" i="2" s="1"/>
  <c r="T19" i="2"/>
  <c r="AG19" i="2" s="1"/>
  <c r="N13" i="2"/>
  <c r="AA13" i="2" s="1"/>
  <c r="AT7" i="5"/>
  <c r="M29" i="2"/>
  <c r="Z29" i="2" s="1"/>
  <c r="Q21" i="2"/>
  <c r="AD21" i="2" s="1"/>
  <c r="AT30" i="5"/>
  <c r="AT22" i="5"/>
  <c r="AS14" i="5"/>
  <c r="J70" i="10"/>
  <c r="K70" i="10" s="1"/>
  <c r="AU12" i="5"/>
  <c r="AT6" i="5"/>
  <c r="H21" i="10"/>
  <c r="J21" i="10" s="1"/>
  <c r="K21" i="10" s="1"/>
  <c r="AU3" i="5"/>
  <c r="H79" i="4"/>
  <c r="R70" i="2"/>
  <c r="AE70" i="2" s="1"/>
  <c r="N70" i="2"/>
  <c r="AA70" i="2" s="1"/>
  <c r="J70" i="2"/>
  <c r="W70" i="2" s="1"/>
  <c r="P70" i="2"/>
  <c r="AC70" i="2" s="1"/>
  <c r="L70" i="2"/>
  <c r="Y70" i="2" s="1"/>
  <c r="T70" i="2"/>
  <c r="AG70" i="2" s="1"/>
  <c r="R64" i="2"/>
  <c r="AE64" i="2" s="1"/>
  <c r="N64" i="2"/>
  <c r="AA64" i="2" s="1"/>
  <c r="J64" i="2"/>
  <c r="W64" i="2" s="1"/>
  <c r="K58" i="2"/>
  <c r="X58" i="2" s="1"/>
  <c r="R55" i="2"/>
  <c r="AE55" i="2" s="1"/>
  <c r="R54" i="2"/>
  <c r="AE54" i="2" s="1"/>
  <c r="N54" i="2"/>
  <c r="AA54" i="2" s="1"/>
  <c r="J54" i="2"/>
  <c r="W54" i="2" s="1"/>
  <c r="T54" i="2"/>
  <c r="AG54" i="2" s="1"/>
  <c r="P54" i="2"/>
  <c r="AC54" i="2" s="1"/>
  <c r="L54" i="2"/>
  <c r="Y54" i="2" s="1"/>
  <c r="N51" i="2"/>
  <c r="AA51" i="2" s="1"/>
  <c r="R48" i="2"/>
  <c r="AE48" i="2" s="1"/>
  <c r="N48" i="2"/>
  <c r="AA48" i="2" s="1"/>
  <c r="J48" i="2"/>
  <c r="W48" i="2" s="1"/>
  <c r="J47" i="2"/>
  <c r="W47" i="2" s="1"/>
  <c r="Q40" i="2"/>
  <c r="AD40" i="2" s="1"/>
  <c r="R39" i="2"/>
  <c r="AE39" i="2" s="1"/>
  <c r="R38" i="2"/>
  <c r="AE38" i="2" s="1"/>
  <c r="N38" i="2"/>
  <c r="AA38" i="2" s="1"/>
  <c r="J38" i="2"/>
  <c r="W38" i="2" s="1"/>
  <c r="T38" i="2"/>
  <c r="AG38" i="2" s="1"/>
  <c r="P38" i="2"/>
  <c r="AC38" i="2" s="1"/>
  <c r="L38" i="2"/>
  <c r="Y38" i="2" s="1"/>
  <c r="T29" i="2"/>
  <c r="AG29" i="2" s="1"/>
  <c r="Q24" i="2"/>
  <c r="AD24" i="2" s="1"/>
  <c r="R22" i="2"/>
  <c r="AE22" i="2" s="1"/>
  <c r="N22" i="2"/>
  <c r="AA22" i="2" s="1"/>
  <c r="J22" i="2"/>
  <c r="W22" i="2" s="1"/>
  <c r="T22" i="2"/>
  <c r="AG22" i="2" s="1"/>
  <c r="P22" i="2"/>
  <c r="AC22" i="2" s="1"/>
  <c r="L22" i="2"/>
  <c r="Y22" i="2" s="1"/>
  <c r="J15" i="2"/>
  <c r="W15" i="2" s="1"/>
  <c r="T13" i="2"/>
  <c r="AG13" i="2" s="1"/>
  <c r="Q8" i="2"/>
  <c r="AD8" i="2" s="1"/>
  <c r="R6" i="2"/>
  <c r="AE6" i="2" s="1"/>
  <c r="N6" i="2"/>
  <c r="AA6" i="2" s="1"/>
  <c r="J6" i="2"/>
  <c r="W6" i="2" s="1"/>
  <c r="T6" i="2"/>
  <c r="AG6" i="2" s="1"/>
  <c r="L6" i="2"/>
  <c r="Y6" i="2" s="1"/>
  <c r="P6" i="2"/>
  <c r="AC6" i="2" s="1"/>
  <c r="S35" i="2"/>
  <c r="AF35" i="2" s="1"/>
  <c r="O35" i="2"/>
  <c r="AB35" i="2" s="1"/>
  <c r="K35" i="2"/>
  <c r="X35" i="2" s="1"/>
  <c r="AD5" i="3"/>
  <c r="H53" i="4"/>
  <c r="F28" i="2"/>
  <c r="AU17" i="5"/>
  <c r="AU9" i="5"/>
  <c r="U55" i="2"/>
  <c r="AH55" i="2" s="1"/>
  <c r="U70" i="2"/>
  <c r="AH70" i="2" s="1"/>
  <c r="U51" i="2"/>
  <c r="AH51" i="2" s="1"/>
  <c r="U40" i="2"/>
  <c r="AH40" i="2" s="1"/>
  <c r="U24" i="2"/>
  <c r="AH24" i="2" s="1"/>
  <c r="T48" i="2"/>
  <c r="AG48" i="2" s="1"/>
  <c r="U8" i="2"/>
  <c r="AH8" i="2" s="1"/>
  <c r="AB14" i="3" l="1"/>
  <c r="J240" i="10"/>
  <c r="K240" i="10" s="1"/>
  <c r="P1109" i="6"/>
  <c r="Q1109" i="6" s="1"/>
  <c r="R1109" i="6" s="1"/>
  <c r="J100" i="10"/>
  <c r="K100" i="10" s="1"/>
  <c r="J256" i="10"/>
  <c r="K256" i="10" s="1"/>
  <c r="J372" i="10"/>
  <c r="K372" i="10" s="1"/>
  <c r="AB24" i="3"/>
  <c r="AB46" i="3"/>
  <c r="J41" i="10"/>
  <c r="K41" i="10" s="1"/>
  <c r="J384" i="10"/>
  <c r="K384" i="10" s="1"/>
  <c r="J368" i="10"/>
  <c r="K368" i="10" s="1"/>
  <c r="J63" i="10"/>
  <c r="K63" i="10" s="1"/>
  <c r="J236" i="10"/>
  <c r="K236" i="10" s="1"/>
  <c r="P364" i="6"/>
  <c r="Q364" i="6" s="1"/>
  <c r="R364" i="6" s="1"/>
  <c r="P360" i="6"/>
  <c r="Q360" i="6" s="1"/>
  <c r="R360" i="6" s="1"/>
  <c r="P356" i="6"/>
  <c r="Q356" i="6" s="1"/>
  <c r="R356" i="6" s="1"/>
  <c r="P352" i="6"/>
  <c r="Q352" i="6" s="1"/>
  <c r="R352" i="6" s="1"/>
  <c r="P348" i="6"/>
  <c r="Q348" i="6" s="1"/>
  <c r="R348" i="6" s="1"/>
  <c r="P344" i="6"/>
  <c r="Q344" i="6" s="1"/>
  <c r="R344" i="6" s="1"/>
  <c r="P340" i="6"/>
  <c r="Q340" i="6" s="1"/>
  <c r="R340" i="6" s="1"/>
  <c r="P336" i="6"/>
  <c r="Q336" i="6" s="1"/>
  <c r="R336" i="6" s="1"/>
  <c r="P361" i="6"/>
  <c r="Q361" i="6" s="1"/>
  <c r="R361" i="6" s="1"/>
  <c r="P358" i="6"/>
  <c r="Q358" i="6" s="1"/>
  <c r="R358" i="6" s="1"/>
  <c r="P355" i="6"/>
  <c r="Q355" i="6" s="1"/>
  <c r="R355" i="6" s="1"/>
  <c r="P345" i="6"/>
  <c r="Q345" i="6" s="1"/>
  <c r="R345" i="6" s="1"/>
  <c r="P342" i="6"/>
  <c r="Q342" i="6" s="1"/>
  <c r="R342" i="6" s="1"/>
  <c r="P339" i="6"/>
  <c r="Q339" i="6" s="1"/>
  <c r="R339" i="6" s="1"/>
  <c r="P330" i="6"/>
  <c r="Q330" i="6" s="1"/>
  <c r="R330" i="6" s="1"/>
  <c r="P326" i="6"/>
  <c r="Q326" i="6" s="1"/>
  <c r="R326" i="6" s="1"/>
  <c r="P322" i="6"/>
  <c r="Q322" i="6" s="1"/>
  <c r="R322" i="6" s="1"/>
  <c r="P367" i="6"/>
  <c r="Q367" i="6" s="1"/>
  <c r="R367" i="6" s="1"/>
  <c r="P357" i="6"/>
  <c r="Q357" i="6" s="1"/>
  <c r="R357" i="6" s="1"/>
  <c r="P354" i="6"/>
  <c r="Q354" i="6" s="1"/>
  <c r="R354" i="6" s="1"/>
  <c r="P351" i="6"/>
  <c r="Q351" i="6" s="1"/>
  <c r="R351" i="6" s="1"/>
  <c r="P341" i="6"/>
  <c r="Q341" i="6" s="1"/>
  <c r="R341" i="6" s="1"/>
  <c r="P338" i="6"/>
  <c r="Q338" i="6" s="1"/>
  <c r="R338" i="6" s="1"/>
  <c r="P335" i="6"/>
  <c r="Q335" i="6" s="1"/>
  <c r="R335" i="6" s="1"/>
  <c r="P331" i="6"/>
  <c r="Q331" i="6" s="1"/>
  <c r="R331" i="6" s="1"/>
  <c r="P327" i="6"/>
  <c r="Q327" i="6" s="1"/>
  <c r="R327" i="6" s="1"/>
  <c r="P323" i="6"/>
  <c r="Q323" i="6" s="1"/>
  <c r="R323" i="6" s="1"/>
  <c r="P347" i="6"/>
  <c r="Q347" i="6" s="1"/>
  <c r="R347" i="6" s="1"/>
  <c r="P346" i="6"/>
  <c r="Q346" i="6" s="1"/>
  <c r="R346" i="6" s="1"/>
  <c r="P334" i="6"/>
  <c r="Q334" i="6" s="1"/>
  <c r="R334" i="6" s="1"/>
  <c r="P333" i="6"/>
  <c r="Q333" i="6" s="1"/>
  <c r="R333" i="6" s="1"/>
  <c r="P363" i="6"/>
  <c r="Q363" i="6" s="1"/>
  <c r="R363" i="6" s="1"/>
  <c r="P362" i="6"/>
  <c r="Q362" i="6" s="1"/>
  <c r="R362" i="6" s="1"/>
  <c r="P350" i="6"/>
  <c r="Q350" i="6" s="1"/>
  <c r="R350" i="6" s="1"/>
  <c r="P349" i="6"/>
  <c r="Q349" i="6" s="1"/>
  <c r="R349" i="6" s="1"/>
  <c r="P343" i="6"/>
  <c r="Q343" i="6" s="1"/>
  <c r="R343" i="6" s="1"/>
  <c r="P324" i="6"/>
  <c r="Q324" i="6" s="1"/>
  <c r="R324" i="6" s="1"/>
  <c r="P321" i="6"/>
  <c r="Q321" i="6" s="1"/>
  <c r="R321" i="6" s="1"/>
  <c r="P366" i="6"/>
  <c r="Q366" i="6" s="1"/>
  <c r="R366" i="6" s="1"/>
  <c r="P365" i="6"/>
  <c r="Q365" i="6" s="1"/>
  <c r="R365" i="6" s="1"/>
  <c r="P359" i="6"/>
  <c r="Q359" i="6" s="1"/>
  <c r="R359" i="6" s="1"/>
  <c r="P337" i="6"/>
  <c r="Q337" i="6" s="1"/>
  <c r="R337" i="6" s="1"/>
  <c r="P328" i="6"/>
  <c r="Q328" i="6" s="1"/>
  <c r="R328" i="6" s="1"/>
  <c r="P325" i="6"/>
  <c r="Q325" i="6" s="1"/>
  <c r="R325" i="6" s="1"/>
  <c r="P353" i="6"/>
  <c r="Q353" i="6" s="1"/>
  <c r="R353" i="6" s="1"/>
  <c r="P332" i="6"/>
  <c r="Q332" i="6" s="1"/>
  <c r="R332" i="6" s="1"/>
  <c r="P329" i="6"/>
  <c r="Q329" i="6" s="1"/>
  <c r="R329" i="6" s="1"/>
  <c r="AB18" i="3"/>
  <c r="P226" i="6"/>
  <c r="Q226" i="6" s="1"/>
  <c r="R226" i="6" s="1"/>
  <c r="P222" i="6"/>
  <c r="Q222" i="6" s="1"/>
  <c r="R222" i="6" s="1"/>
  <c r="P218" i="6"/>
  <c r="Q218" i="6" s="1"/>
  <c r="R218" i="6" s="1"/>
  <c r="P214" i="6"/>
  <c r="Q214" i="6" s="1"/>
  <c r="R214" i="6" s="1"/>
  <c r="P210" i="6"/>
  <c r="Q210" i="6" s="1"/>
  <c r="R210" i="6" s="1"/>
  <c r="P227" i="6"/>
  <c r="Q227" i="6" s="1"/>
  <c r="R227" i="6" s="1"/>
  <c r="P223" i="6"/>
  <c r="Q223" i="6" s="1"/>
  <c r="R223" i="6" s="1"/>
  <c r="P219" i="6"/>
  <c r="Q219" i="6" s="1"/>
  <c r="R219" i="6" s="1"/>
  <c r="P215" i="6"/>
  <c r="Q215" i="6" s="1"/>
  <c r="R215" i="6" s="1"/>
  <c r="P211" i="6"/>
  <c r="Q211" i="6" s="1"/>
  <c r="R211" i="6" s="1"/>
  <c r="P224" i="6"/>
  <c r="Q224" i="6" s="1"/>
  <c r="R224" i="6" s="1"/>
  <c r="P221" i="6"/>
  <c r="Q221" i="6" s="1"/>
  <c r="R221" i="6" s="1"/>
  <c r="P228" i="6"/>
  <c r="Q228" i="6" s="1"/>
  <c r="R228" i="6" s="1"/>
  <c r="P225" i="6"/>
  <c r="Q225" i="6" s="1"/>
  <c r="R225" i="6" s="1"/>
  <c r="P212" i="6"/>
  <c r="Q212" i="6" s="1"/>
  <c r="R212" i="6" s="1"/>
  <c r="P209" i="6"/>
  <c r="Q209" i="6" s="1"/>
  <c r="R209" i="6" s="1"/>
  <c r="P229" i="6"/>
  <c r="Q229" i="6" s="1"/>
  <c r="R229" i="6" s="1"/>
  <c r="P216" i="6"/>
  <c r="Q216" i="6" s="1"/>
  <c r="R216" i="6" s="1"/>
  <c r="P213" i="6"/>
  <c r="Q213" i="6" s="1"/>
  <c r="R213" i="6" s="1"/>
  <c r="P220" i="6"/>
  <c r="Q220" i="6" s="1"/>
  <c r="R220" i="6" s="1"/>
  <c r="P217" i="6"/>
  <c r="Q217" i="6" s="1"/>
  <c r="R217" i="6" s="1"/>
  <c r="P10" i="6"/>
  <c r="Q10" i="6" s="1"/>
  <c r="R10" i="6" s="1"/>
  <c r="P8" i="6"/>
  <c r="Q8" i="6" s="1"/>
  <c r="R8" i="6" s="1"/>
  <c r="P3" i="6"/>
  <c r="Q3" i="6" s="1"/>
  <c r="R3" i="6" s="1"/>
  <c r="P7" i="6"/>
  <c r="Q7" i="6" s="1"/>
  <c r="R7" i="6" s="1"/>
  <c r="P4" i="6"/>
  <c r="Q4" i="6" s="1"/>
  <c r="R4" i="6" s="1"/>
  <c r="P5" i="6"/>
  <c r="Q5" i="6" s="1"/>
  <c r="R5" i="6" s="1"/>
  <c r="P9" i="6"/>
  <c r="Q9" i="6" s="1"/>
  <c r="R9" i="6" s="1"/>
  <c r="P6" i="6"/>
  <c r="Q6" i="6" s="1"/>
  <c r="R6" i="6" s="1"/>
  <c r="P2" i="6"/>
  <c r="Q2" i="6" s="1"/>
  <c r="R2" i="6" s="1"/>
  <c r="P310" i="6"/>
  <c r="Q310" i="6" s="1"/>
  <c r="R310" i="6" s="1"/>
  <c r="P306" i="6"/>
  <c r="Q306" i="6" s="1"/>
  <c r="R306" i="6" s="1"/>
  <c r="P302" i="6"/>
  <c r="Q302" i="6" s="1"/>
  <c r="R302" i="6" s="1"/>
  <c r="P298" i="6"/>
  <c r="Q298" i="6" s="1"/>
  <c r="R298" i="6" s="1"/>
  <c r="P294" i="6"/>
  <c r="Q294" i="6" s="1"/>
  <c r="R294" i="6" s="1"/>
  <c r="P307" i="6"/>
  <c r="Q307" i="6" s="1"/>
  <c r="R307" i="6" s="1"/>
  <c r="P303" i="6"/>
  <c r="Q303" i="6" s="1"/>
  <c r="R303" i="6" s="1"/>
  <c r="P299" i="6"/>
  <c r="Q299" i="6" s="1"/>
  <c r="R299" i="6" s="1"/>
  <c r="P295" i="6"/>
  <c r="Q295" i="6" s="1"/>
  <c r="R295" i="6" s="1"/>
  <c r="P291" i="6"/>
  <c r="Q291" i="6" s="1"/>
  <c r="R291" i="6" s="1"/>
  <c r="P304" i="6"/>
  <c r="Q304" i="6" s="1"/>
  <c r="R304" i="6" s="1"/>
  <c r="P301" i="6"/>
  <c r="Q301" i="6" s="1"/>
  <c r="R301" i="6" s="1"/>
  <c r="P308" i="6"/>
  <c r="Q308" i="6" s="1"/>
  <c r="R308" i="6" s="1"/>
  <c r="P305" i="6"/>
  <c r="Q305" i="6" s="1"/>
  <c r="R305" i="6" s="1"/>
  <c r="P292" i="6"/>
  <c r="Q292" i="6" s="1"/>
  <c r="R292" i="6" s="1"/>
  <c r="P309" i="6"/>
  <c r="Q309" i="6" s="1"/>
  <c r="R309" i="6" s="1"/>
  <c r="P296" i="6"/>
  <c r="Q296" i="6" s="1"/>
  <c r="R296" i="6" s="1"/>
  <c r="P293" i="6"/>
  <c r="Q293" i="6" s="1"/>
  <c r="R293" i="6" s="1"/>
  <c r="P300" i="6"/>
  <c r="Q300" i="6" s="1"/>
  <c r="R300" i="6" s="1"/>
  <c r="P297" i="6"/>
  <c r="Q297" i="6" s="1"/>
  <c r="R297" i="6" s="1"/>
  <c r="AE50" i="3"/>
  <c r="AE46" i="3"/>
  <c r="AE42" i="3"/>
  <c r="AE38" i="3"/>
  <c r="AE34" i="3"/>
  <c r="AE30" i="3"/>
  <c r="AE26" i="3"/>
  <c r="AE22" i="3"/>
  <c r="AE18" i="3"/>
  <c r="AE14" i="3"/>
  <c r="AE10" i="3"/>
  <c r="AE37" i="3"/>
  <c r="AE41" i="3"/>
  <c r="AE23" i="3"/>
  <c r="AE39" i="3"/>
  <c r="AE13" i="3"/>
  <c r="AE45" i="3"/>
  <c r="AE16" i="3"/>
  <c r="AE32" i="3"/>
  <c r="AE48" i="3"/>
  <c r="AE11" i="3"/>
  <c r="AE27" i="3"/>
  <c r="AE43" i="3"/>
  <c r="AE17" i="3"/>
  <c r="AE49" i="3"/>
  <c r="AE20" i="3"/>
  <c r="AE36" i="3"/>
  <c r="AE21" i="3"/>
  <c r="AE15" i="3"/>
  <c r="AE31" i="3"/>
  <c r="AE47" i="3"/>
  <c r="AE25" i="3"/>
  <c r="AE24" i="3"/>
  <c r="AE40" i="3"/>
  <c r="AE29" i="3"/>
  <c r="AE19" i="3"/>
  <c r="AE35" i="3"/>
  <c r="AE33" i="3"/>
  <c r="AE12" i="3"/>
  <c r="AE28" i="3"/>
  <c r="AE44" i="3"/>
  <c r="P78" i="6"/>
  <c r="Q78" i="6" s="1"/>
  <c r="R78" i="6" s="1"/>
  <c r="P74" i="6"/>
  <c r="Q74" i="6" s="1"/>
  <c r="R74" i="6" s="1"/>
  <c r="P70" i="6"/>
  <c r="Q70" i="6" s="1"/>
  <c r="R70" i="6" s="1"/>
  <c r="P75" i="6"/>
  <c r="Q75" i="6" s="1"/>
  <c r="R75" i="6" s="1"/>
  <c r="P72" i="6"/>
  <c r="Q72" i="6" s="1"/>
  <c r="R72" i="6" s="1"/>
  <c r="P71" i="6"/>
  <c r="Q71" i="6" s="1"/>
  <c r="R71" i="6" s="1"/>
  <c r="P77" i="6"/>
  <c r="Q77" i="6" s="1"/>
  <c r="R77" i="6" s="1"/>
  <c r="P76" i="6"/>
  <c r="Q76" i="6" s="1"/>
  <c r="R76" i="6" s="1"/>
  <c r="P73" i="6"/>
  <c r="Q73" i="6" s="1"/>
  <c r="R73" i="6" s="1"/>
  <c r="AB16" i="3"/>
  <c r="AB32" i="3"/>
  <c r="AB48" i="3"/>
  <c r="AB22" i="3"/>
  <c r="AB38" i="3"/>
  <c r="P250" i="6"/>
  <c r="Q250" i="6" s="1"/>
  <c r="R250" i="6" s="1"/>
  <c r="P246" i="6"/>
  <c r="Q246" i="6" s="1"/>
  <c r="R246" i="6" s="1"/>
  <c r="P242" i="6"/>
  <c r="Q242" i="6" s="1"/>
  <c r="R242" i="6" s="1"/>
  <c r="P251" i="6"/>
  <c r="Q251" i="6" s="1"/>
  <c r="R251" i="6" s="1"/>
  <c r="P247" i="6"/>
  <c r="Q247" i="6" s="1"/>
  <c r="R247" i="6" s="1"/>
  <c r="P243" i="6"/>
  <c r="Q243" i="6" s="1"/>
  <c r="R243" i="6" s="1"/>
  <c r="P244" i="6"/>
  <c r="Q244" i="6" s="1"/>
  <c r="R244" i="6" s="1"/>
  <c r="P248" i="6"/>
  <c r="Q248" i="6" s="1"/>
  <c r="R248" i="6" s="1"/>
  <c r="P245" i="6"/>
  <c r="Q245" i="6" s="1"/>
  <c r="R245" i="6" s="1"/>
  <c r="P252" i="6"/>
  <c r="Q252" i="6" s="1"/>
  <c r="R252" i="6" s="1"/>
  <c r="P249" i="6"/>
  <c r="Q249" i="6" s="1"/>
  <c r="R249" i="6" s="1"/>
  <c r="P18" i="6"/>
  <c r="Q18" i="6" s="1"/>
  <c r="R18" i="6" s="1"/>
  <c r="P14" i="6"/>
  <c r="Q14" i="6" s="1"/>
  <c r="R14" i="6" s="1"/>
  <c r="P11" i="6"/>
  <c r="Q11" i="6" s="1"/>
  <c r="R11" i="6" s="1"/>
  <c r="P17" i="6"/>
  <c r="Q17" i="6" s="1"/>
  <c r="R17" i="6" s="1"/>
  <c r="P19" i="6"/>
  <c r="Q19" i="6" s="1"/>
  <c r="R19" i="6" s="1"/>
  <c r="P16" i="6"/>
  <c r="Q16" i="6" s="1"/>
  <c r="R16" i="6" s="1"/>
  <c r="P13" i="6"/>
  <c r="Q13" i="6" s="1"/>
  <c r="R13" i="6" s="1"/>
  <c r="P15" i="6"/>
  <c r="Q15" i="6" s="1"/>
  <c r="R15" i="6" s="1"/>
  <c r="P12" i="6"/>
  <c r="Q12" i="6" s="1"/>
  <c r="R12" i="6" s="1"/>
  <c r="T32" i="2"/>
  <c r="AG32" i="2" s="1"/>
  <c r="P32" i="2"/>
  <c r="AC32" i="2" s="1"/>
  <c r="L32" i="2"/>
  <c r="Y32" i="2" s="1"/>
  <c r="R32" i="2"/>
  <c r="AE32" i="2" s="1"/>
  <c r="N32" i="2"/>
  <c r="AA32" i="2" s="1"/>
  <c r="J32" i="2"/>
  <c r="W32" i="2" s="1"/>
  <c r="S32" i="2"/>
  <c r="AF32" i="2" s="1"/>
  <c r="O32" i="2"/>
  <c r="AB32" i="2" s="1"/>
  <c r="K32" i="2"/>
  <c r="X32" i="2" s="1"/>
  <c r="M32" i="2"/>
  <c r="Z32" i="2" s="1"/>
  <c r="U32" i="2"/>
  <c r="AH32" i="2" s="1"/>
  <c r="Q32" i="2"/>
  <c r="AD32" i="2" s="1"/>
  <c r="P57" i="2"/>
  <c r="AC57" i="2" s="1"/>
  <c r="U57" i="2"/>
  <c r="AH57" i="2" s="1"/>
  <c r="S57" i="2"/>
  <c r="AF57" i="2" s="1"/>
  <c r="T57" i="2"/>
  <c r="AG57" i="2" s="1"/>
  <c r="J57" i="2"/>
  <c r="W57" i="2" s="1"/>
  <c r="N57" i="2"/>
  <c r="AA57" i="2" s="1"/>
  <c r="M57" i="2"/>
  <c r="Z57" i="2" s="1"/>
  <c r="K57" i="2"/>
  <c r="X57" i="2" s="1"/>
  <c r="L57" i="2"/>
  <c r="Y57" i="2" s="1"/>
  <c r="R57" i="2"/>
  <c r="AE57" i="2" s="1"/>
  <c r="Q57" i="2"/>
  <c r="AD57" i="2" s="1"/>
  <c r="O57" i="2"/>
  <c r="AB57" i="2" s="1"/>
  <c r="P318" i="6"/>
  <c r="Q318" i="6" s="1"/>
  <c r="R318" i="6" s="1"/>
  <c r="P314" i="6"/>
  <c r="Q314" i="6" s="1"/>
  <c r="R314" i="6" s="1"/>
  <c r="P319" i="6"/>
  <c r="Q319" i="6" s="1"/>
  <c r="R319" i="6" s="1"/>
  <c r="P315" i="6"/>
  <c r="Q315" i="6" s="1"/>
  <c r="R315" i="6" s="1"/>
  <c r="P311" i="6"/>
  <c r="Q311" i="6" s="1"/>
  <c r="R311" i="6" s="1"/>
  <c r="P320" i="6"/>
  <c r="Q320" i="6" s="1"/>
  <c r="R320" i="6" s="1"/>
  <c r="P317" i="6"/>
  <c r="Q317" i="6" s="1"/>
  <c r="R317" i="6" s="1"/>
  <c r="P312" i="6"/>
  <c r="Q312" i="6" s="1"/>
  <c r="R312" i="6" s="1"/>
  <c r="P316" i="6"/>
  <c r="Q316" i="6" s="1"/>
  <c r="R316" i="6" s="1"/>
  <c r="P313" i="6"/>
  <c r="Q313" i="6" s="1"/>
  <c r="R313" i="6" s="1"/>
  <c r="T45" i="2"/>
  <c r="AG45" i="2" s="1"/>
  <c r="Q45" i="2"/>
  <c r="AD45" i="2" s="1"/>
  <c r="K45" i="2"/>
  <c r="X45" i="2" s="1"/>
  <c r="S45" i="2"/>
  <c r="AF45" i="2" s="1"/>
  <c r="J45" i="2"/>
  <c r="W45" i="2" s="1"/>
  <c r="U45" i="2"/>
  <c r="AH45" i="2" s="1"/>
  <c r="O45" i="2"/>
  <c r="AB45" i="2" s="1"/>
  <c r="L45" i="2"/>
  <c r="Y45" i="2" s="1"/>
  <c r="N45" i="2"/>
  <c r="AA45" i="2" s="1"/>
  <c r="P45" i="2"/>
  <c r="AC45" i="2" s="1"/>
  <c r="R45" i="2"/>
  <c r="AE45" i="2" s="1"/>
  <c r="M45" i="2"/>
  <c r="Z45" i="2" s="1"/>
  <c r="P910" i="6"/>
  <c r="Q910" i="6" s="1"/>
  <c r="R910" i="6" s="1"/>
  <c r="P906" i="6"/>
  <c r="Q906" i="6" s="1"/>
  <c r="R906" i="6" s="1"/>
  <c r="P902" i="6"/>
  <c r="Q902" i="6" s="1"/>
  <c r="R902" i="6" s="1"/>
  <c r="P898" i="6"/>
  <c r="Q898" i="6" s="1"/>
  <c r="R898" i="6" s="1"/>
  <c r="P894" i="6"/>
  <c r="Q894" i="6" s="1"/>
  <c r="R894" i="6" s="1"/>
  <c r="P890" i="6"/>
  <c r="Q890" i="6" s="1"/>
  <c r="R890" i="6" s="1"/>
  <c r="P886" i="6"/>
  <c r="Q886" i="6" s="1"/>
  <c r="R886" i="6" s="1"/>
  <c r="P882" i="6"/>
  <c r="Q882" i="6" s="1"/>
  <c r="R882" i="6" s="1"/>
  <c r="P878" i="6"/>
  <c r="Q878" i="6" s="1"/>
  <c r="R878" i="6" s="1"/>
  <c r="P874" i="6"/>
  <c r="Q874" i="6" s="1"/>
  <c r="R874" i="6" s="1"/>
  <c r="P870" i="6"/>
  <c r="Q870" i="6" s="1"/>
  <c r="R870" i="6" s="1"/>
  <c r="P866" i="6"/>
  <c r="Q866" i="6" s="1"/>
  <c r="R866" i="6" s="1"/>
  <c r="P862" i="6"/>
  <c r="Q862" i="6" s="1"/>
  <c r="R862" i="6" s="1"/>
  <c r="P858" i="6"/>
  <c r="Q858" i="6" s="1"/>
  <c r="R858" i="6" s="1"/>
  <c r="P854" i="6"/>
  <c r="Q854" i="6" s="1"/>
  <c r="R854" i="6" s="1"/>
  <c r="P907" i="6"/>
  <c r="Q907" i="6" s="1"/>
  <c r="R907" i="6" s="1"/>
  <c r="P904" i="6"/>
  <c r="Q904" i="6" s="1"/>
  <c r="R904" i="6" s="1"/>
  <c r="P901" i="6"/>
  <c r="Q901" i="6" s="1"/>
  <c r="R901" i="6" s="1"/>
  <c r="P891" i="6"/>
  <c r="Q891" i="6" s="1"/>
  <c r="R891" i="6" s="1"/>
  <c r="P888" i="6"/>
  <c r="Q888" i="6" s="1"/>
  <c r="R888" i="6" s="1"/>
  <c r="P885" i="6"/>
  <c r="Q885" i="6" s="1"/>
  <c r="R885" i="6" s="1"/>
  <c r="P875" i="6"/>
  <c r="Q875" i="6" s="1"/>
  <c r="R875" i="6" s="1"/>
  <c r="P872" i="6"/>
  <c r="Q872" i="6" s="1"/>
  <c r="R872" i="6" s="1"/>
  <c r="P869" i="6"/>
  <c r="Q869" i="6" s="1"/>
  <c r="R869" i="6" s="1"/>
  <c r="P859" i="6"/>
  <c r="Q859" i="6" s="1"/>
  <c r="R859" i="6" s="1"/>
  <c r="P856" i="6"/>
  <c r="Q856" i="6" s="1"/>
  <c r="R856" i="6" s="1"/>
  <c r="P853" i="6"/>
  <c r="Q853" i="6" s="1"/>
  <c r="R853" i="6" s="1"/>
  <c r="P903" i="6"/>
  <c r="Q903" i="6" s="1"/>
  <c r="R903" i="6" s="1"/>
  <c r="P900" i="6"/>
  <c r="Q900" i="6" s="1"/>
  <c r="R900" i="6" s="1"/>
  <c r="P897" i="6"/>
  <c r="Q897" i="6" s="1"/>
  <c r="R897" i="6" s="1"/>
  <c r="P887" i="6"/>
  <c r="Q887" i="6" s="1"/>
  <c r="R887" i="6" s="1"/>
  <c r="P884" i="6"/>
  <c r="Q884" i="6" s="1"/>
  <c r="R884" i="6" s="1"/>
  <c r="P881" i="6"/>
  <c r="Q881" i="6" s="1"/>
  <c r="R881" i="6" s="1"/>
  <c r="P871" i="6"/>
  <c r="Q871" i="6" s="1"/>
  <c r="R871" i="6" s="1"/>
  <c r="P868" i="6"/>
  <c r="Q868" i="6" s="1"/>
  <c r="R868" i="6" s="1"/>
  <c r="P865" i="6"/>
  <c r="Q865" i="6" s="1"/>
  <c r="R865" i="6" s="1"/>
  <c r="P855" i="6"/>
  <c r="Q855" i="6" s="1"/>
  <c r="R855" i="6" s="1"/>
  <c r="P852" i="6"/>
  <c r="Q852" i="6" s="1"/>
  <c r="R852" i="6" s="1"/>
  <c r="P911" i="6"/>
  <c r="Q911" i="6" s="1"/>
  <c r="R911" i="6" s="1"/>
  <c r="P908" i="6"/>
  <c r="Q908" i="6" s="1"/>
  <c r="R908" i="6" s="1"/>
  <c r="P905" i="6"/>
  <c r="Q905" i="6" s="1"/>
  <c r="R905" i="6" s="1"/>
  <c r="P895" i="6"/>
  <c r="Q895" i="6" s="1"/>
  <c r="R895" i="6" s="1"/>
  <c r="P892" i="6"/>
  <c r="Q892" i="6" s="1"/>
  <c r="R892" i="6" s="1"/>
  <c r="P889" i="6"/>
  <c r="Q889" i="6" s="1"/>
  <c r="R889" i="6" s="1"/>
  <c r="P879" i="6"/>
  <c r="Q879" i="6" s="1"/>
  <c r="R879" i="6" s="1"/>
  <c r="P876" i="6"/>
  <c r="Q876" i="6" s="1"/>
  <c r="R876" i="6" s="1"/>
  <c r="P873" i="6"/>
  <c r="Q873" i="6" s="1"/>
  <c r="R873" i="6" s="1"/>
  <c r="P863" i="6"/>
  <c r="Q863" i="6" s="1"/>
  <c r="R863" i="6" s="1"/>
  <c r="P860" i="6"/>
  <c r="Q860" i="6" s="1"/>
  <c r="R860" i="6" s="1"/>
  <c r="P857" i="6"/>
  <c r="Q857" i="6" s="1"/>
  <c r="R857" i="6" s="1"/>
  <c r="P909" i="6"/>
  <c r="Q909" i="6" s="1"/>
  <c r="R909" i="6" s="1"/>
  <c r="P893" i="6"/>
  <c r="Q893" i="6" s="1"/>
  <c r="R893" i="6" s="1"/>
  <c r="P877" i="6"/>
  <c r="Q877" i="6" s="1"/>
  <c r="R877" i="6" s="1"/>
  <c r="P861" i="6"/>
  <c r="Q861" i="6" s="1"/>
  <c r="R861" i="6" s="1"/>
  <c r="P899" i="6"/>
  <c r="Q899" i="6" s="1"/>
  <c r="R899" i="6" s="1"/>
  <c r="P896" i="6"/>
  <c r="Q896" i="6" s="1"/>
  <c r="R896" i="6" s="1"/>
  <c r="P883" i="6"/>
  <c r="Q883" i="6" s="1"/>
  <c r="R883" i="6" s="1"/>
  <c r="P880" i="6"/>
  <c r="Q880" i="6" s="1"/>
  <c r="R880" i="6" s="1"/>
  <c r="P867" i="6"/>
  <c r="Q867" i="6" s="1"/>
  <c r="R867" i="6" s="1"/>
  <c r="P864" i="6"/>
  <c r="Q864" i="6" s="1"/>
  <c r="R864" i="6" s="1"/>
  <c r="P488" i="6"/>
  <c r="Q488" i="6" s="1"/>
  <c r="R488" i="6" s="1"/>
  <c r="P484" i="6"/>
  <c r="Q484" i="6" s="1"/>
  <c r="R484" i="6" s="1"/>
  <c r="P480" i="6"/>
  <c r="Q480" i="6" s="1"/>
  <c r="R480" i="6" s="1"/>
  <c r="P476" i="6"/>
  <c r="Q476" i="6" s="1"/>
  <c r="R476" i="6" s="1"/>
  <c r="P489" i="6"/>
  <c r="Q489" i="6" s="1"/>
  <c r="R489" i="6" s="1"/>
  <c r="P485" i="6"/>
  <c r="Q485" i="6" s="1"/>
  <c r="R485" i="6" s="1"/>
  <c r="P481" i="6"/>
  <c r="Q481" i="6" s="1"/>
  <c r="R481" i="6" s="1"/>
  <c r="P477" i="6"/>
  <c r="Q477" i="6" s="1"/>
  <c r="R477" i="6" s="1"/>
  <c r="P487" i="6"/>
  <c r="Q487" i="6" s="1"/>
  <c r="R487" i="6" s="1"/>
  <c r="P478" i="6"/>
  <c r="Q478" i="6" s="1"/>
  <c r="R478" i="6" s="1"/>
  <c r="P482" i="6"/>
  <c r="Q482" i="6" s="1"/>
  <c r="R482" i="6" s="1"/>
  <c r="P486" i="6"/>
  <c r="Q486" i="6" s="1"/>
  <c r="R486" i="6" s="1"/>
  <c r="P483" i="6"/>
  <c r="Q483" i="6" s="1"/>
  <c r="R483" i="6" s="1"/>
  <c r="P479" i="6"/>
  <c r="Q479" i="6" s="1"/>
  <c r="R479" i="6" s="1"/>
  <c r="P270" i="6"/>
  <c r="Q270" i="6" s="1"/>
  <c r="R270" i="6" s="1"/>
  <c r="P266" i="6"/>
  <c r="Q266" i="6" s="1"/>
  <c r="R266" i="6" s="1"/>
  <c r="P262" i="6"/>
  <c r="Q262" i="6" s="1"/>
  <c r="R262" i="6" s="1"/>
  <c r="P271" i="6"/>
  <c r="Q271" i="6" s="1"/>
  <c r="R271" i="6" s="1"/>
  <c r="P267" i="6"/>
  <c r="Q267" i="6" s="1"/>
  <c r="R267" i="6" s="1"/>
  <c r="P263" i="6"/>
  <c r="Q263" i="6" s="1"/>
  <c r="R263" i="6" s="1"/>
  <c r="P269" i="6"/>
  <c r="Q269" i="6" s="1"/>
  <c r="R269" i="6" s="1"/>
  <c r="P264" i="6"/>
  <c r="Q264" i="6" s="1"/>
  <c r="R264" i="6" s="1"/>
  <c r="P268" i="6"/>
  <c r="Q268" i="6" s="1"/>
  <c r="R268" i="6" s="1"/>
  <c r="P265" i="6"/>
  <c r="Q265" i="6" s="1"/>
  <c r="R265" i="6" s="1"/>
  <c r="P50" i="6"/>
  <c r="Q50" i="6" s="1"/>
  <c r="R50" i="6" s="1"/>
  <c r="P46" i="6"/>
  <c r="Q46" i="6" s="1"/>
  <c r="R46" i="6" s="1"/>
  <c r="P42" i="6"/>
  <c r="Q42" i="6" s="1"/>
  <c r="R42" i="6" s="1"/>
  <c r="P43" i="6"/>
  <c r="Q43" i="6" s="1"/>
  <c r="R43" i="6" s="1"/>
  <c r="P49" i="6"/>
  <c r="Q49" i="6" s="1"/>
  <c r="R49" i="6" s="1"/>
  <c r="P51" i="6"/>
  <c r="Q51" i="6" s="1"/>
  <c r="R51" i="6" s="1"/>
  <c r="P48" i="6"/>
  <c r="Q48" i="6" s="1"/>
  <c r="R48" i="6" s="1"/>
  <c r="P45" i="6"/>
  <c r="Q45" i="6" s="1"/>
  <c r="R45" i="6" s="1"/>
  <c r="P47" i="6"/>
  <c r="Q47" i="6" s="1"/>
  <c r="R47" i="6" s="1"/>
  <c r="P44" i="6"/>
  <c r="Q44" i="6" s="1"/>
  <c r="R44" i="6" s="1"/>
  <c r="P676" i="6"/>
  <c r="Q676" i="6" s="1"/>
  <c r="R676" i="6" s="1"/>
  <c r="P672" i="6"/>
  <c r="Q672" i="6" s="1"/>
  <c r="R672" i="6" s="1"/>
  <c r="P668" i="6"/>
  <c r="Q668" i="6" s="1"/>
  <c r="R668" i="6" s="1"/>
  <c r="P679" i="6"/>
  <c r="Q679" i="6" s="1"/>
  <c r="R679" i="6" s="1"/>
  <c r="P669" i="6"/>
  <c r="Q669" i="6" s="1"/>
  <c r="R669" i="6" s="1"/>
  <c r="P678" i="6"/>
  <c r="Q678" i="6" s="1"/>
  <c r="R678" i="6" s="1"/>
  <c r="P675" i="6"/>
  <c r="Q675" i="6" s="1"/>
  <c r="R675" i="6" s="1"/>
  <c r="P673" i="6"/>
  <c r="Q673" i="6" s="1"/>
  <c r="R673" i="6" s="1"/>
  <c r="P674" i="6"/>
  <c r="Q674" i="6" s="1"/>
  <c r="R674" i="6" s="1"/>
  <c r="P670" i="6"/>
  <c r="Q670" i="6" s="1"/>
  <c r="R670" i="6" s="1"/>
  <c r="P677" i="6"/>
  <c r="Q677" i="6" s="1"/>
  <c r="R677" i="6" s="1"/>
  <c r="P671" i="6"/>
  <c r="Q671" i="6" s="1"/>
  <c r="R671" i="6" s="1"/>
  <c r="P667" i="6"/>
  <c r="Q667" i="6" s="1"/>
  <c r="R667" i="6" s="1"/>
  <c r="AV45" i="5" s="1"/>
  <c r="P532" i="6"/>
  <c r="Q532" i="6" s="1"/>
  <c r="R532" i="6" s="1"/>
  <c r="P528" i="6"/>
  <c r="Q528" i="6" s="1"/>
  <c r="R528" i="6" s="1"/>
  <c r="P524" i="6"/>
  <c r="Q524" i="6" s="1"/>
  <c r="R524" i="6" s="1"/>
  <c r="P520" i="6"/>
  <c r="Q520" i="6" s="1"/>
  <c r="R520" i="6" s="1"/>
  <c r="P516" i="6"/>
  <c r="Q516" i="6" s="1"/>
  <c r="R516" i="6" s="1"/>
  <c r="P533" i="6"/>
  <c r="Q533" i="6" s="1"/>
  <c r="R533" i="6" s="1"/>
  <c r="P529" i="6"/>
  <c r="Q529" i="6" s="1"/>
  <c r="R529" i="6" s="1"/>
  <c r="P525" i="6"/>
  <c r="Q525" i="6" s="1"/>
  <c r="R525" i="6" s="1"/>
  <c r="P521" i="6"/>
  <c r="Q521" i="6" s="1"/>
  <c r="R521" i="6" s="1"/>
  <c r="P517" i="6"/>
  <c r="Q517" i="6" s="1"/>
  <c r="R517" i="6" s="1"/>
  <c r="P513" i="6"/>
  <c r="Q513" i="6" s="1"/>
  <c r="R513" i="6" s="1"/>
  <c r="P535" i="6"/>
  <c r="Q535" i="6" s="1"/>
  <c r="R535" i="6" s="1"/>
  <c r="P522" i="6"/>
  <c r="Q522" i="6" s="1"/>
  <c r="R522" i="6" s="1"/>
  <c r="P519" i="6"/>
  <c r="Q519" i="6" s="1"/>
  <c r="R519" i="6" s="1"/>
  <c r="P526" i="6"/>
  <c r="Q526" i="6" s="1"/>
  <c r="R526" i="6" s="1"/>
  <c r="P523" i="6"/>
  <c r="Q523" i="6" s="1"/>
  <c r="R523" i="6" s="1"/>
  <c r="P530" i="6"/>
  <c r="Q530" i="6" s="1"/>
  <c r="R530" i="6" s="1"/>
  <c r="P527" i="6"/>
  <c r="Q527" i="6" s="1"/>
  <c r="R527" i="6" s="1"/>
  <c r="P534" i="6"/>
  <c r="Q534" i="6" s="1"/>
  <c r="R534" i="6" s="1"/>
  <c r="P531" i="6"/>
  <c r="Q531" i="6" s="1"/>
  <c r="R531" i="6" s="1"/>
  <c r="P514" i="6"/>
  <c r="Q514" i="6" s="1"/>
  <c r="R514" i="6" s="1"/>
  <c r="P518" i="6"/>
  <c r="Q518" i="6" s="1"/>
  <c r="R518" i="6" s="1"/>
  <c r="P515" i="6"/>
  <c r="Q515" i="6" s="1"/>
  <c r="R515" i="6" s="1"/>
  <c r="P584" i="6"/>
  <c r="Q584" i="6" s="1"/>
  <c r="R584" i="6" s="1"/>
  <c r="P580" i="6"/>
  <c r="Q580" i="6" s="1"/>
  <c r="R580" i="6" s="1"/>
  <c r="P576" i="6"/>
  <c r="Q576" i="6" s="1"/>
  <c r="R576" i="6" s="1"/>
  <c r="P572" i="6"/>
  <c r="Q572" i="6" s="1"/>
  <c r="R572" i="6" s="1"/>
  <c r="P568" i="6"/>
  <c r="Q568" i="6" s="1"/>
  <c r="R568" i="6" s="1"/>
  <c r="P564" i="6"/>
  <c r="Q564" i="6" s="1"/>
  <c r="R564" i="6" s="1"/>
  <c r="P581" i="6"/>
  <c r="Q581" i="6" s="1"/>
  <c r="R581" i="6" s="1"/>
  <c r="P577" i="6"/>
  <c r="Q577" i="6" s="1"/>
  <c r="R577" i="6" s="1"/>
  <c r="P573" i="6"/>
  <c r="Q573" i="6" s="1"/>
  <c r="R573" i="6" s="1"/>
  <c r="P569" i="6"/>
  <c r="Q569" i="6" s="1"/>
  <c r="R569" i="6" s="1"/>
  <c r="P565" i="6"/>
  <c r="Q565" i="6" s="1"/>
  <c r="R565" i="6" s="1"/>
  <c r="P561" i="6"/>
  <c r="Q561" i="6" s="1"/>
  <c r="R561" i="6" s="1"/>
  <c r="P578" i="6"/>
  <c r="Q578" i="6" s="1"/>
  <c r="R578" i="6" s="1"/>
  <c r="P575" i="6"/>
  <c r="Q575" i="6" s="1"/>
  <c r="R575" i="6" s="1"/>
  <c r="P562" i="6"/>
  <c r="Q562" i="6" s="1"/>
  <c r="R562" i="6" s="1"/>
  <c r="P583" i="6"/>
  <c r="Q583" i="6" s="1"/>
  <c r="R583" i="6" s="1"/>
  <c r="P570" i="6"/>
  <c r="Q570" i="6" s="1"/>
  <c r="R570" i="6" s="1"/>
  <c r="P567" i="6"/>
  <c r="Q567" i="6" s="1"/>
  <c r="R567" i="6" s="1"/>
  <c r="P574" i="6"/>
  <c r="Q574" i="6" s="1"/>
  <c r="R574" i="6" s="1"/>
  <c r="P571" i="6"/>
  <c r="Q571" i="6" s="1"/>
  <c r="R571" i="6" s="1"/>
  <c r="P579" i="6"/>
  <c r="Q579" i="6" s="1"/>
  <c r="R579" i="6" s="1"/>
  <c r="P563" i="6"/>
  <c r="Q563" i="6" s="1"/>
  <c r="R563" i="6" s="1"/>
  <c r="P582" i="6"/>
  <c r="Q582" i="6" s="1"/>
  <c r="R582" i="6" s="1"/>
  <c r="P566" i="6"/>
  <c r="Q566" i="6" s="1"/>
  <c r="R566" i="6" s="1"/>
  <c r="P795" i="6"/>
  <c r="Q795" i="6" s="1"/>
  <c r="R795" i="6" s="1"/>
  <c r="P791" i="6"/>
  <c r="Q791" i="6" s="1"/>
  <c r="R791" i="6" s="1"/>
  <c r="P787" i="6"/>
  <c r="Q787" i="6" s="1"/>
  <c r="R787" i="6" s="1"/>
  <c r="P792" i="6"/>
  <c r="Q792" i="6" s="1"/>
  <c r="R792" i="6" s="1"/>
  <c r="P788" i="6"/>
  <c r="Q788" i="6" s="1"/>
  <c r="R788" i="6" s="1"/>
  <c r="P785" i="6"/>
  <c r="Q785" i="6" s="1"/>
  <c r="R785" i="6" s="1"/>
  <c r="P789" i="6"/>
  <c r="Q789" i="6" s="1"/>
  <c r="R789" i="6" s="1"/>
  <c r="P786" i="6"/>
  <c r="Q786" i="6" s="1"/>
  <c r="R786" i="6" s="1"/>
  <c r="P793" i="6"/>
  <c r="Q793" i="6" s="1"/>
  <c r="R793" i="6" s="1"/>
  <c r="P790" i="6"/>
  <c r="Q790" i="6" s="1"/>
  <c r="R790" i="6" s="1"/>
  <c r="P794" i="6"/>
  <c r="Q794" i="6" s="1"/>
  <c r="R794" i="6" s="1"/>
  <c r="P1082" i="6"/>
  <c r="Q1082" i="6" s="1"/>
  <c r="R1082" i="6" s="1"/>
  <c r="P1078" i="6"/>
  <c r="Q1078" i="6" s="1"/>
  <c r="R1078" i="6" s="1"/>
  <c r="P1074" i="6"/>
  <c r="Q1074" i="6" s="1"/>
  <c r="R1074" i="6" s="1"/>
  <c r="P1075" i="6"/>
  <c r="Q1075" i="6" s="1"/>
  <c r="R1075" i="6" s="1"/>
  <c r="P1081" i="6"/>
  <c r="Q1081" i="6" s="1"/>
  <c r="R1081" i="6" s="1"/>
  <c r="P1080" i="6"/>
  <c r="Q1080" i="6" s="1"/>
  <c r="R1080" i="6" s="1"/>
  <c r="P1079" i="6"/>
  <c r="Q1079" i="6" s="1"/>
  <c r="R1079" i="6" s="1"/>
  <c r="P1077" i="6"/>
  <c r="Q1077" i="6" s="1"/>
  <c r="R1077" i="6" s="1"/>
  <c r="P1076" i="6"/>
  <c r="Q1076" i="6" s="1"/>
  <c r="R1076" i="6" s="1"/>
  <c r="P417" i="6"/>
  <c r="Q417" i="6" s="1"/>
  <c r="R417" i="6" s="1"/>
  <c r="P413" i="6"/>
  <c r="Q413" i="6" s="1"/>
  <c r="R413" i="6" s="1"/>
  <c r="P419" i="6"/>
  <c r="Q419" i="6" s="1"/>
  <c r="R419" i="6" s="1"/>
  <c r="P416" i="6"/>
  <c r="Q416" i="6" s="1"/>
  <c r="R416" i="6" s="1"/>
  <c r="P418" i="6"/>
  <c r="Q418" i="6" s="1"/>
  <c r="R418" i="6" s="1"/>
  <c r="P415" i="6"/>
  <c r="Q415" i="6" s="1"/>
  <c r="R415" i="6" s="1"/>
  <c r="P420" i="6"/>
  <c r="Q420" i="6" s="1"/>
  <c r="R420" i="6" s="1"/>
  <c r="P414" i="6"/>
  <c r="Q414" i="6" s="1"/>
  <c r="R414" i="6" s="1"/>
  <c r="P818" i="6"/>
  <c r="Q818" i="6" s="1"/>
  <c r="R818" i="6" s="1"/>
  <c r="P814" i="6"/>
  <c r="Q814" i="6" s="1"/>
  <c r="R814" i="6" s="1"/>
  <c r="P810" i="6"/>
  <c r="Q810" i="6" s="1"/>
  <c r="R810" i="6" s="1"/>
  <c r="P806" i="6"/>
  <c r="Q806" i="6" s="1"/>
  <c r="R806" i="6" s="1"/>
  <c r="P802" i="6"/>
  <c r="Q802" i="6" s="1"/>
  <c r="R802" i="6" s="1"/>
  <c r="P821" i="6"/>
  <c r="Q821" i="6" s="1"/>
  <c r="R821" i="6" s="1"/>
  <c r="P811" i="6"/>
  <c r="Q811" i="6" s="1"/>
  <c r="R811" i="6" s="1"/>
  <c r="P808" i="6"/>
  <c r="Q808" i="6" s="1"/>
  <c r="R808" i="6" s="1"/>
  <c r="P805" i="6"/>
  <c r="Q805" i="6" s="1"/>
  <c r="R805" i="6" s="1"/>
  <c r="P799" i="6"/>
  <c r="Q799" i="6" s="1"/>
  <c r="R799" i="6" s="1"/>
  <c r="P820" i="6"/>
  <c r="Q820" i="6" s="1"/>
  <c r="R820" i="6" s="1"/>
  <c r="P817" i="6"/>
  <c r="Q817" i="6" s="1"/>
  <c r="R817" i="6" s="1"/>
  <c r="P807" i="6"/>
  <c r="Q807" i="6" s="1"/>
  <c r="R807" i="6" s="1"/>
  <c r="P804" i="6"/>
  <c r="Q804" i="6" s="1"/>
  <c r="R804" i="6" s="1"/>
  <c r="P801" i="6"/>
  <c r="Q801" i="6" s="1"/>
  <c r="R801" i="6" s="1"/>
  <c r="P796" i="6"/>
  <c r="Q796" i="6" s="1"/>
  <c r="R796" i="6" s="1"/>
  <c r="P815" i="6"/>
  <c r="Q815" i="6" s="1"/>
  <c r="R815" i="6" s="1"/>
  <c r="P812" i="6"/>
  <c r="Q812" i="6" s="1"/>
  <c r="R812" i="6" s="1"/>
  <c r="P809" i="6"/>
  <c r="Q809" i="6" s="1"/>
  <c r="R809" i="6" s="1"/>
  <c r="P803" i="6"/>
  <c r="Q803" i="6" s="1"/>
  <c r="R803" i="6" s="1"/>
  <c r="P798" i="6"/>
  <c r="Q798" i="6" s="1"/>
  <c r="R798" i="6" s="1"/>
  <c r="P813" i="6"/>
  <c r="Q813" i="6" s="1"/>
  <c r="R813" i="6" s="1"/>
  <c r="P816" i="6"/>
  <c r="Q816" i="6" s="1"/>
  <c r="R816" i="6" s="1"/>
  <c r="P797" i="6"/>
  <c r="Q797" i="6" s="1"/>
  <c r="R797" i="6" s="1"/>
  <c r="P819" i="6"/>
  <c r="Q819" i="6" s="1"/>
  <c r="R819" i="6" s="1"/>
  <c r="P800" i="6"/>
  <c r="Q800" i="6" s="1"/>
  <c r="R800" i="6" s="1"/>
  <c r="P664" i="6"/>
  <c r="Q664" i="6" s="1"/>
  <c r="R664" i="6" s="1"/>
  <c r="P660" i="6"/>
  <c r="Q660" i="6" s="1"/>
  <c r="R660" i="6" s="1"/>
  <c r="P656" i="6"/>
  <c r="Q656" i="6" s="1"/>
  <c r="R656" i="6" s="1"/>
  <c r="P652" i="6"/>
  <c r="Q652" i="6" s="1"/>
  <c r="R652" i="6" s="1"/>
  <c r="P648" i="6"/>
  <c r="Q648" i="6" s="1"/>
  <c r="R648" i="6" s="1"/>
  <c r="P644" i="6"/>
  <c r="Q644" i="6" s="1"/>
  <c r="R644" i="6" s="1"/>
  <c r="P665" i="6"/>
  <c r="Q665" i="6" s="1"/>
  <c r="R665" i="6" s="1"/>
  <c r="P661" i="6"/>
  <c r="Q661" i="6" s="1"/>
  <c r="R661" i="6" s="1"/>
  <c r="P657" i="6"/>
  <c r="Q657" i="6" s="1"/>
  <c r="R657" i="6" s="1"/>
  <c r="P653" i="6"/>
  <c r="Q653" i="6" s="1"/>
  <c r="R653" i="6" s="1"/>
  <c r="P649" i="6"/>
  <c r="Q649" i="6" s="1"/>
  <c r="R649" i="6" s="1"/>
  <c r="P645" i="6"/>
  <c r="Q645" i="6" s="1"/>
  <c r="R645" i="6" s="1"/>
  <c r="P658" i="6"/>
  <c r="Q658" i="6" s="1"/>
  <c r="R658" i="6" s="1"/>
  <c r="P655" i="6"/>
  <c r="Q655" i="6" s="1"/>
  <c r="R655" i="6" s="1"/>
  <c r="P642" i="6"/>
  <c r="Q642" i="6" s="1"/>
  <c r="R642" i="6" s="1"/>
  <c r="P662" i="6"/>
  <c r="Q662" i="6" s="1"/>
  <c r="R662" i="6" s="1"/>
  <c r="P659" i="6"/>
  <c r="Q659" i="6" s="1"/>
  <c r="R659" i="6" s="1"/>
  <c r="P646" i="6"/>
  <c r="Q646" i="6" s="1"/>
  <c r="R646" i="6" s="1"/>
  <c r="P643" i="6"/>
  <c r="Q643" i="6" s="1"/>
  <c r="R643" i="6" s="1"/>
  <c r="P666" i="6"/>
  <c r="Q666" i="6" s="1"/>
  <c r="R666" i="6" s="1"/>
  <c r="P663" i="6"/>
  <c r="Q663" i="6" s="1"/>
  <c r="R663" i="6" s="1"/>
  <c r="P650" i="6"/>
  <c r="Q650" i="6" s="1"/>
  <c r="R650" i="6" s="1"/>
  <c r="P647" i="6"/>
  <c r="Q647" i="6" s="1"/>
  <c r="R647" i="6" s="1"/>
  <c r="P654" i="6"/>
  <c r="Q654" i="6" s="1"/>
  <c r="R654" i="6" s="1"/>
  <c r="P651" i="6"/>
  <c r="Q651" i="6" s="1"/>
  <c r="R651" i="6" s="1"/>
  <c r="P1120" i="6"/>
  <c r="Q1120" i="6" s="1"/>
  <c r="R1120" i="6" s="1"/>
  <c r="P1127" i="6"/>
  <c r="Q1127" i="6" s="1"/>
  <c r="R1127" i="6" s="1"/>
  <c r="P1125" i="6"/>
  <c r="Q1125" i="6" s="1"/>
  <c r="R1125" i="6" s="1"/>
  <c r="P923" i="6"/>
  <c r="Q923" i="6" s="1"/>
  <c r="R923" i="6" s="1"/>
  <c r="P929" i="6"/>
  <c r="Q929" i="6" s="1"/>
  <c r="R929" i="6" s="1"/>
  <c r="P928" i="6"/>
  <c r="Q928" i="6" s="1"/>
  <c r="R928" i="6" s="1"/>
  <c r="P1096" i="6"/>
  <c r="Q1096" i="6" s="1"/>
  <c r="R1096" i="6" s="1"/>
  <c r="P1092" i="6"/>
  <c r="Q1092" i="6" s="1"/>
  <c r="R1092" i="6" s="1"/>
  <c r="P1091" i="6"/>
  <c r="Q1091" i="6" s="1"/>
  <c r="R1091" i="6" s="1"/>
  <c r="P1090" i="6"/>
  <c r="Q1090" i="6" s="1"/>
  <c r="R1090" i="6" s="1"/>
  <c r="P1106" i="6"/>
  <c r="Q1106" i="6" s="1"/>
  <c r="R1106" i="6" s="1"/>
  <c r="P1097" i="6"/>
  <c r="Q1097" i="6" s="1"/>
  <c r="R1097" i="6" s="1"/>
  <c r="AG48" i="3"/>
  <c r="AG44" i="3"/>
  <c r="AG40" i="3"/>
  <c r="AG36" i="3"/>
  <c r="AG32" i="3"/>
  <c r="AG28" i="3"/>
  <c r="AG24" i="3"/>
  <c r="AG20" i="3"/>
  <c r="AG16" i="3"/>
  <c r="AG12" i="3"/>
  <c r="AG25" i="3"/>
  <c r="AG41" i="3"/>
  <c r="AG11" i="3"/>
  <c r="AG15" i="3"/>
  <c r="AG19" i="3"/>
  <c r="AG23" i="3"/>
  <c r="AG27" i="3"/>
  <c r="AG31" i="3"/>
  <c r="AG35" i="3"/>
  <c r="AG39" i="3"/>
  <c r="AG43" i="3"/>
  <c r="AG47" i="3"/>
  <c r="AG14" i="3"/>
  <c r="AG30" i="3"/>
  <c r="AG46" i="3"/>
  <c r="AG13" i="3"/>
  <c r="AG29" i="3"/>
  <c r="AG45" i="3"/>
  <c r="AG49" i="3"/>
  <c r="AG18" i="3"/>
  <c r="AG34" i="3"/>
  <c r="AG50" i="3"/>
  <c r="AG17" i="3"/>
  <c r="AG33" i="3"/>
  <c r="AG22" i="3"/>
  <c r="AG38" i="3"/>
  <c r="AG21" i="3"/>
  <c r="AG37" i="3"/>
  <c r="AG10" i="3"/>
  <c r="AG26" i="3"/>
  <c r="AG42" i="3"/>
  <c r="M49" i="2"/>
  <c r="Z49" i="2" s="1"/>
  <c r="L49" i="2"/>
  <c r="Y49" i="2" s="1"/>
  <c r="J49" i="2"/>
  <c r="W49" i="2" s="1"/>
  <c r="Q49" i="2"/>
  <c r="AD49" i="2" s="1"/>
  <c r="P49" i="2"/>
  <c r="AC49" i="2" s="1"/>
  <c r="N49" i="2"/>
  <c r="AA49" i="2" s="1"/>
  <c r="U49" i="2"/>
  <c r="AH49" i="2" s="1"/>
  <c r="K49" i="2"/>
  <c r="X49" i="2" s="1"/>
  <c r="S49" i="2"/>
  <c r="AF49" i="2" s="1"/>
  <c r="T49" i="2"/>
  <c r="AG49" i="2" s="1"/>
  <c r="R49" i="2"/>
  <c r="AE49" i="2" s="1"/>
  <c r="O49" i="2"/>
  <c r="AB49" i="2" s="1"/>
  <c r="O41" i="2"/>
  <c r="AB41" i="2" s="1"/>
  <c r="P41" i="2"/>
  <c r="AC41" i="2" s="1"/>
  <c r="Q41" i="2"/>
  <c r="AD41" i="2" s="1"/>
  <c r="S41" i="2"/>
  <c r="AF41" i="2" s="1"/>
  <c r="T41" i="2"/>
  <c r="AG41" i="2" s="1"/>
  <c r="J41" i="2"/>
  <c r="W41" i="2" s="1"/>
  <c r="N41" i="2"/>
  <c r="AA41" i="2" s="1"/>
  <c r="U41" i="2"/>
  <c r="AH41" i="2" s="1"/>
  <c r="K41" i="2"/>
  <c r="X41" i="2" s="1"/>
  <c r="L41" i="2"/>
  <c r="Y41" i="2" s="1"/>
  <c r="R41" i="2"/>
  <c r="AE41" i="2" s="1"/>
  <c r="M41" i="2"/>
  <c r="Z41" i="2" s="1"/>
  <c r="S43" i="2"/>
  <c r="AF43" i="2" s="1"/>
  <c r="O43" i="2"/>
  <c r="AB43" i="2" s="1"/>
  <c r="K43" i="2"/>
  <c r="X43" i="2" s="1"/>
  <c r="U43" i="2"/>
  <c r="AH43" i="2" s="1"/>
  <c r="T43" i="2"/>
  <c r="AG43" i="2" s="1"/>
  <c r="J43" i="2"/>
  <c r="W43" i="2" s="1"/>
  <c r="N43" i="2"/>
  <c r="AA43" i="2" s="1"/>
  <c r="L43" i="2"/>
  <c r="Y43" i="2" s="1"/>
  <c r="M43" i="2"/>
  <c r="Z43" i="2" s="1"/>
  <c r="R43" i="2"/>
  <c r="AE43" i="2" s="1"/>
  <c r="P43" i="2"/>
  <c r="AC43" i="2" s="1"/>
  <c r="Q43" i="2"/>
  <c r="AD43" i="2" s="1"/>
  <c r="P166" i="6"/>
  <c r="Q166" i="6" s="1"/>
  <c r="R166" i="6" s="1"/>
  <c r="P162" i="6"/>
  <c r="Q162" i="6" s="1"/>
  <c r="R162" i="6" s="1"/>
  <c r="P158" i="6"/>
  <c r="Q158" i="6" s="1"/>
  <c r="R158" i="6" s="1"/>
  <c r="P154" i="6"/>
  <c r="Q154" i="6" s="1"/>
  <c r="R154" i="6" s="1"/>
  <c r="P150" i="6"/>
  <c r="Q150" i="6" s="1"/>
  <c r="R150" i="6" s="1"/>
  <c r="P167" i="6"/>
  <c r="Q167" i="6" s="1"/>
  <c r="R167" i="6" s="1"/>
  <c r="P163" i="6"/>
  <c r="Q163" i="6" s="1"/>
  <c r="R163" i="6" s="1"/>
  <c r="P159" i="6"/>
  <c r="Q159" i="6" s="1"/>
  <c r="R159" i="6" s="1"/>
  <c r="P155" i="6"/>
  <c r="Q155" i="6" s="1"/>
  <c r="R155" i="6" s="1"/>
  <c r="P151" i="6"/>
  <c r="Q151" i="6" s="1"/>
  <c r="R151" i="6" s="1"/>
  <c r="P160" i="6"/>
  <c r="Q160" i="6" s="1"/>
  <c r="R160" i="6" s="1"/>
  <c r="P157" i="6"/>
  <c r="Q157" i="6" s="1"/>
  <c r="R157" i="6" s="1"/>
  <c r="P164" i="6"/>
  <c r="Q164" i="6" s="1"/>
  <c r="R164" i="6" s="1"/>
  <c r="P161" i="6"/>
  <c r="Q161" i="6" s="1"/>
  <c r="R161" i="6" s="1"/>
  <c r="P168" i="6"/>
  <c r="Q168" i="6" s="1"/>
  <c r="R168" i="6" s="1"/>
  <c r="P165" i="6"/>
  <c r="Q165" i="6" s="1"/>
  <c r="R165" i="6" s="1"/>
  <c r="P152" i="6"/>
  <c r="Q152" i="6" s="1"/>
  <c r="R152" i="6" s="1"/>
  <c r="P169" i="6"/>
  <c r="Q169" i="6" s="1"/>
  <c r="R169" i="6" s="1"/>
  <c r="P156" i="6"/>
  <c r="Q156" i="6" s="1"/>
  <c r="R156" i="6" s="1"/>
  <c r="P153" i="6"/>
  <c r="Q153" i="6" s="1"/>
  <c r="R153" i="6" s="1"/>
  <c r="AB20" i="3"/>
  <c r="AB36" i="3"/>
  <c r="AB10" i="3"/>
  <c r="AB26" i="3"/>
  <c r="P381" i="6"/>
  <c r="Q381" i="6" s="1"/>
  <c r="R381" i="6" s="1"/>
  <c r="P383" i="6"/>
  <c r="Q383" i="6" s="1"/>
  <c r="R383" i="6" s="1"/>
  <c r="P380" i="6"/>
  <c r="Q380" i="6" s="1"/>
  <c r="R380" i="6" s="1"/>
  <c r="P376" i="6"/>
  <c r="Q376" i="6" s="1"/>
  <c r="R376" i="6" s="1"/>
  <c r="P372" i="6"/>
  <c r="Q372" i="6" s="1"/>
  <c r="R372" i="6" s="1"/>
  <c r="P368" i="6"/>
  <c r="Q368" i="6" s="1"/>
  <c r="R368" i="6" s="1"/>
  <c r="P384" i="6"/>
  <c r="Q384" i="6" s="1"/>
  <c r="R384" i="6" s="1"/>
  <c r="P377" i="6"/>
  <c r="Q377" i="6" s="1"/>
  <c r="R377" i="6" s="1"/>
  <c r="P374" i="6"/>
  <c r="Q374" i="6" s="1"/>
  <c r="R374" i="6" s="1"/>
  <c r="P371" i="6"/>
  <c r="Q371" i="6" s="1"/>
  <c r="R371" i="6" s="1"/>
  <c r="P373" i="6"/>
  <c r="Q373" i="6" s="1"/>
  <c r="R373" i="6" s="1"/>
  <c r="P370" i="6"/>
  <c r="Q370" i="6" s="1"/>
  <c r="R370" i="6" s="1"/>
  <c r="P379" i="6"/>
  <c r="Q379" i="6" s="1"/>
  <c r="R379" i="6" s="1"/>
  <c r="P375" i="6"/>
  <c r="Q375" i="6" s="1"/>
  <c r="R375" i="6" s="1"/>
  <c r="P369" i="6"/>
  <c r="Q369" i="6" s="1"/>
  <c r="R369" i="6" s="1"/>
  <c r="P382" i="6"/>
  <c r="Q382" i="6" s="1"/>
  <c r="R382" i="6" s="1"/>
  <c r="P378" i="6"/>
  <c r="Q378" i="6" s="1"/>
  <c r="R378" i="6" s="1"/>
  <c r="P118" i="6"/>
  <c r="Q118" i="6" s="1"/>
  <c r="R118" i="6" s="1"/>
  <c r="P114" i="6"/>
  <c r="Q114" i="6" s="1"/>
  <c r="R114" i="6" s="1"/>
  <c r="P110" i="6"/>
  <c r="Q110" i="6" s="1"/>
  <c r="R110" i="6" s="1"/>
  <c r="P119" i="6"/>
  <c r="Q119" i="6" s="1"/>
  <c r="R119" i="6" s="1"/>
  <c r="P117" i="6"/>
  <c r="Q117" i="6" s="1"/>
  <c r="R117" i="6" s="1"/>
  <c r="P107" i="6"/>
  <c r="Q107" i="6" s="1"/>
  <c r="R107" i="6" s="1"/>
  <c r="P116" i="6"/>
  <c r="Q116" i="6" s="1"/>
  <c r="R116" i="6" s="1"/>
  <c r="P113" i="6"/>
  <c r="Q113" i="6" s="1"/>
  <c r="R113" i="6" s="1"/>
  <c r="P115" i="6"/>
  <c r="Q115" i="6" s="1"/>
  <c r="R115" i="6" s="1"/>
  <c r="P112" i="6"/>
  <c r="Q112" i="6" s="1"/>
  <c r="R112" i="6" s="1"/>
  <c r="P109" i="6"/>
  <c r="Q109" i="6" s="1"/>
  <c r="R109" i="6" s="1"/>
  <c r="P111" i="6"/>
  <c r="Q111" i="6" s="1"/>
  <c r="R111" i="6" s="1"/>
  <c r="P108" i="6"/>
  <c r="Q108" i="6" s="1"/>
  <c r="R108" i="6" s="1"/>
  <c r="P278" i="6"/>
  <c r="Q278" i="6" s="1"/>
  <c r="R278" i="6" s="1"/>
  <c r="P274" i="6"/>
  <c r="Q274" i="6" s="1"/>
  <c r="R274" i="6" s="1"/>
  <c r="P279" i="6"/>
  <c r="Q279" i="6" s="1"/>
  <c r="R279" i="6" s="1"/>
  <c r="P275" i="6"/>
  <c r="Q275" i="6" s="1"/>
  <c r="R275" i="6" s="1"/>
  <c r="P272" i="6"/>
  <c r="Q272" i="6" s="1"/>
  <c r="R272" i="6" s="1"/>
  <c r="P276" i="6"/>
  <c r="Q276" i="6" s="1"/>
  <c r="R276" i="6" s="1"/>
  <c r="P273" i="6"/>
  <c r="Q273" i="6" s="1"/>
  <c r="R273" i="6" s="1"/>
  <c r="P280" i="6"/>
  <c r="Q280" i="6" s="1"/>
  <c r="R280" i="6" s="1"/>
  <c r="P277" i="6"/>
  <c r="Q277" i="6" s="1"/>
  <c r="R277" i="6" s="1"/>
  <c r="P281" i="6"/>
  <c r="Q281" i="6" s="1"/>
  <c r="R281" i="6" s="1"/>
  <c r="P258" i="6"/>
  <c r="Q258" i="6" s="1"/>
  <c r="R258" i="6" s="1"/>
  <c r="P254" i="6"/>
  <c r="Q254" i="6" s="1"/>
  <c r="R254" i="6" s="1"/>
  <c r="P259" i="6"/>
  <c r="Q259" i="6" s="1"/>
  <c r="R259" i="6" s="1"/>
  <c r="P255" i="6"/>
  <c r="Q255" i="6" s="1"/>
  <c r="R255" i="6" s="1"/>
  <c r="P256" i="6"/>
  <c r="Q256" i="6" s="1"/>
  <c r="R256" i="6" s="1"/>
  <c r="P253" i="6"/>
  <c r="Q253" i="6" s="1"/>
  <c r="R253" i="6" s="1"/>
  <c r="AV23" i="5" s="1"/>
  <c r="P260" i="6"/>
  <c r="Q260" i="6" s="1"/>
  <c r="R260" i="6" s="1"/>
  <c r="P257" i="6"/>
  <c r="Q257" i="6" s="1"/>
  <c r="R257" i="6" s="1"/>
  <c r="P261" i="6"/>
  <c r="Q261" i="6" s="1"/>
  <c r="R261" i="6" s="1"/>
  <c r="P238" i="6"/>
  <c r="Q238" i="6" s="1"/>
  <c r="R238" i="6" s="1"/>
  <c r="P234" i="6"/>
  <c r="Q234" i="6" s="1"/>
  <c r="R234" i="6" s="1"/>
  <c r="P230" i="6"/>
  <c r="Q230" i="6" s="1"/>
  <c r="R230" i="6" s="1"/>
  <c r="P239" i="6"/>
  <c r="Q239" i="6" s="1"/>
  <c r="R239" i="6" s="1"/>
  <c r="P235" i="6"/>
  <c r="Q235" i="6" s="1"/>
  <c r="R235" i="6" s="1"/>
  <c r="P231" i="6"/>
  <c r="Q231" i="6" s="1"/>
  <c r="R231" i="6" s="1"/>
  <c r="P240" i="6"/>
  <c r="Q240" i="6" s="1"/>
  <c r="R240" i="6" s="1"/>
  <c r="P237" i="6"/>
  <c r="Q237" i="6" s="1"/>
  <c r="R237" i="6" s="1"/>
  <c r="P241" i="6"/>
  <c r="Q241" i="6" s="1"/>
  <c r="R241" i="6" s="1"/>
  <c r="P232" i="6"/>
  <c r="Q232" i="6" s="1"/>
  <c r="R232" i="6" s="1"/>
  <c r="P236" i="6"/>
  <c r="Q236" i="6" s="1"/>
  <c r="R236" i="6" s="1"/>
  <c r="P233" i="6"/>
  <c r="Q233" i="6" s="1"/>
  <c r="R233" i="6" s="1"/>
  <c r="AC48" i="3"/>
  <c r="AC44" i="3"/>
  <c r="AC40" i="3"/>
  <c r="AC36" i="3"/>
  <c r="AC32" i="3"/>
  <c r="AC28" i="3"/>
  <c r="AC24" i="3"/>
  <c r="AC20" i="3"/>
  <c r="AC16" i="3"/>
  <c r="AC12" i="3"/>
  <c r="AC49" i="3"/>
  <c r="AC45" i="3"/>
  <c r="AC41" i="3"/>
  <c r="AC37" i="3"/>
  <c r="AC33" i="3"/>
  <c r="AC29" i="3"/>
  <c r="AC25" i="3"/>
  <c r="AC21" i="3"/>
  <c r="AC17" i="3"/>
  <c r="AC13" i="3"/>
  <c r="AC10" i="3"/>
  <c r="AC19" i="3"/>
  <c r="AC26" i="3"/>
  <c r="AC35" i="3"/>
  <c r="AC42" i="3"/>
  <c r="AC14" i="3"/>
  <c r="AC23" i="3"/>
  <c r="AC30" i="3"/>
  <c r="AC39" i="3"/>
  <c r="AC46" i="3"/>
  <c r="AC11" i="3"/>
  <c r="AC18" i="3"/>
  <c r="AC27" i="3"/>
  <c r="AC34" i="3"/>
  <c r="AC43" i="3"/>
  <c r="AC50" i="3"/>
  <c r="AC15" i="3"/>
  <c r="AC22" i="3"/>
  <c r="AC31" i="3"/>
  <c r="AC38" i="3"/>
  <c r="AC47" i="3"/>
  <c r="AF16" i="3"/>
  <c r="AF32" i="3"/>
  <c r="AF22" i="3"/>
  <c r="AF38" i="3"/>
  <c r="AF17" i="3"/>
  <c r="AF33" i="3"/>
  <c r="AF49" i="3"/>
  <c r="AF20" i="3"/>
  <c r="AF36" i="3"/>
  <c r="AF10" i="3"/>
  <c r="AF26" i="3"/>
  <c r="AF42" i="3"/>
  <c r="AF21" i="3"/>
  <c r="AF37" i="3"/>
  <c r="AF24" i="3"/>
  <c r="AF40" i="3"/>
  <c r="AF11" i="3"/>
  <c r="AF15" i="3"/>
  <c r="AF19" i="3"/>
  <c r="AF23" i="3"/>
  <c r="AF27" i="3"/>
  <c r="AF31" i="3"/>
  <c r="AF35" i="3"/>
  <c r="AF39" i="3"/>
  <c r="AF43" i="3"/>
  <c r="AF47" i="3"/>
  <c r="AF14" i="3"/>
  <c r="AF30" i="3"/>
  <c r="AF46" i="3"/>
  <c r="AF25" i="3"/>
  <c r="AF41" i="3"/>
  <c r="AF48" i="3"/>
  <c r="AF12" i="3"/>
  <c r="AF28" i="3"/>
  <c r="AF44" i="3"/>
  <c r="AF18" i="3"/>
  <c r="AF34" i="3"/>
  <c r="AF50" i="3"/>
  <c r="AF13" i="3"/>
  <c r="AF29" i="3"/>
  <c r="AF45" i="3"/>
  <c r="P437" i="6"/>
  <c r="Q437" i="6" s="1"/>
  <c r="R437" i="6" s="1"/>
  <c r="P433" i="6"/>
  <c r="Q433" i="6" s="1"/>
  <c r="R433" i="6" s="1"/>
  <c r="P429" i="6"/>
  <c r="Q429" i="6" s="1"/>
  <c r="R429" i="6" s="1"/>
  <c r="P425" i="6"/>
  <c r="Q425" i="6" s="1"/>
  <c r="R425" i="6" s="1"/>
  <c r="P421" i="6"/>
  <c r="Q421" i="6" s="1"/>
  <c r="R421" i="6" s="1"/>
  <c r="P438" i="6"/>
  <c r="Q438" i="6" s="1"/>
  <c r="R438" i="6" s="1"/>
  <c r="P435" i="6"/>
  <c r="Q435" i="6" s="1"/>
  <c r="R435" i="6" s="1"/>
  <c r="P432" i="6"/>
  <c r="Q432" i="6" s="1"/>
  <c r="R432" i="6" s="1"/>
  <c r="P422" i="6"/>
  <c r="Q422" i="6" s="1"/>
  <c r="R422" i="6" s="1"/>
  <c r="P434" i="6"/>
  <c r="Q434" i="6" s="1"/>
  <c r="R434" i="6" s="1"/>
  <c r="P431" i="6"/>
  <c r="Q431" i="6" s="1"/>
  <c r="R431" i="6" s="1"/>
  <c r="P428" i="6"/>
  <c r="Q428" i="6" s="1"/>
  <c r="R428" i="6" s="1"/>
  <c r="P440" i="6"/>
  <c r="Q440" i="6" s="1"/>
  <c r="R440" i="6" s="1"/>
  <c r="P439" i="6"/>
  <c r="Q439" i="6" s="1"/>
  <c r="R439" i="6" s="1"/>
  <c r="P427" i="6"/>
  <c r="Q427" i="6" s="1"/>
  <c r="R427" i="6" s="1"/>
  <c r="P426" i="6"/>
  <c r="Q426" i="6" s="1"/>
  <c r="R426" i="6" s="1"/>
  <c r="P436" i="6"/>
  <c r="Q436" i="6" s="1"/>
  <c r="R436" i="6" s="1"/>
  <c r="P430" i="6"/>
  <c r="Q430" i="6" s="1"/>
  <c r="R430" i="6" s="1"/>
  <c r="P424" i="6"/>
  <c r="Q424" i="6" s="1"/>
  <c r="R424" i="6" s="1"/>
  <c r="P423" i="6"/>
  <c r="Q423" i="6" s="1"/>
  <c r="R423" i="6" s="1"/>
  <c r="P452" i="6"/>
  <c r="Q452" i="6" s="1"/>
  <c r="R452" i="6" s="1"/>
  <c r="P448" i="6"/>
  <c r="Q448" i="6" s="1"/>
  <c r="R448" i="6" s="1"/>
  <c r="P444" i="6"/>
  <c r="Q444" i="6" s="1"/>
  <c r="R444" i="6" s="1"/>
  <c r="P453" i="6"/>
  <c r="Q453" i="6" s="1"/>
  <c r="R453" i="6" s="1"/>
  <c r="P449" i="6"/>
  <c r="Q449" i="6" s="1"/>
  <c r="R449" i="6" s="1"/>
  <c r="P445" i="6"/>
  <c r="Q445" i="6" s="1"/>
  <c r="R445" i="6" s="1"/>
  <c r="P441" i="6"/>
  <c r="Q441" i="6" s="1"/>
  <c r="R441" i="6" s="1"/>
  <c r="P455" i="6"/>
  <c r="Q455" i="6" s="1"/>
  <c r="R455" i="6" s="1"/>
  <c r="P446" i="6"/>
  <c r="Q446" i="6" s="1"/>
  <c r="R446" i="6" s="1"/>
  <c r="P443" i="6"/>
  <c r="Q443" i="6" s="1"/>
  <c r="R443" i="6" s="1"/>
  <c r="P442" i="6"/>
  <c r="Q442" i="6" s="1"/>
  <c r="R442" i="6" s="1"/>
  <c r="P447" i="6"/>
  <c r="Q447" i="6" s="1"/>
  <c r="R447" i="6" s="1"/>
  <c r="P450" i="6"/>
  <c r="Q450" i="6" s="1"/>
  <c r="R450" i="6" s="1"/>
  <c r="P454" i="6"/>
  <c r="Q454" i="6" s="1"/>
  <c r="R454" i="6" s="1"/>
  <c r="P451" i="6"/>
  <c r="Q451" i="6" s="1"/>
  <c r="R451" i="6" s="1"/>
  <c r="P500" i="6"/>
  <c r="Q500" i="6" s="1"/>
  <c r="R500" i="6" s="1"/>
  <c r="P496" i="6"/>
  <c r="Q496" i="6" s="1"/>
  <c r="R496" i="6" s="1"/>
  <c r="P492" i="6"/>
  <c r="Q492" i="6" s="1"/>
  <c r="R492" i="6" s="1"/>
  <c r="P497" i="6"/>
  <c r="Q497" i="6" s="1"/>
  <c r="R497" i="6" s="1"/>
  <c r="P493" i="6"/>
  <c r="Q493" i="6" s="1"/>
  <c r="R493" i="6" s="1"/>
  <c r="P490" i="6"/>
  <c r="Q490" i="6" s="1"/>
  <c r="R490" i="6" s="1"/>
  <c r="P494" i="6"/>
  <c r="Q494" i="6" s="1"/>
  <c r="R494" i="6" s="1"/>
  <c r="P491" i="6"/>
  <c r="Q491" i="6" s="1"/>
  <c r="R491" i="6" s="1"/>
  <c r="P498" i="6"/>
  <c r="Q498" i="6" s="1"/>
  <c r="R498" i="6" s="1"/>
  <c r="P495" i="6"/>
  <c r="Q495" i="6" s="1"/>
  <c r="R495" i="6" s="1"/>
  <c r="P499" i="6"/>
  <c r="Q499" i="6" s="1"/>
  <c r="R499" i="6" s="1"/>
  <c r="J378" i="10"/>
  <c r="K378" i="10" s="1"/>
  <c r="P138" i="6"/>
  <c r="Q138" i="6" s="1"/>
  <c r="R138" i="6" s="1"/>
  <c r="P134" i="6"/>
  <c r="Q134" i="6" s="1"/>
  <c r="R134" i="6" s="1"/>
  <c r="P130" i="6"/>
  <c r="Q130" i="6" s="1"/>
  <c r="R130" i="6" s="1"/>
  <c r="P135" i="6"/>
  <c r="Q135" i="6" s="1"/>
  <c r="R135" i="6" s="1"/>
  <c r="P131" i="6"/>
  <c r="Q131" i="6" s="1"/>
  <c r="R131" i="6" s="1"/>
  <c r="P132" i="6"/>
  <c r="Q132" i="6" s="1"/>
  <c r="R132" i="6" s="1"/>
  <c r="P129" i="6"/>
  <c r="Q129" i="6" s="1"/>
  <c r="R129" i="6" s="1"/>
  <c r="P136" i="6"/>
  <c r="Q136" i="6" s="1"/>
  <c r="R136" i="6" s="1"/>
  <c r="P133" i="6"/>
  <c r="Q133" i="6" s="1"/>
  <c r="R133" i="6" s="1"/>
  <c r="P137" i="6"/>
  <c r="Q137" i="6" s="1"/>
  <c r="R137" i="6" s="1"/>
  <c r="P405" i="6"/>
  <c r="Q405" i="6" s="1"/>
  <c r="R405" i="6" s="1"/>
  <c r="P401" i="6"/>
  <c r="Q401" i="6" s="1"/>
  <c r="R401" i="6" s="1"/>
  <c r="P397" i="6"/>
  <c r="Q397" i="6" s="1"/>
  <c r="R397" i="6" s="1"/>
  <c r="P393" i="6"/>
  <c r="Q393" i="6" s="1"/>
  <c r="R393" i="6" s="1"/>
  <c r="P389" i="6"/>
  <c r="Q389" i="6" s="1"/>
  <c r="R389" i="6" s="1"/>
  <c r="P385" i="6"/>
  <c r="Q385" i="6" s="1"/>
  <c r="R385" i="6" s="1"/>
  <c r="P406" i="6"/>
  <c r="Q406" i="6" s="1"/>
  <c r="R406" i="6" s="1"/>
  <c r="P403" i="6"/>
  <c r="Q403" i="6" s="1"/>
  <c r="R403" i="6" s="1"/>
  <c r="P400" i="6"/>
  <c r="Q400" i="6" s="1"/>
  <c r="R400" i="6" s="1"/>
  <c r="P390" i="6"/>
  <c r="Q390" i="6" s="1"/>
  <c r="R390" i="6" s="1"/>
  <c r="P387" i="6"/>
  <c r="Q387" i="6" s="1"/>
  <c r="R387" i="6" s="1"/>
  <c r="P402" i="6"/>
  <c r="Q402" i="6" s="1"/>
  <c r="R402" i="6" s="1"/>
  <c r="P399" i="6"/>
  <c r="Q399" i="6" s="1"/>
  <c r="R399" i="6" s="1"/>
  <c r="P396" i="6"/>
  <c r="Q396" i="6" s="1"/>
  <c r="R396" i="6" s="1"/>
  <c r="P386" i="6"/>
  <c r="Q386" i="6" s="1"/>
  <c r="R386" i="6" s="1"/>
  <c r="P398" i="6"/>
  <c r="Q398" i="6" s="1"/>
  <c r="R398" i="6" s="1"/>
  <c r="P392" i="6"/>
  <c r="Q392" i="6" s="1"/>
  <c r="R392" i="6" s="1"/>
  <c r="P391" i="6"/>
  <c r="Q391" i="6" s="1"/>
  <c r="R391" i="6" s="1"/>
  <c r="P395" i="6"/>
  <c r="Q395" i="6" s="1"/>
  <c r="R395" i="6" s="1"/>
  <c r="P407" i="6"/>
  <c r="Q407" i="6" s="1"/>
  <c r="R407" i="6" s="1"/>
  <c r="P404" i="6"/>
  <c r="Q404" i="6" s="1"/>
  <c r="R404" i="6" s="1"/>
  <c r="P394" i="6"/>
  <c r="Q394" i="6" s="1"/>
  <c r="R394" i="6" s="1"/>
  <c r="P388" i="6"/>
  <c r="Q388" i="6" s="1"/>
  <c r="R388" i="6" s="1"/>
  <c r="P409" i="6"/>
  <c r="Q409" i="6" s="1"/>
  <c r="R409" i="6" s="1"/>
  <c r="P412" i="6"/>
  <c r="Q412" i="6" s="1"/>
  <c r="R412" i="6" s="1"/>
  <c r="P411" i="6"/>
  <c r="Q411" i="6" s="1"/>
  <c r="R411" i="6" s="1"/>
  <c r="P410" i="6"/>
  <c r="Q410" i="6" s="1"/>
  <c r="R410" i="6" s="1"/>
  <c r="P408" i="6"/>
  <c r="Q408" i="6" s="1"/>
  <c r="R408" i="6" s="1"/>
  <c r="J265" i="10"/>
  <c r="K265" i="10" s="1"/>
  <c r="J324" i="10"/>
  <c r="K324" i="10" s="1"/>
  <c r="P783" i="6"/>
  <c r="Q783" i="6" s="1"/>
  <c r="R783" i="6" s="1"/>
  <c r="P779" i="6"/>
  <c r="Q779" i="6" s="1"/>
  <c r="R779" i="6" s="1"/>
  <c r="P784" i="6"/>
  <c r="Q784" i="6" s="1"/>
  <c r="R784" i="6" s="1"/>
  <c r="P780" i="6"/>
  <c r="Q780" i="6" s="1"/>
  <c r="R780" i="6" s="1"/>
  <c r="P776" i="6"/>
  <c r="Q776" i="6" s="1"/>
  <c r="R776" i="6" s="1"/>
  <c r="P782" i="6"/>
  <c r="Q782" i="6" s="1"/>
  <c r="R782" i="6" s="1"/>
  <c r="P778" i="6"/>
  <c r="Q778" i="6" s="1"/>
  <c r="R778" i="6" s="1"/>
  <c r="P777" i="6"/>
  <c r="Q777" i="6" s="1"/>
  <c r="R777" i="6" s="1"/>
  <c r="P781" i="6"/>
  <c r="Q781" i="6" s="1"/>
  <c r="R781" i="6" s="1"/>
  <c r="J346" i="10"/>
  <c r="K346" i="10" s="1"/>
  <c r="P984" i="6"/>
  <c r="Q984" i="6" s="1"/>
  <c r="R984" i="6" s="1"/>
  <c r="P980" i="6"/>
  <c r="Q980" i="6" s="1"/>
  <c r="R980" i="6" s="1"/>
  <c r="P976" i="6"/>
  <c r="Q976" i="6" s="1"/>
  <c r="R976" i="6" s="1"/>
  <c r="P985" i="6"/>
  <c r="Q985" i="6" s="1"/>
  <c r="R985" i="6" s="1"/>
  <c r="P981" i="6"/>
  <c r="Q981" i="6" s="1"/>
  <c r="R981" i="6" s="1"/>
  <c r="P977" i="6"/>
  <c r="Q977" i="6" s="1"/>
  <c r="R977" i="6" s="1"/>
  <c r="P982" i="6"/>
  <c r="Q982" i="6" s="1"/>
  <c r="R982" i="6" s="1"/>
  <c r="P979" i="6"/>
  <c r="Q979" i="6" s="1"/>
  <c r="R979" i="6" s="1"/>
  <c r="P983" i="6"/>
  <c r="Q983" i="6" s="1"/>
  <c r="R983" i="6" s="1"/>
  <c r="P978" i="6"/>
  <c r="Q978" i="6" s="1"/>
  <c r="R978" i="6" s="1"/>
  <c r="P30" i="6"/>
  <c r="Q30" i="6" s="1"/>
  <c r="R30" i="6" s="1"/>
  <c r="P26" i="6"/>
  <c r="Q26" i="6" s="1"/>
  <c r="R26" i="6" s="1"/>
  <c r="P22" i="6"/>
  <c r="Q22" i="6" s="1"/>
  <c r="R22" i="6" s="1"/>
  <c r="P27" i="6"/>
  <c r="Q27" i="6" s="1"/>
  <c r="R27" i="6" s="1"/>
  <c r="P24" i="6"/>
  <c r="Q24" i="6" s="1"/>
  <c r="R24" i="6" s="1"/>
  <c r="P21" i="6"/>
  <c r="Q21" i="6" s="1"/>
  <c r="R21" i="6" s="1"/>
  <c r="P23" i="6"/>
  <c r="Q23" i="6" s="1"/>
  <c r="R23" i="6" s="1"/>
  <c r="P20" i="6"/>
  <c r="Q20" i="6" s="1"/>
  <c r="R20" i="6" s="1"/>
  <c r="P32" i="6"/>
  <c r="Q32" i="6" s="1"/>
  <c r="R32" i="6" s="1"/>
  <c r="P29" i="6"/>
  <c r="Q29" i="6" s="1"/>
  <c r="R29" i="6" s="1"/>
  <c r="P31" i="6"/>
  <c r="Q31" i="6" s="1"/>
  <c r="R31" i="6" s="1"/>
  <c r="P28" i="6"/>
  <c r="Q28" i="6" s="1"/>
  <c r="R28" i="6" s="1"/>
  <c r="P25" i="6"/>
  <c r="Q25" i="6" s="1"/>
  <c r="R25" i="6" s="1"/>
  <c r="J332" i="10"/>
  <c r="K332" i="10" s="1"/>
  <c r="P1117" i="6"/>
  <c r="Q1117" i="6" s="1"/>
  <c r="R1117" i="6" s="1"/>
  <c r="P1113" i="6"/>
  <c r="Q1113" i="6" s="1"/>
  <c r="R1113" i="6" s="1"/>
  <c r="P1118" i="6"/>
  <c r="Q1118" i="6" s="1"/>
  <c r="R1118" i="6" s="1"/>
  <c r="P1114" i="6"/>
  <c r="Q1114" i="6" s="1"/>
  <c r="R1114" i="6" s="1"/>
  <c r="P1110" i="6"/>
  <c r="Q1110" i="6" s="1"/>
  <c r="R1110" i="6" s="1"/>
  <c r="P1115" i="6"/>
  <c r="Q1115" i="6" s="1"/>
  <c r="R1115" i="6" s="1"/>
  <c r="P1111" i="6"/>
  <c r="Q1111" i="6" s="1"/>
  <c r="R1111" i="6" s="1"/>
  <c r="P1116" i="6"/>
  <c r="Q1116" i="6" s="1"/>
  <c r="R1116" i="6" s="1"/>
  <c r="P1112" i="6"/>
  <c r="Q1112" i="6" s="1"/>
  <c r="R1112" i="6" s="1"/>
  <c r="P1124" i="6"/>
  <c r="Q1124" i="6" s="1"/>
  <c r="R1124" i="6" s="1"/>
  <c r="P1122" i="6"/>
  <c r="Q1122" i="6" s="1"/>
  <c r="R1122" i="6" s="1"/>
  <c r="P931" i="6"/>
  <c r="Q931" i="6" s="1"/>
  <c r="R931" i="6" s="1"/>
  <c r="P927" i="6"/>
  <c r="Q927" i="6" s="1"/>
  <c r="R927" i="6" s="1"/>
  <c r="P1084" i="6"/>
  <c r="Q1084" i="6" s="1"/>
  <c r="R1084" i="6" s="1"/>
  <c r="P1099" i="6"/>
  <c r="Q1099" i="6" s="1"/>
  <c r="R1099" i="6" s="1"/>
  <c r="P1095" i="6"/>
  <c r="Q1095" i="6" s="1"/>
  <c r="R1095" i="6" s="1"/>
  <c r="P1104" i="6"/>
  <c r="Q1104" i="6" s="1"/>
  <c r="R1104" i="6" s="1"/>
  <c r="P1094" i="6"/>
  <c r="Q1094" i="6" s="1"/>
  <c r="R1094" i="6" s="1"/>
  <c r="P1085" i="6"/>
  <c r="Q1085" i="6" s="1"/>
  <c r="R1085" i="6" s="1"/>
  <c r="P1101" i="6"/>
  <c r="Q1101" i="6" s="1"/>
  <c r="R1101" i="6" s="1"/>
  <c r="AD48" i="3"/>
  <c r="AD44" i="3"/>
  <c r="AD40" i="3"/>
  <c r="AD36" i="3"/>
  <c r="AD32" i="3"/>
  <c r="AD28" i="3"/>
  <c r="AD24" i="3"/>
  <c r="AD20" i="3"/>
  <c r="AD16" i="3"/>
  <c r="AD12" i="3"/>
  <c r="AD22" i="3"/>
  <c r="AD38" i="3"/>
  <c r="AD15" i="3"/>
  <c r="AD21" i="3"/>
  <c r="AD31" i="3"/>
  <c r="AD37" i="3"/>
  <c r="AD47" i="3"/>
  <c r="AD10" i="3"/>
  <c r="AD26" i="3"/>
  <c r="AD42" i="3"/>
  <c r="AD19" i="3"/>
  <c r="AD25" i="3"/>
  <c r="AD35" i="3"/>
  <c r="AD41" i="3"/>
  <c r="AD14" i="3"/>
  <c r="AD30" i="3"/>
  <c r="AD46" i="3"/>
  <c r="AD50" i="3"/>
  <c r="AD13" i="3"/>
  <c r="AD23" i="3"/>
  <c r="AD29" i="3"/>
  <c r="AD39" i="3"/>
  <c r="AD45" i="3"/>
  <c r="AD18" i="3"/>
  <c r="AD34" i="3"/>
  <c r="AD11" i="3"/>
  <c r="AD17" i="3"/>
  <c r="AD27" i="3"/>
  <c r="AD33" i="3"/>
  <c r="AD43" i="3"/>
  <c r="AD49" i="3"/>
  <c r="AH50" i="3"/>
  <c r="AH46" i="3"/>
  <c r="AH42" i="3"/>
  <c r="AH38" i="3"/>
  <c r="AH34" i="3"/>
  <c r="AH30" i="3"/>
  <c r="AH26" i="3"/>
  <c r="AH22" i="3"/>
  <c r="AH18" i="3"/>
  <c r="AH14" i="3"/>
  <c r="AH10" i="3"/>
  <c r="AH48" i="3"/>
  <c r="AH44" i="3"/>
  <c r="AH40" i="3"/>
  <c r="AH36" i="3"/>
  <c r="AH32" i="3"/>
  <c r="AH28" i="3"/>
  <c r="AH24" i="3"/>
  <c r="AH20" i="3"/>
  <c r="AH16" i="3"/>
  <c r="AH12" i="3"/>
  <c r="AH15" i="3"/>
  <c r="AH31" i="3"/>
  <c r="AH47" i="3"/>
  <c r="AH25" i="3"/>
  <c r="AH41" i="3"/>
  <c r="AH19" i="3"/>
  <c r="AH35" i="3"/>
  <c r="AH13" i="3"/>
  <c r="AH29" i="3"/>
  <c r="AH45" i="3"/>
  <c r="AH23" i="3"/>
  <c r="AH39" i="3"/>
  <c r="AH17" i="3"/>
  <c r="AH33" i="3"/>
  <c r="AH49" i="3"/>
  <c r="AH11" i="3"/>
  <c r="AH27" i="3"/>
  <c r="AH43" i="3"/>
  <c r="AH21" i="3"/>
  <c r="AH37" i="3"/>
  <c r="P66" i="6"/>
  <c r="Q66" i="6" s="1"/>
  <c r="R66" i="6" s="1"/>
  <c r="P62" i="6"/>
  <c r="Q62" i="6" s="1"/>
  <c r="R62" i="6" s="1"/>
  <c r="P69" i="6"/>
  <c r="Q69" i="6" s="1"/>
  <c r="R69" i="6" s="1"/>
  <c r="P68" i="6"/>
  <c r="Q68" i="6" s="1"/>
  <c r="R68" i="6" s="1"/>
  <c r="P65" i="6"/>
  <c r="Q65" i="6" s="1"/>
  <c r="R65" i="6" s="1"/>
  <c r="P67" i="6"/>
  <c r="Q67" i="6" s="1"/>
  <c r="R67" i="6" s="1"/>
  <c r="P64" i="6"/>
  <c r="Q64" i="6" s="1"/>
  <c r="R64" i="6" s="1"/>
  <c r="P61" i="6"/>
  <c r="Q61" i="6" s="1"/>
  <c r="R61" i="6" s="1"/>
  <c r="P63" i="6"/>
  <c r="Q63" i="6" s="1"/>
  <c r="R63" i="6" s="1"/>
  <c r="AB13" i="3"/>
  <c r="AB29" i="3"/>
  <c r="AB45" i="3"/>
  <c r="AB49" i="3"/>
  <c r="AB17" i="3"/>
  <c r="AB33" i="3"/>
  <c r="AB21" i="3"/>
  <c r="AB37" i="3"/>
  <c r="AB25" i="3"/>
  <c r="AB41" i="3"/>
  <c r="AB11" i="3"/>
  <c r="AB15" i="3"/>
  <c r="AB19" i="3"/>
  <c r="AB23" i="3"/>
  <c r="AB27" i="3"/>
  <c r="AB31" i="3"/>
  <c r="AB35" i="3"/>
  <c r="AB39" i="3"/>
  <c r="AB43" i="3"/>
  <c r="AB47" i="3"/>
  <c r="P146" i="6"/>
  <c r="Q146" i="6" s="1"/>
  <c r="R146" i="6" s="1"/>
  <c r="P142" i="6"/>
  <c r="Q142" i="6" s="1"/>
  <c r="R142" i="6" s="1"/>
  <c r="P147" i="6"/>
  <c r="Q147" i="6" s="1"/>
  <c r="R147" i="6" s="1"/>
  <c r="P143" i="6"/>
  <c r="Q143" i="6" s="1"/>
  <c r="R143" i="6" s="1"/>
  <c r="P139" i="6"/>
  <c r="Q139" i="6" s="1"/>
  <c r="R139" i="6" s="1"/>
  <c r="P144" i="6"/>
  <c r="Q144" i="6" s="1"/>
  <c r="R144" i="6" s="1"/>
  <c r="P141" i="6"/>
  <c r="Q141" i="6" s="1"/>
  <c r="R141" i="6" s="1"/>
  <c r="P148" i="6"/>
  <c r="Q148" i="6" s="1"/>
  <c r="R148" i="6" s="1"/>
  <c r="P145" i="6"/>
  <c r="Q145" i="6" s="1"/>
  <c r="R145" i="6" s="1"/>
  <c r="P149" i="6"/>
  <c r="Q149" i="6" s="1"/>
  <c r="R149" i="6" s="1"/>
  <c r="P140" i="6"/>
  <c r="Q140" i="6" s="1"/>
  <c r="R140" i="6" s="1"/>
  <c r="L53" i="2"/>
  <c r="Y53" i="2" s="1"/>
  <c r="K53" i="2"/>
  <c r="X53" i="2" s="1"/>
  <c r="S53" i="2"/>
  <c r="AF53" i="2" s="1"/>
  <c r="P53" i="2"/>
  <c r="AC53" i="2" s="1"/>
  <c r="J53" i="2"/>
  <c r="W53" i="2" s="1"/>
  <c r="M53" i="2"/>
  <c r="Z53" i="2" s="1"/>
  <c r="O53" i="2"/>
  <c r="AB53" i="2" s="1"/>
  <c r="T53" i="2"/>
  <c r="AG53" i="2" s="1"/>
  <c r="N53" i="2"/>
  <c r="AA53" i="2" s="1"/>
  <c r="Q53" i="2"/>
  <c r="AD53" i="2" s="1"/>
  <c r="R53" i="2"/>
  <c r="AE53" i="2" s="1"/>
  <c r="U53" i="2"/>
  <c r="AH53" i="2" s="1"/>
  <c r="P1070" i="6"/>
  <c r="Q1070" i="6" s="1"/>
  <c r="R1070" i="6" s="1"/>
  <c r="P1066" i="6"/>
  <c r="Q1066" i="6" s="1"/>
  <c r="R1066" i="6" s="1"/>
  <c r="P1072" i="6"/>
  <c r="Q1072" i="6" s="1"/>
  <c r="R1072" i="6" s="1"/>
  <c r="P1069" i="6"/>
  <c r="Q1069" i="6" s="1"/>
  <c r="R1069" i="6" s="1"/>
  <c r="P1071" i="6"/>
  <c r="Q1071" i="6" s="1"/>
  <c r="R1071" i="6" s="1"/>
  <c r="P1068" i="6"/>
  <c r="Q1068" i="6" s="1"/>
  <c r="R1068" i="6" s="1"/>
  <c r="P1065" i="6"/>
  <c r="Q1065" i="6" s="1"/>
  <c r="R1065" i="6" s="1"/>
  <c r="P1067" i="6"/>
  <c r="Q1067" i="6" s="1"/>
  <c r="R1067" i="6" s="1"/>
  <c r="P1073" i="6"/>
  <c r="Q1073" i="6" s="1"/>
  <c r="R1073" i="6" s="1"/>
  <c r="P772" i="6"/>
  <c r="Q772" i="6" s="1"/>
  <c r="R772" i="6" s="1"/>
  <c r="P768" i="6"/>
  <c r="Q768" i="6" s="1"/>
  <c r="R768" i="6" s="1"/>
  <c r="P775" i="6"/>
  <c r="Q775" i="6" s="1"/>
  <c r="R775" i="6" s="1"/>
  <c r="P774" i="6"/>
  <c r="Q774" i="6" s="1"/>
  <c r="R774" i="6" s="1"/>
  <c r="P771" i="6"/>
  <c r="Q771" i="6" s="1"/>
  <c r="R771" i="6" s="1"/>
  <c r="P769" i="6"/>
  <c r="Q769" i="6" s="1"/>
  <c r="R769" i="6" s="1"/>
  <c r="P770" i="6"/>
  <c r="Q770" i="6" s="1"/>
  <c r="R770" i="6" s="1"/>
  <c r="P766" i="6"/>
  <c r="Q766" i="6" s="1"/>
  <c r="R766" i="6" s="1"/>
  <c r="P773" i="6"/>
  <c r="Q773" i="6" s="1"/>
  <c r="R773" i="6" s="1"/>
  <c r="P767" i="6"/>
  <c r="Q767" i="6" s="1"/>
  <c r="R767" i="6" s="1"/>
  <c r="P838" i="6"/>
  <c r="Q838" i="6" s="1"/>
  <c r="R838" i="6" s="1"/>
  <c r="P834" i="6"/>
  <c r="Q834" i="6" s="1"/>
  <c r="R834" i="6" s="1"/>
  <c r="P830" i="6"/>
  <c r="Q830" i="6" s="1"/>
  <c r="R830" i="6" s="1"/>
  <c r="P826" i="6"/>
  <c r="Q826" i="6" s="1"/>
  <c r="R826" i="6" s="1"/>
  <c r="P822" i="6"/>
  <c r="Q822" i="6" s="1"/>
  <c r="R822" i="6" s="1"/>
  <c r="P840" i="6"/>
  <c r="Q840" i="6" s="1"/>
  <c r="R840" i="6" s="1"/>
  <c r="P837" i="6"/>
  <c r="Q837" i="6" s="1"/>
  <c r="R837" i="6" s="1"/>
  <c r="P827" i="6"/>
  <c r="Q827" i="6" s="1"/>
  <c r="R827" i="6" s="1"/>
  <c r="P824" i="6"/>
  <c r="Q824" i="6" s="1"/>
  <c r="R824" i="6" s="1"/>
  <c r="P839" i="6"/>
  <c r="Q839" i="6" s="1"/>
  <c r="R839" i="6" s="1"/>
  <c r="P836" i="6"/>
  <c r="Q836" i="6" s="1"/>
  <c r="R836" i="6" s="1"/>
  <c r="P833" i="6"/>
  <c r="Q833" i="6" s="1"/>
  <c r="R833" i="6" s="1"/>
  <c r="P823" i="6"/>
  <c r="Q823" i="6" s="1"/>
  <c r="R823" i="6" s="1"/>
  <c r="P841" i="6"/>
  <c r="Q841" i="6" s="1"/>
  <c r="R841" i="6" s="1"/>
  <c r="P831" i="6"/>
  <c r="Q831" i="6" s="1"/>
  <c r="R831" i="6" s="1"/>
  <c r="P828" i="6"/>
  <c r="Q828" i="6" s="1"/>
  <c r="R828" i="6" s="1"/>
  <c r="P825" i="6"/>
  <c r="Q825" i="6" s="1"/>
  <c r="R825" i="6" s="1"/>
  <c r="P829" i="6"/>
  <c r="Q829" i="6" s="1"/>
  <c r="R829" i="6" s="1"/>
  <c r="P832" i="6"/>
  <c r="Q832" i="6" s="1"/>
  <c r="R832" i="6" s="1"/>
  <c r="P835" i="6"/>
  <c r="Q835" i="6" s="1"/>
  <c r="R835" i="6" s="1"/>
  <c r="P764" i="6"/>
  <c r="Q764" i="6" s="1"/>
  <c r="R764" i="6" s="1"/>
  <c r="P760" i="6"/>
  <c r="Q760" i="6" s="1"/>
  <c r="R760" i="6" s="1"/>
  <c r="P756" i="6"/>
  <c r="Q756" i="6" s="1"/>
  <c r="R756" i="6" s="1"/>
  <c r="P752" i="6"/>
  <c r="Q752" i="6" s="1"/>
  <c r="R752" i="6" s="1"/>
  <c r="P748" i="6"/>
  <c r="Q748" i="6" s="1"/>
  <c r="R748" i="6" s="1"/>
  <c r="P744" i="6"/>
  <c r="Q744" i="6" s="1"/>
  <c r="R744" i="6" s="1"/>
  <c r="P740" i="6"/>
  <c r="Q740" i="6" s="1"/>
  <c r="R740" i="6" s="1"/>
  <c r="P736" i="6"/>
  <c r="Q736" i="6" s="1"/>
  <c r="R736" i="6" s="1"/>
  <c r="P732" i="6"/>
  <c r="Q732" i="6" s="1"/>
  <c r="R732" i="6" s="1"/>
  <c r="P728" i="6"/>
  <c r="Q728" i="6" s="1"/>
  <c r="R728" i="6" s="1"/>
  <c r="P724" i="6"/>
  <c r="Q724" i="6" s="1"/>
  <c r="R724" i="6" s="1"/>
  <c r="P765" i="6"/>
  <c r="Q765" i="6" s="1"/>
  <c r="R765" i="6" s="1"/>
  <c r="P762" i="6"/>
  <c r="Q762" i="6" s="1"/>
  <c r="R762" i="6" s="1"/>
  <c r="P759" i="6"/>
  <c r="Q759" i="6" s="1"/>
  <c r="R759" i="6" s="1"/>
  <c r="P749" i="6"/>
  <c r="Q749" i="6" s="1"/>
  <c r="R749" i="6" s="1"/>
  <c r="P746" i="6"/>
  <c r="Q746" i="6" s="1"/>
  <c r="R746" i="6" s="1"/>
  <c r="P743" i="6"/>
  <c r="Q743" i="6" s="1"/>
  <c r="R743" i="6" s="1"/>
  <c r="P733" i="6"/>
  <c r="Q733" i="6" s="1"/>
  <c r="R733" i="6" s="1"/>
  <c r="P730" i="6"/>
  <c r="Q730" i="6" s="1"/>
  <c r="R730" i="6" s="1"/>
  <c r="P727" i="6"/>
  <c r="Q727" i="6" s="1"/>
  <c r="R727" i="6" s="1"/>
  <c r="P761" i="6"/>
  <c r="Q761" i="6" s="1"/>
  <c r="R761" i="6" s="1"/>
  <c r="P758" i="6"/>
  <c r="Q758" i="6" s="1"/>
  <c r="R758" i="6" s="1"/>
  <c r="P755" i="6"/>
  <c r="Q755" i="6" s="1"/>
  <c r="R755" i="6" s="1"/>
  <c r="P745" i="6"/>
  <c r="Q745" i="6" s="1"/>
  <c r="R745" i="6" s="1"/>
  <c r="P742" i="6"/>
  <c r="Q742" i="6" s="1"/>
  <c r="R742" i="6" s="1"/>
  <c r="P739" i="6"/>
  <c r="Q739" i="6" s="1"/>
  <c r="R739" i="6" s="1"/>
  <c r="P729" i="6"/>
  <c r="Q729" i="6" s="1"/>
  <c r="R729" i="6" s="1"/>
  <c r="P726" i="6"/>
  <c r="Q726" i="6" s="1"/>
  <c r="R726" i="6" s="1"/>
  <c r="P723" i="6"/>
  <c r="Q723" i="6" s="1"/>
  <c r="R723" i="6" s="1"/>
  <c r="P753" i="6"/>
  <c r="Q753" i="6" s="1"/>
  <c r="R753" i="6" s="1"/>
  <c r="P737" i="6"/>
  <c r="Q737" i="6" s="1"/>
  <c r="R737" i="6" s="1"/>
  <c r="P754" i="6"/>
  <c r="Q754" i="6" s="1"/>
  <c r="R754" i="6" s="1"/>
  <c r="P738" i="6"/>
  <c r="Q738" i="6" s="1"/>
  <c r="R738" i="6" s="1"/>
  <c r="P722" i="6"/>
  <c r="Q722" i="6" s="1"/>
  <c r="R722" i="6" s="1"/>
  <c r="P750" i="6"/>
  <c r="Q750" i="6" s="1"/>
  <c r="R750" i="6" s="1"/>
  <c r="P734" i="6"/>
  <c r="Q734" i="6" s="1"/>
  <c r="R734" i="6" s="1"/>
  <c r="P763" i="6"/>
  <c r="Q763" i="6" s="1"/>
  <c r="R763" i="6" s="1"/>
  <c r="P757" i="6"/>
  <c r="Q757" i="6" s="1"/>
  <c r="R757" i="6" s="1"/>
  <c r="P751" i="6"/>
  <c r="Q751" i="6" s="1"/>
  <c r="R751" i="6" s="1"/>
  <c r="P747" i="6"/>
  <c r="Q747" i="6" s="1"/>
  <c r="R747" i="6" s="1"/>
  <c r="P741" i="6"/>
  <c r="Q741" i="6" s="1"/>
  <c r="R741" i="6" s="1"/>
  <c r="P735" i="6"/>
  <c r="Q735" i="6" s="1"/>
  <c r="R735" i="6" s="1"/>
  <c r="P731" i="6"/>
  <c r="Q731" i="6" s="1"/>
  <c r="R731" i="6" s="1"/>
  <c r="P725" i="6"/>
  <c r="Q725" i="6" s="1"/>
  <c r="R725" i="6" s="1"/>
  <c r="P190" i="6"/>
  <c r="Q190" i="6" s="1"/>
  <c r="R190" i="6" s="1"/>
  <c r="P186" i="6"/>
  <c r="Q186" i="6" s="1"/>
  <c r="R186" i="6" s="1"/>
  <c r="P182" i="6"/>
  <c r="Q182" i="6" s="1"/>
  <c r="R182" i="6" s="1"/>
  <c r="P178" i="6"/>
  <c r="Q178" i="6" s="1"/>
  <c r="R178" i="6" s="1"/>
  <c r="P174" i="6"/>
  <c r="Q174" i="6" s="1"/>
  <c r="R174" i="6" s="1"/>
  <c r="P170" i="6"/>
  <c r="Q170" i="6" s="1"/>
  <c r="R170" i="6" s="1"/>
  <c r="P187" i="6"/>
  <c r="Q187" i="6" s="1"/>
  <c r="R187" i="6" s="1"/>
  <c r="P183" i="6"/>
  <c r="Q183" i="6" s="1"/>
  <c r="R183" i="6" s="1"/>
  <c r="P179" i="6"/>
  <c r="Q179" i="6" s="1"/>
  <c r="R179" i="6" s="1"/>
  <c r="P175" i="6"/>
  <c r="Q175" i="6" s="1"/>
  <c r="R175" i="6" s="1"/>
  <c r="P171" i="6"/>
  <c r="Q171" i="6" s="1"/>
  <c r="R171" i="6" s="1"/>
  <c r="P189" i="6"/>
  <c r="Q189" i="6" s="1"/>
  <c r="R189" i="6" s="1"/>
  <c r="P176" i="6"/>
  <c r="Q176" i="6" s="1"/>
  <c r="R176" i="6" s="1"/>
  <c r="P173" i="6"/>
  <c r="Q173" i="6" s="1"/>
  <c r="R173" i="6" s="1"/>
  <c r="P180" i="6"/>
  <c r="Q180" i="6" s="1"/>
  <c r="R180" i="6" s="1"/>
  <c r="P177" i="6"/>
  <c r="Q177" i="6" s="1"/>
  <c r="R177" i="6" s="1"/>
  <c r="P184" i="6"/>
  <c r="Q184" i="6" s="1"/>
  <c r="R184" i="6" s="1"/>
  <c r="P181" i="6"/>
  <c r="Q181" i="6" s="1"/>
  <c r="R181" i="6" s="1"/>
  <c r="P188" i="6"/>
  <c r="Q188" i="6" s="1"/>
  <c r="R188" i="6" s="1"/>
  <c r="P185" i="6"/>
  <c r="Q185" i="6" s="1"/>
  <c r="R185" i="6" s="1"/>
  <c r="P172" i="6"/>
  <c r="Q172" i="6" s="1"/>
  <c r="R172" i="6" s="1"/>
  <c r="P472" i="6"/>
  <c r="Q472" i="6" s="1"/>
  <c r="R472" i="6" s="1"/>
  <c r="P468" i="6"/>
  <c r="Q468" i="6" s="1"/>
  <c r="R468" i="6" s="1"/>
  <c r="P464" i="6"/>
  <c r="Q464" i="6" s="1"/>
  <c r="R464" i="6" s="1"/>
  <c r="P460" i="6"/>
  <c r="Q460" i="6" s="1"/>
  <c r="R460" i="6" s="1"/>
  <c r="P456" i="6"/>
  <c r="Q456" i="6" s="1"/>
  <c r="R456" i="6" s="1"/>
  <c r="P473" i="6"/>
  <c r="Q473" i="6" s="1"/>
  <c r="R473" i="6" s="1"/>
  <c r="P469" i="6"/>
  <c r="Q469" i="6" s="1"/>
  <c r="R469" i="6" s="1"/>
  <c r="P465" i="6"/>
  <c r="Q465" i="6" s="1"/>
  <c r="R465" i="6" s="1"/>
  <c r="P461" i="6"/>
  <c r="Q461" i="6" s="1"/>
  <c r="R461" i="6" s="1"/>
  <c r="P457" i="6"/>
  <c r="Q457" i="6" s="1"/>
  <c r="R457" i="6" s="1"/>
  <c r="P474" i="6"/>
  <c r="Q474" i="6" s="1"/>
  <c r="R474" i="6" s="1"/>
  <c r="P471" i="6"/>
  <c r="Q471" i="6" s="1"/>
  <c r="R471" i="6" s="1"/>
  <c r="P458" i="6"/>
  <c r="Q458" i="6" s="1"/>
  <c r="R458" i="6" s="1"/>
  <c r="P475" i="6"/>
  <c r="Q475" i="6" s="1"/>
  <c r="R475" i="6" s="1"/>
  <c r="P462" i="6"/>
  <c r="Q462" i="6" s="1"/>
  <c r="R462" i="6" s="1"/>
  <c r="P459" i="6"/>
  <c r="Q459" i="6" s="1"/>
  <c r="R459" i="6" s="1"/>
  <c r="P466" i="6"/>
  <c r="Q466" i="6" s="1"/>
  <c r="R466" i="6" s="1"/>
  <c r="P463" i="6"/>
  <c r="Q463" i="6" s="1"/>
  <c r="R463" i="6" s="1"/>
  <c r="P470" i="6"/>
  <c r="Q470" i="6" s="1"/>
  <c r="R470" i="6" s="1"/>
  <c r="P467" i="6"/>
  <c r="Q467" i="6" s="1"/>
  <c r="R467" i="6" s="1"/>
  <c r="P1052" i="6"/>
  <c r="Q1052" i="6" s="1"/>
  <c r="R1052" i="6" s="1"/>
  <c r="P1048" i="6"/>
  <c r="Q1048" i="6" s="1"/>
  <c r="R1048" i="6" s="1"/>
  <c r="P1044" i="6"/>
  <c r="Q1044" i="6" s="1"/>
  <c r="R1044" i="6" s="1"/>
  <c r="P1040" i="6"/>
  <c r="Q1040" i="6" s="1"/>
  <c r="R1040" i="6" s="1"/>
  <c r="P1036" i="6"/>
  <c r="Q1036" i="6" s="1"/>
  <c r="R1036" i="6" s="1"/>
  <c r="P1032" i="6"/>
  <c r="Q1032" i="6" s="1"/>
  <c r="R1032" i="6" s="1"/>
  <c r="P1028" i="6"/>
  <c r="Q1028" i="6" s="1"/>
  <c r="R1028" i="6" s="1"/>
  <c r="P1024" i="6"/>
  <c r="Q1024" i="6" s="1"/>
  <c r="R1024" i="6" s="1"/>
  <c r="P1020" i="6"/>
  <c r="Q1020" i="6" s="1"/>
  <c r="R1020" i="6" s="1"/>
  <c r="P1053" i="6"/>
  <c r="Q1053" i="6" s="1"/>
  <c r="R1053" i="6" s="1"/>
  <c r="P1049" i="6"/>
  <c r="Q1049" i="6" s="1"/>
  <c r="R1049" i="6" s="1"/>
  <c r="P1045" i="6"/>
  <c r="Q1045" i="6" s="1"/>
  <c r="R1045" i="6" s="1"/>
  <c r="P1041" i="6"/>
  <c r="Q1041" i="6" s="1"/>
  <c r="R1041" i="6" s="1"/>
  <c r="P1037" i="6"/>
  <c r="Q1037" i="6" s="1"/>
  <c r="R1037" i="6" s="1"/>
  <c r="P1033" i="6"/>
  <c r="Q1033" i="6" s="1"/>
  <c r="R1033" i="6" s="1"/>
  <c r="P1029" i="6"/>
  <c r="Q1029" i="6" s="1"/>
  <c r="R1029" i="6" s="1"/>
  <c r="P1025" i="6"/>
  <c r="Q1025" i="6" s="1"/>
  <c r="R1025" i="6" s="1"/>
  <c r="P1021" i="6"/>
  <c r="Q1021" i="6" s="1"/>
  <c r="R1021" i="6" s="1"/>
  <c r="P1046" i="6"/>
  <c r="Q1046" i="6" s="1"/>
  <c r="R1046" i="6" s="1"/>
  <c r="P1043" i="6"/>
  <c r="Q1043" i="6" s="1"/>
  <c r="R1043" i="6" s="1"/>
  <c r="P1030" i="6"/>
  <c r="Q1030" i="6" s="1"/>
  <c r="R1030" i="6" s="1"/>
  <c r="P1027" i="6"/>
  <c r="Q1027" i="6" s="1"/>
  <c r="R1027" i="6" s="1"/>
  <c r="P1050" i="6"/>
  <c r="Q1050" i="6" s="1"/>
  <c r="R1050" i="6" s="1"/>
  <c r="P1047" i="6"/>
  <c r="Q1047" i="6" s="1"/>
  <c r="R1047" i="6" s="1"/>
  <c r="P1034" i="6"/>
  <c r="Q1034" i="6" s="1"/>
  <c r="R1034" i="6" s="1"/>
  <c r="P1031" i="6"/>
  <c r="Q1031" i="6" s="1"/>
  <c r="R1031" i="6" s="1"/>
  <c r="P1051" i="6"/>
  <c r="Q1051" i="6" s="1"/>
  <c r="R1051" i="6" s="1"/>
  <c r="P1042" i="6"/>
  <c r="Q1042" i="6" s="1"/>
  <c r="R1042" i="6" s="1"/>
  <c r="P1035" i="6"/>
  <c r="Q1035" i="6" s="1"/>
  <c r="R1035" i="6" s="1"/>
  <c r="P1026" i="6"/>
  <c r="Q1026" i="6" s="1"/>
  <c r="R1026" i="6" s="1"/>
  <c r="P1019" i="6"/>
  <c r="Q1019" i="6" s="1"/>
  <c r="R1019" i="6" s="1"/>
  <c r="P1054" i="6"/>
  <c r="Q1054" i="6" s="1"/>
  <c r="R1054" i="6" s="1"/>
  <c r="P1038" i="6"/>
  <c r="Q1038" i="6" s="1"/>
  <c r="R1038" i="6" s="1"/>
  <c r="P1022" i="6"/>
  <c r="Q1022" i="6" s="1"/>
  <c r="R1022" i="6" s="1"/>
  <c r="P1055" i="6"/>
  <c r="Q1055" i="6" s="1"/>
  <c r="R1055" i="6" s="1"/>
  <c r="P1039" i="6"/>
  <c r="Q1039" i="6" s="1"/>
  <c r="R1039" i="6" s="1"/>
  <c r="P1023" i="6"/>
  <c r="Q1023" i="6" s="1"/>
  <c r="R1023" i="6" s="1"/>
  <c r="P512" i="6"/>
  <c r="Q512" i="6" s="1"/>
  <c r="R512" i="6" s="1"/>
  <c r="P508" i="6"/>
  <c r="Q508" i="6" s="1"/>
  <c r="R508" i="6" s="1"/>
  <c r="P504" i="6"/>
  <c r="Q504" i="6" s="1"/>
  <c r="R504" i="6" s="1"/>
  <c r="P509" i="6"/>
  <c r="Q509" i="6" s="1"/>
  <c r="R509" i="6" s="1"/>
  <c r="P505" i="6"/>
  <c r="Q505" i="6" s="1"/>
  <c r="R505" i="6" s="1"/>
  <c r="P501" i="6"/>
  <c r="Q501" i="6" s="1"/>
  <c r="R501" i="6" s="1"/>
  <c r="P506" i="6"/>
  <c r="Q506" i="6" s="1"/>
  <c r="R506" i="6" s="1"/>
  <c r="P503" i="6"/>
  <c r="Q503" i="6" s="1"/>
  <c r="R503" i="6" s="1"/>
  <c r="P510" i="6"/>
  <c r="Q510" i="6" s="1"/>
  <c r="R510" i="6" s="1"/>
  <c r="P507" i="6"/>
  <c r="Q507" i="6" s="1"/>
  <c r="R507" i="6" s="1"/>
  <c r="P502" i="6"/>
  <c r="Q502" i="6" s="1"/>
  <c r="R502" i="6" s="1"/>
  <c r="P511" i="6"/>
  <c r="Q511" i="6" s="1"/>
  <c r="R511" i="6" s="1"/>
  <c r="P920" i="6"/>
  <c r="Q920" i="6" s="1"/>
  <c r="R920" i="6" s="1"/>
  <c r="P916" i="6"/>
  <c r="Q916" i="6" s="1"/>
  <c r="R916" i="6" s="1"/>
  <c r="P917" i="6"/>
  <c r="Q917" i="6" s="1"/>
  <c r="R917" i="6" s="1"/>
  <c r="P914" i="6"/>
  <c r="Q914" i="6" s="1"/>
  <c r="R914" i="6" s="1"/>
  <c r="P913" i="6"/>
  <c r="Q913" i="6" s="1"/>
  <c r="R913" i="6" s="1"/>
  <c r="P915" i="6"/>
  <c r="Q915" i="6" s="1"/>
  <c r="R915" i="6" s="1"/>
  <c r="P921" i="6"/>
  <c r="Q921" i="6" s="1"/>
  <c r="R921" i="6" s="1"/>
  <c r="P918" i="6"/>
  <c r="Q918" i="6" s="1"/>
  <c r="R918" i="6" s="1"/>
  <c r="P912" i="6"/>
  <c r="Q912" i="6" s="1"/>
  <c r="R912" i="6" s="1"/>
  <c r="P919" i="6"/>
  <c r="Q919" i="6" s="1"/>
  <c r="R919" i="6" s="1"/>
  <c r="P640" i="6"/>
  <c r="Q640" i="6" s="1"/>
  <c r="R640" i="6" s="1"/>
  <c r="P636" i="6"/>
  <c r="Q636" i="6" s="1"/>
  <c r="R636" i="6" s="1"/>
  <c r="P632" i="6"/>
  <c r="Q632" i="6" s="1"/>
  <c r="R632" i="6" s="1"/>
  <c r="P628" i="6"/>
  <c r="Q628" i="6" s="1"/>
  <c r="R628" i="6" s="1"/>
  <c r="P624" i="6"/>
  <c r="Q624" i="6" s="1"/>
  <c r="R624" i="6" s="1"/>
  <c r="P620" i="6"/>
  <c r="Q620" i="6" s="1"/>
  <c r="R620" i="6" s="1"/>
  <c r="P616" i="6"/>
  <c r="Q616" i="6" s="1"/>
  <c r="R616" i="6" s="1"/>
  <c r="P612" i="6"/>
  <c r="Q612" i="6" s="1"/>
  <c r="R612" i="6" s="1"/>
  <c r="P608" i="6"/>
  <c r="Q608" i="6" s="1"/>
  <c r="R608" i="6" s="1"/>
  <c r="P604" i="6"/>
  <c r="Q604" i="6" s="1"/>
  <c r="R604" i="6" s="1"/>
  <c r="P600" i="6"/>
  <c r="Q600" i="6" s="1"/>
  <c r="R600" i="6" s="1"/>
  <c r="P596" i="6"/>
  <c r="Q596" i="6" s="1"/>
  <c r="R596" i="6" s="1"/>
  <c r="P592" i="6"/>
  <c r="Q592" i="6" s="1"/>
  <c r="R592" i="6" s="1"/>
  <c r="P588" i="6"/>
  <c r="Q588" i="6" s="1"/>
  <c r="R588" i="6" s="1"/>
  <c r="P641" i="6"/>
  <c r="Q641" i="6" s="1"/>
  <c r="R641" i="6" s="1"/>
  <c r="P637" i="6"/>
  <c r="Q637" i="6" s="1"/>
  <c r="R637" i="6" s="1"/>
  <c r="P633" i="6"/>
  <c r="Q633" i="6" s="1"/>
  <c r="R633" i="6" s="1"/>
  <c r="P629" i="6"/>
  <c r="Q629" i="6" s="1"/>
  <c r="R629" i="6" s="1"/>
  <c r="P625" i="6"/>
  <c r="Q625" i="6" s="1"/>
  <c r="R625" i="6" s="1"/>
  <c r="P621" i="6"/>
  <c r="Q621" i="6" s="1"/>
  <c r="R621" i="6" s="1"/>
  <c r="P617" i="6"/>
  <c r="Q617" i="6" s="1"/>
  <c r="R617" i="6" s="1"/>
  <c r="P613" i="6"/>
  <c r="Q613" i="6" s="1"/>
  <c r="R613" i="6" s="1"/>
  <c r="P609" i="6"/>
  <c r="Q609" i="6" s="1"/>
  <c r="R609" i="6" s="1"/>
  <c r="P605" i="6"/>
  <c r="Q605" i="6" s="1"/>
  <c r="R605" i="6" s="1"/>
  <c r="P601" i="6"/>
  <c r="Q601" i="6" s="1"/>
  <c r="R601" i="6" s="1"/>
  <c r="P597" i="6"/>
  <c r="Q597" i="6" s="1"/>
  <c r="R597" i="6" s="1"/>
  <c r="P593" i="6"/>
  <c r="Q593" i="6" s="1"/>
  <c r="R593" i="6" s="1"/>
  <c r="P589" i="6"/>
  <c r="Q589" i="6" s="1"/>
  <c r="R589" i="6" s="1"/>
  <c r="P585" i="6"/>
  <c r="Q585" i="6" s="1"/>
  <c r="R585" i="6" s="1"/>
  <c r="P639" i="6"/>
  <c r="Q639" i="6" s="1"/>
  <c r="R639" i="6" s="1"/>
  <c r="P626" i="6"/>
  <c r="Q626" i="6" s="1"/>
  <c r="R626" i="6" s="1"/>
  <c r="P623" i="6"/>
  <c r="Q623" i="6" s="1"/>
  <c r="R623" i="6" s="1"/>
  <c r="P610" i="6"/>
  <c r="Q610" i="6" s="1"/>
  <c r="R610" i="6" s="1"/>
  <c r="P607" i="6"/>
  <c r="Q607" i="6" s="1"/>
  <c r="R607" i="6" s="1"/>
  <c r="P594" i="6"/>
  <c r="Q594" i="6" s="1"/>
  <c r="R594" i="6" s="1"/>
  <c r="P591" i="6"/>
  <c r="Q591" i="6" s="1"/>
  <c r="R591" i="6" s="1"/>
  <c r="P630" i="6"/>
  <c r="Q630" i="6" s="1"/>
  <c r="R630" i="6" s="1"/>
  <c r="P627" i="6"/>
  <c r="Q627" i="6" s="1"/>
  <c r="R627" i="6" s="1"/>
  <c r="P614" i="6"/>
  <c r="Q614" i="6" s="1"/>
  <c r="R614" i="6" s="1"/>
  <c r="P611" i="6"/>
  <c r="Q611" i="6" s="1"/>
  <c r="R611" i="6" s="1"/>
  <c r="P598" i="6"/>
  <c r="Q598" i="6" s="1"/>
  <c r="R598" i="6" s="1"/>
  <c r="P595" i="6"/>
  <c r="Q595" i="6" s="1"/>
  <c r="R595" i="6" s="1"/>
  <c r="P634" i="6"/>
  <c r="Q634" i="6" s="1"/>
  <c r="R634" i="6" s="1"/>
  <c r="P631" i="6"/>
  <c r="Q631" i="6" s="1"/>
  <c r="R631" i="6" s="1"/>
  <c r="P618" i="6"/>
  <c r="Q618" i="6" s="1"/>
  <c r="R618" i="6" s="1"/>
  <c r="P615" i="6"/>
  <c r="Q615" i="6" s="1"/>
  <c r="R615" i="6" s="1"/>
  <c r="P602" i="6"/>
  <c r="Q602" i="6" s="1"/>
  <c r="R602" i="6" s="1"/>
  <c r="P599" i="6"/>
  <c r="Q599" i="6" s="1"/>
  <c r="R599" i="6" s="1"/>
  <c r="P586" i="6"/>
  <c r="Q586" i="6" s="1"/>
  <c r="R586" i="6" s="1"/>
  <c r="P638" i="6"/>
  <c r="Q638" i="6" s="1"/>
  <c r="R638" i="6" s="1"/>
  <c r="P635" i="6"/>
  <c r="Q635" i="6" s="1"/>
  <c r="R635" i="6" s="1"/>
  <c r="P622" i="6"/>
  <c r="Q622" i="6" s="1"/>
  <c r="R622" i="6" s="1"/>
  <c r="P619" i="6"/>
  <c r="Q619" i="6" s="1"/>
  <c r="R619" i="6" s="1"/>
  <c r="P606" i="6"/>
  <c r="Q606" i="6" s="1"/>
  <c r="R606" i="6" s="1"/>
  <c r="P603" i="6"/>
  <c r="Q603" i="6" s="1"/>
  <c r="R603" i="6" s="1"/>
  <c r="P590" i="6"/>
  <c r="Q590" i="6" s="1"/>
  <c r="R590" i="6" s="1"/>
  <c r="P587" i="6"/>
  <c r="Q587" i="6" s="1"/>
  <c r="R587" i="6" s="1"/>
  <c r="P1119" i="6"/>
  <c r="Q1119" i="6" s="1"/>
  <c r="R1119" i="6" s="1"/>
  <c r="P1126" i="6"/>
  <c r="Q1126" i="6" s="1"/>
  <c r="R1126" i="6" s="1"/>
  <c r="P925" i="6"/>
  <c r="Q925" i="6" s="1"/>
  <c r="R925" i="6" s="1"/>
  <c r="P930" i="6"/>
  <c r="Q930" i="6" s="1"/>
  <c r="R930" i="6" s="1"/>
  <c r="P1100" i="6"/>
  <c r="Q1100" i="6" s="1"/>
  <c r="R1100" i="6" s="1"/>
  <c r="P1087" i="6"/>
  <c r="Q1087" i="6" s="1"/>
  <c r="R1087" i="6" s="1"/>
  <c r="P1108" i="6"/>
  <c r="Q1108" i="6" s="1"/>
  <c r="R1108" i="6" s="1"/>
  <c r="P1107" i="6"/>
  <c r="Q1107" i="6" s="1"/>
  <c r="R1107" i="6" s="1"/>
  <c r="P1098" i="6"/>
  <c r="Q1098" i="6" s="1"/>
  <c r="R1098" i="6" s="1"/>
  <c r="P1089" i="6"/>
  <c r="Q1089" i="6" s="1"/>
  <c r="R1089" i="6" s="1"/>
  <c r="P1105" i="6"/>
  <c r="Q1105" i="6" s="1"/>
  <c r="R1105" i="6" s="1"/>
  <c r="P38" i="6"/>
  <c r="Q38" i="6" s="1"/>
  <c r="R38" i="6" s="1"/>
  <c r="P34" i="6"/>
  <c r="Q34" i="6" s="1"/>
  <c r="R34" i="6" s="1"/>
  <c r="P40" i="6"/>
  <c r="Q40" i="6" s="1"/>
  <c r="R40" i="6" s="1"/>
  <c r="P37" i="6"/>
  <c r="Q37" i="6" s="1"/>
  <c r="R37" i="6" s="1"/>
  <c r="P39" i="6"/>
  <c r="Q39" i="6" s="1"/>
  <c r="R39" i="6" s="1"/>
  <c r="P36" i="6"/>
  <c r="Q36" i="6" s="1"/>
  <c r="R36" i="6" s="1"/>
  <c r="P33" i="6"/>
  <c r="Q33" i="6" s="1"/>
  <c r="R33" i="6" s="1"/>
  <c r="P35" i="6"/>
  <c r="Q35" i="6" s="1"/>
  <c r="R35" i="6" s="1"/>
  <c r="P41" i="6"/>
  <c r="Q41" i="6" s="1"/>
  <c r="R41" i="6" s="1"/>
  <c r="P126" i="6"/>
  <c r="Q126" i="6" s="1"/>
  <c r="R126" i="6" s="1"/>
  <c r="P122" i="6"/>
  <c r="Q122" i="6" s="1"/>
  <c r="R122" i="6" s="1"/>
  <c r="P127" i="6"/>
  <c r="Q127" i="6" s="1"/>
  <c r="R127" i="6" s="1"/>
  <c r="P123" i="6"/>
  <c r="Q123" i="6" s="1"/>
  <c r="R123" i="6" s="1"/>
  <c r="P128" i="6"/>
  <c r="Q128" i="6" s="1"/>
  <c r="R128" i="6" s="1"/>
  <c r="P125" i="6"/>
  <c r="Q125" i="6" s="1"/>
  <c r="R125" i="6" s="1"/>
  <c r="P120" i="6"/>
  <c r="Q120" i="6" s="1"/>
  <c r="R120" i="6" s="1"/>
  <c r="AV14" i="5" s="1"/>
  <c r="P124" i="6"/>
  <c r="Q124" i="6" s="1"/>
  <c r="R124" i="6" s="1"/>
  <c r="P121" i="6"/>
  <c r="Q121" i="6" s="1"/>
  <c r="R121" i="6" s="1"/>
  <c r="AB12" i="3"/>
  <c r="AB28" i="3"/>
  <c r="AB44" i="3"/>
  <c r="AB34" i="3"/>
  <c r="AB50" i="3"/>
  <c r="C15" i="4"/>
  <c r="G14" i="4" s="1"/>
  <c r="C14" i="4"/>
  <c r="T36" i="2"/>
  <c r="AG36" i="2" s="1"/>
  <c r="P36" i="2"/>
  <c r="AC36" i="2" s="1"/>
  <c r="L36" i="2"/>
  <c r="Y36" i="2" s="1"/>
  <c r="R36" i="2"/>
  <c r="AE36" i="2" s="1"/>
  <c r="N36" i="2"/>
  <c r="AA36" i="2" s="1"/>
  <c r="J36" i="2"/>
  <c r="W36" i="2" s="1"/>
  <c r="S36" i="2"/>
  <c r="AF36" i="2" s="1"/>
  <c r="O36" i="2"/>
  <c r="AB36" i="2" s="1"/>
  <c r="K36" i="2"/>
  <c r="X36" i="2" s="1"/>
  <c r="M36" i="2"/>
  <c r="Z36" i="2" s="1"/>
  <c r="U36" i="2"/>
  <c r="AH36" i="2" s="1"/>
  <c r="Q36" i="2"/>
  <c r="AD36" i="2" s="1"/>
  <c r="S11" i="2"/>
  <c r="AF11" i="2" s="1"/>
  <c r="O11" i="2"/>
  <c r="AB11" i="2" s="1"/>
  <c r="K11" i="2"/>
  <c r="X11" i="2" s="1"/>
  <c r="T11" i="2"/>
  <c r="AG11" i="2" s="1"/>
  <c r="J11" i="2"/>
  <c r="W11" i="2" s="1"/>
  <c r="N11" i="2"/>
  <c r="AA11" i="2" s="1"/>
  <c r="L11" i="2"/>
  <c r="Y11" i="2" s="1"/>
  <c r="M11" i="2"/>
  <c r="Z11" i="2" s="1"/>
  <c r="U11" i="2"/>
  <c r="AH11" i="2" s="1"/>
  <c r="R11" i="2"/>
  <c r="AE11" i="2" s="1"/>
  <c r="P11" i="2"/>
  <c r="AC11" i="2" s="1"/>
  <c r="Q11" i="2"/>
  <c r="AD11" i="2" s="1"/>
  <c r="P86" i="6"/>
  <c r="Q86" i="6" s="1"/>
  <c r="R86" i="6" s="1"/>
  <c r="P82" i="6"/>
  <c r="Q82" i="6" s="1"/>
  <c r="R82" i="6" s="1"/>
  <c r="P85" i="6"/>
  <c r="Q85" i="6" s="1"/>
  <c r="R85" i="6" s="1"/>
  <c r="P87" i="6"/>
  <c r="Q87" i="6" s="1"/>
  <c r="R87" i="6" s="1"/>
  <c r="P84" i="6"/>
  <c r="Q84" i="6" s="1"/>
  <c r="R84" i="6" s="1"/>
  <c r="P81" i="6"/>
  <c r="Q81" i="6" s="1"/>
  <c r="R81" i="6" s="1"/>
  <c r="P83" i="6"/>
  <c r="Q83" i="6" s="1"/>
  <c r="R83" i="6" s="1"/>
  <c r="P80" i="6"/>
  <c r="Q80" i="6" s="1"/>
  <c r="R80" i="6" s="1"/>
  <c r="P79" i="6"/>
  <c r="Q79" i="6" s="1"/>
  <c r="R79" i="6" s="1"/>
  <c r="P206" i="6"/>
  <c r="Q206" i="6" s="1"/>
  <c r="R206" i="6" s="1"/>
  <c r="P202" i="6"/>
  <c r="Q202" i="6" s="1"/>
  <c r="R202" i="6" s="1"/>
  <c r="P198" i="6"/>
  <c r="Q198" i="6" s="1"/>
  <c r="R198" i="6" s="1"/>
  <c r="P194" i="6"/>
  <c r="Q194" i="6" s="1"/>
  <c r="R194" i="6" s="1"/>
  <c r="P207" i="6"/>
  <c r="Q207" i="6" s="1"/>
  <c r="R207" i="6" s="1"/>
  <c r="P203" i="6"/>
  <c r="Q203" i="6" s="1"/>
  <c r="R203" i="6" s="1"/>
  <c r="P199" i="6"/>
  <c r="Q199" i="6" s="1"/>
  <c r="R199" i="6" s="1"/>
  <c r="P195" i="6"/>
  <c r="Q195" i="6" s="1"/>
  <c r="R195" i="6" s="1"/>
  <c r="P191" i="6"/>
  <c r="Q191" i="6" s="1"/>
  <c r="R191" i="6" s="1"/>
  <c r="P208" i="6"/>
  <c r="Q208" i="6" s="1"/>
  <c r="R208" i="6" s="1"/>
  <c r="P205" i="6"/>
  <c r="Q205" i="6" s="1"/>
  <c r="R205" i="6" s="1"/>
  <c r="P192" i="6"/>
  <c r="Q192" i="6" s="1"/>
  <c r="R192" i="6" s="1"/>
  <c r="P196" i="6"/>
  <c r="Q196" i="6" s="1"/>
  <c r="R196" i="6" s="1"/>
  <c r="P193" i="6"/>
  <c r="Q193" i="6" s="1"/>
  <c r="R193" i="6" s="1"/>
  <c r="P200" i="6"/>
  <c r="Q200" i="6" s="1"/>
  <c r="R200" i="6" s="1"/>
  <c r="P197" i="6"/>
  <c r="Q197" i="6" s="1"/>
  <c r="R197" i="6" s="1"/>
  <c r="P204" i="6"/>
  <c r="Q204" i="6" s="1"/>
  <c r="R204" i="6" s="1"/>
  <c r="P201" i="6"/>
  <c r="Q201" i="6" s="1"/>
  <c r="R201" i="6" s="1"/>
  <c r="J250" i="10"/>
  <c r="K250" i="10" s="1"/>
  <c r="P290" i="6"/>
  <c r="Q290" i="6" s="1"/>
  <c r="R290" i="6" s="1"/>
  <c r="P286" i="6"/>
  <c r="Q286" i="6" s="1"/>
  <c r="R286" i="6" s="1"/>
  <c r="P282" i="6"/>
  <c r="Q282" i="6" s="1"/>
  <c r="R282" i="6" s="1"/>
  <c r="P287" i="6"/>
  <c r="Q287" i="6" s="1"/>
  <c r="R287" i="6" s="1"/>
  <c r="P283" i="6"/>
  <c r="Q283" i="6" s="1"/>
  <c r="R283" i="6" s="1"/>
  <c r="P288" i="6"/>
  <c r="Q288" i="6" s="1"/>
  <c r="R288" i="6" s="1"/>
  <c r="P285" i="6"/>
  <c r="Q285" i="6" s="1"/>
  <c r="R285" i="6" s="1"/>
  <c r="P289" i="6"/>
  <c r="Q289" i="6" s="1"/>
  <c r="R289" i="6" s="1"/>
  <c r="P284" i="6"/>
  <c r="Q284" i="6" s="1"/>
  <c r="R284" i="6" s="1"/>
  <c r="J242" i="10"/>
  <c r="K242" i="10" s="1"/>
  <c r="P560" i="6"/>
  <c r="Q560" i="6" s="1"/>
  <c r="R560" i="6" s="1"/>
  <c r="P556" i="6"/>
  <c r="Q556" i="6" s="1"/>
  <c r="R556" i="6" s="1"/>
  <c r="P552" i="6"/>
  <c r="Q552" i="6" s="1"/>
  <c r="R552" i="6" s="1"/>
  <c r="P548" i="6"/>
  <c r="Q548" i="6" s="1"/>
  <c r="R548" i="6" s="1"/>
  <c r="P544" i="6"/>
  <c r="Q544" i="6" s="1"/>
  <c r="R544" i="6" s="1"/>
  <c r="P540" i="6"/>
  <c r="Q540" i="6" s="1"/>
  <c r="R540" i="6" s="1"/>
  <c r="P536" i="6"/>
  <c r="Q536" i="6" s="1"/>
  <c r="R536" i="6" s="1"/>
  <c r="P557" i="6"/>
  <c r="Q557" i="6" s="1"/>
  <c r="R557" i="6" s="1"/>
  <c r="P553" i="6"/>
  <c r="Q553" i="6" s="1"/>
  <c r="R553" i="6" s="1"/>
  <c r="P549" i="6"/>
  <c r="Q549" i="6" s="1"/>
  <c r="R549" i="6" s="1"/>
  <c r="P545" i="6"/>
  <c r="Q545" i="6" s="1"/>
  <c r="R545" i="6" s="1"/>
  <c r="P541" i="6"/>
  <c r="Q541" i="6" s="1"/>
  <c r="R541" i="6" s="1"/>
  <c r="P537" i="6"/>
  <c r="Q537" i="6" s="1"/>
  <c r="R537" i="6" s="1"/>
  <c r="P559" i="6"/>
  <c r="Q559" i="6" s="1"/>
  <c r="R559" i="6" s="1"/>
  <c r="P554" i="6"/>
  <c r="Q554" i="6" s="1"/>
  <c r="R554" i="6" s="1"/>
  <c r="P551" i="6"/>
  <c r="Q551" i="6" s="1"/>
  <c r="R551" i="6" s="1"/>
  <c r="P538" i="6"/>
  <c r="Q538" i="6" s="1"/>
  <c r="R538" i="6" s="1"/>
  <c r="P558" i="6"/>
  <c r="Q558" i="6" s="1"/>
  <c r="R558" i="6" s="1"/>
  <c r="P555" i="6"/>
  <c r="Q555" i="6" s="1"/>
  <c r="R555" i="6" s="1"/>
  <c r="P542" i="6"/>
  <c r="Q542" i="6" s="1"/>
  <c r="R542" i="6" s="1"/>
  <c r="P539" i="6"/>
  <c r="Q539" i="6" s="1"/>
  <c r="R539" i="6" s="1"/>
  <c r="P546" i="6"/>
  <c r="Q546" i="6" s="1"/>
  <c r="R546" i="6" s="1"/>
  <c r="P550" i="6"/>
  <c r="Q550" i="6" s="1"/>
  <c r="R550" i="6" s="1"/>
  <c r="P547" i="6"/>
  <c r="Q547" i="6" s="1"/>
  <c r="R547" i="6" s="1"/>
  <c r="P543" i="6"/>
  <c r="Q543" i="6" s="1"/>
  <c r="R543" i="6" s="1"/>
  <c r="P850" i="6"/>
  <c r="Q850" i="6" s="1"/>
  <c r="R850" i="6" s="1"/>
  <c r="P846" i="6"/>
  <c r="Q846" i="6" s="1"/>
  <c r="R846" i="6" s="1"/>
  <c r="P842" i="6"/>
  <c r="Q842" i="6" s="1"/>
  <c r="R842" i="6" s="1"/>
  <c r="P843" i="6"/>
  <c r="Q843" i="6" s="1"/>
  <c r="R843" i="6" s="1"/>
  <c r="P849" i="6"/>
  <c r="Q849" i="6" s="1"/>
  <c r="R849" i="6" s="1"/>
  <c r="P847" i="6"/>
  <c r="Q847" i="6" s="1"/>
  <c r="R847" i="6" s="1"/>
  <c r="P844" i="6"/>
  <c r="Q844" i="6" s="1"/>
  <c r="R844" i="6" s="1"/>
  <c r="P848" i="6"/>
  <c r="Q848" i="6" s="1"/>
  <c r="R848" i="6" s="1"/>
  <c r="P851" i="6"/>
  <c r="Q851" i="6" s="1"/>
  <c r="R851" i="6" s="1"/>
  <c r="P845" i="6"/>
  <c r="Q845" i="6" s="1"/>
  <c r="R845" i="6" s="1"/>
  <c r="P1016" i="6"/>
  <c r="Q1016" i="6" s="1"/>
  <c r="R1016" i="6" s="1"/>
  <c r="P1012" i="6"/>
  <c r="Q1012" i="6" s="1"/>
  <c r="R1012" i="6" s="1"/>
  <c r="P1008" i="6"/>
  <c r="Q1008" i="6" s="1"/>
  <c r="R1008" i="6" s="1"/>
  <c r="P1004" i="6"/>
  <c r="Q1004" i="6" s="1"/>
  <c r="R1004" i="6" s="1"/>
  <c r="P1000" i="6"/>
  <c r="Q1000" i="6" s="1"/>
  <c r="R1000" i="6" s="1"/>
  <c r="P996" i="6"/>
  <c r="Q996" i="6" s="1"/>
  <c r="R996" i="6" s="1"/>
  <c r="P992" i="6"/>
  <c r="Q992" i="6" s="1"/>
  <c r="R992" i="6" s="1"/>
  <c r="P988" i="6"/>
  <c r="Q988" i="6" s="1"/>
  <c r="R988" i="6" s="1"/>
  <c r="P1017" i="6"/>
  <c r="Q1017" i="6" s="1"/>
  <c r="R1017" i="6" s="1"/>
  <c r="P1013" i="6"/>
  <c r="Q1013" i="6" s="1"/>
  <c r="R1013" i="6" s="1"/>
  <c r="P1009" i="6"/>
  <c r="Q1009" i="6" s="1"/>
  <c r="R1009" i="6" s="1"/>
  <c r="P1005" i="6"/>
  <c r="Q1005" i="6" s="1"/>
  <c r="R1005" i="6" s="1"/>
  <c r="P1001" i="6"/>
  <c r="Q1001" i="6" s="1"/>
  <c r="R1001" i="6" s="1"/>
  <c r="P997" i="6"/>
  <c r="Q997" i="6" s="1"/>
  <c r="R997" i="6" s="1"/>
  <c r="P993" i="6"/>
  <c r="Q993" i="6" s="1"/>
  <c r="R993" i="6" s="1"/>
  <c r="P989" i="6"/>
  <c r="Q989" i="6" s="1"/>
  <c r="R989" i="6" s="1"/>
  <c r="P1014" i="6"/>
  <c r="Q1014" i="6" s="1"/>
  <c r="R1014" i="6" s="1"/>
  <c r="P1011" i="6"/>
  <c r="Q1011" i="6" s="1"/>
  <c r="R1011" i="6" s="1"/>
  <c r="P998" i="6"/>
  <c r="Q998" i="6" s="1"/>
  <c r="R998" i="6" s="1"/>
  <c r="P995" i="6"/>
  <c r="Q995" i="6" s="1"/>
  <c r="R995" i="6" s="1"/>
  <c r="P1018" i="6"/>
  <c r="Q1018" i="6" s="1"/>
  <c r="R1018" i="6" s="1"/>
  <c r="P1015" i="6"/>
  <c r="Q1015" i="6" s="1"/>
  <c r="R1015" i="6" s="1"/>
  <c r="P1002" i="6"/>
  <c r="Q1002" i="6" s="1"/>
  <c r="R1002" i="6" s="1"/>
  <c r="P999" i="6"/>
  <c r="Q999" i="6" s="1"/>
  <c r="R999" i="6" s="1"/>
  <c r="P986" i="6"/>
  <c r="Q986" i="6" s="1"/>
  <c r="R986" i="6" s="1"/>
  <c r="P1010" i="6"/>
  <c r="Q1010" i="6" s="1"/>
  <c r="R1010" i="6" s="1"/>
  <c r="P1003" i="6"/>
  <c r="Q1003" i="6" s="1"/>
  <c r="R1003" i="6" s="1"/>
  <c r="P994" i="6"/>
  <c r="Q994" i="6" s="1"/>
  <c r="R994" i="6" s="1"/>
  <c r="P987" i="6"/>
  <c r="Q987" i="6" s="1"/>
  <c r="R987" i="6" s="1"/>
  <c r="P1006" i="6"/>
  <c r="Q1006" i="6" s="1"/>
  <c r="R1006" i="6" s="1"/>
  <c r="P990" i="6"/>
  <c r="Q990" i="6" s="1"/>
  <c r="R990" i="6" s="1"/>
  <c r="P1007" i="6"/>
  <c r="Q1007" i="6" s="1"/>
  <c r="R1007" i="6" s="1"/>
  <c r="P991" i="6"/>
  <c r="Q991" i="6" s="1"/>
  <c r="R991" i="6" s="1"/>
  <c r="J414" i="10"/>
  <c r="K414" i="10" s="1"/>
  <c r="P58" i="6"/>
  <c r="Q58" i="6" s="1"/>
  <c r="R58" i="6" s="1"/>
  <c r="P54" i="6"/>
  <c r="Q54" i="6" s="1"/>
  <c r="R54" i="6" s="1"/>
  <c r="P59" i="6"/>
  <c r="Q59" i="6" s="1"/>
  <c r="R59" i="6" s="1"/>
  <c r="P56" i="6"/>
  <c r="Q56" i="6" s="1"/>
  <c r="R56" i="6" s="1"/>
  <c r="P53" i="6"/>
  <c r="Q53" i="6" s="1"/>
  <c r="R53" i="6" s="1"/>
  <c r="P55" i="6"/>
  <c r="Q55" i="6" s="1"/>
  <c r="R55" i="6" s="1"/>
  <c r="P52" i="6"/>
  <c r="Q52" i="6" s="1"/>
  <c r="R52" i="6" s="1"/>
  <c r="P60" i="6"/>
  <c r="Q60" i="6" s="1"/>
  <c r="R60" i="6" s="1"/>
  <c r="P57" i="6"/>
  <c r="Q57" i="6" s="1"/>
  <c r="R57" i="6" s="1"/>
  <c r="P106" i="6"/>
  <c r="Q106" i="6" s="1"/>
  <c r="R106" i="6" s="1"/>
  <c r="P102" i="6"/>
  <c r="Q102" i="6" s="1"/>
  <c r="R102" i="6" s="1"/>
  <c r="P98" i="6"/>
  <c r="Q98" i="6" s="1"/>
  <c r="R98" i="6" s="1"/>
  <c r="P104" i="6"/>
  <c r="Q104" i="6" s="1"/>
  <c r="R104" i="6" s="1"/>
  <c r="P101" i="6"/>
  <c r="Q101" i="6" s="1"/>
  <c r="R101" i="6" s="1"/>
  <c r="P103" i="6"/>
  <c r="Q103" i="6" s="1"/>
  <c r="R103" i="6" s="1"/>
  <c r="P100" i="6"/>
  <c r="Q100" i="6" s="1"/>
  <c r="R100" i="6" s="1"/>
  <c r="P97" i="6"/>
  <c r="Q97" i="6" s="1"/>
  <c r="R97" i="6" s="1"/>
  <c r="P99" i="6"/>
  <c r="Q99" i="6" s="1"/>
  <c r="R99" i="6" s="1"/>
  <c r="P105" i="6"/>
  <c r="Q105" i="6" s="1"/>
  <c r="R105" i="6" s="1"/>
  <c r="J394" i="10"/>
  <c r="K394" i="10" s="1"/>
  <c r="J364" i="10"/>
  <c r="K364" i="10" s="1"/>
  <c r="J334" i="10"/>
  <c r="K334" i="10" s="1"/>
  <c r="P972" i="6"/>
  <c r="Q972" i="6" s="1"/>
  <c r="R972" i="6" s="1"/>
  <c r="P968" i="6"/>
  <c r="Q968" i="6" s="1"/>
  <c r="R968" i="6" s="1"/>
  <c r="P964" i="6"/>
  <c r="Q964" i="6" s="1"/>
  <c r="R964" i="6" s="1"/>
  <c r="P960" i="6"/>
  <c r="Q960" i="6" s="1"/>
  <c r="R960" i="6" s="1"/>
  <c r="P956" i="6"/>
  <c r="Q956" i="6" s="1"/>
  <c r="R956" i="6" s="1"/>
  <c r="P952" i="6"/>
  <c r="Q952" i="6" s="1"/>
  <c r="R952" i="6" s="1"/>
  <c r="P948" i="6"/>
  <c r="Q948" i="6" s="1"/>
  <c r="R948" i="6" s="1"/>
  <c r="P944" i="6"/>
  <c r="Q944" i="6" s="1"/>
  <c r="R944" i="6" s="1"/>
  <c r="P940" i="6"/>
  <c r="Q940" i="6" s="1"/>
  <c r="R940" i="6" s="1"/>
  <c r="P936" i="6"/>
  <c r="Q936" i="6" s="1"/>
  <c r="R936" i="6" s="1"/>
  <c r="P932" i="6"/>
  <c r="Q932" i="6" s="1"/>
  <c r="R932" i="6" s="1"/>
  <c r="P969" i="6"/>
  <c r="Q969" i="6" s="1"/>
  <c r="R969" i="6" s="1"/>
  <c r="P966" i="6"/>
  <c r="Q966" i="6" s="1"/>
  <c r="R966" i="6" s="1"/>
  <c r="P963" i="6"/>
  <c r="Q963" i="6" s="1"/>
  <c r="R963" i="6" s="1"/>
  <c r="P953" i="6"/>
  <c r="Q953" i="6" s="1"/>
  <c r="R953" i="6" s="1"/>
  <c r="P950" i="6"/>
  <c r="Q950" i="6" s="1"/>
  <c r="R950" i="6" s="1"/>
  <c r="P947" i="6"/>
  <c r="Q947" i="6" s="1"/>
  <c r="R947" i="6" s="1"/>
  <c r="P937" i="6"/>
  <c r="Q937" i="6" s="1"/>
  <c r="R937" i="6" s="1"/>
  <c r="P934" i="6"/>
  <c r="Q934" i="6" s="1"/>
  <c r="R934" i="6" s="1"/>
  <c r="P975" i="6"/>
  <c r="Q975" i="6" s="1"/>
  <c r="R975" i="6" s="1"/>
  <c r="P965" i="6"/>
  <c r="Q965" i="6" s="1"/>
  <c r="R965" i="6" s="1"/>
  <c r="P962" i="6"/>
  <c r="Q962" i="6" s="1"/>
  <c r="R962" i="6" s="1"/>
  <c r="P959" i="6"/>
  <c r="Q959" i="6" s="1"/>
  <c r="R959" i="6" s="1"/>
  <c r="P949" i="6"/>
  <c r="Q949" i="6" s="1"/>
  <c r="R949" i="6" s="1"/>
  <c r="P946" i="6"/>
  <c r="Q946" i="6" s="1"/>
  <c r="R946" i="6" s="1"/>
  <c r="P943" i="6"/>
  <c r="Q943" i="6" s="1"/>
  <c r="R943" i="6" s="1"/>
  <c r="P933" i="6"/>
  <c r="Q933" i="6" s="1"/>
  <c r="R933" i="6" s="1"/>
  <c r="P973" i="6"/>
  <c r="Q973" i="6" s="1"/>
  <c r="R973" i="6" s="1"/>
  <c r="P957" i="6"/>
  <c r="Q957" i="6" s="1"/>
  <c r="R957" i="6" s="1"/>
  <c r="P941" i="6"/>
  <c r="Q941" i="6" s="1"/>
  <c r="R941" i="6" s="1"/>
  <c r="P974" i="6"/>
  <c r="Q974" i="6" s="1"/>
  <c r="R974" i="6" s="1"/>
  <c r="P958" i="6"/>
  <c r="Q958" i="6" s="1"/>
  <c r="R958" i="6" s="1"/>
  <c r="P942" i="6"/>
  <c r="Q942" i="6" s="1"/>
  <c r="R942" i="6" s="1"/>
  <c r="P971" i="6"/>
  <c r="Q971" i="6" s="1"/>
  <c r="R971" i="6" s="1"/>
  <c r="P967" i="6"/>
  <c r="Q967" i="6" s="1"/>
  <c r="R967" i="6" s="1"/>
  <c r="P961" i="6"/>
  <c r="Q961" i="6" s="1"/>
  <c r="R961" i="6" s="1"/>
  <c r="P955" i="6"/>
  <c r="Q955" i="6" s="1"/>
  <c r="R955" i="6" s="1"/>
  <c r="P951" i="6"/>
  <c r="Q951" i="6" s="1"/>
  <c r="R951" i="6" s="1"/>
  <c r="P945" i="6"/>
  <c r="Q945" i="6" s="1"/>
  <c r="R945" i="6" s="1"/>
  <c r="P939" i="6"/>
  <c r="Q939" i="6" s="1"/>
  <c r="R939" i="6" s="1"/>
  <c r="P935" i="6"/>
  <c r="Q935" i="6" s="1"/>
  <c r="R935" i="6" s="1"/>
  <c r="P970" i="6"/>
  <c r="Q970" i="6" s="1"/>
  <c r="R970" i="6" s="1"/>
  <c r="P938" i="6"/>
  <c r="Q938" i="6" s="1"/>
  <c r="R938" i="6" s="1"/>
  <c r="P954" i="6"/>
  <c r="Q954" i="6" s="1"/>
  <c r="R954" i="6" s="1"/>
  <c r="P94" i="6"/>
  <c r="Q94" i="6" s="1"/>
  <c r="R94" i="6" s="1"/>
  <c r="P90" i="6"/>
  <c r="Q90" i="6" s="1"/>
  <c r="R90" i="6" s="1"/>
  <c r="P91" i="6"/>
  <c r="Q91" i="6" s="1"/>
  <c r="R91" i="6" s="1"/>
  <c r="P88" i="6"/>
  <c r="Q88" i="6" s="1"/>
  <c r="R88" i="6" s="1"/>
  <c r="P96" i="6"/>
  <c r="Q96" i="6" s="1"/>
  <c r="R96" i="6" s="1"/>
  <c r="P93" i="6"/>
  <c r="Q93" i="6" s="1"/>
  <c r="R93" i="6" s="1"/>
  <c r="P95" i="6"/>
  <c r="Q95" i="6" s="1"/>
  <c r="R95" i="6" s="1"/>
  <c r="P92" i="6"/>
  <c r="Q92" i="6" s="1"/>
  <c r="R92" i="6" s="1"/>
  <c r="P89" i="6"/>
  <c r="Q89" i="6" s="1"/>
  <c r="R89" i="6" s="1"/>
  <c r="P720" i="6"/>
  <c r="Q720" i="6" s="1"/>
  <c r="R720" i="6" s="1"/>
  <c r="P716" i="6"/>
  <c r="Q716" i="6" s="1"/>
  <c r="R716" i="6" s="1"/>
  <c r="P712" i="6"/>
  <c r="Q712" i="6" s="1"/>
  <c r="R712" i="6" s="1"/>
  <c r="P708" i="6"/>
  <c r="Q708" i="6" s="1"/>
  <c r="R708" i="6" s="1"/>
  <c r="P704" i="6"/>
  <c r="Q704" i="6" s="1"/>
  <c r="R704" i="6" s="1"/>
  <c r="P700" i="6"/>
  <c r="Q700" i="6" s="1"/>
  <c r="R700" i="6" s="1"/>
  <c r="P696" i="6"/>
  <c r="Q696" i="6" s="1"/>
  <c r="R696" i="6" s="1"/>
  <c r="P692" i="6"/>
  <c r="Q692" i="6" s="1"/>
  <c r="R692" i="6" s="1"/>
  <c r="P688" i="6"/>
  <c r="Q688" i="6" s="1"/>
  <c r="R688" i="6" s="1"/>
  <c r="P684" i="6"/>
  <c r="Q684" i="6" s="1"/>
  <c r="R684" i="6" s="1"/>
  <c r="P680" i="6"/>
  <c r="Q680" i="6" s="1"/>
  <c r="R680" i="6" s="1"/>
  <c r="P717" i="6"/>
  <c r="Q717" i="6" s="1"/>
  <c r="R717" i="6" s="1"/>
  <c r="P714" i="6"/>
  <c r="Q714" i="6" s="1"/>
  <c r="R714" i="6" s="1"/>
  <c r="P711" i="6"/>
  <c r="Q711" i="6" s="1"/>
  <c r="R711" i="6" s="1"/>
  <c r="P701" i="6"/>
  <c r="Q701" i="6" s="1"/>
  <c r="R701" i="6" s="1"/>
  <c r="P698" i="6"/>
  <c r="Q698" i="6" s="1"/>
  <c r="R698" i="6" s="1"/>
  <c r="P695" i="6"/>
  <c r="Q695" i="6" s="1"/>
  <c r="R695" i="6" s="1"/>
  <c r="P685" i="6"/>
  <c r="Q685" i="6" s="1"/>
  <c r="R685" i="6" s="1"/>
  <c r="P682" i="6"/>
  <c r="Q682" i="6" s="1"/>
  <c r="R682" i="6" s="1"/>
  <c r="P713" i="6"/>
  <c r="Q713" i="6" s="1"/>
  <c r="R713" i="6" s="1"/>
  <c r="P710" i="6"/>
  <c r="Q710" i="6" s="1"/>
  <c r="R710" i="6" s="1"/>
  <c r="P707" i="6"/>
  <c r="Q707" i="6" s="1"/>
  <c r="R707" i="6" s="1"/>
  <c r="P697" i="6"/>
  <c r="Q697" i="6" s="1"/>
  <c r="R697" i="6" s="1"/>
  <c r="P694" i="6"/>
  <c r="Q694" i="6" s="1"/>
  <c r="R694" i="6" s="1"/>
  <c r="P691" i="6"/>
  <c r="Q691" i="6" s="1"/>
  <c r="R691" i="6" s="1"/>
  <c r="P681" i="6"/>
  <c r="Q681" i="6" s="1"/>
  <c r="R681" i="6" s="1"/>
  <c r="P721" i="6"/>
  <c r="Q721" i="6" s="1"/>
  <c r="R721" i="6" s="1"/>
  <c r="P705" i="6"/>
  <c r="Q705" i="6" s="1"/>
  <c r="R705" i="6" s="1"/>
  <c r="P689" i="6"/>
  <c r="Q689" i="6" s="1"/>
  <c r="R689" i="6" s="1"/>
  <c r="P706" i="6"/>
  <c r="Q706" i="6" s="1"/>
  <c r="R706" i="6" s="1"/>
  <c r="P690" i="6"/>
  <c r="Q690" i="6" s="1"/>
  <c r="R690" i="6" s="1"/>
  <c r="P718" i="6"/>
  <c r="Q718" i="6" s="1"/>
  <c r="R718" i="6" s="1"/>
  <c r="P702" i="6"/>
  <c r="Q702" i="6" s="1"/>
  <c r="R702" i="6" s="1"/>
  <c r="P686" i="6"/>
  <c r="Q686" i="6" s="1"/>
  <c r="R686" i="6" s="1"/>
  <c r="P719" i="6"/>
  <c r="Q719" i="6" s="1"/>
  <c r="R719" i="6" s="1"/>
  <c r="P715" i="6"/>
  <c r="Q715" i="6" s="1"/>
  <c r="R715" i="6" s="1"/>
  <c r="P709" i="6"/>
  <c r="Q709" i="6" s="1"/>
  <c r="R709" i="6" s="1"/>
  <c r="P703" i="6"/>
  <c r="Q703" i="6" s="1"/>
  <c r="R703" i="6" s="1"/>
  <c r="P699" i="6"/>
  <c r="Q699" i="6" s="1"/>
  <c r="R699" i="6" s="1"/>
  <c r="P693" i="6"/>
  <c r="Q693" i="6" s="1"/>
  <c r="R693" i="6" s="1"/>
  <c r="P687" i="6"/>
  <c r="Q687" i="6" s="1"/>
  <c r="R687" i="6" s="1"/>
  <c r="P683" i="6"/>
  <c r="Q683" i="6" s="1"/>
  <c r="R683" i="6" s="1"/>
  <c r="P1064" i="6"/>
  <c r="Q1064" i="6" s="1"/>
  <c r="R1064" i="6" s="1"/>
  <c r="P1060" i="6"/>
  <c r="Q1060" i="6" s="1"/>
  <c r="R1060" i="6" s="1"/>
  <c r="P1056" i="6"/>
  <c r="Q1056" i="6" s="1"/>
  <c r="R1056" i="6" s="1"/>
  <c r="AV61" i="5" s="1"/>
  <c r="P1061" i="6"/>
  <c r="Q1061" i="6" s="1"/>
  <c r="R1061" i="6" s="1"/>
  <c r="P1057" i="6"/>
  <c r="Q1057" i="6" s="1"/>
  <c r="R1057" i="6" s="1"/>
  <c r="P1062" i="6"/>
  <c r="Q1062" i="6" s="1"/>
  <c r="R1062" i="6" s="1"/>
  <c r="P1059" i="6"/>
  <c r="Q1059" i="6" s="1"/>
  <c r="R1059" i="6" s="1"/>
  <c r="P1063" i="6"/>
  <c r="Q1063" i="6" s="1"/>
  <c r="R1063" i="6" s="1"/>
  <c r="P1058" i="6"/>
  <c r="Q1058" i="6" s="1"/>
  <c r="R1058" i="6" s="1"/>
  <c r="P1123" i="6"/>
  <c r="Q1123" i="6" s="1"/>
  <c r="R1123" i="6" s="1"/>
  <c r="P922" i="6"/>
  <c r="Q922" i="6" s="1"/>
  <c r="R922" i="6" s="1"/>
  <c r="AV56" i="5" s="1"/>
  <c r="P926" i="6"/>
  <c r="Q926" i="6" s="1"/>
  <c r="R926" i="6" s="1"/>
  <c r="P1083" i="6"/>
  <c r="Q1083" i="6" s="1"/>
  <c r="R1083" i="6" s="1"/>
  <c r="P1103" i="6"/>
  <c r="Q1103" i="6" s="1"/>
  <c r="R1103" i="6" s="1"/>
  <c r="P1088" i="6"/>
  <c r="Q1088" i="6" s="1"/>
  <c r="R1088" i="6" s="1"/>
  <c r="P1086" i="6"/>
  <c r="Q1086" i="6" s="1"/>
  <c r="R1086" i="6" s="1"/>
  <c r="P1102" i="6"/>
  <c r="Q1102" i="6" s="1"/>
  <c r="R1102" i="6" s="1"/>
  <c r="P1093" i="6"/>
  <c r="Q1093" i="6" s="1"/>
  <c r="R1093" i="6" s="1"/>
  <c r="AV26" i="5" l="1"/>
  <c r="AV62" i="5"/>
  <c r="AV15" i="5"/>
  <c r="AV2" i="5"/>
  <c r="AV46" i="5"/>
  <c r="AV11" i="5"/>
  <c r="AV41" i="5"/>
  <c r="AV10" i="5"/>
  <c r="AV66" i="5"/>
  <c r="AV36" i="5"/>
  <c r="AV18" i="5"/>
  <c r="AV47" i="5"/>
  <c r="AV48" i="5"/>
  <c r="AV58" i="5"/>
  <c r="AV49" i="5"/>
  <c r="AV25" i="5"/>
  <c r="AV13" i="5"/>
  <c r="AV24" i="5"/>
  <c r="AV22" i="5"/>
  <c r="AV27" i="5"/>
  <c r="AV20" i="5"/>
  <c r="AV64" i="5"/>
  <c r="AV57" i="5"/>
  <c r="AV12" i="5"/>
  <c r="AV43" i="5"/>
  <c r="AV52" i="5"/>
  <c r="AV8" i="5"/>
  <c r="AV4" i="5"/>
  <c r="AV31" i="5"/>
  <c r="AV35" i="5"/>
  <c r="AV30" i="5"/>
  <c r="AV33" i="5"/>
  <c r="AV63" i="5"/>
  <c r="AV50" i="5"/>
  <c r="AV37" i="5"/>
  <c r="AV3" i="5"/>
  <c r="AV39" i="5"/>
  <c r="AV60" i="5"/>
  <c r="AV65" i="5"/>
  <c r="AV17" i="5"/>
  <c r="AV44" i="5"/>
  <c r="AV6" i="5"/>
  <c r="AV28" i="5"/>
  <c r="AV9" i="5"/>
  <c r="AV29" i="5"/>
  <c r="C17" i="4"/>
  <c r="C20" i="4"/>
  <c r="AV7" i="5"/>
  <c r="AV59" i="5"/>
  <c r="AV53" i="5"/>
  <c r="AV19" i="5"/>
  <c r="AV5" i="5"/>
  <c r="AV55" i="5"/>
  <c r="AV16" i="5"/>
  <c r="AV32" i="5"/>
  <c r="AV38" i="5"/>
  <c r="AV34" i="5"/>
  <c r="AV21" i="5"/>
  <c r="AV51" i="5"/>
  <c r="AV42" i="5"/>
  <c r="AV40" i="5"/>
  <c r="AV54" i="5"/>
  <c r="C16" i="4" l="1"/>
  <c r="C18" i="4"/>
  <c r="C19" i="4" s="1"/>
</calcChain>
</file>

<file path=xl/sharedStrings.xml><?xml version="1.0" encoding="utf-8"?>
<sst xmlns="http://schemas.openxmlformats.org/spreadsheetml/2006/main" count="12893" uniqueCount="3231">
  <si>
    <t>TA3HRJ Koaksiyel Kablo Veritabanı</t>
  </si>
  <si>
    <t>Sürüm 1.0 · 2026-10-09 · 65 kablo · 1126 zayıflama noktası · 775 güç noktası · 53 kaynak belge (PDF/metin kopyaları 'kaynaklar' klasöründe)</t>
  </si>
  <si>
    <t>AMAÇ</t>
  </si>
  <si>
    <t>Her değeri bir datasheet'e bağlanmış, hesapları formülle yapılan ve ileride bir programa veritabanı olarak aktarılabilecek koaksiyel kablo tablosu. Orijinal elle hazırlanmış tablo Legacy_* sayfalarında korunur ve yeni verilerle karşılaştırılır.</t>
  </si>
  <si>
    <t>SAYFALAR</t>
  </si>
  <si>
    <t>Ham_Bands - Rapor: her kablo için amatör bantlarında dB/100 m ve dB/100 ft. Cables sayfasına eklenen kablo otomatik görünür (100 satıra kadar).</t>
  </si>
  <si>
    <t>Graph - Seçilen en fazla 8 kablonun 1-10000 MHz log-log zayıflama eğrisi (sarı hücrelerden seçim).</t>
  </si>
  <si>
    <t>Calculator - Kablo, frekans, uzunluk, güç ve SWR girin: kayıp, antene ulaşan güç, güç sınırı, dalga boyu. Altta tüm kabloların karşılaştırması.</t>
  </si>
  <si>
    <t>Cables - Kablo ana tablosu (bir satır = bir ürün). Elektriksel, mekanik, güç ve uygunluk parametreleri. Gri başlıklı sütunlar formüldür.</t>
  </si>
  <si>
    <t>Attenuation - Zayıflama noktaları (bir satır = bir datasheet değeri). Değer datasheet'te yazdığı birimde girilir, dB/100 m'ye formülle çevrilir.</t>
  </si>
  <si>
    <t>Power - Ortalama (CW) güç taşıma noktaları, datasheet'te yazdığı birimde.</t>
  </si>
  <si>
    <t>Sources - Kaynak belgeler: URL, revizyon, erişim tarihi ve 'kaynaklar' klasöründeki arşiv PDF'i.</t>
  </si>
  <si>
    <t>Legacy_Index / Legacy_Points - Eski tablo satırları, yeni kablo kimlikleriyle eşleme ve bant bazında karşılaştırma.</t>
  </si>
  <si>
    <t>Data_Dictionary - Tüm sütunların Türkçe açıklaması ve birimi (program geliştirirken referans).</t>
  </si>
  <si>
    <t>HESAPLAMA YÖNTEMİ</t>
  </si>
  <si>
    <t>1) Ana hesap - log-log interpolasyon: Hedef frekansın iki yanındaki datasheet noktaları arasında ln(α)-ln(f) düzleminde doğrusal interpolasyon yapılır. Datasheet frekanslarında sonuç datasheet ile birebir aynıdır. Eski tablodaki bant aralığı (ör. 148-174 MHz) belirsizliği ortadan kalkar; her değer tek bir frekansa aittir.</t>
  </si>
  <si>
    <t>2) Ekstrapolasyon: Veri aralığı dışında uçtaki segmentin eğimi (α ∝ f^n) kullanılır. Ham_Bands'te italik gri gösterilir; en yüksek veri frekansının 2 katından yukarısı gösterilmez.</t>
  </si>
  <si>
    <t>3) Kalite kontrolü (QA) - fiziksel model: α(f) = k0 + k1·√f + k2·f. k1·√f iletken (deri etkisi) kaybı, k2·f dielektrik kaybıdır. Katsayılar her kablo için göreli hatayı en aza indiren ağırlıklı en küçük kareler (LINEST) ile Cables sayfasında hesaplanır. Attenuation.dev_pct sütunu her noktanın modelden sapmasını gösterir: &gt;%5 sarı, &gt;%10 kırmızı -&gt; veri girişini kontrol edin.</t>
  </si>
  <si>
    <t xml:space="preserve">   Not: Times Microwave yalnızca 2 terimli modeli (k0=0) yayımlar (Cables.k1_pub / k2_pub, dB/100 ft). HF'de ince ve köpük dielektrikli kablolarda 2 terimli model %20-30 sapabildiği için ana hesapta interpolasyon kullanılır.</t>
  </si>
  <si>
    <t>4) Güç: Power noktaları arasında aynı log-log interpolasyon. Datasheet ortam sıcaklığı (genelde 40 °C) ve uyumlu yük içindir.</t>
  </si>
  <si>
    <t>5) SWR'li toplam kayıp (Calculator): ARRL Antenna Book formülü TL = 10·log10[(a² − |Γ|²)/(a·(1 − |Γ|²))], a = 10^(ML/10).</t>
  </si>
  <si>
    <t>Birimler: dB/100 ft = dB/100 m × 0.3048. Frekans MHz. Sıcaklık: datasheet koşulları (Times 25 °C, M&amp;P ve CommScope 20 °C, Belden belirtilmemiş).</t>
  </si>
  <si>
    <t>RENK KODLARI</t>
  </si>
  <si>
    <t>Mavi yazı = elle girilen datasheet değeri · Siyah yazı = formül · Gri başlık = formül sütunu (değiştirmeyin) · Sarı dolgu = Calculator girdileri.</t>
  </si>
  <si>
    <t>YENİ KABLO EKLEME</t>
  </si>
  <si>
    <t>1) Sources: belgeyi yeni bir source_id ile ekleyin, PDF'i 'kaynaklar' klasörüne kaydedin.</t>
  </si>
  <si>
    <t>2) Cables: tablonun altına yeni satır ekleyin (cable_id benzersiz olmalı). Formül sütunları tabloyla otomatik uzar.</t>
  </si>
  <si>
    <t>3) Attenuation ve Power: noktaları ekleyin. ÖNEMLİ: satırlar kablo bazında bitişik ve frekansa göre artan sırada olmalı (interpolasyon buna dayanır). Eklemeden sonra Veri &gt; Sırala: cable_id, sonra freq_mhz. order_ok sütunu YANLIŞ ise sıra bozuktur.</t>
  </si>
  <si>
    <t>4) Legacy_Index: eski tablodaki karşılık gelen satıra cable_id ve eşleşme türünü yazın; Legacy_Points karşılaştırması kendiliğinden güncellenir.</t>
  </si>
  <si>
    <t>5) En az 2 nokta interpolasyon, en az 4 nokta QA modeli için gerekir.</t>
  </si>
  <si>
    <t>VERİTABANINA AKTARMA</t>
  </si>
  <si>
    <t>Cables, Attenuation, Power, Sources tabloları ilişkisel yapıdadır (cable_id ve source_id anahtarları). Hazır dışa aktarım: export/coax.sqlite (yabancı anahtarlı SQLite) ve export/csv/*.csv (UTF-8, virgül ayraçlı, ondalık nokta). ham_bands tablosu Ham_Bands sayfasının uzun biçimidir. Excel'de değişiklik yaptıktan sonra kaydedip 'python -X utf8 scripts/export_db.py' ile yenileyin.</t>
  </si>
  <si>
    <t>SINIRLAMALAR</t>
  </si>
  <si>
    <t>Değer türü üreticiye göre değişir: çoğu nominal/tipik; Reçber (RWC, RG 213 U) ve Ericsson TZC 500 32 MAKSİMUM değer verir (Cables.notes). Belden H155/H1000 maksimumu nominalin %10 üstü; CommScope ±%5 garanti verir. Konnektör ve eklem kayıpları dahil değildir.</t>
  </si>
  <si>
    <t>Kaynak niteliği: Sources.host sütunu belgenin üreticiden mi, distribütör/satıcı kopyasından mı alındığını gösterir. Andrew/CommScope HELIAX verileri 2002-2007 Andrew datasheet'lerinden; bu ürünlerin bir kısmı üretimden kalkmış olabilir.</t>
  </si>
  <si>
    <t>Eski tablo: 60 satırın 59'u bir kabloyla eşlendi. 'RG58 CellFoil (9006)' için yayımlanmış veri bulunamadı. Aynı kablonun tekrarları (ör. 1/2" LDF ve 1/2" HELIAX) aynı cable_id'ye bağlandı. Bant aralığı dışında kalan eski değerler Legacy_Points'te renkli işaretlidir.</t>
  </si>
  <si>
    <t>Koaksiyel kablo zayıflaması - amatör bantları</t>
  </si>
  <si>
    <t>Değerler datasheet noktaları arasında log-log interpolasyonla hesaplanır. İtalik gri hücreler datasheet frekans aralığı dışındadır (ekstrapolasyon). En yüksek veri frekansının 2 katından yukarısı gösterilmez. Renk ölçeği her bantta kablolar arası karşılaştırmadır (yeşil = düşük kayıp).</t>
  </si>
  <si>
    <t>dB / 100 m</t>
  </si>
  <si>
    <t>dB / 100 ft (30.48 m)</t>
  </si>
  <si>
    <t>160 m</t>
  </si>
  <si>
    <t>80 m</t>
  </si>
  <si>
    <t>40 m</t>
  </si>
  <si>
    <t>20 m</t>
  </si>
  <si>
    <t>15 m</t>
  </si>
  <si>
    <t>10 m</t>
  </si>
  <si>
    <t>6 m</t>
  </si>
  <si>
    <t>2 m</t>
  </si>
  <si>
    <t>70 cm</t>
  </si>
  <si>
    <t>23 cm</t>
  </si>
  <si>
    <t>13 cm</t>
  </si>
  <si>
    <t>6 cm</t>
  </si>
  <si>
    <t>cable_id</t>
  </si>
  <si>
    <t>Kablo</t>
  </si>
  <si>
    <t>Z0 (Ω)</t>
  </si>
  <si>
    <t>Çap (mm)</t>
  </si>
  <si>
    <t>VF</t>
  </si>
  <si>
    <t>Veri min (MHz)</t>
  </si>
  <si>
    <t>Veri maks (MHz)</t>
  </si>
  <si>
    <t>r0</t>
  </si>
  <si>
    <t>n</t>
  </si>
  <si>
    <t>Zayıflama - frekans (log-log, dB/100 m)</t>
  </si>
  <si>
    <t>Sarı hücrelerden en fazla 8 kablo seçin. Eğri, datasheet aralığının yarısından iki katına kadar çizilir (1-10000 MHz). Hesap Ham_Bands ile aynı log-log interpolasyondur.</t>
  </si>
  <si>
    <t>Grafikteki kablolar</t>
  </si>
  <si>
    <t>Belden 8259 (RG-58)</t>
  </si>
  <si>
    <t>Belden 9258 (RG-8X)</t>
  </si>
  <si>
    <t>Belden 8267 (RG-213/U)</t>
  </si>
  <si>
    <t>Times Microwave LMR-400 (Amphenol)</t>
  </si>
  <si>
    <t>Messi &amp; Paoloni Hyperflex 10</t>
  </si>
  <si>
    <t>f (MHz)</t>
  </si>
  <si>
    <t>Messi &amp; Paoloni Airborne 10</t>
  </si>
  <si>
    <t>CommScope LDF4-50A (1/2" HELIAX)</t>
  </si>
  <si>
    <t>CommScope LDF5-50A (7/8" HELIAX)</t>
  </si>
  <si>
    <t>Kablo kaybı hesaplayıcı</t>
  </si>
  <si>
    <t>Sarı hücreleri değiştirin. Diğer hücreler formüldür.</t>
  </si>
  <si>
    <t>Yardımcı değerler</t>
  </si>
  <si>
    <t>Frekans (MHz)</t>
  </si>
  <si>
    <t>att_first_row</t>
  </si>
  <si>
    <t>Kablo uzunluğu (m)</t>
  </si>
  <si>
    <t>att_n</t>
  </si>
  <si>
    <t>Verici çıkış gücü (W)</t>
  </si>
  <si>
    <t>pwr_first_row</t>
  </si>
  <si>
    <t>Anten (yük) SWR</t>
  </si>
  <si>
    <t>pwr_n</t>
  </si>
  <si>
    <t>velocity_factor</t>
  </si>
  <si>
    <t>f_min_data</t>
  </si>
  <si>
    <t>Sonuçlar</t>
  </si>
  <si>
    <t>f_max_data</t>
  </si>
  <si>
    <t>Zayıflama (dB/100 m)</t>
  </si>
  <si>
    <t>Γ yük</t>
  </si>
  <si>
    <t>Zayıflama (dB/100 ft)</t>
  </si>
  <si>
    <t>a = 10^(ML/10)</t>
  </si>
  <si>
    <t>Hat kaybı - uyumlu yük (dB)</t>
  </si>
  <si>
    <t>SWR kaynaklı ek kayıp (dB)</t>
  </si>
  <si>
    <t>Toplam hat kaybı (dB)</t>
  </si>
  <si>
    <t>Antene ulaşan güç (W)</t>
  </si>
  <si>
    <t>Hat verimi</t>
  </si>
  <si>
    <t>Verici ucundaki SWR</t>
  </si>
  <si>
    <t>Maks. ortalama güç @ f (W)</t>
  </si>
  <si>
    <t>Güç durumu</t>
  </si>
  <si>
    <t>Kablo içi dalga boyu λ (m)</t>
  </si>
  <si>
    <t>λ/4 fiziksel uzunluk (m)</t>
  </si>
  <si>
    <t>Hattın elektriksel uzunluğu (λ)</t>
  </si>
  <si>
    <t>Veri durumu</t>
  </si>
  <si>
    <t>Toplam kayıp: ARRL Antenna Book uyumsuz hat formülü, TL = 10·log10[(a² − |Γ|²) / (a·(1 − |Γ|²))], a = 10^(ML/10). Güç sınırı datasheet ortam sıcaklığı ve uyumlu yük içindir; SWR ve yüksek sıcaklık sınırı düşürür.</t>
  </si>
  <si>
    <t>Tüm kablolar - aynı frekans, uzunluk, güç ve SWR ile</t>
  </si>
  <si>
    <t>dB/100 m</t>
  </si>
  <si>
    <t>Toplam kayıp (dB)</t>
  </si>
  <si>
    <t>Antene güç (W)</t>
  </si>
  <si>
    <t>Verim</t>
  </si>
  <si>
    <t>Maks. güç (W)</t>
  </si>
  <si>
    <t>Not</t>
  </si>
  <si>
    <t>display_name</t>
  </si>
  <si>
    <t>manufacturer</t>
  </si>
  <si>
    <t>part_number</t>
  </si>
  <si>
    <t>family</t>
  </si>
  <si>
    <t>impedance_ohm</t>
  </si>
  <si>
    <t>impedance_tol_ohm</t>
  </si>
  <si>
    <t>od_mm</t>
  </si>
  <si>
    <t>inner_material</t>
  </si>
  <si>
    <t>inner_construction</t>
  </si>
  <si>
    <t>inner_od_mm</t>
  </si>
  <si>
    <t>dielectric_material</t>
  </si>
  <si>
    <t>dielectric_od_mm</t>
  </si>
  <si>
    <t>shield</t>
  </si>
  <si>
    <t>braid_coverage_pct</t>
  </si>
  <si>
    <t>jacket</t>
  </si>
  <si>
    <t>capacitance_pf_m</t>
  </si>
  <si>
    <t>inductance_uh_m</t>
  </si>
  <si>
    <t>dcr_inner_ohm_km</t>
  </si>
  <si>
    <t>dcr_outer_ohm_km</t>
  </si>
  <si>
    <t>shielding_db</t>
  </si>
  <si>
    <t>fmax_mhz</t>
  </si>
  <si>
    <t>peak_power_kw</t>
  </si>
  <si>
    <t>voltage_v</t>
  </si>
  <si>
    <t>voltage_note</t>
  </si>
  <si>
    <t>bend_radius_single_mm</t>
  </si>
  <si>
    <t>bend_radius_repeated_mm</t>
  </si>
  <si>
    <t>weight_kg_km</t>
  </si>
  <si>
    <t>tensile_kg</t>
  </si>
  <si>
    <t>temp_min_c</t>
  </si>
  <si>
    <t>temp_max_c</t>
  </si>
  <si>
    <t>outdoor_uv</t>
  </si>
  <si>
    <t>direct_burial</t>
  </si>
  <si>
    <t>fire_class</t>
  </si>
  <si>
    <t>connectors</t>
  </si>
  <si>
    <t>k1_pub_db_100ft</t>
  </si>
  <si>
    <t>k2_pub_db_100ft</t>
  </si>
  <si>
    <t>primary_source_id</t>
  </si>
  <si>
    <t>notes</t>
  </si>
  <si>
    <t>k0_fit</t>
  </si>
  <si>
    <t>k1_fit</t>
  </si>
  <si>
    <t>k2_fit</t>
  </si>
  <si>
    <t>fit_rms_pct</t>
  </si>
  <si>
    <t>BEL-83265</t>
  </si>
  <si>
    <t>Belden 83265 (RG-178)</t>
  </si>
  <si>
    <t>Belden</t>
  </si>
  <si>
    <t>83265</t>
  </si>
  <si>
    <t>RG-178</t>
  </si>
  <si>
    <t>Gümüş kaplı bakır kaplı çelik (SCCS)</t>
  </si>
  <si>
    <t>30 AWG, 7x38 örgülü</t>
  </si>
  <si>
    <t>PTFE</t>
  </si>
  <si>
    <t>Gümüş kaplı bakır örgü</t>
  </si>
  <si>
    <t>FEP</t>
  </si>
  <si>
    <t>Mil-Spec değeri (UL AWM 1637: 30 V)</t>
  </si>
  <si>
    <t>İç/dış mekan</t>
  </si>
  <si>
    <t>UL AWM 1637</t>
  </si>
  <si>
    <t>S014</t>
  </si>
  <si>
    <t>Ticari, QPL dışı (M17/93-RG178 karşılığı).</t>
  </si>
  <si>
    <t>BEL-8216</t>
  </si>
  <si>
    <t>Belden 8216 (RG-174)</t>
  </si>
  <si>
    <t>8216</t>
  </si>
  <si>
    <t>RG-174</t>
  </si>
  <si>
    <t>Bakır kaplı çelik (BCCS)</t>
  </si>
  <si>
    <t>26 AWG, 7x34 örgülü</t>
  </si>
  <si>
    <t>PE (dolu)</t>
  </si>
  <si>
    <t>Kalaylı bakır örgü</t>
  </si>
  <si>
    <t>PVC</t>
  </si>
  <si>
    <t>Gerilim değeri (UL AWM 1354: 30 V)</t>
  </si>
  <si>
    <t>Dış mekan - havai (sadece siyah, taşıyıcı tel ile)</t>
  </si>
  <si>
    <t>CPR Eca</t>
  </si>
  <si>
    <t>S006</t>
  </si>
  <si>
    <t>İç iletken çelik çekirdekli: düşük frekansta kayıp √f yasasından sapar (1 MHz'de 1.9 dB/100ft).</t>
  </si>
  <si>
    <t>BEL-84316</t>
  </si>
  <si>
    <t>Belden 84316 (RG-316)</t>
  </si>
  <si>
    <t>84316</t>
  </si>
  <si>
    <t>RG-316</t>
  </si>
  <si>
    <t>Mil-Spec değeri</t>
  </si>
  <si>
    <t>İç/dış mekan, güneş ışığına dayanıklı</t>
  </si>
  <si>
    <t>S015</t>
  </si>
  <si>
    <t>Ticari, QPL dışı (M17/113-RG316 karşılığı). Datasheet güç tablosu vermiyor.</t>
  </si>
  <si>
    <t>BEL-83269</t>
  </si>
  <si>
    <t>Belden 83269 (RG-188)</t>
  </si>
  <si>
    <t>83269</t>
  </si>
  <si>
    <t>RG-188</t>
  </si>
  <si>
    <t>PTFE bant</t>
  </si>
  <si>
    <t>İç mekan</t>
  </si>
  <si>
    <t>S016</t>
  </si>
  <si>
    <t>Ticari, QPL dışı (M17/113-RG188 benzeri). Datasheet güç tablosu vermiyor.</t>
  </si>
  <si>
    <t>TMS-LMR100A</t>
  </si>
  <si>
    <t>Times Microwave LMR-100A (Amphenol)</t>
  </si>
  <si>
    <t>Times Microwave Systems (Amphenol)</t>
  </si>
  <si>
    <t>LMR-100A</t>
  </si>
  <si>
    <t>LMR (RG-174 alternatifi)</t>
  </si>
  <si>
    <t>Tek tel</t>
  </si>
  <si>
    <t>Al bant (yapışık değil) + kalaylı bakır örgü</t>
  </si>
  <si>
    <t>Siyah PVC</t>
  </si>
  <si>
    <t>S001</t>
  </si>
  <si>
    <t>Değerler S001 seçim kılavuzundan.</t>
  </si>
  <si>
    <t>BEL-8259</t>
  </si>
  <si>
    <t>8259</t>
  </si>
  <si>
    <t>RG-58</t>
  </si>
  <si>
    <t>Kalaylı bakır</t>
  </si>
  <si>
    <t>20 AWG, 19x33 örgülü</t>
  </si>
  <si>
    <t>Gerilim değeri</t>
  </si>
  <si>
    <t>İç mekan; havai (sadece siyah, taşıyıcı tel ile)</t>
  </si>
  <si>
    <t>S004</t>
  </si>
  <si>
    <t>Datasheet güç tablosu vermiyor.</t>
  </si>
  <si>
    <t>MP-RG58CU</t>
  </si>
  <si>
    <t>Messi &amp; Paoloni RG 58 C/U</t>
  </si>
  <si>
    <t>Messi &amp; Paoloni</t>
  </si>
  <si>
    <t>RG 58 C/U</t>
  </si>
  <si>
    <t>RG-58 C/U</t>
  </si>
  <si>
    <t>S028</t>
  </si>
  <si>
    <t>Yalnızca katalog zayıflama tablosu (10-1296 MHz).</t>
  </si>
  <si>
    <t>BEL-8219</t>
  </si>
  <si>
    <t>Belden 8219 (RG-58, köpük PE)</t>
  </si>
  <si>
    <t>8219</t>
  </si>
  <si>
    <t>RG-58 (köpük)</t>
  </si>
  <si>
    <t>20 AWG, 19x32 örgülü</t>
  </si>
  <si>
    <t>Köpük PE</t>
  </si>
  <si>
    <t>UL CM</t>
  </si>
  <si>
    <t>Dış mekan havai, UV dayanımlı</t>
  </si>
  <si>
    <t>S020</t>
  </si>
  <si>
    <t>Datasheet başlığı '50 Ohm' ama nominal empedans 54 Ω yazıyor.</t>
  </si>
  <si>
    <t>BEL-9273</t>
  </si>
  <si>
    <t>Belden 9273 (RG-223/U)</t>
  </si>
  <si>
    <t>9273</t>
  </si>
  <si>
    <t>RG-223/U</t>
  </si>
  <si>
    <t>Gümüş kaplı bakır</t>
  </si>
  <si>
    <t>19 AWG tek tel</t>
  </si>
  <si>
    <t>Çift gümüş kaplı bakır örgü</t>
  </si>
  <si>
    <t>PVC (kirletmeyen)</t>
  </si>
  <si>
    <t>İç mekan; havai (sadece siyah)</t>
  </si>
  <si>
    <t>S017</t>
  </si>
  <si>
    <t>Ticari, QPL dışı (M17/167-00001).</t>
  </si>
  <si>
    <t>HAR-M17-128-RG400</t>
  </si>
  <si>
    <t>Harbour M17/128-RG400</t>
  </si>
  <si>
    <t>Harbour Industries</t>
  </si>
  <si>
    <t>M17/128-RG400</t>
  </si>
  <si>
    <t>RG-400</t>
  </si>
  <si>
    <t>Örgülü</t>
  </si>
  <si>
    <t>FEP (kahverengi)</t>
  </si>
  <si>
    <t>Maks. gerilim</t>
  </si>
  <si>
    <t>MIL-DTL-17 type IX</t>
  </si>
  <si>
    <t>S019</t>
  </si>
  <si>
    <t>Tipik zayıflama. Güç tablosu yayımlanmamış.</t>
  </si>
  <si>
    <t>TMS-LMR195</t>
  </si>
  <si>
    <t>Times Microwave LMR-195 (Amphenol)</t>
  </si>
  <si>
    <t>LMR-195</t>
  </si>
  <si>
    <t>LMR (RG-58 alternatifi)</t>
  </si>
  <si>
    <t>Çıplak bakır</t>
  </si>
  <si>
    <t>Al bant (yapışık) + kalaylı bakır örgü</t>
  </si>
  <si>
    <t>Siyah PE (UV korumalı)</t>
  </si>
  <si>
    <t>Evet</t>
  </si>
  <si>
    <t>BEL-83242</t>
  </si>
  <si>
    <t>Belden 83242 (RG-142)</t>
  </si>
  <si>
    <t>83242</t>
  </si>
  <si>
    <t>RG-142</t>
  </si>
  <si>
    <t>Mil-Spec değeri (UL CMP: 300 V)</t>
  </si>
  <si>
    <t>İç (plenum) / dış mekan, UV dayanımlı</t>
  </si>
  <si>
    <t>UL CMP</t>
  </si>
  <si>
    <t>S018</t>
  </si>
  <si>
    <t>Ticari, QPL dışı (M17/158-00001). Datasheet güç tablosu vermiyor.</t>
  </si>
  <si>
    <t>BEL-9258</t>
  </si>
  <si>
    <t>9258</t>
  </si>
  <si>
    <t>RG-8X (mini RG-8)</t>
  </si>
  <si>
    <t>16 AWG, 19x29 örgülü</t>
  </si>
  <si>
    <t>Çıplak bakır örgü</t>
  </si>
  <si>
    <t>UL CM değeri</t>
  </si>
  <si>
    <t>UL CM, CPR Eca</t>
  </si>
  <si>
    <t>S007</t>
  </si>
  <si>
    <t>TMS-LMR200</t>
  </si>
  <si>
    <t>Times Microwave LMR-200 (Amphenol)</t>
  </si>
  <si>
    <t>LMR-200</t>
  </si>
  <si>
    <t>RCB-RWC200PE</t>
  </si>
  <si>
    <t>Reçber RWC 200 PE (LMR-200 muadili)</t>
  </si>
  <si>
    <t>Reçber Kablo</t>
  </si>
  <si>
    <t>RWC 200 PE (305061)</t>
  </si>
  <si>
    <t>LMR-200 muadili (5 mm)</t>
  </si>
  <si>
    <t>Elektrolitik bakır</t>
  </si>
  <si>
    <t>Fiziksel köpük PE (3 katlı)</t>
  </si>
  <si>
    <t>Al-Pet-Al folyo (%100) + kalaylı bakır örgü</t>
  </si>
  <si>
    <t>PE siyah RAL 9011 (PVC 305054, HFFR 305068)</t>
  </si>
  <si>
    <t>Maks. çalışma gerilimi (test 3000 V)</t>
  </si>
  <si>
    <t>Evet (PE kılıf)</t>
  </si>
  <si>
    <t>Üreticiye göre PE kılıf yeraltına uygun</t>
  </si>
  <si>
    <t>EN 60332-1-2 (PVC/HFFR); segregasyon sınıfı d</t>
  </si>
  <si>
    <t>S013</t>
  </si>
  <si>
    <t>ZAYIFLAMA DEĞERLERİ MAKSİMUMDUR. Katalog s.69. Bakır ağırlığı 19 kg/km.</t>
  </si>
  <si>
    <t>SSB-AIRCELL5</t>
  </si>
  <si>
    <t>SSB Aircell 5</t>
  </si>
  <si>
    <t>SSB-Electronic</t>
  </si>
  <si>
    <t>Aircell 5</t>
  </si>
  <si>
    <t>5 mm düşük kayıplı (RG-58 boyutu)</t>
  </si>
  <si>
    <t>Oksijensiz bakır (OFC)</t>
  </si>
  <si>
    <t>Köpük PE (PE-LLC)</t>
  </si>
  <si>
    <t>PE kaplı bakır folyo (%100) + bakır örgü</t>
  </si>
  <si>
    <t>Siyah PVC, UV dayanımlı</t>
  </si>
  <si>
    <t>RF tepe gerilimi</t>
  </si>
  <si>
    <t>Evet (UV dayanımlı PVC)</t>
  </si>
  <si>
    <t>S051</t>
  </si>
  <si>
    <t>Tipik değerler. Güncel SSB değerleri yaklaşık %5 daha düşük (S051 notu). Kesim frekansı 33 GHz. Kurulum sıcaklığı -40..+60 °C.</t>
  </si>
  <si>
    <t>MP-AIRBORNE5</t>
  </si>
  <si>
    <t>Messi &amp; Paoloni Airborne 5</t>
  </si>
  <si>
    <t>Airborne 5</t>
  </si>
  <si>
    <t>Bakır (%99.9, çıplak)</t>
  </si>
  <si>
    <t>Al-polyester-Al folyo (%100) + örgü</t>
  </si>
  <si>
    <t>UV korumalı PE</t>
  </si>
  <si>
    <t>CPR Fca (DoP MP0095)</t>
  </si>
  <si>
    <t>S010</t>
  </si>
  <si>
    <t>Ekranlama &gt;105 dB (100-2000 MHz). Tekrarlı bükülme: 15 bükülmeye kadar.</t>
  </si>
  <si>
    <t>BEL-H155A01</t>
  </si>
  <si>
    <t>Belden H155A01 (H155 PE)</t>
  </si>
  <si>
    <t>H155A01</t>
  </si>
  <si>
    <t>H155</t>
  </si>
  <si>
    <t>16 AWG örgülü</t>
  </si>
  <si>
    <t>Al/poly/Al folyo (%100) + kalaylı bakır örgü</t>
  </si>
  <si>
    <t>PE (siyah)</t>
  </si>
  <si>
    <t>Dış mekan</t>
  </si>
  <si>
    <t>Halojensiz (IEC 60754)</t>
  </si>
  <si>
    <t>S008</t>
  </si>
  <si>
    <t>DCR değeri maksimumdur. Ekranlama 30-1000 MHz için. Maks. zayıflama nominalin %10 üstü. Datasheet güç tablosu vermiyor.</t>
  </si>
  <si>
    <t>MP-HYPERFLEX5</t>
  </si>
  <si>
    <t>Messi &amp; Paoloni Hyperflex 5</t>
  </si>
  <si>
    <t>Hyperflex 5</t>
  </si>
  <si>
    <t>5.4 mm düşük kayıplı</t>
  </si>
  <si>
    <t>Bakır</t>
  </si>
  <si>
    <t>19x0.29 mm örgülü</t>
  </si>
  <si>
    <t>Bakır folyo (%100) + bakır örgü (120 tel)</t>
  </si>
  <si>
    <t>UV dayanımlı PVC (siyah)</t>
  </si>
  <si>
    <t>Evet (UV)</t>
  </si>
  <si>
    <t>IEC 60332-1-2, CPR (DoP MP0097)</t>
  </si>
  <si>
    <t>UHF (PL), N, BNC, SMA, TNC</t>
  </si>
  <si>
    <t>S023</t>
  </si>
  <si>
    <t>Kılıf kıvılcım testi 4 kV.</t>
  </si>
  <si>
    <t>TMS-LMR240</t>
  </si>
  <si>
    <t>Times Microwave LMR-240 (Amphenol)</t>
  </si>
  <si>
    <t>LMR-240</t>
  </si>
  <si>
    <t>LMR (RG-8X alternatifi)</t>
  </si>
  <si>
    <t>PE (siyah, UV korumalı)</t>
  </si>
  <si>
    <t>Dielektrik dayanım (DC)</t>
  </si>
  <si>
    <t>S003</t>
  </si>
  <si>
    <t>k1/k2: S001. Kesim (cutoff) frekansı 31 GHz.</t>
  </si>
  <si>
    <t>RCB-RWC240PE</t>
  </si>
  <si>
    <t>Reçber RWC 240 PE (LMR-240 muadili)</t>
  </si>
  <si>
    <t>RWC 240 PE (305062)</t>
  </si>
  <si>
    <t>LMR-240 muadili (6 mm)</t>
  </si>
  <si>
    <t>PE siyah RAL 9011 (PVC 305055, HFFR 305069)</t>
  </si>
  <si>
    <t>ZAYIFLAMA DEĞERLERİ MAKSİMUMDUR. Katalog s.70. Bakır ağırlığı 26 kg/km.</t>
  </si>
  <si>
    <t>RCB-RG213U-PE</t>
  </si>
  <si>
    <t>Reçber RG 213 U PE</t>
  </si>
  <si>
    <t>RG 213 U PE (305060)</t>
  </si>
  <si>
    <t>RG-213/U</t>
  </si>
  <si>
    <t>7x0.75 mm örgülü</t>
  </si>
  <si>
    <t>LDPE (dolu)</t>
  </si>
  <si>
    <t>Elektrolitik bakır örgü</t>
  </si>
  <si>
    <t>PE siyah RAL 9011 (PVC 305053, HFFR 305067)</t>
  </si>
  <si>
    <t>Maks. çalışma gerilimi (test 10000 V)</t>
  </si>
  <si>
    <t>MIL-C-17F/G; EN 60332-1-2 (PVC/HFFR)</t>
  </si>
  <si>
    <t>ZAYIFLAMA DEĞERLERİ MAKSİMUMDUR. Katalog s.68. Bakır ağırlığı 70 kg/km.</t>
  </si>
  <si>
    <t>BEL-8267</t>
  </si>
  <si>
    <t>8267</t>
  </si>
  <si>
    <t>13 AWG, 7x21 örgülü</t>
  </si>
  <si>
    <t>Mil-Spec değeri (UL CMX: 300 V)</t>
  </si>
  <si>
    <t>UL CMX, VW-1, CPR Eca</t>
  </si>
  <si>
    <t>S005</t>
  </si>
  <si>
    <t>Ticari, QPL dışı (M17/163-00001 karşılığı).</t>
  </si>
  <si>
    <t>BEL-8268</t>
  </si>
  <si>
    <t>Belden 8268 (RG-214/U)</t>
  </si>
  <si>
    <t>8268</t>
  </si>
  <si>
    <t>RG-214/U</t>
  </si>
  <si>
    <t>S022</t>
  </si>
  <si>
    <t>Ticari, QPL dışı (M17/164-00001).</t>
  </si>
  <si>
    <t>MP-RG213U</t>
  </si>
  <si>
    <t>Messi &amp; Paoloni RG 213/U</t>
  </si>
  <si>
    <t>RG 213/U</t>
  </si>
  <si>
    <t>Yalnızca katalog zayıflama tablosu (10-1296 MHz). M&amp;P'nin folyolu 'RG 213 Plus' sürümü ayrı bir üründür.</t>
  </si>
  <si>
    <t>SSB-AIRCELL7</t>
  </si>
  <si>
    <t>SSB Aircell 7</t>
  </si>
  <si>
    <t>Aircell 7</t>
  </si>
  <si>
    <t>7.3 mm süper esnek düşük kayıplı</t>
  </si>
  <si>
    <t>Oksijensiz bakır</t>
  </si>
  <si>
    <t>19x0.37 mm örgülü</t>
  </si>
  <si>
    <t>Köpük PE (PE-LLC, gaz oranı &gt;%70)</t>
  </si>
  <si>
    <t>S049</t>
  </si>
  <si>
    <t>Tipik değerler. Güncel SSB değerleri yaklaşık %5 daha düşük (S049 notu). Ekranlama metinde &gt;85 dB, tabloda 83 dB @1 GHz.</t>
  </si>
  <si>
    <t>TMS-LMR300</t>
  </si>
  <si>
    <t>Times Microwave LMR-300 (Amphenol)</t>
  </si>
  <si>
    <t>LMR-300</t>
  </si>
  <si>
    <t>LMR</t>
  </si>
  <si>
    <t>CS-FSJ1-50A</t>
  </si>
  <si>
    <t>CommScope FSJ1-50A (1/4" Superflex)</t>
  </si>
  <si>
    <t>CommScope (Andrew)</t>
  </si>
  <si>
    <t>FSJ1-50A</t>
  </si>
  <si>
    <t>1/4" HELIAX süper esnek</t>
  </si>
  <si>
    <t>Bakır kaplı alüminyum (CCA)</t>
  </si>
  <si>
    <t>Oluklu bakır (6.35 mm)</t>
  </si>
  <si>
    <t>Siyah PE</t>
  </si>
  <si>
    <t>DC test gerilimi</t>
  </si>
  <si>
    <t>S031</t>
  </si>
  <si>
    <t>RFS-SCF14-50J</t>
  </si>
  <si>
    <t>RFS CELLFLEX SCF14-50J (1/4")</t>
  </si>
  <si>
    <t>RFS</t>
  </si>
  <si>
    <t>SCF14-50J</t>
  </si>
  <si>
    <t>1/4" süper esnek oluklu</t>
  </si>
  <si>
    <t>Oluklu bakır (6.5 mm)</t>
  </si>
  <si>
    <t>Siyah PE (UV, UL1581)</t>
  </si>
  <si>
    <t>IEC 60754-1/-2</t>
  </si>
  <si>
    <t>S029</t>
  </si>
  <si>
    <t>PIM min. -160 dBc.</t>
  </si>
  <si>
    <t>MP-ULTRAFLEX7</t>
  </si>
  <si>
    <t>Messi &amp; Paoloni Ultraflex 7</t>
  </si>
  <si>
    <t>Ultraflex 7</t>
  </si>
  <si>
    <t>7.3 mm düşük kayıplı</t>
  </si>
  <si>
    <t>19x0.38 mm örgülü</t>
  </si>
  <si>
    <t>Fiziksel köpük PE</t>
  </si>
  <si>
    <t>PE katmanlı folyo + örgü</t>
  </si>
  <si>
    <t>IEC 60332-1-2, CPR Eca (DoP MP00100)</t>
  </si>
  <si>
    <t>S024</t>
  </si>
  <si>
    <t>ERI-TZC50032</t>
  </si>
  <si>
    <t>Ericsson TZC 500 32 (RG-8 tipi)</t>
  </si>
  <si>
    <t>Ericsson</t>
  </si>
  <si>
    <t>TZC 500 32</t>
  </si>
  <si>
    <t>Modifiye RG-8, düşük kayıplı</t>
  </si>
  <si>
    <t>Masif bakır</t>
  </si>
  <si>
    <t>AWG 10 tek tel</t>
  </si>
  <si>
    <t>Köpük PE (iletkene yapışık)</t>
  </si>
  <si>
    <t>Al folyo (%100, dielektriğe yapışık) + kalaylı bakır örgü</t>
  </si>
  <si>
    <t>Siyah LDPE, halojensiz</t>
  </si>
  <si>
    <t>Anma gerilimi AC (delinme 2600 V DC)</t>
  </si>
  <si>
    <t>Halojensiz</t>
  </si>
  <si>
    <t>S041</t>
  </si>
  <si>
    <t>ZAYIFLAMA DEĞERLERİ MAKSİMUMDUR. DC dirençleri maksimum değerdir.</t>
  </si>
  <si>
    <t>DAV-BURYFLEX</t>
  </si>
  <si>
    <t>Davis RF BURY-FLEX</t>
  </si>
  <si>
    <t>Davis RF (Orion Wire)</t>
  </si>
  <si>
    <t>BURY-FLEX</t>
  </si>
  <si>
    <t>10.3 mm köpük PE (RG-8 boyutu)</t>
  </si>
  <si>
    <t>9.5 AWG örgülü</t>
  </si>
  <si>
    <t>Yapışık folyo (%100) + kalaylı bakır örgü</t>
  </si>
  <si>
    <t>UV dayanımlı siyah PE</t>
  </si>
  <si>
    <t>S040</t>
  </si>
  <si>
    <t>Distribütör sayfası verisi; üretici datasheet'i bulunamadı.</t>
  </si>
  <si>
    <t>RFS-SCF38-50J</t>
  </si>
  <si>
    <t>RFS CELLFLEX SCF38-50J (3/8")</t>
  </si>
  <si>
    <t>SCF38-50J</t>
  </si>
  <si>
    <t>3/8" süper esnek oluklu</t>
  </si>
  <si>
    <t>Oluklu bakır (9.1 mm)</t>
  </si>
  <si>
    <t>Halojensiz (IEC 60754-1/-2)</t>
  </si>
  <si>
    <t>S030</t>
  </si>
  <si>
    <t>BEL-9914</t>
  </si>
  <si>
    <t>Belden 9914 (RG-8, köpük PE)</t>
  </si>
  <si>
    <t>9914</t>
  </si>
  <si>
    <t>RG-8 (köpük)</t>
  </si>
  <si>
    <t>10 AWG tek tel</t>
  </si>
  <si>
    <t>Gaz enjeksiyonlu köpük PE</t>
  </si>
  <si>
    <t>Duobond II folyo (%100) + kalaylı bakır örgü</t>
  </si>
  <si>
    <t>Gerilim değeri (UL CMG: 300 V)</t>
  </si>
  <si>
    <t>İç/dış mekan; havai (sadece siyah)</t>
  </si>
  <si>
    <t>UL CMG</t>
  </si>
  <si>
    <t>S038</t>
  </si>
  <si>
    <t>SSB-ECOFLEX10</t>
  </si>
  <si>
    <t>SSB Ecoflex 10</t>
  </si>
  <si>
    <t>Ecoflex 10</t>
  </si>
  <si>
    <t>10.2 mm düşük kayıplı (RG-213 boyutu)</t>
  </si>
  <si>
    <t>7x1.0 mm örgülü</t>
  </si>
  <si>
    <t>Siyah PVC, UV stabilize</t>
  </si>
  <si>
    <t>Evet (UV stabilize PVC)</t>
  </si>
  <si>
    <t>S048</t>
  </si>
  <si>
    <t>Tipik değerler. Güncel SSB değerleri yaklaşık %5 daha düşük (S048 notu). Plus / FRNC / Heatex sürümleri ayrı ürünlerdir.</t>
  </si>
  <si>
    <t>BEL-H1000C1</t>
  </si>
  <si>
    <t>Belden H1000C1 (H1000)</t>
  </si>
  <si>
    <t>H1000C1</t>
  </si>
  <si>
    <t>H1000 (RG-8 boyutu)</t>
  </si>
  <si>
    <t>Bakır/poly folyo (%100) + çıplak bakır örgü</t>
  </si>
  <si>
    <t>PE</t>
  </si>
  <si>
    <t>S039</t>
  </si>
  <si>
    <t>Maks. zayıflama nominalin %10 üstü. Datasheet güç tablosu vermiyor.</t>
  </si>
  <si>
    <t>RCB-RWC400PE</t>
  </si>
  <si>
    <t>Reçber RWC 400 PE (LMR-400 muadili)</t>
  </si>
  <si>
    <t>RWC 400 PE (305064)</t>
  </si>
  <si>
    <t>LMR-400 muadili (10.2 mm)</t>
  </si>
  <si>
    <t>Tek tel (Class 1, IEC 60228)</t>
  </si>
  <si>
    <t>PE siyah RAL 9011 (80 °C, EN 50290-2-24); PVC (305057) ve HFFR (305071) seçenekleri var</t>
  </si>
  <si>
    <t>Maks. çalışma gerilimi (test gerilimi 5000 V)</t>
  </si>
  <si>
    <t>Evet (PE kılıf: açık hava)</t>
  </si>
  <si>
    <t>Üreticiye göre PE kılıf yeraltı uygulamalarına uygun</t>
  </si>
  <si>
    <t>EN 60332-1-2 (PVC/HFFR); HFFR: EN 60754-1/2, EN 61034-2; segregasyon sınıfı d (EN 50174-2)</t>
  </si>
  <si>
    <t>BNC, TNC, SMA, N (üretici metni)</t>
  </si>
  <si>
    <t>ZAYIFLAMA DEĞERLERİ MAKSİMUMDUR (diğer kabloların çoğu tipik/nominal) - karşılaştırmada dikkat. Bükülme yarıçapı 10×D. VF %85±2, kapasite ±2 pF/m. Yalıtım direnci min. 2 GΩ·km. EN 50117, IEC 61196. Bakır ağırlığı 82 kg/km. Geri dönüş kaybı &gt;23 dB (30-1000 MHz), &gt;20 dB (1-3 GHz). Güç değeri yayımlanmamış. Konnektör Sepeti AUNN-155-RWC400 hazır N-N kablosu bu kabloyu kullanıyor (S012; o sayfa empedansı ±2 Ω yazıyor).</t>
  </si>
  <si>
    <t>TMS-LMR400</t>
  </si>
  <si>
    <t>LMR-400</t>
  </si>
  <si>
    <t>LMR (RG-8/RG-213 alternatifi)</t>
  </si>
  <si>
    <t>S002</t>
  </si>
  <si>
    <t>k1/k2: S001. Fairview kopyası frekans aralığını DC-6 GHz verir; tabloda 5.8 GHz değeri var.</t>
  </si>
  <si>
    <t>MP-ULTRAFLEX10</t>
  </si>
  <si>
    <t>Messi &amp; Paoloni Ultraflex 10</t>
  </si>
  <si>
    <t>Ultraflex 10</t>
  </si>
  <si>
    <t>10.3 mm düşük kayıplı (RG-213 boyutu)</t>
  </si>
  <si>
    <t>Folyo (%100) + bakır örgü (144 tel)</t>
  </si>
  <si>
    <t>IEC 60332-1-2, CPR (DoP MP00102)</t>
  </si>
  <si>
    <t>UHF (PL), N, BNC, SMA, TNC, 7/16</t>
  </si>
  <si>
    <t>S025</t>
  </si>
  <si>
    <t>Kılıf kıvılcım testi 8 kV.</t>
  </si>
  <si>
    <t>MP-HYPERFLEX10</t>
  </si>
  <si>
    <t>Hyperflex 10</t>
  </si>
  <si>
    <t>19x0.59 mm örgülü</t>
  </si>
  <si>
    <t>Bakır folyo (%100) + bakır kaplı alüminyum örgü (192 tel)</t>
  </si>
  <si>
    <t>Evet (UV dayanımlı)</t>
  </si>
  <si>
    <t>IEC 60332-1-2, CPR (DoP MP00103)</t>
  </si>
  <si>
    <t>UHF (PL-259), N, BNC, SMA, TNC, 7/16</t>
  </si>
  <si>
    <t>S009</t>
  </si>
  <si>
    <t>Kılıf kıvılcım testi 8 kV. Tekrarlı bükülme: 15 bükülmeye kadar.</t>
  </si>
  <si>
    <t>BEL-H2000FLEX</t>
  </si>
  <si>
    <t>Belden H2000 Flex</t>
  </si>
  <si>
    <t>H2000 Flex</t>
  </si>
  <si>
    <t>10.3 mm köpük PE (RG-213 boyutu)</t>
  </si>
  <si>
    <t>Bakır folyo + bakır örgü (0.12 mm)</t>
  </si>
  <si>
    <t>S053</t>
  </si>
  <si>
    <t>Nominal değerler. DC direnç 1.1 Ω/100 m (iç/dış belirtilmemiş). Bakır ağırlığı 70 g/m. Bazı satıcılar PE/FRNC kılıflı sürüm listeliyor. Belden güncel kataloğunda yok - üretimden kalkmış olabilir.</t>
  </si>
  <si>
    <t>CS-FSJ2-50</t>
  </si>
  <si>
    <t>CommScope FSJ2-50 (3/8" Superflex)</t>
  </si>
  <si>
    <t>FSJ2-50</t>
  </si>
  <si>
    <t>3/8" HELIAX süper esnek</t>
  </si>
  <si>
    <t>Oluklu bakır (9.7 mm)</t>
  </si>
  <si>
    <t>S032</t>
  </si>
  <si>
    <t>MP-AIRBORNE10</t>
  </si>
  <si>
    <t>Airborne 10</t>
  </si>
  <si>
    <t>10.3 mm düşük kayıplı, hafif</t>
  </si>
  <si>
    <t>Folyo + bakır kaplı alüminyum örgü (192 tel)</t>
  </si>
  <si>
    <t>CPR (DoP MP0096)</t>
  </si>
  <si>
    <t>S026</t>
  </si>
  <si>
    <t>WFX-103</t>
  </si>
  <si>
    <t>Westflex 103</t>
  </si>
  <si>
    <t>Westflex</t>
  </si>
  <si>
    <t>10.3 mm yarı hava aralıklı (RG-213 boyutu)</t>
  </si>
  <si>
    <t>Yarı hava aralıklı PE, 5 hücreli ekstrüzyon</t>
  </si>
  <si>
    <t>Bakır bant + bakır örgü (toplam %100 kaplama), dış iletken Ø8 mm</t>
  </si>
  <si>
    <t>Maks. çalışma gerilimi (RMS)</t>
  </si>
  <si>
    <t>S052</t>
  </si>
  <si>
    <t>Üretici belgesi 2007 tarihli. Satıcı kaynaklarında farklı yapı/kayıp değerleri var (S052 notu). 50-144 MHz noktaları birbiriyle tutarsız; QA sapması yüksek. Güç tablosu yayımlanmamış.</t>
  </si>
  <si>
    <t>CS-FSJ4-50B</t>
  </si>
  <si>
    <t>CommScope FSJ4-50B (1/2" Superflex)</t>
  </si>
  <si>
    <t>FSJ4-50B</t>
  </si>
  <si>
    <t>1/2" HELIAX süper esnek</t>
  </si>
  <si>
    <t>Oluklu bakır (12.2 mm)</t>
  </si>
  <si>
    <t>S033</t>
  </si>
  <si>
    <t>CS-LDF2-50</t>
  </si>
  <si>
    <t>CommScope LDF2-50 (3/8" HELIAX)</t>
  </si>
  <si>
    <t>LDF2-50</t>
  </si>
  <si>
    <t>3/8" HELIAX LDF (oluklu)</t>
  </si>
  <si>
    <t>Oluklu bakır (9.652 mm)</t>
  </si>
  <si>
    <t>S034</t>
  </si>
  <si>
    <t>TMS-LMR500</t>
  </si>
  <si>
    <t>Times Microwave LMR-500 (Amphenol)</t>
  </si>
  <si>
    <t>LMR-500</t>
  </si>
  <si>
    <t>GEN-10D-FB</t>
  </si>
  <si>
    <t>10D-FB (2020 numune spesifikasyonu)</t>
  </si>
  <si>
    <t>Belirtilmemiş</t>
  </si>
  <si>
    <t>10D-FB</t>
  </si>
  <si>
    <t>10D-FB (JIS boyut tanımı)</t>
  </si>
  <si>
    <t>8 AWG tek tel (1/3.50 mm)</t>
  </si>
  <si>
    <t>Çift Al folyo + kalaylı bakır örgü (24x9/0.18)</t>
  </si>
  <si>
    <t>S042</t>
  </si>
  <si>
    <t>10D-FB birçok üreticinin kullandığı bir boyut tanımı; değerler bu numuneye ait. DCR maksimum değerdir.</t>
  </si>
  <si>
    <t>MP-ULTRAFLEX13</t>
  </si>
  <si>
    <t>Messi &amp; Paoloni Ultraflex 13</t>
  </si>
  <si>
    <t>Ultraflex 13</t>
  </si>
  <si>
    <t>12.7 mm (1/2") düşük kayıplı</t>
  </si>
  <si>
    <t>19 telli örgülü</t>
  </si>
  <si>
    <t>Yalnızca katalog zayıflama tablosu; datasheet erişilemedi (404). Satıcılar ürünü 'artık mevcut değil' gösteriyor.</t>
  </si>
  <si>
    <t>MP-HYPERFLEX13</t>
  </si>
  <si>
    <t>Messi &amp; Paoloni Hyperflex 13</t>
  </si>
  <si>
    <t>Hyperflex 13</t>
  </si>
  <si>
    <t>37x0.56 mm örgülü</t>
  </si>
  <si>
    <t>CPR Eca (DoP MP00109)</t>
  </si>
  <si>
    <t>S027</t>
  </si>
  <si>
    <t>SSB-ECOFLEX15</t>
  </si>
  <si>
    <t>SSB Ecoflex 15</t>
  </si>
  <si>
    <t>Ecoflex 15</t>
  </si>
  <si>
    <t>14.6 mm düşük kayıplı</t>
  </si>
  <si>
    <t>7x1.55 mm örgülü</t>
  </si>
  <si>
    <t>S050</t>
  </si>
  <si>
    <t>Tipik değerler. Kurulum sıcaklığı -40..+60 °C. Plus / FRNC / Heatex sürümleri ayrı ürünlerdir.</t>
  </si>
  <si>
    <t>TMS-LMR600</t>
  </si>
  <si>
    <t>Times Microwave LMR-600 (Amphenol)</t>
  </si>
  <si>
    <t>LMR-600</t>
  </si>
  <si>
    <t>CS-LDF4-50A</t>
  </si>
  <si>
    <t>CommScope</t>
  </si>
  <si>
    <t>LDF4-50A</t>
  </si>
  <si>
    <t>1/2" HELIAX LDF (oluklu)</t>
  </si>
  <si>
    <t>Oluklu bakır boru (13.97 mm)</t>
  </si>
  <si>
    <t>PE (siyah, halojensiz)</t>
  </si>
  <si>
    <t>CPR Fca</t>
  </si>
  <si>
    <t>S011</t>
  </si>
  <si>
    <t>Zayıflama değerleri tipik, %5 içinde garanti. Kurulum sıcaklığı -40..+60 °C.</t>
  </si>
  <si>
    <t>TMS-LMR900</t>
  </si>
  <si>
    <t>Times Microwave LMR-900 (Amphenol)</t>
  </si>
  <si>
    <t>LMR-900</t>
  </si>
  <si>
    <t>Bakır boru</t>
  </si>
  <si>
    <t>Boru</t>
  </si>
  <si>
    <t>TMS-LMR1200</t>
  </si>
  <si>
    <t>Times Microwave LMR-1200 (Amphenol)</t>
  </si>
  <si>
    <t>LMR-1200</t>
  </si>
  <si>
    <t>CS-LDF5-50A</t>
  </si>
  <si>
    <t>LDF5-50A</t>
  </si>
  <si>
    <t>7/8" HELIAX LDF (oluklu)</t>
  </si>
  <si>
    <t>Oluklu bakır (24.9 mm)</t>
  </si>
  <si>
    <t>S035</t>
  </si>
  <si>
    <t>Kaynak 2002 Andrew datasheet'i. Ürün üretimden kalkmış olabilir (CommScope'ta AVA5-50 öneriliyor; doğrulanmadı).</t>
  </si>
  <si>
    <t>TMS-LMR1700</t>
  </si>
  <si>
    <t>Times Microwave LMR-1700 (Amphenol)</t>
  </si>
  <si>
    <t>LMR-1700</t>
  </si>
  <si>
    <t>CS-LDF6-50</t>
  </si>
  <si>
    <t>CommScope LDF6-50 (1-1/4" HELIAX)</t>
  </si>
  <si>
    <t>LDF6-50</t>
  </si>
  <si>
    <t>1-1/4" HELIAX LDF (oluklu)</t>
  </si>
  <si>
    <t>Oluklu bakır (35.8 mm)</t>
  </si>
  <si>
    <t>S036</t>
  </si>
  <si>
    <t>Kaynak 2004 Andrew datasheet'i.</t>
  </si>
  <si>
    <t>CS-LDF7-50A</t>
  </si>
  <si>
    <t>CommScope LDF7-50A (1-5/8" HELIAX)</t>
  </si>
  <si>
    <t>LDF7-50A</t>
  </si>
  <si>
    <t>1-5/8" HELIAX LDF (oluklu)</t>
  </si>
  <si>
    <t>Oluklu bakır boru</t>
  </si>
  <si>
    <t>Oluklu bakır (46.2 mm)</t>
  </si>
  <si>
    <t>S037</t>
  </si>
  <si>
    <t>Kaynak 2003 Andrew datasheet'i.</t>
  </si>
  <si>
    <t>BEL-83264</t>
  </si>
  <si>
    <t>Belden 83264 (RG-179, 75 Ω)</t>
  </si>
  <si>
    <t>83264</t>
  </si>
  <si>
    <t>RG-179</t>
  </si>
  <si>
    <t>S043</t>
  </si>
  <si>
    <t>Ticari, QPL dışı (M17/94-RG179).</t>
  </si>
  <si>
    <t>BEL-8263</t>
  </si>
  <si>
    <t>Belden 8263 (RG-59B/U, 75 Ω)</t>
  </si>
  <si>
    <t>8263</t>
  </si>
  <si>
    <t>RG-59B/U</t>
  </si>
  <si>
    <t>23 AWG tek tel</t>
  </si>
  <si>
    <t>UL dışı değer (UL: 150 V)</t>
  </si>
  <si>
    <t>UL CMX; MIL-C-17D</t>
  </si>
  <si>
    <t>S044</t>
  </si>
  <si>
    <t>BEL-8261</t>
  </si>
  <si>
    <t>Belden 8261 (RG-11/U dolu PE, 75 Ω)</t>
  </si>
  <si>
    <t>8261</t>
  </si>
  <si>
    <t>RG-11/U</t>
  </si>
  <si>
    <t>18 AWG, 7x26 örgülü</t>
  </si>
  <si>
    <t>Gerilim değeri (RMS)</t>
  </si>
  <si>
    <t>VW-1</t>
  </si>
  <si>
    <t>S047</t>
  </si>
  <si>
    <t>BEL-1694A</t>
  </si>
  <si>
    <t>Belden 1694A (RG-6, 75 Ω)</t>
  </si>
  <si>
    <t>1694A</t>
  </si>
  <si>
    <t>RG-6</t>
  </si>
  <si>
    <t>18 AWG tek tel</t>
  </si>
  <si>
    <t>Duofoil (%100) + kalaylı bakır örgü</t>
  </si>
  <si>
    <t>UL CMR</t>
  </si>
  <si>
    <t>İç/dış mekan, UV dayanımlı</t>
  </si>
  <si>
    <t>UL CMR, CPR Eca</t>
  </si>
  <si>
    <t>S045</t>
  </si>
  <si>
    <t>SDI video kablosu.</t>
  </si>
  <si>
    <t>BEL-9292</t>
  </si>
  <si>
    <t>Belden 9292 (RG-11, 75 Ω)</t>
  </si>
  <si>
    <t>9292</t>
  </si>
  <si>
    <t>RG-11</t>
  </si>
  <si>
    <t>14 AWG tek tel</t>
  </si>
  <si>
    <t>S046</t>
  </si>
  <si>
    <t>BEL-9269</t>
  </si>
  <si>
    <t>Belden 9269 (RG-62A/U, 93 Ω)</t>
  </si>
  <si>
    <t>9269</t>
  </si>
  <si>
    <t>RG-62A/U</t>
  </si>
  <si>
    <t>22 AWG tek tel</t>
  </si>
  <si>
    <t>Yarı dolu PE (spiral monofilament + PE tüp)</t>
  </si>
  <si>
    <t>İç/dış mekan, güneş ışığına dayanıklı (siyah)</t>
  </si>
  <si>
    <t>S021</t>
  </si>
  <si>
    <t>93 Ω - 50 Ω sistemlerde doğrudan kullanılmaz (eski tablo 50 Ω yazıyordu).</t>
  </si>
  <si>
    <t>point_id</t>
  </si>
  <si>
    <t>freq_mhz</t>
  </si>
  <si>
    <t>value</t>
  </si>
  <si>
    <t>unit</t>
  </si>
  <si>
    <t>temp_c</t>
  </si>
  <si>
    <t>source_id</t>
  </si>
  <si>
    <t>source_ref</t>
  </si>
  <si>
    <t>att_db_100m</t>
  </si>
  <si>
    <t>ln_f</t>
  </si>
  <si>
    <t>ln_att</t>
  </si>
  <si>
    <t>w0</t>
  </si>
  <si>
    <t>w1</t>
  </si>
  <si>
    <t>w2</t>
  </si>
  <si>
    <t>one</t>
  </si>
  <si>
    <t>model_db_100m</t>
  </si>
  <si>
    <t>dev_pct</t>
  </si>
  <si>
    <t>dev_sq</t>
  </si>
  <si>
    <t>order_ok</t>
  </si>
  <si>
    <t>note</t>
  </si>
  <si>
    <t>A0001</t>
  </si>
  <si>
    <t>dB/100ft</t>
  </si>
  <si>
    <t>Attenuation / Power Rating tabloları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</si>
  <si>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</si>
  <si>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</si>
  <si>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</si>
  <si>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</si>
  <si>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</si>
  <si>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</si>
  <si>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</si>
  <si>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</si>
  <si>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</si>
  <si>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Attenuation tablosu (Nom.)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</si>
  <si>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</si>
  <si>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</si>
  <si>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</si>
  <si>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</si>
  <si>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</si>
  <si>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</si>
  <si>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</si>
  <si>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</si>
  <si>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</si>
  <si>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Attenuation tablosu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</si>
  <si>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</si>
  <si>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</si>
  <si>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</si>
  <si>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</si>
  <si>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</si>
  <si>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</si>
  <si>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</si>
  <si>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</si>
  <si>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</si>
  <si>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</si>
  <si>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</si>
  <si>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</si>
  <si>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</si>
  <si>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</si>
  <si>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</si>
  <si>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</si>
  <si>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</si>
  <si>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</si>
  <si>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</si>
  <si>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</si>
  <si>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</si>
  <si>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</si>
  <si>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Attenuation tablosu (+25°C), LMR100A sütunu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</si>
  <si>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</si>
  <si>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</si>
  <si>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</si>
  <si>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</si>
  <si>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</si>
  <si>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</si>
  <si>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</si>
  <si>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</si>
  <si>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</si>
  <si>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</si>
  <si>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</si>
  <si>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</si>
  <si>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</si>
  <si>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</si>
  <si>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</si>
  <si>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</si>
  <si>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</si>
  <si>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</si>
  <si>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</si>
  <si>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dB/100m</t>
  </si>
  <si>
    <t>Katalog s.17 Quick reference comparison, RG 58 C/U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</si>
  <si>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</si>
  <si>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</si>
  <si>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</si>
  <si>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</si>
  <si>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</si>
  <si>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</si>
  <si>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</si>
  <si>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</si>
  <si>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</si>
  <si>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</si>
  <si>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</si>
  <si>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</si>
  <si>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</si>
  <si>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</si>
  <si>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</si>
  <si>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</si>
  <si>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</si>
  <si>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</si>
  <si>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</si>
  <si>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</si>
  <si>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</si>
  <si>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</si>
  <si>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</si>
  <si>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</si>
  <si>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</si>
  <si>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</si>
  <si>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</si>
  <si>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Attenuation (typical) tablosu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</si>
  <si>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</si>
  <si>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</si>
  <si>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</si>
  <si>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</si>
  <si>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</si>
  <si>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</si>
  <si>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</si>
  <si>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</si>
  <si>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</si>
  <si>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Attenuation tablosu (+25°C), LMR195 sütunu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</si>
  <si>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</si>
  <si>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</si>
  <si>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</si>
  <si>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</si>
  <si>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</si>
  <si>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</si>
  <si>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</si>
  <si>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</si>
  <si>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</si>
  <si>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</si>
  <si>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</si>
  <si>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</si>
  <si>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</si>
  <si>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</si>
  <si>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</si>
  <si>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</si>
  <si>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</si>
  <si>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</si>
  <si>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</si>
  <si>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</si>
  <si>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</si>
  <si>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</si>
  <si>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</si>
  <si>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</si>
  <si>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</si>
  <si>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</si>
  <si>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</si>
  <si>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</si>
  <si>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</si>
  <si>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</si>
  <si>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</si>
  <si>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</si>
  <si>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Attenuation tablosu (+25°C), LMR200 sütunu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</si>
  <si>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</si>
  <si>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</si>
  <si>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</si>
  <si>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</si>
  <si>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</si>
  <si>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</si>
  <si>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</si>
  <si>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</si>
  <si>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</si>
  <si>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</si>
  <si>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RWC 200, katalog s.69, Zayıflama @20 °C max.</t>
  </si>
  <si>
    <t>Maksimum değer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</si>
  <si>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</si>
  <si>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</si>
  <si>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</si>
  <si>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</si>
  <si>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</si>
  <si>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</si>
  <si>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</si>
  <si>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</si>
  <si>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</si>
  <si>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</si>
  <si>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</si>
  <si>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Typ. attenuation (dB/100 m @ 20°C)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</si>
  <si>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</si>
  <si>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</si>
  <si>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</si>
  <si>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</si>
  <si>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</si>
  <si>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</si>
  <si>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</si>
  <si>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</si>
  <si>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</si>
  <si>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</si>
  <si>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</si>
  <si>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</si>
  <si>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</si>
  <si>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</si>
  <si>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</si>
  <si>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</si>
  <si>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</si>
  <si>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</si>
  <si>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</si>
  <si>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</si>
  <si>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ATTENUATION (20°C) tablosu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</si>
  <si>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</si>
  <si>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</si>
  <si>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</si>
  <si>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</si>
  <si>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</si>
  <si>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</si>
  <si>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</si>
  <si>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</si>
  <si>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</si>
  <si>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</si>
  <si>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</si>
  <si>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</si>
  <si>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</si>
  <si>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</si>
  <si>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</si>
  <si>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</si>
  <si>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</si>
  <si>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</si>
  <si>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</si>
  <si>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</si>
  <si>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</si>
  <si>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</si>
  <si>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</si>
  <si>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</si>
  <si>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</si>
  <si>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</si>
  <si>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</si>
  <si>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</si>
  <si>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</si>
  <si>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</si>
  <si>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</si>
  <si>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</si>
  <si>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</si>
  <si>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</si>
  <si>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</si>
  <si>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</si>
  <si>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</si>
  <si>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</si>
  <si>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</si>
  <si>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ATTENUATION (20°C) / POWER HANDLING (40°C)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</si>
  <si>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</si>
  <si>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</si>
  <si>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</si>
  <si>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</si>
  <si>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</si>
  <si>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</si>
  <si>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</si>
  <si>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</si>
  <si>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</si>
  <si>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</si>
  <si>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</si>
  <si>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</si>
  <si>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</si>
  <si>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</si>
  <si>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</si>
  <si>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</si>
  <si>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</si>
  <si>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</si>
  <si>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</si>
  <si>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</si>
  <si>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</si>
  <si>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Attenuation tablosu, LMR-240 sütunu</t>
  </si>
  <si>
    <t>A0230</t>
  </si>
  <si>
    <t>Performance by Frequency Band (Typ)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</si>
  <si>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</si>
  <si>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</si>
  <si>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</si>
  <si>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</si>
  <si>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</si>
  <si>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</si>
  <si>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</si>
  <si>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</si>
  <si>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</si>
  <si>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</si>
  <si>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</si>
  <si>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RWC 240, katalog s.70, Zayıflama @20 °C max.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</si>
  <si>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</si>
  <si>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</si>
  <si>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</si>
  <si>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</si>
  <si>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</si>
  <si>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</si>
  <si>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</si>
  <si>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</si>
  <si>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</si>
  <si>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</si>
  <si>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</si>
  <si>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RG 213 U, katalog s.68, Zayıflama @20 °C max.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</si>
  <si>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</si>
  <si>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</si>
  <si>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</si>
  <si>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</si>
  <si>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</si>
  <si>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</si>
  <si>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</si>
  <si>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</si>
  <si>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</si>
  <si>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</si>
  <si>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</si>
  <si>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</si>
  <si>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</si>
  <si>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</si>
  <si>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</si>
  <si>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</si>
  <si>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</si>
  <si>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</si>
  <si>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</si>
  <si>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</si>
  <si>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</si>
  <si>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</si>
  <si>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</si>
  <si>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</si>
  <si>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</si>
  <si>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</si>
  <si>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</si>
  <si>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</si>
  <si>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</si>
  <si>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Katalog s.17 Quick reference comparison, RG 213/U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</si>
  <si>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</si>
  <si>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</si>
  <si>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</si>
  <si>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</si>
  <si>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</si>
  <si>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</si>
  <si>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</si>
  <si>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</si>
  <si>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</si>
  <si>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</si>
  <si>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</si>
  <si>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</si>
  <si>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</si>
  <si>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</si>
  <si>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</si>
  <si>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</si>
  <si>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</si>
  <si>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</si>
  <si>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</si>
  <si>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</si>
  <si>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</si>
  <si>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</si>
  <si>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</si>
  <si>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</si>
  <si>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</si>
  <si>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</si>
  <si>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</si>
  <si>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</si>
  <si>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</si>
  <si>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Attenuation tablosu (+25°C), LMR300 sütunu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</si>
  <si>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</si>
  <si>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</si>
  <si>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</si>
  <si>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</si>
  <si>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</si>
  <si>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</si>
  <si>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</si>
  <si>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</si>
  <si>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</si>
  <si>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</si>
  <si>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Attenuation / Average Power tablosu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</si>
  <si>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</si>
  <si>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</si>
  <si>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</si>
  <si>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</si>
  <si>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</si>
  <si>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</si>
  <si>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</si>
  <si>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</si>
  <si>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</si>
  <si>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</si>
  <si>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</si>
  <si>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</si>
  <si>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</si>
  <si>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</si>
  <si>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</si>
  <si>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</si>
  <si>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</si>
  <si>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</si>
  <si>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</si>
  <si>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</si>
  <si>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</si>
  <si>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</si>
  <si>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</si>
  <si>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</si>
  <si>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</si>
  <si>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</si>
  <si>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</si>
  <si>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</si>
  <si>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</si>
  <si>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</si>
  <si>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</si>
  <si>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</si>
  <si>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</si>
  <si>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</si>
  <si>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</si>
  <si>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</si>
  <si>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</si>
  <si>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</si>
  <si>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</si>
  <si>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</si>
  <si>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</si>
  <si>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</si>
  <si>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</si>
  <si>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</si>
  <si>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</si>
  <si>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</si>
  <si>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</si>
  <si>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Attenuation @20°C / Power @40°C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</si>
  <si>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</si>
  <si>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</si>
  <si>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</si>
  <si>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</si>
  <si>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</si>
  <si>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</si>
  <si>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</si>
  <si>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</si>
  <si>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</si>
  <si>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</si>
  <si>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</si>
  <si>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</si>
  <si>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</si>
  <si>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</si>
  <si>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</si>
  <si>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</si>
  <si>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</si>
  <si>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</si>
  <si>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</si>
  <si>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</si>
  <si>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</si>
  <si>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</si>
  <si>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</si>
  <si>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</si>
  <si>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</si>
  <si>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</si>
  <si>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</si>
  <si>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</si>
  <si>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</si>
  <si>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</si>
  <si>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</si>
  <si>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</si>
  <si>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</si>
  <si>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</si>
  <si>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</si>
  <si>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</si>
  <si>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</si>
  <si>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</si>
  <si>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</si>
  <si>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</si>
  <si>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3.1 Electrical values - Maximum attenuation</t>
  </si>
  <si>
    <t>A0408</t>
  </si>
  <si>
    <t>A0409</t>
  </si>
  <si>
    <t>A0410</t>
  </si>
  <si>
    <t>A0411</t>
  </si>
  <si>
    <t>A0412</t>
  </si>
  <si>
    <t>Distribütör sayfası tablosu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</si>
  <si>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</si>
  <si>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</si>
  <si>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</si>
  <si>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</si>
  <si>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</si>
  <si>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</si>
  <si>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</si>
  <si>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</si>
  <si>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Attenuation and Power Rating (75 MHz satırı hatalı, alınmadı)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</si>
  <si>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</si>
  <si>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</si>
  <si>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</si>
  <si>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</si>
  <si>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</si>
  <si>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</si>
  <si>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</si>
  <si>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</si>
  <si>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</si>
  <si>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</si>
  <si>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</si>
  <si>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</si>
  <si>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</si>
  <si>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</si>
  <si>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</si>
  <si>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</si>
  <si>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</si>
  <si>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</si>
  <si>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</si>
  <si>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</si>
  <si>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</si>
  <si>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</si>
  <si>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</si>
  <si>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</si>
  <si>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</si>
  <si>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</si>
  <si>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</si>
  <si>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</si>
  <si>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</si>
  <si>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</si>
  <si>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</si>
  <si>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</si>
  <si>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</si>
  <si>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</si>
  <si>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</si>
  <si>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Typ. Dämpfung (dB/100 m @ 20°C)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</si>
  <si>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</si>
  <si>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</si>
  <si>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</si>
  <si>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</si>
  <si>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</si>
  <si>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</si>
  <si>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</si>
  <si>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</si>
  <si>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</si>
  <si>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</si>
  <si>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</si>
  <si>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</si>
  <si>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</si>
  <si>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</si>
  <si>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</si>
  <si>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</si>
  <si>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</si>
  <si>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</si>
  <si>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</si>
  <si>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</si>
  <si>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</si>
  <si>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</si>
  <si>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</si>
  <si>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</si>
  <si>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</si>
  <si>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</si>
  <si>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</si>
  <si>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</si>
  <si>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</si>
  <si>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</si>
  <si>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</si>
  <si>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</si>
  <si>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</si>
  <si>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</si>
  <si>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Katalog s.71, Zayıflama @20 °C max. (S012 satıcı sayfasıyla aynı)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</si>
  <si>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</si>
  <si>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</si>
  <si>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</si>
  <si>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</si>
  <si>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</si>
  <si>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</si>
  <si>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</si>
  <si>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</si>
  <si>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</si>
  <si>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</si>
  <si>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</si>
  <si>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Attenuation tablosu, LMR-400 sütunu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</si>
  <si>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</si>
  <si>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</si>
  <si>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</si>
  <si>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</si>
  <si>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</si>
  <si>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</si>
  <si>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</si>
  <si>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</si>
  <si>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</si>
  <si>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</si>
  <si>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</si>
  <si>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</si>
  <si>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</si>
  <si>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</si>
  <si>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</si>
  <si>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</si>
  <si>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</si>
  <si>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</si>
  <si>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</si>
  <si>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</si>
  <si>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</si>
  <si>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</si>
  <si>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</si>
  <si>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</si>
  <si>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</si>
  <si>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</si>
  <si>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</si>
  <si>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</si>
  <si>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</si>
  <si>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</si>
  <si>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</si>
  <si>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</si>
  <si>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</si>
  <si>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</si>
  <si>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</si>
  <si>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</si>
  <si>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</si>
  <si>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</si>
  <si>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</si>
  <si>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</si>
  <si>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</si>
  <si>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</si>
  <si>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</si>
  <si>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</si>
  <si>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</si>
  <si>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</si>
  <si>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</si>
  <si>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</si>
  <si>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</si>
  <si>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</si>
  <si>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</si>
  <si>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</si>
  <si>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</si>
  <si>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</si>
  <si>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</si>
  <si>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</si>
  <si>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</si>
  <si>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</si>
  <si>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</si>
  <si>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</si>
  <si>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Nominal attenuation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</si>
  <si>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</si>
  <si>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</si>
  <si>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</si>
  <si>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</si>
  <si>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</si>
  <si>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</si>
  <si>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</si>
  <si>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</si>
  <si>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</si>
  <si>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</si>
  <si>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</si>
  <si>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</si>
  <si>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</si>
  <si>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</si>
  <si>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</si>
  <si>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</si>
  <si>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</si>
  <si>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</si>
  <si>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</si>
  <si>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</si>
  <si>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</si>
  <si>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</si>
  <si>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</si>
  <si>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</si>
  <si>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Attenuation and Average Power Ratings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</si>
  <si>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</si>
  <si>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</si>
  <si>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</si>
  <si>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</si>
  <si>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</si>
  <si>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</si>
  <si>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</si>
  <si>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</si>
  <si>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</si>
  <si>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</si>
  <si>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</si>
  <si>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</si>
  <si>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</si>
  <si>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</si>
  <si>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</si>
  <si>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</si>
  <si>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</si>
  <si>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</si>
  <si>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</si>
  <si>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</si>
  <si>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</si>
  <si>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</si>
  <si>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</si>
  <si>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</si>
  <si>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</si>
  <si>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</si>
  <si>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</si>
  <si>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</si>
  <si>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</si>
  <si>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</si>
  <si>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</si>
  <si>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</si>
  <si>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</si>
  <si>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</si>
  <si>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</si>
  <si>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</si>
  <si>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</si>
  <si>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</si>
  <si>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</si>
  <si>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</si>
  <si>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</si>
  <si>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</si>
  <si>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</si>
  <si>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</si>
  <si>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</si>
  <si>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</si>
  <si>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</si>
  <si>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</si>
  <si>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</si>
  <si>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</si>
  <si>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</si>
  <si>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</si>
  <si>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</si>
  <si>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</si>
  <si>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</si>
  <si>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</si>
  <si>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</si>
  <si>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</si>
  <si>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</si>
  <si>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</si>
  <si>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</si>
  <si>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</si>
  <si>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</si>
  <si>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</si>
  <si>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</si>
  <si>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</si>
  <si>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</si>
  <si>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</si>
  <si>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</si>
  <si>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</si>
  <si>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</si>
  <si>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</si>
  <si>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</si>
  <si>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</si>
  <si>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</si>
  <si>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</si>
  <si>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</si>
  <si>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</si>
  <si>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</si>
  <si>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</si>
  <si>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</si>
  <si>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</si>
  <si>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ATTENUATION DB per 100 Metres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</si>
  <si>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</si>
  <si>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</si>
  <si>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</si>
  <si>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</si>
  <si>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</si>
  <si>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</si>
  <si>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</si>
  <si>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</si>
  <si>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</si>
  <si>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</si>
  <si>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</si>
  <si>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</si>
  <si>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</si>
  <si>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</si>
  <si>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</si>
  <si>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</si>
  <si>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</si>
  <si>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</si>
  <si>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</si>
  <si>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</si>
  <si>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</si>
  <si>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</si>
  <si>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</si>
  <si>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</si>
  <si>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</si>
  <si>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</si>
  <si>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</si>
  <si>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</si>
  <si>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</si>
  <si>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</si>
  <si>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</si>
  <si>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</si>
  <si>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</si>
  <si>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</si>
  <si>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</si>
  <si>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</si>
  <si>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</si>
  <si>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</si>
  <si>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</si>
  <si>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</si>
  <si>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</si>
  <si>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</si>
  <si>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</si>
  <si>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</si>
  <si>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</si>
  <si>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</si>
  <si>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</si>
  <si>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</si>
  <si>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</si>
  <si>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</si>
  <si>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</si>
  <si>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</si>
  <si>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</si>
  <si>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</si>
  <si>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</si>
  <si>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</si>
  <si>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</si>
  <si>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</si>
  <si>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</si>
  <si>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</si>
  <si>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</si>
  <si>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</si>
  <si>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</si>
  <si>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</si>
  <si>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</si>
  <si>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</si>
  <si>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</si>
  <si>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</si>
  <si>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</si>
  <si>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</si>
  <si>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</si>
  <si>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</si>
  <si>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</si>
  <si>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</si>
  <si>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</si>
  <si>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</si>
  <si>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</si>
  <si>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</si>
  <si>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</si>
  <si>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</si>
  <si>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</si>
  <si>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</si>
  <si>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</si>
  <si>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</si>
  <si>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</si>
  <si>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</si>
  <si>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</si>
  <si>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</si>
  <si>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</si>
  <si>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</si>
  <si>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</si>
  <si>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</si>
  <si>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</si>
  <si>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</si>
  <si>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</si>
  <si>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</si>
  <si>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</si>
  <si>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</si>
  <si>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</si>
  <si>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Attenuation tablosu (+25°C), LMR500 sütunu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</si>
  <si>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</si>
  <si>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</si>
  <si>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</si>
  <si>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</si>
  <si>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</si>
  <si>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</si>
  <si>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</si>
  <si>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</si>
  <si>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</si>
  <si>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</si>
  <si>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Attenuation (nom.)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</si>
  <si>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</si>
  <si>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</si>
  <si>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</si>
  <si>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</si>
  <si>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</si>
  <si>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</si>
  <si>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</si>
  <si>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</si>
  <si>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</si>
  <si>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Katalog s.17 Quick reference comparison, ULTRAFLEX 13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</si>
  <si>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</si>
  <si>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</si>
  <si>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</si>
  <si>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</si>
  <si>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</si>
  <si>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</si>
  <si>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</si>
  <si>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</si>
  <si>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</si>
  <si>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</si>
  <si>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</si>
  <si>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</si>
  <si>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</si>
  <si>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</si>
  <si>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</si>
  <si>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</si>
  <si>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</si>
  <si>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</si>
  <si>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</si>
  <si>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</si>
  <si>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</si>
  <si>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</si>
  <si>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</si>
  <si>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</si>
  <si>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</si>
  <si>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</si>
  <si>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</si>
  <si>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</si>
  <si>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</si>
  <si>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</si>
  <si>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</si>
  <si>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</si>
  <si>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</si>
  <si>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</si>
  <si>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</si>
  <si>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</si>
  <si>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</si>
  <si>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</si>
  <si>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</si>
  <si>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</si>
  <si>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</si>
  <si>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</si>
  <si>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</si>
  <si>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</si>
  <si>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</si>
  <si>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</si>
  <si>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</si>
  <si>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</si>
  <si>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</si>
  <si>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</si>
  <si>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</si>
  <si>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</si>
  <si>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</si>
  <si>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</si>
  <si>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</si>
  <si>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</si>
  <si>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</si>
  <si>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Attenuation tablosu (+25°C), LMR600 sütunu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</si>
  <si>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</si>
  <si>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</si>
  <si>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</si>
  <si>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</si>
  <si>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</si>
  <si>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</si>
  <si>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</si>
  <si>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</si>
  <si>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</si>
  <si>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</si>
  <si>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</si>
  <si>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</si>
  <si>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</si>
  <si>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</si>
  <si>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</si>
  <si>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</si>
  <si>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</si>
  <si>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</si>
  <si>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</si>
  <si>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</si>
  <si>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</si>
  <si>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</si>
  <si>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</si>
  <si>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</si>
  <si>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</si>
  <si>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</si>
  <si>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</si>
  <si>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</si>
  <si>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</si>
  <si>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</si>
  <si>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</si>
  <si>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</si>
  <si>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</si>
  <si>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</si>
  <si>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</si>
  <si>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</si>
  <si>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</si>
  <si>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</si>
  <si>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</si>
  <si>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</si>
  <si>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</si>
  <si>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</si>
  <si>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</si>
  <si>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</si>
  <si>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</si>
  <si>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</si>
  <si>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</si>
  <si>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</si>
  <si>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</si>
  <si>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</si>
  <si>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</si>
  <si>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</si>
  <si>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</si>
  <si>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</si>
  <si>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</si>
  <si>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</si>
  <si>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</si>
  <si>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</si>
  <si>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</si>
  <si>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</si>
  <si>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</si>
  <si>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</si>
  <si>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</si>
  <si>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</si>
  <si>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</si>
  <si>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</si>
  <si>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</si>
  <si>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</si>
  <si>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</si>
  <si>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</si>
  <si>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Attenuation tablosu (+25°C), LMR900 sütunu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</si>
  <si>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</si>
  <si>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</si>
  <si>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</si>
  <si>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</si>
  <si>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</si>
  <si>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</si>
  <si>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</si>
  <si>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</si>
  <si>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</si>
  <si>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</si>
  <si>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Attenuation tablosu (+25°C), LMR1200 sütunu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</si>
  <si>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</si>
  <si>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</si>
  <si>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</si>
  <si>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</si>
  <si>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</si>
  <si>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</si>
  <si>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</si>
  <si>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</si>
  <si>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</si>
  <si>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</si>
  <si>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</si>
  <si>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</si>
  <si>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</si>
  <si>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</si>
  <si>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</si>
  <si>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</si>
  <si>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</si>
  <si>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</si>
  <si>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</si>
  <si>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</si>
  <si>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</si>
  <si>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</si>
  <si>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</si>
  <si>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</si>
  <si>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</si>
  <si>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</si>
  <si>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</si>
  <si>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</si>
  <si>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</si>
  <si>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</si>
  <si>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</si>
  <si>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</si>
  <si>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</si>
  <si>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</si>
  <si>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</si>
  <si>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</si>
  <si>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</si>
  <si>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</si>
  <si>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</si>
  <si>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</si>
  <si>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</si>
  <si>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</si>
  <si>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</si>
  <si>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</si>
  <si>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</si>
  <si>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</si>
  <si>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</si>
  <si>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</si>
  <si>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</si>
  <si>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</si>
  <si>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</si>
  <si>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</si>
  <si>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</si>
  <si>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</si>
  <si>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Attenuation tablosu (+25°C), LMR1700 sütunu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</si>
  <si>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</si>
  <si>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</si>
  <si>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</si>
  <si>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</si>
  <si>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</si>
  <si>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</si>
  <si>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</si>
  <si>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</si>
  <si>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</si>
  <si>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</si>
  <si>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</si>
  <si>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</si>
  <si>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</si>
  <si>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</si>
  <si>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</si>
  <si>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</si>
  <si>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</si>
  <si>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</si>
  <si>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</si>
  <si>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</si>
  <si>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</si>
  <si>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</si>
  <si>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</si>
  <si>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</si>
  <si>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</si>
  <si>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</si>
  <si>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</si>
  <si>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</si>
  <si>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</si>
  <si>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</si>
  <si>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</si>
  <si>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</si>
  <si>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</si>
  <si>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</si>
  <si>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</si>
  <si>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</si>
  <si>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</si>
  <si>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</si>
  <si>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</si>
  <si>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</si>
  <si>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</si>
  <si>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</si>
  <si>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</si>
  <si>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</si>
  <si>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</si>
  <si>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</si>
  <si>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</si>
  <si>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</si>
  <si>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</si>
  <si>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</si>
  <si>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</si>
  <si>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</si>
  <si>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</si>
  <si>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</si>
  <si>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</si>
  <si>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</si>
  <si>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</si>
  <si>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</si>
  <si>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</si>
  <si>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</si>
  <si>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</si>
  <si>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</si>
  <si>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</si>
  <si>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</si>
  <si>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</si>
  <si>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</si>
  <si>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</si>
  <si>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</si>
  <si>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</si>
  <si>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</si>
  <si>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</si>
  <si>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</si>
  <si>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</si>
  <si>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</si>
  <si>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</si>
  <si>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</si>
  <si>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</si>
  <si>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</si>
  <si>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</si>
  <si>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</si>
  <si>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</si>
  <si>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</si>
  <si>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</si>
  <si>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</si>
  <si>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</si>
  <si>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</si>
  <si>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</si>
  <si>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</si>
  <si>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</si>
  <si>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High Frequency - Nom. Insertion Loss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</si>
  <si>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</si>
  <si>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</si>
  <si>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</si>
  <si>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</si>
  <si>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</si>
  <si>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</si>
  <si>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</si>
  <si>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</si>
  <si>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</si>
  <si>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</si>
  <si>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</si>
  <si>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</si>
  <si>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</si>
  <si>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</si>
  <si>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</si>
  <si>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</si>
  <si>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</si>
  <si>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</si>
  <si>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</si>
  <si>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</si>
  <si>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</si>
  <si>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</si>
  <si>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</si>
  <si>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</si>
  <si>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</si>
  <si>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</si>
  <si>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</si>
  <si>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</si>
  <si>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</si>
  <si>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</si>
  <si>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</si>
  <si>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</si>
  <si>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</si>
  <si>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</si>
  <si>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</si>
  <si>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</si>
  <si>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</si>
  <si>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</si>
  <si>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</si>
  <si>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</si>
  <si>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</si>
  <si>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</si>
  <si>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</si>
  <si>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</si>
  <si>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</si>
  <si>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</si>
  <si>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</si>
  <si>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</si>
  <si>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</si>
  <si>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</si>
  <si>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</si>
  <si>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</si>
  <si>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</si>
  <si>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</si>
  <si>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</si>
  <si>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</si>
  <si>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</si>
  <si>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</si>
  <si>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</si>
  <si>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</si>
  <si>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</si>
  <si>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</si>
  <si>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power_id</t>
  </si>
  <si>
    <t>ambient_temp_c</t>
  </si>
  <si>
    <t>power_w</t>
  </si>
  <si>
    <t>ln_p</t>
  </si>
  <si>
    <t>P0001</t>
  </si>
  <si>
    <t>W</t>
  </si>
  <si>
    <t>P0002</t>
  </si>
  <si>
    <t>P0003</t>
  </si>
  <si>
    <t>P0004</t>
  </si>
  <si>
    <t>P0005</t>
  </si>
  <si>
    <t>P0006</t>
  </si>
  <si>
    <t>P0007</t>
  </si>
  <si>
    <t>P0008</t>
  </si>
  <si>
    <t>Power Rating tablosu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</si>
  <si>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</si>
  <si>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</si>
  <si>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</si>
  <si>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</si>
  <si>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</si>
  <si>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</si>
  <si>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</si>
  <si>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</si>
  <si>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</si>
  <si>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kW</t>
  </si>
  <si>
    <t>Power Handling tablosu (+40°C)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</si>
  <si>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</si>
  <si>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</si>
  <si>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</si>
  <si>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</si>
  <si>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</si>
  <si>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</si>
  <si>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</si>
  <si>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</si>
  <si>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</si>
  <si>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</si>
  <si>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</si>
  <si>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</si>
  <si>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</si>
  <si>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</si>
  <si>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</si>
  <si>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</si>
  <si>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</si>
  <si>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</si>
  <si>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</si>
  <si>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</si>
  <si>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</si>
  <si>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</si>
  <si>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</si>
  <si>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</si>
  <si>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</si>
  <si>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</si>
  <si>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</si>
  <si>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</si>
  <si>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</si>
  <si>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</si>
  <si>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</si>
  <si>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</si>
  <si>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</si>
  <si>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</si>
  <si>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</si>
  <si>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</si>
  <si>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</si>
  <si>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</si>
  <si>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</si>
  <si>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</si>
  <si>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Max. power handling (W @ 40°C, VSWR 1.0)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</si>
  <si>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</si>
  <si>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</si>
  <si>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</si>
  <si>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</si>
  <si>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</si>
  <si>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</si>
  <si>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</si>
  <si>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</si>
  <si>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</si>
  <si>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</si>
  <si>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POWER HANDLING (40°C)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</si>
  <si>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</si>
  <si>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</si>
  <si>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</si>
  <si>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</si>
  <si>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</si>
  <si>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</si>
  <si>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</si>
  <si>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</si>
  <si>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</si>
  <si>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</si>
  <si>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</si>
  <si>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</si>
  <si>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</si>
  <si>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</si>
  <si>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</si>
  <si>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</si>
  <si>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</si>
  <si>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</si>
  <si>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</si>
  <si>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</si>
  <si>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</si>
  <si>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</si>
  <si>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</si>
  <si>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</si>
  <si>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</si>
  <si>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</si>
  <si>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</si>
  <si>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</si>
  <si>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</si>
  <si>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</si>
  <si>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</si>
  <si>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</si>
  <si>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</si>
  <si>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</si>
  <si>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</si>
  <si>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</si>
  <si>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</si>
  <si>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</si>
  <si>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</si>
  <si>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</si>
  <si>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</si>
  <si>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</si>
  <si>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Input Power (CW), Max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</si>
  <si>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</si>
  <si>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</si>
  <si>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</si>
  <si>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</si>
  <si>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</si>
  <si>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</si>
  <si>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</si>
  <si>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</si>
  <si>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</si>
  <si>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</si>
  <si>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</si>
  <si>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</si>
  <si>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</si>
  <si>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</si>
  <si>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</si>
  <si>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</si>
  <si>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</si>
  <si>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</si>
  <si>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</si>
  <si>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</si>
  <si>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</si>
  <si>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</si>
  <si>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</si>
  <si>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</si>
  <si>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</si>
  <si>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</si>
  <si>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</si>
  <si>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</si>
  <si>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Max. power handling (W @ 40°C)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</si>
  <si>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</si>
  <si>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</si>
  <si>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</si>
  <si>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</si>
  <si>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</si>
  <si>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</si>
  <si>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</si>
  <si>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</si>
  <si>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</si>
  <si>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</si>
  <si>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</si>
  <si>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</si>
  <si>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</si>
  <si>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</si>
  <si>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</si>
  <si>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</si>
  <si>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</si>
  <si>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</si>
  <si>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</si>
  <si>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</si>
  <si>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</si>
  <si>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</si>
  <si>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</si>
  <si>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</si>
  <si>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</si>
  <si>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</si>
  <si>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</si>
  <si>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</si>
  <si>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</si>
  <si>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</si>
  <si>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</si>
  <si>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</si>
  <si>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</si>
  <si>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</si>
  <si>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</si>
  <si>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</si>
  <si>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</si>
  <si>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</si>
  <si>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</si>
  <si>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</si>
  <si>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</si>
  <si>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</si>
  <si>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</si>
  <si>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</si>
  <si>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</si>
  <si>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</si>
  <si>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</si>
  <si>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</si>
  <si>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</si>
  <si>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</si>
  <si>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</si>
  <si>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</si>
  <si>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</si>
  <si>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</si>
  <si>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</si>
  <si>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</si>
  <si>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</si>
  <si>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</si>
  <si>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</si>
  <si>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</si>
  <si>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</si>
  <si>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</si>
  <si>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</si>
  <si>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</si>
  <si>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</si>
  <si>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</si>
  <si>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</si>
  <si>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</si>
  <si>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</si>
  <si>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</si>
  <si>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</si>
  <si>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</si>
  <si>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</si>
  <si>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</si>
  <si>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</si>
  <si>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</si>
  <si>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</si>
  <si>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</si>
  <si>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</si>
  <si>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</si>
  <si>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</si>
  <si>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</si>
  <si>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</si>
  <si>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</si>
  <si>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</si>
  <si>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</si>
  <si>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</si>
  <si>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</si>
  <si>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</si>
  <si>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</si>
  <si>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</si>
  <si>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</si>
  <si>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</si>
  <si>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</si>
  <si>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</si>
  <si>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</si>
  <si>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</si>
  <si>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</si>
  <si>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</si>
  <si>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</si>
  <si>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</si>
  <si>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</si>
  <si>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</si>
  <si>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</si>
  <si>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</si>
  <si>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</si>
  <si>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</si>
  <si>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</si>
  <si>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</si>
  <si>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</si>
  <si>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</si>
  <si>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</si>
  <si>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</si>
  <si>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</si>
  <si>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</si>
  <si>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</si>
  <si>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</si>
  <si>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</si>
  <si>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</si>
  <si>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</si>
  <si>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</si>
  <si>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</si>
  <si>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</si>
  <si>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</si>
  <si>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</si>
  <si>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</si>
  <si>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</si>
  <si>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</si>
  <si>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</si>
  <si>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</si>
  <si>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</si>
  <si>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</si>
  <si>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</si>
  <si>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</si>
  <si>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</si>
  <si>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</si>
  <si>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Max. Belastbarkeit (W @ 40°C)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</si>
  <si>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</si>
  <si>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</si>
  <si>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</si>
  <si>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</si>
  <si>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</si>
  <si>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</si>
  <si>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</si>
  <si>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</si>
  <si>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</si>
  <si>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Power In (CW), Max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</si>
  <si>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</si>
  <si>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</si>
  <si>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</si>
  <si>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</si>
  <si>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</si>
  <si>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</si>
  <si>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</si>
  <si>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</si>
  <si>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</si>
  <si>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</si>
  <si>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</si>
  <si>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</si>
  <si>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</si>
  <si>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</si>
  <si>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</si>
  <si>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</si>
  <si>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</si>
  <si>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</si>
  <si>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</si>
  <si>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</si>
  <si>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</si>
  <si>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</si>
  <si>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</si>
  <si>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</si>
  <si>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</si>
  <si>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</si>
  <si>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</si>
  <si>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</si>
  <si>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</si>
  <si>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</si>
  <si>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</si>
  <si>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</si>
  <si>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</si>
  <si>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</si>
  <si>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</si>
  <si>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</si>
  <si>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</si>
  <si>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</si>
  <si>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</si>
  <si>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</si>
  <si>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</si>
  <si>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</si>
  <si>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</si>
  <si>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</si>
  <si>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</si>
  <si>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</si>
  <si>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</si>
  <si>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</si>
  <si>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</si>
  <si>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</si>
  <si>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</si>
  <si>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</si>
  <si>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</si>
  <si>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</si>
  <si>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</si>
  <si>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</si>
  <si>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</si>
  <si>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Power rating (40 °C, IEC 96)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</si>
  <si>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</si>
  <si>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</si>
  <si>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</si>
  <si>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</si>
  <si>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</si>
  <si>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</si>
  <si>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</si>
  <si>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</si>
  <si>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</si>
  <si>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</si>
  <si>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</si>
  <si>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</si>
  <si>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</si>
  <si>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</si>
  <si>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</si>
  <si>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</si>
  <si>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</si>
  <si>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</si>
  <si>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</si>
  <si>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</si>
  <si>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</si>
  <si>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</si>
  <si>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</si>
  <si>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</si>
  <si>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</si>
  <si>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</si>
  <si>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</si>
  <si>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</si>
  <si>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</si>
  <si>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</si>
  <si>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</si>
  <si>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</si>
  <si>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</si>
  <si>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</si>
  <si>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</si>
  <si>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</si>
  <si>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</si>
  <si>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</si>
  <si>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</si>
  <si>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</si>
  <si>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</si>
  <si>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</si>
  <si>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</si>
  <si>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</si>
  <si>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</si>
  <si>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</si>
  <si>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</si>
  <si>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</si>
  <si>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</si>
  <si>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</si>
  <si>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</si>
  <si>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</si>
  <si>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</si>
  <si>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</si>
  <si>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</si>
  <si>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</si>
  <si>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</si>
  <si>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</si>
  <si>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</si>
  <si>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</si>
  <si>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</si>
  <si>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</si>
  <si>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</si>
  <si>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</si>
  <si>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</si>
  <si>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</si>
  <si>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</si>
  <si>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</si>
  <si>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</si>
  <si>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</si>
  <si>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</si>
  <si>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</si>
  <si>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</si>
  <si>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</si>
  <si>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</si>
  <si>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</si>
  <si>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</si>
  <si>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</si>
  <si>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</si>
  <si>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</si>
  <si>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</si>
  <si>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</si>
  <si>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</si>
  <si>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</si>
  <si>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</si>
  <si>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</si>
  <si>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</si>
  <si>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</si>
  <si>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</si>
  <si>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</si>
  <si>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</si>
  <si>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</si>
  <si>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</si>
  <si>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</si>
  <si>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</si>
  <si>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</si>
  <si>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</si>
  <si>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</si>
  <si>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</si>
  <si>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</si>
  <si>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</si>
  <si>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</si>
  <si>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</si>
  <si>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</si>
  <si>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</si>
  <si>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</si>
  <si>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</si>
  <si>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</si>
  <si>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</si>
  <si>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</si>
  <si>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</si>
  <si>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</si>
  <si>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</si>
  <si>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</si>
  <si>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</si>
  <si>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</si>
  <si>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</si>
  <si>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</si>
  <si>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</si>
  <si>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</si>
  <si>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</si>
  <si>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</si>
  <si>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</si>
  <si>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</si>
  <si>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</si>
  <si>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</si>
  <si>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</si>
  <si>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</si>
  <si>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</si>
  <si>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</si>
  <si>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</si>
  <si>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</si>
  <si>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</si>
  <si>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</si>
  <si>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</si>
  <si>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</si>
  <si>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</si>
  <si>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</si>
  <si>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</si>
  <si>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</si>
  <si>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</si>
  <si>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</si>
  <si>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</si>
  <si>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</si>
  <si>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</si>
  <si>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</si>
  <si>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</si>
  <si>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</si>
  <si>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</si>
  <si>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</si>
  <si>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</si>
  <si>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</si>
  <si>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</si>
  <si>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</si>
  <si>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</si>
  <si>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</si>
  <si>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</si>
  <si>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</si>
  <si>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</si>
  <si>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</si>
  <si>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</si>
  <si>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</si>
  <si>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</si>
  <si>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</si>
  <si>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</si>
  <si>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</si>
  <si>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</si>
  <si>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</si>
  <si>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</si>
  <si>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</si>
  <si>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</si>
  <si>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</si>
  <si>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</si>
  <si>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</si>
  <si>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</si>
  <si>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</si>
  <si>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</si>
  <si>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</si>
  <si>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</si>
  <si>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</si>
  <si>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</si>
  <si>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</si>
  <si>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</si>
  <si>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</si>
  <si>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</si>
  <si>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</si>
  <si>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</si>
  <si>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</si>
  <si>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</si>
  <si>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</si>
  <si>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</si>
  <si>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</si>
  <si>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</si>
  <si>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</si>
  <si>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</si>
  <si>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</si>
  <si>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</si>
  <si>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</si>
  <si>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</si>
  <si>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</si>
  <si>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</si>
  <si>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</si>
  <si>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</si>
  <si>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</si>
  <si>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</si>
  <si>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</si>
  <si>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</si>
  <si>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</si>
  <si>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</si>
  <si>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</si>
  <si>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</si>
  <si>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</si>
  <si>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</si>
  <si>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</si>
  <si>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</si>
  <si>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</si>
  <si>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</si>
  <si>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</si>
  <si>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</si>
  <si>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</si>
  <si>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</si>
  <si>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</si>
  <si>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</si>
  <si>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</si>
  <si>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</si>
  <si>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</si>
  <si>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Attenuation tablosu - Average Power (40°C ortam)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</si>
  <si>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</si>
  <si>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</si>
  <si>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</si>
  <si>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</si>
  <si>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</si>
  <si>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</si>
  <si>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</si>
  <si>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</si>
  <si>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</si>
  <si>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</si>
  <si>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</si>
  <si>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</si>
  <si>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</si>
  <si>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</si>
  <si>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</si>
  <si>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</si>
  <si>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</si>
  <si>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</si>
  <si>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</si>
  <si>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</si>
  <si>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</si>
  <si>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</si>
  <si>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</si>
  <si>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</si>
  <si>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</si>
  <si>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</si>
  <si>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</si>
  <si>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</si>
  <si>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</si>
  <si>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</si>
  <si>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</si>
  <si>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</si>
  <si>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</si>
  <si>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</si>
  <si>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</si>
  <si>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</si>
  <si>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</si>
  <si>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</si>
  <si>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</si>
  <si>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</si>
  <si>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</si>
  <si>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</si>
  <si>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</si>
  <si>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</si>
  <si>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</si>
  <si>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</si>
  <si>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</si>
  <si>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</si>
  <si>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</si>
  <si>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</si>
  <si>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</si>
  <si>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</si>
  <si>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</si>
  <si>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</si>
  <si>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</si>
  <si>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</si>
  <si>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</si>
  <si>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</si>
  <si>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</si>
  <si>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</si>
  <si>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</si>
  <si>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</si>
  <si>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</si>
  <si>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</si>
  <si>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</si>
  <si>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</si>
  <si>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</si>
  <si>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</si>
  <si>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</si>
  <si>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</si>
  <si>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</si>
  <si>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</si>
  <si>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</si>
  <si>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</si>
  <si>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</si>
  <si>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</si>
  <si>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</si>
  <si>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</si>
  <si>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</si>
  <si>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</si>
  <si>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</si>
  <si>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</si>
  <si>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</si>
  <si>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</si>
  <si>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</si>
  <si>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</si>
  <si>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</si>
  <si>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</si>
  <si>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</si>
  <si>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</si>
  <si>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</si>
  <si>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</si>
  <si>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</si>
  <si>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</si>
  <si>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</si>
  <si>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</si>
  <si>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</si>
  <si>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</si>
  <si>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</si>
  <si>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</si>
  <si>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</si>
  <si>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</si>
  <si>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</si>
  <si>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</si>
  <si>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</si>
  <si>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</si>
  <si>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</si>
  <si>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</si>
  <si>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</si>
  <si>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</si>
  <si>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</si>
  <si>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</si>
  <si>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</si>
  <si>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</si>
  <si>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</si>
  <si>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</si>
  <si>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</si>
  <si>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</si>
  <si>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</si>
  <si>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</si>
  <si>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</si>
  <si>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</si>
  <si>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</si>
  <si>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</si>
  <si>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</si>
  <si>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</si>
  <si>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</si>
  <si>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</si>
  <si>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</si>
  <si>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</si>
  <si>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</si>
  <si>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</si>
  <si>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</si>
  <si>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</si>
  <si>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</si>
  <si>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</si>
  <si>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</si>
  <si>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</si>
  <si>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</si>
  <si>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</si>
  <si>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</si>
  <si>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</si>
  <si>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</si>
  <si>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</si>
  <si>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</si>
  <si>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</si>
  <si>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</si>
  <si>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</si>
  <si>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</si>
  <si>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</si>
  <si>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</si>
  <si>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</si>
  <si>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</si>
  <si>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</si>
  <si>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</si>
  <si>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</si>
  <si>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</si>
  <si>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</si>
  <si>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</si>
  <si>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</si>
  <si>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</si>
  <si>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</si>
  <si>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</si>
  <si>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</si>
  <si>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</si>
  <si>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</si>
  <si>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</si>
  <si>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</si>
  <si>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</si>
  <si>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</si>
  <si>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</si>
  <si>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</si>
  <si>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</si>
  <si>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</si>
  <si>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</si>
  <si>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</si>
  <si>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</si>
  <si>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</si>
  <si>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</si>
  <si>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</si>
  <si>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</si>
  <si>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</si>
  <si>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</si>
  <si>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</si>
  <si>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</si>
  <si>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</si>
  <si>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</si>
  <si>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</si>
  <si>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</si>
  <si>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</si>
  <si>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</si>
  <si>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</si>
  <si>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</si>
  <si>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</si>
  <si>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</si>
  <si>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</si>
  <si>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</si>
  <si>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</si>
  <si>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</si>
  <si>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</si>
  <si>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</si>
  <si>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</si>
  <si>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</si>
  <si>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</si>
  <si>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</si>
  <si>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</si>
  <si>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</si>
  <si>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</si>
  <si>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</si>
  <si>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</si>
  <si>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publisher</t>
  </si>
  <si>
    <t>document_title</t>
  </si>
  <si>
    <t>revision</t>
  </si>
  <si>
    <t>document_date</t>
  </si>
  <si>
    <t>host</t>
  </si>
  <si>
    <t>url</t>
  </si>
  <si>
    <t>accessed</t>
  </si>
  <si>
    <t>local_file</t>
  </si>
  <si>
    <t>S000</t>
  </si>
  <si>
    <t>TA3HRJ</t>
  </si>
  <si>
    <t>50 ohm Cable - Nominal attenuation of 30.5 metres (100ft)</t>
  </si>
  <si>
    <t>-</t>
  </si>
  <si>
    <t>Kullanıcı</t>
  </si>
  <si>
    <t>2026-10-08</t>
  </si>
  <si>
    <t>data/legacy/TA3HRJ - Coaxial_Cable_Attenuation_Chart.xlsx</t>
  </si>
  <si>
    <t>Orijinal elle derlenmiş tablo. Bant aralığı sütunları (ör. 148-174 MHz) tek frekansa bağlı değil.</t>
  </si>
  <si>
    <t>Communications Coax Selection Guide (katalog s.202-203)</t>
  </si>
  <si>
    <t>LMR serisi</t>
  </si>
  <si>
    <t>2007-2008 (PDF tarihi)</t>
  </si>
  <si>
    <t>Distribütör kopyası (RF Parts)</t>
  </si>
  <si>
    <t>https://www.rfparts.com/old_site/pdf_docs/LMR/Coax_Selection_Guide.pdf</t>
  </si>
  <si>
    <t>kaynaklar/S001_TimesMicrowave_Coax_Selection_Guide.pdf</t>
  </si>
  <si>
    <t>LMR k1/k2 katsayıları (dB/100ft, f MHz, +25°C) bu belgeden. Tablodaki rakip kablo verileri 'Competitor's data as published', * işaretliler tahmini.</t>
  </si>
  <si>
    <t>LMR-400 Low Loss Flexible Coax Cable Data Sheet</t>
  </si>
  <si>
    <t>REV 1.3</t>
  </si>
  <si>
    <t>2020 (PDF 2023-09-29)</t>
  </si>
  <si>
    <t>Distribütör kopyası (Fairview Microwave)</t>
  </si>
  <si>
    <t>https://www.fairviewmicrowave.com/images/productPDF/LMR-400.pdf</t>
  </si>
  <si>
    <t>kaynaklar/S002_TimesMicrowave_LMR-400_Fairview.pdf</t>
  </si>
  <si>
    <t>timesmicrowave.com doğrudan erişime 403 döndü; Fairview kopyası kullanıldı.</t>
  </si>
  <si>
    <t>LMR-240 Low Loss Flexible Coax Cable Data Sheet</t>
  </si>
  <si>
    <t>2023 (PDF 2024-06-27)</t>
  </si>
  <si>
    <t>https://www.fairviewmicrowave.com/images/productPDF/LMR-240.pdf</t>
  </si>
  <si>
    <t>kaynaklar/S003_TimesMicrowave_LMR-240_Fairview.pdf</t>
  </si>
  <si>
    <t>Product: 8259 Technical Data</t>
  </si>
  <si>
    <t>0.533</t>
  </si>
  <si>
    <t>2026-02-20</t>
  </si>
  <si>
    <t>Üretici</t>
  </si>
  <si>
    <t>https://catalog.belden.com/techdata/EN/8259_techdata.pdf</t>
  </si>
  <si>
    <t>kaynaklar/S004_Belden_8259.pdf</t>
  </si>
  <si>
    <t>Product: 8267 Technical Data</t>
  </si>
  <si>
    <t>0.599</t>
  </si>
  <si>
    <t>https://catalog.belden.com/techdata/EN/8267_techdata.pdf</t>
  </si>
  <si>
    <t>kaynaklar/S005_Belden_8267.pdf</t>
  </si>
  <si>
    <t>Product: 8216 Technical Data</t>
  </si>
  <si>
    <t>0.540</t>
  </si>
  <si>
    <t>https://catalog.belden.com/techdata/EN/8216_techdata.pdf</t>
  </si>
  <si>
    <t>kaynaklar/S006_Belden_8216.pdf</t>
  </si>
  <si>
    <t>Product: 9258 Technical Data</t>
  </si>
  <si>
    <t>0.514</t>
  </si>
  <si>
    <t>https://catalog.belden.com/techdata/EN/9258_techdata.pdf</t>
  </si>
  <si>
    <t>kaynaklar/S007_Belden_9258.pdf</t>
  </si>
  <si>
    <t>Product: H155A01 Technical Data</t>
  </si>
  <si>
    <t>0.213</t>
  </si>
  <si>
    <t>https://catalog.belden.com/techdata/EN/H155A01_techdata.pdf</t>
  </si>
  <si>
    <t>kaynaklar/S008_Belden_H155A01.pdf</t>
  </si>
  <si>
    <t>PE kılıflı H155 (siyah). PVC kılıflı kardeşi H155A00.</t>
  </si>
  <si>
    <t>Hyperflex 10 - Full Datasheet ENG</t>
  </si>
  <si>
    <t>2021-02-08 (PDF tarihi)</t>
  </si>
  <si>
    <t>https://messi.it/dati/layout/files/CartellaElementi/Hyperflex 10 - Full Datasheet ENG.pdf</t>
  </si>
  <si>
    <t>kaynaklar/S009_MessiPaoloni_Hyperflex10.pdf</t>
  </si>
  <si>
    <t>RigExpert'te barındırılan 2024 kopyasında güç değerleri farklı (1.8 MHz'de 5581 W, tepe 10 kW); hangisinin güncel olduğu doğrulanamadı. 8000/9000 MHz değerleri PDF metninde iç içe geçmiş; 44.2 ve 47.5 dB/100m olarak çözümlendi.</t>
  </si>
  <si>
    <t>Airborne 5 - Full Datasheet ENG</t>
  </si>
  <si>
    <t>2026-03-03 (PDF tarihi)</t>
  </si>
  <si>
    <t>https://messi.it/dati/layout/files/CartellaElementi/Airborne 5 - Full Datasheet ENG.pdf</t>
  </si>
  <si>
    <t>kaynaklar/S010_MessiPaoloni_Airborne5.pdf</t>
  </si>
  <si>
    <t>Örgü (braid) kaplama oranı PDF metninden okunamadı.</t>
  </si>
  <si>
    <t>LDF4-50A HELIAX Low Density Foam Coaxial Cable - Product Specifications</t>
  </si>
  <si>
    <t>Revised June 12, 2020</t>
  </si>
  <si>
    <t>2020-06-12</t>
  </si>
  <si>
    <t>Distribütör kopyası (Tempest NS)</t>
  </si>
  <si>
    <t>https://www.tempestns.com/wp-content/uploads/2020/06/Commscope-LDF4-50A-data.pdf</t>
  </si>
  <si>
    <t>kaynaklar/S011_CommScope_LDF4-50A.pdf</t>
  </si>
  <si>
    <t>commscope.com üzerindeki 115611 numaralı resmî bağlantı 404 döndü.</t>
  </si>
  <si>
    <t>S012</t>
  </si>
  <si>
    <t>Konnektör Sepeti (satıcı)</t>
  </si>
  <si>
    <t>N erkek - N erkek Koaksiyel Kablo LMR400/RWC400 - ürün sayfası</t>
  </si>
  <si>
    <t>RWC400PE (stok kodu AUNN-155-RWC400)</t>
  </si>
  <si>
    <t>Satıcı ürün sayfası</t>
  </si>
  <si>
    <t>https://www.konnektorsepeti.com/hazir-kablo/n-n-kablo/n-erkek-n-erkek-koaksiyel-kablo-lmr400-rwc400</t>
  </si>
  <si>
    <t>2026-10-09</t>
  </si>
  <si>
    <t>kaynaklar/S012_KonnektorSepeti_RWC400PE.txt</t>
  </si>
  <si>
    <t>Hazır N-N kablo ürün sayfası. Kablo üreticisi sayfada yazmıyor; teknik metin Reçber RWC 400 katalog sayfasıyla (S013) neredeyse birebir aynı. Farklar: empedans toleransı ±2 Ω (katalog ±3 Ω), korozif gaz standardı EN 50267-2-1/2 (katalog EN 60754-1/2). Sayfa metni 2026-10-09 tarihinde arşivlendi.</t>
  </si>
  <si>
    <t>Reçber Kablo Ürün Kataloğu - Koaksiyel Kablolar, RWC 400 (katalog s.71)</t>
  </si>
  <si>
    <t>RWC 400 PE (ürün kodu 305064)</t>
  </si>
  <si>
    <t>2017-04-10 (PDF tarihi)</t>
  </si>
  <si>
    <t>Distribütör kopyası (Trimegs)</t>
  </si>
  <si>
    <t>https://www.trimegs.com/image/catalog/catalog-documents/recber-kablo-urun-katalogu.pdf</t>
  </si>
  <si>
    <t>kaynaklar/S013_Recber_Kablo_Urun_Katalogu.pdf</t>
  </si>
  <si>
    <t>222 sayfalık katalog; RWC 200 (s.69), RWC 240 (s.70), RWC 400 (s.71), RG 213 U (s.68). Zayıflama değerleri MAKSİMUM (20 °C). Kullanıcı satıcı stok kodundan (AUNN-155-RWC400) bu kataloğa ulaştı.</t>
  </si>
  <si>
    <t>Product: 83265 Technical Data</t>
  </si>
  <si>
    <t>0.506</t>
  </si>
  <si>
    <t>https://catalog.belden.com/techdata/EN/83265_techdata.pdf</t>
  </si>
  <si>
    <t>kaynaklar/S014_Belden_83265.pdf</t>
  </si>
  <si>
    <t>Product: 84316 Technical Data</t>
  </si>
  <si>
    <t>0.507</t>
  </si>
  <si>
    <t>https://catalog.belden.com/techdata/EN/84316_techdata.pdf</t>
  </si>
  <si>
    <t>kaynaklar/S015_Belden_84316.pdf</t>
  </si>
  <si>
    <t>Product: 83269 Technical Data</t>
  </si>
  <si>
    <t>0.509</t>
  </si>
  <si>
    <t>https://catalog.belden.com/techdata/EN/83269_techdata.pdf</t>
  </si>
  <si>
    <t>kaynaklar/S016_Belden_83269.pdf</t>
  </si>
  <si>
    <t>Product: 9273 Technical Data</t>
  </si>
  <si>
    <t>0.522</t>
  </si>
  <si>
    <t>https://catalog.belden.com/techdata/EN/9273_techdata.pdf</t>
  </si>
  <si>
    <t>kaynaklar/S017_Belden_9273.pdf</t>
  </si>
  <si>
    <t>Product: 83242 Technical Data</t>
  </si>
  <si>
    <t>0.515</t>
  </si>
  <si>
    <t>https://catalog.belden.com/techdata/EN/83242_techdata.pdf</t>
  </si>
  <si>
    <t>kaynaklar/S018_Belden_83242.pdf</t>
  </si>
  <si>
    <t>400 MHz değeri (6.9 dB/100ft) komşularına göre düşük (200 MHz 5.6, 700 MHz 10.7); datasheet hatası olabilir - QA'da işaretli.</t>
  </si>
  <si>
    <t>Harbour Industries (Marmon A&amp;D)</t>
  </si>
  <si>
    <t>M17/128-RG400 ürün sayfası</t>
  </si>
  <si>
    <t>Üretici web sayfası</t>
  </si>
  <si>
    <t>https://marmon-ad.com/products/wire-cable/rf-cable/m17-series/m17-128-rg400</t>
  </si>
  <si>
    <t>kaynaklar/S019_Harbour_M17-128-RG400_Marmon.txt</t>
  </si>
  <si>
    <t>Tipik zayıflama değerleri. Sayfa metni arşivlendi.</t>
  </si>
  <si>
    <t>Product: 8219 Technical Data</t>
  </si>
  <si>
    <t>0.534</t>
  </si>
  <si>
    <t>https://catalog.belden.com/techdata/EN/8219_techdata.pdf</t>
  </si>
  <si>
    <t>kaynaklar/S020_Belden_8219.pdf</t>
  </si>
  <si>
    <t>Datasheet başlığı 50 Ω, nominal karakteristik empedans 54 Ω.</t>
  </si>
  <si>
    <t>Product: 9269 Technical Data</t>
  </si>
  <si>
    <t>0.488</t>
  </si>
  <si>
    <t>https://catalog.belden.com/techdata/EN/9269_techdata.pdf</t>
  </si>
  <si>
    <t>kaynaklar/S021_Belden_9269.pdf</t>
  </si>
  <si>
    <t>Product: 8268 Technical Data</t>
  </si>
  <si>
    <t>0.489</t>
  </si>
  <si>
    <t>https://catalog.belden.com/techdata/EN/8268_techdata.pdf</t>
  </si>
  <si>
    <t>kaynaklar/S022_Belden_8268.pdf</t>
  </si>
  <si>
    <t>Hyperflex 5 - Full Datasheet ENG</t>
  </si>
  <si>
    <t>2021-02-03 (PDF tarihi)</t>
  </si>
  <si>
    <t>https://messi.it/dati/layout/files/CartellaElementi/Hyperflex 5 - Full Datasheet ENG.pdf</t>
  </si>
  <si>
    <t>kaynaklar/S023_MessiPaoloni_Hyperflex5.pdf</t>
  </si>
  <si>
    <t>Ultraflex 7 - Full Datasheet ENG</t>
  </si>
  <si>
    <t>https://messi.it/dati/layout/files/CartellaElementi/Ultraflex 7 - Full Datasheet ENG.pdf</t>
  </si>
  <si>
    <t>kaynaklar/S024_MessiPaoloni_Ultraflex7.pdf</t>
  </si>
  <si>
    <t>Ultraflex 10 - Full Datasheet ENG</t>
  </si>
  <si>
    <t>https://messi.it/dati/layout/files/CartellaElementi/Ultraflex 10 - Full Datasheet ENG.pdf</t>
  </si>
  <si>
    <t>kaynaklar/S025_MessiPaoloni_Ultraflex10.pdf</t>
  </si>
  <si>
    <t>7000/8000 MHz satırları PDF metninde iç içe; 50.2 ve 55.8 dB/100m olarak çözümlendi (dB/100ft sütunu 15.3 / 17.0 ile tutarlı).</t>
  </si>
  <si>
    <t>Airborne 10 - Full Datasheet ENG</t>
  </si>
  <si>
    <t>https://messi.it/dati/layout/files/CartellaElementi/Airborne 10 - Full Datasheet ENG.pdf</t>
  </si>
  <si>
    <t>kaynaklar/S026_MessiPaoloni_Airborne10.pdf</t>
  </si>
  <si>
    <t>Hyperflex 13 - Full Datasheet ENG</t>
  </si>
  <si>
    <t>2023-06-15 (PDF tarihi)</t>
  </si>
  <si>
    <t>https://messi.it/dati/layout/files/CartellaElementi/Hyperflex 13 - Full Datasheet ENG.pdf</t>
  </si>
  <si>
    <t>kaynaklar/S027_MessiPaoloni_Hyperflex13.pdf</t>
  </si>
  <si>
    <t>50 Ohm Coaxial Cables &amp; Connectors Catalog 2022 (s.17 karşılaştırma tablosu)</t>
  </si>
  <si>
    <t>Ultraflex 13, RG 58 C/U, RG 213/U</t>
  </si>
  <si>
    <t>2022</t>
  </si>
  <si>
    <t>https://messi.it/dati/layout/files/cartellaelementi/50-ohm-coaxial-cables-connectors-catalog-2022-min.pdf</t>
  </si>
  <si>
    <t>kaynaklar/S028_MessiPaoloni_Catalog_2022.pdf</t>
  </si>
  <si>
    <t>Ultraflex 13 datasheet bağlantısı 404 verdi; değerler katalogdaki karşılaştırma tablosundan (10-8000 MHz).</t>
  </si>
  <si>
    <t>SCF14-50J 1/4" CELLFLEX Superflexible Product Datasheet</t>
  </si>
  <si>
    <t>REV A (13 Dec 2021)</t>
  </si>
  <si>
    <t>2021-12-13</t>
  </si>
  <si>
    <t>Distribütör kopyası (SSB)</t>
  </si>
  <si>
    <t>https://www.ssb.de/media/scf14-50j.pdf</t>
  </si>
  <si>
    <t>kaynaklar/S029_RFS_SCF14-50J.pdf</t>
  </si>
  <si>
    <t>SCF38-50J 3/8" CELLFLEX Superflexible Product Datasheet</t>
  </si>
  <si>
    <t>REV A (08 Jan 2026)</t>
  </si>
  <si>
    <t>2026-01-08</t>
  </si>
  <si>
    <t>https://www.rfsworld.com/pim/product/pdf/SCF38-50J</t>
  </si>
  <si>
    <t>kaynaklar/S030_RFS_SCF38-50J.pdf</t>
  </si>
  <si>
    <t>75 MHz satırı hatalı (6.63 dB/100m, 100 MHz'teki 4.21'den büyük ve aynı satırdaki 1.10 dB/100ft ile çelişiyor) - alınmadı.</t>
  </si>
  <si>
    <t>Andrew / CommScope</t>
  </si>
  <si>
    <t>FSJ1-50A Product Specifications</t>
  </si>
  <si>
    <t>2007 dönemi</t>
  </si>
  <si>
    <t>https://www.rfparts.com/old_site/pdf_docs/AndrewHeliax/FSJ1-50A.pdf</t>
  </si>
  <si>
    <t>kaynaklar/S031_Andrew_FSJ1-50A.pdf</t>
  </si>
  <si>
    <t>Kapasite '7940 pF/m' yazılmış; 24 pF/ft = 79 pF/m olmalı.</t>
  </si>
  <si>
    <t>FSJ2-50 Product Specification</t>
  </si>
  <si>
    <t>2002-12-03</t>
  </si>
  <si>
    <t>https://www.rfparts.com/old_site/pdf_docs/AndrewHeliax/FSJ2-50.pdf</t>
  </si>
  <si>
    <t>kaynaklar/S032_Andrew_FSJ2-50.pdf</t>
  </si>
  <si>
    <t>FSJ4-50B Product Specification</t>
  </si>
  <si>
    <t>2004-06-30</t>
  </si>
  <si>
    <t>https://www.rfparts.com/old_site/pdf_docs/AndrewHeliax/FSJ4-50B.pdf</t>
  </si>
  <si>
    <t>kaynaklar/S033_Andrew_FSJ4-50B.pdf</t>
  </si>
  <si>
    <t>LDF2-50 Product Specifications</t>
  </si>
  <si>
    <t>2007-05-21</t>
  </si>
  <si>
    <t>https://www.rfparts.com/old_site/pdf_docs/AndrewHeliax/LDF2-50.pdf</t>
  </si>
  <si>
    <t>kaynaklar/S034_Andrew_LDF2-50.pdf</t>
  </si>
  <si>
    <t>Kapasite '7546 pF/m' yazılmış; 23 pF/ft = 75.5 pF/m olmalı.</t>
  </si>
  <si>
    <t>LDF5-50A Product Specification</t>
  </si>
  <si>
    <t>Topluluk arşivi (repeater-builder.com)</t>
  </si>
  <si>
    <t>https://www.repeater-builder.com/antenna/andrew/andrew-ldf5-50a-spec-sheet.pdf</t>
  </si>
  <si>
    <t>kaynaklar/S035_Andrew_LDF5-50A.pdf</t>
  </si>
  <si>
    <t>commscope.com bağlantıları 404 verdi.</t>
  </si>
  <si>
    <t>LDF6-50 Product Specification</t>
  </si>
  <si>
    <t>2004-10-27</t>
  </si>
  <si>
    <t>https://www.rfparts.com/old_site/pdf_docs/AndrewHeliax/LDF6-50.pdf</t>
  </si>
  <si>
    <t>kaynaklar/S036_Andrew_LDF6-50.pdf</t>
  </si>
  <si>
    <t>LDF7-50A Product Specification</t>
  </si>
  <si>
    <t>2003-03-26</t>
  </si>
  <si>
    <t>https://www.repeater-builder.com/antenna/andrew/andrew-ldf7-50a-spec-sheet.pdf</t>
  </si>
  <si>
    <t>kaynaklar/S037_Andrew_LDF7-50A.pdf</t>
  </si>
  <si>
    <t>Product: 9914 Technical Data</t>
  </si>
  <si>
    <t>0.536</t>
  </si>
  <si>
    <t>https://catalog.belden.com/techdata/EN/9914_techdata.pdf</t>
  </si>
  <si>
    <t>kaynaklar/S038_Belden_9914.pdf</t>
  </si>
  <si>
    <t>Product: H1000C1 Technical Data</t>
  </si>
  <si>
    <t>0.202</t>
  </si>
  <si>
    <t>https://catalog.belden.com/techdata/EN/H1000C1_techdata.pdf</t>
  </si>
  <si>
    <t>kaynaklar/S039_Belden_H1000C1.pdf</t>
  </si>
  <si>
    <t>Maksimum zayıflama nominalin %10 üstü.</t>
  </si>
  <si>
    <t>BURY-FLEX ürün sayfası</t>
  </si>
  <si>
    <t>Distribütör web sayfası (RF Parts)</t>
  </si>
  <si>
    <t>https://www.rfparts.com/coax/coax-other/buryflex.html</t>
  </si>
  <si>
    <t>kaynaklar/S040_DavisRF_BuryFlex_RFParts.txt</t>
  </si>
  <si>
    <t>Üretici datasheet'i bulunamadı; distribütör sayfası metni arşivlendi.</t>
  </si>
  <si>
    <t>Product Specification 1301-TZC 500 32 Uen</t>
  </si>
  <si>
    <t>Rev K</t>
  </si>
  <si>
    <t>2006-02-17</t>
  </si>
  <si>
    <t>Distribütör kopyası (Selteq)</t>
  </si>
  <si>
    <t>https://selteq.com.ua/ru/wp-content/uploads/2022/04/TZC_500_32.pdf</t>
  </si>
  <si>
    <t>kaynaklar/S041_Ericsson_TZC50032.pdf</t>
  </si>
  <si>
    <t>Zayıflama değerleri MAKSİMUM.</t>
  </si>
  <si>
    <t>Belirtilmemiş (işaret: 'HOMO ANTENNIUS 10D-FBS')</t>
  </si>
  <si>
    <t>10D-FB numune spesifikasyonu</t>
  </si>
  <si>
    <t>2020-03-17</t>
  </si>
  <si>
    <t>Satıcı kopyası (insales.ru)</t>
  </si>
  <si>
    <t>https://static-sl.insales.ru/files/1/3139/14543939/original/10D-FB_PEEG_PE.pdf</t>
  </si>
  <si>
    <t>kaynaklar/S042_10D-FB_spec_2020.pdf</t>
  </si>
  <si>
    <t>10D-FB bir Japon boyut tanımıdır (JIS), tek üreticisi yok. Kaynaklar arasında iletken malzemesi farklı (bakır / CCA) - değerler tipe özgü değil, bu numuneye ait.</t>
  </si>
  <si>
    <t>Product: 83264 Technical Data</t>
  </si>
  <si>
    <t>https://catalog.belden.com/techdata/EN/83264_techdata.pdf</t>
  </si>
  <si>
    <t>kaynaklar/S043_Belden_83264.pdf</t>
  </si>
  <si>
    <t>Product: 8263 Technical Data</t>
  </si>
  <si>
    <t>https://catalog.belden.com/techdata/EN/8263_techdata.pdf</t>
  </si>
  <si>
    <t>kaynaklar/S044_Belden_8263.pdf</t>
  </si>
  <si>
    <t>Eski Belden datasheet biçimi.</t>
  </si>
  <si>
    <t>Product: 1694A Technical Data</t>
  </si>
  <si>
    <t>0.716</t>
  </si>
  <si>
    <t>2026-05-27</t>
  </si>
  <si>
    <t>https://catalog.belden.com/techdata/EN/1694A_techdata.pdf</t>
  </si>
  <si>
    <t>kaynaklar/S045_Belden_1694A.pdf</t>
  </si>
  <si>
    <t>Product: 9292 Technical Data</t>
  </si>
  <si>
    <t>0.422</t>
  </si>
  <si>
    <t>https://catalog.belden.com/techdata/EN/9292_techdata.pdf</t>
  </si>
  <si>
    <t>kaynaklar/S046_Belden_9292.pdf</t>
  </si>
  <si>
    <t>Product: 8261 Technical Data</t>
  </si>
  <si>
    <t>0.410</t>
  </si>
  <si>
    <t>https://catalog.belden.com/techdata/EN/8261_techdata.pdf</t>
  </si>
  <si>
    <t>kaynaklar/S047_Belden_8261.pdf</t>
  </si>
  <si>
    <t>Ecoflex 10 Datenblatt (Technische Daten)</t>
  </si>
  <si>
    <t>2009-08-04 (PDF tarihi)</t>
  </si>
  <si>
    <t>Distribütör kopyası (Conrad)</t>
  </si>
  <si>
    <t>https://asset.conrad.com/media10/add/160267/c1/-/de/000604979DS01/datasheet-604979-ssb-6085-coax-outside-diameter-1020-mm-ecoflex-10-50-90-db-black-sold-per-metre.pdf</t>
  </si>
  <si>
    <t>kaynaklar/S048_SSB_Ecoflex10.pdf</t>
  </si>
  <si>
    <t>Almanca. Güncel SSB/WiMo değerleri bu belgedekilerin yaklaşık 0.95 katı (ör. 144 MHz 4.9 -&gt; 4.66, 1296 MHz 16.5 -&gt; 15.68 dB/100m); SSB'nin güncel ürün sayfası erişilemedi, tam tablo ve güç verisi içeren bu datasheet kullanıldı.</t>
  </si>
  <si>
    <t>Aircell 7 (katalog sayfası, 2010)</t>
  </si>
  <si>
    <t>2010-11-22 (PDF tarihi)</t>
  </si>
  <si>
    <t>Topluluk arşivi (rigpix.com)</t>
  </si>
  <si>
    <t>https://www.rigpix.com/otherusefulinfo/coax/aircell7.pdf</t>
  </si>
  <si>
    <t>kaynaklar/S049_SSB_Aircell7.pdf</t>
  </si>
  <si>
    <t>Güncel SSB/WiMo değerleri bu belgedekilerin yaklaşık 0.95 katı (ör. 144 MHz 7.6 -&gt; 7.22, 1 GHz 21.52 -&gt; 20.44 dB/100m); SSB'nin güncel ürün sayfası erişilemedi, tam tablo ve güç verisi içeren bu datasheet kullanıldı.</t>
  </si>
  <si>
    <t>Ecoflex 15 (katalog sayfası, 2010)</t>
  </si>
  <si>
    <t>https://www.rigpix.com/otherusefulinfo/coax/ecoflex15.pdf</t>
  </si>
  <si>
    <t>kaynaklar/S050_SSB_Ecoflex15.pdf</t>
  </si>
  <si>
    <t>Güncel WiMo değerleri (144 MHz 3.40, 1296 MHz 11.40 dB/100m) bu belgeyle aynı.</t>
  </si>
  <si>
    <t>Aircell 5 (katalog sayfası, 2010)</t>
  </si>
  <si>
    <t>https://www.rigpix.com/otherusefulinfo/coax/aircell5.pdf</t>
  </si>
  <si>
    <t>kaynaklar/S051_SSB_Aircell5.pdf</t>
  </si>
  <si>
    <t>Güncel SSB/WiMo değerleri bu belgedekilerin yaklaşık 0.95 katı (ör. 1 GHz 31.09 -&gt; 29.54, 144 MHz 11.33 -&gt; 10.7 dB/100m); tam tablo ve güç verisi içeren bu belge kullanıldı.</t>
  </si>
  <si>
    <t>Westflex (Henry Westlake)</t>
  </si>
  <si>
    <t>WESTFLEX 103 Low Loss 50 Ohm Coaxial Cable - Technical Specification</t>
  </si>
  <si>
    <t>2007-11-25 (PDF tarihi, değişiklik 2010-10-28)</t>
  </si>
  <si>
    <t>Distribütör kopyası (Freebytes)</t>
  </si>
  <si>
    <t>https://www.freebytes.com/catalog/images/cables/westflex103/w103-data.pdf</t>
  </si>
  <si>
    <t>kaynaklar/S052_Westflex103.pdf</t>
  </si>
  <si>
    <t>PDF yazarı Henry Westlake (Westflex). Bazı satıcılar farklı veri veriyor: 9 mm, 1000 MHz'te 16.8 dB/100m (Moonraker) veya 18.0 dB/100m, VF 0.81 (Alltrade) - farklı üretim partisi/sürüm olabilir. Tablodaki 50-144 MHz değerleri birbiriyle tutarsız (QA).</t>
  </si>
  <si>
    <t>Belden (veri: Dansk Mikrobølge Teknik)</t>
  </si>
  <si>
    <t>H2000-Flex - Kabel data for H 2000 Flex</t>
  </si>
  <si>
    <t>2004-08-19 (PDF tarihi)</t>
  </si>
  <si>
    <t>Distribütör veri sayfası, topluluk arşivi (on4kst.com)</t>
  </si>
  <si>
    <t>http://www.on4kst.com/10el50/H2000.pdf</t>
  </si>
  <si>
    <t>kaynaklar/S053_Belden_H2000Flex_DMT.pdf</t>
  </si>
  <si>
    <t>Belden'in güncel kataloğunda H2000 Flex bulunamadı; Belden 2006 tarihli föyüne (YE00115) erişilemedi. Değerler satıcı sayfalarıyla tutarlı (PCS: 50 MHz 2.7, 100 MHz 3.9; koax24: 10 MHz 1.2, 100 MHz 3.8 dB/100m).</t>
  </si>
  <si>
    <t>legacy_key</t>
  </si>
  <si>
    <t>legacy_sheet</t>
  </si>
  <si>
    <t>legacy_row</t>
  </si>
  <si>
    <t>legacy_name</t>
  </si>
  <si>
    <t>z0_old</t>
  </si>
  <si>
    <t>od_old_mm</t>
  </si>
  <si>
    <t>match_type</t>
  </si>
  <si>
    <t>status</t>
  </si>
  <si>
    <t>z0_new</t>
  </si>
  <si>
    <t>od_new_mm</t>
  </si>
  <si>
    <t>S1-R05</t>
  </si>
  <si>
    <t>Sayfa1 (2)</t>
  </si>
  <si>
    <t>RG178 B/U</t>
  </si>
  <si>
    <t>Eşdeğer tip</t>
  </si>
  <si>
    <t>Doğrulandı</t>
  </si>
  <si>
    <t>S1-R06</t>
  </si>
  <si>
    <t>RG174/U</t>
  </si>
  <si>
    <t>Belden 8216 RG-174 tipi.</t>
  </si>
  <si>
    <t>S1-R07</t>
  </si>
  <si>
    <t>RG316</t>
  </si>
  <si>
    <t>S1-R08</t>
  </si>
  <si>
    <t>RG188 A/U</t>
  </si>
  <si>
    <t>S1-R09</t>
  </si>
  <si>
    <t>RG58C/U</t>
  </si>
  <si>
    <t>Belden 8259 RG-58 tipi; RG-58C/U MIL tanımından farklı olabilir.</t>
  </si>
  <si>
    <t>S1-R10</t>
  </si>
  <si>
    <t>RG58 Messi and Paoloni</t>
  </si>
  <si>
    <t>Birebir</t>
  </si>
  <si>
    <t>S1-R11</t>
  </si>
  <si>
    <t>RG223/U</t>
  </si>
  <si>
    <t>S1-R12</t>
  </si>
  <si>
    <t>RG58 CELLFOAM™</t>
  </si>
  <si>
    <t>'Cellfoam' adlı bir üretici ürünü bulunamadı; köpük dielektrikli RG-58 (Belden 8219) ile karşılaştırıldı.</t>
  </si>
  <si>
    <t>S1-R13</t>
  </si>
  <si>
    <t>RG400/U</t>
  </si>
  <si>
    <t>S1-R14</t>
  </si>
  <si>
    <t>RG142B/U Flexible</t>
  </si>
  <si>
    <t>S1-R15</t>
  </si>
  <si>
    <t>RG8X Belden</t>
  </si>
  <si>
    <t>S1-R16</t>
  </si>
  <si>
    <t>RG8X (RG-8/U-Mini)</t>
  </si>
  <si>
    <t>960 MHz (8.8) -&gt; 1.2 GHz (15.9) geçişi fiziksel olarak tutarsız (%25 frekans artışına %80 kayıp artışı).</t>
  </si>
  <si>
    <t>S1-R17</t>
  </si>
  <si>
    <t>RG58 CellFoil® RFI (9006)</t>
  </si>
  <si>
    <t>Kaynak bulunamadı</t>
  </si>
  <si>
    <t>Kaynak bulunamadı: 'RG58 CellFoil (9006)' için hiçbir üretici/datasheet zayıflama verisi yayımlamıyor (yalnızca bir satıcının SKU'su).</t>
  </si>
  <si>
    <t>S1-R18</t>
  </si>
  <si>
    <t>LMR195-LMR200</t>
  </si>
  <si>
    <t>Satır LMR-195 ve LMR-200'ü birlikte veriyor; LMR-195 ile karşılaştırıldı, LMR-200 de ayrıca eklendi.</t>
  </si>
  <si>
    <t>S1-R19</t>
  </si>
  <si>
    <t>Belden H155</t>
  </si>
  <si>
    <t>PE kılıflı sürüm ile karşılaştırıldı.</t>
  </si>
  <si>
    <t>S1-R20</t>
  </si>
  <si>
    <t>AIRBORNE 5™ Messi and Paoloni</t>
  </si>
  <si>
    <t>S1-R21</t>
  </si>
  <si>
    <t>RG62A/U</t>
  </si>
  <si>
    <t>RG-62A/U standart olarak 93 Ω'dur; tabloda 50 Ω yazıyor - doğrulanmalı.</t>
  </si>
  <si>
    <t>S1-R22</t>
  </si>
  <si>
    <t>LMR240 (TWB2401)</t>
  </si>
  <si>
    <t>S1-R23</t>
  </si>
  <si>
    <t>RG213/214</t>
  </si>
  <si>
    <t>Satır 25/26 (RG213/U, RG214/U) ile tekrar.</t>
  </si>
  <si>
    <t>S1-R24</t>
  </si>
  <si>
    <t>HYPERFLEX 5™ Messi and Paoloni</t>
  </si>
  <si>
    <t>S1-R25</t>
  </si>
  <si>
    <t>RG213/U</t>
  </si>
  <si>
    <t>S1-R26</t>
  </si>
  <si>
    <t>RG214/U</t>
  </si>
  <si>
    <t>RG-214/U çift gümüş kaplı örgülüdür; RG-213 ile aynı kayıp kabul edilmemeli.</t>
  </si>
  <si>
    <t>S1-R27</t>
  </si>
  <si>
    <t>RG213/U Messi and Paoloni</t>
  </si>
  <si>
    <t>S1-R28</t>
  </si>
  <si>
    <t>1/4" Superflex (CELLFLEX SCF14-50J)</t>
  </si>
  <si>
    <t>S1-R29</t>
  </si>
  <si>
    <t>ULTRAFLEX 7™ Messi and Paoloni</t>
  </si>
  <si>
    <t>S1-R30</t>
  </si>
  <si>
    <t>3/8" RF9914</t>
  </si>
  <si>
    <t>'RF9914' Belden 9914 muadili kabul edildi; 9914 10.2 mm RG-8 boyutundadır, 3/8" değil.</t>
  </si>
  <si>
    <t>S1-R31</t>
  </si>
  <si>
    <t>3/8" Belden H1000</t>
  </si>
  <si>
    <t>H1000 10.3 mm RG-8 boyutundadır, 3/8" değil.</t>
  </si>
  <si>
    <t>S1-R32</t>
  </si>
  <si>
    <t>RG8 Type (Ericsson TZC 500)</t>
  </si>
  <si>
    <t>Satır 35 ile aynı ad, farklı çap (10.16 / 10.9 mm) ve farklı değerler - tekrar.</t>
  </si>
  <si>
    <t>S1-R33</t>
  </si>
  <si>
    <t>3/8" BURY-FLEX™ Davis RF</t>
  </si>
  <si>
    <t>S1-R34</t>
  </si>
  <si>
    <t>RG213 FOAM</t>
  </si>
  <si>
    <t>'RG213 FOAM' için tek bir ürün yok; köpük dielektrikli RG-8 boyutu (Belden 9914) ile karşılaştırıldı.</t>
  </si>
  <si>
    <t>S1-R35</t>
  </si>
  <si>
    <t>Satır 32 ile aynı ad - tekrar.</t>
  </si>
  <si>
    <t>S1-R36</t>
  </si>
  <si>
    <t>3/8" Superflex (FSJ2-50) (CELLFLEX SCF38-50J)</t>
  </si>
  <si>
    <t>RFS SCF38-50J de ayrıca eklendi.</t>
  </si>
  <si>
    <t>S1-R37</t>
  </si>
  <si>
    <t>ULTRAFLEX 10™ Messi and Paoloni</t>
  </si>
  <si>
    <t>S1-R38</t>
  </si>
  <si>
    <t>LMR400</t>
  </si>
  <si>
    <t>S1-R39</t>
  </si>
  <si>
    <t>1/4" HELIAX® (FSJ1-50A)</t>
  </si>
  <si>
    <t>Eski değerler FSJ1-50A'dan %26-40 düşük; 3/8" FSJ2-50 ile neredeyse birebir örtüşüyor - satıra büyük olasılıkla FSJ2-50 verisi girilmiş.</t>
  </si>
  <si>
    <t>S1-R40</t>
  </si>
  <si>
    <t>HYPERFLEX 10™ Messi and Paoloni</t>
  </si>
  <si>
    <t>S1-R41</t>
  </si>
  <si>
    <t>AIRBORNE 10™ Messi and Paoloni</t>
  </si>
  <si>
    <t>S1-R42</t>
  </si>
  <si>
    <t>1/2" Superflex (FSJ4-50B HELIAX®)</t>
  </si>
  <si>
    <t>S1-R43</t>
  </si>
  <si>
    <t>1/2" 10D-FB Type</t>
  </si>
  <si>
    <t>S1-R44</t>
  </si>
  <si>
    <t>3/8" LDF</t>
  </si>
  <si>
    <t>Eski çap 12.7 mm; LDF2-50 dış çapı 11.2 mm.</t>
  </si>
  <si>
    <t>S1-R45</t>
  </si>
  <si>
    <t>3/8" HELIAX®</t>
  </si>
  <si>
    <t>3/8" HELIAX = LDF2-50; satır 44 ile aynı kablo.</t>
  </si>
  <si>
    <t>S1-R46</t>
  </si>
  <si>
    <t>ULTRAFLEX 13™ Messi and Paoloni</t>
  </si>
  <si>
    <t>S1-R47</t>
  </si>
  <si>
    <t>LMR500</t>
  </si>
  <si>
    <t>S1-R48</t>
  </si>
  <si>
    <t>HYPERFLEX 13™ Messi and Paoloni</t>
  </si>
  <si>
    <t>S1-R49</t>
  </si>
  <si>
    <t>LMR600</t>
  </si>
  <si>
    <t>S1-R50</t>
  </si>
  <si>
    <t>1/2" HELIAX®</t>
  </si>
  <si>
    <t>LDF4-50A zaten 1/2" HELIAX; satır 51 ile aynı kablo. Eski çap 16 mm, datasheet 15.875 mm.</t>
  </si>
  <si>
    <t>S1-R51</t>
  </si>
  <si>
    <t>1/2" LDF</t>
  </si>
  <si>
    <t>Eski çap 13.6 mm; datasheet dış çap 15.875 mm (13.97 mm oluklu bakır dış iletken).</t>
  </si>
  <si>
    <t>S1-R52</t>
  </si>
  <si>
    <t>LMR900</t>
  </si>
  <si>
    <t>S1-R53</t>
  </si>
  <si>
    <t>7/8" HELIAX®</t>
  </si>
  <si>
    <t>7/8" HELIAX = LDF5-50A; satır 55 ile aynı kablo.</t>
  </si>
  <si>
    <t>S1-R54</t>
  </si>
  <si>
    <t>LMR1200</t>
  </si>
  <si>
    <t>S1-R55</t>
  </si>
  <si>
    <t>7/8" LDF</t>
  </si>
  <si>
    <t>S1-R56</t>
  </si>
  <si>
    <t>1 1/4" LDF</t>
  </si>
  <si>
    <t>S1-R57</t>
  </si>
  <si>
    <t>1 1/4" HELIAX®</t>
  </si>
  <si>
    <t>1-1/4" HELIAX = LDF6-50; satır 56 ile aynı kablo.</t>
  </si>
  <si>
    <t>S1-R58</t>
  </si>
  <si>
    <t>1 5/8" LDF</t>
  </si>
  <si>
    <t>S1-R59</t>
  </si>
  <si>
    <t>1 5/8" HELIAX®</t>
  </si>
  <si>
    <t>1-5/8" HELIAX = LDF7-50A; satır 58 ile aynı kablo.</t>
  </si>
  <si>
    <t>S2-R02</t>
  </si>
  <si>
    <t>Sayfa2</t>
  </si>
  <si>
    <t>RG179</t>
  </si>
  <si>
    <t>75 Ω tablo: başlık yok, değerler bir sütun kaymış varsayıldı (E=çap, F=1-10 MHz, ...).</t>
  </si>
  <si>
    <t>S2-R03</t>
  </si>
  <si>
    <t>RG59B/U</t>
  </si>
  <si>
    <t>S2-R04</t>
  </si>
  <si>
    <t>RG6 *75</t>
  </si>
  <si>
    <t>Eski satırda değerler frekansla azalıyor (1.45 -&gt; 1.4); ilk sütun muhtemelen hatalı. 75 Ω tablo: başlık yok, değerler bir sütun kaymış varsayıldı (E=çap, F=1-10 MHz, ...).</t>
  </si>
  <si>
    <t>S2-R05</t>
  </si>
  <si>
    <t>RG11/U</t>
  </si>
  <si>
    <t>Eski değerler dolu PE RG-11/U'ya (Belden 8261) uyuyor; köpük PE RG-11 (Belden 9292) ayrıca eklendi ve daha düşük kayıplıdır. 75 Ω tablo: başlık yok, değerler bir sütun kaymış varsayıldı (E=çap, F=1-10 MHz, ...).</t>
  </si>
  <si>
    <t>S2-R06</t>
  </si>
  <si>
    <t>RG58 - RG58A - RG58B</t>
  </si>
  <si>
    <t>Eşlendi (eski veri yok)</t>
  </si>
  <si>
    <t>Satırda zayıflama değeri yok; Z0 53.5 Ω yazılmış (RG-58 ailesi 50-53.5 Ω). 75 Ω tablo: başlık yok, değerler bir sütun kaymış varsayıldı (E=çap, F=1-10 MHz, ...).</t>
  </si>
  <si>
    <t>band</t>
  </si>
  <si>
    <t>f_lo_mhz</t>
  </si>
  <si>
    <t>f_hi_mhz</t>
  </si>
  <si>
    <t>old_db_100ft</t>
  </si>
  <si>
    <t>new_lo_db_100ft</t>
  </si>
  <si>
    <t>new_hi_db_100ft</t>
  </si>
  <si>
    <t>70-100 MHz</t>
  </si>
  <si>
    <t>148-174 MHz</t>
  </si>
  <si>
    <t>400-520 MHz</t>
  </si>
  <si>
    <t>700-960 MHz</t>
  </si>
  <si>
    <t>1-10 MHz</t>
  </si>
  <si>
    <t>30-50 MHz</t>
  </si>
  <si>
    <t>220 MHz</t>
  </si>
  <si>
    <t>1.2 GHz</t>
  </si>
  <si>
    <t>2.4 GHz</t>
  </si>
  <si>
    <t>5.8 GHz</t>
  </si>
  <si>
    <t>table</t>
  </si>
  <si>
    <t>column</t>
  </si>
  <si>
    <t>description_tr</t>
  </si>
  <si>
    <t>kind</t>
  </si>
  <si>
    <t>Cables</t>
  </si>
  <si>
    <t>Benzersiz kablo kimliği (ÜRETİCİ-PARÇA)</t>
  </si>
  <si>
    <t>girdi</t>
  </si>
  <si>
    <t>Görünen ad</t>
  </si>
  <si>
    <t>Üretici parça numarası</t>
  </si>
  <si>
    <t>Tip / aile (RG eşdeğeri vb.)</t>
  </si>
  <si>
    <t>Karakteristik empedans</t>
  </si>
  <si>
    <t>Ω</t>
  </si>
  <si>
    <t>Empedans toleransı (±)</t>
  </si>
  <si>
    <t>Dış çap (kılıf üzeri)</t>
  </si>
  <si>
    <t>mm</t>
  </si>
  <si>
    <t>İç iletken malzemesi</t>
  </si>
  <si>
    <t>İç iletken yapısı</t>
  </si>
  <si>
    <t>İç iletken çapı</t>
  </si>
  <si>
    <t>Dielektrik malzemesi</t>
  </si>
  <si>
    <t>Dielektrik çapı</t>
  </si>
  <si>
    <t>Ekran yapısı</t>
  </si>
  <si>
    <t>Örgü kaplama oranı</t>
  </si>
  <si>
    <t>%</t>
  </si>
  <si>
    <t>Dış kılıf</t>
  </si>
  <si>
    <t>Hız faktörü (VF)</t>
  </si>
  <si>
    <t>Kapasitans</t>
  </si>
  <si>
    <t>pF/m</t>
  </si>
  <si>
    <t>Endüktans</t>
  </si>
  <si>
    <t>µH/m</t>
  </si>
  <si>
    <t>İç iletken DC direnci</t>
  </si>
  <si>
    <t>Ω/km</t>
  </si>
  <si>
    <t>Dış iletken (ekran) DC direnci</t>
  </si>
  <si>
    <t>Ekranlama etkinliği (min.)</t>
  </si>
  <si>
    <t>dB</t>
  </si>
  <si>
    <t>Üreticinin belirttiği maks. frekans</t>
  </si>
  <si>
    <t>MHz</t>
  </si>
  <si>
    <t>Tepe güç</t>
  </si>
  <si>
    <t>V</t>
  </si>
  <si>
    <t>Gerilim değerinin türü</t>
  </si>
  <si>
    <t>Min. bükülme yarıçapı - tek/kurulum</t>
  </si>
  <si>
    <t>Min. bükülme yarıçapı - tekrarlı</t>
  </si>
  <si>
    <t>Ağırlık</t>
  </si>
  <si>
    <t>kg/km</t>
  </si>
  <si>
    <t>Maks. çekme kuvveti</t>
  </si>
  <si>
    <t>kg</t>
  </si>
  <si>
    <t>Çalışma sıcaklığı min.</t>
  </si>
  <si>
    <t>°C</t>
  </si>
  <si>
    <t>Çalışma sıcaklığı maks.</t>
  </si>
  <si>
    <t>Dış mekan / UV dayanımı</t>
  </si>
  <si>
    <t>Toprağa doğrudan gömme</t>
  </si>
  <si>
    <t>Yangın sınıfı / onaylar</t>
  </si>
  <si>
    <t>Üreticinin listelediği konnektör aileleri</t>
  </si>
  <si>
    <t>Üreticinin yayımladığı k1 (α=k1·√f+k2·f, dB/100ft)</t>
  </si>
  <si>
    <t>Üreticinin yayımladığı k2</t>
  </si>
  <si>
    <t>Ana kaynak</t>
  </si>
  <si>
    <t>Notlar</t>
  </si>
  <si>
    <t>Attenuation sayfasında ilk nokta satırı (formül)</t>
  </si>
  <si>
    <t>formül</t>
  </si>
  <si>
    <t>Zayıflama noktası sayısı (formül)</t>
  </si>
  <si>
    <t>Datasheet verisinin en düşük frekansı (formül)</t>
  </si>
  <si>
    <t>Datasheet verisinin en yüksek frekansı (formül)</t>
  </si>
  <si>
    <t>QA modeli sabit terim (α=k0+k1·√f+k2·f, dB/100m)</t>
  </si>
  <si>
    <t>QA modeli k1</t>
  </si>
  <si>
    <t>QA modeli k2</t>
  </si>
  <si>
    <t>QA modeli ile datasheet arası RMS sapma</t>
  </si>
  <si>
    <t>Power sayfasında ilk nokta satırı (formül)</t>
  </si>
  <si>
    <t>Güç noktası sayısı (formül)</t>
  </si>
  <si>
    <t>Attenuation</t>
  </si>
  <si>
    <t>Nokta kimliği</t>
  </si>
  <si>
    <t>Cables.cable_id</t>
  </si>
  <si>
    <t>Frekans</t>
  </si>
  <si>
    <t>Datasheet'te yazan değer (olduğu gibi)</t>
  </si>
  <si>
    <t>unit sütunu</t>
  </si>
  <si>
    <t>Değerin birimi: dB/100m veya dB/100ft</t>
  </si>
  <si>
    <t>Ölçüm/spesifikasyon sıcaklığı (belirtilmişse)</t>
  </si>
  <si>
    <t>Sources.source_id</t>
  </si>
  <si>
    <t>Belgedeki yer (tablo/sayfa)</t>
  </si>
  <si>
    <t>Zayıflama, dB/100 m'ye çevrilmiş</t>
  </si>
  <si>
    <t>ln(f) - interpolasyon yardımcı</t>
  </si>
  <si>
    <t>ln(α) - interpolasyon yardımcı</t>
  </si>
  <si>
    <t>QA regresyonu yardımcı: 1/α</t>
  </si>
  <si>
    <t>QA regresyonu yardımcı: √f/α</t>
  </si>
  <si>
    <t>QA regresyonu yardımcı: f/α</t>
  </si>
  <si>
    <t>QA regresyonu yardımcı: 1</t>
  </si>
  <si>
    <t>QA modeli k0+k1√f+k2f değeri</t>
  </si>
  <si>
    <t>Model / datasheet - 1 (veri girişi kontrolü)</t>
  </si>
  <si>
    <t>dev_pct²</t>
  </si>
  <si>
    <t>Satırlar kablo bazında gruplu ve frekansa göre artan mı</t>
  </si>
  <si>
    <t>Power</t>
  </si>
  <si>
    <t>Datasheet'te yazan ortalama (CW) güç</t>
  </si>
  <si>
    <t>W veya kW</t>
  </si>
  <si>
    <t>Güç değerinin ortam sıcaklığı</t>
  </si>
  <si>
    <t>Belgedeki yer</t>
  </si>
  <si>
    <t>Güç, W'a çevrilmiş</t>
  </si>
  <si>
    <t>ln(f)</t>
  </si>
  <si>
    <t>ln(P)</t>
  </si>
  <si>
    <t>Sıra kontrolü</t>
  </si>
  <si>
    <t>Sources</t>
  </si>
  <si>
    <t>Kaynak kimliği</t>
  </si>
  <si>
    <t>Yayımlayan üretici</t>
  </si>
  <si>
    <t>Belge başlığı</t>
  </si>
  <si>
    <t>Parça no</t>
  </si>
  <si>
    <t>Revizyon</t>
  </si>
  <si>
    <t>Belge tarihi</t>
  </si>
  <si>
    <t>Belgeyi barındıran (üretici / distribütör kopyası)</t>
  </si>
  <si>
    <t>İndirme adresi</t>
  </si>
  <si>
    <t>Erişim tarihi</t>
  </si>
  <si>
    <t>Proje klasöründeki arşiv kopyası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</si>
</sst>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\+0.0%;\-0.0%;0.0%"/>
    <numFmt numFmtId="167" formatCode="0.00000"/>
    <numFmt numFmtId="168" formatCode="0.000000"/>
    <numFmt numFmtId="169" formatCode="0.0%"/>
    <numFmt numFmtId="170" formatCode="0.0&quot; MHz&quot;"/>
    <numFmt numFmtId="171" formatCode="0&quot; MHz&quot;"/>
    <numFmt numFmtId="172" formatCode="0.0"/>
    <numFmt numFmtId="173" formatCode="\+0%;\-0%;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9"/>
      <color rgb="FF808080"/>
      <name val="Arial"/>
    </font>
    <font>
      <b/>
      <sz val="11"/>
      <color rgb="FF1F3864"/>
      <name val="Arial"/>
    </font>
    <font>
      <sz val="1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2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/>
    <xf numFmtId="0" fontId="12" fillId="3" borderId="0" xfId="0" applyFont="1" applyFill="1"/>
    <xf numFmtId="0" fontId="1" fillId="3" borderId="0" xfId="0" applyFont="1" applyFill="1" applyAlignment="1">
      <alignment horizontal="center" vertical="center" wrapText="1"/>
    </xf>
    <xf numFmtId="170" fontId="1" fillId="3" borderId="0" xfId="0" applyNumberFormat="1" applyFont="1" applyFill="1" applyAlignment="1">
      <alignment horizontal="center" vertical="center" wrapText="1"/>
    </xf>
    <xf numFmtId="171" fontId="1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2" fillId="4" borderId="1" xfId="0" applyFont="1" applyFill="1" applyBorder="1"/>
    <xf numFmtId="0" fontId="9" fillId="0" borderId="0" xfId="0" applyFont="1"/>
    <xf numFmtId="0" fontId="10" fillId="0" borderId="0" xfId="0" applyFont="1"/>
    <xf numFmtId="164" fontId="4" fillId="5" borderId="1" xfId="0" applyNumberFormat="1" applyFont="1" applyFill="1" applyBorder="1"/>
    <xf numFmtId="2" fontId="4" fillId="5" borderId="1" xfId="0" applyNumberFormat="1" applyFont="1" applyFill="1" applyBorder="1"/>
    <xf numFmtId="172" fontId="4" fillId="5" borderId="1" xfId="0" applyNumberFormat="1" applyFont="1" applyFill="1" applyBorder="1"/>
    <xf numFmtId="169" fontId="4" fillId="5" borderId="1" xfId="0" applyNumberFormat="1" applyFont="1" applyFill="1" applyBorder="1"/>
    <xf numFmtId="3" fontId="4" fillId="5" borderId="1" xfId="0" applyNumberFormat="1" applyFont="1" applyFill="1" applyBorder="1"/>
    <xf numFmtId="49" fontId="4" fillId="5" borderId="1" xfId="0" applyNumberFormat="1" applyFont="1" applyFill="1" applyBorder="1"/>
    <xf numFmtId="172" fontId="4" fillId="0" borderId="1" xfId="0" applyNumberFormat="1" applyFont="1" applyBorder="1"/>
    <xf numFmtId="169" fontId="4" fillId="0" borderId="1" xfId="0" applyNumberFormat="1" applyFont="1" applyBorder="1"/>
    <xf numFmtId="3" fontId="4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7" fontId="4" fillId="0" borderId="0" xfId="0" applyNumberFormat="1" applyFont="1" applyAlignment="1">
      <alignment vertical="top" wrapText="1"/>
    </xf>
    <xf numFmtId="168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173" fontId="4" fillId="0" borderId="0" xfId="0" applyNumberFormat="1" applyFont="1"/>
    <xf numFmtId="0" fontId="11" fillId="0" borderId="0" xfId="0" applyFont="1"/>
    <xf numFmtId="0" fontId="7" fillId="3" borderId="0" xfId="0" applyFont="1" applyFill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2"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ont>
        <i/>
        <color rgb="FF404040"/>
      </font>
    </dxf>
    <dxf>
      <font>
        <i/>
        <color rgb="FF40404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Graph!$B$5</c:f>
              <c:strCache>
                <c:ptCount val="1"/>
                <c:pt idx="0">
                  <c:v>Belden 8259 (RG-58)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Graph!$AB$10:$AB$50</c:f>
              <c:numCache>
                <c:formatCode>General</c:formatCode>
                <c:ptCount val="41"/>
                <c:pt idx="0">
                  <c:v>1.3123359580052496</c:v>
                </c:pt>
                <c:pt idx="1">
                  <c:v>1.4977804425451631</c:v>
                </c:pt>
                <c:pt idx="2">
                  <c:v>1.7094298456019372</c:v>
                </c:pt>
                <c:pt idx="3">
                  <c:v>1.9509871500719307</c:v>
                </c:pt>
                <c:pt idx="4">
                  <c:v>2.2266786025404128</c:v>
                </c:pt>
                <c:pt idx="5">
                  <c:v>2.5413276549917434</c:v>
                </c:pt>
                <c:pt idx="6">
                  <c:v>2.9004393551262941</c:v>
                </c:pt>
                <c:pt idx="7">
                  <c:v>3.3102966617631089</c:v>
                </c:pt>
                <c:pt idx="8">
                  <c:v>3.7780703704466294</c:v>
                </c:pt>
                <c:pt idx="9">
                  <c:v>4.3119445724977101</c:v>
                </c:pt>
                <c:pt idx="10">
                  <c:v>4.9212598425196861</c:v>
                </c:pt>
                <c:pt idx="11">
                  <c:v>5.5998271448423109</c:v>
                </c:pt>
                <c:pt idx="12">
                  <c:v>6.3719586153893149</c:v>
                </c:pt>
                <c:pt idx="13">
                  <c:v>7.2505553378786418</c:v>
                </c:pt>
                <c:pt idx="14">
                  <c:v>8.2502972603547668</c:v>
                </c:pt>
                <c:pt idx="15">
                  <c:v>9.3878884736755239</c:v>
                </c:pt>
                <c:pt idx="16">
                  <c:v>10.682336310192541</c:v>
                </c:pt>
                <c:pt idx="17">
                  <c:v>12.154820683146975</c:v>
                </c:pt>
                <c:pt idx="18">
                  <c:v>13.781356580380674</c:v>
                </c:pt>
                <c:pt idx="19">
                  <c:v>15.625552539737544</c:v>
                </c:pt>
                <c:pt idx="20">
                  <c:v>17.716535433070863</c:v>
                </c:pt>
                <c:pt idx="21">
                  <c:v>20.27099409939316</c:v>
                </c:pt>
                <c:pt idx="22">
                  <c:v>23.193767389226373</c:v>
                </c:pt>
                <c:pt idx="23">
                  <c:v>26.537960746663359</c:v>
                </c:pt>
                <c:pt idx="24">
                  <c:v>30.568344063333825</c:v>
                </c:pt>
                <c:pt idx="25">
                  <c:v>35.21328515976311</c:v>
                </c:pt>
                <c:pt idx="26">
                  <c:v>40.564037396782645</c:v>
                </c:pt>
                <c:pt idx="27">
                  <c:v>46.955693531028132</c:v>
                </c:pt>
                <c:pt idx="28">
                  <c:v>54.360041056376865</c:v>
                </c:pt>
                <c:pt idx="29">
                  <c:v>63.437115618864347</c:v>
                </c:pt>
                <c:pt idx="30">
                  <c:v>74.803149606299186</c:v>
                </c:pt>
                <c:pt idx="31">
                  <c:v>88.6063778336962</c:v>
                </c:pt>
                <c:pt idx="32">
                  <c:v>104.95667941964021</c:v>
                </c:pt>
                <c:pt idx="33">
                  <c:v>124.32405910410502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6-4929-905A-7D73120DB8EE}"/>
            </c:ext>
          </c:extLst>
        </c:ser>
        <c:ser>
          <c:idx val="1"/>
          <c:order val="1"/>
          <c:tx>
            <c:strRef>
              <c:f>Graph!$B$6</c:f>
              <c:strCache>
                <c:ptCount val="1"/>
                <c:pt idx="0">
                  <c:v>Belden 9258 (RG-8X)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Graph!$AC$10:$AC$50</c:f>
              <c:numCache>
                <c:formatCode>General</c:formatCode>
                <c:ptCount val="41"/>
                <c:pt idx="0">
                  <c:v>0.98425196850393715</c:v>
                </c:pt>
                <c:pt idx="1">
                  <c:v>1.0985464311357329</c:v>
                </c:pt>
                <c:pt idx="2">
                  <c:v>1.2261131295428322</c:v>
                </c:pt>
                <c:pt idx="3">
                  <c:v>1.3684932778699896</c:v>
                </c:pt>
                <c:pt idx="4">
                  <c:v>1.527407060940315</c:v>
                </c:pt>
                <c:pt idx="5">
                  <c:v>1.7047744168985013</c:v>
                </c:pt>
                <c:pt idx="6">
                  <c:v>1.902738233200554</c:v>
                </c:pt>
                <c:pt idx="7">
                  <c:v>2.1236902361954657</c:v>
                </c:pt>
                <c:pt idx="8">
                  <c:v>2.3702998870872958</c:v>
                </c:pt>
                <c:pt idx="9">
                  <c:v>2.6455466333880779</c:v>
                </c:pt>
                <c:pt idx="10">
                  <c:v>2.952755905511812</c:v>
                </c:pt>
                <c:pt idx="11">
                  <c:v>3.3332901797528556</c:v>
                </c:pt>
                <c:pt idx="12">
                  <c:v>3.7628655323986018</c:v>
                </c:pt>
                <c:pt idx="13">
                  <c:v>4.2478020968349171</c:v>
                </c:pt>
                <c:pt idx="14">
                  <c:v>4.7952345090506743</c:v>
                </c:pt>
                <c:pt idx="15">
                  <c:v>5.4132168760695674</c:v>
                </c:pt>
                <c:pt idx="16">
                  <c:v>6.1108412721123724</c:v>
                </c:pt>
                <c:pt idx="17">
                  <c:v>6.8989510717370939</c:v>
                </c:pt>
                <c:pt idx="18">
                  <c:v>7.8518311846912621</c:v>
                </c:pt>
                <c:pt idx="19">
                  <c:v>8.9363226832346445</c:v>
                </c:pt>
                <c:pt idx="20">
                  <c:v>10.170603674540684</c:v>
                </c:pt>
                <c:pt idx="21">
                  <c:v>11.51098292659495</c:v>
                </c:pt>
                <c:pt idx="22">
                  <c:v>13.028010153226669</c:v>
                </c:pt>
                <c:pt idx="23">
                  <c:v>14.744965711002438</c:v>
                </c:pt>
                <c:pt idx="24">
                  <c:v>16.744899238959324</c:v>
                </c:pt>
                <c:pt idx="25">
                  <c:v>19.016765049583636</c:v>
                </c:pt>
                <c:pt idx="26">
                  <c:v>21.596866472009957</c:v>
                </c:pt>
                <c:pt idx="27">
                  <c:v>24.645859341309173</c:v>
                </c:pt>
                <c:pt idx="28">
                  <c:v>28.128160995277451</c:v>
                </c:pt>
                <c:pt idx="29">
                  <c:v>32.389938736665556</c:v>
                </c:pt>
                <c:pt idx="30">
                  <c:v>36.745406824146976</c:v>
                </c:pt>
                <c:pt idx="31">
                  <c:v>40.602194183447111</c:v>
                </c:pt>
                <c:pt idx="32">
                  <c:v>44.863788837603011</c:v>
                </c:pt>
                <c:pt idx="33">
                  <c:v>49.572679244157733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6-4929-905A-7D73120DB8EE}"/>
            </c:ext>
          </c:extLst>
        </c:ser>
        <c:ser>
          <c:idx val="2"/>
          <c:order val="2"/>
          <c:tx>
            <c:strRef>
              <c:f>Graph!$B$7</c:f>
              <c:strCache>
                <c:ptCount val="1"/>
                <c:pt idx="0">
                  <c:v>Belden 8267 (RG-213/U)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Graph!$AD$10:$AD$50</c:f>
              <c:numCache>
                <c:formatCode>General</c:formatCode>
                <c:ptCount val="41"/>
                <c:pt idx="0">
                  <c:v>0.55774278215223094</c:v>
                </c:pt>
                <c:pt idx="1">
                  <c:v>0.62722785287782834</c:v>
                </c:pt>
                <c:pt idx="2">
                  <c:v>0.70536955746448649</c:v>
                </c:pt>
                <c:pt idx="3">
                  <c:v>0.79324636225068546</c:v>
                </c:pt>
                <c:pt idx="4">
                  <c:v>0.8920710917633079</c:v>
                </c:pt>
                <c:pt idx="5">
                  <c:v>1.0032076674160535</c:v>
                </c:pt>
                <c:pt idx="6">
                  <c:v>1.1281899315591686</c:v>
                </c:pt>
                <c:pt idx="7">
                  <c:v>1.268742816679068</c:v>
                </c:pt>
                <c:pt idx="8">
                  <c:v>1.4268061519128292</c:v>
                </c:pt>
                <c:pt idx="9">
                  <c:v>1.6045614354412145</c:v>
                </c:pt>
                <c:pt idx="10">
                  <c:v>1.8044619422572181</c:v>
                </c:pt>
                <c:pt idx="11">
                  <c:v>2.0407745822117134</c:v>
                </c:pt>
                <c:pt idx="12">
                  <c:v>2.3080347653060795</c:v>
                </c:pt>
                <c:pt idx="13">
                  <c:v>2.6102953870036281</c:v>
                </c:pt>
                <c:pt idx="14">
                  <c:v>2.9521401106403302</c:v>
                </c:pt>
                <c:pt idx="15">
                  <c:v>3.3387528768748469</c:v>
                </c:pt>
                <c:pt idx="16">
                  <c:v>3.7759965161078282</c:v>
                </c:pt>
                <c:pt idx="17">
                  <c:v>4.2706334728055202</c:v>
                </c:pt>
                <c:pt idx="18">
                  <c:v>4.844412089047391</c:v>
                </c:pt>
                <c:pt idx="19">
                  <c:v>5.4952804163480149</c:v>
                </c:pt>
                <c:pt idx="20">
                  <c:v>6.2335958005249337</c:v>
                </c:pt>
                <c:pt idx="21">
                  <c:v>7.0054274079137784</c:v>
                </c:pt>
                <c:pt idx="22">
                  <c:v>7.8728256912995302</c:v>
                </c:pt>
                <c:pt idx="23">
                  <c:v>8.847623529089427</c:v>
                </c:pt>
                <c:pt idx="24">
                  <c:v>10.162358461521892</c:v>
                </c:pt>
                <c:pt idx="25">
                  <c:v>11.675109437752038</c:v>
                </c:pt>
                <c:pt idx="26">
                  <c:v>13.413045888864797</c:v>
                </c:pt>
                <c:pt idx="27">
                  <c:v>16.196363721310231</c:v>
                </c:pt>
                <c:pt idx="28">
                  <c:v>19.577735039068763</c:v>
                </c:pt>
                <c:pt idx="29">
                  <c:v>23.070321051680821</c:v>
                </c:pt>
                <c:pt idx="30">
                  <c:v>26.246719160105002</c:v>
                </c:pt>
                <c:pt idx="31">
                  <c:v>30.930594118254785</c:v>
                </c:pt>
                <c:pt idx="32">
                  <c:v>36.450332960563095</c:v>
                </c:pt>
                <c:pt idx="33">
                  <c:v>42.955100308007786</c:v>
                </c:pt>
                <c:pt idx="34">
                  <c:v>50.620680048858091</c:v>
                </c:pt>
                <c:pt idx="35">
                  <c:v>59.654225696946241</c:v>
                </c:pt>
                <c:pt idx="36">
                  <c:v>70.299858478145396</c:v>
                </c:pt>
                <c:pt idx="37">
                  <c:v>82.845264426930015</c:v>
                </c:pt>
                <c:pt idx="38">
                  <c:v>97.629468771997566</c:v>
                </c:pt>
                <c:pt idx="39">
                  <c:v>115.05199770482098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A6-4929-905A-7D73120DB8EE}"/>
            </c:ext>
          </c:extLst>
        </c:ser>
        <c:ser>
          <c:idx val="3"/>
          <c:order val="3"/>
          <c:tx>
            <c:strRef>
              <c:f>Graph!$B$8</c:f>
              <c:strCache>
                <c:ptCount val="1"/>
                <c:pt idx="0">
                  <c:v>Times Microwave LMR-400 (Amphenol)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Graph!$AE$10:$AE$50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1.6778217110753391</c:v>
                </c:pt>
                <c:pt idx="13">
                  <c:v>1.8790723586704439</c:v>
                </c:pt>
                <c:pt idx="14">
                  <c:v>2.1044625336599636</c:v>
                </c:pt>
                <c:pt idx="15">
                  <c:v>2.3568877138462776</c:v>
                </c:pt>
                <c:pt idx="16">
                  <c:v>2.6395906825761961</c:v>
                </c:pt>
                <c:pt idx="17">
                  <c:v>2.9560138699212573</c:v>
                </c:pt>
                <c:pt idx="18">
                  <c:v>3.2900600106960418</c:v>
                </c:pt>
                <c:pt idx="19">
                  <c:v>3.6618552382738243</c:v>
                </c:pt>
                <c:pt idx="20">
                  <c:v>4.0756654111110313</c:v>
                </c:pt>
                <c:pt idx="21">
                  <c:v>4.5362384535870417</c:v>
                </c:pt>
                <c:pt idx="22">
                  <c:v>5.0913522289880504</c:v>
                </c:pt>
                <c:pt idx="23">
                  <c:v>5.8688728358901301</c:v>
                </c:pt>
                <c:pt idx="24">
                  <c:v>6.6529060562971729</c:v>
                </c:pt>
                <c:pt idx="25">
                  <c:v>7.4492983145180149</c:v>
                </c:pt>
                <c:pt idx="26">
                  <c:v>8.3410234428541266</c:v>
                </c:pt>
                <c:pt idx="27">
                  <c:v>9.3838483543128195</c:v>
                </c:pt>
                <c:pt idx="28">
                  <c:v>10.614092040951558</c:v>
                </c:pt>
                <c:pt idx="29">
                  <c:v>11.986784762265978</c:v>
                </c:pt>
                <c:pt idx="30">
                  <c:v>13.523202172073812</c:v>
                </c:pt>
                <c:pt idx="31">
                  <c:v>15.261432714288876</c:v>
                </c:pt>
                <c:pt idx="32">
                  <c:v>17.303772207845924</c:v>
                </c:pt>
                <c:pt idx="33">
                  <c:v>19.662324022677815</c:v>
                </c:pt>
                <c:pt idx="34">
                  <c:v>22.367959186709555</c:v>
                </c:pt>
                <c:pt idx="35">
                  <c:v>25.386219448992275</c:v>
                </c:pt>
                <c:pt idx="36">
                  <c:v>28.811754015328972</c:v>
                </c:pt>
                <c:pt idx="37">
                  <c:v>32.699519166599558</c:v>
                </c:pt>
                <c:pt idx="38">
                  <c:v>37.111886806958175</c:v>
                </c:pt>
                <c:pt idx="39">
                  <c:v>42.119645104117929</c:v>
                </c:pt>
                <c:pt idx="40">
                  <c:v>47.803134152807992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A6-4929-905A-7D73120DB8EE}"/>
            </c:ext>
          </c:extLst>
        </c:ser>
        <c:ser>
          <c:idx val="4"/>
          <c:order val="4"/>
          <c:tx>
            <c:strRef>
              <c:f>Graph!$B$9</c:f>
              <c:strCache>
                <c:ptCount val="1"/>
                <c:pt idx="0">
                  <c:v>Messi &amp; Paoloni Hyperflex 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Graph!$AF$10:$AF$50</c:f>
              <c:numCache>
                <c:formatCode>General</c:formatCode>
                <c:ptCount val="41"/>
                <c:pt idx="0">
                  <c:v>0.6567939900658315</c:v>
                </c:pt>
                <c:pt idx="1">
                  <c:v>0.70955454649674854</c:v>
                </c:pt>
                <c:pt idx="2">
                  <c:v>0.766553382140027</c:v>
                </c:pt>
                <c:pt idx="3">
                  <c:v>0.8281309598697737</c:v>
                </c:pt>
                <c:pt idx="4">
                  <c:v>0.89465509209579985</c:v>
                </c:pt>
                <c:pt idx="5">
                  <c:v>0.96652313776411736</c:v>
                </c:pt>
                <c:pt idx="6">
                  <c:v>1.0178665465992609</c:v>
                </c:pt>
                <c:pt idx="7">
                  <c:v>1.0506091851052866</c:v>
                </c:pt>
                <c:pt idx="8">
                  <c:v>1.0844050858291523</c:v>
                </c:pt>
                <c:pt idx="9">
                  <c:v>1.1670967116742434</c:v>
                </c:pt>
                <c:pt idx="10">
                  <c:v>1.3</c:v>
                </c:pt>
                <c:pt idx="11">
                  <c:v>1.4337489569586206</c:v>
                </c:pt>
                <c:pt idx="12">
                  <c:v>1.58604440407605</c:v>
                </c:pt>
                <c:pt idx="13">
                  <c:v>1.7590629063383414</c:v>
                </c:pt>
                <c:pt idx="14">
                  <c:v>1.9220242621615924</c:v>
                </c:pt>
                <c:pt idx="15">
                  <c:v>2.1300026140978634</c:v>
                </c:pt>
                <c:pt idx="16">
                  <c:v>2.3995980744820091</c:v>
                </c:pt>
                <c:pt idx="17">
                  <c:v>2.7033992689538056</c:v>
                </c:pt>
                <c:pt idx="18">
                  <c:v>3.0546514592162</c:v>
                </c:pt>
                <c:pt idx="19">
                  <c:v>3.4515417846149816</c:v>
                </c:pt>
                <c:pt idx="20">
                  <c:v>3.8999999999999986</c:v>
                </c:pt>
                <c:pt idx="21">
                  <c:v>4.3876712368521291</c:v>
                </c:pt>
                <c:pt idx="22">
                  <c:v>4.9465769810899287</c:v>
                </c:pt>
                <c:pt idx="23">
                  <c:v>5.5929210644266725</c:v>
                </c:pt>
                <c:pt idx="24">
                  <c:v>6.3734086485405417</c:v>
                </c:pt>
                <c:pt idx="25">
                  <c:v>7.2634042579350071</c:v>
                </c:pt>
                <c:pt idx="26">
                  <c:v>8.277680645233584</c:v>
                </c:pt>
                <c:pt idx="27">
                  <c:v>9.3175867128975245</c:v>
                </c:pt>
                <c:pt idx="28">
                  <c:v>10.51034475598688</c:v>
                </c:pt>
                <c:pt idx="29">
                  <c:v>11.855789518630464</c:v>
                </c:pt>
                <c:pt idx="30">
                  <c:v>13.4</c:v>
                </c:pt>
                <c:pt idx="31">
                  <c:v>15.162044387808407</c:v>
                </c:pt>
                <c:pt idx="32">
                  <c:v>17.250965695269795</c:v>
                </c:pt>
                <c:pt idx="33">
                  <c:v>19.643351988918912</c:v>
                </c:pt>
                <c:pt idx="34">
                  <c:v>22.344594734490947</c:v>
                </c:pt>
                <c:pt idx="35">
                  <c:v>25.36852012280756</c:v>
                </c:pt>
                <c:pt idx="36">
                  <c:v>29.01950890224111</c:v>
                </c:pt>
                <c:pt idx="37">
                  <c:v>33.146826401624658</c:v>
                </c:pt>
                <c:pt idx="38">
                  <c:v>38.09946433915615</c:v>
                </c:pt>
                <c:pt idx="39">
                  <c:v>44.006137579621708</c:v>
                </c:pt>
                <c:pt idx="40">
                  <c:v>50.700000000000053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A6-4929-905A-7D73120DB8EE}"/>
            </c:ext>
          </c:extLst>
        </c:ser>
        <c:ser>
          <c:idx val="5"/>
          <c:order val="5"/>
          <c:tx>
            <c:strRef>
              <c:f>Graph!$B$10</c:f>
              <c:strCache>
                <c:ptCount val="1"/>
                <c:pt idx="0">
                  <c:v>Messi &amp; Paoloni Airborne 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Graph!$AG$10:$AG$50</c:f>
              <c:numCache>
                <c:formatCode>General</c:formatCode>
                <c:ptCount val="41"/>
                <c:pt idx="0">
                  <c:v>0.4652809269013562</c:v>
                </c:pt>
                <c:pt idx="1">
                  <c:v>0.5140167290113713</c:v>
                </c:pt>
                <c:pt idx="2">
                  <c:v>0.56785735762507428</c:v>
                </c:pt>
                <c:pt idx="3">
                  <c:v>0.62733751726161791</c:v>
                </c:pt>
                <c:pt idx="4">
                  <c:v>0.69304792000918702</c:v>
                </c:pt>
                <c:pt idx="5">
                  <c:v>0.76564115203196903</c:v>
                </c:pt>
                <c:pt idx="6">
                  <c:v>0.83386559413255879</c:v>
                </c:pt>
                <c:pt idx="7">
                  <c:v>0.89802590424784301</c:v>
                </c:pt>
                <c:pt idx="8">
                  <c:v>0.96712291570091524</c:v>
                </c:pt>
                <c:pt idx="9">
                  <c:v>1.0667538988906398</c:v>
                </c:pt>
                <c:pt idx="10">
                  <c:v>1.2</c:v>
                </c:pt>
                <c:pt idx="11">
                  <c:v>1.2675644372068569</c:v>
                </c:pt>
                <c:pt idx="12">
                  <c:v>1.4111921203598581</c:v>
                </c:pt>
                <c:pt idx="13">
                  <c:v>1.6434185423951659</c:v>
                </c:pt>
                <c:pt idx="14">
                  <c:v>1.8218853191835553</c:v>
                </c:pt>
                <c:pt idx="15">
                  <c:v>1.9954652770756907</c:v>
                </c:pt>
                <c:pt idx="16">
                  <c:v>2.1894508800953845</c:v>
                </c:pt>
                <c:pt idx="17">
                  <c:v>2.4031002547723843</c:v>
                </c:pt>
                <c:pt idx="18">
                  <c:v>2.7239801663954353</c:v>
                </c:pt>
                <c:pt idx="19">
                  <c:v>3.0877063627203958</c:v>
                </c:pt>
                <c:pt idx="20">
                  <c:v>3.5</c:v>
                </c:pt>
                <c:pt idx="21">
                  <c:v>3.9270645900568719</c:v>
                </c:pt>
                <c:pt idx="22">
                  <c:v>4.4192480520524011</c:v>
                </c:pt>
                <c:pt idx="23">
                  <c:v>4.9937101915236735</c:v>
                </c:pt>
                <c:pt idx="24">
                  <c:v>5.6368312938829739</c:v>
                </c:pt>
                <c:pt idx="25">
                  <c:v>6.3627069041463447</c:v>
                </c:pt>
                <c:pt idx="26">
                  <c:v>7.1820562009731184</c:v>
                </c:pt>
                <c:pt idx="27">
                  <c:v>8.2115859569662479</c:v>
                </c:pt>
                <c:pt idx="28">
                  <c:v>9.2246441282868634</c:v>
                </c:pt>
                <c:pt idx="29">
                  <c:v>10.362682646139548</c:v>
                </c:pt>
                <c:pt idx="30">
                  <c:v>11.8</c:v>
                </c:pt>
                <c:pt idx="31">
                  <c:v>13.385575134616133</c:v>
                </c:pt>
                <c:pt idx="32">
                  <c:v>15.221181770773782</c:v>
                </c:pt>
                <c:pt idx="33">
                  <c:v>17.31458393185482</c:v>
                </c:pt>
                <c:pt idx="34">
                  <c:v>19.667376566249779</c:v>
                </c:pt>
                <c:pt idx="35">
                  <c:v>22.282579328132655</c:v>
                </c:pt>
                <c:pt idx="36">
                  <c:v>25.528387141038685</c:v>
                </c:pt>
                <c:pt idx="37">
                  <c:v>29.244193047105878</c:v>
                </c:pt>
                <c:pt idx="38">
                  <c:v>33.688717256564523</c:v>
                </c:pt>
                <c:pt idx="39">
                  <c:v>38.433955440871621</c:v>
                </c:pt>
                <c:pt idx="40">
                  <c:v>44.6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A6-4929-905A-7D73120DB8EE}"/>
            </c:ext>
          </c:extLst>
        </c:ser>
        <c:ser>
          <c:idx val="6"/>
          <c:order val="6"/>
          <c:tx>
            <c:strRef>
              <c:f>Graph!$B$11</c:f>
              <c:strCache>
                <c:ptCount val="1"/>
                <c:pt idx="0">
                  <c:v>CommScope LDF4-50A (1/2" HELIAX)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Graph!$AH$10:$AH$50</c:f>
              <c:numCache>
                <c:formatCode>General</c:formatCode>
                <c:ptCount val="41"/>
                <c:pt idx="0">
                  <c:v>0.21099999999999999</c:v>
                </c:pt>
                <c:pt idx="1">
                  <c:v>0.23704688880676858</c:v>
                </c:pt>
                <c:pt idx="2">
                  <c:v>0.26621675882128876</c:v>
                </c:pt>
                <c:pt idx="3">
                  <c:v>0.29864620331865949</c:v>
                </c:pt>
                <c:pt idx="4">
                  <c:v>0.33532779243195554</c:v>
                </c:pt>
                <c:pt idx="5">
                  <c:v>0.37651837041935282</c:v>
                </c:pt>
                <c:pt idx="6">
                  <c:v>0.42276866535603974</c:v>
                </c:pt>
                <c:pt idx="7">
                  <c:v>0.47470019645485095</c:v>
                </c:pt>
                <c:pt idx="8">
                  <c:v>0.53301082833208824</c:v>
                </c:pt>
                <c:pt idx="9">
                  <c:v>0.59848414902916469</c:v>
                </c:pt>
                <c:pt idx="10">
                  <c:v>0.67199999999999982</c:v>
                </c:pt>
                <c:pt idx="11">
                  <c:v>0.75495675681199259</c:v>
                </c:pt>
                <c:pt idx="12">
                  <c:v>0.84815432240488364</c:v>
                </c:pt>
                <c:pt idx="13">
                  <c:v>0.95285689958164299</c:v>
                </c:pt>
                <c:pt idx="14">
                  <c:v>1.0709838333054036</c:v>
                </c:pt>
                <c:pt idx="15">
                  <c:v>1.2039316438669259</c:v>
                </c:pt>
                <c:pt idx="16">
                  <c:v>1.3540300633226843</c:v>
                </c:pt>
                <c:pt idx="17">
                  <c:v>1.522845290198735</c:v>
                </c:pt>
                <c:pt idx="18">
                  <c:v>1.7130866931501803</c:v>
                </c:pt>
                <c:pt idx="19">
                  <c:v>1.9270939977528747</c:v>
                </c:pt>
                <c:pt idx="20">
                  <c:v>2.1689999999999996</c:v>
                </c:pt>
                <c:pt idx="21">
                  <c:v>2.4418147060041417</c:v>
                </c:pt>
                <c:pt idx="22">
                  <c:v>2.7504605329596106</c:v>
                </c:pt>
                <c:pt idx="23">
                  <c:v>3.0991895303823815</c:v>
                </c:pt>
                <c:pt idx="24">
                  <c:v>3.495128848493009</c:v>
                </c:pt>
                <c:pt idx="25">
                  <c:v>3.9428303340168656</c:v>
                </c:pt>
                <c:pt idx="26">
                  <c:v>4.4508734374145646</c:v>
                </c:pt>
                <c:pt idx="27">
                  <c:v>5.027363583819163</c:v>
                </c:pt>
                <c:pt idx="28">
                  <c:v>5.6840502765969303</c:v>
                </c:pt>
                <c:pt idx="29">
                  <c:v>6.4313649149626881</c:v>
                </c:pt>
                <c:pt idx="30">
                  <c:v>7.2839999999999998</c:v>
                </c:pt>
                <c:pt idx="31">
                  <c:v>8.2582301186764884</c:v>
                </c:pt>
                <c:pt idx="32">
                  <c:v>9.3737995046438414</c:v>
                </c:pt>
                <c:pt idx="33">
                  <c:v>10.65191773346379</c:v>
                </c:pt>
                <c:pt idx="34">
                  <c:v>12.122426126233027</c:v>
                </c:pt>
                <c:pt idx="35">
                  <c:v>13.816720616459301</c:v>
                </c:pt>
                <c:pt idx="36">
                  <c:v>15.771652479176032</c:v>
                </c:pt>
                <c:pt idx="37">
                  <c:v>18.035214272117564</c:v>
                </c:pt>
                <c:pt idx="38">
                  <c:v>20.668470910007322</c:v>
                </c:pt>
                <c:pt idx="39">
                  <c:v>23.7246862855025</c:v>
                </c:pt>
                <c:pt idx="40">
                  <c:v>27.279261579214833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A6-4929-905A-7D73120DB8EE}"/>
            </c:ext>
          </c:extLst>
        </c:ser>
        <c:ser>
          <c:idx val="7"/>
          <c:order val="7"/>
          <c:tx>
            <c:strRef>
              <c:f>Graph!$B$12</c:f>
              <c:strCache>
                <c:ptCount val="1"/>
                <c:pt idx="0">
                  <c:v>CommScope LDF5-50A (7/8" HELIAX)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Graph!$AI$10:$AI$50</c:f>
              <c:numCache>
                <c:formatCode>General</c:formatCode>
                <c:ptCount val="41"/>
                <c:pt idx="0">
                  <c:v>0.11499999999999999</c:v>
                </c:pt>
                <c:pt idx="1">
                  <c:v>0.12911239934862567</c:v>
                </c:pt>
                <c:pt idx="2">
                  <c:v>0.1449669484923547</c:v>
                </c:pt>
                <c:pt idx="3">
                  <c:v>0.1628052823407817</c:v>
                </c:pt>
                <c:pt idx="4">
                  <c:v>0.18278000145179732</c:v>
                </c:pt>
                <c:pt idx="5">
                  <c:v>0.20520475086442128</c:v>
                </c:pt>
                <c:pt idx="6">
                  <c:v>0.23038072788523409</c:v>
                </c:pt>
                <c:pt idx="7">
                  <c:v>0.25864547266742904</c:v>
                </c:pt>
                <c:pt idx="8">
                  <c:v>0.29037793718875354</c:v>
                </c:pt>
                <c:pt idx="9">
                  <c:v>0.32600356594841684</c:v>
                </c:pt>
                <c:pt idx="10">
                  <c:v>0.36600000000000005</c:v>
                </c:pt>
                <c:pt idx="11">
                  <c:v>0.41155232337404751</c:v>
                </c:pt>
                <c:pt idx="12">
                  <c:v>0.46277408435676626</c:v>
                </c:pt>
                <c:pt idx="13">
                  <c:v>0.52037090058558633</c:v>
                </c:pt>
                <c:pt idx="14">
                  <c:v>0.58537284111029408</c:v>
                </c:pt>
                <c:pt idx="15">
                  <c:v>0.65855585478981182</c:v>
                </c:pt>
                <c:pt idx="16">
                  <c:v>0.74111047616443693</c:v>
                </c:pt>
                <c:pt idx="17">
                  <c:v>0.8340227229437287</c:v>
                </c:pt>
                <c:pt idx="18">
                  <c:v>0.93953765914117215</c:v>
                </c:pt>
                <c:pt idx="19">
                  <c:v>1.0584016342250555</c:v>
                </c:pt>
                <c:pt idx="20">
                  <c:v>1.1930000000000005</c:v>
                </c:pt>
                <c:pt idx="21">
                  <c:v>1.3457574323770867</c:v>
                </c:pt>
                <c:pt idx="22">
                  <c:v>1.5180659601577644</c:v>
                </c:pt>
                <c:pt idx="23">
                  <c:v>1.7138461202975528</c:v>
                </c:pt>
                <c:pt idx="24">
                  <c:v>1.9376328446653759</c:v>
                </c:pt>
                <c:pt idx="25">
                  <c:v>2.1911437829045002</c:v>
                </c:pt>
                <c:pt idx="26">
                  <c:v>2.4796730609497644</c:v>
                </c:pt>
                <c:pt idx="27">
                  <c:v>2.8095793832900497</c:v>
                </c:pt>
                <c:pt idx="28">
                  <c:v>3.1868844463465229</c:v>
                </c:pt>
                <c:pt idx="29">
                  <c:v>3.6187112429172461</c:v>
                </c:pt>
                <c:pt idx="30">
                  <c:v>4.1150000000000011</c:v>
                </c:pt>
                <c:pt idx="31">
                  <c:v>4.6859617548071055</c:v>
                </c:pt>
                <c:pt idx="32">
                  <c:v>5.3441640822357623</c:v>
                </c:pt>
                <c:pt idx="33">
                  <c:v>6.1055820969344481</c:v>
                </c:pt>
                <c:pt idx="34">
                  <c:v>6.987545956527498</c:v>
                </c:pt>
                <c:pt idx="35">
                  <c:v>8.0128223341461826</c:v>
                </c:pt>
                <c:pt idx="36">
                  <c:v>9.2075300497479962</c:v>
                </c:pt>
                <c:pt idx="37">
                  <c:v>10.604485688875142</c:v>
                </c:pt>
                <c:pt idx="38">
                  <c:v>12.22102249393901</c:v>
                </c:pt>
                <c:pt idx="39">
                  <c:v>14.083982493752202</c:v>
                </c:pt>
                <c:pt idx="40">
                  <c:v>16.230930184662892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A6-4929-905A-7D73120DB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Frekans (MHz)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logBase val="10"/>
          <c:orientation val="minMax"/>
          <c:max val="300"/>
          <c:min val="0.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dB / 100 m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b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864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bles" displayName="tblCables" ref="A1:AX66">
  <autoFilter ref="A1:AX66" xr:uid="{00000000-0009-0000-0100-000001000000}"/>
  <tableColumns count="50">
    <tableColumn id="1" xr3:uid="{00000000-0010-0000-0000-000001000000}" name="cable_id"/>
    <tableColumn id="2" xr3:uid="{00000000-0010-0000-0000-000002000000}" name="display_name"/>
    <tableColumn id="3" xr3:uid="{00000000-0010-0000-0000-000003000000}" name="manufacturer"/>
    <tableColumn id="4" xr3:uid="{00000000-0010-0000-0000-000004000000}" name="part_number"/>
    <tableColumn id="5" xr3:uid="{00000000-0010-0000-0000-000005000000}" name="family"/>
    <tableColumn id="6" xr3:uid="{00000000-0010-0000-0000-000006000000}" name="impedance_ohm"/>
    <tableColumn id="7" xr3:uid="{00000000-0010-0000-0000-000007000000}" name="impedance_tol_ohm"/>
    <tableColumn id="8" xr3:uid="{00000000-0010-0000-0000-000008000000}" name="od_mm"/>
    <tableColumn id="9" xr3:uid="{00000000-0010-0000-0000-000009000000}" name="inner_material"/>
    <tableColumn id="10" xr3:uid="{00000000-0010-0000-0000-00000A000000}" name="inner_construction"/>
    <tableColumn id="11" xr3:uid="{00000000-0010-0000-0000-00000B000000}" name="inner_od_mm"/>
    <tableColumn id="12" xr3:uid="{00000000-0010-0000-0000-00000C000000}" name="dielectric_material"/>
    <tableColumn id="13" xr3:uid="{00000000-0010-0000-0000-00000D000000}" name="dielectric_od_mm"/>
    <tableColumn id="14" xr3:uid="{00000000-0010-0000-0000-00000E000000}" name="shield"/>
    <tableColumn id="15" xr3:uid="{00000000-0010-0000-0000-00000F000000}" name="braid_coverage_pct"/>
    <tableColumn id="16" xr3:uid="{00000000-0010-0000-0000-000010000000}" name="jacket"/>
    <tableColumn id="17" xr3:uid="{00000000-0010-0000-0000-000011000000}" name="velocity_factor"/>
    <tableColumn id="18" xr3:uid="{00000000-0010-0000-0000-000012000000}" name="capacitance_pf_m"/>
    <tableColumn id="19" xr3:uid="{00000000-0010-0000-0000-000013000000}" name="inductance_uh_m"/>
    <tableColumn id="20" xr3:uid="{00000000-0010-0000-0000-000014000000}" name="dcr_inner_ohm_km"/>
    <tableColumn id="21" xr3:uid="{00000000-0010-0000-0000-000015000000}" name="dcr_outer_ohm_km"/>
    <tableColumn id="22" xr3:uid="{00000000-0010-0000-0000-000016000000}" name="shielding_db"/>
    <tableColumn id="23" xr3:uid="{00000000-0010-0000-0000-000017000000}" name="fmax_mhz"/>
    <tableColumn id="24" xr3:uid="{00000000-0010-0000-0000-000018000000}" name="peak_power_kw"/>
    <tableColumn id="25" xr3:uid="{00000000-0010-0000-0000-000019000000}" name="voltage_v"/>
    <tableColumn id="26" xr3:uid="{00000000-0010-0000-0000-00001A000000}" name="voltage_note"/>
    <tableColumn id="27" xr3:uid="{00000000-0010-0000-0000-00001B000000}" name="bend_radius_single_mm"/>
    <tableColumn id="28" xr3:uid="{00000000-0010-0000-0000-00001C000000}" name="bend_radius_repeated_mm"/>
    <tableColumn id="29" xr3:uid="{00000000-0010-0000-0000-00001D000000}" name="weight_kg_km"/>
    <tableColumn id="30" xr3:uid="{00000000-0010-0000-0000-00001E000000}" name="tensile_kg"/>
    <tableColumn id="31" xr3:uid="{00000000-0010-0000-0000-00001F000000}" name="temp_min_c"/>
    <tableColumn id="32" xr3:uid="{00000000-0010-0000-0000-000020000000}" name="temp_max_c"/>
    <tableColumn id="33" xr3:uid="{00000000-0010-0000-0000-000021000000}" name="outdoor_uv"/>
    <tableColumn id="34" xr3:uid="{00000000-0010-0000-0000-000022000000}" name="direct_burial"/>
    <tableColumn id="35" xr3:uid="{00000000-0010-0000-0000-000023000000}" name="fire_class"/>
    <tableColumn id="36" xr3:uid="{00000000-0010-0000-0000-000024000000}" name="connectors"/>
    <tableColumn id="37" xr3:uid="{00000000-0010-0000-0000-000025000000}" name="k1_pub_db_100ft"/>
    <tableColumn id="38" xr3:uid="{00000000-0010-0000-0000-000026000000}" name="k2_pub_db_100ft"/>
    <tableColumn id="39" xr3:uid="{00000000-0010-0000-0000-000027000000}" name="primary_source_id"/>
    <tableColumn id="40" xr3:uid="{00000000-0010-0000-0000-000028000000}" name="notes"/>
    <tableColumn id="41" xr3:uid="{00000000-0010-0000-0000-000029000000}" name="att_first_row">
      <calculatedColumnFormula>MATCH(A2,Attenuation!$B:$B,0)</calculatedColumnFormula>
    </tableColumn>
    <tableColumn id="42" xr3:uid="{00000000-0010-0000-0000-00002A000000}" name="att_n">
      <calculatedColumnFormula>COUNTIF(Attenuation!$B:$B,A2)</calculatedColumnFormula>
    </tableColumn>
    <tableColumn id="43" xr3:uid="{00000000-0010-0000-0000-00002B000000}" name="f_min_data">
      <calculatedColumnFormula>INDEX(Attenuation!$C:$C,AO2)</calculatedColumnFormula>
    </tableColumn>
    <tableColumn id="44" xr3:uid="{00000000-0010-0000-0000-00002C000000}" name="f_max_data">
      <calculatedColumnFormula>INDEX(Attenuation!$C:$C,AO2+AP2-1)</calculatedColumnFormula>
    </tableColumn>
    <tableColumn id="45" xr3:uid="{00000000-0010-0000-0000-00002D000000}" name="k0_fit">
      <calculatedColumnFormula>INDEX(LINEST(INDEX(Attenuation!$O:$O,AO2):INDEX(Attenuation!$O:$O,AO2+AP2-1),INDEX(Attenuation!$L:$L,AO2):INDEX(Attenuation!$N:$N,AO2+AP2-1),FALSE,FALSE),1,3)</calculatedColumnFormula>
    </tableColumn>
    <tableColumn id="46" xr3:uid="{00000000-0010-0000-0000-00002E000000}" name="k1_fit">
      <calculatedColumnFormula>INDEX(LINEST(INDEX(Attenuation!$O:$O,AO2):INDEX(Attenuation!$O:$O,AO2+AP2-1),INDEX(Attenuation!$L:$L,AO2):INDEX(Attenuation!$N:$N,AO2+AP2-1),FALSE,FALSE),1,2)</calculatedColumnFormula>
    </tableColumn>
    <tableColumn id="47" xr3:uid="{00000000-0010-0000-0000-00002F000000}" name="k2_fit">
      <calculatedColumnFormula>INDEX(LINEST(INDEX(Attenuation!$O:$O,AO2):INDEX(Attenuation!$O:$O,AO2+AP2-1),INDEX(Attenuation!$L:$L,AO2):INDEX(Attenuation!$N:$N,AO2+AP2-1),FALSE,FALSE),1,1)</calculatedColumnFormula>
    </tableColumn>
    <tableColumn id="48" xr3:uid="{00000000-0010-0000-0000-000030000000}" name="fit_rms_pct">
      <calculatedColumnFormula>SQRT(SUMIFS(Attenuation!$R:$R,Attenuation!$B:$B,A2)/AP2)</calculatedColumnFormula>
    </tableColumn>
    <tableColumn id="49" xr3:uid="{00000000-0010-0000-0000-000031000000}" name="pwr_first_row">
      <calculatedColumnFormula>IFERROR(MATCH(A2,Power!$B:$B,0),"")</calculatedColumnFormula>
    </tableColumn>
    <tableColumn id="50" xr3:uid="{00000000-0010-0000-0000-000032000000}" name="pwr_n">
      <calculatedColumnFormula>COUNTIF(Power!$B:$B,A2)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ttenuation" displayName="tblAttenuation" ref="A1:T1127">
  <autoFilter ref="A1:T1127" xr:uid="{00000000-0009-0000-0100-000002000000}"/>
  <tableColumns count="20">
    <tableColumn id="1" xr3:uid="{00000000-0010-0000-0100-000001000000}" name="point_id"/>
    <tableColumn id="2" xr3:uid="{00000000-0010-0000-0100-000002000000}" name="cable_id"/>
    <tableColumn id="3" xr3:uid="{00000000-0010-0000-0100-000003000000}" name="freq_mhz"/>
    <tableColumn id="4" xr3:uid="{00000000-0010-0000-0100-000004000000}" name="value"/>
    <tableColumn id="5" xr3:uid="{00000000-0010-0000-0100-000005000000}" name="unit"/>
    <tableColumn id="6" xr3:uid="{00000000-0010-0000-0100-000006000000}" name="temp_c"/>
    <tableColumn id="7" xr3:uid="{00000000-0010-0000-0100-000007000000}" name="source_id"/>
    <tableColumn id="8" xr3:uid="{00000000-0010-0000-0100-000008000000}" name="source_ref"/>
    <tableColumn id="9" xr3:uid="{00000000-0010-0000-0100-000009000000}" name="att_db_100m">
      <calculatedColumnFormula>IF(E2="dB/100ft",D2*100/30.48,D2)</calculatedColumnFormula>
    </tableColumn>
    <tableColumn id="10" xr3:uid="{00000000-0010-0000-0100-00000A000000}" name="ln_f">
      <calculatedColumnFormula>LN(C2)</calculatedColumnFormula>
    </tableColumn>
    <tableColumn id="11" xr3:uid="{00000000-0010-0000-0100-00000B000000}" name="ln_att">
      <calculatedColumnFormula>LN(I2)</calculatedColumnFormula>
    </tableColumn>
    <tableColumn id="12" xr3:uid="{00000000-0010-0000-0100-00000C000000}" name="w0">
      <calculatedColumnFormula>1/I2</calculatedColumnFormula>
    </tableColumn>
    <tableColumn id="13" xr3:uid="{00000000-0010-0000-0100-00000D000000}" name="w1">
      <calculatedColumnFormula>SQRT(C2)/I2</calculatedColumnFormula>
    </tableColumn>
    <tableColumn id="14" xr3:uid="{00000000-0010-0000-0100-00000E000000}" name="w2">
      <calculatedColumnFormula>C2/I2</calculatedColumnFormula>
    </tableColumn>
    <tableColumn id="15" xr3:uid="{00000000-0010-0000-0100-00000F000000}" name="one">
      <calculatedColumnFormula>1</calculatedColumnFormula>
    </tableColumn>
    <tableColumn id="16" xr3:uid="{00000000-0010-0000-0100-000010000000}" name="model_db_100m">
      <calculatedColumnFormula>INDEX(Cables!$AS:$AS,MATCH(B2,Cables!$A:$A,0))+INDEX(Cables!$AT:$AT,MATCH(B2,Cables!$A:$A,0))*SQRT(C2)+INDEX(Cables!$AU:$AU,MATCH(B2,Cables!$A:$A,0))*C2</calculatedColumnFormula>
    </tableColumn>
    <tableColumn id="17" xr3:uid="{00000000-0010-0000-0100-000011000000}" name="dev_pct">
      <calculatedColumnFormula>P2/I2-1</calculatedColumnFormula>
    </tableColumn>
    <tableColumn id="18" xr3:uid="{00000000-0010-0000-0100-000012000000}" name="dev_sq">
      <calculatedColumnFormula>Q2^2</calculatedColumnFormula>
    </tableColumn>
    <tableColumn id="19" xr3:uid="{00000000-0010-0000-0100-000013000000}" name="order_ok">
      <calculatedColumnFormula>IF(B2=B1,C2&gt;C1,COUNTIF(B$1:B1,B2)=0)</calculatedColumnFormula>
    </tableColumn>
    <tableColumn id="20" xr3:uid="{00000000-0010-0000-0100-000014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ower" displayName="tblPower" ref="A1:M776">
  <autoFilter ref="A1:M776" xr:uid="{00000000-0009-0000-0100-000003000000}"/>
  <tableColumns count="13">
    <tableColumn id="1" xr3:uid="{00000000-0010-0000-0200-000001000000}" name="power_id"/>
    <tableColumn id="2" xr3:uid="{00000000-0010-0000-0200-000002000000}" name="cable_id"/>
    <tableColumn id="3" xr3:uid="{00000000-0010-0000-0200-000003000000}" name="freq_mhz"/>
    <tableColumn id="4" xr3:uid="{00000000-0010-0000-0200-000004000000}" name="value"/>
    <tableColumn id="5" xr3:uid="{00000000-0010-0000-0200-000005000000}" name="unit"/>
    <tableColumn id="6" xr3:uid="{00000000-0010-0000-0200-000006000000}" name="ambient_temp_c"/>
    <tableColumn id="7" xr3:uid="{00000000-0010-0000-0200-000007000000}" name="source_id"/>
    <tableColumn id="8" xr3:uid="{00000000-0010-0000-0200-000008000000}" name="source_ref"/>
    <tableColumn id="9" xr3:uid="{00000000-0010-0000-0200-000009000000}" name="power_w">
      <calculatedColumnFormula>IF(E2="kW",D2*1000,D2)</calculatedColumnFormula>
    </tableColumn>
    <tableColumn id="10" xr3:uid="{00000000-0010-0000-0200-00000A000000}" name="ln_f">
      <calculatedColumnFormula>LN(C2)</calculatedColumnFormula>
    </tableColumn>
    <tableColumn id="11" xr3:uid="{00000000-0010-0000-0200-00000B000000}" name="ln_p">
      <calculatedColumnFormula>LN(I2)</calculatedColumnFormula>
    </tableColumn>
    <tableColumn id="12" xr3:uid="{00000000-0010-0000-0200-00000C000000}" name="order_ok">
      <calculatedColumnFormula>IF(B2=B1,C2&gt;C1,COUNTIF(B$1:B1,B2)=0)</calculatedColumnFormula>
    </tableColumn>
    <tableColumn id="13" xr3:uid="{00000000-0010-0000-0200-00000D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ources" displayName="tblSources" ref="A1:K55">
  <autoFilter ref="A1:K55" xr:uid="{00000000-0009-0000-0100-000004000000}"/>
  <tableColumns count="11">
    <tableColumn id="1" xr3:uid="{00000000-0010-0000-0300-000001000000}" name="source_id"/>
    <tableColumn id="2" xr3:uid="{00000000-0010-0000-0300-000002000000}" name="publisher"/>
    <tableColumn id="3" xr3:uid="{00000000-0010-0000-0300-000003000000}" name="document_title"/>
    <tableColumn id="4" xr3:uid="{00000000-0010-0000-0300-000004000000}" name="part_number"/>
    <tableColumn id="5" xr3:uid="{00000000-0010-0000-0300-000005000000}" name="revision"/>
    <tableColumn id="6" xr3:uid="{00000000-0010-0000-0300-000006000000}" name="document_date"/>
    <tableColumn id="7" xr3:uid="{00000000-0010-0000-0300-000007000000}" name="host"/>
    <tableColumn id="8" xr3:uid="{00000000-0010-0000-0300-000008000000}" name="url"/>
    <tableColumn id="9" xr3:uid="{00000000-0010-0000-0300-000009000000}" name="accessed"/>
    <tableColumn id="10" xr3:uid="{00000000-0010-0000-0300-00000A000000}" name="local_file"/>
    <tableColumn id="11" xr3:uid="{00000000-0010-0000-03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egacyIndex" displayName="tblLegacyIndex" ref="A1:L61">
  <autoFilter ref="A1:L61" xr:uid="{00000000-0009-0000-0100-000005000000}"/>
  <tableColumns count="12">
    <tableColumn id="1" xr3:uid="{00000000-0010-0000-0400-000001000000}" name="legacy_key"/>
    <tableColumn id="2" xr3:uid="{00000000-0010-0000-0400-000002000000}" name="legacy_sheet"/>
    <tableColumn id="3" xr3:uid="{00000000-0010-0000-0400-000003000000}" name="legacy_row"/>
    <tableColumn id="4" xr3:uid="{00000000-0010-0000-0400-000004000000}" name="legacy_name"/>
    <tableColumn id="5" xr3:uid="{00000000-0010-0000-0400-000005000000}" name="z0_old"/>
    <tableColumn id="6" xr3:uid="{00000000-0010-0000-0400-000006000000}" name="od_old_mm"/>
    <tableColumn id="7" xr3:uid="{00000000-0010-0000-0400-000007000000}" name="cable_id"/>
    <tableColumn id="8" xr3:uid="{00000000-0010-0000-0400-000008000000}" name="match_type"/>
    <tableColumn id="9" xr3:uid="{00000000-0010-0000-0400-000009000000}" name="status"/>
    <tableColumn id="10" xr3:uid="{00000000-0010-0000-0400-00000A000000}" name="note"/>
    <tableColumn id="11" xr3:uid="{00000000-0010-0000-0400-00000B000000}" name="z0_new"/>
    <tableColumn id="12" xr3:uid="{00000000-0010-0000-0400-00000C000000}" name="od_new_m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egacyPoints" displayName="tblLegacyPoints" ref="A1:K418">
  <autoFilter ref="A1:K418" xr:uid="{00000000-0009-0000-0100-000006000000}"/>
  <tableColumns count="11">
    <tableColumn id="1" xr3:uid="{00000000-0010-0000-0500-000001000000}" name="legacy_key"/>
    <tableColumn id="2" xr3:uid="{00000000-0010-0000-0500-000002000000}" name="legacy_name"/>
    <tableColumn id="3" xr3:uid="{00000000-0010-0000-0500-000003000000}" name="band"/>
    <tableColumn id="4" xr3:uid="{00000000-0010-0000-0500-000004000000}" name="f_lo_mhz"/>
    <tableColumn id="5" xr3:uid="{00000000-0010-0000-0500-000005000000}" name="f_hi_mhz"/>
    <tableColumn id="6" xr3:uid="{00000000-0010-0000-0500-000006000000}" name="old_db_100ft"/>
    <tableColumn id="7" xr3:uid="{00000000-0010-0000-0500-000007000000}" name="cable_id"/>
    <tableColumn id="8" xr3:uid="{00000000-0010-0000-0500-000008000000}" name="new_lo_db_100ft"/>
    <tableColumn id="9" xr3:uid="{00000000-0010-0000-0500-000009000000}" name="new_hi_db_100ft"/>
    <tableColumn id="10" xr3:uid="{00000000-0010-0000-0500-00000A000000}" name="dev_pct"/>
    <tableColumn id="11" xr3:uid="{00000000-0010-0000-0500-00000B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ataDictionary" displayName="tblDataDictionary" ref="A1:E95">
  <autoFilter ref="A1:E95" xr:uid="{00000000-0009-0000-0100-000007000000}"/>
  <tableColumns count="5">
    <tableColumn id="1" xr3:uid="{00000000-0010-0000-0600-000001000000}" name="table"/>
    <tableColumn id="2" xr3:uid="{00000000-0010-0000-0600-000002000000}" name="column"/>
    <tableColumn id="3" xr3:uid="{00000000-0010-0000-0600-000003000000}" name="description_tr"/>
    <tableColumn id="4" xr3:uid="{00000000-0010-0000-0600-000004000000}" name="unit"/>
    <tableColumn id="5" xr3:uid="{00000000-0010-0000-0600-000005000000}" name="ki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imegs.com/image/catalog/catalog-documents/recber-kablo-urun-katalogu.pdf" TargetMode="External"/><Relationship Id="rId21" Type="http://schemas.openxmlformats.org/officeDocument/2006/relationships/hyperlink" Target="kaynaklar/S010_MessiPaoloni_Airborne5.pdf" TargetMode="External"/><Relationship Id="rId42" Type="http://schemas.openxmlformats.org/officeDocument/2006/relationships/hyperlink" Target="https://catalog.belden.com/techdata/EN/9269_techdata.pdf" TargetMode="External"/><Relationship Id="rId47" Type="http://schemas.openxmlformats.org/officeDocument/2006/relationships/hyperlink" Target="kaynaklar/S023_MessiPaoloni_Hyperflex5.pdf" TargetMode="External"/><Relationship Id="rId63" Type="http://schemas.openxmlformats.org/officeDocument/2006/relationships/hyperlink" Target="kaynaklar/S031_Andrew_FSJ1-50A.pdf" TargetMode="External"/><Relationship Id="rId68" Type="http://schemas.openxmlformats.org/officeDocument/2006/relationships/hyperlink" Target="https://www.rfparts.com/old_site/pdf_docs/AndrewHeliax/LDF2-50.pdf" TargetMode="External"/><Relationship Id="rId84" Type="http://schemas.openxmlformats.org/officeDocument/2006/relationships/hyperlink" Target="https://static-sl.insales.ru/files/1/3139/14543939/original/10D-FB_PEEG_PE.pdf" TargetMode="External"/><Relationship Id="rId89" Type="http://schemas.openxmlformats.org/officeDocument/2006/relationships/hyperlink" Target="kaynaklar/S044_Belden_8263.pdf" TargetMode="External"/><Relationship Id="rId16" Type="http://schemas.openxmlformats.org/officeDocument/2006/relationships/hyperlink" Target="https://catalog.belden.com/techdata/EN/H155A01_techdata.pdf" TargetMode="External"/><Relationship Id="rId107" Type="http://schemas.openxmlformats.org/officeDocument/2006/relationships/hyperlink" Target="kaynaklar/S053_Belden_H2000Flex_DMT.pdf" TargetMode="External"/><Relationship Id="rId11" Type="http://schemas.openxmlformats.org/officeDocument/2006/relationships/hyperlink" Target="kaynaklar/S005_Belden_8267.pdf" TargetMode="External"/><Relationship Id="rId32" Type="http://schemas.openxmlformats.org/officeDocument/2006/relationships/hyperlink" Target="https://catalog.belden.com/techdata/EN/83269_techdata.pdf" TargetMode="External"/><Relationship Id="rId37" Type="http://schemas.openxmlformats.org/officeDocument/2006/relationships/hyperlink" Target="kaynaklar/S018_Belden_83242.pdf" TargetMode="External"/><Relationship Id="rId53" Type="http://schemas.openxmlformats.org/officeDocument/2006/relationships/hyperlink" Target="kaynaklar/S026_MessiPaoloni_Airborne10.pdf" TargetMode="External"/><Relationship Id="rId58" Type="http://schemas.openxmlformats.org/officeDocument/2006/relationships/hyperlink" Target="https://www.ssb.de/media/scf14-50j.pdf" TargetMode="External"/><Relationship Id="rId74" Type="http://schemas.openxmlformats.org/officeDocument/2006/relationships/hyperlink" Target="https://www.repeater-builder.com/antenna/andrew/andrew-ldf7-50a-spec-sheet.pdf" TargetMode="External"/><Relationship Id="rId79" Type="http://schemas.openxmlformats.org/officeDocument/2006/relationships/hyperlink" Target="kaynaklar/S039_Belden_H1000C1.pdf" TargetMode="External"/><Relationship Id="rId102" Type="http://schemas.openxmlformats.org/officeDocument/2006/relationships/hyperlink" Target="https://www.rigpix.com/otherusefulinfo/coax/aircell5.pdf" TargetMode="External"/><Relationship Id="rId5" Type="http://schemas.openxmlformats.org/officeDocument/2006/relationships/hyperlink" Target="kaynaklar/S002_TimesMicrowave_LMR-400_Fairview.pdf" TargetMode="External"/><Relationship Id="rId90" Type="http://schemas.openxmlformats.org/officeDocument/2006/relationships/hyperlink" Target="https://catalog.belden.com/techdata/EN/1694A_techdata.pdf" TargetMode="External"/><Relationship Id="rId95" Type="http://schemas.openxmlformats.org/officeDocument/2006/relationships/hyperlink" Target="kaynaklar/S047_Belden_8261.pdf" TargetMode="External"/><Relationship Id="rId22" Type="http://schemas.openxmlformats.org/officeDocument/2006/relationships/hyperlink" Target="https://www.tempestns.com/wp-content/uploads/2020/06/Commscope-LDF4-50A-data.pdf" TargetMode="External"/><Relationship Id="rId27" Type="http://schemas.openxmlformats.org/officeDocument/2006/relationships/hyperlink" Target="kaynaklar/S013_Recber_Kablo_Urun_Katalogu.pdf" TargetMode="External"/><Relationship Id="rId43" Type="http://schemas.openxmlformats.org/officeDocument/2006/relationships/hyperlink" Target="kaynaklar/S021_Belden_9269.pdf" TargetMode="External"/><Relationship Id="rId48" Type="http://schemas.openxmlformats.org/officeDocument/2006/relationships/hyperlink" Target="https://messi.it/dati/layout/files/CartellaElementi/Ultraflex%207%20-%20Full%20Datasheet%20ENG.pdf" TargetMode="External"/><Relationship Id="rId64" Type="http://schemas.openxmlformats.org/officeDocument/2006/relationships/hyperlink" Target="https://www.rfparts.com/old_site/pdf_docs/AndrewHeliax/FSJ2-50.pdf" TargetMode="External"/><Relationship Id="rId69" Type="http://schemas.openxmlformats.org/officeDocument/2006/relationships/hyperlink" Target="kaynaklar/S034_Andrew_LDF2-50.pdf" TargetMode="External"/><Relationship Id="rId80" Type="http://schemas.openxmlformats.org/officeDocument/2006/relationships/hyperlink" Target="https://www.rfparts.com/coax/coax-other/buryflex.html" TargetMode="External"/><Relationship Id="rId85" Type="http://schemas.openxmlformats.org/officeDocument/2006/relationships/hyperlink" Target="kaynaklar/S042_10D-FB_spec_2020.pdf" TargetMode="External"/><Relationship Id="rId12" Type="http://schemas.openxmlformats.org/officeDocument/2006/relationships/hyperlink" Target="https://catalog.belden.com/techdata/EN/8216_techdata.pdf" TargetMode="External"/><Relationship Id="rId17" Type="http://schemas.openxmlformats.org/officeDocument/2006/relationships/hyperlink" Target="kaynaklar/S008_Belden_H155A01.pdf" TargetMode="External"/><Relationship Id="rId33" Type="http://schemas.openxmlformats.org/officeDocument/2006/relationships/hyperlink" Target="kaynaklar/S016_Belden_83269.pdf" TargetMode="External"/><Relationship Id="rId38" Type="http://schemas.openxmlformats.org/officeDocument/2006/relationships/hyperlink" Target="https://marmon-ad.com/products/wire-cable/rf-cable/m17-series/m17-128-rg400" TargetMode="External"/><Relationship Id="rId59" Type="http://schemas.openxmlformats.org/officeDocument/2006/relationships/hyperlink" Target="kaynaklar/S029_RFS_SCF14-50J.pdf" TargetMode="External"/><Relationship Id="rId103" Type="http://schemas.openxmlformats.org/officeDocument/2006/relationships/hyperlink" Target="kaynaklar/S051_SSB_Aircell5.pdf" TargetMode="External"/><Relationship Id="rId108" Type="http://schemas.openxmlformats.org/officeDocument/2006/relationships/table" Target="../tables/table4.xml"/><Relationship Id="rId20" Type="http://schemas.openxmlformats.org/officeDocument/2006/relationships/hyperlink" Target="https://messi.it/dati/layout/files/CartellaElementi/Airborne%205%20-%20Full%20Datasheet%20ENG.pdf" TargetMode="External"/><Relationship Id="rId41" Type="http://schemas.openxmlformats.org/officeDocument/2006/relationships/hyperlink" Target="kaynaklar/S020_Belden_8219.pdf" TargetMode="External"/><Relationship Id="rId54" Type="http://schemas.openxmlformats.org/officeDocument/2006/relationships/hyperlink" Target="https://messi.it/dati/layout/files/CartellaElementi/Hyperflex%2013%20-%20Full%20Datasheet%20ENG.pdf" TargetMode="External"/><Relationship Id="rId62" Type="http://schemas.openxmlformats.org/officeDocument/2006/relationships/hyperlink" Target="https://www.rfparts.com/old_site/pdf_docs/AndrewHeliax/FSJ1-50A.pdf" TargetMode="External"/><Relationship Id="rId70" Type="http://schemas.openxmlformats.org/officeDocument/2006/relationships/hyperlink" Target="https://www.repeater-builder.com/antenna/andrew/andrew-ldf5-50a-spec-sheet.pdf" TargetMode="External"/><Relationship Id="rId75" Type="http://schemas.openxmlformats.org/officeDocument/2006/relationships/hyperlink" Target="kaynaklar/S037_Andrew_LDF7-50A.pdf" TargetMode="External"/><Relationship Id="rId83" Type="http://schemas.openxmlformats.org/officeDocument/2006/relationships/hyperlink" Target="kaynaklar/S041_Ericsson_TZC50032.pdf" TargetMode="External"/><Relationship Id="rId88" Type="http://schemas.openxmlformats.org/officeDocument/2006/relationships/hyperlink" Target="https://catalog.belden.com/techdata/EN/8263_techdata.pdf" TargetMode="External"/><Relationship Id="rId91" Type="http://schemas.openxmlformats.org/officeDocument/2006/relationships/hyperlink" Target="kaynaklar/S045_Belden_1694A.pdf" TargetMode="External"/><Relationship Id="rId96" Type="http://schemas.openxmlformats.org/officeDocument/2006/relationships/hyperlink" Target="https://asset.conrad.com/media10/add/160267/c1/-/de/000604979DS01/datasheet-604979-ssb-6085-coax-outside-diameter-1020-mm-ecoflex-10-50-90-db-black-sold-per-metre.pdf" TargetMode="External"/><Relationship Id="rId1" Type="http://schemas.openxmlformats.org/officeDocument/2006/relationships/hyperlink" Target="data/legacy/TA3HRJ%20-%20Coaxial_Cable_Attenuation_Chart.xlsx" TargetMode="External"/><Relationship Id="rId6" Type="http://schemas.openxmlformats.org/officeDocument/2006/relationships/hyperlink" Target="https://www.fairviewmicrowave.com/images/productPDF/LMR-240.pdf" TargetMode="External"/><Relationship Id="rId15" Type="http://schemas.openxmlformats.org/officeDocument/2006/relationships/hyperlink" Target="kaynaklar/S007_Belden_9258.pdf" TargetMode="External"/><Relationship Id="rId23" Type="http://schemas.openxmlformats.org/officeDocument/2006/relationships/hyperlink" Target="kaynaklar/S011_CommScope_LDF4-50A.pdf" TargetMode="External"/><Relationship Id="rId28" Type="http://schemas.openxmlformats.org/officeDocument/2006/relationships/hyperlink" Target="https://catalog.belden.com/techdata/EN/83265_techdata.pdf" TargetMode="External"/><Relationship Id="rId36" Type="http://schemas.openxmlformats.org/officeDocument/2006/relationships/hyperlink" Target="https://catalog.belden.com/techdata/EN/83242_techdata.pdf" TargetMode="External"/><Relationship Id="rId49" Type="http://schemas.openxmlformats.org/officeDocument/2006/relationships/hyperlink" Target="kaynaklar/S024_MessiPaoloni_Ultraflex7.pdf" TargetMode="External"/><Relationship Id="rId57" Type="http://schemas.openxmlformats.org/officeDocument/2006/relationships/hyperlink" Target="kaynaklar/S028_MessiPaoloni_Catalog_2022.pdf" TargetMode="External"/><Relationship Id="rId106" Type="http://schemas.openxmlformats.org/officeDocument/2006/relationships/hyperlink" Target="http://www.on4kst.com/10el50/H2000.pdf" TargetMode="External"/><Relationship Id="rId10" Type="http://schemas.openxmlformats.org/officeDocument/2006/relationships/hyperlink" Target="https://catalog.belden.com/techdata/EN/8267_techdata.pdf" TargetMode="External"/><Relationship Id="rId31" Type="http://schemas.openxmlformats.org/officeDocument/2006/relationships/hyperlink" Target="kaynaklar/S015_Belden_84316.pdf" TargetMode="External"/><Relationship Id="rId44" Type="http://schemas.openxmlformats.org/officeDocument/2006/relationships/hyperlink" Target="https://catalog.belden.com/techdata/EN/8268_techdata.pdf" TargetMode="External"/><Relationship Id="rId52" Type="http://schemas.openxmlformats.org/officeDocument/2006/relationships/hyperlink" Target="https://messi.it/dati/layout/files/CartellaElementi/Airborne%2010%20-%20Full%20Datasheet%20ENG.pdf" TargetMode="External"/><Relationship Id="rId60" Type="http://schemas.openxmlformats.org/officeDocument/2006/relationships/hyperlink" Target="https://www.rfsworld.com/pim/product/pdf/SCF38-50J" TargetMode="External"/><Relationship Id="rId65" Type="http://schemas.openxmlformats.org/officeDocument/2006/relationships/hyperlink" Target="kaynaklar/S032_Andrew_FSJ2-50.pdf" TargetMode="External"/><Relationship Id="rId73" Type="http://schemas.openxmlformats.org/officeDocument/2006/relationships/hyperlink" Target="kaynaklar/S036_Andrew_LDF6-50.pdf" TargetMode="External"/><Relationship Id="rId78" Type="http://schemas.openxmlformats.org/officeDocument/2006/relationships/hyperlink" Target="https://catalog.belden.com/techdata/EN/H1000C1_techdata.pdf" TargetMode="External"/><Relationship Id="rId81" Type="http://schemas.openxmlformats.org/officeDocument/2006/relationships/hyperlink" Target="kaynaklar/S040_DavisRF_BuryFlex_RFParts.txt" TargetMode="External"/><Relationship Id="rId86" Type="http://schemas.openxmlformats.org/officeDocument/2006/relationships/hyperlink" Target="https://catalog.belden.com/techdata/EN/83264_techdata.pdf" TargetMode="External"/><Relationship Id="rId94" Type="http://schemas.openxmlformats.org/officeDocument/2006/relationships/hyperlink" Target="https://catalog.belden.com/techdata/EN/8261_techdata.pdf" TargetMode="External"/><Relationship Id="rId99" Type="http://schemas.openxmlformats.org/officeDocument/2006/relationships/hyperlink" Target="kaynaklar/S049_SSB_Aircell7.pdf" TargetMode="External"/><Relationship Id="rId101" Type="http://schemas.openxmlformats.org/officeDocument/2006/relationships/hyperlink" Target="kaynaklar/S050_SSB_Ecoflex15.pdf" TargetMode="External"/><Relationship Id="rId4" Type="http://schemas.openxmlformats.org/officeDocument/2006/relationships/hyperlink" Target="https://www.fairviewmicrowave.com/images/productPDF/LMR-400.pdf" TargetMode="External"/><Relationship Id="rId9" Type="http://schemas.openxmlformats.org/officeDocument/2006/relationships/hyperlink" Target="kaynaklar/S004_Belden_8259.pdf" TargetMode="External"/><Relationship Id="rId13" Type="http://schemas.openxmlformats.org/officeDocument/2006/relationships/hyperlink" Target="kaynaklar/S006_Belden_8216.pdf" TargetMode="External"/><Relationship Id="rId18" Type="http://schemas.openxmlformats.org/officeDocument/2006/relationships/hyperlink" Target="https://messi.it/dati/layout/files/CartellaElementi/Hyperflex%2010%20-%20Full%20Datasheet%20ENG.pdf" TargetMode="External"/><Relationship Id="rId39" Type="http://schemas.openxmlformats.org/officeDocument/2006/relationships/hyperlink" Target="kaynaklar/S019_Harbour_M17-128-RG400_Marmon.txt" TargetMode="External"/><Relationship Id="rId34" Type="http://schemas.openxmlformats.org/officeDocument/2006/relationships/hyperlink" Target="https://catalog.belden.com/techdata/EN/9273_techdata.pdf" TargetMode="External"/><Relationship Id="rId50" Type="http://schemas.openxmlformats.org/officeDocument/2006/relationships/hyperlink" Target="https://messi.it/dati/layout/files/CartellaElementi/Ultraflex%2010%20-%20Full%20Datasheet%20ENG.pdf" TargetMode="External"/><Relationship Id="rId55" Type="http://schemas.openxmlformats.org/officeDocument/2006/relationships/hyperlink" Target="kaynaklar/S027_MessiPaoloni_Hyperflex13.pdf" TargetMode="External"/><Relationship Id="rId76" Type="http://schemas.openxmlformats.org/officeDocument/2006/relationships/hyperlink" Target="https://catalog.belden.com/techdata/EN/9914_techdata.pdf" TargetMode="External"/><Relationship Id="rId97" Type="http://schemas.openxmlformats.org/officeDocument/2006/relationships/hyperlink" Target="kaynaklar/S048_SSB_Ecoflex10.pdf" TargetMode="External"/><Relationship Id="rId104" Type="http://schemas.openxmlformats.org/officeDocument/2006/relationships/hyperlink" Target="https://www.freebytes.com/catalog/images/cables/westflex103/w103-data.pdf" TargetMode="External"/><Relationship Id="rId7" Type="http://schemas.openxmlformats.org/officeDocument/2006/relationships/hyperlink" Target="kaynaklar/S003_TimesMicrowave_LMR-240_Fairview.pdf" TargetMode="External"/><Relationship Id="rId71" Type="http://schemas.openxmlformats.org/officeDocument/2006/relationships/hyperlink" Target="kaynaklar/S035_Andrew_LDF5-50A.pdf" TargetMode="External"/><Relationship Id="rId92" Type="http://schemas.openxmlformats.org/officeDocument/2006/relationships/hyperlink" Target="https://catalog.belden.com/techdata/EN/9292_techdata.pdf" TargetMode="External"/><Relationship Id="rId2" Type="http://schemas.openxmlformats.org/officeDocument/2006/relationships/hyperlink" Target="https://www.rfparts.com/old_site/pdf_docs/LMR/Coax_Selection_Guide.pdf" TargetMode="External"/><Relationship Id="rId29" Type="http://schemas.openxmlformats.org/officeDocument/2006/relationships/hyperlink" Target="kaynaklar/S014_Belden_83265.pdf" TargetMode="External"/><Relationship Id="rId24" Type="http://schemas.openxmlformats.org/officeDocument/2006/relationships/hyperlink" Target="https://www.konnektorsepeti.com/hazir-kablo/n-n-kablo/n-erkek-n-erkek-koaksiyel-kablo-lmr400-rwc400" TargetMode="External"/><Relationship Id="rId40" Type="http://schemas.openxmlformats.org/officeDocument/2006/relationships/hyperlink" Target="https://catalog.belden.com/techdata/EN/8219_techdata.pdf" TargetMode="External"/><Relationship Id="rId45" Type="http://schemas.openxmlformats.org/officeDocument/2006/relationships/hyperlink" Target="kaynaklar/S022_Belden_8268.pdf" TargetMode="External"/><Relationship Id="rId66" Type="http://schemas.openxmlformats.org/officeDocument/2006/relationships/hyperlink" Target="https://www.rfparts.com/old_site/pdf_docs/AndrewHeliax/FSJ4-50B.pdf" TargetMode="External"/><Relationship Id="rId87" Type="http://schemas.openxmlformats.org/officeDocument/2006/relationships/hyperlink" Target="kaynaklar/S043_Belden_83264.pdf" TargetMode="External"/><Relationship Id="rId61" Type="http://schemas.openxmlformats.org/officeDocument/2006/relationships/hyperlink" Target="kaynaklar/S030_RFS_SCF38-50J.pdf" TargetMode="External"/><Relationship Id="rId82" Type="http://schemas.openxmlformats.org/officeDocument/2006/relationships/hyperlink" Target="https://selteq.com.ua/ru/wp-content/uploads/2022/04/TZC_500_32.pdf" TargetMode="External"/><Relationship Id="rId19" Type="http://schemas.openxmlformats.org/officeDocument/2006/relationships/hyperlink" Target="kaynaklar/S009_MessiPaoloni_Hyperflex10.pdf" TargetMode="External"/><Relationship Id="rId14" Type="http://schemas.openxmlformats.org/officeDocument/2006/relationships/hyperlink" Target="https://catalog.belden.com/techdata/EN/9258_techdata.pdf" TargetMode="External"/><Relationship Id="rId30" Type="http://schemas.openxmlformats.org/officeDocument/2006/relationships/hyperlink" Target="https://catalog.belden.com/techdata/EN/84316_techdata.pdf" TargetMode="External"/><Relationship Id="rId35" Type="http://schemas.openxmlformats.org/officeDocument/2006/relationships/hyperlink" Target="kaynaklar/S017_Belden_9273.pdf" TargetMode="External"/><Relationship Id="rId56" Type="http://schemas.openxmlformats.org/officeDocument/2006/relationships/hyperlink" Target="https://messi.it/dati/layout/files/cartellaelementi/50-ohm-coaxial-cables-connectors-catalog-2022-min.pdf" TargetMode="External"/><Relationship Id="rId77" Type="http://schemas.openxmlformats.org/officeDocument/2006/relationships/hyperlink" Target="kaynaklar/S038_Belden_9914.pdf" TargetMode="External"/><Relationship Id="rId100" Type="http://schemas.openxmlformats.org/officeDocument/2006/relationships/hyperlink" Target="https://www.rigpix.com/otherusefulinfo/coax/ecoflex15.pdf" TargetMode="External"/><Relationship Id="rId105" Type="http://schemas.openxmlformats.org/officeDocument/2006/relationships/hyperlink" Target="kaynaklar/S052_Westflex103.pdf" TargetMode="External"/><Relationship Id="rId8" Type="http://schemas.openxmlformats.org/officeDocument/2006/relationships/hyperlink" Target="https://catalog.belden.com/techdata/EN/8259_techdata.pdf" TargetMode="External"/><Relationship Id="rId51" Type="http://schemas.openxmlformats.org/officeDocument/2006/relationships/hyperlink" Target="kaynaklar/S025_MessiPaoloni_Ultraflex10.pdf" TargetMode="External"/><Relationship Id="rId72" Type="http://schemas.openxmlformats.org/officeDocument/2006/relationships/hyperlink" Target="https://www.rfparts.com/old_site/pdf_docs/AndrewHeliax/LDF6-50.pdf" TargetMode="External"/><Relationship Id="rId93" Type="http://schemas.openxmlformats.org/officeDocument/2006/relationships/hyperlink" Target="kaynaklar/S046_Belden_9292.pdf" TargetMode="External"/><Relationship Id="rId98" Type="http://schemas.openxmlformats.org/officeDocument/2006/relationships/hyperlink" Target="https://www.rigpix.com/otherusefulinfo/coax/aircell7.pdf" TargetMode="External"/><Relationship Id="rId3" Type="http://schemas.openxmlformats.org/officeDocument/2006/relationships/hyperlink" Target="kaynaklar/S001_TimesMicrowave_Coax_Selection_Guide.pdf" TargetMode="External"/><Relationship Id="rId25" Type="http://schemas.openxmlformats.org/officeDocument/2006/relationships/hyperlink" Target="kaynaklar/S012_KonnektorSepeti_RWC400PE.txt" TargetMode="External"/><Relationship Id="rId46" Type="http://schemas.openxmlformats.org/officeDocument/2006/relationships/hyperlink" Target="https://messi.it/dati/layout/files/CartellaElementi/Hyperflex%205%20-%20Full%20Datasheet%20ENG.pdf" TargetMode="External"/><Relationship Id="rId67" Type="http://schemas.openxmlformats.org/officeDocument/2006/relationships/hyperlink" Target="kaynaklar/S033_Andrew_FSJ4-50B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RowHeight="15" x14ac:dyDescent="0.25"/>
  <cols>
    <col min="1" max="1" width="2" customWidth="1"/>
    <col min="2" max="2" width="120" customWidth="1"/>
  </cols>
  <sheetData>
    <row r="1" spans="1:2" ht="18" x14ac:dyDescent="0.25">
      <c r="A1" s="1"/>
      <c r="B1" s="2" t="s">
        <v>0</v>
      </c>
    </row>
    <row r="2" spans="1:2" ht="25.5" x14ac:dyDescent="0.25">
      <c r="A2" s="1"/>
      <c r="B2" s="3" t="s">
        <v>1</v>
      </c>
    </row>
    <row r="3" spans="1:2" x14ac:dyDescent="0.25">
      <c r="A3" s="1"/>
      <c r="B3" s="4"/>
    </row>
    <row r="4" spans="1:2" x14ac:dyDescent="0.25">
      <c r="A4" s="1"/>
      <c r="B4" s="5" t="s">
        <v>2</v>
      </c>
    </row>
    <row r="5" spans="1:2" ht="25.5" x14ac:dyDescent="0.25">
      <c r="A5" s="1"/>
      <c r="B5" s="4" t="s">
        <v>3</v>
      </c>
    </row>
    <row r="6" spans="1:2" x14ac:dyDescent="0.25">
      <c r="A6" s="1"/>
      <c r="B6" s="4"/>
    </row>
    <row r="7" spans="1:2" x14ac:dyDescent="0.25">
      <c r="A7" s="1"/>
      <c r="B7" s="5" t="s">
        <v>4</v>
      </c>
    </row>
    <row r="8" spans="1:2" ht="25.5" x14ac:dyDescent="0.25">
      <c r="A8" s="1"/>
      <c r="B8" s="4" t="s">
        <v>5</v>
      </c>
    </row>
    <row r="9" spans="1:2" x14ac:dyDescent="0.25">
      <c r="A9" s="1"/>
      <c r="B9" s="4" t="s">
        <v>6</v>
      </c>
    </row>
    <row r="10" spans="1:2" ht="25.5" x14ac:dyDescent="0.25">
      <c r="A10" s="1"/>
      <c r="B10" s="4" t="s">
        <v>7</v>
      </c>
    </row>
    <row r="11" spans="1:2" x14ac:dyDescent="0.25">
      <c r="A11" s="1"/>
      <c r="B11" s="4" t="s">
        <v>8</v>
      </c>
    </row>
    <row r="12" spans="1:2" x14ac:dyDescent="0.25">
      <c r="A12" s="1"/>
      <c r="B12" s="4" t="s">
        <v>9</v>
      </c>
    </row>
    <row r="13" spans="1:2" x14ac:dyDescent="0.25">
      <c r="A13" s="1"/>
      <c r="B13" s="4" t="s">
        <v>10</v>
      </c>
    </row>
    <row r="14" spans="1:2" x14ac:dyDescent="0.25">
      <c r="A14" s="1"/>
      <c r="B14" s="4" t="s">
        <v>11</v>
      </c>
    </row>
    <row r="15" spans="1:2" x14ac:dyDescent="0.25">
      <c r="A15" s="1"/>
      <c r="B15" s="4" t="s">
        <v>12</v>
      </c>
    </row>
    <row r="16" spans="1:2" x14ac:dyDescent="0.25">
      <c r="A16" s="1"/>
      <c r="B16" s="4" t="s">
        <v>13</v>
      </c>
    </row>
    <row r="17" spans="1:2" x14ac:dyDescent="0.25">
      <c r="A17" s="1"/>
      <c r="B17" s="4"/>
    </row>
    <row r="18" spans="1:2" x14ac:dyDescent="0.25">
      <c r="A18" s="1"/>
      <c r="B18" s="5" t="s">
        <v>14</v>
      </c>
    </row>
    <row r="19" spans="1:2" ht="38.25" x14ac:dyDescent="0.25">
      <c r="A19" s="1"/>
      <c r="B19" s="4" t="s">
        <v>15</v>
      </c>
    </row>
    <row r="20" spans="1:2" ht="25.5" x14ac:dyDescent="0.25">
      <c r="A20" s="1"/>
      <c r="B20" s="4" t="s">
        <v>16</v>
      </c>
    </row>
    <row r="21" spans="1:2" ht="38.25" x14ac:dyDescent="0.25">
      <c r="A21" s="1"/>
      <c r="B21" s="4" t="s">
        <v>17</v>
      </c>
    </row>
    <row r="22" spans="1:2" ht="25.5" x14ac:dyDescent="0.25">
      <c r="A22" s="1"/>
      <c r="B22" s="4" t="s">
        <v>18</v>
      </c>
    </row>
    <row r="23" spans="1:2" x14ac:dyDescent="0.25">
      <c r="A23" s="1"/>
      <c r="B23" s="4" t="s">
        <v>19</v>
      </c>
    </row>
    <row r="24" spans="1:2" x14ac:dyDescent="0.25">
      <c r="A24" s="1"/>
      <c r="B24" s="4" t="s">
        <v>20</v>
      </c>
    </row>
    <row r="25" spans="1:2" ht="25.5" x14ac:dyDescent="0.25">
      <c r="A25" s="1"/>
      <c r="B25" s="4" t="s">
        <v>21</v>
      </c>
    </row>
    <row r="26" spans="1:2" x14ac:dyDescent="0.25">
      <c r="A26" s="1"/>
      <c r="B26" s="4"/>
    </row>
    <row r="27" spans="1:2" x14ac:dyDescent="0.25">
      <c r="A27" s="1"/>
      <c r="B27" s="5" t="s">
        <v>22</v>
      </c>
    </row>
    <row r="28" spans="1:2" x14ac:dyDescent="0.25">
      <c r="A28" s="1"/>
      <c r="B28" s="4" t="s">
        <v>23</v>
      </c>
    </row>
    <row r="29" spans="1:2" x14ac:dyDescent="0.25">
      <c r="A29" s="1"/>
      <c r="B29" s="4"/>
    </row>
    <row r="30" spans="1:2" x14ac:dyDescent="0.25">
      <c r="A30" s="1"/>
      <c r="B30" s="5" t="s">
        <v>24</v>
      </c>
    </row>
    <row r="31" spans="1:2" x14ac:dyDescent="0.25">
      <c r="A31" s="1"/>
      <c r="B31" s="4" t="s">
        <v>25</v>
      </c>
    </row>
    <row r="32" spans="1:2" x14ac:dyDescent="0.25">
      <c r="A32" s="1"/>
      <c r="B32" s="4" t="s">
        <v>26</v>
      </c>
    </row>
    <row r="33" spans="1:2" ht="25.5" x14ac:dyDescent="0.25">
      <c r="A33" s="1"/>
      <c r="B33" s="4" t="s">
        <v>27</v>
      </c>
    </row>
    <row r="34" spans="1:2" ht="25.5" x14ac:dyDescent="0.25">
      <c r="A34" s="1"/>
      <c r="B34" s="4" t="s">
        <v>28</v>
      </c>
    </row>
    <row r="35" spans="1:2" x14ac:dyDescent="0.25">
      <c r="A35" s="1"/>
      <c r="B35" s="4" t="s">
        <v>29</v>
      </c>
    </row>
    <row r="36" spans="1:2" x14ac:dyDescent="0.25">
      <c r="A36" s="1"/>
      <c r="B36" s="4"/>
    </row>
    <row r="37" spans="1:2" x14ac:dyDescent="0.25">
      <c r="A37" s="1"/>
      <c r="B37" s="5" t="s">
        <v>30</v>
      </c>
    </row>
    <row r="38" spans="1:2" ht="38.25" x14ac:dyDescent="0.25">
      <c r="A38" s="1"/>
      <c r="B38" s="4" t="s">
        <v>31</v>
      </c>
    </row>
    <row r="39" spans="1:2" x14ac:dyDescent="0.25">
      <c r="A39" s="1"/>
      <c r="B39" s="4"/>
    </row>
    <row r="40" spans="1:2" x14ac:dyDescent="0.25">
      <c r="A40" s="1"/>
      <c r="B40" s="5" t="s">
        <v>32</v>
      </c>
    </row>
    <row r="41" spans="1:2" ht="38.25" x14ac:dyDescent="0.25">
      <c r="A41" s="1"/>
      <c r="B41" s="4" t="s">
        <v>33</v>
      </c>
    </row>
    <row r="42" spans="1:2" ht="25.5" x14ac:dyDescent="0.25">
      <c r="A42" s="1"/>
      <c r="B42" s="4" t="s">
        <v>34</v>
      </c>
    </row>
    <row r="43" spans="1:2" ht="25.5" x14ac:dyDescent="0.25">
      <c r="A43" s="1"/>
      <c r="B43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32" customWidth="1"/>
    <col min="3" max="3" width="7" customWidth="1"/>
    <col min="4" max="4" width="8" customWidth="1"/>
    <col min="5" max="5" width="6" customWidth="1"/>
    <col min="6" max="7" width="9" customWidth="1"/>
    <col min="8" max="8" width="5" hidden="1" customWidth="1"/>
    <col min="9" max="9" width="4" hidden="1" customWidth="1"/>
    <col min="10" max="21" width="10" customWidth="1"/>
    <col min="22" max="22" width="2" customWidth="1"/>
    <col min="23" max="34" width="10" customWidth="1"/>
  </cols>
  <sheetData>
    <row r="1" spans="1:34" ht="18" x14ac:dyDescent="0.25">
      <c r="A1" s="6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30" customHeight="1" x14ac:dyDescent="0.25">
      <c r="A2" s="48" t="s">
        <v>37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46" t="s">
        <v>38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1"/>
      <c r="W3" s="46" t="s">
        <v>39</v>
      </c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</row>
    <row r="4" spans="1:34" x14ac:dyDescent="0.25">
      <c r="A4" s="7"/>
      <c r="B4" s="7"/>
      <c r="C4" s="7"/>
      <c r="D4" s="7"/>
      <c r="E4" s="7"/>
      <c r="F4" s="7"/>
      <c r="G4" s="7"/>
      <c r="H4" s="7"/>
      <c r="I4" s="7"/>
      <c r="J4" s="8" t="s">
        <v>40</v>
      </c>
      <c r="K4" s="8" t="s">
        <v>41</v>
      </c>
      <c r="L4" s="8" t="s">
        <v>42</v>
      </c>
      <c r="M4" s="8" t="s">
        <v>43</v>
      </c>
      <c r="N4" s="8" t="s">
        <v>44</v>
      </c>
      <c r="O4" s="8" t="s">
        <v>45</v>
      </c>
      <c r="P4" s="8" t="s">
        <v>46</v>
      </c>
      <c r="Q4" s="8" t="s">
        <v>47</v>
      </c>
      <c r="R4" s="8" t="s">
        <v>48</v>
      </c>
      <c r="S4" s="8" t="s">
        <v>49</v>
      </c>
      <c r="T4" s="8" t="s">
        <v>50</v>
      </c>
      <c r="U4" s="8" t="s">
        <v>51</v>
      </c>
      <c r="V4" s="1"/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</row>
    <row r="5" spans="1:34" ht="38.25" x14ac:dyDescent="0.25">
      <c r="A5" s="8" t="s">
        <v>52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9">
        <v>1.8</v>
      </c>
      <c r="K5" s="9">
        <v>3.5</v>
      </c>
      <c r="L5" s="9">
        <v>7</v>
      </c>
      <c r="M5" s="10">
        <v>14</v>
      </c>
      <c r="N5" s="10">
        <v>21</v>
      </c>
      <c r="O5" s="10">
        <v>28</v>
      </c>
      <c r="P5" s="10">
        <v>50</v>
      </c>
      <c r="Q5" s="10">
        <v>144</v>
      </c>
      <c r="R5" s="10">
        <v>432</v>
      </c>
      <c r="S5" s="10">
        <v>1296</v>
      </c>
      <c r="T5" s="10">
        <v>2400</v>
      </c>
      <c r="U5" s="10">
        <v>5760</v>
      </c>
      <c r="V5" s="1"/>
      <c r="W5" s="9">
        <v>1.8</v>
      </c>
      <c r="X5" s="9">
        <v>3.5</v>
      </c>
      <c r="Y5" s="9">
        <v>7</v>
      </c>
      <c r="Z5" s="10">
        <v>14</v>
      </c>
      <c r="AA5" s="10">
        <v>21</v>
      </c>
      <c r="AB5" s="10">
        <v>28</v>
      </c>
      <c r="AC5" s="10">
        <v>50</v>
      </c>
      <c r="AD5" s="10">
        <v>144</v>
      </c>
      <c r="AE5" s="10">
        <v>432</v>
      </c>
      <c r="AF5" s="10">
        <v>1296</v>
      </c>
      <c r="AG5" s="10">
        <v>2400</v>
      </c>
      <c r="AH5" s="10">
        <v>5760</v>
      </c>
    </row>
    <row r="6" spans="1:34" x14ac:dyDescent="0.25">
      <c r="A6" s="11" t="str">
        <f>IF(ROWS($A$6:A6)&gt;COUNTA(Cables!$A:$A)-1,"",INDEX(Cables!$A:$A,ROWS($A$6:A6)+1))</f>
        <v>BEL-83265</v>
      </c>
      <c r="B6" s="11" t="str">
        <f>IF($A6="","",IF(INDEX(Cables!$B:$B,MATCH($A6,Cables!$A:$A,0))="","",INDEX(Cables!$B:$B,MATCH($A6,Cables!$A:$A,0))))</f>
        <v>Belden 83265 (RG-178)</v>
      </c>
      <c r="C6" s="11">
        <f>IF($A6="","",IF(INDEX(Cables!$F:$F,MATCH($A6,Cables!$A:$A,0))="","",INDEX(Cables!$F:$F,MATCH($A6,Cables!$A:$A,0))))</f>
        <v>50</v>
      </c>
      <c r="D6" s="11">
        <f>IF($A6="","",IF(INDEX(Cables!$H:$H,MATCH($A6,Cables!$A:$A,0))="","",INDEX(Cables!$H:$H,MATCH($A6,Cables!$A:$A,0))))</f>
        <v>1.8</v>
      </c>
      <c r="E6" s="12">
        <f>IF($A6="","",IF(INDEX(Cables!$Q:$Q,MATCH($A6,Cables!$A:$A,0))="","",INDEX(Cables!$Q:$Q,MATCH($A6,Cables!$A:$A,0))))</f>
        <v>0.7</v>
      </c>
      <c r="F6" s="11">
        <f>IF($A6="","",IF(INDEX(Cables!$AQ:$AQ,MATCH($A6,Cables!$A:$A,0))="","",INDEX(Cables!$AQ:$AQ,MATCH($A6,Cables!$A:$A,0))))</f>
        <v>1</v>
      </c>
      <c r="G6" s="11">
        <f>IF($A6="","",IF(INDEX(Cables!$AR:$AR,MATCH($A6,Cables!$A:$A,0))="","",INDEX(Cables!$AR:$AR,MATCH($A6,Cables!$A:$A,0))))</f>
        <v>1000</v>
      </c>
      <c r="H6" s="11">
        <f>IF($A6="","",IF(INDEX(Cables!$AO:$AO,MATCH($A6,Cables!$A:$A,0))="","",INDEX(Cables!$AO:$AO,MATCH($A6,Cables!$A:$A,0))))</f>
        <v>2</v>
      </c>
      <c r="I6" s="11">
        <f>IF($A6="","",IF(INDEX(Cables!$AP:$AP,MATCH($A6,Cables!$A:$A,0))="","",INDEX(Cables!$AP:$AP,MATCH($A6,Cables!$A:$A,0))))</f>
        <v>9</v>
      </c>
      <c r="J6" s="12">
        <f>IF($A6="","",IF(J$5&gt;2*$G6,"",EXP(FORECAST(LN(J$5),INDEX(Attenuation!$K:$K,($H6-1+MIN(MAX(IFERROR(MATCH(LN(J$5),INDEX(Attenuation!$J:$J,$H6):INDEX(Attenuation!$J:$J,$H6+$I6-1),1),1),1),$I6-1))):INDEX(Attenuation!$K:$K,($H6-1+MIN(MAX(IFERROR(MATCH(LN(J$5),INDEX(Attenuation!$J:$J,$H6):INDEX(Attenuation!$J:$J,$H6+$I6-1),1),1),1),$I6-1))+1),INDEX(Attenuation!$J:$J,($H6-1+MIN(MAX(IFERROR(MATCH(LN(J$5),INDEX(Attenuation!$J:$J,$H6):INDEX(Attenuation!$J:$J,$H6+$I6-1),1),1),1),$I6-1))):INDEX(Attenuation!$J:$J,($H6-1+MIN(MAX(IFERROR(MATCH(LN(J$5),INDEX(Attenuation!$J:$J,$H6):INDEX(Attenuation!$J:$J,$H6+$I6-1),1),1),1),$I6-1))+1)))))</f>
        <v>10.375736432917503</v>
      </c>
      <c r="K6" s="12">
        <f>IF($A6="","",IF(K$5&gt;2*$G6,"",EXP(FORECAST(LN(K$5),INDEX(Attenuation!$K:$K,($H6-1+MIN(MAX(IFERROR(MATCH(LN(K$5),INDEX(Attenuation!$J:$J,$H6):INDEX(Attenuation!$J:$J,$H6+$I6-1),1),1),1),$I6-1))):INDEX(Attenuation!$K:$K,($H6-1+MIN(MAX(IFERROR(MATCH(LN(K$5),INDEX(Attenuation!$J:$J,$H6):INDEX(Attenuation!$J:$J,$H6+$I6-1),1),1),1),$I6-1))+1),INDEX(Attenuation!$J:$J,($H6-1+MIN(MAX(IFERROR(MATCH(LN(K$5),INDEX(Attenuation!$J:$J,$H6):INDEX(Attenuation!$J:$J,$H6+$I6-1),1),1),1),$I6-1))):INDEX(Attenuation!$J:$J,($H6-1+MIN(MAX(IFERROR(MATCH(LN(K$5),INDEX(Attenuation!$J:$J,$H6):INDEX(Attenuation!$J:$J,$H6+$I6-1),1),1),1),$I6-1))+1)))))</f>
        <v>12.94940590008243</v>
      </c>
      <c r="L6" s="12">
        <f>IF($A6="","",IF(L$5&gt;2*$G6,"",EXP(FORECAST(LN(L$5),INDEX(Attenuation!$K:$K,($H6-1+MIN(MAX(IFERROR(MATCH(LN(L$5),INDEX(Attenuation!$J:$J,$H6):INDEX(Attenuation!$J:$J,$H6+$I6-1),1),1),1),$I6-1))):INDEX(Attenuation!$K:$K,($H6-1+MIN(MAX(IFERROR(MATCH(LN(L$5),INDEX(Attenuation!$J:$J,$H6):INDEX(Attenuation!$J:$J,$H6+$I6-1),1),1),1),$I6-1))+1),INDEX(Attenuation!$J:$J,($H6-1+MIN(MAX(IFERROR(MATCH(LN(L$5),INDEX(Attenuation!$J:$J,$H6):INDEX(Attenuation!$J:$J,$H6+$I6-1),1),1),1),$I6-1))):INDEX(Attenuation!$J:$J,($H6-1+MIN(MAX(IFERROR(MATCH(LN(L$5),INDEX(Attenuation!$J:$J,$H6):INDEX(Attenuation!$J:$J,$H6+$I6-1),1),1),1),$I6-1))+1)))))</f>
        <v>16.313887288070312</v>
      </c>
      <c r="M6" s="12">
        <f>IF($A6="","",IF(M$5&gt;2*$G6,"",EXP(FORECAST(LN(M$5),INDEX(Attenuation!$K:$K,($H6-1+MIN(MAX(IFERROR(MATCH(LN(M$5),INDEX(Attenuation!$J:$J,$H6):INDEX(Attenuation!$J:$J,$H6+$I6-1),1),1),1),$I6-1))):INDEX(Attenuation!$K:$K,($H6-1+MIN(MAX(IFERROR(MATCH(LN(M$5),INDEX(Attenuation!$J:$J,$H6):INDEX(Attenuation!$J:$J,$H6+$I6-1),1),1),1),$I6-1))+1),INDEX(Attenuation!$J:$J,($H6-1+MIN(MAX(IFERROR(MATCH(LN(M$5),INDEX(Attenuation!$J:$J,$H6):INDEX(Attenuation!$J:$J,$H6+$I6-1),1),1),1),$I6-1))):INDEX(Attenuation!$J:$J,($H6-1+MIN(MAX(IFERROR(MATCH(LN(M$5),INDEX(Attenuation!$J:$J,$H6):INDEX(Attenuation!$J:$J,$H6+$I6-1),1),1),1),$I6-1))+1)))))</f>
        <v>20.953049743514967</v>
      </c>
      <c r="N6" s="12">
        <f>IF($A6="","",IF(N$5&gt;2*$G6,"",EXP(FORECAST(LN(N$5),INDEX(Attenuation!$K:$K,($H6-1+MIN(MAX(IFERROR(MATCH(LN(N$5),INDEX(Attenuation!$J:$J,$H6):INDEX(Attenuation!$J:$J,$H6+$I6-1),1),1),1),$I6-1))):INDEX(Attenuation!$K:$K,($H6-1+MIN(MAX(IFERROR(MATCH(LN(N$5),INDEX(Attenuation!$J:$J,$H6):INDEX(Attenuation!$J:$J,$H6+$I6-1),1),1),1),$I6-1))+1),INDEX(Attenuation!$J:$J,($H6-1+MIN(MAX(IFERROR(MATCH(LN(N$5),INDEX(Attenuation!$J:$J,$H6):INDEX(Attenuation!$J:$J,$H6+$I6-1),1),1),1),$I6-1))):INDEX(Attenuation!$J:$J,($H6-1+MIN(MAX(IFERROR(MATCH(LN(N$5),INDEX(Attenuation!$J:$J,$H6):INDEX(Attenuation!$J:$J,$H6+$I6-1),1),1),1),$I6-1))+1)))))</f>
        <v>24.548465796423852</v>
      </c>
      <c r="O6" s="12">
        <f>IF($A6="","",IF(O$5&gt;2*$G6,"",EXP(FORECAST(LN(O$5),INDEX(Attenuation!$K:$K,($H6-1+MIN(MAX(IFERROR(MATCH(LN(O$5),INDEX(Attenuation!$J:$J,$H6):INDEX(Attenuation!$J:$J,$H6+$I6-1),1),1),1),$I6-1))):INDEX(Attenuation!$K:$K,($H6-1+MIN(MAX(IFERROR(MATCH(LN(O$5),INDEX(Attenuation!$J:$J,$H6):INDEX(Attenuation!$J:$J,$H6+$I6-1),1),1),1),$I6-1))+1),INDEX(Attenuation!$J:$J,($H6-1+MIN(MAX(IFERROR(MATCH(LN(O$5),INDEX(Attenuation!$J:$J,$H6):INDEX(Attenuation!$J:$J,$H6+$I6-1),1),1),1),$I6-1))):INDEX(Attenuation!$J:$J,($H6-1+MIN(MAX(IFERROR(MATCH(LN(O$5),INDEX(Attenuation!$J:$J,$H6):INDEX(Attenuation!$J:$J,$H6+$I6-1),1),1),1),$I6-1))+1)))))</f>
        <v>27.467712447611834</v>
      </c>
      <c r="P6" s="12">
        <f>IF($A6="","",IF(P$5&gt;2*$G6,"",EXP(FORECAST(LN(P$5),INDEX(Attenuation!$K:$K,($H6-1+MIN(MAX(IFERROR(MATCH(LN(P$5),INDEX(Attenuation!$J:$J,$H6):INDEX(Attenuation!$J:$J,$H6+$I6-1),1),1),1),$I6-1))):INDEX(Attenuation!$K:$K,($H6-1+MIN(MAX(IFERROR(MATCH(LN(P$5),INDEX(Attenuation!$J:$J,$H6):INDEX(Attenuation!$J:$J,$H6+$I6-1),1),1),1),$I6-1))+1),INDEX(Attenuation!$J:$J,($H6-1+MIN(MAX(IFERROR(MATCH(LN(P$5),INDEX(Attenuation!$J:$J,$H6):INDEX(Attenuation!$J:$J,$H6+$I6-1),1),1),1),$I6-1))):INDEX(Attenuation!$J:$J,($H6-1+MIN(MAX(IFERROR(MATCH(LN(P$5),INDEX(Attenuation!$J:$J,$H6):INDEX(Attenuation!$J:$J,$H6+$I6-1),1),1),1),$I6-1))+1)))))</f>
        <v>34.448818897637793</v>
      </c>
      <c r="Q6" s="12">
        <f>IF($A6="","",IF(Q$5&gt;2*$G6,"",EXP(FORECAST(LN(Q$5),INDEX(Attenuation!$K:$K,($H6-1+MIN(MAX(IFERROR(MATCH(LN(Q$5),INDEX(Attenuation!$J:$J,$H6):INDEX(Attenuation!$J:$J,$H6+$I6-1),1),1),1),$I6-1))):INDEX(Attenuation!$K:$K,($H6-1+MIN(MAX(IFERROR(MATCH(LN(Q$5),INDEX(Attenuation!$J:$J,$H6):INDEX(Attenuation!$J:$J,$H6+$I6-1),1),1),1),$I6-1))+1),INDEX(Attenuation!$J:$J,($H6-1+MIN(MAX(IFERROR(MATCH(LN(Q$5),INDEX(Attenuation!$J:$J,$H6):INDEX(Attenuation!$J:$J,$H6+$I6-1),1),1),1),$I6-1))):INDEX(Attenuation!$J:$J,($H6-1+MIN(MAX(IFERROR(MATCH(LN(Q$5),INDEX(Attenuation!$J:$J,$H6):INDEX(Attenuation!$J:$J,$H6+$I6-1),1),1),1),$I6-1))+1)))))</f>
        <v>53.93656027808688</v>
      </c>
      <c r="R6" s="12">
        <f>IF($A6="","",IF(R$5&gt;2*$G6,"",EXP(FORECAST(LN(R$5),INDEX(Attenuation!$K:$K,($H6-1+MIN(MAX(IFERROR(MATCH(LN(R$5),INDEX(Attenuation!$J:$J,$H6):INDEX(Attenuation!$J:$J,$H6+$I6-1),1),1),1),$I6-1))):INDEX(Attenuation!$K:$K,($H6-1+MIN(MAX(IFERROR(MATCH(LN(R$5),INDEX(Attenuation!$J:$J,$H6):INDEX(Attenuation!$J:$J,$H6+$I6-1),1),1),1),$I6-1))+1),INDEX(Attenuation!$J:$J,($H6-1+MIN(MAX(IFERROR(MATCH(LN(R$5),INDEX(Attenuation!$J:$J,$H6):INDEX(Attenuation!$J:$J,$H6+$I6-1),1),1),1),$I6-1))):INDEX(Attenuation!$J:$J,($H6-1+MIN(MAX(IFERROR(MATCH(LN(R$5),INDEX(Attenuation!$J:$J,$H6):INDEX(Attenuation!$J:$J,$H6+$I6-1),1),1),1),$I6-1))+1)))))</f>
        <v>95.45299870742376</v>
      </c>
      <c r="S6" s="12">
        <f>IF($A6="","",IF(S$5&gt;2*$G6,"",EXP(FORECAST(LN(S$5),INDEX(Attenuation!$K:$K,($H6-1+MIN(MAX(IFERROR(MATCH(LN(S$5),INDEX(Attenuation!$J:$J,$H6):INDEX(Attenuation!$J:$J,$H6+$I6-1),1),1),1),$I6-1))):INDEX(Attenuation!$K:$K,($H6-1+MIN(MAX(IFERROR(MATCH(LN(S$5),INDEX(Attenuation!$J:$J,$H6):INDEX(Attenuation!$J:$J,$H6+$I6-1),1),1),1),$I6-1))+1),INDEX(Attenuation!$J:$J,($H6-1+MIN(MAX(IFERROR(MATCH(LN(S$5),INDEX(Attenuation!$J:$J,$H6):INDEX(Attenuation!$J:$J,$H6+$I6-1),1),1),1),$I6-1))):INDEX(Attenuation!$J:$J,($H6-1+MIN(MAX(IFERROR(MATCH(LN(S$5),INDEX(Attenuation!$J:$J,$H6):INDEX(Attenuation!$J:$J,$H6+$I6-1),1),1),1),$I6-1))+1)))))</f>
        <v>183.36717501910084</v>
      </c>
      <c r="T6" s="12" t="str">
        <f>IF($A6="","",IF(T$5&gt;2*$G6,"",EXP(FORECAST(LN(T$5),INDEX(Attenuation!$K:$K,($H6-1+MIN(MAX(IFERROR(MATCH(LN(T$5),INDEX(Attenuation!$J:$J,$H6):INDEX(Attenuation!$J:$J,$H6+$I6-1),1),1),1),$I6-1))):INDEX(Attenuation!$K:$K,($H6-1+MIN(MAX(IFERROR(MATCH(LN(T$5),INDEX(Attenuation!$J:$J,$H6):INDEX(Attenuation!$J:$J,$H6+$I6-1),1),1),1),$I6-1))+1),INDEX(Attenuation!$J:$J,($H6-1+MIN(MAX(IFERROR(MATCH(LN(T$5),INDEX(Attenuation!$J:$J,$H6):INDEX(Attenuation!$J:$J,$H6+$I6-1),1),1),1),$I6-1))):INDEX(Attenuation!$J:$J,($H6-1+MIN(MAX(IFERROR(MATCH(LN(T$5),INDEX(Attenuation!$J:$J,$H6):INDEX(Attenuation!$J:$J,$H6+$I6-1),1),1),1),$I6-1))+1)))))</f>
        <v/>
      </c>
      <c r="U6" s="12" t="str">
        <f>IF($A6="","",IF(U$5&gt;2*$G6,"",EXP(FORECAST(LN(U$5),INDEX(Attenuation!$K:$K,($H6-1+MIN(MAX(IFERROR(MATCH(LN(U$5),INDEX(Attenuation!$J:$J,$H6):INDEX(Attenuation!$J:$J,$H6+$I6-1),1),1),1),$I6-1))):INDEX(Attenuation!$K:$K,($H6-1+MIN(MAX(IFERROR(MATCH(LN(U$5),INDEX(Attenuation!$J:$J,$H6):INDEX(Attenuation!$J:$J,$H6+$I6-1),1),1),1),$I6-1))+1),INDEX(Attenuation!$J:$J,($H6-1+MIN(MAX(IFERROR(MATCH(LN(U$5),INDEX(Attenuation!$J:$J,$H6):INDEX(Attenuation!$J:$J,$H6+$I6-1),1),1),1),$I6-1))):INDEX(Attenuation!$J:$J,($H6-1+MIN(MAX(IFERROR(MATCH(LN(U$5),INDEX(Attenuation!$J:$J,$H6):INDEX(Attenuation!$J:$J,$H6+$I6-1),1),1),1),$I6-1))+1)))))</f>
        <v/>
      </c>
      <c r="V6" s="1"/>
      <c r="W6" s="12">
        <f t="shared" ref="W6:W37" si="0">IF(J6="","",J6*0.3048)</f>
        <v>3.1625244647532549</v>
      </c>
      <c r="X6" s="12">
        <f t="shared" ref="X6:X37" si="1">IF(K6="","",K6*0.3048)</f>
        <v>3.9469789183451249</v>
      </c>
      <c r="Y6" s="12">
        <f t="shared" ref="Y6:Y37" si="2">IF(L6="","",L6*0.3048)</f>
        <v>4.9724728454038312</v>
      </c>
      <c r="Z6" s="12">
        <f t="shared" ref="Z6:Z37" si="3">IF(M6="","",M6*0.3048)</f>
        <v>6.3864895618233621</v>
      </c>
      <c r="AA6" s="12">
        <f t="shared" ref="AA6:AA37" si="4">IF(N6="","",N6*0.3048)</f>
        <v>7.48237237474999</v>
      </c>
      <c r="AB6" s="12">
        <f t="shared" ref="AB6:AB37" si="5">IF(O6="","",O6*0.3048)</f>
        <v>8.3721587540320872</v>
      </c>
      <c r="AC6" s="12">
        <f t="shared" ref="AC6:AC37" si="6">IF(P6="","",P6*0.3048)</f>
        <v>10.5</v>
      </c>
      <c r="AD6" s="12">
        <f t="shared" ref="AD6:AD37" si="7">IF(Q6="","",Q6*0.3048)</f>
        <v>16.439863572760881</v>
      </c>
      <c r="AE6" s="12">
        <f t="shared" ref="AE6:AE37" si="8">IF(R6="","",R6*0.3048)</f>
        <v>29.094074006022762</v>
      </c>
      <c r="AF6" s="12">
        <f t="shared" ref="AF6:AF37" si="9">IF(S6="","",S6*0.3048)</f>
        <v>55.890314945821942</v>
      </c>
      <c r="AG6" s="12" t="str">
        <f t="shared" ref="AG6:AG37" si="10">IF(T6="","",T6*0.3048)</f>
        <v/>
      </c>
      <c r="AH6" s="12" t="str">
        <f t="shared" ref="AH6:AH37" si="11">IF(U6="","",U6*0.3048)</f>
        <v/>
      </c>
    </row>
    <row r="7" spans="1:34" x14ac:dyDescent="0.25">
      <c r="A7" s="11" t="str">
        <f>IF(ROWS($A$6:A7)&gt;COUNTA(Cables!$A:$A)-1,"",INDEX(Cables!$A:$A,ROWS($A$6:A7)+1))</f>
        <v>BEL-8216</v>
      </c>
      <c r="B7" s="11" t="str">
        <f>IF($A7="","",IF(INDEX(Cables!$B:$B,MATCH($A7,Cables!$A:$A,0))="","",INDEX(Cables!$B:$B,MATCH($A7,Cables!$A:$A,0))))</f>
        <v>Belden 8216 (RG-174)</v>
      </c>
      <c r="C7" s="11">
        <f>IF($A7="","",IF(INDEX(Cables!$F:$F,MATCH($A7,Cables!$A:$A,0))="","",INDEX(Cables!$F:$F,MATCH($A7,Cables!$A:$A,0))))</f>
        <v>50</v>
      </c>
      <c r="D7" s="11">
        <f>IF($A7="","",IF(INDEX(Cables!$H:$H,MATCH($A7,Cables!$A:$A,0))="","",INDEX(Cables!$H:$H,MATCH($A7,Cables!$A:$A,0))))</f>
        <v>2.79</v>
      </c>
      <c r="E7" s="12">
        <f>IF($A7="","",IF(INDEX(Cables!$Q:$Q,MATCH($A7,Cables!$A:$A,0))="","",INDEX(Cables!$Q:$Q,MATCH($A7,Cables!$A:$A,0))))</f>
        <v>0.66</v>
      </c>
      <c r="F7" s="11">
        <f>IF($A7="","",IF(INDEX(Cables!$AQ:$AQ,MATCH($A7,Cables!$A:$A,0))="","",INDEX(Cables!$AQ:$AQ,MATCH($A7,Cables!$A:$A,0))))</f>
        <v>1</v>
      </c>
      <c r="G7" s="11">
        <f>IF($A7="","",IF(INDEX(Cables!$AR:$AR,MATCH($A7,Cables!$A:$A,0))="","",INDEX(Cables!$AR:$AR,MATCH($A7,Cables!$A:$A,0))))</f>
        <v>1000</v>
      </c>
      <c r="H7" s="11">
        <f>IF($A7="","",IF(INDEX(Cables!$AO:$AO,MATCH($A7,Cables!$A:$A,0))="","",INDEX(Cables!$AO:$AO,MATCH($A7,Cables!$A:$A,0))))</f>
        <v>11</v>
      </c>
      <c r="I7" s="11">
        <f>IF($A7="","",IF(INDEX(Cables!$AP:$AP,MATCH($A7,Cables!$A:$A,0))="","",INDEX(Cables!$AP:$AP,MATCH($A7,Cables!$A:$A,0))))</f>
        <v>9</v>
      </c>
      <c r="J7" s="12">
        <f>IF($A7="","",IF(J$5&gt;2*$G7,"",EXP(FORECAST(LN(J$5),INDEX(Attenuation!$K:$K,($H7-1+MIN(MAX(IFERROR(MATCH(LN(J$5),INDEX(Attenuation!$J:$J,$H7):INDEX(Attenuation!$J:$J,$H7+$I7-1),1),1),1),$I7-1))):INDEX(Attenuation!$K:$K,($H7-1+MIN(MAX(IFERROR(MATCH(LN(J$5),INDEX(Attenuation!$J:$J,$H7):INDEX(Attenuation!$J:$J,$H7+$I7-1),1),1),1),$I7-1))+1),INDEX(Attenuation!$J:$J,($H7-1+MIN(MAX(IFERROR(MATCH(LN(J$5),INDEX(Attenuation!$J:$J,$H7):INDEX(Attenuation!$J:$J,$H7+$I7-1),1),1),1),$I7-1))):INDEX(Attenuation!$J:$J,($H7-1+MIN(MAX(IFERROR(MATCH(LN(J$5),INDEX(Attenuation!$J:$J,$H7):INDEX(Attenuation!$J:$J,$H7+$I7-1),1),1),1),$I7-1))+1)))))</f>
        <v>7.1769985853177509</v>
      </c>
      <c r="K7" s="12">
        <f>IF($A7="","",IF(K$5&gt;2*$G7,"",EXP(FORECAST(LN(K$5),INDEX(Attenuation!$K:$K,($H7-1+MIN(MAX(IFERROR(MATCH(LN(K$5),INDEX(Attenuation!$J:$J,$H7):INDEX(Attenuation!$J:$J,$H7+$I7-1),1),1),1),$I7-1))):INDEX(Attenuation!$K:$K,($H7-1+MIN(MAX(IFERROR(MATCH(LN(K$5),INDEX(Attenuation!$J:$J,$H7):INDEX(Attenuation!$J:$J,$H7+$I7-1),1),1),1),$I7-1))+1),INDEX(Attenuation!$J:$J,($H7-1+MIN(MAX(IFERROR(MATCH(LN(K$5),INDEX(Attenuation!$J:$J,$H7):INDEX(Attenuation!$J:$J,$H7+$I7-1),1),1),1),$I7-1))):INDEX(Attenuation!$J:$J,($H7-1+MIN(MAX(IFERROR(MATCH(LN(K$5),INDEX(Attenuation!$J:$J,$H7):INDEX(Attenuation!$J:$J,$H7+$I7-1),1),1),1),$I7-1))+1)))))</f>
        <v>8.4175281415017249</v>
      </c>
      <c r="L7" s="12">
        <f>IF($A7="","",IF(L$5&gt;2*$G7,"",EXP(FORECAST(LN(L$5),INDEX(Attenuation!$K:$K,($H7-1+MIN(MAX(IFERROR(MATCH(LN(L$5),INDEX(Attenuation!$J:$J,$H7):INDEX(Attenuation!$J:$J,$H7+$I7-1),1),1),1),$I7-1))):INDEX(Attenuation!$K:$K,($H7-1+MIN(MAX(IFERROR(MATCH(LN(L$5),INDEX(Attenuation!$J:$J,$H7):INDEX(Attenuation!$J:$J,$H7+$I7-1),1),1),1),$I7-1))+1),INDEX(Attenuation!$J:$J,($H7-1+MIN(MAX(IFERROR(MATCH(LN(L$5),INDEX(Attenuation!$J:$J,$H7):INDEX(Attenuation!$J:$J,$H7+$I7-1),1),1),1),$I7-1))):INDEX(Attenuation!$J:$J,($H7-1+MIN(MAX(IFERROR(MATCH(LN(L$5),INDEX(Attenuation!$J:$J,$H7):INDEX(Attenuation!$J:$J,$H7+$I7-1),1),1),1),$I7-1))+1)))))</f>
        <v>9.9393876902960709</v>
      </c>
      <c r="M7" s="12">
        <f>IF($A7="","",IF(M$5&gt;2*$G7,"",EXP(FORECAST(LN(M$5),INDEX(Attenuation!$K:$K,($H7-1+MIN(MAX(IFERROR(MATCH(LN(M$5),INDEX(Attenuation!$J:$J,$H7):INDEX(Attenuation!$J:$J,$H7+$I7-1),1),1),1),$I7-1))):INDEX(Attenuation!$K:$K,($H7-1+MIN(MAX(IFERROR(MATCH(LN(M$5),INDEX(Attenuation!$J:$J,$H7):INDEX(Attenuation!$J:$J,$H7+$I7-1),1),1),1),$I7-1))+1),INDEX(Attenuation!$J:$J,($H7-1+MIN(MAX(IFERROR(MATCH(LN(M$5),INDEX(Attenuation!$J:$J,$H7):INDEX(Attenuation!$J:$J,$H7+$I7-1),1),1),1),$I7-1))):INDEX(Attenuation!$J:$J,($H7-1+MIN(MAX(IFERROR(MATCH(LN(M$5),INDEX(Attenuation!$J:$J,$H7):INDEX(Attenuation!$J:$J,$H7+$I7-1),1),1),1),$I7-1))+1)))))</f>
        <v>12.181511740303815</v>
      </c>
      <c r="N7" s="12">
        <f>IF($A7="","",IF(N$5&gt;2*$G7,"",EXP(FORECAST(LN(N$5),INDEX(Attenuation!$K:$K,($H7-1+MIN(MAX(IFERROR(MATCH(LN(N$5),INDEX(Attenuation!$J:$J,$H7):INDEX(Attenuation!$J:$J,$H7+$I7-1),1),1),1),$I7-1))):INDEX(Attenuation!$K:$K,($H7-1+MIN(MAX(IFERROR(MATCH(LN(N$5),INDEX(Attenuation!$J:$J,$H7):INDEX(Attenuation!$J:$J,$H7+$I7-1),1),1),1),$I7-1))+1),INDEX(Attenuation!$J:$J,($H7-1+MIN(MAX(IFERROR(MATCH(LN(N$5),INDEX(Attenuation!$J:$J,$H7):INDEX(Attenuation!$J:$J,$H7+$I7-1),1),1),1),$I7-1))):INDEX(Attenuation!$J:$J,($H7-1+MIN(MAX(IFERROR(MATCH(LN(N$5),INDEX(Attenuation!$J:$J,$H7):INDEX(Attenuation!$J:$J,$H7+$I7-1),1),1),1),$I7-1))+1)))))</f>
        <v>14.041137640438766</v>
      </c>
      <c r="O7" s="12">
        <f>IF($A7="","",IF(O$5&gt;2*$G7,"",EXP(FORECAST(LN(O$5),INDEX(Attenuation!$K:$K,($H7-1+MIN(MAX(IFERROR(MATCH(LN(O$5),INDEX(Attenuation!$J:$J,$H7):INDEX(Attenuation!$J:$J,$H7+$I7-1),1),1),1),$I7-1))):INDEX(Attenuation!$K:$K,($H7-1+MIN(MAX(IFERROR(MATCH(LN(O$5),INDEX(Attenuation!$J:$J,$H7):INDEX(Attenuation!$J:$J,$H7+$I7-1),1),1),1),$I7-1))+1),INDEX(Attenuation!$J:$J,($H7-1+MIN(MAX(IFERROR(MATCH(LN(O$5),INDEX(Attenuation!$J:$J,$H7):INDEX(Attenuation!$J:$J,$H7+$I7-1),1),1),1),$I7-1))):INDEX(Attenuation!$J:$J,($H7-1+MIN(MAX(IFERROR(MATCH(LN(O$5),INDEX(Attenuation!$J:$J,$H7):INDEX(Attenuation!$J:$J,$H7+$I7-1),1),1),1),$I7-1))+1)))))</f>
        <v>15.5303030276422</v>
      </c>
      <c r="P7" s="12">
        <f>IF($A7="","",IF(P$5&gt;2*$G7,"",EXP(FORECAST(LN(P$5),INDEX(Attenuation!$K:$K,($H7-1+MIN(MAX(IFERROR(MATCH(LN(P$5),INDEX(Attenuation!$J:$J,$H7):INDEX(Attenuation!$J:$J,$H7+$I7-1),1),1),1),$I7-1))):INDEX(Attenuation!$K:$K,($H7-1+MIN(MAX(IFERROR(MATCH(LN(P$5),INDEX(Attenuation!$J:$J,$H7):INDEX(Attenuation!$J:$J,$H7+$I7-1),1),1),1),$I7-1))+1),INDEX(Attenuation!$J:$J,($H7-1+MIN(MAX(IFERROR(MATCH(LN(P$5),INDEX(Attenuation!$J:$J,$H7):INDEX(Attenuation!$J:$J,$H7+$I7-1),1),1),1),$I7-1))):INDEX(Attenuation!$J:$J,($H7-1+MIN(MAX(IFERROR(MATCH(LN(P$5),INDEX(Attenuation!$J:$J,$H7):INDEX(Attenuation!$J:$J,$H7+$I7-1),1),1),1),$I7-1))+1)))))</f>
        <v>19.028871391076112</v>
      </c>
      <c r="Q7" s="12">
        <f>IF($A7="","",IF(Q$5&gt;2*$G7,"",EXP(FORECAST(LN(Q$5),INDEX(Attenuation!$K:$K,($H7-1+MIN(MAX(IFERROR(MATCH(LN(Q$5),INDEX(Attenuation!$J:$J,$H7):INDEX(Attenuation!$J:$J,$H7+$I7-1),1),1),1),$I7-1))):INDEX(Attenuation!$K:$K,($H7-1+MIN(MAX(IFERROR(MATCH(LN(Q$5),INDEX(Attenuation!$J:$J,$H7):INDEX(Attenuation!$J:$J,$H7+$I7-1),1),1),1),$I7-1))+1),INDEX(Attenuation!$J:$J,($H7-1+MIN(MAX(IFERROR(MATCH(LN(Q$5),INDEX(Attenuation!$J:$J,$H7):INDEX(Attenuation!$J:$J,$H7+$I7-1),1),1),1),$I7-1))):INDEX(Attenuation!$J:$J,($H7-1+MIN(MAX(IFERROR(MATCH(LN(Q$5),INDEX(Attenuation!$J:$J,$H7):INDEX(Attenuation!$J:$J,$H7+$I7-1),1),1),1),$I7-1))+1)))))</f>
        <v>33.968781208941138</v>
      </c>
      <c r="R7" s="12">
        <f>IF($A7="","",IF(R$5&gt;2*$G7,"",EXP(FORECAST(LN(R$5),INDEX(Attenuation!$K:$K,($H7-1+MIN(MAX(IFERROR(MATCH(LN(R$5),INDEX(Attenuation!$J:$J,$H7):INDEX(Attenuation!$J:$J,$H7+$I7-1),1),1),1),$I7-1))):INDEX(Attenuation!$K:$K,($H7-1+MIN(MAX(IFERROR(MATCH(LN(R$5),INDEX(Attenuation!$J:$J,$H7):INDEX(Attenuation!$J:$J,$H7+$I7-1),1),1),1),$I7-1))+1),INDEX(Attenuation!$J:$J,($H7-1+MIN(MAX(IFERROR(MATCH(LN(R$5),INDEX(Attenuation!$J:$J,$H7):INDEX(Attenuation!$J:$J,$H7+$I7-1),1),1),1),$I7-1))):INDEX(Attenuation!$J:$J,($H7-1+MIN(MAX(IFERROR(MATCH(LN(R$5),INDEX(Attenuation!$J:$J,$H7):INDEX(Attenuation!$J:$J,$H7+$I7-1),1),1),1),$I7-1))+1)))))</f>
        <v>65.422376830240125</v>
      </c>
      <c r="S7" s="12">
        <f>IF($A7="","",IF(S$5&gt;2*$G7,"",EXP(FORECAST(LN(S$5),INDEX(Attenuation!$K:$K,($H7-1+MIN(MAX(IFERROR(MATCH(LN(S$5),INDEX(Attenuation!$J:$J,$H7):INDEX(Attenuation!$J:$J,$H7+$I7-1),1),1),1),$I7-1))):INDEX(Attenuation!$K:$K,($H7-1+MIN(MAX(IFERROR(MATCH(LN(S$5),INDEX(Attenuation!$J:$J,$H7):INDEX(Attenuation!$J:$J,$H7+$I7-1),1),1),1),$I7-1))+1),INDEX(Attenuation!$J:$J,($H7-1+MIN(MAX(IFERROR(MATCH(LN(S$5),INDEX(Attenuation!$J:$J,$H7):INDEX(Attenuation!$J:$J,$H7+$I7-1),1),1),1),$I7-1))):INDEX(Attenuation!$J:$J,($H7-1+MIN(MAX(IFERROR(MATCH(LN(S$5),INDEX(Attenuation!$J:$J,$H7):INDEX(Attenuation!$J:$J,$H7+$I7-1),1),1),1),$I7-1))+1)))))</f>
        <v>140.01958094136575</v>
      </c>
      <c r="T7" s="12" t="str">
        <f>IF($A7="","",IF(T$5&gt;2*$G7,"",EXP(FORECAST(LN(T$5),INDEX(Attenuation!$K:$K,($H7-1+MIN(MAX(IFERROR(MATCH(LN(T$5),INDEX(Attenuation!$J:$J,$H7):INDEX(Attenuation!$J:$J,$H7+$I7-1),1),1),1),$I7-1))):INDEX(Attenuation!$K:$K,($H7-1+MIN(MAX(IFERROR(MATCH(LN(T$5),INDEX(Attenuation!$J:$J,$H7):INDEX(Attenuation!$J:$J,$H7+$I7-1),1),1),1),$I7-1))+1),INDEX(Attenuation!$J:$J,($H7-1+MIN(MAX(IFERROR(MATCH(LN(T$5),INDEX(Attenuation!$J:$J,$H7):INDEX(Attenuation!$J:$J,$H7+$I7-1),1),1),1),$I7-1))):INDEX(Attenuation!$J:$J,($H7-1+MIN(MAX(IFERROR(MATCH(LN(T$5),INDEX(Attenuation!$J:$J,$H7):INDEX(Attenuation!$J:$J,$H7+$I7-1),1),1),1),$I7-1))+1)))))</f>
        <v/>
      </c>
      <c r="U7" s="12" t="str">
        <f>IF($A7="","",IF(U$5&gt;2*$G7,"",EXP(FORECAST(LN(U$5),INDEX(Attenuation!$K:$K,($H7-1+MIN(MAX(IFERROR(MATCH(LN(U$5),INDEX(Attenuation!$J:$J,$H7):INDEX(Attenuation!$J:$J,$H7+$I7-1),1),1),1),$I7-1))):INDEX(Attenuation!$K:$K,($H7-1+MIN(MAX(IFERROR(MATCH(LN(U$5),INDEX(Attenuation!$J:$J,$H7):INDEX(Attenuation!$J:$J,$H7+$I7-1),1),1),1),$I7-1))+1),INDEX(Attenuation!$J:$J,($H7-1+MIN(MAX(IFERROR(MATCH(LN(U$5),INDEX(Attenuation!$J:$J,$H7):INDEX(Attenuation!$J:$J,$H7+$I7-1),1),1),1),$I7-1))):INDEX(Attenuation!$J:$J,($H7-1+MIN(MAX(IFERROR(MATCH(LN(U$5),INDEX(Attenuation!$J:$J,$H7):INDEX(Attenuation!$J:$J,$H7+$I7-1),1),1),1),$I7-1))+1)))))</f>
        <v/>
      </c>
      <c r="V7" s="1"/>
      <c r="W7" s="12">
        <f t="shared" si="0"/>
        <v>2.1875491688048507</v>
      </c>
      <c r="X7" s="12">
        <f t="shared" si="1"/>
        <v>2.5656625775297259</v>
      </c>
      <c r="Y7" s="12">
        <f t="shared" si="2"/>
        <v>3.0295253680022425</v>
      </c>
      <c r="Z7" s="12">
        <f t="shared" si="3"/>
        <v>3.7129247784446031</v>
      </c>
      <c r="AA7" s="12">
        <f t="shared" si="4"/>
        <v>4.279738752805736</v>
      </c>
      <c r="AB7" s="12">
        <f t="shared" si="5"/>
        <v>4.7336363628253428</v>
      </c>
      <c r="AC7" s="12">
        <f t="shared" si="6"/>
        <v>5.7999999999999989</v>
      </c>
      <c r="AD7" s="12">
        <f t="shared" si="7"/>
        <v>10.353684512485259</v>
      </c>
      <c r="AE7" s="12">
        <f t="shared" si="8"/>
        <v>19.940740457857192</v>
      </c>
      <c r="AF7" s="12">
        <f t="shared" si="9"/>
        <v>42.677968270928282</v>
      </c>
      <c r="AG7" s="12" t="str">
        <f t="shared" si="10"/>
        <v/>
      </c>
      <c r="AH7" s="12" t="str">
        <f t="shared" si="11"/>
        <v/>
      </c>
    </row>
    <row r="8" spans="1:34" x14ac:dyDescent="0.25">
      <c r="A8" s="11" t="str">
        <f>IF(ROWS($A$6:A8)&gt;COUNTA(Cables!$A:$A)-1,"",INDEX(Cables!$A:$A,ROWS($A$6:A8)+1))</f>
        <v>BEL-84316</v>
      </c>
      <c r="B8" s="11" t="str">
        <f>IF($A8="","",IF(INDEX(Cables!$B:$B,MATCH($A8,Cables!$A:$A,0))="","",INDEX(Cables!$B:$B,MATCH($A8,Cables!$A:$A,0))))</f>
        <v>Belden 84316 (RG-316)</v>
      </c>
      <c r="C8" s="11">
        <f>IF($A8="","",IF(INDEX(Cables!$F:$F,MATCH($A8,Cables!$A:$A,0))="","",INDEX(Cables!$F:$F,MATCH($A8,Cables!$A:$A,0))))</f>
        <v>50</v>
      </c>
      <c r="D8" s="11">
        <f>IF($A8="","",IF(INDEX(Cables!$H:$H,MATCH($A8,Cables!$A:$A,0))="","",INDEX(Cables!$H:$H,MATCH($A8,Cables!$A:$A,0))))</f>
        <v>2.5</v>
      </c>
      <c r="E8" s="12">
        <f>IF($A8="","",IF(INDEX(Cables!$Q:$Q,MATCH($A8,Cables!$A:$A,0))="","",INDEX(Cables!$Q:$Q,MATCH($A8,Cables!$A:$A,0))))</f>
        <v>0.7</v>
      </c>
      <c r="F8" s="11">
        <f>IF($A8="","",IF(INDEX(Cables!$AQ:$AQ,MATCH($A8,Cables!$A:$A,0))="","",INDEX(Cables!$AQ:$AQ,MATCH($A8,Cables!$A:$A,0))))</f>
        <v>1</v>
      </c>
      <c r="G8" s="11">
        <f>IF($A8="","",IF(INDEX(Cables!$AR:$AR,MATCH($A8,Cables!$A:$A,0))="","",INDEX(Cables!$AR:$AR,MATCH($A8,Cables!$A:$A,0))))</f>
        <v>3000</v>
      </c>
      <c r="H8" s="11">
        <f>IF($A8="","",IF(INDEX(Cables!$AO:$AO,MATCH($A8,Cables!$A:$A,0))="","",INDEX(Cables!$AO:$AO,MATCH($A8,Cables!$A:$A,0))))</f>
        <v>20</v>
      </c>
      <c r="I8" s="11">
        <f>IF($A8="","",IF(INDEX(Cables!$AP:$AP,MATCH($A8,Cables!$A:$A,0))="","",INDEX(Cables!$AP:$AP,MATCH($A8,Cables!$A:$A,0))))</f>
        <v>13</v>
      </c>
      <c r="J8" s="12">
        <f>IF($A8="","",IF(J$5&gt;2*$G8,"",EXP(FORECAST(LN(J$5),INDEX(Attenuation!$K:$K,($H8-1+MIN(MAX(IFERROR(MATCH(LN(J$5),INDEX(Attenuation!$J:$J,$H8):INDEX(Attenuation!$J:$J,$H8+$I8-1),1),1),1),$I8-1))):INDEX(Attenuation!$K:$K,($H8-1+MIN(MAX(IFERROR(MATCH(LN(J$5),INDEX(Attenuation!$J:$J,$H8):INDEX(Attenuation!$J:$J,$H8+$I8-1),1),1),1),$I8-1))+1),INDEX(Attenuation!$J:$J,($H8-1+MIN(MAX(IFERROR(MATCH(LN(J$5),INDEX(Attenuation!$J:$J,$H8):INDEX(Attenuation!$J:$J,$H8+$I8-1),1),1),1),$I8-1))):INDEX(Attenuation!$J:$J,($H8-1+MIN(MAX(IFERROR(MATCH(LN(J$5),INDEX(Attenuation!$J:$J,$H8):INDEX(Attenuation!$J:$J,$H8+$I8-1),1),1),1),$I8-1))+1)))))</f>
        <v>4.8424907189803852</v>
      </c>
      <c r="K8" s="12">
        <f>IF($A8="","",IF(K$5&gt;2*$G8,"",EXP(FORECAST(LN(K$5),INDEX(Attenuation!$K:$K,($H8-1+MIN(MAX(IFERROR(MATCH(LN(K$5),INDEX(Attenuation!$J:$J,$H8):INDEX(Attenuation!$J:$J,$H8+$I8-1),1),1),1),$I8-1))):INDEX(Attenuation!$K:$K,($H8-1+MIN(MAX(IFERROR(MATCH(LN(K$5),INDEX(Attenuation!$J:$J,$H8):INDEX(Attenuation!$J:$J,$H8+$I8-1),1),1),1),$I8-1))+1),INDEX(Attenuation!$J:$J,($H8-1+MIN(MAX(IFERROR(MATCH(LN(K$5),INDEX(Attenuation!$J:$J,$H8):INDEX(Attenuation!$J:$J,$H8+$I8-1),1),1),1),$I8-1))):INDEX(Attenuation!$J:$J,($H8-1+MIN(MAX(IFERROR(MATCH(LN(K$5),INDEX(Attenuation!$J:$J,$H8):INDEX(Attenuation!$J:$J,$H8+$I8-1),1),1),1),$I8-1))+1)))))</f>
        <v>6.1203680206229159</v>
      </c>
      <c r="L8" s="12">
        <f>IF($A8="","",IF(L$5&gt;2*$G8,"",EXP(FORECAST(LN(L$5),INDEX(Attenuation!$K:$K,($H8-1+MIN(MAX(IFERROR(MATCH(LN(L$5),INDEX(Attenuation!$J:$J,$H8):INDEX(Attenuation!$J:$J,$H8+$I8-1),1),1),1),$I8-1))):INDEX(Attenuation!$K:$K,($H8-1+MIN(MAX(IFERROR(MATCH(LN(L$5),INDEX(Attenuation!$J:$J,$H8):INDEX(Attenuation!$J:$J,$H8+$I8-1),1),1),1),$I8-1))+1),INDEX(Attenuation!$J:$J,($H8-1+MIN(MAX(IFERROR(MATCH(LN(L$5),INDEX(Attenuation!$J:$J,$H8):INDEX(Attenuation!$J:$J,$H8+$I8-1),1),1),1),$I8-1))):INDEX(Attenuation!$J:$J,($H8-1+MIN(MAX(IFERROR(MATCH(LN(L$5),INDEX(Attenuation!$J:$J,$H8):INDEX(Attenuation!$J:$J,$H8+$I8-1),1),1),1),$I8-1))+1)))))</f>
        <v>7.8125901037526964</v>
      </c>
      <c r="M8" s="12">
        <f>IF($A8="","",IF(M$5&gt;2*$G8,"",EXP(FORECAST(LN(M$5),INDEX(Attenuation!$K:$K,($H8-1+MIN(MAX(IFERROR(MATCH(LN(M$5),INDEX(Attenuation!$J:$J,$H8):INDEX(Attenuation!$J:$J,$H8+$I8-1),1),1),1),$I8-1))):INDEX(Attenuation!$K:$K,($H8-1+MIN(MAX(IFERROR(MATCH(LN(M$5),INDEX(Attenuation!$J:$J,$H8):INDEX(Attenuation!$J:$J,$H8+$I8-1),1),1),1),$I8-1))+1),INDEX(Attenuation!$J:$J,($H8-1+MIN(MAX(IFERROR(MATCH(LN(M$5),INDEX(Attenuation!$J:$J,$H8):INDEX(Attenuation!$J:$J,$H8+$I8-1),1),1),1),$I8-1))):INDEX(Attenuation!$J:$J,($H8-1+MIN(MAX(IFERROR(MATCH(LN(M$5),INDEX(Attenuation!$J:$J,$H8):INDEX(Attenuation!$J:$J,$H8+$I8-1),1),1),1),$I8-1))+1)))))</f>
        <v>10.317742887994736</v>
      </c>
      <c r="N8" s="12">
        <f>IF($A8="","",IF(N$5&gt;2*$G8,"",EXP(FORECAST(LN(N$5),INDEX(Attenuation!$K:$K,($H8-1+MIN(MAX(IFERROR(MATCH(LN(N$5),INDEX(Attenuation!$J:$J,$H8):INDEX(Attenuation!$J:$J,$H8+$I8-1),1),1),1),$I8-1))):INDEX(Attenuation!$K:$K,($H8-1+MIN(MAX(IFERROR(MATCH(LN(N$5),INDEX(Attenuation!$J:$J,$H8):INDEX(Attenuation!$J:$J,$H8+$I8-1),1),1),1),$I8-1))+1),INDEX(Attenuation!$J:$J,($H8-1+MIN(MAX(IFERROR(MATCH(LN(N$5),INDEX(Attenuation!$J:$J,$H8):INDEX(Attenuation!$J:$J,$H8+$I8-1),1),1),1),$I8-1))):INDEX(Attenuation!$J:$J,($H8-1+MIN(MAX(IFERROR(MATCH(LN(N$5),INDEX(Attenuation!$J:$J,$H8):INDEX(Attenuation!$J:$J,$H8+$I8-1),1),1),1),$I8-1))+1)))))</f>
        <v>12.39944146288509</v>
      </c>
      <c r="O8" s="12">
        <f>IF($A8="","",IF(O$5&gt;2*$G8,"",EXP(FORECAST(LN(O$5),INDEX(Attenuation!$K:$K,($H8-1+MIN(MAX(IFERROR(MATCH(LN(O$5),INDEX(Attenuation!$J:$J,$H8):INDEX(Attenuation!$J:$J,$H8+$I8-1),1),1),1),$I8-1))):INDEX(Attenuation!$K:$K,($H8-1+MIN(MAX(IFERROR(MATCH(LN(O$5),INDEX(Attenuation!$J:$J,$H8):INDEX(Attenuation!$J:$J,$H8+$I8-1),1),1),1),$I8-1))+1),INDEX(Attenuation!$J:$J,($H8-1+MIN(MAX(IFERROR(MATCH(LN(O$5),INDEX(Attenuation!$J:$J,$H8):INDEX(Attenuation!$J:$J,$H8+$I8-1),1),1),1),$I8-1))):INDEX(Attenuation!$J:$J,($H8-1+MIN(MAX(IFERROR(MATCH(LN(O$5),INDEX(Attenuation!$J:$J,$H8):INDEX(Attenuation!$J:$J,$H8+$I8-1),1),1),1),$I8-1))+1)))))</f>
        <v>14.126464562629074</v>
      </c>
      <c r="P8" s="12">
        <f>IF($A8="","",IF(P$5&gt;2*$G8,"",EXP(FORECAST(LN(P$5),INDEX(Attenuation!$K:$K,($H8-1+MIN(MAX(IFERROR(MATCH(LN(P$5),INDEX(Attenuation!$J:$J,$H8):INDEX(Attenuation!$J:$J,$H8+$I8-1),1),1),1),$I8-1))):INDEX(Attenuation!$K:$K,($H8-1+MIN(MAX(IFERROR(MATCH(LN(P$5),INDEX(Attenuation!$J:$J,$H8):INDEX(Attenuation!$J:$J,$H8+$I8-1),1),1),1),$I8-1))+1),INDEX(Attenuation!$J:$J,($H8-1+MIN(MAX(IFERROR(MATCH(LN(P$5),INDEX(Attenuation!$J:$J,$H8):INDEX(Attenuation!$J:$J,$H8+$I8-1),1),1),1),$I8-1))):INDEX(Attenuation!$J:$J,($H8-1+MIN(MAX(IFERROR(MATCH(LN(P$5),INDEX(Attenuation!$J:$J,$H8):INDEX(Attenuation!$J:$J,$H8+$I8-1),1),1),1),$I8-1))+1)))))</f>
        <v>18.372703412073491</v>
      </c>
      <c r="Q8" s="12">
        <f>IF($A8="","",IF(Q$5&gt;2*$G8,"",EXP(FORECAST(LN(Q$5),INDEX(Attenuation!$K:$K,($H8-1+MIN(MAX(IFERROR(MATCH(LN(Q$5),INDEX(Attenuation!$J:$J,$H8):INDEX(Attenuation!$J:$J,$H8+$I8-1),1),1),1),$I8-1))):INDEX(Attenuation!$K:$K,($H8-1+MIN(MAX(IFERROR(MATCH(LN(Q$5),INDEX(Attenuation!$J:$J,$H8):INDEX(Attenuation!$J:$J,$H8+$I8-1),1),1),1),$I8-1))+1),INDEX(Attenuation!$J:$J,($H8-1+MIN(MAX(IFERROR(MATCH(LN(Q$5),INDEX(Attenuation!$J:$J,$H8):INDEX(Attenuation!$J:$J,$H8+$I8-1),1),1),1),$I8-1))):INDEX(Attenuation!$J:$J,($H8-1+MIN(MAX(IFERROR(MATCH(LN(Q$5),INDEX(Attenuation!$J:$J,$H8):INDEX(Attenuation!$J:$J,$H8+$I8-1),1),1),1),$I8-1))+1)))))</f>
        <v>33.058900511482037</v>
      </c>
      <c r="R8" s="12">
        <f>IF($A8="","",IF(R$5&gt;2*$G8,"",EXP(FORECAST(LN(R$5),INDEX(Attenuation!$K:$K,($H8-1+MIN(MAX(IFERROR(MATCH(LN(R$5),INDEX(Attenuation!$J:$J,$H8):INDEX(Attenuation!$J:$J,$H8+$I8-1),1),1),1),$I8-1))):INDEX(Attenuation!$K:$K,($H8-1+MIN(MAX(IFERROR(MATCH(LN(R$5),INDEX(Attenuation!$J:$J,$H8):INDEX(Attenuation!$J:$J,$H8+$I8-1),1),1),1),$I8-1))+1),INDEX(Attenuation!$J:$J,($H8-1+MIN(MAX(IFERROR(MATCH(LN(R$5),INDEX(Attenuation!$J:$J,$H8):INDEX(Attenuation!$J:$J,$H8+$I8-1),1),1),1),$I8-1))):INDEX(Attenuation!$J:$J,($H8-1+MIN(MAX(IFERROR(MATCH(LN(R$5),INDEX(Attenuation!$J:$J,$H8):INDEX(Attenuation!$J:$J,$H8+$I8-1),1),1),1),$I8-1))+1)))))</f>
        <v>59.859972969287725</v>
      </c>
      <c r="S8" s="12">
        <f>IF($A8="","",IF(S$5&gt;2*$G8,"",EXP(FORECAST(LN(S$5),INDEX(Attenuation!$K:$K,($H8-1+MIN(MAX(IFERROR(MATCH(LN(S$5),INDEX(Attenuation!$J:$J,$H8):INDEX(Attenuation!$J:$J,$H8+$I8-1),1),1),1),$I8-1))):INDEX(Attenuation!$K:$K,($H8-1+MIN(MAX(IFERROR(MATCH(LN(S$5),INDEX(Attenuation!$J:$J,$H8):INDEX(Attenuation!$J:$J,$H8+$I8-1),1),1),1),$I8-1))+1),INDEX(Attenuation!$J:$J,($H8-1+MIN(MAX(IFERROR(MATCH(LN(S$5),INDEX(Attenuation!$J:$J,$H8):INDEX(Attenuation!$J:$J,$H8+$I8-1),1),1),1),$I8-1))):INDEX(Attenuation!$J:$J,($H8-1+MIN(MAX(IFERROR(MATCH(LN(S$5),INDEX(Attenuation!$J:$J,$H8):INDEX(Attenuation!$J:$J,$H8+$I8-1),1),1),1),$I8-1))+1)))))</f>
        <v>110.22059788373386</v>
      </c>
      <c r="T8" s="12">
        <f>IF($A8="","",IF(T$5&gt;2*$G8,"",EXP(FORECAST(LN(T$5),INDEX(Attenuation!$K:$K,($H8-1+MIN(MAX(IFERROR(MATCH(LN(T$5),INDEX(Attenuation!$J:$J,$H8):INDEX(Attenuation!$J:$J,$H8+$I8-1),1),1),1),$I8-1))):INDEX(Attenuation!$K:$K,($H8-1+MIN(MAX(IFERROR(MATCH(LN(T$5),INDEX(Attenuation!$J:$J,$H8):INDEX(Attenuation!$J:$J,$H8+$I8-1),1),1),1),$I8-1))+1),INDEX(Attenuation!$J:$J,($H8-1+MIN(MAX(IFERROR(MATCH(LN(T$5),INDEX(Attenuation!$J:$J,$H8):INDEX(Attenuation!$J:$J,$H8+$I8-1),1),1),1),$I8-1))):INDEX(Attenuation!$J:$J,($H8-1+MIN(MAX(IFERROR(MATCH(LN(T$5),INDEX(Attenuation!$J:$J,$H8):INDEX(Attenuation!$J:$J,$H8+$I8-1),1),1),1),$I8-1))+1)))))</f>
        <v>154.85564304461926</v>
      </c>
      <c r="U8" s="12">
        <f>IF($A8="","",IF(U$5&gt;2*$G8,"",EXP(FORECAST(LN(U$5),INDEX(Attenuation!$K:$K,($H8-1+MIN(MAX(IFERROR(MATCH(LN(U$5),INDEX(Attenuation!$J:$J,$H8):INDEX(Attenuation!$J:$J,$H8+$I8-1),1),1),1),$I8-1))):INDEX(Attenuation!$K:$K,($H8-1+MIN(MAX(IFERROR(MATCH(LN(U$5),INDEX(Attenuation!$J:$J,$H8):INDEX(Attenuation!$J:$J,$H8+$I8-1),1),1),1),$I8-1))+1),INDEX(Attenuation!$J:$J,($H8-1+MIN(MAX(IFERROR(MATCH(LN(U$5),INDEX(Attenuation!$J:$J,$H8):INDEX(Attenuation!$J:$J,$H8+$I8-1),1),1),1),$I8-1))):INDEX(Attenuation!$J:$J,($H8-1+MIN(MAX(IFERROR(MATCH(LN(U$5),INDEX(Attenuation!$J:$J,$H8):INDEX(Attenuation!$J:$J,$H8+$I8-1),1),1),1),$I8-1))+1)))))</f>
        <v>255.02631664784778</v>
      </c>
      <c r="V8" s="1"/>
      <c r="W8" s="12">
        <f t="shared" si="0"/>
        <v>1.4759911711452214</v>
      </c>
      <c r="X8" s="12">
        <f t="shared" si="1"/>
        <v>1.8654881726858648</v>
      </c>
      <c r="Y8" s="12">
        <f t="shared" si="2"/>
        <v>2.3812774636238219</v>
      </c>
      <c r="Z8" s="12">
        <f t="shared" si="3"/>
        <v>3.1448480322607959</v>
      </c>
      <c r="AA8" s="12">
        <f t="shared" si="4"/>
        <v>3.7793497578873754</v>
      </c>
      <c r="AB8" s="12">
        <f t="shared" si="5"/>
        <v>4.3057463986893421</v>
      </c>
      <c r="AC8" s="12">
        <f t="shared" si="6"/>
        <v>5.6000000000000005</v>
      </c>
      <c r="AD8" s="12">
        <f t="shared" si="7"/>
        <v>10.076352875899726</v>
      </c>
      <c r="AE8" s="12">
        <f t="shared" si="8"/>
        <v>18.2453197610389</v>
      </c>
      <c r="AF8" s="12">
        <f t="shared" si="9"/>
        <v>33.595238234962082</v>
      </c>
      <c r="AG8" s="12">
        <f t="shared" si="10"/>
        <v>47.199999999999953</v>
      </c>
      <c r="AH8" s="12">
        <f t="shared" si="11"/>
        <v>77.732021314264003</v>
      </c>
    </row>
    <row r="9" spans="1:34" x14ac:dyDescent="0.25">
      <c r="A9" s="11" t="str">
        <f>IF(ROWS($A$6:A9)&gt;COUNTA(Cables!$A:$A)-1,"",INDEX(Cables!$A:$A,ROWS($A$6:A9)+1))</f>
        <v>BEL-83269</v>
      </c>
      <c r="B9" s="11" t="str">
        <f>IF($A9="","",IF(INDEX(Cables!$B:$B,MATCH($A9,Cables!$A:$A,0))="","",INDEX(Cables!$B:$B,MATCH($A9,Cables!$A:$A,0))))</f>
        <v>Belden 83269 (RG-188)</v>
      </c>
      <c r="C9" s="11">
        <f>IF($A9="","",IF(INDEX(Cables!$F:$F,MATCH($A9,Cables!$A:$A,0))="","",INDEX(Cables!$F:$F,MATCH($A9,Cables!$A:$A,0))))</f>
        <v>50</v>
      </c>
      <c r="D9" s="11">
        <f>IF($A9="","",IF(INDEX(Cables!$H:$H,MATCH($A9,Cables!$A:$A,0))="","",INDEX(Cables!$H:$H,MATCH($A9,Cables!$A:$A,0))))</f>
        <v>2.54</v>
      </c>
      <c r="E9" s="12">
        <f>IF($A9="","",IF(INDEX(Cables!$Q:$Q,MATCH($A9,Cables!$A:$A,0))="","",INDEX(Cables!$Q:$Q,MATCH($A9,Cables!$A:$A,0))))</f>
        <v>0.7</v>
      </c>
      <c r="F9" s="11">
        <f>IF($A9="","",IF(INDEX(Cables!$AQ:$AQ,MATCH($A9,Cables!$A:$A,0))="","",INDEX(Cables!$AQ:$AQ,MATCH($A9,Cables!$A:$A,0))))</f>
        <v>1</v>
      </c>
      <c r="G9" s="11">
        <f>IF($A9="","",IF(INDEX(Cables!$AR:$AR,MATCH($A9,Cables!$A:$A,0))="","",INDEX(Cables!$AR:$AR,MATCH($A9,Cables!$A:$A,0))))</f>
        <v>1000</v>
      </c>
      <c r="H9" s="11">
        <f>IF($A9="","",IF(INDEX(Cables!$AO:$AO,MATCH($A9,Cables!$A:$A,0))="","",INDEX(Cables!$AO:$AO,MATCH($A9,Cables!$A:$A,0))))</f>
        <v>33</v>
      </c>
      <c r="I9" s="11">
        <f>IF($A9="","",IF(INDEX(Cables!$AP:$AP,MATCH($A9,Cables!$A:$A,0))="","",INDEX(Cables!$AP:$AP,MATCH($A9,Cables!$A:$A,0))))</f>
        <v>9</v>
      </c>
      <c r="J9" s="12">
        <f>IF($A9="","",IF(J$5&gt;2*$G9,"",EXP(FORECAST(LN(J$5),INDEX(Attenuation!$K:$K,($H9-1+MIN(MAX(IFERROR(MATCH(LN(J$5),INDEX(Attenuation!$J:$J,$H9):INDEX(Attenuation!$J:$J,$H9+$I9-1),1),1),1),$I9-1))):INDEX(Attenuation!$K:$K,($H9-1+MIN(MAX(IFERROR(MATCH(LN(J$5),INDEX(Attenuation!$J:$J,$H9):INDEX(Attenuation!$J:$J,$H9+$I9-1),1),1),1),$I9-1))+1),INDEX(Attenuation!$J:$J,($H9-1+MIN(MAX(IFERROR(MATCH(LN(J$5),INDEX(Attenuation!$J:$J,$H9):INDEX(Attenuation!$J:$J,$H9+$I9-1),1),1),1),$I9-1))):INDEX(Attenuation!$J:$J,($H9-1+MIN(MAX(IFERROR(MATCH(LN(J$5),INDEX(Attenuation!$J:$J,$H9):INDEX(Attenuation!$J:$J,$H9+$I9-1),1),1),1),$I9-1))+1)))))</f>
        <v>4.8424907189803852</v>
      </c>
      <c r="K9" s="12">
        <f>IF($A9="","",IF(K$5&gt;2*$G9,"",EXP(FORECAST(LN(K$5),INDEX(Attenuation!$K:$K,($H9-1+MIN(MAX(IFERROR(MATCH(LN(K$5),INDEX(Attenuation!$J:$J,$H9):INDEX(Attenuation!$J:$J,$H9+$I9-1),1),1),1),$I9-1))):INDEX(Attenuation!$K:$K,($H9-1+MIN(MAX(IFERROR(MATCH(LN(K$5),INDEX(Attenuation!$J:$J,$H9):INDEX(Attenuation!$J:$J,$H9+$I9-1),1),1),1),$I9-1))+1),INDEX(Attenuation!$J:$J,($H9-1+MIN(MAX(IFERROR(MATCH(LN(K$5),INDEX(Attenuation!$J:$J,$H9):INDEX(Attenuation!$J:$J,$H9+$I9-1),1),1),1),$I9-1))):INDEX(Attenuation!$J:$J,($H9-1+MIN(MAX(IFERROR(MATCH(LN(K$5),INDEX(Attenuation!$J:$J,$H9):INDEX(Attenuation!$J:$J,$H9+$I9-1),1),1),1),$I9-1))+1)))))</f>
        <v>6.1203680206229159</v>
      </c>
      <c r="L9" s="12">
        <f>IF($A9="","",IF(L$5&gt;2*$G9,"",EXP(FORECAST(LN(L$5),INDEX(Attenuation!$K:$K,($H9-1+MIN(MAX(IFERROR(MATCH(LN(L$5),INDEX(Attenuation!$J:$J,$H9):INDEX(Attenuation!$J:$J,$H9+$I9-1),1),1),1),$I9-1))):INDEX(Attenuation!$K:$K,($H9-1+MIN(MAX(IFERROR(MATCH(LN(L$5),INDEX(Attenuation!$J:$J,$H9):INDEX(Attenuation!$J:$J,$H9+$I9-1),1),1),1),$I9-1))+1),INDEX(Attenuation!$J:$J,($H9-1+MIN(MAX(IFERROR(MATCH(LN(L$5),INDEX(Attenuation!$J:$J,$H9):INDEX(Attenuation!$J:$J,$H9+$I9-1),1),1),1),$I9-1))):INDEX(Attenuation!$J:$J,($H9-1+MIN(MAX(IFERROR(MATCH(LN(L$5),INDEX(Attenuation!$J:$J,$H9):INDEX(Attenuation!$J:$J,$H9+$I9-1),1),1),1),$I9-1))+1)))))</f>
        <v>7.8125901037526964</v>
      </c>
      <c r="M9" s="12">
        <f>IF($A9="","",IF(M$5&gt;2*$G9,"",EXP(FORECAST(LN(M$5),INDEX(Attenuation!$K:$K,($H9-1+MIN(MAX(IFERROR(MATCH(LN(M$5),INDEX(Attenuation!$J:$J,$H9):INDEX(Attenuation!$J:$J,$H9+$I9-1),1),1),1),$I9-1))):INDEX(Attenuation!$K:$K,($H9-1+MIN(MAX(IFERROR(MATCH(LN(M$5),INDEX(Attenuation!$J:$J,$H9):INDEX(Attenuation!$J:$J,$H9+$I9-1),1),1),1),$I9-1))+1),INDEX(Attenuation!$J:$J,($H9-1+MIN(MAX(IFERROR(MATCH(LN(M$5),INDEX(Attenuation!$J:$J,$H9):INDEX(Attenuation!$J:$J,$H9+$I9-1),1),1),1),$I9-1))):INDEX(Attenuation!$J:$J,($H9-1+MIN(MAX(IFERROR(MATCH(LN(M$5),INDEX(Attenuation!$J:$J,$H9):INDEX(Attenuation!$J:$J,$H9+$I9-1),1),1),1),$I9-1))+1)))))</f>
        <v>10.317742887994736</v>
      </c>
      <c r="N9" s="12">
        <f>IF($A9="","",IF(N$5&gt;2*$G9,"",EXP(FORECAST(LN(N$5),INDEX(Attenuation!$K:$K,($H9-1+MIN(MAX(IFERROR(MATCH(LN(N$5),INDEX(Attenuation!$J:$J,$H9):INDEX(Attenuation!$J:$J,$H9+$I9-1),1),1),1),$I9-1))):INDEX(Attenuation!$K:$K,($H9-1+MIN(MAX(IFERROR(MATCH(LN(N$5),INDEX(Attenuation!$J:$J,$H9):INDEX(Attenuation!$J:$J,$H9+$I9-1),1),1),1),$I9-1))+1),INDEX(Attenuation!$J:$J,($H9-1+MIN(MAX(IFERROR(MATCH(LN(N$5),INDEX(Attenuation!$J:$J,$H9):INDEX(Attenuation!$J:$J,$H9+$I9-1),1),1),1),$I9-1))):INDEX(Attenuation!$J:$J,($H9-1+MIN(MAX(IFERROR(MATCH(LN(N$5),INDEX(Attenuation!$J:$J,$H9):INDEX(Attenuation!$J:$J,$H9+$I9-1),1),1),1),$I9-1))+1)))))</f>
        <v>12.39944146288509</v>
      </c>
      <c r="O9" s="12">
        <f>IF($A9="","",IF(O$5&gt;2*$G9,"",EXP(FORECAST(LN(O$5),INDEX(Attenuation!$K:$K,($H9-1+MIN(MAX(IFERROR(MATCH(LN(O$5),INDEX(Attenuation!$J:$J,$H9):INDEX(Attenuation!$J:$J,$H9+$I9-1),1),1),1),$I9-1))):INDEX(Attenuation!$K:$K,($H9-1+MIN(MAX(IFERROR(MATCH(LN(O$5),INDEX(Attenuation!$J:$J,$H9):INDEX(Attenuation!$J:$J,$H9+$I9-1),1),1),1),$I9-1))+1),INDEX(Attenuation!$J:$J,($H9-1+MIN(MAX(IFERROR(MATCH(LN(O$5),INDEX(Attenuation!$J:$J,$H9):INDEX(Attenuation!$J:$J,$H9+$I9-1),1),1),1),$I9-1))):INDEX(Attenuation!$J:$J,($H9-1+MIN(MAX(IFERROR(MATCH(LN(O$5),INDEX(Attenuation!$J:$J,$H9):INDEX(Attenuation!$J:$J,$H9+$I9-1),1),1),1),$I9-1))+1)))))</f>
        <v>14.126464562629074</v>
      </c>
      <c r="P9" s="12">
        <f>IF($A9="","",IF(P$5&gt;2*$G9,"",EXP(FORECAST(LN(P$5),INDEX(Attenuation!$K:$K,($H9-1+MIN(MAX(IFERROR(MATCH(LN(P$5),INDEX(Attenuation!$J:$J,$H9):INDEX(Attenuation!$J:$J,$H9+$I9-1),1),1),1),$I9-1))):INDEX(Attenuation!$K:$K,($H9-1+MIN(MAX(IFERROR(MATCH(LN(P$5),INDEX(Attenuation!$J:$J,$H9):INDEX(Attenuation!$J:$J,$H9+$I9-1),1),1),1),$I9-1))+1),INDEX(Attenuation!$J:$J,($H9-1+MIN(MAX(IFERROR(MATCH(LN(P$5),INDEX(Attenuation!$J:$J,$H9):INDEX(Attenuation!$J:$J,$H9+$I9-1),1),1),1),$I9-1))):INDEX(Attenuation!$J:$J,($H9-1+MIN(MAX(IFERROR(MATCH(LN(P$5),INDEX(Attenuation!$J:$J,$H9):INDEX(Attenuation!$J:$J,$H9+$I9-1),1),1),1),$I9-1))+1)))))</f>
        <v>18.372703412073491</v>
      </c>
      <c r="Q9" s="12">
        <f>IF($A9="","",IF(Q$5&gt;2*$G9,"",EXP(FORECAST(LN(Q$5),INDEX(Attenuation!$K:$K,($H9-1+MIN(MAX(IFERROR(MATCH(LN(Q$5),INDEX(Attenuation!$J:$J,$H9):INDEX(Attenuation!$J:$J,$H9+$I9-1),1),1),1),$I9-1))):INDEX(Attenuation!$K:$K,($H9-1+MIN(MAX(IFERROR(MATCH(LN(Q$5),INDEX(Attenuation!$J:$J,$H9):INDEX(Attenuation!$J:$J,$H9+$I9-1),1),1),1),$I9-1))+1),INDEX(Attenuation!$J:$J,($H9-1+MIN(MAX(IFERROR(MATCH(LN(Q$5),INDEX(Attenuation!$J:$J,$H9):INDEX(Attenuation!$J:$J,$H9+$I9-1),1),1),1),$I9-1))):INDEX(Attenuation!$J:$J,($H9-1+MIN(MAX(IFERROR(MATCH(LN(Q$5),INDEX(Attenuation!$J:$J,$H9):INDEX(Attenuation!$J:$J,$H9+$I9-1),1),1),1),$I9-1))+1)))))</f>
        <v>33.058900511482037</v>
      </c>
      <c r="R9" s="12">
        <f>IF($A9="","",IF(R$5&gt;2*$G9,"",EXP(FORECAST(LN(R$5),INDEX(Attenuation!$K:$K,($H9-1+MIN(MAX(IFERROR(MATCH(LN(R$5),INDEX(Attenuation!$J:$J,$H9):INDEX(Attenuation!$J:$J,$H9+$I9-1),1),1),1),$I9-1))):INDEX(Attenuation!$K:$K,($H9-1+MIN(MAX(IFERROR(MATCH(LN(R$5),INDEX(Attenuation!$J:$J,$H9):INDEX(Attenuation!$J:$J,$H9+$I9-1),1),1),1),$I9-1))+1),INDEX(Attenuation!$J:$J,($H9-1+MIN(MAX(IFERROR(MATCH(LN(R$5),INDEX(Attenuation!$J:$J,$H9):INDEX(Attenuation!$J:$J,$H9+$I9-1),1),1),1),$I9-1))):INDEX(Attenuation!$J:$J,($H9-1+MIN(MAX(IFERROR(MATCH(LN(R$5),INDEX(Attenuation!$J:$J,$H9):INDEX(Attenuation!$J:$J,$H9+$I9-1),1),1),1),$I9-1))+1)))))</f>
        <v>59.859972969287725</v>
      </c>
      <c r="S9" s="12">
        <f>IF($A9="","",IF(S$5&gt;2*$G9,"",EXP(FORECAST(LN(S$5),INDEX(Attenuation!$K:$K,($H9-1+MIN(MAX(IFERROR(MATCH(LN(S$5),INDEX(Attenuation!$J:$J,$H9):INDEX(Attenuation!$J:$J,$H9+$I9-1),1),1),1),$I9-1))):INDEX(Attenuation!$K:$K,($H9-1+MIN(MAX(IFERROR(MATCH(LN(S$5),INDEX(Attenuation!$J:$J,$H9):INDEX(Attenuation!$J:$J,$H9+$I9-1),1),1),1),$I9-1))+1),INDEX(Attenuation!$J:$J,($H9-1+MIN(MAX(IFERROR(MATCH(LN(S$5),INDEX(Attenuation!$J:$J,$H9):INDEX(Attenuation!$J:$J,$H9+$I9-1),1),1),1),$I9-1))):INDEX(Attenuation!$J:$J,($H9-1+MIN(MAX(IFERROR(MATCH(LN(S$5),INDEX(Attenuation!$J:$J,$H9):INDEX(Attenuation!$J:$J,$H9+$I9-1),1),1),1),$I9-1))+1)))))</f>
        <v>110.39409295905057</v>
      </c>
      <c r="T9" s="12" t="str">
        <f>IF($A9="","",IF(T$5&gt;2*$G9,"",EXP(FORECAST(LN(T$5),INDEX(Attenuation!$K:$K,($H9-1+MIN(MAX(IFERROR(MATCH(LN(T$5),INDEX(Attenuation!$J:$J,$H9):INDEX(Attenuation!$J:$J,$H9+$I9-1),1),1),1),$I9-1))):INDEX(Attenuation!$K:$K,($H9-1+MIN(MAX(IFERROR(MATCH(LN(T$5),INDEX(Attenuation!$J:$J,$H9):INDEX(Attenuation!$J:$J,$H9+$I9-1),1),1),1),$I9-1))+1),INDEX(Attenuation!$J:$J,($H9-1+MIN(MAX(IFERROR(MATCH(LN(T$5),INDEX(Attenuation!$J:$J,$H9):INDEX(Attenuation!$J:$J,$H9+$I9-1),1),1),1),$I9-1))):INDEX(Attenuation!$J:$J,($H9-1+MIN(MAX(IFERROR(MATCH(LN(T$5),INDEX(Attenuation!$J:$J,$H9):INDEX(Attenuation!$J:$J,$H9+$I9-1),1),1),1),$I9-1))+1)))))</f>
        <v/>
      </c>
      <c r="U9" s="12" t="str">
        <f>IF($A9="","",IF(U$5&gt;2*$G9,"",EXP(FORECAST(LN(U$5),INDEX(Attenuation!$K:$K,($H9-1+MIN(MAX(IFERROR(MATCH(LN(U$5),INDEX(Attenuation!$J:$J,$H9):INDEX(Attenuation!$J:$J,$H9+$I9-1),1),1),1),$I9-1))):INDEX(Attenuation!$K:$K,($H9-1+MIN(MAX(IFERROR(MATCH(LN(U$5),INDEX(Attenuation!$J:$J,$H9):INDEX(Attenuation!$J:$J,$H9+$I9-1),1),1),1),$I9-1))+1),INDEX(Attenuation!$J:$J,($H9-1+MIN(MAX(IFERROR(MATCH(LN(U$5),INDEX(Attenuation!$J:$J,$H9):INDEX(Attenuation!$J:$J,$H9+$I9-1),1),1),1),$I9-1))):INDEX(Attenuation!$J:$J,($H9-1+MIN(MAX(IFERROR(MATCH(LN(U$5),INDEX(Attenuation!$J:$J,$H9):INDEX(Attenuation!$J:$J,$H9+$I9-1),1),1),1),$I9-1))+1)))))</f>
        <v/>
      </c>
      <c r="V9" s="1"/>
      <c r="W9" s="12">
        <f t="shared" si="0"/>
        <v>1.4759911711452214</v>
      </c>
      <c r="X9" s="12">
        <f t="shared" si="1"/>
        <v>1.8654881726858648</v>
      </c>
      <c r="Y9" s="12">
        <f t="shared" si="2"/>
        <v>2.3812774636238219</v>
      </c>
      <c r="Z9" s="12">
        <f t="shared" si="3"/>
        <v>3.1448480322607959</v>
      </c>
      <c r="AA9" s="12">
        <f t="shared" si="4"/>
        <v>3.7793497578873754</v>
      </c>
      <c r="AB9" s="12">
        <f t="shared" si="5"/>
        <v>4.3057463986893421</v>
      </c>
      <c r="AC9" s="12">
        <f t="shared" si="6"/>
        <v>5.6000000000000005</v>
      </c>
      <c r="AD9" s="12">
        <f t="shared" si="7"/>
        <v>10.076352875899726</v>
      </c>
      <c r="AE9" s="12">
        <f t="shared" si="8"/>
        <v>18.2453197610389</v>
      </c>
      <c r="AF9" s="12">
        <f t="shared" si="9"/>
        <v>33.648119533918617</v>
      </c>
      <c r="AG9" s="12" t="str">
        <f t="shared" si="10"/>
        <v/>
      </c>
      <c r="AH9" s="12" t="str">
        <f t="shared" si="11"/>
        <v/>
      </c>
    </row>
    <row r="10" spans="1:34" x14ac:dyDescent="0.25">
      <c r="A10" s="11" t="str">
        <f>IF(ROWS($A$6:A10)&gt;COUNTA(Cables!$A:$A)-1,"",INDEX(Cables!$A:$A,ROWS($A$6:A10)+1))</f>
        <v>TMS-LMR100A</v>
      </c>
      <c r="B10" s="11" t="str">
        <f>IF($A10="","",IF(INDEX(Cables!$B:$B,MATCH($A10,Cables!$A:$A,0))="","",INDEX(Cables!$B:$B,MATCH($A10,Cables!$A:$A,0))))</f>
        <v>Times Microwave LMR-100A (Amphenol)</v>
      </c>
      <c r="C10" s="11">
        <f>IF($A10="","",IF(INDEX(Cables!$F:$F,MATCH($A10,Cables!$A:$A,0))="","",INDEX(Cables!$F:$F,MATCH($A10,Cables!$A:$A,0))))</f>
        <v>50</v>
      </c>
      <c r="D10" s="11">
        <f>IF($A10="","",IF(INDEX(Cables!$H:$H,MATCH($A10,Cables!$A:$A,0))="","",INDEX(Cables!$H:$H,MATCH($A10,Cables!$A:$A,0))))</f>
        <v>2.79</v>
      </c>
      <c r="E10" s="12">
        <f>IF($A10="","",IF(INDEX(Cables!$Q:$Q,MATCH($A10,Cables!$A:$A,0))="","",INDEX(Cables!$Q:$Q,MATCH($A10,Cables!$A:$A,0))))</f>
        <v>0.66</v>
      </c>
      <c r="F10" s="11">
        <f>IF($A10="","",IF(INDEX(Cables!$AQ:$AQ,MATCH($A10,Cables!$A:$A,0))="","",INDEX(Cables!$AQ:$AQ,MATCH($A10,Cables!$A:$A,0))))</f>
        <v>30</v>
      </c>
      <c r="G10" s="11">
        <f>IF($A10="","",IF(INDEX(Cables!$AR:$AR,MATCH($A10,Cables!$A:$A,0))="","",INDEX(Cables!$AR:$AR,MATCH($A10,Cables!$A:$A,0))))</f>
        <v>2500</v>
      </c>
      <c r="H10" s="11">
        <f>IF($A10="","",IF(INDEX(Cables!$AO:$AO,MATCH($A10,Cables!$A:$A,0))="","",INDEX(Cables!$AO:$AO,MATCH($A10,Cables!$A:$A,0))))</f>
        <v>42</v>
      </c>
      <c r="I10" s="11">
        <f>IF($A10="","",IF(INDEX(Cables!$AP:$AP,MATCH($A10,Cables!$A:$A,0))="","",INDEX(Cables!$AP:$AP,MATCH($A10,Cables!$A:$A,0))))</f>
        <v>10</v>
      </c>
      <c r="J10" s="12">
        <f>IF($A10="","",IF(J$5&gt;2*$G10,"",EXP(FORECAST(LN(J$5),INDEX(Attenuation!$K:$K,($H10-1+MIN(MAX(IFERROR(MATCH(LN(J$5),INDEX(Attenuation!$J:$J,$H10):INDEX(Attenuation!$J:$J,$H10+$I10-1),1),1),1),$I10-1))):INDEX(Attenuation!$K:$K,($H10-1+MIN(MAX(IFERROR(MATCH(LN(J$5),INDEX(Attenuation!$J:$J,$H10):INDEX(Attenuation!$J:$J,$H10+$I10-1),1),1),1),$I10-1))+1),INDEX(Attenuation!$J:$J,($H10-1+MIN(MAX(IFERROR(MATCH(LN(J$5),INDEX(Attenuation!$J:$J,$H10):INDEX(Attenuation!$J:$J,$H10+$I10-1),1),1),1),$I10-1))):INDEX(Attenuation!$J:$J,($H10-1+MIN(MAX(IFERROR(MATCH(LN(J$5),INDEX(Attenuation!$J:$J,$H10):INDEX(Attenuation!$J:$J,$H10+$I10-1),1),1),1),$I10-1))+1)))))</f>
        <v>2.9200239966270951</v>
      </c>
      <c r="K10" s="12">
        <f>IF($A10="","",IF(K$5&gt;2*$G10,"",EXP(FORECAST(LN(K$5),INDEX(Attenuation!$K:$K,($H10-1+MIN(MAX(IFERROR(MATCH(LN(K$5),INDEX(Attenuation!$J:$J,$H10):INDEX(Attenuation!$J:$J,$H10+$I10-1),1),1),1),$I10-1))):INDEX(Attenuation!$K:$K,($H10-1+MIN(MAX(IFERROR(MATCH(LN(K$5),INDEX(Attenuation!$J:$J,$H10):INDEX(Attenuation!$J:$J,$H10+$I10-1),1),1),1),$I10-1))+1),INDEX(Attenuation!$J:$J,($H10-1+MIN(MAX(IFERROR(MATCH(LN(K$5),INDEX(Attenuation!$J:$J,$H10):INDEX(Attenuation!$J:$J,$H10+$I10-1),1),1),1),$I10-1))):INDEX(Attenuation!$J:$J,($H10-1+MIN(MAX(IFERROR(MATCH(LN(K$5),INDEX(Attenuation!$J:$J,$H10):INDEX(Attenuation!$J:$J,$H10+$I10-1),1),1),1),$I10-1))+1)))))</f>
        <v>4.1404696787251121</v>
      </c>
      <c r="L10" s="12">
        <f>IF($A10="","",IF(L$5&gt;2*$G10,"",EXP(FORECAST(LN(L$5),INDEX(Attenuation!$K:$K,($H10-1+MIN(MAX(IFERROR(MATCH(LN(L$5),INDEX(Attenuation!$J:$J,$H10):INDEX(Attenuation!$J:$J,$H10+$I10-1),1),1),1),$I10-1))):INDEX(Attenuation!$K:$K,($H10-1+MIN(MAX(IFERROR(MATCH(LN(L$5),INDEX(Attenuation!$J:$J,$H10):INDEX(Attenuation!$J:$J,$H10+$I10-1),1),1),1),$I10-1))+1),INDEX(Attenuation!$J:$J,($H10-1+MIN(MAX(IFERROR(MATCH(LN(L$5),INDEX(Attenuation!$J:$J,$H10):INDEX(Attenuation!$J:$J,$H10+$I10-1),1),1),1),$I10-1))):INDEX(Attenuation!$J:$J,($H10-1+MIN(MAX(IFERROR(MATCH(LN(L$5),INDEX(Attenuation!$J:$J,$H10):INDEX(Attenuation!$J:$J,$H10+$I10-1),1),1),1),$I10-1))+1)))))</f>
        <v>5.9585119563576585</v>
      </c>
      <c r="M10" s="12">
        <f>IF($A10="","",IF(M$5&gt;2*$G10,"",EXP(FORECAST(LN(M$5),INDEX(Attenuation!$K:$K,($H10-1+MIN(MAX(IFERROR(MATCH(LN(M$5),INDEX(Attenuation!$J:$J,$H10):INDEX(Attenuation!$J:$J,$H10+$I10-1),1),1),1),$I10-1))):INDEX(Attenuation!$K:$K,($H10-1+MIN(MAX(IFERROR(MATCH(LN(M$5),INDEX(Attenuation!$J:$J,$H10):INDEX(Attenuation!$J:$J,$H10+$I10-1),1),1),1),$I10-1))+1),INDEX(Attenuation!$J:$J,($H10-1+MIN(MAX(IFERROR(MATCH(LN(M$5),INDEX(Attenuation!$J:$J,$H10):INDEX(Attenuation!$J:$J,$H10+$I10-1),1),1),1),$I10-1))):INDEX(Attenuation!$J:$J,($H10-1+MIN(MAX(IFERROR(MATCH(LN(M$5),INDEX(Attenuation!$J:$J,$H10):INDEX(Attenuation!$J:$J,$H10+$I10-1),1),1),1),$I10-1))+1)))))</f>
        <v>8.5748399309590209</v>
      </c>
      <c r="N10" s="12">
        <f>IF($A10="","",IF(N$5&gt;2*$G10,"",EXP(FORECAST(LN(N$5),INDEX(Attenuation!$K:$K,($H10-1+MIN(MAX(IFERROR(MATCH(LN(N$5),INDEX(Attenuation!$J:$J,$H10):INDEX(Attenuation!$J:$J,$H10+$I10-1),1),1),1),$I10-1))):INDEX(Attenuation!$K:$K,($H10-1+MIN(MAX(IFERROR(MATCH(LN(N$5),INDEX(Attenuation!$J:$J,$H10):INDEX(Attenuation!$J:$J,$H10+$I10-1),1),1),1),$I10-1))+1),INDEX(Attenuation!$J:$J,($H10-1+MIN(MAX(IFERROR(MATCH(LN(N$5),INDEX(Attenuation!$J:$J,$H10):INDEX(Attenuation!$J:$J,$H10+$I10-1),1),1),1),$I10-1))):INDEX(Attenuation!$J:$J,($H10-1+MIN(MAX(IFERROR(MATCH(LN(N$5),INDEX(Attenuation!$J:$J,$H10):INDEX(Attenuation!$J:$J,$H10+$I10-1),1),1),1),$I10-1))+1)))))</f>
        <v>10.609665563115033</v>
      </c>
      <c r="O10" s="12">
        <f>IF($A10="","",IF(O$5&gt;2*$G10,"",EXP(FORECAST(LN(O$5),INDEX(Attenuation!$K:$K,($H10-1+MIN(MAX(IFERROR(MATCH(LN(O$5),INDEX(Attenuation!$J:$J,$H10):INDEX(Attenuation!$J:$J,$H10+$I10-1),1),1),1),$I10-1))):INDEX(Attenuation!$K:$K,($H10-1+MIN(MAX(IFERROR(MATCH(LN(O$5),INDEX(Attenuation!$J:$J,$H10):INDEX(Attenuation!$J:$J,$H10+$I10-1),1),1),1),$I10-1))+1),INDEX(Attenuation!$J:$J,($H10-1+MIN(MAX(IFERROR(MATCH(LN(O$5),INDEX(Attenuation!$J:$J,$H10):INDEX(Attenuation!$J:$J,$H10+$I10-1),1),1),1),$I10-1))):INDEX(Attenuation!$J:$J,($H10-1+MIN(MAX(IFERROR(MATCH(LN(O$5),INDEX(Attenuation!$J:$J,$H10):INDEX(Attenuation!$J:$J,$H10+$I10-1),1),1),1),$I10-1))+1)))))</f>
        <v>12.339973533680004</v>
      </c>
      <c r="P10" s="12">
        <f>IF($A10="","",IF(P$5&gt;2*$G10,"",EXP(FORECAST(LN(P$5),INDEX(Attenuation!$K:$K,($H10-1+MIN(MAX(IFERROR(MATCH(LN(P$5),INDEX(Attenuation!$J:$J,$H10):INDEX(Attenuation!$J:$J,$H10+$I10-1),1),1),1),$I10-1))):INDEX(Attenuation!$K:$K,($H10-1+MIN(MAX(IFERROR(MATCH(LN(P$5),INDEX(Attenuation!$J:$J,$H10):INDEX(Attenuation!$J:$J,$H10+$I10-1),1),1),1),$I10-1))+1),INDEX(Attenuation!$J:$J,($H10-1+MIN(MAX(IFERROR(MATCH(LN(P$5),INDEX(Attenuation!$J:$J,$H10):INDEX(Attenuation!$J:$J,$H10+$I10-1),1),1),1),$I10-1))):INDEX(Attenuation!$J:$J,($H10-1+MIN(MAX(IFERROR(MATCH(LN(P$5),INDEX(Attenuation!$J:$J,$H10):INDEX(Attenuation!$J:$J,$H10+$I10-1),1),1),1),$I10-1))+1)))))</f>
        <v>16.732283464566923</v>
      </c>
      <c r="Q10" s="12">
        <f>IF($A10="","",IF(Q$5&gt;2*$G10,"",EXP(FORECAST(LN(Q$5),INDEX(Attenuation!$K:$K,($H10-1+MIN(MAX(IFERROR(MATCH(LN(Q$5),INDEX(Attenuation!$J:$J,$H10):INDEX(Attenuation!$J:$J,$H10+$I10-1),1),1),1),$I10-1))):INDEX(Attenuation!$K:$K,($H10-1+MIN(MAX(IFERROR(MATCH(LN(Q$5),INDEX(Attenuation!$J:$J,$H10):INDEX(Attenuation!$J:$J,$H10+$I10-1),1),1),1),$I10-1))+1),INDEX(Attenuation!$J:$J,($H10-1+MIN(MAX(IFERROR(MATCH(LN(Q$5),INDEX(Attenuation!$J:$J,$H10):INDEX(Attenuation!$J:$J,$H10+$I10-1),1),1),1),$I10-1))):INDEX(Attenuation!$J:$J,($H10-1+MIN(MAX(IFERROR(MATCH(LN(Q$5),INDEX(Attenuation!$J:$J,$H10):INDEX(Attenuation!$J:$J,$H10+$I10-1),1),1),1),$I10-1))+1)))))</f>
        <v>28.601549098398319</v>
      </c>
      <c r="R10" s="12">
        <f>IF($A10="","",IF(R$5&gt;2*$G10,"",EXP(FORECAST(LN(R$5),INDEX(Attenuation!$K:$K,($H10-1+MIN(MAX(IFERROR(MATCH(LN(R$5),INDEX(Attenuation!$J:$J,$H10):INDEX(Attenuation!$J:$J,$H10+$I10-1),1),1),1),$I10-1))):INDEX(Attenuation!$K:$K,($H10-1+MIN(MAX(IFERROR(MATCH(LN(R$5),INDEX(Attenuation!$J:$J,$H10):INDEX(Attenuation!$J:$J,$H10+$I10-1),1),1),1),$I10-1))+1),INDEX(Attenuation!$J:$J,($H10-1+MIN(MAX(IFERROR(MATCH(LN(R$5),INDEX(Attenuation!$J:$J,$H10):INDEX(Attenuation!$J:$J,$H10+$I10-1),1),1),1),$I10-1))):INDEX(Attenuation!$J:$J,($H10-1+MIN(MAX(IFERROR(MATCH(LN(R$5),INDEX(Attenuation!$J:$J,$H10):INDEX(Attenuation!$J:$J,$H10+$I10-1),1),1),1),$I10-1))+1)))))</f>
        <v>50.751028668656922</v>
      </c>
      <c r="S10" s="12">
        <f>IF($A10="","",IF(S$5&gt;2*$G10,"",EXP(FORECAST(LN(S$5),INDEX(Attenuation!$K:$K,($H10-1+MIN(MAX(IFERROR(MATCH(LN(S$5),INDEX(Attenuation!$J:$J,$H10):INDEX(Attenuation!$J:$J,$H10+$I10-1),1),1),1),$I10-1))):INDEX(Attenuation!$K:$K,($H10-1+MIN(MAX(IFERROR(MATCH(LN(S$5),INDEX(Attenuation!$J:$J,$H10):INDEX(Attenuation!$J:$J,$H10+$I10-1),1),1),1),$I10-1))+1),INDEX(Attenuation!$J:$J,($H10-1+MIN(MAX(IFERROR(MATCH(LN(S$5),INDEX(Attenuation!$J:$J,$H10):INDEX(Attenuation!$J:$J,$H10+$I10-1),1),1),1),$I10-1))):INDEX(Attenuation!$J:$J,($H10-1+MIN(MAX(IFERROR(MATCH(LN(S$5),INDEX(Attenuation!$J:$J,$H10):INDEX(Attenuation!$J:$J,$H10+$I10-1),1),1),1),$I10-1))+1)))))</f>
        <v>90.991081030802974</v>
      </c>
      <c r="T10" s="12">
        <f>IF($A10="","",IF(T$5&gt;2*$G10,"",EXP(FORECAST(LN(T$5),INDEX(Attenuation!$K:$K,($H10-1+MIN(MAX(IFERROR(MATCH(LN(T$5),INDEX(Attenuation!$J:$J,$H10):INDEX(Attenuation!$J:$J,$H10+$I10-1),1),1),1),$I10-1))):INDEX(Attenuation!$K:$K,($H10-1+MIN(MAX(IFERROR(MATCH(LN(T$5),INDEX(Attenuation!$J:$J,$H10):INDEX(Attenuation!$J:$J,$H10+$I10-1),1),1),1),$I10-1))+1),INDEX(Attenuation!$J:$J,($H10-1+MIN(MAX(IFERROR(MATCH(LN(T$5),INDEX(Attenuation!$J:$J,$H10):INDEX(Attenuation!$J:$J,$H10+$I10-1),1),1),1),$I10-1))):INDEX(Attenuation!$J:$J,($H10-1+MIN(MAX(IFERROR(MATCH(LN(T$5),INDEX(Attenuation!$J:$J,$H10):INDEX(Attenuation!$J:$J,$H10+$I10-1),1),1),1),$I10-1))+1)))))</f>
        <v>128.0666214443921</v>
      </c>
      <c r="U10" s="12" t="str">
        <f>IF($A10="","",IF(U$5&gt;2*$G10,"",EXP(FORECAST(LN(U$5),INDEX(Attenuation!$K:$K,($H10-1+MIN(MAX(IFERROR(MATCH(LN(U$5),INDEX(Attenuation!$J:$J,$H10):INDEX(Attenuation!$J:$J,$H10+$I10-1),1),1),1),$I10-1))):INDEX(Attenuation!$K:$K,($H10-1+MIN(MAX(IFERROR(MATCH(LN(U$5),INDEX(Attenuation!$J:$J,$H10):INDEX(Attenuation!$J:$J,$H10+$I10-1),1),1),1),$I10-1))+1),INDEX(Attenuation!$J:$J,($H10-1+MIN(MAX(IFERROR(MATCH(LN(U$5),INDEX(Attenuation!$J:$J,$H10):INDEX(Attenuation!$J:$J,$H10+$I10-1),1),1),1),$I10-1))):INDEX(Attenuation!$J:$J,($H10-1+MIN(MAX(IFERROR(MATCH(LN(U$5),INDEX(Attenuation!$J:$J,$H10):INDEX(Attenuation!$J:$J,$H10+$I10-1),1),1),1),$I10-1))+1)))))</f>
        <v/>
      </c>
      <c r="V10" s="1"/>
      <c r="W10" s="12">
        <f t="shared" si="0"/>
        <v>0.89002331417193858</v>
      </c>
      <c r="X10" s="12">
        <f t="shared" si="1"/>
        <v>1.2620151580754142</v>
      </c>
      <c r="Y10" s="12">
        <f t="shared" si="2"/>
        <v>1.8161544442978144</v>
      </c>
      <c r="Z10" s="12">
        <f t="shared" si="3"/>
        <v>2.6136112109563099</v>
      </c>
      <c r="AA10" s="12">
        <f t="shared" si="4"/>
        <v>3.2338260636374625</v>
      </c>
      <c r="AB10" s="12">
        <f t="shared" si="5"/>
        <v>3.7612239330656654</v>
      </c>
      <c r="AC10" s="12">
        <f t="shared" si="6"/>
        <v>5.0999999999999979</v>
      </c>
      <c r="AD10" s="12">
        <f t="shared" si="7"/>
        <v>8.7177521651918077</v>
      </c>
      <c r="AE10" s="12">
        <f t="shared" si="8"/>
        <v>15.46891353820663</v>
      </c>
      <c r="AF10" s="12">
        <f t="shared" si="9"/>
        <v>27.734081498188747</v>
      </c>
      <c r="AG10" s="12">
        <f t="shared" si="10"/>
        <v>39.034706216250711</v>
      </c>
      <c r="AH10" s="12" t="str">
        <f t="shared" si="11"/>
        <v/>
      </c>
    </row>
    <row r="11" spans="1:34" x14ac:dyDescent="0.25">
      <c r="A11" s="11" t="str">
        <f>IF(ROWS($A$6:A11)&gt;COUNTA(Cables!$A:$A)-1,"",INDEX(Cables!$A:$A,ROWS($A$6:A11)+1))</f>
        <v>BEL-8259</v>
      </c>
      <c r="B11" s="11" t="str">
        <f>IF($A11="","",IF(INDEX(Cables!$B:$B,MATCH($A11,Cables!$A:$A,0))="","",INDEX(Cables!$B:$B,MATCH($A11,Cables!$A:$A,0))))</f>
        <v>Belden 8259 (RG-58)</v>
      </c>
      <c r="C11" s="11">
        <f>IF($A11="","",IF(INDEX(Cables!$F:$F,MATCH($A11,Cables!$A:$A,0))="","",INDEX(Cables!$F:$F,MATCH($A11,Cables!$A:$A,0))))</f>
        <v>50</v>
      </c>
      <c r="D11" s="11">
        <f>IF($A11="","",IF(INDEX(Cables!$H:$H,MATCH($A11,Cables!$A:$A,0))="","",INDEX(Cables!$H:$H,MATCH($A11,Cables!$A:$A,0))))</f>
        <v>4.9000000000000004</v>
      </c>
      <c r="E11" s="12">
        <f>IF($A11="","",IF(INDEX(Cables!$Q:$Q,MATCH($A11,Cables!$A:$A,0))="","",INDEX(Cables!$Q:$Q,MATCH($A11,Cables!$A:$A,0))))</f>
        <v>0.66</v>
      </c>
      <c r="F11" s="11">
        <f>IF($A11="","",IF(INDEX(Cables!$AQ:$AQ,MATCH($A11,Cables!$A:$A,0))="","",INDEX(Cables!$AQ:$AQ,MATCH($A11,Cables!$A:$A,0))))</f>
        <v>1</v>
      </c>
      <c r="G11" s="11">
        <f>IF($A11="","",IF(INDEX(Cables!$AR:$AR,MATCH($A11,Cables!$A:$A,0))="","",INDEX(Cables!$AR:$AR,MATCH($A11,Cables!$A:$A,0))))</f>
        <v>1000</v>
      </c>
      <c r="H11" s="11">
        <f>IF($A11="","",IF(INDEX(Cables!$AO:$AO,MATCH($A11,Cables!$A:$A,0))="","",INDEX(Cables!$AO:$AO,MATCH($A11,Cables!$A:$A,0))))</f>
        <v>52</v>
      </c>
      <c r="I11" s="11">
        <f>IF($A11="","",IF(INDEX(Cables!$AP:$AP,MATCH($A11,Cables!$A:$A,0))="","",INDEX(Cables!$AP:$AP,MATCH($A11,Cables!$A:$A,0))))</f>
        <v>9</v>
      </c>
      <c r="J11" s="12">
        <f>IF($A11="","",IF(J$5&gt;2*$G11,"",EXP(FORECAST(LN(J$5),INDEX(Attenuation!$K:$K,($H11-1+MIN(MAX(IFERROR(MATCH(LN(J$5),INDEX(Attenuation!$J:$J,$H11):INDEX(Attenuation!$J:$J,$H11+$I11-1),1),1),1),$I11-1))):INDEX(Attenuation!$K:$K,($H11-1+MIN(MAX(IFERROR(MATCH(LN(J$5),INDEX(Attenuation!$J:$J,$H11):INDEX(Attenuation!$J:$J,$H11+$I11-1),1),1),1),$I11-1))+1),INDEX(Attenuation!$J:$J,($H11-1+MIN(MAX(IFERROR(MATCH(LN(J$5),INDEX(Attenuation!$J:$J,$H11):INDEX(Attenuation!$J:$J,$H11+$I11-1),1),1),1),$I11-1))):INDEX(Attenuation!$J:$J,($H11-1+MIN(MAX(IFERROR(MATCH(LN(J$5),INDEX(Attenuation!$J:$J,$H11):INDEX(Attenuation!$J:$J,$H11+$I11-1),1),1),1),$I11-1))+1)))))</f>
        <v>1.8389902571518812</v>
      </c>
      <c r="K11" s="12">
        <f>IF($A11="","",IF(K$5&gt;2*$G11,"",EXP(FORECAST(LN(K$5),INDEX(Attenuation!$K:$K,($H11-1+MIN(MAX(IFERROR(MATCH(LN(K$5),INDEX(Attenuation!$J:$J,$H11):INDEX(Attenuation!$J:$J,$H11+$I11-1),1),1),1),$I11-1))):INDEX(Attenuation!$K:$K,($H11-1+MIN(MAX(IFERROR(MATCH(LN(K$5),INDEX(Attenuation!$J:$J,$H11):INDEX(Attenuation!$J:$J,$H11+$I11-1),1),1),1),$I11-1))+1),INDEX(Attenuation!$J:$J,($H11-1+MIN(MAX(IFERROR(MATCH(LN(K$5),INDEX(Attenuation!$J:$J,$H11):INDEX(Attenuation!$J:$J,$H11+$I11-1),1),1),1),$I11-1))):INDEX(Attenuation!$J:$J,($H11-1+MIN(MAX(IFERROR(MATCH(LN(K$5),INDEX(Attenuation!$J:$J,$H11):INDEX(Attenuation!$J:$J,$H11+$I11-1),1),1),1),$I11-1))+1)))))</f>
        <v>2.6937488238909753</v>
      </c>
      <c r="L11" s="12">
        <f>IF($A11="","",IF(L$5&gt;2*$G11,"",EXP(FORECAST(LN(L$5),INDEX(Attenuation!$K:$K,($H11-1+MIN(MAX(IFERROR(MATCH(LN(L$5),INDEX(Attenuation!$J:$J,$H11):INDEX(Attenuation!$J:$J,$H11+$I11-1),1),1),1),$I11-1))):INDEX(Attenuation!$K:$K,($H11-1+MIN(MAX(IFERROR(MATCH(LN(L$5),INDEX(Attenuation!$J:$J,$H11):INDEX(Attenuation!$J:$J,$H11+$I11-1),1),1),1),$I11-1))+1),INDEX(Attenuation!$J:$J,($H11-1+MIN(MAX(IFERROR(MATCH(LN(L$5),INDEX(Attenuation!$J:$J,$H11):INDEX(Attenuation!$J:$J,$H11+$I11-1),1),1),1),$I11-1))):INDEX(Attenuation!$J:$J,($H11-1+MIN(MAX(IFERROR(MATCH(LN(L$5),INDEX(Attenuation!$J:$J,$H11):INDEX(Attenuation!$J:$J,$H11+$I11-1),1),1),1),$I11-1))+1)))))</f>
        <v>4.0101233163071948</v>
      </c>
      <c r="M11" s="12">
        <f>IF($A11="","",IF(M$5&gt;2*$G11,"",EXP(FORECAST(LN(M$5),INDEX(Attenuation!$K:$K,($H11-1+MIN(MAX(IFERROR(MATCH(LN(M$5),INDEX(Attenuation!$J:$J,$H11):INDEX(Attenuation!$J:$J,$H11+$I11-1),1),1),1),$I11-1))):INDEX(Attenuation!$K:$K,($H11-1+MIN(MAX(IFERROR(MATCH(LN(M$5),INDEX(Attenuation!$J:$J,$H11):INDEX(Attenuation!$J:$J,$H11+$I11-1),1),1),1),$I11-1))+1),INDEX(Attenuation!$J:$J,($H11-1+MIN(MAX(IFERROR(MATCH(LN(M$5),INDEX(Attenuation!$J:$J,$H11):INDEX(Attenuation!$J:$J,$H11+$I11-1),1),1),1),$I11-1))):INDEX(Attenuation!$J:$J,($H11-1+MIN(MAX(IFERROR(MATCH(LN(M$5),INDEX(Attenuation!$J:$J,$H11):INDEX(Attenuation!$J:$J,$H11+$I11-1),1),1),1),$I11-1))+1)))))</f>
        <v>5.9436287782046699</v>
      </c>
      <c r="N11" s="12">
        <f>IF($A11="","",IF(N$5&gt;2*$G11,"",EXP(FORECAST(LN(N$5),INDEX(Attenuation!$K:$K,($H11-1+MIN(MAX(IFERROR(MATCH(LN(N$5),INDEX(Attenuation!$J:$J,$H11):INDEX(Attenuation!$J:$J,$H11+$I11-1),1),1),1),$I11-1))):INDEX(Attenuation!$K:$K,($H11-1+MIN(MAX(IFERROR(MATCH(LN(N$5),INDEX(Attenuation!$J:$J,$H11):INDEX(Attenuation!$J:$J,$H11+$I11-1),1),1),1),$I11-1))+1),INDEX(Attenuation!$J:$J,($H11-1+MIN(MAX(IFERROR(MATCH(LN(N$5),INDEX(Attenuation!$J:$J,$H11):INDEX(Attenuation!$J:$J,$H11+$I11-1),1),1),1),$I11-1))):INDEX(Attenuation!$J:$J,($H11-1+MIN(MAX(IFERROR(MATCH(LN(N$5),INDEX(Attenuation!$J:$J,$H11):INDEX(Attenuation!$J:$J,$H11+$I11-1),1),1),1),$I11-1))+1)))))</f>
        <v>7.4616680361966923</v>
      </c>
      <c r="O11" s="12">
        <f>IF($A11="","",IF(O$5&gt;2*$G11,"",EXP(FORECAST(LN(O$5),INDEX(Attenuation!$K:$K,($H11-1+MIN(MAX(IFERROR(MATCH(LN(O$5),INDEX(Attenuation!$J:$J,$H11):INDEX(Attenuation!$J:$J,$H11+$I11-1),1),1),1),$I11-1))):INDEX(Attenuation!$K:$K,($H11-1+MIN(MAX(IFERROR(MATCH(LN(O$5),INDEX(Attenuation!$J:$J,$H11):INDEX(Attenuation!$J:$J,$H11+$I11-1),1),1),1),$I11-1))+1),INDEX(Attenuation!$J:$J,($H11-1+MIN(MAX(IFERROR(MATCH(LN(O$5),INDEX(Attenuation!$J:$J,$H11):INDEX(Attenuation!$J:$J,$H11+$I11-1),1),1),1),$I11-1))):INDEX(Attenuation!$J:$J,($H11-1+MIN(MAX(IFERROR(MATCH(LN(O$5),INDEX(Attenuation!$J:$J,$H11):INDEX(Attenuation!$J:$J,$H11+$I11-1),1),1),1),$I11-1))+1)))))</f>
        <v>8.7684829588293471</v>
      </c>
      <c r="P11" s="12">
        <f>IF($A11="","",IF(P$5&gt;2*$G11,"",EXP(FORECAST(LN(P$5),INDEX(Attenuation!$K:$K,($H11-1+MIN(MAX(IFERROR(MATCH(LN(P$5),INDEX(Attenuation!$J:$J,$H11):INDEX(Attenuation!$J:$J,$H11+$I11-1),1),1),1),$I11-1))):INDEX(Attenuation!$K:$K,($H11-1+MIN(MAX(IFERROR(MATCH(LN(P$5),INDEX(Attenuation!$J:$J,$H11):INDEX(Attenuation!$J:$J,$H11+$I11-1),1),1),1),$I11-1))+1),INDEX(Attenuation!$J:$J,($H11-1+MIN(MAX(IFERROR(MATCH(LN(P$5),INDEX(Attenuation!$J:$J,$H11):INDEX(Attenuation!$J:$J,$H11+$I11-1),1),1),1),$I11-1))):INDEX(Attenuation!$J:$J,($H11-1+MIN(MAX(IFERROR(MATCH(LN(P$5),INDEX(Attenuation!$J:$J,$H11):INDEX(Attenuation!$J:$J,$H11+$I11-1),1),1),1),$I11-1))+1)))))</f>
        <v>12.139107611548551</v>
      </c>
      <c r="Q11" s="12">
        <f>IF($A11="","",IF(Q$5&gt;2*$G11,"",EXP(FORECAST(LN(Q$5),INDEX(Attenuation!$K:$K,($H11-1+MIN(MAX(IFERROR(MATCH(LN(Q$5),INDEX(Attenuation!$J:$J,$H11):INDEX(Attenuation!$J:$J,$H11+$I11-1),1),1),1),$I11-1))):INDEX(Attenuation!$K:$K,($H11-1+MIN(MAX(IFERROR(MATCH(LN(Q$5),INDEX(Attenuation!$J:$J,$H11):INDEX(Attenuation!$J:$J,$H11+$I11-1),1),1),1),$I11-1))+1),INDEX(Attenuation!$J:$J,($H11-1+MIN(MAX(IFERROR(MATCH(LN(Q$5),INDEX(Attenuation!$J:$J,$H11):INDEX(Attenuation!$J:$J,$H11+$I11-1),1),1),1),$I11-1))):INDEX(Attenuation!$J:$J,($H11-1+MIN(MAX(IFERROR(MATCH(LN(Q$5),INDEX(Attenuation!$J:$J,$H11):INDEX(Attenuation!$J:$J,$H11+$I11-1),1),1),1),$I11-1))+1)))))</f>
        <v>21.928802521036378</v>
      </c>
      <c r="R11" s="12">
        <f>IF($A11="","",IF(R$5&gt;2*$G11,"",EXP(FORECAST(LN(R$5),INDEX(Attenuation!$K:$K,($H11-1+MIN(MAX(IFERROR(MATCH(LN(R$5),INDEX(Attenuation!$J:$J,$H11):INDEX(Attenuation!$J:$J,$H11+$I11-1),1),1),1),$I11-1))):INDEX(Attenuation!$K:$K,($H11-1+MIN(MAX(IFERROR(MATCH(LN(R$5),INDEX(Attenuation!$J:$J,$H11):INDEX(Attenuation!$J:$J,$H11+$I11-1),1),1),1),$I11-1))+1),INDEX(Attenuation!$J:$J,($H11-1+MIN(MAX(IFERROR(MATCH(LN(R$5),INDEX(Attenuation!$J:$J,$H11):INDEX(Attenuation!$J:$J,$H11+$I11-1),1),1),1),$I11-1))):INDEX(Attenuation!$J:$J,($H11-1+MIN(MAX(IFERROR(MATCH(LN(R$5),INDEX(Attenuation!$J:$J,$H11):INDEX(Attenuation!$J:$J,$H11+$I11-1),1),1),1),$I11-1))+1)))))</f>
        <v>42.722965999529414</v>
      </c>
      <c r="S11" s="12">
        <f>IF($A11="","",IF(S$5&gt;2*$G11,"",EXP(FORECAST(LN(S$5),INDEX(Attenuation!$K:$K,($H11-1+MIN(MAX(IFERROR(MATCH(LN(S$5),INDEX(Attenuation!$J:$J,$H11):INDEX(Attenuation!$J:$J,$H11+$I11-1),1),1),1),$I11-1))):INDEX(Attenuation!$K:$K,($H11-1+MIN(MAX(IFERROR(MATCH(LN(S$5),INDEX(Attenuation!$J:$J,$H11):INDEX(Attenuation!$J:$J,$H11+$I11-1),1),1),1),$I11-1))+1),INDEX(Attenuation!$J:$J,($H11-1+MIN(MAX(IFERROR(MATCH(LN(S$5),INDEX(Attenuation!$J:$J,$H11):INDEX(Attenuation!$J:$J,$H11+$I11-1),1),1),1),$I11-1))):INDEX(Attenuation!$J:$J,($H11-1+MIN(MAX(IFERROR(MATCH(LN(S$5),INDEX(Attenuation!$J:$J,$H11):INDEX(Attenuation!$J:$J,$H11+$I11-1),1),1),1),$I11-1))+1)))))</f>
        <v>90.518082221245379</v>
      </c>
      <c r="T11" s="12" t="str">
        <f>IF($A11="","",IF(T$5&gt;2*$G11,"",EXP(FORECAST(LN(T$5),INDEX(Attenuation!$K:$K,($H11-1+MIN(MAX(IFERROR(MATCH(LN(T$5),INDEX(Attenuation!$J:$J,$H11):INDEX(Attenuation!$J:$J,$H11+$I11-1),1),1),1),$I11-1))):INDEX(Attenuation!$K:$K,($H11-1+MIN(MAX(IFERROR(MATCH(LN(T$5),INDEX(Attenuation!$J:$J,$H11):INDEX(Attenuation!$J:$J,$H11+$I11-1),1),1),1),$I11-1))+1),INDEX(Attenuation!$J:$J,($H11-1+MIN(MAX(IFERROR(MATCH(LN(T$5),INDEX(Attenuation!$J:$J,$H11):INDEX(Attenuation!$J:$J,$H11+$I11-1),1),1),1),$I11-1))):INDEX(Attenuation!$J:$J,($H11-1+MIN(MAX(IFERROR(MATCH(LN(T$5),INDEX(Attenuation!$J:$J,$H11):INDEX(Attenuation!$J:$J,$H11+$I11-1),1),1),1),$I11-1))+1)))))</f>
        <v/>
      </c>
      <c r="U11" s="12" t="str">
        <f>IF($A11="","",IF(U$5&gt;2*$G11,"",EXP(FORECAST(LN(U$5),INDEX(Attenuation!$K:$K,($H11-1+MIN(MAX(IFERROR(MATCH(LN(U$5),INDEX(Attenuation!$J:$J,$H11):INDEX(Attenuation!$J:$J,$H11+$I11-1),1),1),1),$I11-1))):INDEX(Attenuation!$K:$K,($H11-1+MIN(MAX(IFERROR(MATCH(LN(U$5),INDEX(Attenuation!$J:$J,$H11):INDEX(Attenuation!$J:$J,$H11+$I11-1),1),1),1),$I11-1))+1),INDEX(Attenuation!$J:$J,($H11-1+MIN(MAX(IFERROR(MATCH(LN(U$5),INDEX(Attenuation!$J:$J,$H11):INDEX(Attenuation!$J:$J,$H11+$I11-1),1),1),1),$I11-1))):INDEX(Attenuation!$J:$J,($H11-1+MIN(MAX(IFERROR(MATCH(LN(U$5),INDEX(Attenuation!$J:$J,$H11):INDEX(Attenuation!$J:$J,$H11+$I11-1),1),1),1),$I11-1))+1)))))</f>
        <v/>
      </c>
      <c r="V11" s="1"/>
      <c r="W11" s="12">
        <f t="shared" si="0"/>
        <v>0.56052423037989341</v>
      </c>
      <c r="X11" s="12">
        <f t="shared" si="1"/>
        <v>0.82105464152196928</v>
      </c>
      <c r="Y11" s="12">
        <f t="shared" si="2"/>
        <v>1.222285586810433</v>
      </c>
      <c r="Z11" s="12">
        <f t="shared" si="3"/>
        <v>1.8116180515967835</v>
      </c>
      <c r="AA11" s="12">
        <f t="shared" si="4"/>
        <v>2.2743164174327517</v>
      </c>
      <c r="AB11" s="12">
        <f t="shared" si="5"/>
        <v>2.672633605851185</v>
      </c>
      <c r="AC11" s="12">
        <f t="shared" si="6"/>
        <v>3.6999999999999988</v>
      </c>
      <c r="AD11" s="12">
        <f t="shared" si="7"/>
        <v>6.6838990084118883</v>
      </c>
      <c r="AE11" s="12">
        <f t="shared" si="8"/>
        <v>13.021960036656566</v>
      </c>
      <c r="AF11" s="12">
        <f t="shared" si="9"/>
        <v>27.589911461035594</v>
      </c>
      <c r="AG11" s="12" t="str">
        <f t="shared" si="10"/>
        <v/>
      </c>
      <c r="AH11" s="12" t="str">
        <f t="shared" si="11"/>
        <v/>
      </c>
    </row>
    <row r="12" spans="1:34" x14ac:dyDescent="0.25">
      <c r="A12" s="11" t="str">
        <f>IF(ROWS($A$6:A12)&gt;COUNTA(Cables!$A:$A)-1,"",INDEX(Cables!$A:$A,ROWS($A$6:A12)+1))</f>
        <v>MP-RG58CU</v>
      </c>
      <c r="B12" s="11" t="str">
        <f>IF($A12="","",IF(INDEX(Cables!$B:$B,MATCH($A12,Cables!$A:$A,0))="","",INDEX(Cables!$B:$B,MATCH($A12,Cables!$A:$A,0))))</f>
        <v>Messi &amp; Paoloni RG 58 C/U</v>
      </c>
      <c r="C12" s="11">
        <f>IF($A12="","",IF(INDEX(Cables!$F:$F,MATCH($A12,Cables!$A:$A,0))="","",INDEX(Cables!$F:$F,MATCH($A12,Cables!$A:$A,0))))</f>
        <v>50</v>
      </c>
      <c r="D12" s="11">
        <f>IF($A12="","",IF(INDEX(Cables!$H:$H,MATCH($A12,Cables!$A:$A,0))="","",INDEX(Cables!$H:$H,MATCH($A12,Cables!$A:$A,0))))</f>
        <v>5</v>
      </c>
      <c r="E12" s="12" t="str">
        <f>IF($A12="","",IF(INDEX(Cables!$Q:$Q,MATCH($A12,Cables!$A:$A,0))="","",INDEX(Cables!$Q:$Q,MATCH($A12,Cables!$A:$A,0))))</f>
        <v/>
      </c>
      <c r="F12" s="11">
        <f>IF($A12="","",IF(INDEX(Cables!$AQ:$AQ,MATCH($A12,Cables!$A:$A,0))="","",INDEX(Cables!$AQ:$AQ,MATCH($A12,Cables!$A:$A,0))))</f>
        <v>10</v>
      </c>
      <c r="G12" s="11">
        <f>IF($A12="","",IF(INDEX(Cables!$AR:$AR,MATCH($A12,Cables!$A:$A,0))="","",INDEX(Cables!$AR:$AR,MATCH($A12,Cables!$A:$A,0))))</f>
        <v>1296</v>
      </c>
      <c r="H12" s="11">
        <f>IF($A12="","",IF(INDEX(Cables!$AO:$AO,MATCH($A12,Cables!$A:$A,0))="","",INDEX(Cables!$AO:$AO,MATCH($A12,Cables!$A:$A,0))))</f>
        <v>61</v>
      </c>
      <c r="I12" s="11">
        <f>IF($A12="","",IF(INDEX(Cables!$AP:$AP,MATCH($A12,Cables!$A:$A,0))="","",INDEX(Cables!$AP:$AP,MATCH($A12,Cables!$A:$A,0))))</f>
        <v>9</v>
      </c>
      <c r="J12" s="12">
        <f>IF($A12="","",IF(J$5&gt;2*$G12,"",EXP(FORECAST(LN(J$5),INDEX(Attenuation!$K:$K,($H12-1+MIN(MAX(IFERROR(MATCH(LN(J$5),INDEX(Attenuation!$J:$J,$H12):INDEX(Attenuation!$J:$J,$H12+$I12-1),1),1),1),$I12-1))):INDEX(Attenuation!$K:$K,($H12-1+MIN(MAX(IFERROR(MATCH(LN(J$5),INDEX(Attenuation!$J:$J,$H12):INDEX(Attenuation!$J:$J,$H12+$I12-1),1),1),1),$I12-1))+1),INDEX(Attenuation!$J:$J,($H12-1+MIN(MAX(IFERROR(MATCH(LN(J$5),INDEX(Attenuation!$J:$J,$H12):INDEX(Attenuation!$J:$J,$H12+$I12-1),1),1),1),$I12-1))):INDEX(Attenuation!$J:$J,($H12-1+MIN(MAX(IFERROR(MATCH(LN(J$5),INDEX(Attenuation!$J:$J,$H12):INDEX(Attenuation!$J:$J,$H12+$I12-1),1),1),1),$I12-1))+1)))))</f>
        <v>1.9791836057631327</v>
      </c>
      <c r="K12" s="12">
        <f>IF($A12="","",IF(K$5&gt;2*$G12,"",EXP(FORECAST(LN(K$5),INDEX(Attenuation!$K:$K,($H12-1+MIN(MAX(IFERROR(MATCH(LN(K$5),INDEX(Attenuation!$J:$J,$H12):INDEX(Attenuation!$J:$J,$H12+$I12-1),1),1),1),$I12-1))):INDEX(Attenuation!$K:$K,($H12-1+MIN(MAX(IFERROR(MATCH(LN(K$5),INDEX(Attenuation!$J:$J,$H12):INDEX(Attenuation!$J:$J,$H12+$I12-1),1),1),1),$I12-1))+1),INDEX(Attenuation!$J:$J,($H12-1+MIN(MAX(IFERROR(MATCH(LN(K$5),INDEX(Attenuation!$J:$J,$H12):INDEX(Attenuation!$J:$J,$H12+$I12-1),1),1),1),$I12-1))):INDEX(Attenuation!$J:$J,($H12-1+MIN(MAX(IFERROR(MATCH(LN(K$5),INDEX(Attenuation!$J:$J,$H12):INDEX(Attenuation!$J:$J,$H12+$I12-1),1),1),1),$I12-1))+1)))))</f>
        <v>2.7678553902853436</v>
      </c>
      <c r="L12" s="12">
        <f>IF($A12="","",IF(L$5&gt;2*$G12,"",EXP(FORECAST(LN(L$5),INDEX(Attenuation!$K:$K,($H12-1+MIN(MAX(IFERROR(MATCH(LN(L$5),INDEX(Attenuation!$J:$J,$H12):INDEX(Attenuation!$J:$J,$H12+$I12-1),1),1),1),$I12-1))):INDEX(Attenuation!$K:$K,($H12-1+MIN(MAX(IFERROR(MATCH(LN(L$5),INDEX(Attenuation!$J:$J,$H12):INDEX(Attenuation!$J:$J,$H12+$I12-1),1),1),1),$I12-1))+1),INDEX(Attenuation!$J:$J,($H12-1+MIN(MAX(IFERROR(MATCH(LN(L$5),INDEX(Attenuation!$J:$J,$H12):INDEX(Attenuation!$J:$J,$H12+$I12-1),1),1),1),$I12-1))):INDEX(Attenuation!$J:$J,($H12-1+MIN(MAX(IFERROR(MATCH(LN(L$5),INDEX(Attenuation!$J:$J,$H12):INDEX(Attenuation!$J:$J,$H12+$I12-1),1),1),1),$I12-1))+1)))))</f>
        <v>3.9261898370325707</v>
      </c>
      <c r="M12" s="12">
        <f>IF($A12="","",IF(M$5&gt;2*$G12,"",EXP(FORECAST(LN(M$5),INDEX(Attenuation!$K:$K,($H12-1+MIN(MAX(IFERROR(MATCH(LN(M$5),INDEX(Attenuation!$J:$J,$H12):INDEX(Attenuation!$J:$J,$H12+$I12-1),1),1),1),$I12-1))):INDEX(Attenuation!$K:$K,($H12-1+MIN(MAX(IFERROR(MATCH(LN(M$5),INDEX(Attenuation!$J:$J,$H12):INDEX(Attenuation!$J:$J,$H12+$I12-1),1),1),1),$I12-1))+1),INDEX(Attenuation!$J:$J,($H12-1+MIN(MAX(IFERROR(MATCH(LN(M$5),INDEX(Attenuation!$J:$J,$H12):INDEX(Attenuation!$J:$J,$H12+$I12-1),1),1),1),$I12-1))):INDEX(Attenuation!$J:$J,($H12-1+MIN(MAX(IFERROR(MATCH(LN(M$5),INDEX(Attenuation!$J:$J,$H12):INDEX(Attenuation!$J:$J,$H12+$I12-1),1),1),1),$I12-1))+1)))))</f>
        <v>5.5692817950394033</v>
      </c>
      <c r="N12" s="12">
        <f>IF($A12="","",IF(N$5&gt;2*$G12,"",EXP(FORECAST(LN(N$5),INDEX(Attenuation!$K:$K,($H12-1+MIN(MAX(IFERROR(MATCH(LN(N$5),INDEX(Attenuation!$J:$J,$H12):INDEX(Attenuation!$J:$J,$H12+$I12-1),1),1),1),$I12-1))):INDEX(Attenuation!$K:$K,($H12-1+MIN(MAX(IFERROR(MATCH(LN(N$5),INDEX(Attenuation!$J:$J,$H12):INDEX(Attenuation!$J:$J,$H12+$I12-1),1),1),1),$I12-1))+1),INDEX(Attenuation!$J:$J,($H12-1+MIN(MAX(IFERROR(MATCH(LN(N$5),INDEX(Attenuation!$J:$J,$H12):INDEX(Attenuation!$J:$J,$H12+$I12-1),1),1),1),$I12-1))):INDEX(Attenuation!$J:$J,($H12-1+MIN(MAX(IFERROR(MATCH(LN(N$5),INDEX(Attenuation!$J:$J,$H12):INDEX(Attenuation!$J:$J,$H12+$I12-1),1),1),1),$I12-1))+1)))))</f>
        <v>6.8330220161162005</v>
      </c>
      <c r="O12" s="12">
        <f>IF($A12="","",IF(O$5&gt;2*$G12,"",EXP(FORECAST(LN(O$5),INDEX(Attenuation!$K:$K,($H12-1+MIN(MAX(IFERROR(MATCH(LN(O$5),INDEX(Attenuation!$J:$J,$H12):INDEX(Attenuation!$J:$J,$H12+$I12-1),1),1),1),$I12-1))):INDEX(Attenuation!$K:$K,($H12-1+MIN(MAX(IFERROR(MATCH(LN(O$5),INDEX(Attenuation!$J:$J,$H12):INDEX(Attenuation!$J:$J,$H12+$I12-1),1),1),1),$I12-1))+1),INDEX(Attenuation!$J:$J,($H12-1+MIN(MAX(IFERROR(MATCH(LN(O$5),INDEX(Attenuation!$J:$J,$H12):INDEX(Attenuation!$J:$J,$H12+$I12-1),1),1),1),$I12-1))):INDEX(Attenuation!$J:$J,($H12-1+MIN(MAX(IFERROR(MATCH(LN(O$5),INDEX(Attenuation!$J:$J,$H12):INDEX(Attenuation!$J:$J,$H12+$I12-1),1),1),1),$I12-1))+1)))))</f>
        <v>7.9000000000000057</v>
      </c>
      <c r="P12" s="12">
        <f>IF($A12="","",IF(P$5&gt;2*$G12,"",EXP(FORECAST(LN(P$5),INDEX(Attenuation!$K:$K,($H12-1+MIN(MAX(IFERROR(MATCH(LN(P$5),INDEX(Attenuation!$J:$J,$H12):INDEX(Attenuation!$J:$J,$H12+$I12-1),1),1),1),$I12-1))):INDEX(Attenuation!$K:$K,($H12-1+MIN(MAX(IFERROR(MATCH(LN(P$5),INDEX(Attenuation!$J:$J,$H12):INDEX(Attenuation!$J:$J,$H12+$I12-1),1),1),1),$I12-1))+1),INDEX(Attenuation!$J:$J,($H12-1+MIN(MAX(IFERROR(MATCH(LN(P$5),INDEX(Attenuation!$J:$J,$H12):INDEX(Attenuation!$J:$J,$H12+$I12-1),1),1),1),$I12-1))):INDEX(Attenuation!$J:$J,($H12-1+MIN(MAX(IFERROR(MATCH(LN(P$5),INDEX(Attenuation!$J:$J,$H12):INDEX(Attenuation!$J:$J,$H12+$I12-1),1),1),1),$I12-1))+1)))))</f>
        <v>10.799999999999995</v>
      </c>
      <c r="Q12" s="12">
        <f>IF($A12="","",IF(Q$5&gt;2*$G12,"",EXP(FORECAST(LN(Q$5),INDEX(Attenuation!$K:$K,($H12-1+MIN(MAX(IFERROR(MATCH(LN(Q$5),INDEX(Attenuation!$J:$J,$H12):INDEX(Attenuation!$J:$J,$H12+$I12-1),1),1),1),$I12-1))):INDEX(Attenuation!$K:$K,($H12-1+MIN(MAX(IFERROR(MATCH(LN(Q$5),INDEX(Attenuation!$J:$J,$H12):INDEX(Attenuation!$J:$J,$H12+$I12-1),1),1),1),$I12-1))+1),INDEX(Attenuation!$J:$J,($H12-1+MIN(MAX(IFERROR(MATCH(LN(Q$5),INDEX(Attenuation!$J:$J,$H12):INDEX(Attenuation!$J:$J,$H12+$I12-1),1),1),1),$I12-1))):INDEX(Attenuation!$J:$J,($H12-1+MIN(MAX(IFERROR(MATCH(LN(Q$5),INDEX(Attenuation!$J:$J,$H12):INDEX(Attenuation!$J:$J,$H12+$I12-1),1),1),1),$I12-1))+1)))))</f>
        <v>19.299999999999997</v>
      </c>
      <c r="R12" s="12">
        <f>IF($A12="","",IF(R$5&gt;2*$G12,"",EXP(FORECAST(LN(R$5),INDEX(Attenuation!$K:$K,($H12-1+MIN(MAX(IFERROR(MATCH(LN(R$5),INDEX(Attenuation!$J:$J,$H12):INDEX(Attenuation!$J:$J,$H12+$I12-1),1),1),1),$I12-1))):INDEX(Attenuation!$K:$K,($H12-1+MIN(MAX(IFERROR(MATCH(LN(R$5),INDEX(Attenuation!$J:$J,$H12):INDEX(Attenuation!$J:$J,$H12+$I12-1),1),1),1),$I12-1))+1),INDEX(Attenuation!$J:$J,($H12-1+MIN(MAX(IFERROR(MATCH(LN(R$5),INDEX(Attenuation!$J:$J,$H12):INDEX(Attenuation!$J:$J,$H12+$I12-1),1),1),1),$I12-1))):INDEX(Attenuation!$J:$J,($H12-1+MIN(MAX(IFERROR(MATCH(LN(R$5),INDEX(Attenuation!$J:$J,$H12):INDEX(Attenuation!$J:$J,$H12+$I12-1),1),1),1),$I12-1))+1)))))</f>
        <v>34.999607454420634</v>
      </c>
      <c r="S12" s="12">
        <f>IF($A12="","",IF(S$5&gt;2*$G12,"",EXP(FORECAST(LN(S$5),INDEX(Attenuation!$K:$K,($H12-1+MIN(MAX(IFERROR(MATCH(LN(S$5),INDEX(Attenuation!$J:$J,$H12):INDEX(Attenuation!$J:$J,$H12+$I12-1),1),1),1),$I12-1))):INDEX(Attenuation!$K:$K,($H12-1+MIN(MAX(IFERROR(MATCH(LN(S$5),INDEX(Attenuation!$J:$J,$H12):INDEX(Attenuation!$J:$J,$H12+$I12-1),1),1),1),$I12-1))+1),INDEX(Attenuation!$J:$J,($H12-1+MIN(MAX(IFERROR(MATCH(LN(S$5),INDEX(Attenuation!$J:$J,$H12):INDEX(Attenuation!$J:$J,$H12+$I12-1),1),1),1),$I12-1))):INDEX(Attenuation!$J:$J,($H12-1+MIN(MAX(IFERROR(MATCH(LN(S$5),INDEX(Attenuation!$J:$J,$H12):INDEX(Attenuation!$J:$J,$H12+$I12-1),1),1),1),$I12-1))+1)))))</f>
        <v>62.999999999999993</v>
      </c>
      <c r="T12" s="12">
        <f>IF($A12="","",IF(T$5&gt;2*$G12,"",EXP(FORECAST(LN(T$5),INDEX(Attenuation!$K:$K,($H12-1+MIN(MAX(IFERROR(MATCH(LN(T$5),INDEX(Attenuation!$J:$J,$H12):INDEX(Attenuation!$J:$J,$H12+$I12-1),1),1),1),$I12-1))):INDEX(Attenuation!$K:$K,($H12-1+MIN(MAX(IFERROR(MATCH(LN(T$5),INDEX(Attenuation!$J:$J,$H12):INDEX(Attenuation!$J:$J,$H12+$I12-1),1),1),1),$I12-1))+1),INDEX(Attenuation!$J:$J,($H12-1+MIN(MAX(IFERROR(MATCH(LN(T$5),INDEX(Attenuation!$J:$J,$H12):INDEX(Attenuation!$J:$J,$H12+$I12-1),1),1),1),$I12-1))):INDEX(Attenuation!$J:$J,($H12-1+MIN(MAX(IFERROR(MATCH(LN(T$5),INDEX(Attenuation!$J:$J,$H12):INDEX(Attenuation!$J:$J,$H12+$I12-1),1),1),1),$I12-1))+1)))))</f>
        <v>82.313118371337836</v>
      </c>
      <c r="U12" s="12" t="str">
        <f>IF($A12="","",IF(U$5&gt;2*$G12,"",EXP(FORECAST(LN(U$5),INDEX(Attenuation!$K:$K,($H12-1+MIN(MAX(IFERROR(MATCH(LN(U$5),INDEX(Attenuation!$J:$J,$H12):INDEX(Attenuation!$J:$J,$H12+$I12-1),1),1),1),$I12-1))):INDEX(Attenuation!$K:$K,($H12-1+MIN(MAX(IFERROR(MATCH(LN(U$5),INDEX(Attenuation!$J:$J,$H12):INDEX(Attenuation!$J:$J,$H12+$I12-1),1),1),1),$I12-1))+1),INDEX(Attenuation!$J:$J,($H12-1+MIN(MAX(IFERROR(MATCH(LN(U$5),INDEX(Attenuation!$J:$J,$H12):INDEX(Attenuation!$J:$J,$H12+$I12-1),1),1),1),$I12-1))):INDEX(Attenuation!$J:$J,($H12-1+MIN(MAX(IFERROR(MATCH(LN(U$5),INDEX(Attenuation!$J:$J,$H12):INDEX(Attenuation!$J:$J,$H12+$I12-1),1),1),1),$I12-1))+1)))))</f>
        <v/>
      </c>
      <c r="V12" s="1"/>
      <c r="W12" s="12">
        <f t="shared" si="0"/>
        <v>0.60325516303660287</v>
      </c>
      <c r="X12" s="12">
        <f t="shared" si="1"/>
        <v>0.84364232295897279</v>
      </c>
      <c r="Y12" s="12">
        <f t="shared" si="2"/>
        <v>1.1967026623275276</v>
      </c>
      <c r="Z12" s="12">
        <f t="shared" si="3"/>
        <v>1.6975170911280102</v>
      </c>
      <c r="AA12" s="12">
        <f t="shared" si="4"/>
        <v>2.0827051105122178</v>
      </c>
      <c r="AB12" s="12">
        <f t="shared" si="5"/>
        <v>2.4079200000000021</v>
      </c>
      <c r="AC12" s="12">
        <f t="shared" si="6"/>
        <v>3.2918399999999988</v>
      </c>
      <c r="AD12" s="12">
        <f t="shared" si="7"/>
        <v>5.8826399999999994</v>
      </c>
      <c r="AE12" s="12">
        <f t="shared" si="8"/>
        <v>10.66788035210741</v>
      </c>
      <c r="AF12" s="12">
        <f t="shared" si="9"/>
        <v>19.202399999999997</v>
      </c>
      <c r="AG12" s="12">
        <f t="shared" si="10"/>
        <v>25.089038479583774</v>
      </c>
      <c r="AH12" s="12" t="str">
        <f t="shared" si="11"/>
        <v/>
      </c>
    </row>
    <row r="13" spans="1:34" x14ac:dyDescent="0.25">
      <c r="A13" s="11" t="str">
        <f>IF(ROWS($A$6:A13)&gt;COUNTA(Cables!$A:$A)-1,"",INDEX(Cables!$A:$A,ROWS($A$6:A13)+1))</f>
        <v>BEL-8219</v>
      </c>
      <c r="B13" s="11" t="str">
        <f>IF($A13="","",IF(INDEX(Cables!$B:$B,MATCH($A13,Cables!$A:$A,0))="","",INDEX(Cables!$B:$B,MATCH($A13,Cables!$A:$A,0))))</f>
        <v>Belden 8219 (RG-58, köpük PE)</v>
      </c>
      <c r="C13" s="11">
        <f>IF($A13="","",IF(INDEX(Cables!$F:$F,MATCH($A13,Cables!$A:$A,0))="","",INDEX(Cables!$F:$F,MATCH($A13,Cables!$A:$A,0))))</f>
        <v>54</v>
      </c>
      <c r="D13" s="11">
        <f>IF($A13="","",IF(INDEX(Cables!$H:$H,MATCH($A13,Cables!$A:$A,0))="","",INDEX(Cables!$H:$H,MATCH($A13,Cables!$A:$A,0))))</f>
        <v>4.9000000000000004</v>
      </c>
      <c r="E13" s="12">
        <f>IF($A13="","",IF(INDEX(Cables!$Q:$Q,MATCH($A13,Cables!$A:$A,0))="","",INDEX(Cables!$Q:$Q,MATCH($A13,Cables!$A:$A,0))))</f>
        <v>0.76</v>
      </c>
      <c r="F13" s="11">
        <f>IF($A13="","",IF(INDEX(Cables!$AQ:$AQ,MATCH($A13,Cables!$A:$A,0))="","",INDEX(Cables!$AQ:$AQ,MATCH($A13,Cables!$A:$A,0))))</f>
        <v>1</v>
      </c>
      <c r="G13" s="11">
        <f>IF($A13="","",IF(INDEX(Cables!$AR:$AR,MATCH($A13,Cables!$A:$A,0))="","",INDEX(Cables!$AR:$AR,MATCH($A13,Cables!$A:$A,0))))</f>
        <v>1000</v>
      </c>
      <c r="H13" s="11">
        <f>IF($A13="","",IF(INDEX(Cables!$AO:$AO,MATCH($A13,Cables!$A:$A,0))="","",INDEX(Cables!$AO:$AO,MATCH($A13,Cables!$A:$A,0))))</f>
        <v>70</v>
      </c>
      <c r="I13" s="11">
        <f>IF($A13="","",IF(INDEX(Cables!$AP:$AP,MATCH($A13,Cables!$A:$A,0))="","",INDEX(Cables!$AP:$AP,MATCH($A13,Cables!$A:$A,0))))</f>
        <v>9</v>
      </c>
      <c r="J13" s="12">
        <f>IF($A13="","",IF(J$5&gt;2*$G13,"",EXP(FORECAST(LN(J$5),INDEX(Attenuation!$K:$K,($H13-1+MIN(MAX(IFERROR(MATCH(LN(J$5),INDEX(Attenuation!$J:$J,$H13):INDEX(Attenuation!$J:$J,$H13+$I13-1),1),1),1),$I13-1))):INDEX(Attenuation!$K:$K,($H13-1+MIN(MAX(IFERROR(MATCH(LN(J$5),INDEX(Attenuation!$J:$J,$H13):INDEX(Attenuation!$J:$J,$H13+$I13-1),1),1),1),$I13-1))+1),INDEX(Attenuation!$J:$J,($H13-1+MIN(MAX(IFERROR(MATCH(LN(J$5),INDEX(Attenuation!$J:$J,$H13):INDEX(Attenuation!$J:$J,$H13+$I13-1),1),1),1),$I13-1))):INDEX(Attenuation!$J:$J,($H13-1+MIN(MAX(IFERROR(MATCH(LN(J$5),INDEX(Attenuation!$J:$J,$H13):INDEX(Attenuation!$J:$J,$H13+$I13-1),1),1),1),$I13-1))+1)))))</f>
        <v>1.7730246621974202</v>
      </c>
      <c r="K13" s="12">
        <f>IF($A13="","",IF(K$5&gt;2*$G13,"",EXP(FORECAST(LN(K$5),INDEX(Attenuation!$K:$K,($H13-1+MIN(MAX(IFERROR(MATCH(LN(K$5),INDEX(Attenuation!$J:$J,$H13):INDEX(Attenuation!$J:$J,$H13+$I13-1),1),1),1),$I13-1))):INDEX(Attenuation!$K:$K,($H13-1+MIN(MAX(IFERROR(MATCH(LN(K$5),INDEX(Attenuation!$J:$J,$H13):INDEX(Attenuation!$J:$J,$H13+$I13-1),1),1),1),$I13-1))+1),INDEX(Attenuation!$J:$J,($H13-1+MIN(MAX(IFERROR(MATCH(LN(K$5),INDEX(Attenuation!$J:$J,$H13):INDEX(Attenuation!$J:$J,$H13+$I13-1),1),1),1),$I13-1))):INDEX(Attenuation!$J:$J,($H13-1+MIN(MAX(IFERROR(MATCH(LN(K$5),INDEX(Attenuation!$J:$J,$H13):INDEX(Attenuation!$J:$J,$H13+$I13-1),1),1),1),$I13-1))+1)))))</f>
        <v>2.4919791699414207</v>
      </c>
      <c r="L13" s="12">
        <f>IF($A13="","",IF(L$5&gt;2*$G13,"",EXP(FORECAST(LN(L$5),INDEX(Attenuation!$K:$K,($H13-1+MIN(MAX(IFERROR(MATCH(LN(L$5),INDEX(Attenuation!$J:$J,$H13):INDEX(Attenuation!$J:$J,$H13+$I13-1),1),1),1),$I13-1))):INDEX(Attenuation!$K:$K,($H13-1+MIN(MAX(IFERROR(MATCH(LN(L$5),INDEX(Attenuation!$J:$J,$H13):INDEX(Attenuation!$J:$J,$H13+$I13-1),1),1),1),$I13-1))+1),INDEX(Attenuation!$J:$J,($H13-1+MIN(MAX(IFERROR(MATCH(LN(L$5),INDEX(Attenuation!$J:$J,$H13):INDEX(Attenuation!$J:$J,$H13+$I13-1),1),1),1),$I13-1))):INDEX(Attenuation!$J:$J,($H13-1+MIN(MAX(IFERROR(MATCH(LN(L$5),INDEX(Attenuation!$J:$J,$H13):INDEX(Attenuation!$J:$J,$H13+$I13-1),1),1),1),$I13-1))+1)))))</f>
        <v>3.5533390914693173</v>
      </c>
      <c r="M13" s="12">
        <f>IF($A13="","",IF(M$5&gt;2*$G13,"",EXP(FORECAST(LN(M$5),INDEX(Attenuation!$K:$K,($H13-1+MIN(MAX(IFERROR(MATCH(LN(M$5),INDEX(Attenuation!$J:$J,$H13):INDEX(Attenuation!$J:$J,$H13+$I13-1),1),1),1),$I13-1))):INDEX(Attenuation!$K:$K,($H13-1+MIN(MAX(IFERROR(MATCH(LN(M$5),INDEX(Attenuation!$J:$J,$H13):INDEX(Attenuation!$J:$J,$H13+$I13-1),1),1),1),$I13-1))+1),INDEX(Attenuation!$J:$J,($H13-1+MIN(MAX(IFERROR(MATCH(LN(M$5),INDEX(Attenuation!$J:$J,$H13):INDEX(Attenuation!$J:$J,$H13+$I13-1),1),1),1),$I13-1))):INDEX(Attenuation!$J:$J,($H13-1+MIN(MAX(IFERROR(MATCH(LN(M$5),INDEX(Attenuation!$J:$J,$H13):INDEX(Attenuation!$J:$J,$H13+$I13-1),1),1),1),$I13-1))+1)))))</f>
        <v>5.1148418037185577</v>
      </c>
      <c r="N13" s="12">
        <f>IF($A13="","",IF(N$5&gt;2*$G13,"",EXP(FORECAST(LN(N$5),INDEX(Attenuation!$K:$K,($H13-1+MIN(MAX(IFERROR(MATCH(LN(N$5),INDEX(Attenuation!$J:$J,$H13):INDEX(Attenuation!$J:$J,$H13+$I13-1),1),1),1),$I13-1))):INDEX(Attenuation!$K:$K,($H13-1+MIN(MAX(IFERROR(MATCH(LN(N$5),INDEX(Attenuation!$J:$J,$H13):INDEX(Attenuation!$J:$J,$H13+$I13-1),1),1),1),$I13-1))+1),INDEX(Attenuation!$J:$J,($H13-1+MIN(MAX(IFERROR(MATCH(LN(N$5),INDEX(Attenuation!$J:$J,$H13):INDEX(Attenuation!$J:$J,$H13+$I13-1),1),1),1),$I13-1))):INDEX(Attenuation!$J:$J,($H13-1+MIN(MAX(IFERROR(MATCH(LN(N$5),INDEX(Attenuation!$J:$J,$H13):INDEX(Attenuation!$J:$J,$H13+$I13-1),1),1),1),$I13-1))+1)))))</f>
        <v>6.3667100458177579</v>
      </c>
      <c r="O13" s="12">
        <f>IF($A13="","",IF(O$5&gt;2*$G13,"",EXP(FORECAST(LN(O$5),INDEX(Attenuation!$K:$K,($H13-1+MIN(MAX(IFERROR(MATCH(LN(O$5),INDEX(Attenuation!$J:$J,$H13):INDEX(Attenuation!$J:$J,$H13+$I13-1),1),1),1),$I13-1))):INDEX(Attenuation!$K:$K,($H13-1+MIN(MAX(IFERROR(MATCH(LN(O$5),INDEX(Attenuation!$J:$J,$H13):INDEX(Attenuation!$J:$J,$H13+$I13-1),1),1),1),$I13-1))+1),INDEX(Attenuation!$J:$J,($H13-1+MIN(MAX(IFERROR(MATCH(LN(O$5),INDEX(Attenuation!$J:$J,$H13):INDEX(Attenuation!$J:$J,$H13+$I13-1),1),1),1),$I13-1))):INDEX(Attenuation!$J:$J,($H13-1+MIN(MAX(IFERROR(MATCH(LN(O$5),INDEX(Attenuation!$J:$J,$H13):INDEX(Attenuation!$J:$J,$H13+$I13-1),1),1),1),$I13-1))+1)))))</f>
        <v>7.4366516448112039</v>
      </c>
      <c r="P13" s="12">
        <f>IF($A13="","",IF(P$5&gt;2*$G13,"",EXP(FORECAST(LN(P$5),INDEX(Attenuation!$K:$K,($H13-1+MIN(MAX(IFERROR(MATCH(LN(P$5),INDEX(Attenuation!$J:$J,$H13):INDEX(Attenuation!$J:$J,$H13+$I13-1),1),1),1),$I13-1))):INDEX(Attenuation!$K:$K,($H13-1+MIN(MAX(IFERROR(MATCH(LN(P$5),INDEX(Attenuation!$J:$J,$H13):INDEX(Attenuation!$J:$J,$H13+$I13-1),1),1),1),$I13-1))+1),INDEX(Attenuation!$J:$J,($H13-1+MIN(MAX(IFERROR(MATCH(LN(P$5),INDEX(Attenuation!$J:$J,$H13):INDEX(Attenuation!$J:$J,$H13+$I13-1),1),1),1),$I13-1))):INDEX(Attenuation!$J:$J,($H13-1+MIN(MAX(IFERROR(MATCH(LN(P$5),INDEX(Attenuation!$J:$J,$H13):INDEX(Attenuation!$J:$J,$H13+$I13-1),1),1),1),$I13-1))+1)))))</f>
        <v>10.170603674540684</v>
      </c>
      <c r="Q13" s="12">
        <f>IF($A13="","",IF(Q$5&gt;2*$G13,"",EXP(FORECAST(LN(Q$5),INDEX(Attenuation!$K:$K,($H13-1+MIN(MAX(IFERROR(MATCH(LN(Q$5),INDEX(Attenuation!$J:$J,$H13):INDEX(Attenuation!$J:$J,$H13+$I13-1),1),1),1),$I13-1))):INDEX(Attenuation!$K:$K,($H13-1+MIN(MAX(IFERROR(MATCH(LN(Q$5),INDEX(Attenuation!$J:$J,$H13):INDEX(Attenuation!$J:$J,$H13+$I13-1),1),1),1),$I13-1))+1),INDEX(Attenuation!$J:$J,($H13-1+MIN(MAX(IFERROR(MATCH(LN(Q$5),INDEX(Attenuation!$J:$J,$H13):INDEX(Attenuation!$J:$J,$H13+$I13-1),1),1),1),$I13-1))):INDEX(Attenuation!$J:$J,($H13-1+MIN(MAX(IFERROR(MATCH(LN(Q$5),INDEX(Attenuation!$J:$J,$H13):INDEX(Attenuation!$J:$J,$H13+$I13-1),1),1),1),$I13-1))+1)))))</f>
        <v>18.059233964853519</v>
      </c>
      <c r="R13" s="12">
        <f>IF($A13="","",IF(R$5&gt;2*$G13,"",EXP(FORECAST(LN(R$5),INDEX(Attenuation!$K:$K,($H13-1+MIN(MAX(IFERROR(MATCH(LN(R$5),INDEX(Attenuation!$J:$J,$H13):INDEX(Attenuation!$J:$J,$H13+$I13-1),1),1),1),$I13-1))):INDEX(Attenuation!$K:$K,($H13-1+MIN(MAX(IFERROR(MATCH(LN(R$5),INDEX(Attenuation!$J:$J,$H13):INDEX(Attenuation!$J:$J,$H13+$I13-1),1),1),1),$I13-1))+1),INDEX(Attenuation!$J:$J,($H13-1+MIN(MAX(IFERROR(MATCH(LN(R$5),INDEX(Attenuation!$J:$J,$H13):INDEX(Attenuation!$J:$J,$H13+$I13-1),1),1),1),$I13-1))):INDEX(Attenuation!$J:$J,($H13-1+MIN(MAX(IFERROR(MATCH(LN(R$5),INDEX(Attenuation!$J:$J,$H13):INDEX(Attenuation!$J:$J,$H13+$I13-1),1),1),1),$I13-1))+1)))))</f>
        <v>34.42932110999849</v>
      </c>
      <c r="S13" s="12">
        <f>IF($A13="","",IF(S$5&gt;2*$G13,"",EXP(FORECAST(LN(S$5),INDEX(Attenuation!$K:$K,($H13-1+MIN(MAX(IFERROR(MATCH(LN(S$5),INDEX(Attenuation!$J:$J,$H13):INDEX(Attenuation!$J:$J,$H13+$I13-1),1),1),1),$I13-1))):INDEX(Attenuation!$K:$K,($H13-1+MIN(MAX(IFERROR(MATCH(LN(S$5),INDEX(Attenuation!$J:$J,$H13):INDEX(Attenuation!$J:$J,$H13+$I13-1),1),1),1),$I13-1))+1),INDEX(Attenuation!$J:$J,($H13-1+MIN(MAX(IFERROR(MATCH(LN(S$5),INDEX(Attenuation!$J:$J,$H13):INDEX(Attenuation!$J:$J,$H13+$I13-1),1),1),1),$I13-1))):INDEX(Attenuation!$J:$J,($H13-1+MIN(MAX(IFERROR(MATCH(LN(S$5),INDEX(Attenuation!$J:$J,$H13):INDEX(Attenuation!$J:$J,$H13+$I13-1),1),1),1),$I13-1))+1)))))</f>
        <v>73.471878851595122</v>
      </c>
      <c r="T13" s="12" t="str">
        <f>IF($A13="","",IF(T$5&gt;2*$G13,"",EXP(FORECAST(LN(T$5),INDEX(Attenuation!$K:$K,($H13-1+MIN(MAX(IFERROR(MATCH(LN(T$5),INDEX(Attenuation!$J:$J,$H13):INDEX(Attenuation!$J:$J,$H13+$I13-1),1),1),1),$I13-1))):INDEX(Attenuation!$K:$K,($H13-1+MIN(MAX(IFERROR(MATCH(LN(T$5),INDEX(Attenuation!$J:$J,$H13):INDEX(Attenuation!$J:$J,$H13+$I13-1),1),1),1),$I13-1))+1),INDEX(Attenuation!$J:$J,($H13-1+MIN(MAX(IFERROR(MATCH(LN(T$5),INDEX(Attenuation!$J:$J,$H13):INDEX(Attenuation!$J:$J,$H13+$I13-1),1),1),1),$I13-1))):INDEX(Attenuation!$J:$J,($H13-1+MIN(MAX(IFERROR(MATCH(LN(T$5),INDEX(Attenuation!$J:$J,$H13):INDEX(Attenuation!$J:$J,$H13+$I13-1),1),1),1),$I13-1))+1)))))</f>
        <v/>
      </c>
      <c r="U13" s="12" t="str">
        <f>IF($A13="","",IF(U$5&gt;2*$G13,"",EXP(FORECAST(LN(U$5),INDEX(Attenuation!$K:$K,($H13-1+MIN(MAX(IFERROR(MATCH(LN(U$5),INDEX(Attenuation!$J:$J,$H13):INDEX(Attenuation!$J:$J,$H13+$I13-1),1),1),1),$I13-1))):INDEX(Attenuation!$K:$K,($H13-1+MIN(MAX(IFERROR(MATCH(LN(U$5),INDEX(Attenuation!$J:$J,$H13):INDEX(Attenuation!$J:$J,$H13+$I13-1),1),1),1),$I13-1))+1),INDEX(Attenuation!$J:$J,($H13-1+MIN(MAX(IFERROR(MATCH(LN(U$5),INDEX(Attenuation!$J:$J,$H13):INDEX(Attenuation!$J:$J,$H13+$I13-1),1),1),1),$I13-1))):INDEX(Attenuation!$J:$J,($H13-1+MIN(MAX(IFERROR(MATCH(LN(U$5),INDEX(Attenuation!$J:$J,$H13):INDEX(Attenuation!$J:$J,$H13+$I13-1),1),1),1),$I13-1))+1)))))</f>
        <v/>
      </c>
      <c r="V13" s="1"/>
      <c r="W13" s="12">
        <f t="shared" si="0"/>
        <v>0.54041791703777364</v>
      </c>
      <c r="X13" s="12">
        <f t="shared" si="1"/>
        <v>0.75955525099814503</v>
      </c>
      <c r="Y13" s="12">
        <f t="shared" si="2"/>
        <v>1.0830577550798479</v>
      </c>
      <c r="Z13" s="12">
        <f t="shared" si="3"/>
        <v>1.5590037817734164</v>
      </c>
      <c r="AA13" s="12">
        <f t="shared" si="4"/>
        <v>1.9405732219652527</v>
      </c>
      <c r="AB13" s="12">
        <f t="shared" si="5"/>
        <v>2.266691421338455</v>
      </c>
      <c r="AC13" s="12">
        <f t="shared" si="6"/>
        <v>3.100000000000001</v>
      </c>
      <c r="AD13" s="12">
        <f t="shared" si="7"/>
        <v>5.504454512487353</v>
      </c>
      <c r="AE13" s="12">
        <f t="shared" si="8"/>
        <v>10.494057074327541</v>
      </c>
      <c r="AF13" s="12">
        <f t="shared" si="9"/>
        <v>22.394228673966193</v>
      </c>
      <c r="AG13" s="12" t="str">
        <f t="shared" si="10"/>
        <v/>
      </c>
      <c r="AH13" s="12" t="str">
        <f t="shared" si="11"/>
        <v/>
      </c>
    </row>
    <row r="14" spans="1:34" x14ac:dyDescent="0.25">
      <c r="A14" s="11" t="str">
        <f>IF(ROWS($A$6:A14)&gt;COUNTA(Cables!$A:$A)-1,"",INDEX(Cables!$A:$A,ROWS($A$6:A14)+1))</f>
        <v>BEL-9273</v>
      </c>
      <c r="B14" s="11" t="str">
        <f>IF($A14="","",IF(INDEX(Cables!$B:$B,MATCH($A14,Cables!$A:$A,0))="","",INDEX(Cables!$B:$B,MATCH($A14,Cables!$A:$A,0))))</f>
        <v>Belden 9273 (RG-223/U)</v>
      </c>
      <c r="C14" s="11">
        <f>IF($A14="","",IF(INDEX(Cables!$F:$F,MATCH($A14,Cables!$A:$A,0))="","",INDEX(Cables!$F:$F,MATCH($A14,Cables!$A:$A,0))))</f>
        <v>50</v>
      </c>
      <c r="D14" s="11">
        <f>IF($A14="","",IF(INDEX(Cables!$H:$H,MATCH($A14,Cables!$A:$A,0))="","",INDEX(Cables!$H:$H,MATCH($A14,Cables!$A:$A,0))))</f>
        <v>5.38</v>
      </c>
      <c r="E14" s="12">
        <f>IF($A14="","",IF(INDEX(Cables!$Q:$Q,MATCH($A14,Cables!$A:$A,0))="","",INDEX(Cables!$Q:$Q,MATCH($A14,Cables!$A:$A,0))))</f>
        <v>0.66</v>
      </c>
      <c r="F14" s="11">
        <f>IF($A14="","",IF(INDEX(Cables!$AQ:$AQ,MATCH($A14,Cables!$A:$A,0))="","",INDEX(Cables!$AQ:$AQ,MATCH($A14,Cables!$A:$A,0))))</f>
        <v>1</v>
      </c>
      <c r="G14" s="11">
        <f>IF($A14="","",IF(INDEX(Cables!$AR:$AR,MATCH($A14,Cables!$A:$A,0))="","",INDEX(Cables!$AR:$AR,MATCH($A14,Cables!$A:$A,0))))</f>
        <v>1000</v>
      </c>
      <c r="H14" s="11">
        <f>IF($A14="","",IF(INDEX(Cables!$AO:$AO,MATCH($A14,Cables!$A:$A,0))="","",INDEX(Cables!$AO:$AO,MATCH($A14,Cables!$A:$A,0))))</f>
        <v>79</v>
      </c>
      <c r="I14" s="11">
        <f>IF($A14="","",IF(INDEX(Cables!$AP:$AP,MATCH($A14,Cables!$A:$A,0))="","",INDEX(Cables!$AP:$AP,MATCH($A14,Cables!$A:$A,0))))</f>
        <v>9</v>
      </c>
      <c r="J14" s="12">
        <f>IF($A14="","",IF(J$5&gt;2*$G14,"",EXP(FORECAST(LN(J$5),INDEX(Attenuation!$K:$K,($H14-1+MIN(MAX(IFERROR(MATCH(LN(J$5),INDEX(Attenuation!$J:$J,$H14):INDEX(Attenuation!$J:$J,$H14+$I14-1),1),1),1),$I14-1))):INDEX(Attenuation!$K:$K,($H14-1+MIN(MAX(IFERROR(MATCH(LN(J$5),INDEX(Attenuation!$J:$J,$H14):INDEX(Attenuation!$J:$J,$H14+$I14-1),1),1),1),$I14-1))+1),INDEX(Attenuation!$J:$J,($H14-1+MIN(MAX(IFERROR(MATCH(LN(J$5),INDEX(Attenuation!$J:$J,$H14):INDEX(Attenuation!$J:$J,$H14+$I14-1),1),1),1),$I14-1))):INDEX(Attenuation!$J:$J,($H14-1+MIN(MAX(IFERROR(MATCH(LN(J$5),INDEX(Attenuation!$J:$J,$H14):INDEX(Attenuation!$J:$J,$H14+$I14-1),1),1),1),$I14-1))+1)))))</f>
        <v>1.7371645835131435</v>
      </c>
      <c r="K14" s="12">
        <f>IF($A14="","",IF(K$5&gt;2*$G14,"",EXP(FORECAST(LN(K$5),INDEX(Attenuation!$K:$K,($H14-1+MIN(MAX(IFERROR(MATCH(LN(K$5),INDEX(Attenuation!$J:$J,$H14):INDEX(Attenuation!$J:$J,$H14+$I14-1),1),1),1),$I14-1))):INDEX(Attenuation!$K:$K,($H14-1+MIN(MAX(IFERROR(MATCH(LN(K$5),INDEX(Attenuation!$J:$J,$H14):INDEX(Attenuation!$J:$J,$H14+$I14-1),1),1),1),$I14-1))+1),INDEX(Attenuation!$J:$J,($H14-1+MIN(MAX(IFERROR(MATCH(LN(K$5),INDEX(Attenuation!$J:$J,$H14):INDEX(Attenuation!$J:$J,$H14+$I14-1),1),1),1),$I14-1))):INDEX(Attenuation!$J:$J,($H14-1+MIN(MAX(IFERROR(MATCH(LN(K$5),INDEX(Attenuation!$J:$J,$H14):INDEX(Attenuation!$J:$J,$H14+$I14-1),1),1),1),$I14-1))+1)))))</f>
        <v>2.3857858399006031</v>
      </c>
      <c r="L14" s="12">
        <f>IF($A14="","",IF(L$5&gt;2*$G14,"",EXP(FORECAST(LN(L$5),INDEX(Attenuation!$K:$K,($H14-1+MIN(MAX(IFERROR(MATCH(LN(L$5),INDEX(Attenuation!$J:$J,$H14):INDEX(Attenuation!$J:$J,$H14+$I14-1),1),1),1),$I14-1))):INDEX(Attenuation!$K:$K,($H14-1+MIN(MAX(IFERROR(MATCH(LN(L$5),INDEX(Attenuation!$J:$J,$H14):INDEX(Attenuation!$J:$J,$H14+$I14-1),1),1),1),$I14-1))+1),INDEX(Attenuation!$J:$J,($H14-1+MIN(MAX(IFERROR(MATCH(LN(L$5),INDEX(Attenuation!$J:$J,$H14):INDEX(Attenuation!$J:$J,$H14+$I14-1),1),1),1),$I14-1))):INDEX(Attenuation!$J:$J,($H14-1+MIN(MAX(IFERROR(MATCH(LN(L$5),INDEX(Attenuation!$J:$J,$H14):INDEX(Attenuation!$J:$J,$H14+$I14-1),1),1),1),$I14-1))+1)))))</f>
        <v>3.3209265163481803</v>
      </c>
      <c r="M14" s="12">
        <f>IF($A14="","",IF(M$5&gt;2*$G14,"",EXP(FORECAST(LN(M$5),INDEX(Attenuation!$K:$K,($H14-1+MIN(MAX(IFERROR(MATCH(LN(M$5),INDEX(Attenuation!$J:$J,$H14):INDEX(Attenuation!$J:$J,$H14+$I14-1),1),1),1),$I14-1))):INDEX(Attenuation!$K:$K,($H14-1+MIN(MAX(IFERROR(MATCH(LN(M$5),INDEX(Attenuation!$J:$J,$H14):INDEX(Attenuation!$J:$J,$H14+$I14-1),1),1),1),$I14-1))+1),INDEX(Attenuation!$J:$J,($H14-1+MIN(MAX(IFERROR(MATCH(LN(M$5),INDEX(Attenuation!$J:$J,$H14):INDEX(Attenuation!$J:$J,$H14+$I14-1),1),1),1),$I14-1))):INDEX(Attenuation!$J:$J,($H14-1+MIN(MAX(IFERROR(MATCH(LN(M$5),INDEX(Attenuation!$J:$J,$H14):INDEX(Attenuation!$J:$J,$H14+$I14-1),1),1),1),$I14-1))+1)))))</f>
        <v>4.6999823774345764</v>
      </c>
      <c r="N14" s="12">
        <f>IF($A14="","",IF(N$5&gt;2*$G14,"",EXP(FORECAST(LN(N$5),INDEX(Attenuation!$K:$K,($H14-1+MIN(MAX(IFERROR(MATCH(LN(N$5),INDEX(Attenuation!$J:$J,$H14):INDEX(Attenuation!$J:$J,$H14+$I14-1),1),1),1),$I14-1))):INDEX(Attenuation!$K:$K,($H14-1+MIN(MAX(IFERROR(MATCH(LN(N$5),INDEX(Attenuation!$J:$J,$H14):INDEX(Attenuation!$J:$J,$H14+$I14-1),1),1),1),$I14-1))+1),INDEX(Attenuation!$J:$J,($H14-1+MIN(MAX(IFERROR(MATCH(LN(N$5),INDEX(Attenuation!$J:$J,$H14):INDEX(Attenuation!$J:$J,$H14+$I14-1),1),1),1),$I14-1))):INDEX(Attenuation!$J:$J,($H14-1+MIN(MAX(IFERROR(MATCH(LN(N$5),INDEX(Attenuation!$J:$J,$H14):INDEX(Attenuation!$J:$J,$H14+$I14-1),1),1),1),$I14-1))+1)))))</f>
        <v>5.818358638708311</v>
      </c>
      <c r="O14" s="12">
        <f>IF($A14="","",IF(O$5&gt;2*$G14,"",EXP(FORECAST(LN(O$5),INDEX(Attenuation!$K:$K,($H14-1+MIN(MAX(IFERROR(MATCH(LN(O$5),INDEX(Attenuation!$J:$J,$H14):INDEX(Attenuation!$J:$J,$H14+$I14-1),1),1),1),$I14-1))):INDEX(Attenuation!$K:$K,($H14-1+MIN(MAX(IFERROR(MATCH(LN(O$5),INDEX(Attenuation!$J:$J,$H14):INDEX(Attenuation!$J:$J,$H14+$I14-1),1),1),1),$I14-1))+1),INDEX(Attenuation!$J:$J,($H14-1+MIN(MAX(IFERROR(MATCH(LN(O$5),INDEX(Attenuation!$J:$J,$H14):INDEX(Attenuation!$J:$J,$H14+$I14-1),1),1),1),$I14-1))):INDEX(Attenuation!$J:$J,($H14-1+MIN(MAX(IFERROR(MATCH(LN(O$5),INDEX(Attenuation!$J:$J,$H14):INDEX(Attenuation!$J:$J,$H14+$I14-1),1),1),1),$I14-1))+1)))))</f>
        <v>6.7697901229446353</v>
      </c>
      <c r="P14" s="12">
        <f>IF($A14="","",IF(P$5&gt;2*$G14,"",EXP(FORECAST(LN(P$5),INDEX(Attenuation!$K:$K,($H14-1+MIN(MAX(IFERROR(MATCH(LN(P$5),INDEX(Attenuation!$J:$J,$H14):INDEX(Attenuation!$J:$J,$H14+$I14-1),1),1),1),$I14-1))):INDEX(Attenuation!$K:$K,($H14-1+MIN(MAX(IFERROR(MATCH(LN(P$5),INDEX(Attenuation!$J:$J,$H14):INDEX(Attenuation!$J:$J,$H14+$I14-1),1),1),1),$I14-1))+1),INDEX(Attenuation!$J:$J,($H14-1+MIN(MAX(IFERROR(MATCH(LN(P$5),INDEX(Attenuation!$J:$J,$H14):INDEX(Attenuation!$J:$J,$H14+$I14-1),1),1),1),$I14-1))):INDEX(Attenuation!$J:$J,($H14-1+MIN(MAX(IFERROR(MATCH(LN(P$5),INDEX(Attenuation!$J:$J,$H14):INDEX(Attenuation!$J:$J,$H14+$I14-1),1),1),1),$I14-1))+1)))))</f>
        <v>9.1863517060367457</v>
      </c>
      <c r="Q14" s="12">
        <f>IF($A14="","",IF(Q$5&gt;2*$G14,"",EXP(FORECAST(LN(Q$5),INDEX(Attenuation!$K:$K,($H14-1+MIN(MAX(IFERROR(MATCH(LN(Q$5),INDEX(Attenuation!$J:$J,$H14):INDEX(Attenuation!$J:$J,$H14+$I14-1),1),1),1),$I14-1))):INDEX(Attenuation!$K:$K,($H14-1+MIN(MAX(IFERROR(MATCH(LN(Q$5),INDEX(Attenuation!$J:$J,$H14):INDEX(Attenuation!$J:$J,$H14+$I14-1),1),1),1),$I14-1))+1),INDEX(Attenuation!$J:$J,($H14-1+MIN(MAX(IFERROR(MATCH(LN(Q$5),INDEX(Attenuation!$J:$J,$H14):INDEX(Attenuation!$J:$J,$H14+$I14-1),1),1),1),$I14-1))):INDEX(Attenuation!$J:$J,($H14-1+MIN(MAX(IFERROR(MATCH(LN(Q$5),INDEX(Attenuation!$J:$J,$H14):INDEX(Attenuation!$J:$J,$H14+$I14-1),1),1),1),$I14-1))+1)))))</f>
        <v>16.434765901469284</v>
      </c>
      <c r="R14" s="12">
        <f>IF($A14="","",IF(R$5&gt;2*$G14,"",EXP(FORECAST(LN(R$5),INDEX(Attenuation!$K:$K,($H14-1+MIN(MAX(IFERROR(MATCH(LN(R$5),INDEX(Attenuation!$J:$J,$H14):INDEX(Attenuation!$J:$J,$H14+$I14-1),1),1),1),$I14-1))):INDEX(Attenuation!$K:$K,($H14-1+MIN(MAX(IFERROR(MATCH(LN(R$5),INDEX(Attenuation!$J:$J,$H14):INDEX(Attenuation!$J:$J,$H14+$I14-1),1),1),1),$I14-1))+1),INDEX(Attenuation!$J:$J,($H14-1+MIN(MAX(IFERROR(MATCH(LN(R$5),INDEX(Attenuation!$J:$J,$H14):INDEX(Attenuation!$J:$J,$H14+$I14-1),1),1),1),$I14-1))):INDEX(Attenuation!$J:$J,($H14-1+MIN(MAX(IFERROR(MATCH(LN(R$5),INDEX(Attenuation!$J:$J,$H14):INDEX(Attenuation!$J:$J,$H14+$I14-1),1),1),1),$I14-1))+1)))))</f>
        <v>30.129512303615304</v>
      </c>
      <c r="S14" s="12">
        <f>IF($A14="","",IF(S$5&gt;2*$G14,"",EXP(FORECAST(LN(S$5),INDEX(Attenuation!$K:$K,($H14-1+MIN(MAX(IFERROR(MATCH(LN(S$5),INDEX(Attenuation!$J:$J,$H14):INDEX(Attenuation!$J:$J,$H14+$I14-1),1),1),1),$I14-1))):INDEX(Attenuation!$K:$K,($H14-1+MIN(MAX(IFERROR(MATCH(LN(S$5),INDEX(Attenuation!$J:$J,$H14):INDEX(Attenuation!$J:$J,$H14+$I14-1),1),1),1),$I14-1))+1),INDEX(Attenuation!$J:$J,($H14-1+MIN(MAX(IFERROR(MATCH(LN(S$5),INDEX(Attenuation!$J:$J,$H14):INDEX(Attenuation!$J:$J,$H14+$I14-1),1),1),1),$I14-1))):INDEX(Attenuation!$J:$J,($H14-1+MIN(MAX(IFERROR(MATCH(LN(S$5),INDEX(Attenuation!$J:$J,$H14):INDEX(Attenuation!$J:$J,$H14+$I14-1),1),1),1),$I14-1))+1)))))</f>
        <v>53.732283453274178</v>
      </c>
      <c r="T14" s="12" t="str">
        <f>IF($A14="","",IF(T$5&gt;2*$G14,"",EXP(FORECAST(LN(T$5),INDEX(Attenuation!$K:$K,($H14-1+MIN(MAX(IFERROR(MATCH(LN(T$5),INDEX(Attenuation!$J:$J,$H14):INDEX(Attenuation!$J:$J,$H14+$I14-1),1),1),1),$I14-1))):INDEX(Attenuation!$K:$K,($H14-1+MIN(MAX(IFERROR(MATCH(LN(T$5),INDEX(Attenuation!$J:$J,$H14):INDEX(Attenuation!$J:$J,$H14+$I14-1),1),1),1),$I14-1))+1),INDEX(Attenuation!$J:$J,($H14-1+MIN(MAX(IFERROR(MATCH(LN(T$5),INDEX(Attenuation!$J:$J,$H14):INDEX(Attenuation!$J:$J,$H14+$I14-1),1),1),1),$I14-1))):INDEX(Attenuation!$J:$J,($H14-1+MIN(MAX(IFERROR(MATCH(LN(T$5),INDEX(Attenuation!$J:$J,$H14):INDEX(Attenuation!$J:$J,$H14+$I14-1),1),1),1),$I14-1))+1)))))</f>
        <v/>
      </c>
      <c r="U14" s="12" t="str">
        <f>IF($A14="","",IF(U$5&gt;2*$G14,"",EXP(FORECAST(LN(U$5),INDEX(Attenuation!$K:$K,($H14-1+MIN(MAX(IFERROR(MATCH(LN(U$5),INDEX(Attenuation!$J:$J,$H14):INDEX(Attenuation!$J:$J,$H14+$I14-1),1),1),1),$I14-1))):INDEX(Attenuation!$K:$K,($H14-1+MIN(MAX(IFERROR(MATCH(LN(U$5),INDEX(Attenuation!$J:$J,$H14):INDEX(Attenuation!$J:$J,$H14+$I14-1),1),1),1),$I14-1))+1),INDEX(Attenuation!$J:$J,($H14-1+MIN(MAX(IFERROR(MATCH(LN(U$5),INDEX(Attenuation!$J:$J,$H14):INDEX(Attenuation!$J:$J,$H14+$I14-1),1),1),1),$I14-1))):INDEX(Attenuation!$J:$J,($H14-1+MIN(MAX(IFERROR(MATCH(LN(U$5),INDEX(Attenuation!$J:$J,$H14):INDEX(Attenuation!$J:$J,$H14+$I14-1),1),1),1),$I14-1))+1)))))</f>
        <v/>
      </c>
      <c r="V14" s="1"/>
      <c r="W14" s="12">
        <f t="shared" si="0"/>
        <v>0.52948776505480621</v>
      </c>
      <c r="X14" s="12">
        <f t="shared" si="1"/>
        <v>0.72718752400170383</v>
      </c>
      <c r="Y14" s="12">
        <f t="shared" si="2"/>
        <v>1.0122184021829255</v>
      </c>
      <c r="Z14" s="12">
        <f t="shared" si="3"/>
        <v>1.432554628642059</v>
      </c>
      <c r="AA14" s="12">
        <f t="shared" si="4"/>
        <v>1.7734357130782934</v>
      </c>
      <c r="AB14" s="12">
        <f t="shared" si="5"/>
        <v>2.0634320294735251</v>
      </c>
      <c r="AC14" s="12">
        <f t="shared" si="6"/>
        <v>2.8000000000000003</v>
      </c>
      <c r="AD14" s="12">
        <f t="shared" si="7"/>
        <v>5.0093166467678376</v>
      </c>
      <c r="AE14" s="12">
        <f t="shared" si="8"/>
        <v>9.1834753501419453</v>
      </c>
      <c r="AF14" s="12">
        <f t="shared" si="9"/>
        <v>16.377599996557969</v>
      </c>
      <c r="AG14" s="12" t="str">
        <f t="shared" si="10"/>
        <v/>
      </c>
      <c r="AH14" s="12" t="str">
        <f t="shared" si="11"/>
        <v/>
      </c>
    </row>
    <row r="15" spans="1:34" x14ac:dyDescent="0.25">
      <c r="A15" s="11" t="str">
        <f>IF(ROWS($A$6:A15)&gt;COUNTA(Cables!$A:$A)-1,"",INDEX(Cables!$A:$A,ROWS($A$6:A15)+1))</f>
        <v>HAR-M17-128-RG400</v>
      </c>
      <c r="B15" s="11" t="str">
        <f>IF($A15="","",IF(INDEX(Cables!$B:$B,MATCH($A15,Cables!$A:$A,0))="","",INDEX(Cables!$B:$B,MATCH($A15,Cables!$A:$A,0))))</f>
        <v>Harbour M17/128-RG400</v>
      </c>
      <c r="C15" s="11">
        <f>IF($A15="","",IF(INDEX(Cables!$F:$F,MATCH($A15,Cables!$A:$A,0))="","",INDEX(Cables!$F:$F,MATCH($A15,Cables!$A:$A,0))))</f>
        <v>50</v>
      </c>
      <c r="D15" s="11">
        <f>IF($A15="","",IF(INDEX(Cables!$H:$H,MATCH($A15,Cables!$A:$A,0))="","",INDEX(Cables!$H:$H,MATCH($A15,Cables!$A:$A,0))))</f>
        <v>5</v>
      </c>
      <c r="E15" s="12">
        <f>IF($A15="","",IF(INDEX(Cables!$Q:$Q,MATCH($A15,Cables!$A:$A,0))="","",INDEX(Cables!$Q:$Q,MATCH($A15,Cables!$A:$A,0))))</f>
        <v>0.7</v>
      </c>
      <c r="F15" s="11">
        <f>IF($A15="","",IF(INDEX(Cables!$AQ:$AQ,MATCH($A15,Cables!$A:$A,0))="","",INDEX(Cables!$AQ:$AQ,MATCH($A15,Cables!$A:$A,0))))</f>
        <v>100</v>
      </c>
      <c r="G15" s="11">
        <f>IF($A15="","",IF(INDEX(Cables!$AR:$AR,MATCH($A15,Cables!$A:$A,0))="","",INDEX(Cables!$AR:$AR,MATCH($A15,Cables!$A:$A,0))))</f>
        <v>12400</v>
      </c>
      <c r="H15" s="11">
        <f>IF($A15="","",IF(INDEX(Cables!$AO:$AO,MATCH($A15,Cables!$A:$A,0))="","",INDEX(Cables!$AO:$AO,MATCH($A15,Cables!$A:$A,0))))</f>
        <v>88</v>
      </c>
      <c r="I15" s="11">
        <f>IF($A15="","",IF(INDEX(Cables!$AP:$AP,MATCH($A15,Cables!$A:$A,0))="","",INDEX(Cables!$AP:$AP,MATCH($A15,Cables!$A:$A,0))))</f>
        <v>9</v>
      </c>
      <c r="J15" s="12">
        <f>IF($A15="","",IF(J$5&gt;2*$G15,"",EXP(FORECAST(LN(J$5),INDEX(Attenuation!$K:$K,($H15-1+MIN(MAX(IFERROR(MATCH(LN(J$5),INDEX(Attenuation!$J:$J,$H15):INDEX(Attenuation!$J:$J,$H15+$I15-1),1),1),1),$I15-1))):INDEX(Attenuation!$K:$K,($H15-1+MIN(MAX(IFERROR(MATCH(LN(J$5),INDEX(Attenuation!$J:$J,$H15):INDEX(Attenuation!$J:$J,$H15+$I15-1),1),1),1),$I15-1))+1),INDEX(Attenuation!$J:$J,($H15-1+MIN(MAX(IFERROR(MATCH(LN(J$5),INDEX(Attenuation!$J:$J,$H15):INDEX(Attenuation!$J:$J,$H15+$I15-1),1),1),1),$I15-1))):INDEX(Attenuation!$J:$J,($H15-1+MIN(MAX(IFERROR(MATCH(LN(J$5),INDEX(Attenuation!$J:$J,$H15):INDEX(Attenuation!$J:$J,$H15+$I15-1),1),1),1),$I15-1))+1)))))</f>
        <v>1.5720365327485577</v>
      </c>
      <c r="K15" s="12">
        <f>IF($A15="","",IF(K$5&gt;2*$G15,"",EXP(FORECAST(LN(K$5),INDEX(Attenuation!$K:$K,($H15-1+MIN(MAX(IFERROR(MATCH(LN(K$5),INDEX(Attenuation!$J:$J,$H15):INDEX(Attenuation!$J:$J,$H15+$I15-1),1),1),1),$I15-1))):INDEX(Attenuation!$K:$K,($H15-1+MIN(MAX(IFERROR(MATCH(LN(K$5),INDEX(Attenuation!$J:$J,$H15):INDEX(Attenuation!$J:$J,$H15+$I15-1),1),1),1),$I15-1))+1),INDEX(Attenuation!$J:$J,($H15-1+MIN(MAX(IFERROR(MATCH(LN(K$5),INDEX(Attenuation!$J:$J,$H15):INDEX(Attenuation!$J:$J,$H15+$I15-1),1),1),1),$I15-1))):INDEX(Attenuation!$J:$J,($H15-1+MIN(MAX(IFERROR(MATCH(LN(K$5),INDEX(Attenuation!$J:$J,$H15):INDEX(Attenuation!$J:$J,$H15+$I15-1),1),1),1),$I15-1))+1)))))</f>
        <v>2.2427577801549079</v>
      </c>
      <c r="L15" s="12">
        <f>IF($A15="","",IF(L$5&gt;2*$G15,"",EXP(FORECAST(LN(L$5),INDEX(Attenuation!$K:$K,($H15-1+MIN(MAX(IFERROR(MATCH(LN(L$5),INDEX(Attenuation!$J:$J,$H15):INDEX(Attenuation!$J:$J,$H15+$I15-1),1),1),1),$I15-1))):INDEX(Attenuation!$K:$K,($H15-1+MIN(MAX(IFERROR(MATCH(LN(L$5),INDEX(Attenuation!$J:$J,$H15):INDEX(Attenuation!$J:$J,$H15+$I15-1),1),1),1),$I15-1))+1),INDEX(Attenuation!$J:$J,($H15-1+MIN(MAX(IFERROR(MATCH(LN(L$5),INDEX(Attenuation!$J:$J,$H15):INDEX(Attenuation!$J:$J,$H15+$I15-1),1),1),1),$I15-1))):INDEX(Attenuation!$J:$J,($H15-1+MIN(MAX(IFERROR(MATCH(LN(L$5),INDEX(Attenuation!$J:$J,$H15):INDEX(Attenuation!$J:$J,$H15+$I15-1),1),1),1),$I15-1))+1)))))</f>
        <v>3.2481768680003009</v>
      </c>
      <c r="M15" s="12">
        <f>IF($A15="","",IF(M$5&gt;2*$G15,"",EXP(FORECAST(LN(M$5),INDEX(Attenuation!$K:$K,($H15-1+MIN(MAX(IFERROR(MATCH(LN(M$5),INDEX(Attenuation!$J:$J,$H15):INDEX(Attenuation!$J:$J,$H15+$I15-1),1),1),1),$I15-1))):INDEX(Attenuation!$K:$K,($H15-1+MIN(MAX(IFERROR(MATCH(LN(M$5),INDEX(Attenuation!$J:$J,$H15):INDEX(Attenuation!$J:$J,$H15+$I15-1),1),1),1),$I15-1))+1),INDEX(Attenuation!$J:$J,($H15-1+MIN(MAX(IFERROR(MATCH(LN(M$5),INDEX(Attenuation!$J:$J,$H15):INDEX(Attenuation!$J:$J,$H15+$I15-1),1),1),1),$I15-1))):INDEX(Attenuation!$J:$J,($H15-1+MIN(MAX(IFERROR(MATCH(LN(M$5),INDEX(Attenuation!$J:$J,$H15):INDEX(Attenuation!$J:$J,$H15+$I15-1),1),1),1),$I15-1))+1)))))</f>
        <v>4.7043211973981016</v>
      </c>
      <c r="N15" s="12">
        <f>IF($A15="","",IF(N$5&gt;2*$G15,"",EXP(FORECAST(LN(N$5),INDEX(Attenuation!$K:$K,($H15-1+MIN(MAX(IFERROR(MATCH(LN(N$5),INDEX(Attenuation!$J:$J,$H15):INDEX(Attenuation!$J:$J,$H15+$I15-1),1),1),1),$I15-1))):INDEX(Attenuation!$K:$K,($H15-1+MIN(MAX(IFERROR(MATCH(LN(N$5),INDEX(Attenuation!$J:$J,$H15):INDEX(Attenuation!$J:$J,$H15+$I15-1),1),1),1),$I15-1))+1),INDEX(Attenuation!$J:$J,($H15-1+MIN(MAX(IFERROR(MATCH(LN(N$5),INDEX(Attenuation!$J:$J,$H15):INDEX(Attenuation!$J:$J,$H15+$I15-1),1),1),1),$I15-1))):INDEX(Attenuation!$J:$J,($H15-1+MIN(MAX(IFERROR(MATCH(LN(N$5),INDEX(Attenuation!$J:$J,$H15):INDEX(Attenuation!$J:$J,$H15+$I15-1),1),1),1),$I15-1))+1)))))</f>
        <v>5.8424156814664618</v>
      </c>
      <c r="O15" s="12">
        <f>IF($A15="","",IF(O$5&gt;2*$G15,"",EXP(FORECAST(LN(O$5),INDEX(Attenuation!$K:$K,($H15-1+MIN(MAX(IFERROR(MATCH(LN(O$5),INDEX(Attenuation!$J:$J,$H15):INDEX(Attenuation!$J:$J,$H15+$I15-1),1),1),1),$I15-1))):INDEX(Attenuation!$K:$K,($H15-1+MIN(MAX(IFERROR(MATCH(LN(O$5),INDEX(Attenuation!$J:$J,$H15):INDEX(Attenuation!$J:$J,$H15+$I15-1),1),1),1),$I15-1))+1),INDEX(Attenuation!$J:$J,($H15-1+MIN(MAX(IFERROR(MATCH(LN(O$5),INDEX(Attenuation!$J:$J,$H15):INDEX(Attenuation!$J:$J,$H15+$I15-1),1),1),1),$I15-1))):INDEX(Attenuation!$J:$J,($H15-1+MIN(MAX(IFERROR(MATCH(LN(O$5),INDEX(Attenuation!$J:$J,$H15):INDEX(Attenuation!$J:$J,$H15+$I15-1),1),1),1),$I15-1))+1)))))</f>
        <v>6.8132490401957568</v>
      </c>
      <c r="P15" s="12">
        <f>IF($A15="","",IF(P$5&gt;2*$G15,"",EXP(FORECAST(LN(P$5),INDEX(Attenuation!$K:$K,($H15-1+MIN(MAX(IFERROR(MATCH(LN(P$5),INDEX(Attenuation!$J:$J,$H15):INDEX(Attenuation!$J:$J,$H15+$I15-1),1),1),1),$I15-1))):INDEX(Attenuation!$K:$K,($H15-1+MIN(MAX(IFERROR(MATCH(LN(P$5),INDEX(Attenuation!$J:$J,$H15):INDEX(Attenuation!$J:$J,$H15+$I15-1),1),1),1),$I15-1))+1),INDEX(Attenuation!$J:$J,($H15-1+MIN(MAX(IFERROR(MATCH(LN(P$5),INDEX(Attenuation!$J:$J,$H15):INDEX(Attenuation!$J:$J,$H15+$I15-1),1),1),1),$I15-1))):INDEX(Attenuation!$J:$J,($H15-1+MIN(MAX(IFERROR(MATCH(LN(P$5),INDEX(Attenuation!$J:$J,$H15):INDEX(Attenuation!$J:$J,$H15+$I15-1),1),1),1),$I15-1))+1)))))</f>
        <v>9.2877730942355488</v>
      </c>
      <c r="Q15" s="12">
        <f>IF($A15="","",IF(Q$5&gt;2*$G15,"",EXP(FORECAST(LN(Q$5),INDEX(Attenuation!$K:$K,($H15-1+MIN(MAX(IFERROR(MATCH(LN(Q$5),INDEX(Attenuation!$J:$J,$H15):INDEX(Attenuation!$J:$J,$H15+$I15-1),1),1),1),$I15-1))):INDEX(Attenuation!$K:$K,($H15-1+MIN(MAX(IFERROR(MATCH(LN(Q$5),INDEX(Attenuation!$J:$J,$H15):INDEX(Attenuation!$J:$J,$H15+$I15-1),1),1),1),$I15-1))+1),INDEX(Attenuation!$J:$J,($H15-1+MIN(MAX(IFERROR(MATCH(LN(Q$5),INDEX(Attenuation!$J:$J,$H15):INDEX(Attenuation!$J:$J,$H15+$I15-1),1),1),1),$I15-1))):INDEX(Attenuation!$J:$J,($H15-1+MIN(MAX(IFERROR(MATCH(LN(Q$5),INDEX(Attenuation!$J:$J,$H15):INDEX(Attenuation!$J:$J,$H15+$I15-1),1),1),1),$I15-1))+1)))))</f>
        <v>16.345224926148489</v>
      </c>
      <c r="R15" s="12">
        <f>IF($A15="","",IF(R$5&gt;2*$G15,"",EXP(FORECAST(LN(R$5),INDEX(Attenuation!$K:$K,($H15-1+MIN(MAX(IFERROR(MATCH(LN(R$5),INDEX(Attenuation!$J:$J,$H15):INDEX(Attenuation!$J:$J,$H15+$I15-1),1),1),1),$I15-1))):INDEX(Attenuation!$K:$K,($H15-1+MIN(MAX(IFERROR(MATCH(LN(R$5),INDEX(Attenuation!$J:$J,$H15):INDEX(Attenuation!$J:$J,$H15+$I15-1),1),1),1),$I15-1))+1),INDEX(Attenuation!$J:$J,($H15-1+MIN(MAX(IFERROR(MATCH(LN(R$5),INDEX(Attenuation!$J:$J,$H15):INDEX(Attenuation!$J:$J,$H15+$I15-1),1),1),1),$I15-1))):INDEX(Attenuation!$J:$J,($H15-1+MIN(MAX(IFERROR(MATCH(LN(R$5),INDEX(Attenuation!$J:$J,$H15):INDEX(Attenuation!$J:$J,$H15+$I15-1),1),1),1),$I15-1))+1)))))</f>
        <v>29.429039330003928</v>
      </c>
      <c r="S15" s="12">
        <f>IF($A15="","",IF(S$5&gt;2*$G15,"",EXP(FORECAST(LN(S$5),INDEX(Attenuation!$K:$K,($H15-1+MIN(MAX(IFERROR(MATCH(LN(S$5),INDEX(Attenuation!$J:$J,$H15):INDEX(Attenuation!$J:$J,$H15+$I15-1),1),1),1),$I15-1))):INDEX(Attenuation!$K:$K,($H15-1+MIN(MAX(IFERROR(MATCH(LN(S$5),INDEX(Attenuation!$J:$J,$H15):INDEX(Attenuation!$J:$J,$H15+$I15-1),1),1),1),$I15-1))+1),INDEX(Attenuation!$J:$J,($H15-1+MIN(MAX(IFERROR(MATCH(LN(S$5),INDEX(Attenuation!$J:$J,$H15):INDEX(Attenuation!$J:$J,$H15+$I15-1),1),1),1),$I15-1))):INDEX(Attenuation!$J:$J,($H15-1+MIN(MAX(IFERROR(MATCH(LN(S$5),INDEX(Attenuation!$J:$J,$H15):INDEX(Attenuation!$J:$J,$H15+$I15-1),1),1),1),$I15-1))+1)))))</f>
        <v>54.122592455666876</v>
      </c>
      <c r="T15" s="12">
        <f>IF($A15="","",IF(T$5&gt;2*$G15,"",EXP(FORECAST(LN(T$5),INDEX(Attenuation!$K:$K,($H15-1+MIN(MAX(IFERROR(MATCH(LN(T$5),INDEX(Attenuation!$J:$J,$H15):INDEX(Attenuation!$J:$J,$H15+$I15-1),1),1),1),$I15-1))):INDEX(Attenuation!$K:$K,($H15-1+MIN(MAX(IFERROR(MATCH(LN(T$5),INDEX(Attenuation!$J:$J,$H15):INDEX(Attenuation!$J:$J,$H15+$I15-1),1),1),1),$I15-1))+1),INDEX(Attenuation!$J:$J,($H15-1+MIN(MAX(IFERROR(MATCH(LN(T$5),INDEX(Attenuation!$J:$J,$H15):INDEX(Attenuation!$J:$J,$H15+$I15-1),1),1),1),$I15-1))):INDEX(Attenuation!$J:$J,($H15-1+MIN(MAX(IFERROR(MATCH(LN(T$5),INDEX(Attenuation!$J:$J,$H15):INDEX(Attenuation!$J:$J,$H15+$I15-1),1),1),1),$I15-1))+1)))))</f>
        <v>77.427821522309685</v>
      </c>
      <c r="U15" s="12">
        <f>IF($A15="","",IF(U$5&gt;2*$G15,"",EXP(FORECAST(LN(U$5),INDEX(Attenuation!$K:$K,($H15-1+MIN(MAX(IFERROR(MATCH(LN(U$5),INDEX(Attenuation!$J:$J,$H15):INDEX(Attenuation!$J:$J,$H15+$I15-1),1),1),1),$I15-1))):INDEX(Attenuation!$K:$K,($H15-1+MIN(MAX(IFERROR(MATCH(LN(U$5),INDEX(Attenuation!$J:$J,$H15):INDEX(Attenuation!$J:$J,$H15+$I15-1),1),1),1),$I15-1))+1),INDEX(Attenuation!$J:$J,($H15-1+MIN(MAX(IFERROR(MATCH(LN(U$5),INDEX(Attenuation!$J:$J,$H15):INDEX(Attenuation!$J:$J,$H15+$I15-1),1),1),1),$I15-1))):INDEX(Attenuation!$J:$J,($H15-1+MIN(MAX(IFERROR(MATCH(LN(U$5),INDEX(Attenuation!$J:$J,$H15):INDEX(Attenuation!$J:$J,$H15+$I15-1),1),1),1),$I15-1))+1)))))</f>
        <v>132.96402375241843</v>
      </c>
      <c r="V15" s="1"/>
      <c r="W15" s="12">
        <f t="shared" si="0"/>
        <v>0.47915673518176038</v>
      </c>
      <c r="X15" s="12">
        <f t="shared" si="1"/>
        <v>0.68359257139121599</v>
      </c>
      <c r="Y15" s="12">
        <f t="shared" si="2"/>
        <v>0.99004430936649179</v>
      </c>
      <c r="Z15" s="12">
        <f t="shared" si="3"/>
        <v>1.4338771009669415</v>
      </c>
      <c r="AA15" s="12">
        <f t="shared" si="4"/>
        <v>1.7807682997109777</v>
      </c>
      <c r="AB15" s="12">
        <f t="shared" si="5"/>
        <v>2.0766783074516666</v>
      </c>
      <c r="AC15" s="12">
        <f t="shared" si="6"/>
        <v>2.8309132391229954</v>
      </c>
      <c r="AD15" s="12">
        <f t="shared" si="7"/>
        <v>4.9820245574900595</v>
      </c>
      <c r="AE15" s="12">
        <f t="shared" si="8"/>
        <v>8.9699711877851982</v>
      </c>
      <c r="AF15" s="12">
        <f t="shared" si="9"/>
        <v>16.496566180487264</v>
      </c>
      <c r="AG15" s="12">
        <f t="shared" si="10"/>
        <v>23.599999999999994</v>
      </c>
      <c r="AH15" s="12">
        <f t="shared" si="11"/>
        <v>40.527434439737135</v>
      </c>
    </row>
    <row r="16" spans="1:34" x14ac:dyDescent="0.25">
      <c r="A16" s="11" t="str">
        <f>IF(ROWS($A$6:A16)&gt;COUNTA(Cables!$A:$A)-1,"",INDEX(Cables!$A:$A,ROWS($A$6:A16)+1))</f>
        <v>TMS-LMR195</v>
      </c>
      <c r="B16" s="11" t="str">
        <f>IF($A16="","",IF(INDEX(Cables!$B:$B,MATCH($A16,Cables!$A:$A,0))="","",INDEX(Cables!$B:$B,MATCH($A16,Cables!$A:$A,0))))</f>
        <v>Times Microwave LMR-195 (Amphenol)</v>
      </c>
      <c r="C16" s="11">
        <f>IF($A16="","",IF(INDEX(Cables!$F:$F,MATCH($A16,Cables!$A:$A,0))="","",INDEX(Cables!$F:$F,MATCH($A16,Cables!$A:$A,0))))</f>
        <v>50</v>
      </c>
      <c r="D16" s="11">
        <f>IF($A16="","",IF(INDEX(Cables!$H:$H,MATCH($A16,Cables!$A:$A,0))="","",INDEX(Cables!$H:$H,MATCH($A16,Cables!$A:$A,0))))</f>
        <v>4.95</v>
      </c>
      <c r="E16" s="12">
        <f>IF($A16="","",IF(INDEX(Cables!$Q:$Q,MATCH($A16,Cables!$A:$A,0))="","",INDEX(Cables!$Q:$Q,MATCH($A16,Cables!$A:$A,0))))</f>
        <v>0.8</v>
      </c>
      <c r="F16" s="11">
        <f>IF($A16="","",IF(INDEX(Cables!$AQ:$AQ,MATCH($A16,Cables!$A:$A,0))="","",INDEX(Cables!$AQ:$AQ,MATCH($A16,Cables!$A:$A,0))))</f>
        <v>30</v>
      </c>
      <c r="G16" s="11">
        <f>IF($A16="","",IF(INDEX(Cables!$AR:$AR,MATCH($A16,Cables!$A:$A,0))="","",INDEX(Cables!$AR:$AR,MATCH($A16,Cables!$A:$A,0))))</f>
        <v>2500</v>
      </c>
      <c r="H16" s="11">
        <f>IF($A16="","",IF(INDEX(Cables!$AO:$AO,MATCH($A16,Cables!$A:$A,0))="","",INDEX(Cables!$AO:$AO,MATCH($A16,Cables!$A:$A,0))))</f>
        <v>97</v>
      </c>
      <c r="I16" s="11">
        <f>IF($A16="","",IF(INDEX(Cables!$AP:$AP,MATCH($A16,Cables!$A:$A,0))="","",INDEX(Cables!$AP:$AP,MATCH($A16,Cables!$A:$A,0))))</f>
        <v>10</v>
      </c>
      <c r="J16" s="12">
        <f>IF($A16="","",IF(J$5&gt;2*$G16,"",EXP(FORECAST(LN(J$5),INDEX(Attenuation!$K:$K,($H16-1+MIN(MAX(IFERROR(MATCH(LN(J$5),INDEX(Attenuation!$J:$J,$H16):INDEX(Attenuation!$J:$J,$H16+$I16-1),1),1),1),$I16-1))):INDEX(Attenuation!$K:$K,($H16-1+MIN(MAX(IFERROR(MATCH(LN(J$5),INDEX(Attenuation!$J:$J,$H16):INDEX(Attenuation!$J:$J,$H16+$I16-1),1),1),1),$I16-1))+1),INDEX(Attenuation!$J:$J,($H16-1+MIN(MAX(IFERROR(MATCH(LN(J$5),INDEX(Attenuation!$J:$J,$H16):INDEX(Attenuation!$J:$J,$H16+$I16-1),1),1),1),$I16-1))):INDEX(Attenuation!$J:$J,($H16-1+MIN(MAX(IFERROR(MATCH(LN(J$5),INDEX(Attenuation!$J:$J,$H16):INDEX(Attenuation!$J:$J,$H16+$I16-1),1),1),1),$I16-1))+1)))))</f>
        <v>1.546904174754949</v>
      </c>
      <c r="K16" s="12">
        <f>IF($A16="","",IF(K$5&gt;2*$G16,"",EXP(FORECAST(LN(K$5),INDEX(Attenuation!$K:$K,($H16-1+MIN(MAX(IFERROR(MATCH(LN(K$5),INDEX(Attenuation!$J:$J,$H16):INDEX(Attenuation!$J:$J,$H16+$I16-1),1),1),1),$I16-1))):INDEX(Attenuation!$K:$K,($H16-1+MIN(MAX(IFERROR(MATCH(LN(K$5),INDEX(Attenuation!$J:$J,$H16):INDEX(Attenuation!$J:$J,$H16+$I16-1),1),1),1),$I16-1))+1),INDEX(Attenuation!$J:$J,($H16-1+MIN(MAX(IFERROR(MATCH(LN(K$5),INDEX(Attenuation!$J:$J,$H16):INDEX(Attenuation!$J:$J,$H16+$I16-1),1),1),1),$I16-1))):INDEX(Attenuation!$J:$J,($H16-1+MIN(MAX(IFERROR(MATCH(LN(K$5),INDEX(Attenuation!$J:$J,$H16):INDEX(Attenuation!$J:$J,$H16+$I16-1),1),1),1),$I16-1))+1)))))</f>
        <v>2.1766629679659855</v>
      </c>
      <c r="L16" s="12">
        <f>IF($A16="","",IF(L$5&gt;2*$G16,"",EXP(FORECAST(LN(L$5),INDEX(Attenuation!$K:$K,($H16-1+MIN(MAX(IFERROR(MATCH(LN(L$5),INDEX(Attenuation!$J:$J,$H16):INDEX(Attenuation!$J:$J,$H16+$I16-1),1),1),1),$I16-1))):INDEX(Attenuation!$K:$K,($H16-1+MIN(MAX(IFERROR(MATCH(LN(L$5),INDEX(Attenuation!$J:$J,$H16):INDEX(Attenuation!$J:$J,$H16+$I16-1),1),1),1),$I16-1))+1),INDEX(Attenuation!$J:$J,($H16-1+MIN(MAX(IFERROR(MATCH(LN(L$5),INDEX(Attenuation!$J:$J,$H16):INDEX(Attenuation!$J:$J,$H16+$I16-1),1),1),1),$I16-1))):INDEX(Attenuation!$J:$J,($H16-1+MIN(MAX(IFERROR(MATCH(LN(L$5),INDEX(Attenuation!$J:$J,$H16):INDEX(Attenuation!$J:$J,$H16+$I16-1),1),1),1),$I16-1))+1)))))</f>
        <v>3.107439512013578</v>
      </c>
      <c r="M16" s="12">
        <f>IF($A16="","",IF(M$5&gt;2*$G16,"",EXP(FORECAST(LN(M$5),INDEX(Attenuation!$K:$K,($H16-1+MIN(MAX(IFERROR(MATCH(LN(M$5),INDEX(Attenuation!$J:$J,$H16):INDEX(Attenuation!$J:$J,$H16+$I16-1),1),1),1),$I16-1))):INDEX(Attenuation!$K:$K,($H16-1+MIN(MAX(IFERROR(MATCH(LN(M$5),INDEX(Attenuation!$J:$J,$H16):INDEX(Attenuation!$J:$J,$H16+$I16-1),1),1),1),$I16-1))+1),INDEX(Attenuation!$J:$J,($H16-1+MIN(MAX(IFERROR(MATCH(LN(M$5),INDEX(Attenuation!$J:$J,$H16):INDEX(Attenuation!$J:$J,$H16+$I16-1),1),1),1),$I16-1))):INDEX(Attenuation!$J:$J,($H16-1+MIN(MAX(IFERROR(MATCH(LN(M$5),INDEX(Attenuation!$J:$J,$H16):INDEX(Attenuation!$J:$J,$H16+$I16-1),1),1),1),$I16-1))+1)))))</f>
        <v>4.4362312691185926</v>
      </c>
      <c r="N16" s="12">
        <f>IF($A16="","",IF(N$5&gt;2*$G16,"",EXP(FORECAST(LN(N$5),INDEX(Attenuation!$K:$K,($H16-1+MIN(MAX(IFERROR(MATCH(LN(N$5),INDEX(Attenuation!$J:$J,$H16):INDEX(Attenuation!$J:$J,$H16+$I16-1),1),1),1),$I16-1))):INDEX(Attenuation!$K:$K,($H16-1+MIN(MAX(IFERROR(MATCH(LN(N$5),INDEX(Attenuation!$J:$J,$H16):INDEX(Attenuation!$J:$J,$H16+$I16-1),1),1),1),$I16-1))+1),INDEX(Attenuation!$J:$J,($H16-1+MIN(MAX(IFERROR(MATCH(LN(N$5),INDEX(Attenuation!$J:$J,$H16):INDEX(Attenuation!$J:$J,$H16+$I16-1),1),1),1),$I16-1))):INDEX(Attenuation!$J:$J,($H16-1+MIN(MAX(IFERROR(MATCH(LN(N$5),INDEX(Attenuation!$J:$J,$H16):INDEX(Attenuation!$J:$J,$H16+$I16-1),1),1),1),$I16-1))+1)))))</f>
        <v>5.4633132885701787</v>
      </c>
      <c r="O16" s="12">
        <f>IF($A16="","",IF(O$5&gt;2*$G16,"",EXP(FORECAST(LN(O$5),INDEX(Attenuation!$K:$K,($H16-1+MIN(MAX(IFERROR(MATCH(LN(O$5),INDEX(Attenuation!$J:$J,$H16):INDEX(Attenuation!$J:$J,$H16+$I16-1),1),1),1),$I16-1))):INDEX(Attenuation!$K:$K,($H16-1+MIN(MAX(IFERROR(MATCH(LN(O$5),INDEX(Attenuation!$J:$J,$H16):INDEX(Attenuation!$J:$J,$H16+$I16-1),1),1),1),$I16-1))+1),INDEX(Attenuation!$J:$J,($H16-1+MIN(MAX(IFERROR(MATCH(LN(O$5),INDEX(Attenuation!$J:$J,$H16):INDEX(Attenuation!$J:$J,$H16+$I16-1),1),1),1),$I16-1))):INDEX(Attenuation!$J:$J,($H16-1+MIN(MAX(IFERROR(MATCH(LN(O$5),INDEX(Attenuation!$J:$J,$H16):INDEX(Attenuation!$J:$J,$H16+$I16-1),1),1),1),$I16-1))+1)))))</f>
        <v>6.3332360282543663</v>
      </c>
      <c r="P16" s="12">
        <f>IF($A16="","",IF(P$5&gt;2*$G16,"",EXP(FORECAST(LN(P$5),INDEX(Attenuation!$K:$K,($H16-1+MIN(MAX(IFERROR(MATCH(LN(P$5),INDEX(Attenuation!$J:$J,$H16):INDEX(Attenuation!$J:$J,$H16+$I16-1),1),1),1),$I16-1))):INDEX(Attenuation!$K:$K,($H16-1+MIN(MAX(IFERROR(MATCH(LN(P$5),INDEX(Attenuation!$J:$J,$H16):INDEX(Attenuation!$J:$J,$H16+$I16-1),1),1),1),$I16-1))+1),INDEX(Attenuation!$J:$J,($H16-1+MIN(MAX(IFERROR(MATCH(LN(P$5),INDEX(Attenuation!$J:$J,$H16):INDEX(Attenuation!$J:$J,$H16+$I16-1),1),1),1),$I16-1))):INDEX(Attenuation!$J:$J,($H16-1+MIN(MAX(IFERROR(MATCH(LN(P$5),INDEX(Attenuation!$J:$J,$H16):INDEX(Attenuation!$J:$J,$H16+$I16-1),1),1),1),$I16-1))+1)))))</f>
        <v>8.5301837270341228</v>
      </c>
      <c r="Q16" s="12">
        <f>IF($A16="","",IF(Q$5&gt;2*$G16,"",EXP(FORECAST(LN(Q$5),INDEX(Attenuation!$K:$K,($H16-1+MIN(MAX(IFERROR(MATCH(LN(Q$5),INDEX(Attenuation!$J:$J,$H16):INDEX(Attenuation!$J:$J,$H16+$I16-1),1),1),1),$I16-1))):INDEX(Attenuation!$K:$K,($H16-1+MIN(MAX(IFERROR(MATCH(LN(Q$5),INDEX(Attenuation!$J:$J,$H16):INDEX(Attenuation!$J:$J,$H16+$I16-1),1),1),1),$I16-1))+1),INDEX(Attenuation!$J:$J,($H16-1+MIN(MAX(IFERROR(MATCH(LN(Q$5),INDEX(Attenuation!$J:$J,$H16):INDEX(Attenuation!$J:$J,$H16+$I16-1),1),1),1),$I16-1))):INDEX(Attenuation!$J:$J,($H16-1+MIN(MAX(IFERROR(MATCH(LN(Q$5),INDEX(Attenuation!$J:$J,$H16):INDEX(Attenuation!$J:$J,$H16+$I16-1),1),1),1),$I16-1))+1)))))</f>
        <v>14.156240395187744</v>
      </c>
      <c r="R16" s="12">
        <f>IF($A16="","",IF(R$5&gt;2*$G16,"",EXP(FORECAST(LN(R$5),INDEX(Attenuation!$K:$K,($H16-1+MIN(MAX(IFERROR(MATCH(LN(R$5),INDEX(Attenuation!$J:$J,$H16):INDEX(Attenuation!$J:$J,$H16+$I16-1),1),1),1),$I16-1))):INDEX(Attenuation!$K:$K,($H16-1+MIN(MAX(IFERROR(MATCH(LN(R$5),INDEX(Attenuation!$J:$J,$H16):INDEX(Attenuation!$J:$J,$H16+$I16-1),1),1),1),$I16-1))+1),INDEX(Attenuation!$J:$J,($H16-1+MIN(MAX(IFERROR(MATCH(LN(R$5),INDEX(Attenuation!$J:$J,$H16):INDEX(Attenuation!$J:$J,$H16+$I16-1),1),1),1),$I16-1))):INDEX(Attenuation!$J:$J,($H16-1+MIN(MAX(IFERROR(MATCH(LN(R$5),INDEX(Attenuation!$J:$J,$H16):INDEX(Attenuation!$J:$J,$H16+$I16-1),1),1),1),$I16-1))+1)))))</f>
        <v>25.059339982669862</v>
      </c>
      <c r="S16" s="12">
        <f>IF($A16="","",IF(S$5&gt;2*$G16,"",EXP(FORECAST(LN(S$5),INDEX(Attenuation!$K:$K,($H16-1+MIN(MAX(IFERROR(MATCH(LN(S$5),INDEX(Attenuation!$J:$J,$H16):INDEX(Attenuation!$J:$J,$H16+$I16-1),1),1),1),$I16-1))):INDEX(Attenuation!$K:$K,($H16-1+MIN(MAX(IFERROR(MATCH(LN(S$5),INDEX(Attenuation!$J:$J,$H16):INDEX(Attenuation!$J:$J,$H16+$I16-1),1),1),1),$I16-1))+1),INDEX(Attenuation!$J:$J,($H16-1+MIN(MAX(IFERROR(MATCH(LN(S$5),INDEX(Attenuation!$J:$J,$H16):INDEX(Attenuation!$J:$J,$H16+$I16-1),1),1),1),$I16-1))):INDEX(Attenuation!$J:$J,($H16-1+MIN(MAX(IFERROR(MATCH(LN(S$5),INDEX(Attenuation!$J:$J,$H16):INDEX(Attenuation!$J:$J,$H16+$I16-1),1),1),1),$I16-1))+1)))))</f>
        <v>44.07015108348088</v>
      </c>
      <c r="T16" s="12">
        <f>IF($A16="","",IF(T$5&gt;2*$G16,"",EXP(FORECAST(LN(T$5),INDEX(Attenuation!$K:$K,($H16-1+MIN(MAX(IFERROR(MATCH(LN(T$5),INDEX(Attenuation!$J:$J,$H16):INDEX(Attenuation!$J:$J,$H16+$I16-1),1),1),1),$I16-1))):INDEX(Attenuation!$K:$K,($H16-1+MIN(MAX(IFERROR(MATCH(LN(T$5),INDEX(Attenuation!$J:$J,$H16):INDEX(Attenuation!$J:$J,$H16+$I16-1),1),1),1),$I16-1))+1),INDEX(Attenuation!$J:$J,($H16-1+MIN(MAX(IFERROR(MATCH(LN(T$5),INDEX(Attenuation!$J:$J,$H16):INDEX(Attenuation!$J:$J,$H16+$I16-1),1),1),1),$I16-1))):INDEX(Attenuation!$J:$J,($H16-1+MIN(MAX(IFERROR(MATCH(LN(T$5),INDEX(Attenuation!$J:$J,$H16):INDEX(Attenuation!$J:$J,$H16+$I16-1),1),1),1),$I16-1))+1)))))</f>
        <v>61.014495192013129</v>
      </c>
      <c r="U16" s="12" t="str">
        <f>IF($A16="","",IF(U$5&gt;2*$G16,"",EXP(FORECAST(LN(U$5),INDEX(Attenuation!$K:$K,($H16-1+MIN(MAX(IFERROR(MATCH(LN(U$5),INDEX(Attenuation!$J:$J,$H16):INDEX(Attenuation!$J:$J,$H16+$I16-1),1),1),1),$I16-1))):INDEX(Attenuation!$K:$K,($H16-1+MIN(MAX(IFERROR(MATCH(LN(U$5),INDEX(Attenuation!$J:$J,$H16):INDEX(Attenuation!$J:$J,$H16+$I16-1),1),1),1),$I16-1))+1),INDEX(Attenuation!$J:$J,($H16-1+MIN(MAX(IFERROR(MATCH(LN(U$5),INDEX(Attenuation!$J:$J,$H16):INDEX(Attenuation!$J:$J,$H16+$I16-1),1),1),1),$I16-1))):INDEX(Attenuation!$J:$J,($H16-1+MIN(MAX(IFERROR(MATCH(LN(U$5),INDEX(Attenuation!$J:$J,$H16):INDEX(Attenuation!$J:$J,$H16+$I16-1),1),1),1),$I16-1))+1)))))</f>
        <v/>
      </c>
      <c r="V16" s="1"/>
      <c r="W16" s="12">
        <f t="shared" si="0"/>
        <v>0.4714963924653085</v>
      </c>
      <c r="X16" s="12">
        <f t="shared" si="1"/>
        <v>0.66344687263603241</v>
      </c>
      <c r="Y16" s="12">
        <f t="shared" si="2"/>
        <v>0.94714756326173866</v>
      </c>
      <c r="Z16" s="12">
        <f t="shared" si="3"/>
        <v>1.3521632908273471</v>
      </c>
      <c r="AA16" s="12">
        <f t="shared" si="4"/>
        <v>1.6652178903561905</v>
      </c>
      <c r="AB16" s="12">
        <f t="shared" si="5"/>
        <v>1.9303703414119309</v>
      </c>
      <c r="AC16" s="12">
        <f t="shared" si="6"/>
        <v>2.6000000000000005</v>
      </c>
      <c r="AD16" s="12">
        <f t="shared" si="7"/>
        <v>4.3148220724532242</v>
      </c>
      <c r="AE16" s="12">
        <f t="shared" si="8"/>
        <v>7.6380868267177746</v>
      </c>
      <c r="AF16" s="12">
        <f t="shared" si="9"/>
        <v>13.432582050244973</v>
      </c>
      <c r="AG16" s="12">
        <f t="shared" si="10"/>
        <v>18.597218134525601</v>
      </c>
      <c r="AH16" s="12" t="str">
        <f t="shared" si="11"/>
        <v/>
      </c>
    </row>
    <row r="17" spans="1:34" x14ac:dyDescent="0.25">
      <c r="A17" s="11" t="str">
        <f>IF(ROWS($A$6:A17)&gt;COUNTA(Cables!$A:$A)-1,"",INDEX(Cables!$A:$A,ROWS($A$6:A17)+1))</f>
        <v>BEL-83242</v>
      </c>
      <c r="B17" s="11" t="str">
        <f>IF($A17="","",IF(INDEX(Cables!$B:$B,MATCH($A17,Cables!$A:$A,0))="","",INDEX(Cables!$B:$B,MATCH($A17,Cables!$A:$A,0))))</f>
        <v>Belden 83242 (RG-142)</v>
      </c>
      <c r="C17" s="11">
        <f>IF($A17="","",IF(INDEX(Cables!$F:$F,MATCH($A17,Cables!$A:$A,0))="","",INDEX(Cables!$F:$F,MATCH($A17,Cables!$A:$A,0))))</f>
        <v>50</v>
      </c>
      <c r="D17" s="11">
        <f>IF($A17="","",IF(INDEX(Cables!$H:$H,MATCH($A17,Cables!$A:$A,0))="","",INDEX(Cables!$H:$H,MATCH($A17,Cables!$A:$A,0))))</f>
        <v>4.95</v>
      </c>
      <c r="E17" s="12">
        <f>IF($A17="","",IF(INDEX(Cables!$Q:$Q,MATCH($A17,Cables!$A:$A,0))="","",INDEX(Cables!$Q:$Q,MATCH($A17,Cables!$A:$A,0))))</f>
        <v>0.7</v>
      </c>
      <c r="F17" s="11">
        <f>IF($A17="","",IF(INDEX(Cables!$AQ:$AQ,MATCH($A17,Cables!$A:$A,0))="","",INDEX(Cables!$AQ:$AQ,MATCH($A17,Cables!$A:$A,0))))</f>
        <v>1</v>
      </c>
      <c r="G17" s="11">
        <f>IF($A17="","",IF(INDEX(Cables!$AR:$AR,MATCH($A17,Cables!$A:$A,0))="","",INDEX(Cables!$AR:$AR,MATCH($A17,Cables!$A:$A,0))))</f>
        <v>8000</v>
      </c>
      <c r="H17" s="11">
        <f>IF($A17="","",IF(INDEX(Cables!$AO:$AO,MATCH($A17,Cables!$A:$A,0))="","",INDEX(Cables!$AO:$AO,MATCH($A17,Cables!$A:$A,0))))</f>
        <v>107</v>
      </c>
      <c r="I17" s="11">
        <f>IF($A17="","",IF(INDEX(Cables!$AP:$AP,MATCH($A17,Cables!$A:$A,0))="","",INDEX(Cables!$AP:$AP,MATCH($A17,Cables!$A:$A,0))))</f>
        <v>13</v>
      </c>
      <c r="J17" s="12">
        <f>IF($A17="","",IF(J$5&gt;2*$G17,"",EXP(FORECAST(LN(J$5),INDEX(Attenuation!$K:$K,($H17-1+MIN(MAX(IFERROR(MATCH(LN(J$5),INDEX(Attenuation!$J:$J,$H17):INDEX(Attenuation!$J:$J,$H17+$I17-1),1),1),1),$I17-1))):INDEX(Attenuation!$K:$K,($H17-1+MIN(MAX(IFERROR(MATCH(LN(J$5),INDEX(Attenuation!$J:$J,$H17):INDEX(Attenuation!$J:$J,$H17+$I17-1),1),1),1),$I17-1))+1),INDEX(Attenuation!$J:$J,($H17-1+MIN(MAX(IFERROR(MATCH(LN(J$5),INDEX(Attenuation!$J:$J,$H17):INDEX(Attenuation!$J:$J,$H17+$I17-1),1),1),1),$I17-1))):INDEX(Attenuation!$J:$J,($H17-1+MIN(MAX(IFERROR(MATCH(LN(J$5),INDEX(Attenuation!$J:$J,$H17):INDEX(Attenuation!$J:$J,$H17+$I17-1),1),1),1),$I17-1))+1)))))</f>
        <v>1.3713530401905452</v>
      </c>
      <c r="K17" s="12">
        <f>IF($A17="","",IF(K$5&gt;2*$G17,"",EXP(FORECAST(LN(K$5),INDEX(Attenuation!$K:$K,($H17-1+MIN(MAX(IFERROR(MATCH(LN(K$5),INDEX(Attenuation!$J:$J,$H17):INDEX(Attenuation!$J:$J,$H17+$I17-1),1),1),1),$I17-1))):INDEX(Attenuation!$K:$K,($H17-1+MIN(MAX(IFERROR(MATCH(LN(K$5),INDEX(Attenuation!$J:$J,$H17):INDEX(Attenuation!$J:$J,$H17+$I17-1),1),1),1),$I17-1))+1),INDEX(Attenuation!$J:$J,($H17-1+MIN(MAX(IFERROR(MATCH(LN(K$5),INDEX(Attenuation!$J:$J,$H17):INDEX(Attenuation!$J:$J,$H17+$I17-1),1),1),1),$I17-1))):INDEX(Attenuation!$J:$J,($H17-1+MIN(MAX(IFERROR(MATCH(LN(K$5),INDEX(Attenuation!$J:$J,$H17):INDEX(Attenuation!$J:$J,$H17+$I17-1),1),1),1),$I17-1))+1)))))</f>
        <v>1.9957601454873306</v>
      </c>
      <c r="L17" s="12">
        <f>IF($A17="","",IF(L$5&gt;2*$G17,"",EXP(FORECAST(LN(L$5),INDEX(Attenuation!$K:$K,($H17-1+MIN(MAX(IFERROR(MATCH(LN(L$5),INDEX(Attenuation!$J:$J,$H17):INDEX(Attenuation!$J:$J,$H17+$I17-1),1),1),1),$I17-1))):INDEX(Attenuation!$K:$K,($H17-1+MIN(MAX(IFERROR(MATCH(LN(L$5),INDEX(Attenuation!$J:$J,$H17):INDEX(Attenuation!$J:$J,$H17+$I17-1),1),1),1),$I17-1))+1),INDEX(Attenuation!$J:$J,($H17-1+MIN(MAX(IFERROR(MATCH(LN(L$5),INDEX(Attenuation!$J:$J,$H17):INDEX(Attenuation!$J:$J,$H17+$I17-1),1),1),1),$I17-1))):INDEX(Attenuation!$J:$J,($H17-1+MIN(MAX(IFERROR(MATCH(LN(L$5),INDEX(Attenuation!$J:$J,$H17):INDEX(Attenuation!$J:$J,$H17+$I17-1),1),1),1),$I17-1))+1)))))</f>
        <v>2.9510119757585289</v>
      </c>
      <c r="M17" s="12">
        <f>IF($A17="","",IF(M$5&gt;2*$G17,"",EXP(FORECAST(LN(M$5),INDEX(Attenuation!$K:$K,($H17-1+MIN(MAX(IFERROR(MATCH(LN(M$5),INDEX(Attenuation!$J:$J,$H17):INDEX(Attenuation!$J:$J,$H17+$I17-1),1),1),1),$I17-1))):INDEX(Attenuation!$K:$K,($H17-1+MIN(MAX(IFERROR(MATCH(LN(M$5),INDEX(Attenuation!$J:$J,$H17):INDEX(Attenuation!$J:$J,$H17+$I17-1),1),1),1),$I17-1))+1),INDEX(Attenuation!$J:$J,($H17-1+MIN(MAX(IFERROR(MATCH(LN(M$5),INDEX(Attenuation!$J:$J,$H17):INDEX(Attenuation!$J:$J,$H17+$I17-1),1),1),1),$I17-1))):INDEX(Attenuation!$J:$J,($H17-1+MIN(MAX(IFERROR(MATCH(LN(M$5),INDEX(Attenuation!$J:$J,$H17):INDEX(Attenuation!$J:$J,$H17+$I17-1),1),1),1),$I17-1))+1)))))</f>
        <v>4.3199550334579566</v>
      </c>
      <c r="N17" s="12">
        <f>IF($A17="","",IF(N$5&gt;2*$G17,"",EXP(FORECAST(LN(N$5),INDEX(Attenuation!$K:$K,($H17-1+MIN(MAX(IFERROR(MATCH(LN(N$5),INDEX(Attenuation!$J:$J,$H17):INDEX(Attenuation!$J:$J,$H17+$I17-1),1),1),1),$I17-1))):INDEX(Attenuation!$K:$K,($H17-1+MIN(MAX(IFERROR(MATCH(LN(N$5),INDEX(Attenuation!$J:$J,$H17):INDEX(Attenuation!$J:$J,$H17+$I17-1),1),1),1),$I17-1))+1),INDEX(Attenuation!$J:$J,($H17-1+MIN(MAX(IFERROR(MATCH(LN(N$5),INDEX(Attenuation!$J:$J,$H17):INDEX(Attenuation!$J:$J,$H17+$I17-1),1),1),1),$I17-1))):INDEX(Attenuation!$J:$J,($H17-1+MIN(MAX(IFERROR(MATCH(LN(N$5),INDEX(Attenuation!$J:$J,$H17):INDEX(Attenuation!$J:$J,$H17+$I17-1),1),1),1),$I17-1))+1)))))</f>
        <v>5.3653155205644438</v>
      </c>
      <c r="O17" s="12">
        <f>IF($A17="","",IF(O$5&gt;2*$G17,"",EXP(FORECAST(LN(O$5),INDEX(Attenuation!$K:$K,($H17-1+MIN(MAX(IFERROR(MATCH(LN(O$5),INDEX(Attenuation!$J:$J,$H17):INDEX(Attenuation!$J:$J,$H17+$I17-1),1),1),1),$I17-1))):INDEX(Attenuation!$K:$K,($H17-1+MIN(MAX(IFERROR(MATCH(LN(O$5),INDEX(Attenuation!$J:$J,$H17):INDEX(Attenuation!$J:$J,$H17+$I17-1),1),1),1),$I17-1))+1),INDEX(Attenuation!$J:$J,($H17-1+MIN(MAX(IFERROR(MATCH(LN(O$5),INDEX(Attenuation!$J:$J,$H17):INDEX(Attenuation!$J:$J,$H17+$I17-1),1),1),1),$I17-1))):INDEX(Attenuation!$J:$J,($H17-1+MIN(MAX(IFERROR(MATCH(LN(O$5),INDEX(Attenuation!$J:$J,$H17):INDEX(Attenuation!$J:$J,$H17+$I17-1),1),1),1),$I17-1))+1)))))</f>
        <v>6.2570793168659051</v>
      </c>
      <c r="P17" s="12">
        <f>IF($A17="","",IF(P$5&gt;2*$G17,"",EXP(FORECAST(LN(P$5),INDEX(Attenuation!$K:$K,($H17-1+MIN(MAX(IFERROR(MATCH(LN(P$5),INDEX(Attenuation!$J:$J,$H17):INDEX(Attenuation!$J:$J,$H17+$I17-1),1),1),1),$I17-1))):INDEX(Attenuation!$K:$K,($H17-1+MIN(MAX(IFERROR(MATCH(LN(P$5),INDEX(Attenuation!$J:$J,$H17):INDEX(Attenuation!$J:$J,$H17+$I17-1),1),1),1),$I17-1))+1),INDEX(Attenuation!$J:$J,($H17-1+MIN(MAX(IFERROR(MATCH(LN(P$5),INDEX(Attenuation!$J:$J,$H17):INDEX(Attenuation!$J:$J,$H17+$I17-1),1),1),1),$I17-1))):INDEX(Attenuation!$J:$J,($H17-1+MIN(MAX(IFERROR(MATCH(LN(P$5),INDEX(Attenuation!$J:$J,$H17):INDEX(Attenuation!$J:$J,$H17+$I17-1),1),1),1),$I17-1))+1)))))</f>
        <v>8.5301837270341228</v>
      </c>
      <c r="Q17" s="12">
        <f>IF($A17="","",IF(Q$5&gt;2*$G17,"",EXP(FORECAST(LN(Q$5),INDEX(Attenuation!$K:$K,($H17-1+MIN(MAX(IFERROR(MATCH(LN(Q$5),INDEX(Attenuation!$J:$J,$H17):INDEX(Attenuation!$J:$J,$H17+$I17-1),1),1),1),$I17-1))):INDEX(Attenuation!$K:$K,($H17-1+MIN(MAX(IFERROR(MATCH(LN(Q$5),INDEX(Attenuation!$J:$J,$H17):INDEX(Attenuation!$J:$J,$H17+$I17-1),1),1),1),$I17-1))+1),INDEX(Attenuation!$J:$J,($H17-1+MIN(MAX(IFERROR(MATCH(LN(Q$5),INDEX(Attenuation!$J:$J,$H17):INDEX(Attenuation!$J:$J,$H17+$I17-1),1),1),1),$I17-1))):INDEX(Attenuation!$J:$J,($H17-1+MIN(MAX(IFERROR(MATCH(LN(Q$5),INDEX(Attenuation!$J:$J,$H17):INDEX(Attenuation!$J:$J,$H17+$I17-1),1),1),1),$I17-1))+1)))))</f>
        <v>15.288361826408776</v>
      </c>
      <c r="R17" s="12">
        <f>IF($A17="","",IF(R$5&gt;2*$G17,"",EXP(FORECAST(LN(R$5),INDEX(Attenuation!$K:$K,($H17-1+MIN(MAX(IFERROR(MATCH(LN(R$5),INDEX(Attenuation!$J:$J,$H17):INDEX(Attenuation!$J:$J,$H17+$I17-1),1),1),1),$I17-1))):INDEX(Attenuation!$K:$K,($H17-1+MIN(MAX(IFERROR(MATCH(LN(R$5),INDEX(Attenuation!$J:$J,$H17):INDEX(Attenuation!$J:$J,$H17+$I17-1),1),1),1),$I17-1))+1),INDEX(Attenuation!$J:$J,($H17-1+MIN(MAX(IFERROR(MATCH(LN(R$5),INDEX(Attenuation!$J:$J,$H17):INDEX(Attenuation!$J:$J,$H17+$I17-1),1),1),1),$I17-1))):INDEX(Attenuation!$J:$J,($H17-1+MIN(MAX(IFERROR(MATCH(LN(R$5),INDEX(Attenuation!$J:$J,$H17):INDEX(Attenuation!$J:$J,$H17+$I17-1),1),1),1),$I17-1))+1)))))</f>
        <v>24.045696985762934</v>
      </c>
      <c r="S17" s="12">
        <f>IF($A17="","",IF(S$5&gt;2*$G17,"",EXP(FORECAST(LN(S$5),INDEX(Attenuation!$K:$K,($H17-1+MIN(MAX(IFERROR(MATCH(LN(S$5),INDEX(Attenuation!$J:$J,$H17):INDEX(Attenuation!$J:$J,$H17+$I17-1),1),1),1),$I17-1))):INDEX(Attenuation!$K:$K,($H17-1+MIN(MAX(IFERROR(MATCH(LN(S$5),INDEX(Attenuation!$J:$J,$H17):INDEX(Attenuation!$J:$J,$H17+$I17-1),1),1),1),$I17-1))+1),INDEX(Attenuation!$J:$J,($H17-1+MIN(MAX(IFERROR(MATCH(LN(S$5),INDEX(Attenuation!$J:$J,$H17):INDEX(Attenuation!$J:$J,$H17+$I17-1),1),1),1),$I17-1))):INDEX(Attenuation!$J:$J,($H17-1+MIN(MAX(IFERROR(MATCH(LN(S$5),INDEX(Attenuation!$J:$J,$H17):INDEX(Attenuation!$J:$J,$H17+$I17-1),1),1),1),$I17-1))+1)))))</f>
        <v>49.68283406983155</v>
      </c>
      <c r="T17" s="12">
        <f>IF($A17="","",IF(T$5&gt;2*$G17,"",EXP(FORECAST(LN(T$5),INDEX(Attenuation!$K:$K,($H17-1+MIN(MAX(IFERROR(MATCH(LN(T$5),INDEX(Attenuation!$J:$J,$H17):INDEX(Attenuation!$J:$J,$H17+$I17-1),1),1),1),$I17-1))):INDEX(Attenuation!$K:$K,($H17-1+MIN(MAX(IFERROR(MATCH(LN(T$5),INDEX(Attenuation!$J:$J,$H17):INDEX(Attenuation!$J:$J,$H17+$I17-1),1),1),1),$I17-1))+1),INDEX(Attenuation!$J:$J,($H17-1+MIN(MAX(IFERROR(MATCH(LN(T$5),INDEX(Attenuation!$J:$J,$H17):INDEX(Attenuation!$J:$J,$H17+$I17-1),1),1),1),$I17-1))):INDEX(Attenuation!$J:$J,($H17-1+MIN(MAX(IFERROR(MATCH(LN(T$5),INDEX(Attenuation!$J:$J,$H17):INDEX(Attenuation!$J:$J,$H17+$I17-1),1),1),1),$I17-1))+1)))))</f>
        <v>70.10114190503046</v>
      </c>
      <c r="U17" s="12">
        <f>IF($A17="","",IF(U$5&gt;2*$G17,"",EXP(FORECAST(LN(U$5),INDEX(Attenuation!$K:$K,($H17-1+MIN(MAX(IFERROR(MATCH(LN(U$5),INDEX(Attenuation!$J:$J,$H17):INDEX(Attenuation!$J:$J,$H17+$I17-1),1),1),1),$I17-1))):INDEX(Attenuation!$K:$K,($H17-1+MIN(MAX(IFERROR(MATCH(LN(U$5),INDEX(Attenuation!$J:$J,$H17):INDEX(Attenuation!$J:$J,$H17+$I17-1),1),1),1),$I17-1))+1),INDEX(Attenuation!$J:$J,($H17-1+MIN(MAX(IFERROR(MATCH(LN(U$5),INDEX(Attenuation!$J:$J,$H17):INDEX(Attenuation!$J:$J,$H17+$I17-1),1),1),1),$I17-1))):INDEX(Attenuation!$J:$J,($H17-1+MIN(MAX(IFERROR(MATCH(LN(U$5),INDEX(Attenuation!$J:$J,$H17):INDEX(Attenuation!$J:$J,$H17+$I17-1),1),1),1),$I17-1))+1)))))</f>
        <v>116.41586078156719</v>
      </c>
      <c r="V17" s="1"/>
      <c r="W17" s="12">
        <f t="shared" si="0"/>
        <v>0.41798840665007819</v>
      </c>
      <c r="X17" s="12">
        <f t="shared" si="1"/>
        <v>0.60830769234453841</v>
      </c>
      <c r="Y17" s="12">
        <f t="shared" si="2"/>
        <v>0.8994684502111997</v>
      </c>
      <c r="Z17" s="12">
        <f t="shared" si="3"/>
        <v>1.3167222941979853</v>
      </c>
      <c r="AA17" s="12">
        <f t="shared" si="4"/>
        <v>1.6353481706680426</v>
      </c>
      <c r="AB17" s="12">
        <f t="shared" si="5"/>
        <v>1.9071577757807279</v>
      </c>
      <c r="AC17" s="12">
        <f t="shared" si="6"/>
        <v>2.6000000000000005</v>
      </c>
      <c r="AD17" s="12">
        <f t="shared" si="7"/>
        <v>4.6598926846893951</v>
      </c>
      <c r="AE17" s="12">
        <f t="shared" si="8"/>
        <v>7.3291284412605426</v>
      </c>
      <c r="AF17" s="12">
        <f t="shared" si="9"/>
        <v>15.143327824484658</v>
      </c>
      <c r="AG17" s="12">
        <f t="shared" si="10"/>
        <v>21.366828052653286</v>
      </c>
      <c r="AH17" s="12">
        <f t="shared" si="11"/>
        <v>35.483554366221682</v>
      </c>
    </row>
    <row r="18" spans="1:34" x14ac:dyDescent="0.25">
      <c r="A18" s="11" t="str">
        <f>IF(ROWS($A$6:A18)&gt;COUNTA(Cables!$A:$A)-1,"",INDEX(Cables!$A:$A,ROWS($A$6:A18)+1))</f>
        <v>BEL-9258</v>
      </c>
      <c r="B18" s="11" t="str">
        <f>IF($A18="","",IF(INDEX(Cables!$B:$B,MATCH($A18,Cables!$A:$A,0))="","",INDEX(Cables!$B:$B,MATCH($A18,Cables!$A:$A,0))))</f>
        <v>Belden 9258 (RG-8X)</v>
      </c>
      <c r="C18" s="11">
        <f>IF($A18="","",IF(INDEX(Cables!$F:$F,MATCH($A18,Cables!$A:$A,0))="","",INDEX(Cables!$F:$F,MATCH($A18,Cables!$A:$A,0))))</f>
        <v>50</v>
      </c>
      <c r="D18" s="11">
        <f>IF($A18="","",IF(INDEX(Cables!$H:$H,MATCH($A18,Cables!$A:$A,0))="","",INDEX(Cables!$H:$H,MATCH($A18,Cables!$A:$A,0))))</f>
        <v>6.15</v>
      </c>
      <c r="E18" s="12">
        <f>IF($A18="","",IF(INDEX(Cables!$Q:$Q,MATCH($A18,Cables!$A:$A,0))="","",INDEX(Cables!$Q:$Q,MATCH($A18,Cables!$A:$A,0))))</f>
        <v>0.82</v>
      </c>
      <c r="F18" s="11">
        <f>IF($A18="","",IF(INDEX(Cables!$AQ:$AQ,MATCH($A18,Cables!$A:$A,0))="","",INDEX(Cables!$AQ:$AQ,MATCH($A18,Cables!$A:$A,0))))</f>
        <v>1</v>
      </c>
      <c r="G18" s="11">
        <f>IF($A18="","",IF(INDEX(Cables!$AR:$AR,MATCH($A18,Cables!$A:$A,0))="","",INDEX(Cables!$AR:$AR,MATCH($A18,Cables!$A:$A,0))))</f>
        <v>1000</v>
      </c>
      <c r="H18" s="11">
        <f>IF($A18="","",IF(INDEX(Cables!$AO:$AO,MATCH($A18,Cables!$A:$A,0))="","",INDEX(Cables!$AO:$AO,MATCH($A18,Cables!$A:$A,0))))</f>
        <v>120</v>
      </c>
      <c r="I18" s="11">
        <f>IF($A18="","",IF(INDEX(Cables!$AP:$AP,MATCH($A18,Cables!$A:$A,0))="","",INDEX(Cables!$AP:$AP,MATCH($A18,Cables!$A:$A,0))))</f>
        <v>9</v>
      </c>
      <c r="J18" s="12">
        <f>IF($A18="","",IF(J$5&gt;2*$G18,"",EXP(FORECAST(LN(J$5),INDEX(Attenuation!$K:$K,($H18-1+MIN(MAX(IFERROR(MATCH(LN(J$5),INDEX(Attenuation!$J:$J,$H18):INDEX(Attenuation!$J:$J,$H18+$I18-1),1),1),1),$I18-1))):INDEX(Attenuation!$K:$K,($H18-1+MIN(MAX(IFERROR(MATCH(LN(J$5),INDEX(Attenuation!$J:$J,$H18):INDEX(Attenuation!$J:$J,$H18+$I18-1),1),1),1),$I18-1))+1),INDEX(Attenuation!$J:$J,($H18-1+MIN(MAX(IFERROR(MATCH(LN(J$5),INDEX(Attenuation!$J:$J,$H18):INDEX(Attenuation!$J:$J,$H18+$I18-1),1),1),1),$I18-1))):INDEX(Attenuation!$J:$J,($H18-1+MIN(MAX(IFERROR(MATCH(LN(J$5),INDEX(Attenuation!$J:$J,$H18):INDEX(Attenuation!$J:$J,$H18+$I18-1),1),1),1),$I18-1))+1)))))</f>
        <v>1.3028734376348576</v>
      </c>
      <c r="K18" s="12">
        <f>IF($A18="","",IF(K$5&gt;2*$G18,"",EXP(FORECAST(LN(K$5),INDEX(Attenuation!$K:$K,($H18-1+MIN(MAX(IFERROR(MATCH(LN(K$5),INDEX(Attenuation!$J:$J,$H18):INDEX(Attenuation!$J:$J,$H18+$I18-1),1),1),1),$I18-1))):INDEX(Attenuation!$K:$K,($H18-1+MIN(MAX(IFERROR(MATCH(LN(K$5),INDEX(Attenuation!$J:$J,$H18):INDEX(Attenuation!$J:$J,$H18+$I18-1),1),1),1),$I18-1))+1),INDEX(Attenuation!$J:$J,($H18-1+MIN(MAX(IFERROR(MATCH(LN(K$5),INDEX(Attenuation!$J:$J,$H18):INDEX(Attenuation!$J:$J,$H18+$I18-1),1),1),1),$I18-1))):INDEX(Attenuation!$J:$J,($H18-1+MIN(MAX(IFERROR(MATCH(LN(K$5),INDEX(Attenuation!$J:$J,$H18):INDEX(Attenuation!$J:$J,$H18+$I18-1),1),1),1),$I18-1))+1)))))</f>
        <v>1.7893393799254522</v>
      </c>
      <c r="L18" s="12">
        <f>IF($A18="","",IF(L$5&gt;2*$G18,"",EXP(FORECAST(LN(L$5),INDEX(Attenuation!$K:$K,($H18-1+MIN(MAX(IFERROR(MATCH(LN(L$5),INDEX(Attenuation!$J:$J,$H18):INDEX(Attenuation!$J:$J,$H18+$I18-1),1),1),1),$I18-1))):INDEX(Attenuation!$K:$K,($H18-1+MIN(MAX(IFERROR(MATCH(LN(L$5),INDEX(Attenuation!$J:$J,$H18):INDEX(Attenuation!$J:$J,$H18+$I18-1),1),1),1),$I18-1))+1),INDEX(Attenuation!$J:$J,($H18-1+MIN(MAX(IFERROR(MATCH(LN(L$5),INDEX(Attenuation!$J:$J,$H18):INDEX(Attenuation!$J:$J,$H18+$I18-1),1),1),1),$I18-1))):INDEX(Attenuation!$J:$J,($H18-1+MIN(MAX(IFERROR(MATCH(LN(L$5),INDEX(Attenuation!$J:$J,$H18):INDEX(Attenuation!$J:$J,$H18+$I18-1),1),1),1),$I18-1))+1)))))</f>
        <v>2.4906948872611356</v>
      </c>
      <c r="M18" s="12">
        <f>IF($A18="","",IF(M$5&gt;2*$G18,"",EXP(FORECAST(LN(M$5),INDEX(Attenuation!$K:$K,($H18-1+MIN(MAX(IFERROR(MATCH(LN(M$5),INDEX(Attenuation!$J:$J,$H18):INDEX(Attenuation!$J:$J,$H18+$I18-1),1),1),1),$I18-1))):INDEX(Attenuation!$K:$K,($H18-1+MIN(MAX(IFERROR(MATCH(LN(M$5),INDEX(Attenuation!$J:$J,$H18):INDEX(Attenuation!$J:$J,$H18+$I18-1),1),1),1),$I18-1))+1),INDEX(Attenuation!$J:$J,($H18-1+MIN(MAX(IFERROR(MATCH(LN(M$5),INDEX(Attenuation!$J:$J,$H18):INDEX(Attenuation!$J:$J,$H18+$I18-1),1),1),1),$I18-1))):INDEX(Attenuation!$J:$J,($H18-1+MIN(MAX(IFERROR(MATCH(LN(M$5),INDEX(Attenuation!$J:$J,$H18):INDEX(Attenuation!$J:$J,$H18+$I18-1),1),1),1),$I18-1))+1)))))</f>
        <v>3.5249867830759332</v>
      </c>
      <c r="N18" s="12">
        <f>IF($A18="","",IF(N$5&gt;2*$G18,"",EXP(FORECAST(LN(N$5),INDEX(Attenuation!$K:$K,($H18-1+MIN(MAX(IFERROR(MATCH(LN(N$5),INDEX(Attenuation!$J:$J,$H18):INDEX(Attenuation!$J:$J,$H18+$I18-1),1),1),1),$I18-1))):INDEX(Attenuation!$K:$K,($H18-1+MIN(MAX(IFERROR(MATCH(LN(N$5),INDEX(Attenuation!$J:$J,$H18):INDEX(Attenuation!$J:$J,$H18+$I18-1),1),1),1),$I18-1))+1),INDEX(Attenuation!$J:$J,($H18-1+MIN(MAX(IFERROR(MATCH(LN(N$5),INDEX(Attenuation!$J:$J,$H18):INDEX(Attenuation!$J:$J,$H18+$I18-1),1),1),1),$I18-1))):INDEX(Attenuation!$J:$J,($H18-1+MIN(MAX(IFERROR(MATCH(LN(N$5),INDEX(Attenuation!$J:$J,$H18):INDEX(Attenuation!$J:$J,$H18+$I18-1),1),1),1),$I18-1))+1)))))</f>
        <v>4.3637689790312333</v>
      </c>
      <c r="O18" s="12">
        <f>IF($A18="","",IF(O$5&gt;2*$G18,"",EXP(FORECAST(LN(O$5),INDEX(Attenuation!$K:$K,($H18-1+MIN(MAX(IFERROR(MATCH(LN(O$5),INDEX(Attenuation!$J:$J,$H18):INDEX(Attenuation!$J:$J,$H18+$I18-1),1),1),1),$I18-1))):INDEX(Attenuation!$K:$K,($H18-1+MIN(MAX(IFERROR(MATCH(LN(O$5),INDEX(Attenuation!$J:$J,$H18):INDEX(Attenuation!$J:$J,$H18+$I18-1),1),1),1),$I18-1))+1),INDEX(Attenuation!$J:$J,($H18-1+MIN(MAX(IFERROR(MATCH(LN(O$5),INDEX(Attenuation!$J:$J,$H18):INDEX(Attenuation!$J:$J,$H18+$I18-1),1),1),1),$I18-1))):INDEX(Attenuation!$J:$J,($H18-1+MIN(MAX(IFERROR(MATCH(LN(O$5),INDEX(Attenuation!$J:$J,$H18):INDEX(Attenuation!$J:$J,$H18+$I18-1),1),1),1),$I18-1))+1)))))</f>
        <v>5.0773425922084758</v>
      </c>
      <c r="P18" s="12">
        <f>IF($A18="","",IF(P$5&gt;2*$G18,"",EXP(FORECAST(LN(P$5),INDEX(Attenuation!$K:$K,($H18-1+MIN(MAX(IFERROR(MATCH(LN(P$5),INDEX(Attenuation!$J:$J,$H18):INDEX(Attenuation!$J:$J,$H18+$I18-1),1),1),1),$I18-1))):INDEX(Attenuation!$K:$K,($H18-1+MIN(MAX(IFERROR(MATCH(LN(P$5),INDEX(Attenuation!$J:$J,$H18):INDEX(Attenuation!$J:$J,$H18+$I18-1),1),1),1),$I18-1))+1),INDEX(Attenuation!$J:$J,($H18-1+MIN(MAX(IFERROR(MATCH(LN(P$5),INDEX(Attenuation!$J:$J,$H18):INDEX(Attenuation!$J:$J,$H18+$I18-1),1),1),1),$I18-1))):INDEX(Attenuation!$J:$J,($H18-1+MIN(MAX(IFERROR(MATCH(LN(P$5),INDEX(Attenuation!$J:$J,$H18):INDEX(Attenuation!$J:$J,$H18+$I18-1),1),1),1),$I18-1))+1)))))</f>
        <v>6.8897637795275575</v>
      </c>
      <c r="Q18" s="12">
        <f>IF($A18="","",IF(Q$5&gt;2*$G18,"",EXP(FORECAST(LN(Q$5),INDEX(Attenuation!$K:$K,($H18-1+MIN(MAX(IFERROR(MATCH(LN(Q$5),INDEX(Attenuation!$J:$J,$H18):INDEX(Attenuation!$J:$J,$H18+$I18-1),1),1),1),$I18-1))):INDEX(Attenuation!$K:$K,($H18-1+MIN(MAX(IFERROR(MATCH(LN(Q$5),INDEX(Attenuation!$J:$J,$H18):INDEX(Attenuation!$J:$J,$H18+$I18-1),1),1),1),$I18-1))+1),INDEX(Attenuation!$J:$J,($H18-1+MIN(MAX(IFERROR(MATCH(LN(Q$5),INDEX(Attenuation!$J:$J,$H18):INDEX(Attenuation!$J:$J,$H18+$I18-1),1),1),1),$I18-1))):INDEX(Attenuation!$J:$J,($H18-1+MIN(MAX(IFERROR(MATCH(LN(Q$5),INDEX(Attenuation!$J:$J,$H18):INDEX(Attenuation!$J:$J,$H18+$I18-1),1),1),1),$I18-1))+1)))))</f>
        <v>12.3734668655664</v>
      </c>
      <c r="R18" s="12">
        <f>IF($A18="","",IF(R$5&gt;2*$G18,"",EXP(FORECAST(LN(R$5),INDEX(Attenuation!$K:$K,($H18-1+MIN(MAX(IFERROR(MATCH(LN(R$5),INDEX(Attenuation!$J:$J,$H18):INDEX(Attenuation!$J:$J,$H18+$I18-1),1),1),1),$I18-1))):INDEX(Attenuation!$K:$K,($H18-1+MIN(MAX(IFERROR(MATCH(LN(R$5),INDEX(Attenuation!$J:$J,$H18):INDEX(Attenuation!$J:$J,$H18+$I18-1),1),1),1),$I18-1))+1),INDEX(Attenuation!$J:$J,($H18-1+MIN(MAX(IFERROR(MATCH(LN(R$5),INDEX(Attenuation!$J:$J,$H18):INDEX(Attenuation!$J:$J,$H18+$I18-1),1),1),1),$I18-1))):INDEX(Attenuation!$J:$J,($H18-1+MIN(MAX(IFERROR(MATCH(LN(R$5),INDEX(Attenuation!$J:$J,$H18):INDEX(Attenuation!$J:$J,$H18+$I18-1),1),1),1),$I18-1))+1)))))</f>
        <v>22.631499532920095</v>
      </c>
      <c r="S18" s="12">
        <f>IF($A18="","",IF(S$5&gt;2*$G18,"",EXP(FORECAST(LN(S$5),INDEX(Attenuation!$K:$K,($H18-1+MIN(MAX(IFERROR(MATCH(LN(S$5),INDEX(Attenuation!$J:$J,$H18):INDEX(Attenuation!$J:$J,$H18+$I18-1),1),1),1),$I18-1))):INDEX(Attenuation!$K:$K,($H18-1+MIN(MAX(IFERROR(MATCH(LN(S$5),INDEX(Attenuation!$J:$J,$H18):INDEX(Attenuation!$J:$J,$H18+$I18-1),1),1),1),$I18-1))+1),INDEX(Attenuation!$J:$J,($H18-1+MIN(MAX(IFERROR(MATCH(LN(S$5),INDEX(Attenuation!$J:$J,$H18):INDEX(Attenuation!$J:$J,$H18+$I18-1),1),1),1),$I18-1))):INDEX(Attenuation!$J:$J,($H18-1+MIN(MAX(IFERROR(MATCH(LN(S$5),INDEX(Attenuation!$J:$J,$H18):INDEX(Attenuation!$J:$J,$H18+$I18-1),1),1),1),$I18-1))+1)))))</f>
        <v>41.116233507697814</v>
      </c>
      <c r="T18" s="12" t="str">
        <f>IF($A18="","",IF(T$5&gt;2*$G18,"",EXP(FORECAST(LN(T$5),INDEX(Attenuation!$K:$K,($H18-1+MIN(MAX(IFERROR(MATCH(LN(T$5),INDEX(Attenuation!$J:$J,$H18):INDEX(Attenuation!$J:$J,$H18+$I18-1),1),1),1),$I18-1))):INDEX(Attenuation!$K:$K,($H18-1+MIN(MAX(IFERROR(MATCH(LN(T$5),INDEX(Attenuation!$J:$J,$H18):INDEX(Attenuation!$J:$J,$H18+$I18-1),1),1),1),$I18-1))+1),INDEX(Attenuation!$J:$J,($H18-1+MIN(MAX(IFERROR(MATCH(LN(T$5),INDEX(Attenuation!$J:$J,$H18):INDEX(Attenuation!$J:$J,$H18+$I18-1),1),1),1),$I18-1))):INDEX(Attenuation!$J:$J,($H18-1+MIN(MAX(IFERROR(MATCH(LN(T$5),INDEX(Attenuation!$J:$J,$H18):INDEX(Attenuation!$J:$J,$H18+$I18-1),1),1),1),$I18-1))+1)))))</f>
        <v/>
      </c>
      <c r="U18" s="12" t="str">
        <f>IF($A18="","",IF(U$5&gt;2*$G18,"",EXP(FORECAST(LN(U$5),INDEX(Attenuation!$K:$K,($H18-1+MIN(MAX(IFERROR(MATCH(LN(U$5),INDEX(Attenuation!$J:$J,$H18):INDEX(Attenuation!$J:$J,$H18+$I18-1),1),1),1),$I18-1))):INDEX(Attenuation!$K:$K,($H18-1+MIN(MAX(IFERROR(MATCH(LN(U$5),INDEX(Attenuation!$J:$J,$H18):INDEX(Attenuation!$J:$J,$H18+$I18-1),1),1),1),$I18-1))+1),INDEX(Attenuation!$J:$J,($H18-1+MIN(MAX(IFERROR(MATCH(LN(U$5),INDEX(Attenuation!$J:$J,$H18):INDEX(Attenuation!$J:$J,$H18+$I18-1),1),1),1),$I18-1))):INDEX(Attenuation!$J:$J,($H18-1+MIN(MAX(IFERROR(MATCH(LN(U$5),INDEX(Attenuation!$J:$J,$H18):INDEX(Attenuation!$J:$J,$H18+$I18-1),1),1),1),$I18-1))+1)))))</f>
        <v/>
      </c>
      <c r="V18" s="1"/>
      <c r="W18" s="12">
        <f t="shared" si="0"/>
        <v>0.39711582379110461</v>
      </c>
      <c r="X18" s="12">
        <f t="shared" si="1"/>
        <v>0.54539064300127782</v>
      </c>
      <c r="Y18" s="12">
        <f t="shared" si="2"/>
        <v>0.75916380163719421</v>
      </c>
      <c r="Z18" s="12">
        <f t="shared" si="3"/>
        <v>1.0744159714815444</v>
      </c>
      <c r="AA18" s="12">
        <f t="shared" si="4"/>
        <v>1.33007678480872</v>
      </c>
      <c r="AB18" s="12">
        <f t="shared" si="5"/>
        <v>1.5475740221051435</v>
      </c>
      <c r="AC18" s="12">
        <f t="shared" si="6"/>
        <v>2.0999999999999996</v>
      </c>
      <c r="AD18" s="12">
        <f t="shared" si="7"/>
        <v>3.7714327006246386</v>
      </c>
      <c r="AE18" s="12">
        <f t="shared" si="8"/>
        <v>6.8980810576340454</v>
      </c>
      <c r="AF18" s="12">
        <f t="shared" si="9"/>
        <v>12.532227973146295</v>
      </c>
      <c r="AG18" s="12" t="str">
        <f t="shared" si="10"/>
        <v/>
      </c>
      <c r="AH18" s="12" t="str">
        <f t="shared" si="11"/>
        <v/>
      </c>
    </row>
    <row r="19" spans="1:34" x14ac:dyDescent="0.25">
      <c r="A19" s="11" t="str">
        <f>IF(ROWS($A$6:A19)&gt;COUNTA(Cables!$A:$A)-1,"",INDEX(Cables!$A:$A,ROWS($A$6:A19)+1))</f>
        <v>TMS-LMR200</v>
      </c>
      <c r="B19" s="11" t="str">
        <f>IF($A19="","",IF(INDEX(Cables!$B:$B,MATCH($A19,Cables!$A:$A,0))="","",INDEX(Cables!$B:$B,MATCH($A19,Cables!$A:$A,0))))</f>
        <v>Times Microwave LMR-200 (Amphenol)</v>
      </c>
      <c r="C19" s="11">
        <f>IF($A19="","",IF(INDEX(Cables!$F:$F,MATCH($A19,Cables!$A:$A,0))="","",INDEX(Cables!$F:$F,MATCH($A19,Cables!$A:$A,0))))</f>
        <v>50</v>
      </c>
      <c r="D19" s="11">
        <f>IF($A19="","",IF(INDEX(Cables!$H:$H,MATCH($A19,Cables!$A:$A,0))="","",INDEX(Cables!$H:$H,MATCH($A19,Cables!$A:$A,0))))</f>
        <v>4.95</v>
      </c>
      <c r="E19" s="12">
        <f>IF($A19="","",IF(INDEX(Cables!$Q:$Q,MATCH($A19,Cables!$A:$A,0))="","",INDEX(Cables!$Q:$Q,MATCH($A19,Cables!$A:$A,0))))</f>
        <v>0.83</v>
      </c>
      <c r="F19" s="11">
        <f>IF($A19="","",IF(INDEX(Cables!$AQ:$AQ,MATCH($A19,Cables!$A:$A,0))="","",INDEX(Cables!$AQ:$AQ,MATCH($A19,Cables!$A:$A,0))))</f>
        <v>30</v>
      </c>
      <c r="G19" s="11">
        <f>IF($A19="","",IF(INDEX(Cables!$AR:$AR,MATCH($A19,Cables!$A:$A,0))="","",INDEX(Cables!$AR:$AR,MATCH($A19,Cables!$A:$A,0))))</f>
        <v>2500</v>
      </c>
      <c r="H19" s="11">
        <f>IF($A19="","",IF(INDEX(Cables!$AO:$AO,MATCH($A19,Cables!$A:$A,0))="","",INDEX(Cables!$AO:$AO,MATCH($A19,Cables!$A:$A,0))))</f>
        <v>129</v>
      </c>
      <c r="I19" s="11">
        <f>IF($A19="","",IF(INDEX(Cables!$AP:$AP,MATCH($A19,Cables!$A:$A,0))="","",INDEX(Cables!$AP:$AP,MATCH($A19,Cables!$A:$A,0))))</f>
        <v>10</v>
      </c>
      <c r="J19" s="12">
        <f>IF($A19="","",IF(J$5&gt;2*$G19,"",EXP(FORECAST(LN(J$5),INDEX(Attenuation!$K:$K,($H19-1+MIN(MAX(IFERROR(MATCH(LN(J$5),INDEX(Attenuation!$J:$J,$H19):INDEX(Attenuation!$J:$J,$H19+$I19-1),1),1),1),$I19-1))):INDEX(Attenuation!$K:$K,($H19-1+MIN(MAX(IFERROR(MATCH(LN(J$5),INDEX(Attenuation!$J:$J,$H19):INDEX(Attenuation!$J:$J,$H19+$I19-1),1),1),1),$I19-1))+1),INDEX(Attenuation!$J:$J,($H19-1+MIN(MAX(IFERROR(MATCH(LN(J$5),INDEX(Attenuation!$J:$J,$H19):INDEX(Attenuation!$J:$J,$H19+$I19-1),1),1),1),$I19-1))):INDEX(Attenuation!$J:$J,($H19-1+MIN(MAX(IFERROR(MATCH(LN(J$5),INDEX(Attenuation!$J:$J,$H19):INDEX(Attenuation!$J:$J,$H19+$I19-1),1),1),1),$I19-1))+1)))))</f>
        <v>1.5308997936668698</v>
      </c>
      <c r="K19" s="12">
        <f>IF($A19="","",IF(K$5&gt;2*$G19,"",EXP(FORECAST(LN(K$5),INDEX(Attenuation!$K:$K,($H19-1+MIN(MAX(IFERROR(MATCH(LN(K$5),INDEX(Attenuation!$J:$J,$H19):INDEX(Attenuation!$J:$J,$H19+$I19-1),1),1),1),$I19-1))):INDEX(Attenuation!$K:$K,($H19-1+MIN(MAX(IFERROR(MATCH(LN(K$5),INDEX(Attenuation!$J:$J,$H19):INDEX(Attenuation!$J:$J,$H19+$I19-1),1),1),1),$I19-1))+1),INDEX(Attenuation!$J:$J,($H19-1+MIN(MAX(IFERROR(MATCH(LN(K$5),INDEX(Attenuation!$J:$J,$H19):INDEX(Attenuation!$J:$J,$H19+$I19-1),1),1),1),$I19-1))):INDEX(Attenuation!$J:$J,($H19-1+MIN(MAX(IFERROR(MATCH(LN(K$5),INDEX(Attenuation!$J:$J,$H19):INDEX(Attenuation!$J:$J,$H19+$I19-1),1),1),1),$I19-1))+1)))))</f>
        <v>2.1063322491218437</v>
      </c>
      <c r="L19" s="12">
        <f>IF($A19="","",IF(L$5&gt;2*$G19,"",EXP(FORECAST(LN(L$5),INDEX(Attenuation!$K:$K,($H19-1+MIN(MAX(IFERROR(MATCH(LN(L$5),INDEX(Attenuation!$J:$J,$H19):INDEX(Attenuation!$J:$J,$H19+$I19-1),1),1),1),$I19-1))):INDEX(Attenuation!$K:$K,($H19-1+MIN(MAX(IFERROR(MATCH(LN(L$5),INDEX(Attenuation!$J:$J,$H19):INDEX(Attenuation!$J:$J,$H19+$I19-1),1),1),1),$I19-1))+1),INDEX(Attenuation!$J:$J,($H19-1+MIN(MAX(IFERROR(MATCH(LN(L$5),INDEX(Attenuation!$J:$J,$H19):INDEX(Attenuation!$J:$J,$H19+$I19-1),1),1),1),$I19-1))):INDEX(Attenuation!$J:$J,($H19-1+MIN(MAX(IFERROR(MATCH(LN(L$5),INDEX(Attenuation!$J:$J,$H19):INDEX(Attenuation!$J:$J,$H19+$I19-1),1),1),1),$I19-1))+1)))))</f>
        <v>2.9374992217996323</v>
      </c>
      <c r="M19" s="12">
        <f>IF($A19="","",IF(M$5&gt;2*$G19,"",EXP(FORECAST(LN(M$5),INDEX(Attenuation!$K:$K,($H19-1+MIN(MAX(IFERROR(MATCH(LN(M$5),INDEX(Attenuation!$J:$J,$H19):INDEX(Attenuation!$J:$J,$H19+$I19-1),1),1),1),$I19-1))):INDEX(Attenuation!$K:$K,($H19-1+MIN(MAX(IFERROR(MATCH(LN(M$5),INDEX(Attenuation!$J:$J,$H19):INDEX(Attenuation!$J:$J,$H19+$I19-1),1),1),1),$I19-1))+1),INDEX(Attenuation!$J:$J,($H19-1+MIN(MAX(IFERROR(MATCH(LN(M$5),INDEX(Attenuation!$J:$J,$H19):INDEX(Attenuation!$J:$J,$H19+$I19-1),1),1),1),$I19-1))):INDEX(Attenuation!$J:$J,($H19-1+MIN(MAX(IFERROR(MATCH(LN(M$5),INDEX(Attenuation!$J:$J,$H19):INDEX(Attenuation!$J:$J,$H19+$I19-1),1),1),1),$I19-1))+1)))))</f>
        <v>4.0966479441555075</v>
      </c>
      <c r="N19" s="12">
        <f>IF($A19="","",IF(N$5&gt;2*$G19,"",EXP(FORECAST(LN(N$5),INDEX(Attenuation!$K:$K,($H19-1+MIN(MAX(IFERROR(MATCH(LN(N$5),INDEX(Attenuation!$J:$J,$H19):INDEX(Attenuation!$J:$J,$H19+$I19-1),1),1),1),$I19-1))):INDEX(Attenuation!$K:$K,($H19-1+MIN(MAX(IFERROR(MATCH(LN(N$5),INDEX(Attenuation!$J:$J,$H19):INDEX(Attenuation!$J:$J,$H19+$I19-1),1),1),1),$I19-1))+1),INDEX(Attenuation!$J:$J,($H19-1+MIN(MAX(IFERROR(MATCH(LN(N$5),INDEX(Attenuation!$J:$J,$H19):INDEX(Attenuation!$J:$J,$H19+$I19-1),1),1),1),$I19-1))):INDEX(Attenuation!$J:$J,($H19-1+MIN(MAX(IFERROR(MATCH(LN(N$5),INDEX(Attenuation!$J:$J,$H19):INDEX(Attenuation!$J:$J,$H19+$I19-1),1),1),1),$I19-1))+1)))))</f>
        <v>4.9765342021547418</v>
      </c>
      <c r="O19" s="12">
        <f>IF($A19="","",IF(O$5&gt;2*$G19,"",EXP(FORECAST(LN(O$5),INDEX(Attenuation!$K:$K,($H19-1+MIN(MAX(IFERROR(MATCH(LN(O$5),INDEX(Attenuation!$J:$J,$H19):INDEX(Attenuation!$J:$J,$H19+$I19-1),1),1),1),$I19-1))):INDEX(Attenuation!$K:$K,($H19-1+MIN(MAX(IFERROR(MATCH(LN(O$5),INDEX(Attenuation!$J:$J,$H19):INDEX(Attenuation!$J:$J,$H19+$I19-1),1),1),1),$I19-1))+1),INDEX(Attenuation!$J:$J,($H19-1+MIN(MAX(IFERROR(MATCH(LN(O$5),INDEX(Attenuation!$J:$J,$H19):INDEX(Attenuation!$J:$J,$H19+$I19-1),1),1),1),$I19-1))):INDEX(Attenuation!$J:$J,($H19-1+MIN(MAX(IFERROR(MATCH(LN(O$5),INDEX(Attenuation!$J:$J,$H19):INDEX(Attenuation!$J:$J,$H19+$I19-1),1),1),1),$I19-1))+1)))))</f>
        <v>5.7132013019128181</v>
      </c>
      <c r="P19" s="12">
        <f>IF($A19="","",IF(P$5&gt;2*$G19,"",EXP(FORECAST(LN(P$5),INDEX(Attenuation!$K:$K,($H19-1+MIN(MAX(IFERROR(MATCH(LN(P$5),INDEX(Attenuation!$J:$J,$H19):INDEX(Attenuation!$J:$J,$H19+$I19-1),1),1),1),$I19-1))):INDEX(Attenuation!$K:$K,($H19-1+MIN(MAX(IFERROR(MATCH(LN(P$5),INDEX(Attenuation!$J:$J,$H19):INDEX(Attenuation!$J:$J,$H19+$I19-1),1),1),1),$I19-1))+1),INDEX(Attenuation!$J:$J,($H19-1+MIN(MAX(IFERROR(MATCH(LN(P$5),INDEX(Attenuation!$J:$J,$H19):INDEX(Attenuation!$J:$J,$H19+$I19-1),1),1),1),$I19-1))):INDEX(Attenuation!$J:$J,($H19-1+MIN(MAX(IFERROR(MATCH(LN(P$5),INDEX(Attenuation!$J:$J,$H19):INDEX(Attenuation!$J:$J,$H19+$I19-1),1),1),1),$I19-1))+1)))))</f>
        <v>7.5459317585301777</v>
      </c>
      <c r="Q19" s="12">
        <f>IF($A19="","",IF(Q$5&gt;2*$G19,"",EXP(FORECAST(LN(Q$5),INDEX(Attenuation!$K:$K,($H19-1+MIN(MAX(IFERROR(MATCH(LN(Q$5),INDEX(Attenuation!$J:$J,$H19):INDEX(Attenuation!$J:$J,$H19+$I19-1),1),1),1),$I19-1))):INDEX(Attenuation!$K:$K,($H19-1+MIN(MAX(IFERROR(MATCH(LN(Q$5),INDEX(Attenuation!$J:$J,$H19):INDEX(Attenuation!$J:$J,$H19+$I19-1),1),1),1),$I19-1))+1),INDEX(Attenuation!$J:$J,($H19-1+MIN(MAX(IFERROR(MATCH(LN(Q$5),INDEX(Attenuation!$J:$J,$H19):INDEX(Attenuation!$J:$J,$H19+$I19-1),1),1),1),$I19-1))):INDEX(Attenuation!$J:$J,($H19-1+MIN(MAX(IFERROR(MATCH(LN(Q$5),INDEX(Attenuation!$J:$J,$H19):INDEX(Attenuation!$J:$J,$H19+$I19-1),1),1),1),$I19-1))+1)))))</f>
        <v>12.856265100130001</v>
      </c>
      <c r="R19" s="12">
        <f>IF($A19="","",IF(R$5&gt;2*$G19,"",EXP(FORECAST(LN(R$5),INDEX(Attenuation!$K:$K,($H19-1+MIN(MAX(IFERROR(MATCH(LN(R$5),INDEX(Attenuation!$J:$J,$H19):INDEX(Attenuation!$J:$J,$H19+$I19-1),1),1),1),$I19-1))):INDEX(Attenuation!$K:$K,($H19-1+MIN(MAX(IFERROR(MATCH(LN(R$5),INDEX(Attenuation!$J:$J,$H19):INDEX(Attenuation!$J:$J,$H19+$I19-1),1),1),1),$I19-1))+1),INDEX(Attenuation!$J:$J,($H19-1+MIN(MAX(IFERROR(MATCH(LN(R$5),INDEX(Attenuation!$J:$J,$H19):INDEX(Attenuation!$J:$J,$H19+$I19-1),1),1),1),$I19-1))):INDEX(Attenuation!$J:$J,($H19-1+MIN(MAX(IFERROR(MATCH(LN(R$5),INDEX(Attenuation!$J:$J,$H19):INDEX(Attenuation!$J:$J,$H19+$I19-1),1),1),1),$I19-1))+1)))))</f>
        <v>22.476878194377516</v>
      </c>
      <c r="S19" s="12">
        <f>IF($A19="","",IF(S$5&gt;2*$G19,"",EXP(FORECAST(LN(S$5),INDEX(Attenuation!$K:$K,($H19-1+MIN(MAX(IFERROR(MATCH(LN(S$5),INDEX(Attenuation!$J:$J,$H19):INDEX(Attenuation!$J:$J,$H19+$I19-1),1),1),1),$I19-1))):INDEX(Attenuation!$K:$K,($H19-1+MIN(MAX(IFERROR(MATCH(LN(S$5),INDEX(Attenuation!$J:$J,$H19):INDEX(Attenuation!$J:$J,$H19+$I19-1),1),1),1),$I19-1))+1),INDEX(Attenuation!$J:$J,($H19-1+MIN(MAX(IFERROR(MATCH(LN(S$5),INDEX(Attenuation!$J:$J,$H19):INDEX(Attenuation!$J:$J,$H19+$I19-1),1),1),1),$I19-1))):INDEX(Attenuation!$J:$J,($H19-1+MIN(MAX(IFERROR(MATCH(LN(S$5),INDEX(Attenuation!$J:$J,$H19):INDEX(Attenuation!$J:$J,$H19+$I19-1),1),1),1),$I19-1))+1)))))</f>
        <v>39.23542100686371</v>
      </c>
      <c r="T19" s="12">
        <f>IF($A19="","",IF(T$5&gt;2*$G19,"",EXP(FORECAST(LN(T$5),INDEX(Attenuation!$K:$K,($H19-1+MIN(MAX(IFERROR(MATCH(LN(T$5),INDEX(Attenuation!$J:$J,$H19):INDEX(Attenuation!$J:$J,$H19+$I19-1),1),1),1),$I19-1))):INDEX(Attenuation!$K:$K,($H19-1+MIN(MAX(IFERROR(MATCH(LN(T$5),INDEX(Attenuation!$J:$J,$H19):INDEX(Attenuation!$J:$J,$H19+$I19-1),1),1),1),$I19-1))+1),INDEX(Attenuation!$J:$J,($H19-1+MIN(MAX(IFERROR(MATCH(LN(T$5),INDEX(Attenuation!$J:$J,$H19):INDEX(Attenuation!$J:$J,$H19+$I19-1),1),1),1),$I19-1))):INDEX(Attenuation!$J:$J,($H19-1+MIN(MAX(IFERROR(MATCH(LN(T$5),INDEX(Attenuation!$J:$J,$H19):INDEX(Attenuation!$J:$J,$H19+$I19-1),1),1),1),$I19-1))+1)))))</f>
        <v>54.249564588383322</v>
      </c>
      <c r="U19" s="12" t="str">
        <f>IF($A19="","",IF(U$5&gt;2*$G19,"",EXP(FORECAST(LN(U$5),INDEX(Attenuation!$K:$K,($H19-1+MIN(MAX(IFERROR(MATCH(LN(U$5),INDEX(Attenuation!$J:$J,$H19):INDEX(Attenuation!$J:$J,$H19+$I19-1),1),1),1),$I19-1))):INDEX(Attenuation!$K:$K,($H19-1+MIN(MAX(IFERROR(MATCH(LN(U$5),INDEX(Attenuation!$J:$J,$H19):INDEX(Attenuation!$J:$J,$H19+$I19-1),1),1),1),$I19-1))+1),INDEX(Attenuation!$J:$J,($H19-1+MIN(MAX(IFERROR(MATCH(LN(U$5),INDEX(Attenuation!$J:$J,$H19):INDEX(Attenuation!$J:$J,$H19+$I19-1),1),1),1),$I19-1))):INDEX(Attenuation!$J:$J,($H19-1+MIN(MAX(IFERROR(MATCH(LN(U$5),INDEX(Attenuation!$J:$J,$H19):INDEX(Attenuation!$J:$J,$H19+$I19-1),1),1),1),$I19-1))+1)))))</f>
        <v/>
      </c>
      <c r="V19" s="1"/>
      <c r="W19" s="12">
        <f t="shared" si="0"/>
        <v>0.46661825710966193</v>
      </c>
      <c r="X19" s="12">
        <f t="shared" si="1"/>
        <v>0.64201006953233797</v>
      </c>
      <c r="Y19" s="12">
        <f t="shared" si="2"/>
        <v>0.89534976280452794</v>
      </c>
      <c r="Z19" s="12">
        <f t="shared" si="3"/>
        <v>1.2486582933785988</v>
      </c>
      <c r="AA19" s="12">
        <f t="shared" si="4"/>
        <v>1.5168476248167655</v>
      </c>
      <c r="AB19" s="12">
        <f t="shared" si="5"/>
        <v>1.741383756823027</v>
      </c>
      <c r="AC19" s="12">
        <f t="shared" si="6"/>
        <v>2.2999999999999985</v>
      </c>
      <c r="AD19" s="12">
        <f t="shared" si="7"/>
        <v>3.9185896025196243</v>
      </c>
      <c r="AE19" s="12">
        <f t="shared" si="8"/>
        <v>6.8509524736462675</v>
      </c>
      <c r="AF19" s="12">
        <f t="shared" si="9"/>
        <v>11.95895632289206</v>
      </c>
      <c r="AG19" s="12">
        <f t="shared" si="10"/>
        <v>16.535267286539238</v>
      </c>
      <c r="AH19" s="12" t="str">
        <f t="shared" si="11"/>
        <v/>
      </c>
    </row>
    <row r="20" spans="1:34" x14ac:dyDescent="0.25">
      <c r="A20" s="11" t="str">
        <f>IF(ROWS($A$6:A20)&gt;COUNTA(Cables!$A:$A)-1,"",INDEX(Cables!$A:$A,ROWS($A$6:A20)+1))</f>
        <v>RCB-RWC200PE</v>
      </c>
      <c r="B20" s="11" t="str">
        <f>IF($A20="","",IF(INDEX(Cables!$B:$B,MATCH($A20,Cables!$A:$A,0))="","",INDEX(Cables!$B:$B,MATCH($A20,Cables!$A:$A,0))))</f>
        <v>Reçber RWC 200 PE (LMR-200 muadili)</v>
      </c>
      <c r="C20" s="11">
        <f>IF($A20="","",IF(INDEX(Cables!$F:$F,MATCH($A20,Cables!$A:$A,0))="","",INDEX(Cables!$F:$F,MATCH($A20,Cables!$A:$A,0))))</f>
        <v>50</v>
      </c>
      <c r="D20" s="11">
        <f>IF($A20="","",IF(INDEX(Cables!$H:$H,MATCH($A20,Cables!$A:$A,0))="","",INDEX(Cables!$H:$H,MATCH($A20,Cables!$A:$A,0))))</f>
        <v>5</v>
      </c>
      <c r="E20" s="12">
        <f>IF($A20="","",IF(INDEX(Cables!$Q:$Q,MATCH($A20,Cables!$A:$A,0))="","",INDEX(Cables!$Q:$Q,MATCH($A20,Cables!$A:$A,0))))</f>
        <v>0.85</v>
      </c>
      <c r="F20" s="11">
        <f>IF($A20="","",IF(INDEX(Cables!$AQ:$AQ,MATCH($A20,Cables!$A:$A,0))="","",INDEX(Cables!$AQ:$AQ,MATCH($A20,Cables!$A:$A,0))))</f>
        <v>30</v>
      </c>
      <c r="G20" s="11">
        <f>IF($A20="","",IF(INDEX(Cables!$AR:$AR,MATCH($A20,Cables!$A:$A,0))="","",INDEX(Cables!$AR:$AR,MATCH($A20,Cables!$A:$A,0))))</f>
        <v>5800</v>
      </c>
      <c r="H20" s="11">
        <f>IF($A20="","",IF(INDEX(Cables!$AO:$AO,MATCH($A20,Cables!$A:$A,0))="","",INDEX(Cables!$AO:$AO,MATCH($A20,Cables!$A:$A,0))))</f>
        <v>139</v>
      </c>
      <c r="I20" s="11">
        <f>IF($A20="","",IF(INDEX(Cables!$AP:$AP,MATCH($A20,Cables!$A:$A,0))="","",INDEX(Cables!$AP:$AP,MATCH($A20,Cables!$A:$A,0))))</f>
        <v>11</v>
      </c>
      <c r="J20" s="12">
        <f>IF($A20="","",IF(J$5&gt;2*$G20,"",EXP(FORECAST(LN(J$5),INDEX(Attenuation!$K:$K,($H20-1+MIN(MAX(IFERROR(MATCH(LN(J$5),INDEX(Attenuation!$J:$J,$H20):INDEX(Attenuation!$J:$J,$H20+$I20-1),1),1),1),$I20-1))):INDEX(Attenuation!$K:$K,($H20-1+MIN(MAX(IFERROR(MATCH(LN(J$5),INDEX(Attenuation!$J:$J,$H20):INDEX(Attenuation!$J:$J,$H20+$I20-1),1),1),1),$I20-1))+1),INDEX(Attenuation!$J:$J,($H20-1+MIN(MAX(IFERROR(MATCH(LN(J$5),INDEX(Attenuation!$J:$J,$H20):INDEX(Attenuation!$J:$J,$H20+$I20-1),1),1),1),$I20-1))):INDEX(Attenuation!$J:$J,($H20-1+MIN(MAX(IFERROR(MATCH(LN(J$5),INDEX(Attenuation!$J:$J,$H20):INDEX(Attenuation!$J:$J,$H20+$I20-1),1),1),1),$I20-1))+1)))))</f>
        <v>1.5736628210795278</v>
      </c>
      <c r="K20" s="12">
        <f>IF($A20="","",IF(K$5&gt;2*$G20,"",EXP(FORECAST(LN(K$5),INDEX(Attenuation!$K:$K,($H20-1+MIN(MAX(IFERROR(MATCH(LN(K$5),INDEX(Attenuation!$J:$J,$H20):INDEX(Attenuation!$J:$J,$H20+$I20-1),1),1),1),$I20-1))):INDEX(Attenuation!$K:$K,($H20-1+MIN(MAX(IFERROR(MATCH(LN(K$5),INDEX(Attenuation!$J:$J,$H20):INDEX(Attenuation!$J:$J,$H20+$I20-1),1),1),1),$I20-1))+1),INDEX(Attenuation!$J:$J,($H20-1+MIN(MAX(IFERROR(MATCH(LN(K$5),INDEX(Attenuation!$J:$J,$H20):INDEX(Attenuation!$J:$J,$H20+$I20-1),1),1),1),$I20-1))):INDEX(Attenuation!$J:$J,($H20-1+MIN(MAX(IFERROR(MATCH(LN(K$5),INDEX(Attenuation!$J:$J,$H20):INDEX(Attenuation!$J:$J,$H20+$I20-1),1),1),1),$I20-1))+1)))))</f>
        <v>2.1506410133182121</v>
      </c>
      <c r="L20" s="12">
        <f>IF($A20="","",IF(L$5&gt;2*$G20,"",EXP(FORECAST(LN(L$5),INDEX(Attenuation!$K:$K,($H20-1+MIN(MAX(IFERROR(MATCH(LN(L$5),INDEX(Attenuation!$J:$J,$H20):INDEX(Attenuation!$J:$J,$H20+$I20-1),1),1),1),$I20-1))):INDEX(Attenuation!$K:$K,($H20-1+MIN(MAX(IFERROR(MATCH(LN(L$5),INDEX(Attenuation!$J:$J,$H20):INDEX(Attenuation!$J:$J,$H20+$I20-1),1),1),1),$I20-1))+1),INDEX(Attenuation!$J:$J,($H20-1+MIN(MAX(IFERROR(MATCH(LN(L$5),INDEX(Attenuation!$J:$J,$H20):INDEX(Attenuation!$J:$J,$H20+$I20-1),1),1),1),$I20-1))):INDEX(Attenuation!$J:$J,($H20-1+MIN(MAX(IFERROR(MATCH(LN(L$5),INDEX(Attenuation!$J:$J,$H20):INDEX(Attenuation!$J:$J,$H20+$I20-1),1),1),1),$I20-1))+1)))))</f>
        <v>2.9783180070908717</v>
      </c>
      <c r="M20" s="12">
        <f>IF($A20="","",IF(M$5&gt;2*$G20,"",EXP(FORECAST(LN(M$5),INDEX(Attenuation!$K:$K,($H20-1+MIN(MAX(IFERROR(MATCH(LN(M$5),INDEX(Attenuation!$J:$J,$H20):INDEX(Attenuation!$J:$J,$H20+$I20-1),1),1),1),$I20-1))):INDEX(Attenuation!$K:$K,($H20-1+MIN(MAX(IFERROR(MATCH(LN(M$5),INDEX(Attenuation!$J:$J,$H20):INDEX(Attenuation!$J:$J,$H20+$I20-1),1),1),1),$I20-1))+1),INDEX(Attenuation!$J:$J,($H20-1+MIN(MAX(IFERROR(MATCH(LN(M$5),INDEX(Attenuation!$J:$J,$H20):INDEX(Attenuation!$J:$J,$H20+$I20-1),1),1),1),$I20-1))):INDEX(Attenuation!$J:$J,($H20-1+MIN(MAX(IFERROR(MATCH(LN(M$5),INDEX(Attenuation!$J:$J,$H20):INDEX(Attenuation!$J:$J,$H20+$I20-1),1),1),1),$I20-1))+1)))))</f>
        <v>4.1245275694225167</v>
      </c>
      <c r="N20" s="12">
        <f>IF($A20="","",IF(N$5&gt;2*$G20,"",EXP(FORECAST(LN(N$5),INDEX(Attenuation!$K:$K,($H20-1+MIN(MAX(IFERROR(MATCH(LN(N$5),INDEX(Attenuation!$J:$J,$H20):INDEX(Attenuation!$J:$J,$H20+$I20-1),1),1),1),$I20-1))):INDEX(Attenuation!$K:$K,($H20-1+MIN(MAX(IFERROR(MATCH(LN(N$5),INDEX(Attenuation!$J:$J,$H20):INDEX(Attenuation!$J:$J,$H20+$I20-1),1),1),1),$I20-1))+1),INDEX(Attenuation!$J:$J,($H20-1+MIN(MAX(IFERROR(MATCH(LN(N$5),INDEX(Attenuation!$J:$J,$H20):INDEX(Attenuation!$J:$J,$H20+$I20-1),1),1),1),$I20-1))):INDEX(Attenuation!$J:$J,($H20-1+MIN(MAX(IFERROR(MATCH(LN(N$5),INDEX(Attenuation!$J:$J,$H20):INDEX(Attenuation!$J:$J,$H20+$I20-1),1),1),1),$I20-1))+1)))))</f>
        <v>4.9898759308698226</v>
      </c>
      <c r="O20" s="12">
        <f>IF($A20="","",IF(O$5&gt;2*$G20,"",EXP(FORECAST(LN(O$5),INDEX(Attenuation!$K:$K,($H20-1+MIN(MAX(IFERROR(MATCH(LN(O$5),INDEX(Attenuation!$J:$J,$H20):INDEX(Attenuation!$J:$J,$H20+$I20-1),1),1),1),$I20-1))):INDEX(Attenuation!$K:$K,($H20-1+MIN(MAX(IFERROR(MATCH(LN(O$5),INDEX(Attenuation!$J:$J,$H20):INDEX(Attenuation!$J:$J,$H20+$I20-1),1),1),1),$I20-1))+1),INDEX(Attenuation!$J:$J,($H20-1+MIN(MAX(IFERROR(MATCH(LN(O$5),INDEX(Attenuation!$J:$J,$H20):INDEX(Attenuation!$J:$J,$H20+$I20-1),1),1),1),$I20-1))):INDEX(Attenuation!$J:$J,($H20-1+MIN(MAX(IFERROR(MATCH(LN(O$5),INDEX(Attenuation!$J:$J,$H20):INDEX(Attenuation!$J:$J,$H20+$I20-1),1),1),1),$I20-1))+1)))))</f>
        <v>5.7118573740024958</v>
      </c>
      <c r="P20" s="12">
        <f>IF($A20="","",IF(P$5&gt;2*$G20,"",EXP(FORECAST(LN(P$5),INDEX(Attenuation!$K:$K,($H20-1+MIN(MAX(IFERROR(MATCH(LN(P$5),INDEX(Attenuation!$J:$J,$H20):INDEX(Attenuation!$J:$J,$H20+$I20-1),1),1),1),$I20-1))):INDEX(Attenuation!$K:$K,($H20-1+MIN(MAX(IFERROR(MATCH(LN(P$5),INDEX(Attenuation!$J:$J,$H20):INDEX(Attenuation!$J:$J,$H20+$I20-1),1),1),1),$I20-1))+1),INDEX(Attenuation!$J:$J,($H20-1+MIN(MAX(IFERROR(MATCH(LN(P$5),INDEX(Attenuation!$J:$J,$H20):INDEX(Attenuation!$J:$J,$H20+$I20-1),1),1),1),$I20-1))):INDEX(Attenuation!$J:$J,($H20-1+MIN(MAX(IFERROR(MATCH(LN(P$5),INDEX(Attenuation!$J:$J,$H20):INDEX(Attenuation!$J:$J,$H20+$I20-1),1),1),1),$I20-1))+1)))))</f>
        <v>7.4999999999999956</v>
      </c>
      <c r="Q20" s="12">
        <f>IF($A20="","",IF(Q$5&gt;2*$G20,"",EXP(FORECAST(LN(Q$5),INDEX(Attenuation!$K:$K,($H20-1+MIN(MAX(IFERROR(MATCH(LN(Q$5),INDEX(Attenuation!$J:$J,$H20):INDEX(Attenuation!$J:$J,$H20+$I20-1),1),1),1),$I20-1))):INDEX(Attenuation!$K:$K,($H20-1+MIN(MAX(IFERROR(MATCH(LN(Q$5),INDEX(Attenuation!$J:$J,$H20):INDEX(Attenuation!$J:$J,$H20+$I20-1),1),1),1),$I20-1))+1),INDEX(Attenuation!$J:$J,($H20-1+MIN(MAX(IFERROR(MATCH(LN(Q$5),INDEX(Attenuation!$J:$J,$H20):INDEX(Attenuation!$J:$J,$H20+$I20-1),1),1),1),$I20-1))):INDEX(Attenuation!$J:$J,($H20-1+MIN(MAX(IFERROR(MATCH(LN(Q$5),INDEX(Attenuation!$J:$J,$H20):INDEX(Attenuation!$J:$J,$H20+$I20-1),1),1),1),$I20-1))+1)))))</f>
        <v>12.548269541298197</v>
      </c>
      <c r="R20" s="12">
        <f>IF($A20="","",IF(R$5&gt;2*$G20,"",EXP(FORECAST(LN(R$5),INDEX(Attenuation!$K:$K,($H20-1+MIN(MAX(IFERROR(MATCH(LN(R$5),INDEX(Attenuation!$J:$J,$H20):INDEX(Attenuation!$J:$J,$H20+$I20-1),1),1),1),$I20-1))):INDEX(Attenuation!$K:$K,($H20-1+MIN(MAX(IFERROR(MATCH(LN(R$5),INDEX(Attenuation!$J:$J,$H20):INDEX(Attenuation!$J:$J,$H20+$I20-1),1),1),1),$I20-1))+1),INDEX(Attenuation!$J:$J,($H20-1+MIN(MAX(IFERROR(MATCH(LN(R$5),INDEX(Attenuation!$J:$J,$H20):INDEX(Attenuation!$J:$J,$H20+$I20-1),1),1),1),$I20-1))):INDEX(Attenuation!$J:$J,($H20-1+MIN(MAX(IFERROR(MATCH(LN(R$5),INDEX(Attenuation!$J:$J,$H20):INDEX(Attenuation!$J:$J,$H20+$I20-1),1),1),1),$I20-1))+1)))))</f>
        <v>21.842050424000593</v>
      </c>
      <c r="S20" s="12">
        <f>IF($A20="","",IF(S$5&gt;2*$G20,"",EXP(FORECAST(LN(S$5),INDEX(Attenuation!$K:$K,($H20-1+MIN(MAX(IFERROR(MATCH(LN(S$5),INDEX(Attenuation!$J:$J,$H20):INDEX(Attenuation!$J:$J,$H20+$I20-1),1),1),1),$I20-1))):INDEX(Attenuation!$K:$K,($H20-1+MIN(MAX(IFERROR(MATCH(LN(S$5),INDEX(Attenuation!$J:$J,$H20):INDEX(Attenuation!$J:$J,$H20+$I20-1),1),1),1),$I20-1))+1),INDEX(Attenuation!$J:$J,($H20-1+MIN(MAX(IFERROR(MATCH(LN(S$5),INDEX(Attenuation!$J:$J,$H20):INDEX(Attenuation!$J:$J,$H20+$I20-1),1),1),1),$I20-1))):INDEX(Attenuation!$J:$J,($H20-1+MIN(MAX(IFERROR(MATCH(LN(S$5),INDEX(Attenuation!$J:$J,$H20):INDEX(Attenuation!$J:$J,$H20+$I20-1),1),1),1),$I20-1))+1)))))</f>
        <v>38.789475782564921</v>
      </c>
      <c r="T20" s="12">
        <f>IF($A20="","",IF(T$5&gt;2*$G20,"",EXP(FORECAST(LN(T$5),INDEX(Attenuation!$K:$K,($H20-1+MIN(MAX(IFERROR(MATCH(LN(T$5),INDEX(Attenuation!$J:$J,$H20):INDEX(Attenuation!$J:$J,$H20+$I20-1),1),1),1),$I20-1))):INDEX(Attenuation!$K:$K,($H20-1+MIN(MAX(IFERROR(MATCH(LN(T$5),INDEX(Attenuation!$J:$J,$H20):INDEX(Attenuation!$J:$J,$H20+$I20-1),1),1),1),$I20-1))+1),INDEX(Attenuation!$J:$J,($H20-1+MIN(MAX(IFERROR(MATCH(LN(T$5),INDEX(Attenuation!$J:$J,$H20):INDEX(Attenuation!$J:$J,$H20+$I20-1),1),1),1),$I20-1))):INDEX(Attenuation!$J:$J,($H20-1+MIN(MAX(IFERROR(MATCH(LN(T$5),INDEX(Attenuation!$J:$J,$H20):INDEX(Attenuation!$J:$J,$H20+$I20-1),1),1),1),$I20-1))+1)))))</f>
        <v>54.069596841610206</v>
      </c>
      <c r="U20" s="12">
        <f>IF($A20="","",IF(U$5&gt;2*$G20,"",EXP(FORECAST(LN(U$5),INDEX(Attenuation!$K:$K,($H20-1+MIN(MAX(IFERROR(MATCH(LN(U$5),INDEX(Attenuation!$J:$J,$H20):INDEX(Attenuation!$J:$J,$H20+$I20-1),1),1),1),$I20-1))):INDEX(Attenuation!$K:$K,($H20-1+MIN(MAX(IFERROR(MATCH(LN(U$5),INDEX(Attenuation!$J:$J,$H20):INDEX(Attenuation!$J:$J,$H20+$I20-1),1),1),1),$I20-1))+1),INDEX(Attenuation!$J:$J,($H20-1+MIN(MAX(IFERROR(MATCH(LN(U$5),INDEX(Attenuation!$J:$J,$H20):INDEX(Attenuation!$J:$J,$H20+$I20-1),1),1),1),$I20-1))):INDEX(Attenuation!$J:$J,($H20-1+MIN(MAX(IFERROR(MATCH(LN(U$5),INDEX(Attenuation!$J:$J,$H20):INDEX(Attenuation!$J:$J,$H20+$I20-1),1),1),1),$I20-1))+1)))))</f>
        <v>88.158446321844792</v>
      </c>
      <c r="V20" s="1"/>
      <c r="W20" s="12">
        <f t="shared" si="0"/>
        <v>0.47965242786504009</v>
      </c>
      <c r="X20" s="12">
        <f t="shared" si="1"/>
        <v>0.65551538085939109</v>
      </c>
      <c r="Y20" s="12">
        <f t="shared" si="2"/>
        <v>0.90779132856129774</v>
      </c>
      <c r="Z20" s="12">
        <f t="shared" si="3"/>
        <v>1.2571560031599831</v>
      </c>
      <c r="AA20" s="12">
        <f t="shared" si="4"/>
        <v>1.520914183729122</v>
      </c>
      <c r="AB20" s="12">
        <f t="shared" si="5"/>
        <v>1.7409741275959607</v>
      </c>
      <c r="AC20" s="12">
        <f t="shared" si="6"/>
        <v>2.2859999999999987</v>
      </c>
      <c r="AD20" s="12">
        <f t="shared" si="7"/>
        <v>3.8247125561876905</v>
      </c>
      <c r="AE20" s="12">
        <f t="shared" si="8"/>
        <v>6.6574569692353815</v>
      </c>
      <c r="AF20" s="12">
        <f t="shared" si="9"/>
        <v>11.823032218525789</v>
      </c>
      <c r="AG20" s="12">
        <f t="shared" si="10"/>
        <v>16.48041311732279</v>
      </c>
      <c r="AH20" s="12">
        <f t="shared" si="11"/>
        <v>26.870694438898294</v>
      </c>
    </row>
    <row r="21" spans="1:34" x14ac:dyDescent="0.25">
      <c r="A21" s="11" t="str">
        <f>IF(ROWS($A$6:A21)&gt;COUNTA(Cables!$A:$A)-1,"",INDEX(Cables!$A:$A,ROWS($A$6:A21)+1))</f>
        <v>SSB-AIRCELL5</v>
      </c>
      <c r="B21" s="11" t="str">
        <f>IF($A21="","",IF(INDEX(Cables!$B:$B,MATCH($A21,Cables!$A:$A,0))="","",INDEX(Cables!$B:$B,MATCH($A21,Cables!$A:$A,0))))</f>
        <v>SSB Aircell 5</v>
      </c>
      <c r="C21" s="11">
        <f>IF($A21="","",IF(INDEX(Cables!$F:$F,MATCH($A21,Cables!$A:$A,0))="","",INDEX(Cables!$F:$F,MATCH($A21,Cables!$A:$A,0))))</f>
        <v>50</v>
      </c>
      <c r="D21" s="11">
        <f>IF($A21="","",IF(INDEX(Cables!$H:$H,MATCH($A21,Cables!$A:$A,0))="","",INDEX(Cables!$H:$H,MATCH($A21,Cables!$A:$A,0))))</f>
        <v>5</v>
      </c>
      <c r="E21" s="12">
        <f>IF($A21="","",IF(INDEX(Cables!$Q:$Q,MATCH($A21,Cables!$A:$A,0))="","",INDEX(Cables!$Q:$Q,MATCH($A21,Cables!$A:$A,0))))</f>
        <v>0.82</v>
      </c>
      <c r="F21" s="11">
        <f>IF($A21="","",IF(INDEX(Cables!$AQ:$AQ,MATCH($A21,Cables!$A:$A,0))="","",INDEX(Cables!$AQ:$AQ,MATCH($A21,Cables!$A:$A,0))))</f>
        <v>5</v>
      </c>
      <c r="G21" s="11">
        <f>IF($A21="","",IF(INDEX(Cables!$AR:$AR,MATCH($A21,Cables!$A:$A,0))="","",INDEX(Cables!$AR:$AR,MATCH($A21,Cables!$A:$A,0))))</f>
        <v>10000</v>
      </c>
      <c r="H21" s="11">
        <f>IF($A21="","",IF(INDEX(Cables!$AO:$AO,MATCH($A21,Cables!$A:$A,0))="","",INDEX(Cables!$AO:$AO,MATCH($A21,Cables!$A:$A,0))))</f>
        <v>150</v>
      </c>
      <c r="I21" s="11">
        <f>IF($A21="","",IF(INDEX(Cables!$AP:$AP,MATCH($A21,Cables!$A:$A,0))="","",INDEX(Cables!$AP:$AP,MATCH($A21,Cables!$A:$A,0))))</f>
        <v>20</v>
      </c>
      <c r="J21" s="12">
        <f>IF($A21="","",IF(J$5&gt;2*$G21,"",EXP(FORECAST(LN(J$5),INDEX(Attenuation!$K:$K,($H21-1+MIN(MAX(IFERROR(MATCH(LN(J$5),INDEX(Attenuation!$J:$J,$H21):INDEX(Attenuation!$J:$J,$H21+$I21-1),1),1),1),$I21-1))):INDEX(Attenuation!$K:$K,($H21-1+MIN(MAX(IFERROR(MATCH(LN(J$5),INDEX(Attenuation!$J:$J,$H21):INDEX(Attenuation!$J:$J,$H21+$I21-1),1),1),1),$I21-1))+1),INDEX(Attenuation!$J:$J,($H21-1+MIN(MAX(IFERROR(MATCH(LN(J$5),INDEX(Attenuation!$J:$J,$H21):INDEX(Attenuation!$J:$J,$H21+$I21-1),1),1),1),$I21-1))):INDEX(Attenuation!$J:$J,($H21-1+MIN(MAX(IFERROR(MATCH(LN(J$5),INDEX(Attenuation!$J:$J,$H21):INDEX(Attenuation!$J:$J,$H21+$I21-1),1),1),1),$I21-1))+1)))))</f>
        <v>1.2403896842458628</v>
      </c>
      <c r="K21" s="12">
        <f>IF($A21="","",IF(K$5&gt;2*$G21,"",EXP(FORECAST(LN(K$5),INDEX(Attenuation!$K:$K,($H21-1+MIN(MAX(IFERROR(MATCH(LN(K$5),INDEX(Attenuation!$J:$J,$H21):INDEX(Attenuation!$J:$J,$H21+$I21-1),1),1),1),$I21-1))):INDEX(Attenuation!$K:$K,($H21-1+MIN(MAX(IFERROR(MATCH(LN(K$5),INDEX(Attenuation!$J:$J,$H21):INDEX(Attenuation!$J:$J,$H21+$I21-1),1),1),1),$I21-1))+1),INDEX(Attenuation!$J:$J,($H21-1+MIN(MAX(IFERROR(MATCH(LN(K$5),INDEX(Attenuation!$J:$J,$H21):INDEX(Attenuation!$J:$J,$H21+$I21-1),1),1),1),$I21-1))):INDEX(Attenuation!$J:$J,($H21-1+MIN(MAX(IFERROR(MATCH(LN(K$5),INDEX(Attenuation!$J:$J,$H21):INDEX(Attenuation!$J:$J,$H21+$I21-1),1),1),1),$I21-1))+1)))))</f>
        <v>1.7311019912743502</v>
      </c>
      <c r="L21" s="12">
        <f>IF($A21="","",IF(L$5&gt;2*$G21,"",EXP(FORECAST(LN(L$5),INDEX(Attenuation!$K:$K,($H21-1+MIN(MAX(IFERROR(MATCH(LN(L$5),INDEX(Attenuation!$J:$J,$H21):INDEX(Attenuation!$J:$J,$H21+$I21-1),1),1),1),$I21-1))):INDEX(Attenuation!$K:$K,($H21-1+MIN(MAX(IFERROR(MATCH(LN(L$5),INDEX(Attenuation!$J:$J,$H21):INDEX(Attenuation!$J:$J,$H21+$I21-1),1),1),1),$I21-1))+1),INDEX(Attenuation!$J:$J,($H21-1+MIN(MAX(IFERROR(MATCH(LN(L$5),INDEX(Attenuation!$J:$J,$H21):INDEX(Attenuation!$J:$J,$H21+$I21-1),1),1),1),$I21-1))):INDEX(Attenuation!$J:$J,($H21-1+MIN(MAX(IFERROR(MATCH(LN(L$5),INDEX(Attenuation!$J:$J,$H21):INDEX(Attenuation!$J:$J,$H21+$I21-1),1),1),1),$I21-1))+1)))))</f>
        <v>2.4503037847506501</v>
      </c>
      <c r="M21" s="12">
        <f>IF($A21="","",IF(M$5&gt;2*$G21,"",EXP(FORECAST(LN(M$5),INDEX(Attenuation!$K:$K,($H21-1+MIN(MAX(IFERROR(MATCH(LN(M$5),INDEX(Attenuation!$J:$J,$H21):INDEX(Attenuation!$J:$J,$H21+$I21-1),1),1),1),$I21-1))):INDEX(Attenuation!$K:$K,($H21-1+MIN(MAX(IFERROR(MATCH(LN(M$5),INDEX(Attenuation!$J:$J,$H21):INDEX(Attenuation!$J:$J,$H21+$I21-1),1),1),1),$I21-1))+1),INDEX(Attenuation!$J:$J,($H21-1+MIN(MAX(IFERROR(MATCH(LN(M$5),INDEX(Attenuation!$J:$J,$H21):INDEX(Attenuation!$J:$J,$H21+$I21-1),1),1),1),$I21-1))):INDEX(Attenuation!$J:$J,($H21-1+MIN(MAX(IFERROR(MATCH(LN(M$5),INDEX(Attenuation!$J:$J,$H21):INDEX(Attenuation!$J:$J,$H21+$I21-1),1),1),1),$I21-1))+1)))))</f>
        <v>3.4732519128968784</v>
      </c>
      <c r="N21" s="12">
        <f>IF($A21="","",IF(N$5&gt;2*$G21,"",EXP(FORECAST(LN(N$5),INDEX(Attenuation!$K:$K,($H21-1+MIN(MAX(IFERROR(MATCH(LN(N$5),INDEX(Attenuation!$J:$J,$H21):INDEX(Attenuation!$J:$J,$H21+$I21-1),1),1),1),$I21-1))):INDEX(Attenuation!$K:$K,($H21-1+MIN(MAX(IFERROR(MATCH(LN(N$5),INDEX(Attenuation!$J:$J,$H21):INDEX(Attenuation!$J:$J,$H21+$I21-1),1),1),1),$I21-1))+1),INDEX(Attenuation!$J:$J,($H21-1+MIN(MAX(IFERROR(MATCH(LN(N$5),INDEX(Attenuation!$J:$J,$H21):INDEX(Attenuation!$J:$J,$H21+$I21-1),1),1),1),$I21-1))):INDEX(Attenuation!$J:$J,($H21-1+MIN(MAX(IFERROR(MATCH(LN(N$5),INDEX(Attenuation!$J:$J,$H21):INDEX(Attenuation!$J:$J,$H21+$I21-1),1),1),1),$I21-1))+1)))))</f>
        <v>4.2633555136026597</v>
      </c>
      <c r="O21" s="12">
        <f>IF($A21="","",IF(O$5&gt;2*$G21,"",EXP(FORECAST(LN(O$5),INDEX(Attenuation!$K:$K,($H21-1+MIN(MAX(IFERROR(MATCH(LN(O$5),INDEX(Attenuation!$J:$J,$H21):INDEX(Attenuation!$J:$J,$H21+$I21-1),1),1),1),$I21-1))):INDEX(Attenuation!$K:$K,($H21-1+MIN(MAX(IFERROR(MATCH(LN(O$5),INDEX(Attenuation!$J:$J,$H21):INDEX(Attenuation!$J:$J,$H21+$I21-1),1),1),1),$I21-1))+1),INDEX(Attenuation!$J:$J,($H21-1+MIN(MAX(IFERROR(MATCH(LN(O$5),INDEX(Attenuation!$J:$J,$H21):INDEX(Attenuation!$J:$J,$H21+$I21-1),1),1),1),$I21-1))):INDEX(Attenuation!$J:$J,($H21-1+MIN(MAX(IFERROR(MATCH(LN(O$5),INDEX(Attenuation!$J:$J,$H21):INDEX(Attenuation!$J:$J,$H21+$I21-1),1),1),1),$I21-1))+1)))))</f>
        <v>4.9307034722101912</v>
      </c>
      <c r="P21" s="12">
        <f>IF($A21="","",IF(P$5&gt;2*$G21,"",EXP(FORECAST(LN(P$5),INDEX(Attenuation!$K:$K,($H21-1+MIN(MAX(IFERROR(MATCH(LN(P$5),INDEX(Attenuation!$J:$J,$H21):INDEX(Attenuation!$J:$J,$H21+$I21-1),1),1),1),$I21-1))):INDEX(Attenuation!$K:$K,($H21-1+MIN(MAX(IFERROR(MATCH(LN(P$5),INDEX(Attenuation!$J:$J,$H21):INDEX(Attenuation!$J:$J,$H21+$I21-1),1),1),1),$I21-1))+1),INDEX(Attenuation!$J:$J,($H21-1+MIN(MAX(IFERROR(MATCH(LN(P$5),INDEX(Attenuation!$J:$J,$H21):INDEX(Attenuation!$J:$J,$H21+$I21-1),1),1),1),$I21-1))):INDEX(Attenuation!$J:$J,($H21-1+MIN(MAX(IFERROR(MATCH(LN(P$5),INDEX(Attenuation!$J:$J,$H21):INDEX(Attenuation!$J:$J,$H21+$I21-1),1),1),1),$I21-1))+1)))))</f>
        <v>6.6099999999999985</v>
      </c>
      <c r="Q21" s="12">
        <f>IF($A21="","",IF(Q$5&gt;2*$G21,"",EXP(FORECAST(LN(Q$5),INDEX(Attenuation!$K:$K,($H21-1+MIN(MAX(IFERROR(MATCH(LN(Q$5),INDEX(Attenuation!$J:$J,$H21):INDEX(Attenuation!$J:$J,$H21+$I21-1),1),1),1),$I21-1))):INDEX(Attenuation!$K:$K,($H21-1+MIN(MAX(IFERROR(MATCH(LN(Q$5),INDEX(Attenuation!$J:$J,$H21):INDEX(Attenuation!$J:$J,$H21+$I21-1),1),1),1),$I21-1))+1),INDEX(Attenuation!$J:$J,($H21-1+MIN(MAX(IFERROR(MATCH(LN(Q$5),INDEX(Attenuation!$J:$J,$H21):INDEX(Attenuation!$J:$J,$H21+$I21-1),1),1),1),$I21-1))):INDEX(Attenuation!$J:$J,($H21-1+MIN(MAX(IFERROR(MATCH(LN(Q$5),INDEX(Attenuation!$J:$J,$H21):INDEX(Attenuation!$J:$J,$H21+$I21-1),1),1),1),$I21-1))+1)))))</f>
        <v>11.330000000000002</v>
      </c>
      <c r="R21" s="12">
        <f>IF($A21="","",IF(R$5&gt;2*$G21,"",EXP(FORECAST(LN(R$5),INDEX(Attenuation!$K:$K,($H21-1+MIN(MAX(IFERROR(MATCH(LN(R$5),INDEX(Attenuation!$J:$J,$H21):INDEX(Attenuation!$J:$J,$H21+$I21-1),1),1),1),$I21-1))):INDEX(Attenuation!$K:$K,($H21-1+MIN(MAX(IFERROR(MATCH(LN(R$5),INDEX(Attenuation!$J:$J,$H21):INDEX(Attenuation!$J:$J,$H21+$I21-1),1),1),1),$I21-1))+1),INDEX(Attenuation!$J:$J,($H21-1+MIN(MAX(IFERROR(MATCH(LN(R$5),INDEX(Attenuation!$J:$J,$H21):INDEX(Attenuation!$J:$J,$H21+$I21-1),1),1),1),$I21-1))):INDEX(Attenuation!$J:$J,($H21-1+MIN(MAX(IFERROR(MATCH(LN(R$5),INDEX(Attenuation!$J:$J,$H21):INDEX(Attenuation!$J:$J,$H21+$I21-1),1),1),1),$I21-1))+1)))))</f>
        <v>19.990000000000002</v>
      </c>
      <c r="S21" s="12">
        <f>IF($A21="","",IF(S$5&gt;2*$G21,"",EXP(FORECAST(LN(S$5),INDEX(Attenuation!$K:$K,($H21-1+MIN(MAX(IFERROR(MATCH(LN(S$5),INDEX(Attenuation!$J:$J,$H21):INDEX(Attenuation!$J:$J,$H21+$I21-1),1),1),1),$I21-1))):INDEX(Attenuation!$K:$K,($H21-1+MIN(MAX(IFERROR(MATCH(LN(S$5),INDEX(Attenuation!$J:$J,$H21):INDEX(Attenuation!$J:$J,$H21+$I21-1),1),1),1),$I21-1))+1),INDEX(Attenuation!$J:$J,($H21-1+MIN(MAX(IFERROR(MATCH(LN(S$5),INDEX(Attenuation!$J:$J,$H21):INDEX(Attenuation!$J:$J,$H21+$I21-1),1),1),1),$I21-1))):INDEX(Attenuation!$J:$J,($H21-1+MIN(MAX(IFERROR(MATCH(LN(S$5),INDEX(Attenuation!$J:$J,$H21):INDEX(Attenuation!$J:$J,$H21+$I21-1),1),1),1),$I21-1))+1)))))</f>
        <v>35.709999999999994</v>
      </c>
      <c r="T21" s="12">
        <f>IF($A21="","",IF(T$5&gt;2*$G21,"",EXP(FORECAST(LN(T$5),INDEX(Attenuation!$K:$K,($H21-1+MIN(MAX(IFERROR(MATCH(LN(T$5),INDEX(Attenuation!$J:$J,$H21):INDEX(Attenuation!$J:$J,$H21+$I21-1),1),1),1),$I21-1))):INDEX(Attenuation!$K:$K,($H21-1+MIN(MAX(IFERROR(MATCH(LN(T$5),INDEX(Attenuation!$J:$J,$H21):INDEX(Attenuation!$J:$J,$H21+$I21-1),1),1),1),$I21-1))+1),INDEX(Attenuation!$J:$J,($H21-1+MIN(MAX(IFERROR(MATCH(LN(T$5),INDEX(Attenuation!$J:$J,$H21):INDEX(Attenuation!$J:$J,$H21+$I21-1),1),1),1),$I21-1))):INDEX(Attenuation!$J:$J,($H21-1+MIN(MAX(IFERROR(MATCH(LN(T$5),INDEX(Attenuation!$J:$J,$H21):INDEX(Attenuation!$J:$J,$H21+$I21-1),1),1),1),$I21-1))+1)))))</f>
        <v>49.869999999999983</v>
      </c>
      <c r="U21" s="12">
        <f>IF($A21="","",IF(U$5&gt;2*$G21,"",EXP(FORECAST(LN(U$5),INDEX(Attenuation!$K:$K,($H21-1+MIN(MAX(IFERROR(MATCH(LN(U$5),INDEX(Attenuation!$J:$J,$H21):INDEX(Attenuation!$J:$J,$H21+$I21-1),1),1),1),$I21-1))):INDEX(Attenuation!$K:$K,($H21-1+MIN(MAX(IFERROR(MATCH(LN(U$5),INDEX(Attenuation!$J:$J,$H21):INDEX(Attenuation!$J:$J,$H21+$I21-1),1),1),1),$I21-1))+1),INDEX(Attenuation!$J:$J,($H21-1+MIN(MAX(IFERROR(MATCH(LN(U$5),INDEX(Attenuation!$J:$J,$H21):INDEX(Attenuation!$J:$J,$H21+$I21-1),1),1),1),$I21-1))):INDEX(Attenuation!$J:$J,($H21-1+MIN(MAX(IFERROR(MATCH(LN(U$5),INDEX(Attenuation!$J:$J,$H21):INDEX(Attenuation!$J:$J,$H21+$I21-1),1),1),1),$I21-1))+1)))))</f>
        <v>81.441187431219049</v>
      </c>
      <c r="V21" s="1"/>
      <c r="W21" s="12">
        <f t="shared" si="0"/>
        <v>0.37807077575813902</v>
      </c>
      <c r="X21" s="12">
        <f t="shared" si="1"/>
        <v>0.52763988694042196</v>
      </c>
      <c r="Y21" s="12">
        <f t="shared" si="2"/>
        <v>0.74685259359199818</v>
      </c>
      <c r="Z21" s="12">
        <f t="shared" si="3"/>
        <v>1.0586471830509685</v>
      </c>
      <c r="AA21" s="12">
        <f t="shared" si="4"/>
        <v>1.2994707605460907</v>
      </c>
      <c r="AB21" s="12">
        <f t="shared" si="5"/>
        <v>1.5028784183296664</v>
      </c>
      <c r="AC21" s="12">
        <f t="shared" si="6"/>
        <v>2.0147279999999999</v>
      </c>
      <c r="AD21" s="12">
        <f t="shared" si="7"/>
        <v>3.4533840000000007</v>
      </c>
      <c r="AE21" s="12">
        <f t="shared" si="8"/>
        <v>6.0929520000000013</v>
      </c>
      <c r="AF21" s="12">
        <f t="shared" si="9"/>
        <v>10.884407999999999</v>
      </c>
      <c r="AG21" s="12">
        <f t="shared" si="10"/>
        <v>15.200375999999995</v>
      </c>
      <c r="AH21" s="12">
        <f t="shared" si="11"/>
        <v>24.823273929035569</v>
      </c>
    </row>
    <row r="22" spans="1:34" x14ac:dyDescent="0.25">
      <c r="A22" s="11" t="str">
        <f>IF(ROWS($A$6:A22)&gt;COUNTA(Cables!$A:$A)-1,"",INDEX(Cables!$A:$A,ROWS($A$6:A22)+1))</f>
        <v>MP-AIRBORNE5</v>
      </c>
      <c r="B22" s="11" t="str">
        <f>IF($A22="","",IF(INDEX(Cables!$B:$B,MATCH($A22,Cables!$A:$A,0))="","",INDEX(Cables!$B:$B,MATCH($A22,Cables!$A:$A,0))))</f>
        <v>Messi &amp; Paoloni Airborne 5</v>
      </c>
      <c r="C22" s="11">
        <f>IF($A22="","",IF(INDEX(Cables!$F:$F,MATCH($A22,Cables!$A:$A,0))="","",INDEX(Cables!$F:$F,MATCH($A22,Cables!$A:$A,0))))</f>
        <v>50</v>
      </c>
      <c r="D22" s="11">
        <f>IF($A22="","",IF(INDEX(Cables!$H:$H,MATCH($A22,Cables!$A:$A,0))="","",INDEX(Cables!$H:$H,MATCH($A22,Cables!$A:$A,0))))</f>
        <v>5</v>
      </c>
      <c r="E22" s="12">
        <f>IF($A22="","",IF(INDEX(Cables!$Q:$Q,MATCH($A22,Cables!$A:$A,0))="","",INDEX(Cables!$Q:$Q,MATCH($A22,Cables!$A:$A,0))))</f>
        <v>0.85</v>
      </c>
      <c r="F22" s="11">
        <f>IF($A22="","",IF(INDEX(Cables!$AQ:$AQ,MATCH($A22,Cables!$A:$A,0))="","",INDEX(Cables!$AQ:$AQ,MATCH($A22,Cables!$A:$A,0))))</f>
        <v>1.8</v>
      </c>
      <c r="G22" s="11">
        <f>IF($A22="","",IF(INDEX(Cables!$AR:$AR,MATCH($A22,Cables!$A:$A,0))="","",INDEX(Cables!$AR:$AR,MATCH($A22,Cables!$A:$A,0))))</f>
        <v>6000</v>
      </c>
      <c r="H22" s="11">
        <f>IF($A22="","",IF(INDEX(Cables!$AO:$AO,MATCH($A22,Cables!$A:$A,0))="","",INDEX(Cables!$AO:$AO,MATCH($A22,Cables!$A:$A,0))))</f>
        <v>170</v>
      </c>
      <c r="I22" s="11">
        <f>IF($A22="","",IF(INDEX(Cables!$AP:$AP,MATCH($A22,Cables!$A:$A,0))="","",INDEX(Cables!$AP:$AP,MATCH($A22,Cables!$A:$A,0))))</f>
        <v>21</v>
      </c>
      <c r="J22" s="12">
        <f>IF($A22="","",IF(J$5&gt;2*$G22,"",EXP(FORECAST(LN(J$5),INDEX(Attenuation!$K:$K,($H22-1+MIN(MAX(IFERROR(MATCH(LN(J$5),INDEX(Attenuation!$J:$J,$H22):INDEX(Attenuation!$J:$J,$H22+$I22-1),1),1),1),$I22-1))):INDEX(Attenuation!$K:$K,($H22-1+MIN(MAX(IFERROR(MATCH(LN(J$5),INDEX(Attenuation!$J:$J,$H22):INDEX(Attenuation!$J:$J,$H22+$I22-1),1),1),1),$I22-1))+1),INDEX(Attenuation!$J:$J,($H22-1+MIN(MAX(IFERROR(MATCH(LN(J$5),INDEX(Attenuation!$J:$J,$H22):INDEX(Attenuation!$J:$J,$H22+$I22-1),1),1),1),$I22-1))):INDEX(Attenuation!$J:$J,($H22-1+MIN(MAX(IFERROR(MATCH(LN(J$5),INDEX(Attenuation!$J:$J,$H22):INDEX(Attenuation!$J:$J,$H22+$I22-1),1),1),1),$I22-1))+1)))))</f>
        <v>1.7</v>
      </c>
      <c r="K22" s="12">
        <f>IF($A22="","",IF(K$5&gt;2*$G22,"",EXP(FORECAST(LN(K$5),INDEX(Attenuation!$K:$K,($H22-1+MIN(MAX(IFERROR(MATCH(LN(K$5),INDEX(Attenuation!$J:$J,$H22):INDEX(Attenuation!$J:$J,$H22+$I22-1),1),1),1),$I22-1))):INDEX(Attenuation!$K:$K,($H22-1+MIN(MAX(IFERROR(MATCH(LN(K$5),INDEX(Attenuation!$J:$J,$H22):INDEX(Attenuation!$J:$J,$H22+$I22-1),1),1),1),$I22-1))+1),INDEX(Attenuation!$J:$J,($H22-1+MIN(MAX(IFERROR(MATCH(LN(K$5),INDEX(Attenuation!$J:$J,$H22):INDEX(Attenuation!$J:$J,$H22+$I22-1),1),1),1),$I22-1))):INDEX(Attenuation!$J:$J,($H22-1+MIN(MAX(IFERROR(MATCH(LN(K$5),INDEX(Attenuation!$J:$J,$H22):INDEX(Attenuation!$J:$J,$H22+$I22-1),1),1),1),$I22-1))+1)))))</f>
        <v>2.2999999999999998</v>
      </c>
      <c r="L22" s="12">
        <f>IF($A22="","",IF(L$5&gt;2*$G22,"",EXP(FORECAST(LN(L$5),INDEX(Attenuation!$K:$K,($H22-1+MIN(MAX(IFERROR(MATCH(LN(L$5),INDEX(Attenuation!$J:$J,$H22):INDEX(Attenuation!$J:$J,$H22+$I22-1),1),1),1),$I22-1))):INDEX(Attenuation!$K:$K,($H22-1+MIN(MAX(IFERROR(MATCH(LN(L$5),INDEX(Attenuation!$J:$J,$H22):INDEX(Attenuation!$J:$J,$H22+$I22-1),1),1),1),$I22-1))+1),INDEX(Attenuation!$J:$J,($H22-1+MIN(MAX(IFERROR(MATCH(LN(L$5),INDEX(Attenuation!$J:$J,$H22):INDEX(Attenuation!$J:$J,$H22+$I22-1),1),1),1),$I22-1))):INDEX(Attenuation!$J:$J,($H22-1+MIN(MAX(IFERROR(MATCH(LN(L$5),INDEX(Attenuation!$J:$J,$H22):INDEX(Attenuation!$J:$J,$H22+$I22-1),1),1),1),$I22-1))+1)))))</f>
        <v>3.0000000000000009</v>
      </c>
      <c r="M22" s="12">
        <f>IF($A22="","",IF(M$5&gt;2*$G22,"",EXP(FORECAST(LN(M$5),INDEX(Attenuation!$K:$K,($H22-1+MIN(MAX(IFERROR(MATCH(LN(M$5),INDEX(Attenuation!$J:$J,$H22):INDEX(Attenuation!$J:$J,$H22+$I22-1),1),1),1),$I22-1))):INDEX(Attenuation!$K:$K,($H22-1+MIN(MAX(IFERROR(MATCH(LN(M$5),INDEX(Attenuation!$J:$J,$H22):INDEX(Attenuation!$J:$J,$H22+$I22-1),1),1),1),$I22-1))+1),INDEX(Attenuation!$J:$J,($H22-1+MIN(MAX(IFERROR(MATCH(LN(M$5),INDEX(Attenuation!$J:$J,$H22):INDEX(Attenuation!$J:$J,$H22+$I22-1),1),1),1),$I22-1))):INDEX(Attenuation!$J:$J,($H22-1+MIN(MAX(IFERROR(MATCH(LN(M$5),INDEX(Attenuation!$J:$J,$H22):INDEX(Attenuation!$J:$J,$H22+$I22-1),1),1),1),$I22-1))+1)))))</f>
        <v>3.9999999999999991</v>
      </c>
      <c r="N22" s="12">
        <f>IF($A22="","",IF(N$5&gt;2*$G22,"",EXP(FORECAST(LN(N$5),INDEX(Attenuation!$K:$K,($H22-1+MIN(MAX(IFERROR(MATCH(LN(N$5),INDEX(Attenuation!$J:$J,$H22):INDEX(Attenuation!$J:$J,$H22+$I22-1),1),1),1),$I22-1))):INDEX(Attenuation!$K:$K,($H22-1+MIN(MAX(IFERROR(MATCH(LN(N$5),INDEX(Attenuation!$J:$J,$H22):INDEX(Attenuation!$J:$J,$H22+$I22-1),1),1),1),$I22-1))+1),INDEX(Attenuation!$J:$J,($H22-1+MIN(MAX(IFERROR(MATCH(LN(N$5),INDEX(Attenuation!$J:$J,$H22):INDEX(Attenuation!$J:$J,$H22+$I22-1),1),1),1),$I22-1))):INDEX(Attenuation!$J:$J,($H22-1+MIN(MAX(IFERROR(MATCH(LN(N$5),INDEX(Attenuation!$J:$J,$H22):INDEX(Attenuation!$J:$J,$H22+$I22-1),1),1),1),$I22-1))+1)))))</f>
        <v>4.8</v>
      </c>
      <c r="O22" s="12">
        <f>IF($A22="","",IF(O$5&gt;2*$G22,"",EXP(FORECAST(LN(O$5),INDEX(Attenuation!$K:$K,($H22-1+MIN(MAX(IFERROR(MATCH(LN(O$5),INDEX(Attenuation!$J:$J,$H22):INDEX(Attenuation!$J:$J,$H22+$I22-1),1),1),1),$I22-1))):INDEX(Attenuation!$K:$K,($H22-1+MIN(MAX(IFERROR(MATCH(LN(O$5),INDEX(Attenuation!$J:$J,$H22):INDEX(Attenuation!$J:$J,$H22+$I22-1),1),1),1),$I22-1))+1),INDEX(Attenuation!$J:$J,($H22-1+MIN(MAX(IFERROR(MATCH(LN(O$5),INDEX(Attenuation!$J:$J,$H22):INDEX(Attenuation!$J:$J,$H22+$I22-1),1),1),1),$I22-1))):INDEX(Attenuation!$J:$J,($H22-1+MIN(MAX(IFERROR(MATCH(LN(O$5),INDEX(Attenuation!$J:$J,$H22):INDEX(Attenuation!$J:$J,$H22+$I22-1),1),1),1),$I22-1))+1)))))</f>
        <v>5.5</v>
      </c>
      <c r="P22" s="12">
        <f>IF($A22="","",IF(P$5&gt;2*$G22,"",EXP(FORECAST(LN(P$5),INDEX(Attenuation!$K:$K,($H22-1+MIN(MAX(IFERROR(MATCH(LN(P$5),INDEX(Attenuation!$J:$J,$H22):INDEX(Attenuation!$J:$J,$H22+$I22-1),1),1),1),$I22-1))):INDEX(Attenuation!$K:$K,($H22-1+MIN(MAX(IFERROR(MATCH(LN(P$5),INDEX(Attenuation!$J:$J,$H22):INDEX(Attenuation!$J:$J,$H22+$I22-1),1),1),1),$I22-1))+1),INDEX(Attenuation!$J:$J,($H22-1+MIN(MAX(IFERROR(MATCH(LN(P$5),INDEX(Attenuation!$J:$J,$H22):INDEX(Attenuation!$J:$J,$H22+$I22-1),1),1),1),$I22-1))):INDEX(Attenuation!$J:$J,($H22-1+MIN(MAX(IFERROR(MATCH(LN(P$5),INDEX(Attenuation!$J:$J,$H22):INDEX(Attenuation!$J:$J,$H22+$I22-1),1),1),1),$I22-1))+1)))))</f>
        <v>7.1000000000000005</v>
      </c>
      <c r="Q22" s="12">
        <f>IF($A22="","",IF(Q$5&gt;2*$G22,"",EXP(FORECAST(LN(Q$5),INDEX(Attenuation!$K:$K,($H22-1+MIN(MAX(IFERROR(MATCH(LN(Q$5),INDEX(Attenuation!$J:$J,$H22):INDEX(Attenuation!$J:$J,$H22+$I22-1),1),1),1),$I22-1))):INDEX(Attenuation!$K:$K,($H22-1+MIN(MAX(IFERROR(MATCH(LN(Q$5),INDEX(Attenuation!$J:$J,$H22):INDEX(Attenuation!$J:$J,$H22+$I22-1),1),1),1),$I22-1))+1),INDEX(Attenuation!$J:$J,($H22-1+MIN(MAX(IFERROR(MATCH(LN(Q$5),INDEX(Attenuation!$J:$J,$H22):INDEX(Attenuation!$J:$J,$H22+$I22-1),1),1),1),$I22-1))):INDEX(Attenuation!$J:$J,($H22-1+MIN(MAX(IFERROR(MATCH(LN(Q$5),INDEX(Attenuation!$J:$J,$H22):INDEX(Attenuation!$J:$J,$H22+$I22-1),1),1),1),$I22-1))+1)))))</f>
        <v>11.1</v>
      </c>
      <c r="R22" s="12">
        <f>IF($A22="","",IF(R$5&gt;2*$G22,"",EXP(FORECAST(LN(R$5),INDEX(Attenuation!$K:$K,($H22-1+MIN(MAX(IFERROR(MATCH(LN(R$5),INDEX(Attenuation!$J:$J,$H22):INDEX(Attenuation!$J:$J,$H22+$I22-1),1),1),1),$I22-1))):INDEX(Attenuation!$K:$K,($H22-1+MIN(MAX(IFERROR(MATCH(LN(R$5),INDEX(Attenuation!$J:$J,$H22):INDEX(Attenuation!$J:$J,$H22+$I22-1),1),1),1),$I22-1))+1),INDEX(Attenuation!$J:$J,($H22-1+MIN(MAX(IFERROR(MATCH(LN(R$5),INDEX(Attenuation!$J:$J,$H22):INDEX(Attenuation!$J:$J,$H22+$I22-1),1),1),1),$I22-1))):INDEX(Attenuation!$J:$J,($H22-1+MIN(MAX(IFERROR(MATCH(LN(R$5),INDEX(Attenuation!$J:$J,$H22):INDEX(Attenuation!$J:$J,$H22+$I22-1),1),1),1),$I22-1))+1)))))</f>
        <v>19.047308292641915</v>
      </c>
      <c r="S22" s="12">
        <f>IF($A22="","",IF(S$5&gt;2*$G22,"",EXP(FORECAST(LN(S$5),INDEX(Attenuation!$K:$K,($H22-1+MIN(MAX(IFERROR(MATCH(LN(S$5),INDEX(Attenuation!$J:$J,$H22):INDEX(Attenuation!$J:$J,$H22+$I22-1),1),1),1),$I22-1))):INDEX(Attenuation!$K:$K,($H22-1+MIN(MAX(IFERROR(MATCH(LN(S$5),INDEX(Attenuation!$J:$J,$H22):INDEX(Attenuation!$J:$J,$H22+$I22-1),1),1),1),$I22-1))+1),INDEX(Attenuation!$J:$J,($H22-1+MIN(MAX(IFERROR(MATCH(LN(S$5),INDEX(Attenuation!$J:$J,$H22):INDEX(Attenuation!$J:$J,$H22+$I22-1),1),1),1),$I22-1))):INDEX(Attenuation!$J:$J,($H22-1+MIN(MAX(IFERROR(MATCH(LN(S$5),INDEX(Attenuation!$J:$J,$H22):INDEX(Attenuation!$J:$J,$H22+$I22-1),1),1),1),$I22-1))+1)))))</f>
        <v>34.20000000000001</v>
      </c>
      <c r="T22" s="12">
        <f>IF($A22="","",IF(T$5&gt;2*$G22,"",EXP(FORECAST(LN(T$5),INDEX(Attenuation!$K:$K,($H22-1+MIN(MAX(IFERROR(MATCH(LN(T$5),INDEX(Attenuation!$J:$J,$H22):INDEX(Attenuation!$J:$J,$H22+$I22-1),1),1),1),$I22-1))):INDEX(Attenuation!$K:$K,($H22-1+MIN(MAX(IFERROR(MATCH(LN(T$5),INDEX(Attenuation!$J:$J,$H22):INDEX(Attenuation!$J:$J,$H22+$I22-1),1),1),1),$I22-1))+1),INDEX(Attenuation!$J:$J,($H22-1+MIN(MAX(IFERROR(MATCH(LN(T$5),INDEX(Attenuation!$J:$J,$H22):INDEX(Attenuation!$J:$J,$H22+$I22-1),1),1),1),$I22-1))):INDEX(Attenuation!$J:$J,($H22-1+MIN(MAX(IFERROR(MATCH(LN(T$5),INDEX(Attenuation!$J:$J,$H22):INDEX(Attenuation!$J:$J,$H22+$I22-1),1),1),1),$I22-1))+1)))))</f>
        <v>47.499999999999993</v>
      </c>
      <c r="U22" s="12">
        <f>IF($A22="","",IF(U$5&gt;2*$G22,"",EXP(FORECAST(LN(U$5),INDEX(Attenuation!$K:$K,($H22-1+MIN(MAX(IFERROR(MATCH(LN(U$5),INDEX(Attenuation!$J:$J,$H22):INDEX(Attenuation!$J:$J,$H22+$I22-1),1),1),1),$I22-1))):INDEX(Attenuation!$K:$K,($H22-1+MIN(MAX(IFERROR(MATCH(LN(U$5),INDEX(Attenuation!$J:$J,$H22):INDEX(Attenuation!$J:$J,$H22+$I22-1),1),1),1),$I22-1))+1),INDEX(Attenuation!$J:$J,($H22-1+MIN(MAX(IFERROR(MATCH(LN(U$5),INDEX(Attenuation!$J:$J,$H22):INDEX(Attenuation!$J:$J,$H22+$I22-1),1),1),1),$I22-1))):INDEX(Attenuation!$J:$J,($H22-1+MIN(MAX(IFERROR(MATCH(LN(U$5),INDEX(Attenuation!$J:$J,$H22):INDEX(Attenuation!$J:$J,$H22+$I22-1),1),1),1),$I22-1))+1)))))</f>
        <v>73.973077867872789</v>
      </c>
      <c r="V22" s="1"/>
      <c r="W22" s="12">
        <f t="shared" si="0"/>
        <v>0.51816000000000006</v>
      </c>
      <c r="X22" s="12">
        <f t="shared" si="1"/>
        <v>0.70104</v>
      </c>
      <c r="Y22" s="12">
        <f t="shared" si="2"/>
        <v>0.91440000000000032</v>
      </c>
      <c r="Z22" s="12">
        <f t="shared" si="3"/>
        <v>1.2191999999999998</v>
      </c>
      <c r="AA22" s="12">
        <f t="shared" si="4"/>
        <v>1.4630400000000001</v>
      </c>
      <c r="AB22" s="12">
        <f t="shared" si="5"/>
        <v>1.6764000000000001</v>
      </c>
      <c r="AC22" s="12">
        <f t="shared" si="6"/>
        <v>2.1640800000000002</v>
      </c>
      <c r="AD22" s="12">
        <f t="shared" si="7"/>
        <v>3.3832800000000001</v>
      </c>
      <c r="AE22" s="12">
        <f t="shared" si="8"/>
        <v>5.8056195675972564</v>
      </c>
      <c r="AF22" s="12">
        <f t="shared" si="9"/>
        <v>10.424160000000004</v>
      </c>
      <c r="AG22" s="12">
        <f t="shared" si="10"/>
        <v>14.477999999999998</v>
      </c>
      <c r="AH22" s="12">
        <f t="shared" si="11"/>
        <v>22.546994134127626</v>
      </c>
    </row>
    <row r="23" spans="1:34" x14ac:dyDescent="0.25">
      <c r="A23" s="11" t="str">
        <f>IF(ROWS($A$6:A23)&gt;COUNTA(Cables!$A:$A)-1,"",INDEX(Cables!$A:$A,ROWS($A$6:A23)+1))</f>
        <v>BEL-H155A01</v>
      </c>
      <c r="B23" s="11" t="str">
        <f>IF($A23="","",IF(INDEX(Cables!$B:$B,MATCH($A23,Cables!$A:$A,0))="","",INDEX(Cables!$B:$B,MATCH($A23,Cables!$A:$A,0))))</f>
        <v>Belden H155A01 (H155 PE)</v>
      </c>
      <c r="C23" s="11">
        <f>IF($A23="","",IF(INDEX(Cables!$F:$F,MATCH($A23,Cables!$A:$A,0))="","",INDEX(Cables!$F:$F,MATCH($A23,Cables!$A:$A,0))))</f>
        <v>50</v>
      </c>
      <c r="D23" s="11">
        <f>IF($A23="","",IF(INDEX(Cables!$H:$H,MATCH($A23,Cables!$A:$A,0))="","",INDEX(Cables!$H:$H,MATCH($A23,Cables!$A:$A,0))))</f>
        <v>5.4</v>
      </c>
      <c r="E23" s="12">
        <f>IF($A23="","",IF(INDEX(Cables!$Q:$Q,MATCH($A23,Cables!$A:$A,0))="","",INDEX(Cables!$Q:$Q,MATCH($A23,Cables!$A:$A,0))))</f>
        <v>0.8</v>
      </c>
      <c r="F23" s="11">
        <f>IF($A23="","",IF(INDEX(Cables!$AQ:$AQ,MATCH($A23,Cables!$A:$A,0))="","",INDEX(Cables!$AQ:$AQ,MATCH($A23,Cables!$A:$A,0))))</f>
        <v>5</v>
      </c>
      <c r="G23" s="11">
        <f>IF($A23="","",IF(INDEX(Cables!$AR:$AR,MATCH($A23,Cables!$A:$A,0))="","",INDEX(Cables!$AR:$AR,MATCH($A23,Cables!$A:$A,0))))</f>
        <v>6000</v>
      </c>
      <c r="H23" s="11">
        <f>IF($A23="","",IF(INDEX(Cables!$AO:$AO,MATCH($A23,Cables!$A:$A,0))="","",INDEX(Cables!$AO:$AO,MATCH($A23,Cables!$A:$A,0))))</f>
        <v>191</v>
      </c>
      <c r="I23" s="11">
        <f>IF($A23="","",IF(INDEX(Cables!$AP:$AP,MATCH($A23,Cables!$A:$A,0))="","",INDEX(Cables!$AP:$AP,MATCH($A23,Cables!$A:$A,0))))</f>
        <v>18</v>
      </c>
      <c r="J23" s="12">
        <f>IF($A23="","",IF(J$5&gt;2*$G23,"",EXP(FORECAST(LN(J$5),INDEX(Attenuation!$K:$K,($H23-1+MIN(MAX(IFERROR(MATCH(LN(J$5),INDEX(Attenuation!$J:$J,$H23):INDEX(Attenuation!$J:$J,$H23+$I23-1),1),1),1),$I23-1))):INDEX(Attenuation!$K:$K,($H23-1+MIN(MAX(IFERROR(MATCH(LN(J$5),INDEX(Attenuation!$J:$J,$H23):INDEX(Attenuation!$J:$J,$H23+$I23-1),1),1),1),$I23-1))+1),INDEX(Attenuation!$J:$J,($H23-1+MIN(MAX(IFERROR(MATCH(LN(J$5),INDEX(Attenuation!$J:$J,$H23):INDEX(Attenuation!$J:$J,$H23+$I23-1),1),1),1),$I23-1))):INDEX(Attenuation!$J:$J,($H23-1+MIN(MAX(IFERROR(MATCH(LN(J$5),INDEX(Attenuation!$J:$J,$H23):INDEX(Attenuation!$J:$J,$H23+$I23-1),1),1),1),$I23-1))+1)))))</f>
        <v>1.5933447421169169</v>
      </c>
      <c r="K23" s="12">
        <f>IF($A23="","",IF(K$5&gt;2*$G23,"",EXP(FORECAST(LN(K$5),INDEX(Attenuation!$K:$K,($H23-1+MIN(MAX(IFERROR(MATCH(LN(K$5),INDEX(Attenuation!$J:$J,$H23):INDEX(Attenuation!$J:$J,$H23+$I23-1),1),1),1),$I23-1))):INDEX(Attenuation!$K:$K,($H23-1+MIN(MAX(IFERROR(MATCH(LN(K$5),INDEX(Attenuation!$J:$J,$H23):INDEX(Attenuation!$J:$J,$H23+$I23-1),1),1),1),$I23-1))+1),INDEX(Attenuation!$J:$J,($H23-1+MIN(MAX(IFERROR(MATCH(LN(K$5),INDEX(Attenuation!$J:$J,$H23):INDEX(Attenuation!$J:$J,$H23+$I23-1),1),1),1),$I23-1))):INDEX(Attenuation!$J:$J,($H23-1+MIN(MAX(IFERROR(MATCH(LN(K$5),INDEX(Attenuation!$J:$J,$H23):INDEX(Attenuation!$J:$J,$H23+$I23-1),1),1),1),$I23-1))+1)))))</f>
        <v>2.1362020509089432</v>
      </c>
      <c r="L23" s="12">
        <f>IF($A23="","",IF(L$5&gt;2*$G23,"",EXP(FORECAST(LN(L$5),INDEX(Attenuation!$K:$K,($H23-1+MIN(MAX(IFERROR(MATCH(LN(L$5),INDEX(Attenuation!$J:$J,$H23):INDEX(Attenuation!$J:$J,$H23+$I23-1),1),1),1),$I23-1))):INDEX(Attenuation!$K:$K,($H23-1+MIN(MAX(IFERROR(MATCH(LN(L$5),INDEX(Attenuation!$J:$J,$H23):INDEX(Attenuation!$J:$J,$H23+$I23-1),1),1),1),$I23-1))+1),INDEX(Attenuation!$J:$J,($H23-1+MIN(MAX(IFERROR(MATCH(LN(L$5),INDEX(Attenuation!$J:$J,$H23):INDEX(Attenuation!$J:$J,$H23+$I23-1),1),1),1),$I23-1))):INDEX(Attenuation!$J:$J,($H23-1+MIN(MAX(IFERROR(MATCH(LN(L$5),INDEX(Attenuation!$J:$J,$H23):INDEX(Attenuation!$J:$J,$H23+$I23-1),1),1),1),$I23-1))+1)))))</f>
        <v>2.8998076200066953</v>
      </c>
      <c r="M23" s="12">
        <f>IF($A23="","",IF(M$5&gt;2*$G23,"",EXP(FORECAST(LN(M$5),INDEX(Attenuation!$K:$K,($H23-1+MIN(MAX(IFERROR(MATCH(LN(M$5),INDEX(Attenuation!$J:$J,$H23):INDEX(Attenuation!$J:$J,$H23+$I23-1),1),1),1),$I23-1))):INDEX(Attenuation!$K:$K,($H23-1+MIN(MAX(IFERROR(MATCH(LN(M$5),INDEX(Attenuation!$J:$J,$H23):INDEX(Attenuation!$J:$J,$H23+$I23-1),1),1),1),$I23-1))+1),INDEX(Attenuation!$J:$J,($H23-1+MIN(MAX(IFERROR(MATCH(LN(M$5),INDEX(Attenuation!$J:$J,$H23):INDEX(Attenuation!$J:$J,$H23+$I23-1),1),1),1),$I23-1))):INDEX(Attenuation!$J:$J,($H23-1+MIN(MAX(IFERROR(MATCH(LN(M$5),INDEX(Attenuation!$J:$J,$H23):INDEX(Attenuation!$J:$J,$H23+$I23-1),1),1),1),$I23-1))+1)))))</f>
        <v>3.9363712011562555</v>
      </c>
      <c r="N23" s="12">
        <f>IF($A23="","",IF(N$5&gt;2*$G23,"",EXP(FORECAST(LN(N$5),INDEX(Attenuation!$K:$K,($H23-1+MIN(MAX(IFERROR(MATCH(LN(N$5),INDEX(Attenuation!$J:$J,$H23):INDEX(Attenuation!$J:$J,$H23+$I23-1),1),1),1),$I23-1))):INDEX(Attenuation!$K:$K,($H23-1+MIN(MAX(IFERROR(MATCH(LN(N$5),INDEX(Attenuation!$J:$J,$H23):INDEX(Attenuation!$J:$J,$H23+$I23-1),1),1),1),$I23-1))+1),INDEX(Attenuation!$J:$J,($H23-1+MIN(MAX(IFERROR(MATCH(LN(N$5),INDEX(Attenuation!$J:$J,$H23):INDEX(Attenuation!$J:$J,$H23+$I23-1),1),1),1),$I23-1))):INDEX(Attenuation!$J:$J,($H23-1+MIN(MAX(IFERROR(MATCH(LN(N$5),INDEX(Attenuation!$J:$J,$H23):INDEX(Attenuation!$J:$J,$H23+$I23-1),1),1),1),$I23-1))+1)))))</f>
        <v>4.7069141930498111</v>
      </c>
      <c r="O23" s="12">
        <f>IF($A23="","",IF(O$5&gt;2*$G23,"",EXP(FORECAST(LN(O$5),INDEX(Attenuation!$K:$K,($H23-1+MIN(MAX(IFERROR(MATCH(LN(O$5),INDEX(Attenuation!$J:$J,$H23):INDEX(Attenuation!$J:$J,$H23+$I23-1),1),1),1),$I23-1))):INDEX(Attenuation!$K:$K,($H23-1+MIN(MAX(IFERROR(MATCH(LN(O$5),INDEX(Attenuation!$J:$J,$H23):INDEX(Attenuation!$J:$J,$H23+$I23-1),1),1),1),$I23-1))+1),INDEX(Attenuation!$J:$J,($H23-1+MIN(MAX(IFERROR(MATCH(LN(O$5),INDEX(Attenuation!$J:$J,$H23):INDEX(Attenuation!$J:$J,$H23+$I23-1),1),1),1),$I23-1))):INDEX(Attenuation!$J:$J,($H23-1+MIN(MAX(IFERROR(MATCH(LN(O$5),INDEX(Attenuation!$J:$J,$H23):INDEX(Attenuation!$J:$J,$H23+$I23-1),1),1),1),$I23-1))+1)))))</f>
        <v>5.3434642099659602</v>
      </c>
      <c r="P23" s="12">
        <f>IF($A23="","",IF(P$5&gt;2*$G23,"",EXP(FORECAST(LN(P$5),INDEX(Attenuation!$K:$K,($H23-1+MIN(MAX(IFERROR(MATCH(LN(P$5),INDEX(Attenuation!$J:$J,$H23):INDEX(Attenuation!$J:$J,$H23+$I23-1),1),1),1),$I23-1))):INDEX(Attenuation!$K:$K,($H23-1+MIN(MAX(IFERROR(MATCH(LN(P$5),INDEX(Attenuation!$J:$J,$H23):INDEX(Attenuation!$J:$J,$H23+$I23-1),1),1),1),$I23-1))+1),INDEX(Attenuation!$J:$J,($H23-1+MIN(MAX(IFERROR(MATCH(LN(P$5),INDEX(Attenuation!$J:$J,$H23):INDEX(Attenuation!$J:$J,$H23+$I23-1),1),1),1),$I23-1))):INDEX(Attenuation!$J:$J,($H23-1+MIN(MAX(IFERROR(MATCH(LN(P$5),INDEX(Attenuation!$J:$J,$H23):INDEX(Attenuation!$J:$J,$H23+$I23-1),1),1),1),$I23-1))+1)))))</f>
        <v>6.9</v>
      </c>
      <c r="Q23" s="12">
        <f>IF($A23="","",IF(Q$5&gt;2*$G23,"",EXP(FORECAST(LN(Q$5),INDEX(Attenuation!$K:$K,($H23-1+MIN(MAX(IFERROR(MATCH(LN(Q$5),INDEX(Attenuation!$J:$J,$H23):INDEX(Attenuation!$J:$J,$H23+$I23-1),1),1),1),$I23-1))):INDEX(Attenuation!$K:$K,($H23-1+MIN(MAX(IFERROR(MATCH(LN(Q$5),INDEX(Attenuation!$J:$J,$H23):INDEX(Attenuation!$J:$J,$H23+$I23-1),1),1),1),$I23-1))+1),INDEX(Attenuation!$J:$J,($H23-1+MIN(MAX(IFERROR(MATCH(LN(Q$5),INDEX(Attenuation!$J:$J,$H23):INDEX(Attenuation!$J:$J,$H23+$I23-1),1),1),1),$I23-1))):INDEX(Attenuation!$J:$J,($H23-1+MIN(MAX(IFERROR(MATCH(LN(Q$5),INDEX(Attenuation!$J:$J,$H23):INDEX(Attenuation!$J:$J,$H23+$I23-1),1),1),1),$I23-1))+1)))))</f>
        <v>10.779997084530866</v>
      </c>
      <c r="R23" s="12">
        <f>IF($A23="","",IF(R$5&gt;2*$G23,"",EXP(FORECAST(LN(R$5),INDEX(Attenuation!$K:$K,($H23-1+MIN(MAX(IFERROR(MATCH(LN(R$5),INDEX(Attenuation!$J:$J,$H23):INDEX(Attenuation!$J:$J,$H23+$I23-1),1),1),1),$I23-1))):INDEX(Attenuation!$K:$K,($H23-1+MIN(MAX(IFERROR(MATCH(LN(R$5),INDEX(Attenuation!$J:$J,$H23):INDEX(Attenuation!$J:$J,$H23+$I23-1),1),1),1),$I23-1))+1),INDEX(Attenuation!$J:$J,($H23-1+MIN(MAX(IFERROR(MATCH(LN(R$5),INDEX(Attenuation!$J:$J,$H23):INDEX(Attenuation!$J:$J,$H23+$I23-1),1),1),1),$I23-1))):INDEX(Attenuation!$J:$J,($H23-1+MIN(MAX(IFERROR(MATCH(LN(R$5),INDEX(Attenuation!$J:$J,$H23):INDEX(Attenuation!$J:$J,$H23+$I23-1),1),1),1),$I23-1))+1)))))</f>
        <v>18.758124161787826</v>
      </c>
      <c r="S23" s="12">
        <f>IF($A23="","",IF(S$5&gt;2*$G23,"",EXP(FORECAST(LN(S$5),INDEX(Attenuation!$K:$K,($H23-1+MIN(MAX(IFERROR(MATCH(LN(S$5),INDEX(Attenuation!$J:$J,$H23):INDEX(Attenuation!$J:$J,$H23+$I23-1),1),1),1),$I23-1))):INDEX(Attenuation!$K:$K,($H23-1+MIN(MAX(IFERROR(MATCH(LN(S$5),INDEX(Attenuation!$J:$J,$H23):INDEX(Attenuation!$J:$J,$H23+$I23-1),1),1),1),$I23-1))+1),INDEX(Attenuation!$J:$J,($H23-1+MIN(MAX(IFERROR(MATCH(LN(S$5),INDEX(Attenuation!$J:$J,$H23):INDEX(Attenuation!$J:$J,$H23+$I23-1),1),1),1),$I23-1))):INDEX(Attenuation!$J:$J,($H23-1+MIN(MAX(IFERROR(MATCH(LN(S$5),INDEX(Attenuation!$J:$J,$H23):INDEX(Attenuation!$J:$J,$H23+$I23-1),1),1),1),$I23-1))+1)))))</f>
        <v>34.126754600230505</v>
      </c>
      <c r="T23" s="12">
        <f>IF($A23="","",IF(T$5&gt;2*$G23,"",EXP(FORECAST(LN(T$5),INDEX(Attenuation!$K:$K,($H23-1+MIN(MAX(IFERROR(MATCH(LN(T$5),INDEX(Attenuation!$J:$J,$H23):INDEX(Attenuation!$J:$J,$H23+$I23-1),1),1),1),$I23-1))):INDEX(Attenuation!$K:$K,($H23-1+MIN(MAX(IFERROR(MATCH(LN(T$5),INDEX(Attenuation!$J:$J,$H23):INDEX(Attenuation!$J:$J,$H23+$I23-1),1),1),1),$I23-1))+1),INDEX(Attenuation!$J:$J,($H23-1+MIN(MAX(IFERROR(MATCH(LN(T$5),INDEX(Attenuation!$J:$J,$H23):INDEX(Attenuation!$J:$J,$H23+$I23-1),1),1),1),$I23-1))):INDEX(Attenuation!$J:$J,($H23-1+MIN(MAX(IFERROR(MATCH(LN(T$5),INDEX(Attenuation!$J:$J,$H23):INDEX(Attenuation!$J:$J,$H23+$I23-1),1),1),1),$I23-1))+1)))))</f>
        <v>49.100000000000023</v>
      </c>
      <c r="U23" s="12">
        <f>IF($A23="","",IF(U$5&gt;2*$G23,"",EXP(FORECAST(LN(U$5),INDEX(Attenuation!$K:$K,($H23-1+MIN(MAX(IFERROR(MATCH(LN(U$5),INDEX(Attenuation!$J:$J,$H23):INDEX(Attenuation!$J:$J,$H23+$I23-1),1),1),1),$I23-1))):INDEX(Attenuation!$K:$K,($H23-1+MIN(MAX(IFERROR(MATCH(LN(U$5),INDEX(Attenuation!$J:$J,$H23):INDEX(Attenuation!$J:$J,$H23+$I23-1),1),1),1),$I23-1))+1),INDEX(Attenuation!$J:$J,($H23-1+MIN(MAX(IFERROR(MATCH(LN(U$5),INDEX(Attenuation!$J:$J,$H23):INDEX(Attenuation!$J:$J,$H23+$I23-1),1),1),1),$I23-1))):INDEX(Attenuation!$J:$J,($H23-1+MIN(MAX(IFERROR(MATCH(LN(U$5),INDEX(Attenuation!$J:$J,$H23):INDEX(Attenuation!$J:$J,$H23+$I23-1),1),1),1),$I23-1))+1)))))</f>
        <v>84.245309615752774</v>
      </c>
      <c r="V23" s="1"/>
      <c r="W23" s="12">
        <f t="shared" si="0"/>
        <v>0.4856514773972363</v>
      </c>
      <c r="X23" s="12">
        <f t="shared" si="1"/>
        <v>0.65111438511704589</v>
      </c>
      <c r="Y23" s="12">
        <f t="shared" si="2"/>
        <v>0.88386136257804082</v>
      </c>
      <c r="Z23" s="12">
        <f t="shared" si="3"/>
        <v>1.1998059421124267</v>
      </c>
      <c r="AA23" s="12">
        <f t="shared" si="4"/>
        <v>1.4346674460415825</v>
      </c>
      <c r="AB23" s="12">
        <f t="shared" si="5"/>
        <v>1.6286878911976248</v>
      </c>
      <c r="AC23" s="12">
        <f t="shared" si="6"/>
        <v>2.1031200000000001</v>
      </c>
      <c r="AD23" s="12">
        <f t="shared" si="7"/>
        <v>3.285743111365008</v>
      </c>
      <c r="AE23" s="12">
        <f t="shared" si="8"/>
        <v>5.7174762445129295</v>
      </c>
      <c r="AF23" s="12">
        <f t="shared" si="9"/>
        <v>10.401834802150258</v>
      </c>
      <c r="AG23" s="12">
        <f t="shared" si="10"/>
        <v>14.965680000000008</v>
      </c>
      <c r="AH23" s="12">
        <f t="shared" si="11"/>
        <v>25.677970370881447</v>
      </c>
    </row>
    <row r="24" spans="1:34" x14ac:dyDescent="0.25">
      <c r="A24" s="11" t="str">
        <f>IF(ROWS($A$6:A24)&gt;COUNTA(Cables!$A:$A)-1,"",INDEX(Cables!$A:$A,ROWS($A$6:A24)+1))</f>
        <v>MP-HYPERFLEX5</v>
      </c>
      <c r="B24" s="11" t="str">
        <f>IF($A24="","",IF(INDEX(Cables!$B:$B,MATCH($A24,Cables!$A:$A,0))="","",INDEX(Cables!$B:$B,MATCH($A24,Cables!$A:$A,0))))</f>
        <v>Messi &amp; Paoloni Hyperflex 5</v>
      </c>
      <c r="C24" s="11">
        <f>IF($A24="","",IF(INDEX(Cables!$F:$F,MATCH($A24,Cables!$A:$A,0))="","",INDEX(Cables!$F:$F,MATCH($A24,Cables!$A:$A,0))))</f>
        <v>50</v>
      </c>
      <c r="D24" s="11">
        <f>IF($A24="","",IF(INDEX(Cables!$H:$H,MATCH($A24,Cables!$A:$A,0))="","",INDEX(Cables!$H:$H,MATCH($A24,Cables!$A:$A,0))))</f>
        <v>5.4</v>
      </c>
      <c r="E24" s="12">
        <f>IF($A24="","",IF(INDEX(Cables!$Q:$Q,MATCH($A24,Cables!$A:$A,0))="","",INDEX(Cables!$Q:$Q,MATCH($A24,Cables!$A:$A,0))))</f>
        <v>0.87</v>
      </c>
      <c r="F24" s="11">
        <f>IF($A24="","",IF(INDEX(Cables!$AQ:$AQ,MATCH($A24,Cables!$A:$A,0))="","",INDEX(Cables!$AQ:$AQ,MATCH($A24,Cables!$A:$A,0))))</f>
        <v>1.8</v>
      </c>
      <c r="G24" s="11">
        <f>IF($A24="","",IF(INDEX(Cables!$AR:$AR,MATCH($A24,Cables!$A:$A,0))="","",INDEX(Cables!$AR:$AR,MATCH($A24,Cables!$A:$A,0))))</f>
        <v>6000</v>
      </c>
      <c r="H24" s="11">
        <f>IF($A24="","",IF(INDEX(Cables!$AO:$AO,MATCH($A24,Cables!$A:$A,0))="","",INDEX(Cables!$AO:$AO,MATCH($A24,Cables!$A:$A,0))))</f>
        <v>209</v>
      </c>
      <c r="I24" s="11">
        <f>IF($A24="","",IF(INDEX(Cables!$AP:$AP,MATCH($A24,Cables!$A:$A,0))="","",INDEX(Cables!$AP:$AP,MATCH($A24,Cables!$A:$A,0))))</f>
        <v>21</v>
      </c>
      <c r="J24" s="12">
        <f>IF($A24="","",IF(J$5&gt;2*$G24,"",EXP(FORECAST(LN(J$5),INDEX(Attenuation!$K:$K,($H24-1+MIN(MAX(IFERROR(MATCH(LN(J$5),INDEX(Attenuation!$J:$J,$H24):INDEX(Attenuation!$J:$J,$H24+$I24-1),1),1),1),$I24-1))):INDEX(Attenuation!$K:$K,($H24-1+MIN(MAX(IFERROR(MATCH(LN(J$5),INDEX(Attenuation!$J:$J,$H24):INDEX(Attenuation!$J:$J,$H24+$I24-1),1),1),1),$I24-1))+1),INDEX(Attenuation!$J:$J,($H24-1+MIN(MAX(IFERROR(MATCH(LN(J$5),INDEX(Attenuation!$J:$J,$H24):INDEX(Attenuation!$J:$J,$H24+$I24-1),1),1),1),$I24-1))):INDEX(Attenuation!$J:$J,($H24-1+MIN(MAX(IFERROR(MATCH(LN(J$5),INDEX(Attenuation!$J:$J,$H24):INDEX(Attenuation!$J:$J,$H24+$I24-1),1),1),1),$I24-1))+1)))))</f>
        <v>1.4</v>
      </c>
      <c r="K24" s="12">
        <f>IF($A24="","",IF(K$5&gt;2*$G24,"",EXP(FORECAST(LN(K$5),INDEX(Attenuation!$K:$K,($H24-1+MIN(MAX(IFERROR(MATCH(LN(K$5),INDEX(Attenuation!$J:$J,$H24):INDEX(Attenuation!$J:$J,$H24+$I24-1),1),1),1),$I24-1))):INDEX(Attenuation!$K:$K,($H24-1+MIN(MAX(IFERROR(MATCH(LN(K$5),INDEX(Attenuation!$J:$J,$H24):INDEX(Attenuation!$J:$J,$H24+$I24-1),1),1),1),$I24-1))+1),INDEX(Attenuation!$J:$J,($H24-1+MIN(MAX(IFERROR(MATCH(LN(K$5),INDEX(Attenuation!$J:$J,$H24):INDEX(Attenuation!$J:$J,$H24+$I24-1),1),1),1),$I24-1))):INDEX(Attenuation!$J:$J,($H24-1+MIN(MAX(IFERROR(MATCH(LN(K$5),INDEX(Attenuation!$J:$J,$H24):INDEX(Attenuation!$J:$J,$H24+$I24-1),1),1),1),$I24-1))+1)))))</f>
        <v>1.8999999999999997</v>
      </c>
      <c r="L24" s="12">
        <f>IF($A24="","",IF(L$5&gt;2*$G24,"",EXP(FORECAST(LN(L$5),INDEX(Attenuation!$K:$K,($H24-1+MIN(MAX(IFERROR(MATCH(LN(L$5),INDEX(Attenuation!$J:$J,$H24):INDEX(Attenuation!$J:$J,$H24+$I24-1),1),1),1),$I24-1))):INDEX(Attenuation!$K:$K,($H24-1+MIN(MAX(IFERROR(MATCH(LN(L$5),INDEX(Attenuation!$J:$J,$H24):INDEX(Attenuation!$J:$J,$H24+$I24-1),1),1),1),$I24-1))+1),INDEX(Attenuation!$J:$J,($H24-1+MIN(MAX(IFERROR(MATCH(LN(L$5),INDEX(Attenuation!$J:$J,$H24):INDEX(Attenuation!$J:$J,$H24+$I24-1),1),1),1),$I24-1))):INDEX(Attenuation!$J:$J,($H24-1+MIN(MAX(IFERROR(MATCH(LN(L$5),INDEX(Attenuation!$J:$J,$H24):INDEX(Attenuation!$J:$J,$H24+$I24-1),1),1),1),$I24-1))+1)))))</f>
        <v>2.2999999999999994</v>
      </c>
      <c r="M24" s="12">
        <f>IF($A24="","",IF(M$5&gt;2*$G24,"",EXP(FORECAST(LN(M$5),INDEX(Attenuation!$K:$K,($H24-1+MIN(MAX(IFERROR(MATCH(LN(M$5),INDEX(Attenuation!$J:$J,$H24):INDEX(Attenuation!$J:$J,$H24+$I24-1),1),1),1),$I24-1))):INDEX(Attenuation!$K:$K,($H24-1+MIN(MAX(IFERROR(MATCH(LN(M$5),INDEX(Attenuation!$J:$J,$H24):INDEX(Attenuation!$J:$J,$H24+$I24-1),1),1),1),$I24-1))+1),INDEX(Attenuation!$J:$J,($H24-1+MIN(MAX(IFERROR(MATCH(LN(M$5),INDEX(Attenuation!$J:$J,$H24):INDEX(Attenuation!$J:$J,$H24+$I24-1),1),1),1),$I24-1))):INDEX(Attenuation!$J:$J,($H24-1+MIN(MAX(IFERROR(MATCH(LN(M$5),INDEX(Attenuation!$J:$J,$H24):INDEX(Attenuation!$J:$J,$H24+$I24-1),1),1),1),$I24-1))+1)))))</f>
        <v>3.0000000000000004</v>
      </c>
      <c r="N24" s="12">
        <f>IF($A24="","",IF(N$5&gt;2*$G24,"",EXP(FORECAST(LN(N$5),INDEX(Attenuation!$K:$K,($H24-1+MIN(MAX(IFERROR(MATCH(LN(N$5),INDEX(Attenuation!$J:$J,$H24):INDEX(Attenuation!$J:$J,$H24+$I24-1),1),1),1),$I24-1))):INDEX(Attenuation!$K:$K,($H24-1+MIN(MAX(IFERROR(MATCH(LN(N$5),INDEX(Attenuation!$J:$J,$H24):INDEX(Attenuation!$J:$J,$H24+$I24-1),1),1),1),$I24-1))+1),INDEX(Attenuation!$J:$J,($H24-1+MIN(MAX(IFERROR(MATCH(LN(N$5),INDEX(Attenuation!$J:$J,$H24):INDEX(Attenuation!$J:$J,$H24+$I24-1),1),1),1),$I24-1))):INDEX(Attenuation!$J:$J,($H24-1+MIN(MAX(IFERROR(MATCH(LN(N$5),INDEX(Attenuation!$J:$J,$H24):INDEX(Attenuation!$J:$J,$H24+$I24-1),1),1),1),$I24-1))+1)))))</f>
        <v>3.5999999999999988</v>
      </c>
      <c r="O24" s="12">
        <f>IF($A24="","",IF(O$5&gt;2*$G24,"",EXP(FORECAST(LN(O$5),INDEX(Attenuation!$K:$K,($H24-1+MIN(MAX(IFERROR(MATCH(LN(O$5),INDEX(Attenuation!$J:$J,$H24):INDEX(Attenuation!$J:$J,$H24+$I24-1),1),1),1),$I24-1))):INDEX(Attenuation!$K:$K,($H24-1+MIN(MAX(IFERROR(MATCH(LN(O$5),INDEX(Attenuation!$J:$J,$H24):INDEX(Attenuation!$J:$J,$H24+$I24-1),1),1),1),$I24-1))+1),INDEX(Attenuation!$J:$J,($H24-1+MIN(MAX(IFERROR(MATCH(LN(O$5),INDEX(Attenuation!$J:$J,$H24):INDEX(Attenuation!$J:$J,$H24+$I24-1),1),1),1),$I24-1))):INDEX(Attenuation!$J:$J,($H24-1+MIN(MAX(IFERROR(MATCH(LN(O$5),INDEX(Attenuation!$J:$J,$H24):INDEX(Attenuation!$J:$J,$H24+$I24-1),1),1),1),$I24-1))+1)))))</f>
        <v>4.0999999999999996</v>
      </c>
      <c r="P24" s="12">
        <f>IF($A24="","",IF(P$5&gt;2*$G24,"",EXP(FORECAST(LN(P$5),INDEX(Attenuation!$K:$K,($H24-1+MIN(MAX(IFERROR(MATCH(LN(P$5),INDEX(Attenuation!$J:$J,$H24):INDEX(Attenuation!$J:$J,$H24+$I24-1),1),1),1),$I24-1))):INDEX(Attenuation!$K:$K,($H24-1+MIN(MAX(IFERROR(MATCH(LN(P$5),INDEX(Attenuation!$J:$J,$H24):INDEX(Attenuation!$J:$J,$H24+$I24-1),1),1),1),$I24-1))+1),INDEX(Attenuation!$J:$J,($H24-1+MIN(MAX(IFERROR(MATCH(LN(P$5),INDEX(Attenuation!$J:$J,$H24):INDEX(Attenuation!$J:$J,$H24+$I24-1),1),1),1),$I24-1))):INDEX(Attenuation!$J:$J,($H24-1+MIN(MAX(IFERROR(MATCH(LN(P$5),INDEX(Attenuation!$J:$J,$H24):INDEX(Attenuation!$J:$J,$H24+$I24-1),1),1),1),$I24-1))+1)))))</f>
        <v>5.5000000000000018</v>
      </c>
      <c r="Q24" s="12">
        <f>IF($A24="","",IF(Q$5&gt;2*$G24,"",EXP(FORECAST(LN(Q$5),INDEX(Attenuation!$K:$K,($H24-1+MIN(MAX(IFERROR(MATCH(LN(Q$5),INDEX(Attenuation!$J:$J,$H24):INDEX(Attenuation!$J:$J,$H24+$I24-1),1),1),1),$I24-1))):INDEX(Attenuation!$K:$K,($H24-1+MIN(MAX(IFERROR(MATCH(LN(Q$5),INDEX(Attenuation!$J:$J,$H24):INDEX(Attenuation!$J:$J,$H24+$I24-1),1),1),1),$I24-1))+1),INDEX(Attenuation!$J:$J,($H24-1+MIN(MAX(IFERROR(MATCH(LN(Q$5),INDEX(Attenuation!$J:$J,$H24):INDEX(Attenuation!$J:$J,$H24+$I24-1),1),1),1),$I24-1))):INDEX(Attenuation!$J:$J,($H24-1+MIN(MAX(IFERROR(MATCH(LN(Q$5),INDEX(Attenuation!$J:$J,$H24):INDEX(Attenuation!$J:$J,$H24+$I24-1),1),1),1),$I24-1))+1)))))</f>
        <v>9.6000000000000014</v>
      </c>
      <c r="R24" s="12">
        <f>IF($A24="","",IF(R$5&gt;2*$G24,"",EXP(FORECAST(LN(R$5),INDEX(Attenuation!$K:$K,($H24-1+MIN(MAX(IFERROR(MATCH(LN(R$5),INDEX(Attenuation!$J:$J,$H24):INDEX(Attenuation!$J:$J,$H24+$I24-1),1),1),1),$I24-1))):INDEX(Attenuation!$K:$K,($H24-1+MIN(MAX(IFERROR(MATCH(LN(R$5),INDEX(Attenuation!$J:$J,$H24):INDEX(Attenuation!$J:$J,$H24+$I24-1),1),1),1),$I24-1))+1),INDEX(Attenuation!$J:$J,($H24-1+MIN(MAX(IFERROR(MATCH(LN(R$5),INDEX(Attenuation!$J:$J,$H24):INDEX(Attenuation!$J:$J,$H24+$I24-1),1),1),1),$I24-1))):INDEX(Attenuation!$J:$J,($H24-1+MIN(MAX(IFERROR(MATCH(LN(R$5),INDEX(Attenuation!$J:$J,$H24):INDEX(Attenuation!$J:$J,$H24+$I24-1),1),1),1),$I24-1))+1)))))</f>
        <v>17.04064925266751</v>
      </c>
      <c r="S24" s="12">
        <f>IF($A24="","",IF(S$5&gt;2*$G24,"",EXP(FORECAST(LN(S$5),INDEX(Attenuation!$K:$K,($H24-1+MIN(MAX(IFERROR(MATCH(LN(S$5),INDEX(Attenuation!$J:$J,$H24):INDEX(Attenuation!$J:$J,$H24+$I24-1),1),1),1),$I24-1))):INDEX(Attenuation!$K:$K,($H24-1+MIN(MAX(IFERROR(MATCH(LN(S$5),INDEX(Attenuation!$J:$J,$H24):INDEX(Attenuation!$J:$J,$H24+$I24-1),1),1),1),$I24-1))+1),INDEX(Attenuation!$J:$J,($H24-1+MIN(MAX(IFERROR(MATCH(LN(S$5),INDEX(Attenuation!$J:$J,$H24):INDEX(Attenuation!$J:$J,$H24+$I24-1),1),1),1),$I24-1))):INDEX(Attenuation!$J:$J,($H24-1+MIN(MAX(IFERROR(MATCH(LN(S$5),INDEX(Attenuation!$J:$J,$H24):INDEX(Attenuation!$J:$J,$H24+$I24-1),1),1),1),$I24-1))+1)))))</f>
        <v>30.5</v>
      </c>
      <c r="T24" s="12">
        <f>IF($A24="","",IF(T$5&gt;2*$G24,"",EXP(FORECAST(LN(T$5),INDEX(Attenuation!$K:$K,($H24-1+MIN(MAX(IFERROR(MATCH(LN(T$5),INDEX(Attenuation!$J:$J,$H24):INDEX(Attenuation!$J:$J,$H24+$I24-1),1),1),1),$I24-1))):INDEX(Attenuation!$K:$K,($H24-1+MIN(MAX(IFERROR(MATCH(LN(T$5),INDEX(Attenuation!$J:$J,$H24):INDEX(Attenuation!$J:$J,$H24+$I24-1),1),1),1),$I24-1))+1),INDEX(Attenuation!$J:$J,($H24-1+MIN(MAX(IFERROR(MATCH(LN(T$5),INDEX(Attenuation!$J:$J,$H24):INDEX(Attenuation!$J:$J,$H24+$I24-1),1),1),1),$I24-1))):INDEX(Attenuation!$J:$J,($H24-1+MIN(MAX(IFERROR(MATCH(LN(T$5),INDEX(Attenuation!$J:$J,$H24):INDEX(Attenuation!$J:$J,$H24+$I24-1),1),1),1),$I24-1))+1)))))</f>
        <v>42.500000000000007</v>
      </c>
      <c r="U24" s="12">
        <f>IF($A24="","",IF(U$5&gt;2*$G24,"",EXP(FORECAST(LN(U$5),INDEX(Attenuation!$K:$K,($H24-1+MIN(MAX(IFERROR(MATCH(LN(U$5),INDEX(Attenuation!$J:$J,$H24):INDEX(Attenuation!$J:$J,$H24+$I24-1),1),1),1),$I24-1))):INDEX(Attenuation!$K:$K,($H24-1+MIN(MAX(IFERROR(MATCH(LN(U$5),INDEX(Attenuation!$J:$J,$H24):INDEX(Attenuation!$J:$J,$H24+$I24-1),1),1),1),$I24-1))+1),INDEX(Attenuation!$J:$J,($H24-1+MIN(MAX(IFERROR(MATCH(LN(U$5),INDEX(Attenuation!$J:$J,$H24):INDEX(Attenuation!$J:$J,$H24+$I24-1),1),1),1),$I24-1))):INDEX(Attenuation!$J:$J,($H24-1+MIN(MAX(IFERROR(MATCH(LN(U$5),INDEX(Attenuation!$J:$J,$H24):INDEX(Attenuation!$J:$J,$H24+$I24-1),1),1),1),$I24-1))+1)))))</f>
        <v>71.100526840411845</v>
      </c>
      <c r="V24" s="1"/>
      <c r="W24" s="12">
        <f t="shared" si="0"/>
        <v>0.42671999999999999</v>
      </c>
      <c r="X24" s="12">
        <f t="shared" si="1"/>
        <v>0.57911999999999997</v>
      </c>
      <c r="Y24" s="12">
        <f t="shared" si="2"/>
        <v>0.70103999999999989</v>
      </c>
      <c r="Z24" s="12">
        <f t="shared" si="3"/>
        <v>0.91440000000000021</v>
      </c>
      <c r="AA24" s="12">
        <f t="shared" si="4"/>
        <v>1.0972799999999996</v>
      </c>
      <c r="AB24" s="12">
        <f t="shared" si="5"/>
        <v>1.2496799999999999</v>
      </c>
      <c r="AC24" s="12">
        <f t="shared" si="6"/>
        <v>1.6764000000000006</v>
      </c>
      <c r="AD24" s="12">
        <f t="shared" si="7"/>
        <v>2.9260800000000007</v>
      </c>
      <c r="AE24" s="12">
        <f t="shared" si="8"/>
        <v>5.1939898922130574</v>
      </c>
      <c r="AF24" s="12">
        <f t="shared" si="9"/>
        <v>9.2964000000000002</v>
      </c>
      <c r="AG24" s="12">
        <f t="shared" si="10"/>
        <v>12.954000000000002</v>
      </c>
      <c r="AH24" s="12">
        <f t="shared" si="11"/>
        <v>21.671440580957533</v>
      </c>
    </row>
    <row r="25" spans="1:34" x14ac:dyDescent="0.25">
      <c r="A25" s="11" t="str">
        <f>IF(ROWS($A$6:A25)&gt;COUNTA(Cables!$A:$A)-1,"",INDEX(Cables!$A:$A,ROWS($A$6:A25)+1))</f>
        <v>TMS-LMR240</v>
      </c>
      <c r="B25" s="11" t="str">
        <f>IF($A25="","",IF(INDEX(Cables!$B:$B,MATCH($A25,Cables!$A:$A,0))="","",INDEX(Cables!$B:$B,MATCH($A25,Cables!$A:$A,0))))</f>
        <v>Times Microwave LMR-240 (Amphenol)</v>
      </c>
      <c r="C25" s="11">
        <f>IF($A25="","",IF(INDEX(Cables!$F:$F,MATCH($A25,Cables!$A:$A,0))="","",INDEX(Cables!$F:$F,MATCH($A25,Cables!$A:$A,0))))</f>
        <v>50</v>
      </c>
      <c r="D25" s="11">
        <f>IF($A25="","",IF(INDEX(Cables!$H:$H,MATCH($A25,Cables!$A:$A,0))="","",INDEX(Cables!$H:$H,MATCH($A25,Cables!$A:$A,0))))</f>
        <v>6.1</v>
      </c>
      <c r="E25" s="12">
        <f>IF($A25="","",IF(INDEX(Cables!$Q:$Q,MATCH($A25,Cables!$A:$A,0))="","",INDEX(Cables!$Q:$Q,MATCH($A25,Cables!$A:$A,0))))</f>
        <v>0.84</v>
      </c>
      <c r="F25" s="11">
        <f>IF($A25="","",IF(INDEX(Cables!$AQ:$AQ,MATCH($A25,Cables!$A:$A,0))="","",INDEX(Cables!$AQ:$AQ,MATCH($A25,Cables!$A:$A,0))))</f>
        <v>30</v>
      </c>
      <c r="G25" s="11">
        <f>IF($A25="","",IF(INDEX(Cables!$AR:$AR,MATCH($A25,Cables!$A:$A,0))="","",INDEX(Cables!$AR:$AR,MATCH($A25,Cables!$A:$A,0))))</f>
        <v>5800</v>
      </c>
      <c r="H25" s="11">
        <f>IF($A25="","",IF(INDEX(Cables!$AO:$AO,MATCH($A25,Cables!$A:$A,0))="","",INDEX(Cables!$AO:$AO,MATCH($A25,Cables!$A:$A,0))))</f>
        <v>230</v>
      </c>
      <c r="I25" s="11">
        <f>IF($A25="","",IF(INDEX(Cables!$AP:$AP,MATCH($A25,Cables!$A:$A,0))="","",INDEX(Cables!$AP:$AP,MATCH($A25,Cables!$A:$A,0))))</f>
        <v>12</v>
      </c>
      <c r="J25" s="12">
        <f>IF($A25="","",IF(J$5&gt;2*$G25,"",EXP(FORECAST(LN(J$5),INDEX(Attenuation!$K:$K,($H25-1+MIN(MAX(IFERROR(MATCH(LN(J$5),INDEX(Attenuation!$J:$J,$H25):INDEX(Attenuation!$J:$J,$H25+$I25-1),1),1),1),$I25-1))):INDEX(Attenuation!$K:$K,($H25-1+MIN(MAX(IFERROR(MATCH(LN(J$5),INDEX(Attenuation!$J:$J,$H25):INDEX(Attenuation!$J:$J,$H25+$I25-1),1),1),1),$I25-1))+1),INDEX(Attenuation!$J:$J,($H25-1+MIN(MAX(IFERROR(MATCH(LN(J$5),INDEX(Attenuation!$J:$J,$H25):INDEX(Attenuation!$J:$J,$H25+$I25-1),1),1),1),$I25-1))):INDEX(Attenuation!$J:$J,($H25-1+MIN(MAX(IFERROR(MATCH(LN(J$5),INDEX(Attenuation!$J:$J,$H25):INDEX(Attenuation!$J:$J,$H25+$I25-1),1),1),1),$I25-1))+1)))))</f>
        <v>0.97334133220902908</v>
      </c>
      <c r="K25" s="12">
        <f>IF($A25="","",IF(K$5&gt;2*$G25,"",EXP(FORECAST(LN(K$5),INDEX(Attenuation!$K:$K,($H25-1+MIN(MAX(IFERROR(MATCH(LN(K$5),INDEX(Attenuation!$J:$J,$H25):INDEX(Attenuation!$J:$J,$H25+$I25-1),1),1),1),$I25-1))):INDEX(Attenuation!$K:$K,($H25-1+MIN(MAX(IFERROR(MATCH(LN(K$5),INDEX(Attenuation!$J:$J,$H25):INDEX(Attenuation!$J:$J,$H25+$I25-1),1),1),1),$I25-1))+1),INDEX(Attenuation!$J:$J,($H25-1+MIN(MAX(IFERROR(MATCH(LN(K$5),INDEX(Attenuation!$J:$J,$H25):INDEX(Attenuation!$J:$J,$H25+$I25-1),1),1),1),$I25-1))):INDEX(Attenuation!$J:$J,($H25-1+MIN(MAX(IFERROR(MATCH(LN(K$5),INDEX(Attenuation!$J:$J,$H25):INDEX(Attenuation!$J:$J,$H25+$I25-1),1),1),1),$I25-1))+1)))))</f>
        <v>1.3801565595750345</v>
      </c>
      <c r="L25" s="12">
        <f>IF($A25="","",IF(L$5&gt;2*$G25,"",EXP(FORECAST(LN(L$5),INDEX(Attenuation!$K:$K,($H25-1+MIN(MAX(IFERROR(MATCH(LN(L$5),INDEX(Attenuation!$J:$J,$H25):INDEX(Attenuation!$J:$J,$H25+$I25-1),1),1),1),$I25-1))):INDEX(Attenuation!$K:$K,($H25-1+MIN(MAX(IFERROR(MATCH(LN(L$5),INDEX(Attenuation!$J:$J,$H25):INDEX(Attenuation!$J:$J,$H25+$I25-1),1),1),1),$I25-1))+1),INDEX(Attenuation!$J:$J,($H25-1+MIN(MAX(IFERROR(MATCH(LN(L$5),INDEX(Attenuation!$J:$J,$H25):INDEX(Attenuation!$J:$J,$H25+$I25-1),1),1),1),$I25-1))):INDEX(Attenuation!$J:$J,($H25-1+MIN(MAX(IFERROR(MATCH(LN(L$5),INDEX(Attenuation!$J:$J,$H25):INDEX(Attenuation!$J:$J,$H25+$I25-1),1),1),1),$I25-1))+1)))))</f>
        <v>1.9861706521192166</v>
      </c>
      <c r="M25" s="12">
        <f>IF($A25="","",IF(M$5&gt;2*$G25,"",EXP(FORECAST(LN(M$5),INDEX(Attenuation!$K:$K,($H25-1+MIN(MAX(IFERROR(MATCH(LN(M$5),INDEX(Attenuation!$J:$J,$H25):INDEX(Attenuation!$J:$J,$H25+$I25-1),1),1),1),$I25-1))):INDEX(Attenuation!$K:$K,($H25-1+MIN(MAX(IFERROR(MATCH(LN(M$5),INDEX(Attenuation!$J:$J,$H25):INDEX(Attenuation!$J:$J,$H25+$I25-1),1),1),1),$I25-1))+1),INDEX(Attenuation!$J:$J,($H25-1+MIN(MAX(IFERROR(MATCH(LN(M$5),INDEX(Attenuation!$J:$J,$H25):INDEX(Attenuation!$J:$J,$H25+$I25-1),1),1),1),$I25-1))):INDEX(Attenuation!$J:$J,($H25-1+MIN(MAX(IFERROR(MATCH(LN(M$5),INDEX(Attenuation!$J:$J,$H25):INDEX(Attenuation!$J:$J,$H25+$I25-1),1),1),1),$I25-1))+1)))))</f>
        <v>2.858279976986339</v>
      </c>
      <c r="N25" s="12">
        <f>IF($A25="","",IF(N$5&gt;2*$G25,"",EXP(FORECAST(LN(N$5),INDEX(Attenuation!$K:$K,($H25-1+MIN(MAX(IFERROR(MATCH(LN(N$5),INDEX(Attenuation!$J:$J,$H25):INDEX(Attenuation!$J:$J,$H25+$I25-1),1),1),1),$I25-1))):INDEX(Attenuation!$K:$K,($H25-1+MIN(MAX(IFERROR(MATCH(LN(N$5),INDEX(Attenuation!$J:$J,$H25):INDEX(Attenuation!$J:$J,$H25+$I25-1),1),1),1),$I25-1))+1),INDEX(Attenuation!$J:$J,($H25-1+MIN(MAX(IFERROR(MATCH(LN(N$5),INDEX(Attenuation!$J:$J,$H25):INDEX(Attenuation!$J:$J,$H25+$I25-1),1),1),1),$I25-1))):INDEX(Attenuation!$J:$J,($H25-1+MIN(MAX(IFERROR(MATCH(LN(N$5),INDEX(Attenuation!$J:$J,$H25):INDEX(Attenuation!$J:$J,$H25+$I25-1),1),1),1),$I25-1))+1)))))</f>
        <v>3.5365551877050083</v>
      </c>
      <c r="O25" s="12">
        <f>IF($A25="","",IF(O$5&gt;2*$G25,"",EXP(FORECAST(LN(O$5),INDEX(Attenuation!$K:$K,($H25-1+MIN(MAX(IFERROR(MATCH(LN(O$5),INDEX(Attenuation!$J:$J,$H25):INDEX(Attenuation!$J:$J,$H25+$I25-1),1),1),1),$I25-1))):INDEX(Attenuation!$K:$K,($H25-1+MIN(MAX(IFERROR(MATCH(LN(O$5),INDEX(Attenuation!$J:$J,$H25):INDEX(Attenuation!$J:$J,$H25+$I25-1),1),1),1),$I25-1))+1),INDEX(Attenuation!$J:$J,($H25-1+MIN(MAX(IFERROR(MATCH(LN(O$5),INDEX(Attenuation!$J:$J,$H25):INDEX(Attenuation!$J:$J,$H25+$I25-1),1),1),1),$I25-1))):INDEX(Attenuation!$J:$J,($H25-1+MIN(MAX(IFERROR(MATCH(LN(O$5),INDEX(Attenuation!$J:$J,$H25):INDEX(Attenuation!$J:$J,$H25+$I25-1),1),1),1),$I25-1))+1)))))</f>
        <v>4.1133245112266668</v>
      </c>
      <c r="P25" s="12">
        <f>IF($A25="","",IF(P$5&gt;2*$G25,"",EXP(FORECAST(LN(P$5),INDEX(Attenuation!$K:$K,($H25-1+MIN(MAX(IFERROR(MATCH(LN(P$5),INDEX(Attenuation!$J:$J,$H25):INDEX(Attenuation!$J:$J,$H25+$I25-1),1),1),1),$I25-1))):INDEX(Attenuation!$K:$K,($H25-1+MIN(MAX(IFERROR(MATCH(LN(P$5),INDEX(Attenuation!$J:$J,$H25):INDEX(Attenuation!$J:$J,$H25+$I25-1),1),1),1),$I25-1))+1),INDEX(Attenuation!$J:$J,($H25-1+MIN(MAX(IFERROR(MATCH(LN(P$5),INDEX(Attenuation!$J:$J,$H25):INDEX(Attenuation!$J:$J,$H25+$I25-1),1),1),1),$I25-1))):INDEX(Attenuation!$J:$J,($H25-1+MIN(MAX(IFERROR(MATCH(LN(P$5),INDEX(Attenuation!$J:$J,$H25):INDEX(Attenuation!$J:$J,$H25+$I25-1),1),1),1),$I25-1))+1)))))</f>
        <v>5.577427821522309</v>
      </c>
      <c r="Q25" s="12">
        <f>IF($A25="","",IF(Q$5&gt;2*$G25,"",EXP(FORECAST(LN(Q$5),INDEX(Attenuation!$K:$K,($H25-1+MIN(MAX(IFERROR(MATCH(LN(Q$5),INDEX(Attenuation!$J:$J,$H25):INDEX(Attenuation!$J:$J,$H25+$I25-1),1),1),1),$I25-1))):INDEX(Attenuation!$K:$K,($H25-1+MIN(MAX(IFERROR(MATCH(LN(Q$5),INDEX(Attenuation!$J:$J,$H25):INDEX(Attenuation!$J:$J,$H25+$I25-1),1),1),1),$I25-1))+1),INDEX(Attenuation!$J:$J,($H25-1+MIN(MAX(IFERROR(MATCH(LN(Q$5),INDEX(Attenuation!$J:$J,$H25):INDEX(Attenuation!$J:$J,$H25+$I25-1),1),1),1),$I25-1))):INDEX(Attenuation!$J:$J,($H25-1+MIN(MAX(IFERROR(MATCH(LN(Q$5),INDEX(Attenuation!$J:$J,$H25):INDEX(Attenuation!$J:$J,$H25+$I25-1),1),1),1),$I25-1))+1)))))</f>
        <v>9.6369697460924311</v>
      </c>
      <c r="R25" s="12">
        <f>IF($A25="","",IF(R$5&gt;2*$G25,"",EXP(FORECAST(LN(R$5),INDEX(Attenuation!$K:$K,($H25-1+MIN(MAX(IFERROR(MATCH(LN(R$5),INDEX(Attenuation!$J:$J,$H25):INDEX(Attenuation!$J:$J,$H25+$I25-1),1),1),1),$I25-1))):INDEX(Attenuation!$K:$K,($H25-1+MIN(MAX(IFERROR(MATCH(LN(R$5),INDEX(Attenuation!$J:$J,$H25):INDEX(Attenuation!$J:$J,$H25+$I25-1),1),1),1),$I25-1))+1),INDEX(Attenuation!$J:$J,($H25-1+MIN(MAX(IFERROR(MATCH(LN(R$5),INDEX(Attenuation!$J:$J,$H25):INDEX(Attenuation!$J:$J,$H25+$I25-1),1),1),1),$I25-1))):INDEX(Attenuation!$J:$J,($H25-1+MIN(MAX(IFERROR(MATCH(LN(R$5),INDEX(Attenuation!$J:$J,$H25):INDEX(Attenuation!$J:$J,$H25+$I25-1),1),1),1),$I25-1))+1)))))</f>
        <v>17.035613461232149</v>
      </c>
      <c r="S25" s="12">
        <f>IF($A25="","",IF(S$5&gt;2*$G25,"",EXP(FORECAST(LN(S$5),INDEX(Attenuation!$K:$K,($H25-1+MIN(MAX(IFERROR(MATCH(LN(S$5),INDEX(Attenuation!$J:$J,$H25):INDEX(Attenuation!$J:$J,$H25+$I25-1),1),1),1),$I25-1))):INDEX(Attenuation!$K:$K,($H25-1+MIN(MAX(IFERROR(MATCH(LN(S$5),INDEX(Attenuation!$J:$J,$H25):INDEX(Attenuation!$J:$J,$H25+$I25-1),1),1),1),$I25-1))+1),INDEX(Attenuation!$J:$J,($H25-1+MIN(MAX(IFERROR(MATCH(LN(S$5),INDEX(Attenuation!$J:$J,$H25):INDEX(Attenuation!$J:$J,$H25+$I25-1),1),1),1),$I25-1))):INDEX(Attenuation!$J:$J,($H25-1+MIN(MAX(IFERROR(MATCH(LN(S$5),INDEX(Attenuation!$J:$J,$H25):INDEX(Attenuation!$J:$J,$H25+$I25-1),1),1),1),$I25-1))+1)))))</f>
        <v>30.113541735542668</v>
      </c>
      <c r="T25" s="12">
        <f>IF($A25="","",IF(T$5&gt;2*$G25,"",EXP(FORECAST(LN(T$5),INDEX(Attenuation!$K:$K,($H25-1+MIN(MAX(IFERROR(MATCH(LN(T$5),INDEX(Attenuation!$J:$J,$H25):INDEX(Attenuation!$J:$J,$H25+$I25-1),1),1),1),$I25-1))):INDEX(Attenuation!$K:$K,($H25-1+MIN(MAX(IFERROR(MATCH(LN(T$5),INDEX(Attenuation!$J:$J,$H25):INDEX(Attenuation!$J:$J,$H25+$I25-1),1),1),1),$I25-1))+1),INDEX(Attenuation!$J:$J,($H25-1+MIN(MAX(IFERROR(MATCH(LN(T$5),INDEX(Attenuation!$J:$J,$H25):INDEX(Attenuation!$J:$J,$H25+$I25-1),1),1),1),$I25-1))):INDEX(Attenuation!$J:$J,($H25-1+MIN(MAX(IFERROR(MATCH(LN(T$5),INDEX(Attenuation!$J:$J,$H25):INDEX(Attenuation!$J:$J,$H25+$I25-1),1),1),1),$I25-1))+1)))))</f>
        <v>41.4426486225533</v>
      </c>
      <c r="U25" s="12">
        <f>IF($A25="","",IF(U$5&gt;2*$G25,"",EXP(FORECAST(LN(U$5),INDEX(Attenuation!$K:$K,($H25-1+MIN(MAX(IFERROR(MATCH(LN(U$5),INDEX(Attenuation!$J:$J,$H25):INDEX(Attenuation!$J:$J,$H25+$I25-1),1),1),1),$I25-1))):INDEX(Attenuation!$K:$K,($H25-1+MIN(MAX(IFERROR(MATCH(LN(U$5),INDEX(Attenuation!$J:$J,$H25):INDEX(Attenuation!$J:$J,$H25+$I25-1),1),1),1),$I25-1))+1),INDEX(Attenuation!$J:$J,($H25-1+MIN(MAX(IFERROR(MATCH(LN(U$5),INDEX(Attenuation!$J:$J,$H25):INDEX(Attenuation!$J:$J,$H25+$I25-1),1),1),1),$I25-1))):INDEX(Attenuation!$J:$J,($H25-1+MIN(MAX(IFERROR(MATCH(LN(U$5),INDEX(Attenuation!$J:$J,$H25):INDEX(Attenuation!$J:$J,$H25+$I25-1),1),1),1),$I25-1))+1)))))</f>
        <v>66.67736661696695</v>
      </c>
      <c r="V25" s="1"/>
      <c r="W25" s="12">
        <f t="shared" si="0"/>
        <v>0.29667443805731208</v>
      </c>
      <c r="X25" s="12">
        <f t="shared" si="1"/>
        <v>0.42067171935847053</v>
      </c>
      <c r="Y25" s="12">
        <f t="shared" si="2"/>
        <v>0.60538481476593731</v>
      </c>
      <c r="Z25" s="12">
        <f t="shared" si="3"/>
        <v>0.87120373698543618</v>
      </c>
      <c r="AA25" s="12">
        <f t="shared" si="4"/>
        <v>1.0779420212124866</v>
      </c>
      <c r="AB25" s="12">
        <f t="shared" si="5"/>
        <v>1.253741311021888</v>
      </c>
      <c r="AC25" s="12">
        <f t="shared" si="6"/>
        <v>1.7</v>
      </c>
      <c r="AD25" s="12">
        <f t="shared" si="7"/>
        <v>2.9373483786089731</v>
      </c>
      <c r="AE25" s="12">
        <f t="shared" si="8"/>
        <v>5.1924549829835591</v>
      </c>
      <c r="AF25" s="12">
        <f t="shared" si="9"/>
        <v>9.1786075209934062</v>
      </c>
      <c r="AG25" s="12">
        <f t="shared" si="10"/>
        <v>12.631719300154247</v>
      </c>
      <c r="AH25" s="12">
        <f t="shared" si="11"/>
        <v>20.323261344851527</v>
      </c>
    </row>
    <row r="26" spans="1:34" x14ac:dyDescent="0.25">
      <c r="A26" s="11" t="str">
        <f>IF(ROWS($A$6:A26)&gt;COUNTA(Cables!$A:$A)-1,"",INDEX(Cables!$A:$A,ROWS($A$6:A26)+1))</f>
        <v>RCB-RWC240PE</v>
      </c>
      <c r="B26" s="11" t="str">
        <f>IF($A26="","",IF(INDEX(Cables!$B:$B,MATCH($A26,Cables!$A:$A,0))="","",INDEX(Cables!$B:$B,MATCH($A26,Cables!$A:$A,0))))</f>
        <v>Reçber RWC 240 PE (LMR-240 muadili)</v>
      </c>
      <c r="C26" s="11">
        <f>IF($A26="","",IF(INDEX(Cables!$F:$F,MATCH($A26,Cables!$A:$A,0))="","",INDEX(Cables!$F:$F,MATCH($A26,Cables!$A:$A,0))))</f>
        <v>50</v>
      </c>
      <c r="D26" s="11">
        <f>IF($A26="","",IF(INDEX(Cables!$H:$H,MATCH($A26,Cables!$A:$A,0))="","",INDEX(Cables!$H:$H,MATCH($A26,Cables!$A:$A,0))))</f>
        <v>6</v>
      </c>
      <c r="E26" s="12">
        <f>IF($A26="","",IF(INDEX(Cables!$Q:$Q,MATCH($A26,Cables!$A:$A,0))="","",INDEX(Cables!$Q:$Q,MATCH($A26,Cables!$A:$A,0))))</f>
        <v>0.85</v>
      </c>
      <c r="F26" s="11">
        <f>IF($A26="","",IF(INDEX(Cables!$AQ:$AQ,MATCH($A26,Cables!$A:$A,0))="","",INDEX(Cables!$AQ:$AQ,MATCH($A26,Cables!$A:$A,0))))</f>
        <v>30</v>
      </c>
      <c r="G26" s="11">
        <f>IF($A26="","",IF(INDEX(Cables!$AR:$AR,MATCH($A26,Cables!$A:$A,0))="","",INDEX(Cables!$AR:$AR,MATCH($A26,Cables!$A:$A,0))))</f>
        <v>5800</v>
      </c>
      <c r="H26" s="11">
        <f>IF($A26="","",IF(INDEX(Cables!$AO:$AO,MATCH($A26,Cables!$A:$A,0))="","",INDEX(Cables!$AO:$AO,MATCH($A26,Cables!$A:$A,0))))</f>
        <v>242</v>
      </c>
      <c r="I26" s="11">
        <f>IF($A26="","",IF(INDEX(Cables!$AP:$AP,MATCH($A26,Cables!$A:$A,0))="","",INDEX(Cables!$AP:$AP,MATCH($A26,Cables!$A:$A,0))))</f>
        <v>11</v>
      </c>
      <c r="J26" s="12">
        <f>IF($A26="","",IF(J$5&gt;2*$G26,"",EXP(FORECAST(LN(J$5),INDEX(Attenuation!$K:$K,($H26-1+MIN(MAX(IFERROR(MATCH(LN(J$5),INDEX(Attenuation!$J:$J,$H26):INDEX(Attenuation!$J:$J,$H26+$I26-1),1),1),1),$I26-1))):INDEX(Attenuation!$K:$K,($H26-1+MIN(MAX(IFERROR(MATCH(LN(J$5),INDEX(Attenuation!$J:$J,$H26):INDEX(Attenuation!$J:$J,$H26+$I26-1),1),1),1),$I26-1))+1),INDEX(Attenuation!$J:$J,($H26-1+MIN(MAX(IFERROR(MATCH(LN(J$5),INDEX(Attenuation!$J:$J,$H26):INDEX(Attenuation!$J:$J,$H26+$I26-1),1),1),1),$I26-1))):INDEX(Attenuation!$J:$J,($H26-1+MIN(MAX(IFERROR(MATCH(LN(J$5),INDEX(Attenuation!$J:$J,$H26):INDEX(Attenuation!$J:$J,$H26+$I26-1),1),1),1),$I26-1))+1)))))</f>
        <v>1.2885594935700024</v>
      </c>
      <c r="K26" s="12">
        <f>IF($A26="","",IF(K$5&gt;2*$G26,"",EXP(FORECAST(LN(K$5),INDEX(Attenuation!$K:$K,($H26-1+MIN(MAX(IFERROR(MATCH(LN(K$5),INDEX(Attenuation!$J:$J,$H26):INDEX(Attenuation!$J:$J,$H26+$I26-1),1),1),1),$I26-1))):INDEX(Attenuation!$K:$K,($H26-1+MIN(MAX(IFERROR(MATCH(LN(K$5),INDEX(Attenuation!$J:$J,$H26):INDEX(Attenuation!$J:$J,$H26+$I26-1),1),1),1),$I26-1))+1),INDEX(Attenuation!$J:$J,($H26-1+MIN(MAX(IFERROR(MATCH(LN(K$5),INDEX(Attenuation!$J:$J,$H26):INDEX(Attenuation!$J:$J,$H26+$I26-1),1),1),1),$I26-1))):INDEX(Attenuation!$J:$J,($H26-1+MIN(MAX(IFERROR(MATCH(LN(K$5),INDEX(Attenuation!$J:$J,$H26):INDEX(Attenuation!$J:$J,$H26+$I26-1),1),1),1),$I26-1))+1)))))</f>
        <v>1.746946601778202</v>
      </c>
      <c r="L26" s="12">
        <f>IF($A26="","",IF(L$5&gt;2*$G26,"",EXP(FORECAST(LN(L$5),INDEX(Attenuation!$K:$K,($H26-1+MIN(MAX(IFERROR(MATCH(LN(L$5),INDEX(Attenuation!$J:$J,$H26):INDEX(Attenuation!$J:$J,$H26+$I26-1),1),1),1),$I26-1))):INDEX(Attenuation!$K:$K,($H26-1+MIN(MAX(IFERROR(MATCH(LN(L$5),INDEX(Attenuation!$J:$J,$H26):INDEX(Attenuation!$J:$J,$H26+$I26-1),1),1),1),$I26-1))+1),INDEX(Attenuation!$J:$J,($H26-1+MIN(MAX(IFERROR(MATCH(LN(L$5),INDEX(Attenuation!$J:$J,$H26):INDEX(Attenuation!$J:$J,$H26+$I26-1),1),1),1),$I26-1))):INDEX(Attenuation!$J:$J,($H26-1+MIN(MAX(IFERROR(MATCH(LN(L$5),INDEX(Attenuation!$J:$J,$H26):INDEX(Attenuation!$J:$J,$H26+$I26-1),1),1),1),$I26-1))+1)))))</f>
        <v>2.3991324130683345</v>
      </c>
      <c r="M26" s="12">
        <f>IF($A26="","",IF(M$5&gt;2*$G26,"",EXP(FORECAST(LN(M$5),INDEX(Attenuation!$K:$K,($H26-1+MIN(MAX(IFERROR(MATCH(LN(M$5),INDEX(Attenuation!$J:$J,$H26):INDEX(Attenuation!$J:$J,$H26+$I26-1),1),1),1),$I26-1))):INDEX(Attenuation!$K:$K,($H26-1+MIN(MAX(IFERROR(MATCH(LN(M$5),INDEX(Attenuation!$J:$J,$H26):INDEX(Attenuation!$J:$J,$H26+$I26-1),1),1),1),$I26-1))+1),INDEX(Attenuation!$J:$J,($H26-1+MIN(MAX(IFERROR(MATCH(LN(M$5),INDEX(Attenuation!$J:$J,$H26):INDEX(Attenuation!$J:$J,$H26+$I26-1),1),1),1),$I26-1))):INDEX(Attenuation!$J:$J,($H26-1+MIN(MAX(IFERROR(MATCH(LN(M$5),INDEX(Attenuation!$J:$J,$H26):INDEX(Attenuation!$J:$J,$H26+$I26-1),1),1),1),$I26-1))+1)))))</f>
        <v>3.2947980949024269</v>
      </c>
      <c r="N26" s="12">
        <f>IF($A26="","",IF(N$5&gt;2*$G26,"",EXP(FORECAST(LN(N$5),INDEX(Attenuation!$K:$K,($H26-1+MIN(MAX(IFERROR(MATCH(LN(N$5),INDEX(Attenuation!$J:$J,$H26):INDEX(Attenuation!$J:$J,$H26+$I26-1),1),1),1),$I26-1))):INDEX(Attenuation!$K:$K,($H26-1+MIN(MAX(IFERROR(MATCH(LN(N$5),INDEX(Attenuation!$J:$J,$H26):INDEX(Attenuation!$J:$J,$H26+$I26-1),1),1),1),$I26-1))+1),INDEX(Attenuation!$J:$J,($H26-1+MIN(MAX(IFERROR(MATCH(LN(N$5),INDEX(Attenuation!$J:$J,$H26):INDEX(Attenuation!$J:$J,$H26+$I26-1),1),1),1),$I26-1))):INDEX(Attenuation!$J:$J,($H26-1+MIN(MAX(IFERROR(MATCH(LN(N$5),INDEX(Attenuation!$J:$J,$H26):INDEX(Attenuation!$J:$J,$H26+$I26-1),1),1),1),$I26-1))+1)))))</f>
        <v>3.9666307447217437</v>
      </c>
      <c r="O26" s="12">
        <f>IF($A26="","",IF(O$5&gt;2*$G26,"",EXP(FORECAST(LN(O$5),INDEX(Attenuation!$K:$K,($H26-1+MIN(MAX(IFERROR(MATCH(LN(O$5),INDEX(Attenuation!$J:$J,$H26):INDEX(Attenuation!$J:$J,$H26+$I26-1),1),1),1),$I26-1))):INDEX(Attenuation!$K:$K,($H26-1+MIN(MAX(IFERROR(MATCH(LN(O$5),INDEX(Attenuation!$J:$J,$H26):INDEX(Attenuation!$J:$J,$H26+$I26-1),1),1),1),$I26-1))+1),INDEX(Attenuation!$J:$J,($H26-1+MIN(MAX(IFERROR(MATCH(LN(O$5),INDEX(Attenuation!$J:$J,$H26):INDEX(Attenuation!$J:$J,$H26+$I26-1),1),1),1),$I26-1))):INDEX(Attenuation!$J:$J,($H26-1+MIN(MAX(IFERROR(MATCH(LN(O$5),INDEX(Attenuation!$J:$J,$H26):INDEX(Attenuation!$J:$J,$H26+$I26-1),1),1),1),$I26-1))+1)))))</f>
        <v>4.5248417415564557</v>
      </c>
      <c r="P26" s="12">
        <f>IF($A26="","",IF(P$5&gt;2*$G26,"",EXP(FORECAST(LN(P$5),INDEX(Attenuation!$K:$K,($H26-1+MIN(MAX(IFERROR(MATCH(LN(P$5),INDEX(Attenuation!$J:$J,$H26):INDEX(Attenuation!$J:$J,$H26+$I26-1),1),1),1),$I26-1))):INDEX(Attenuation!$K:$K,($H26-1+MIN(MAX(IFERROR(MATCH(LN(P$5),INDEX(Attenuation!$J:$J,$H26):INDEX(Attenuation!$J:$J,$H26+$I26-1),1),1),1),$I26-1))+1),INDEX(Attenuation!$J:$J,($H26-1+MIN(MAX(IFERROR(MATCH(LN(P$5),INDEX(Attenuation!$J:$J,$H26):INDEX(Attenuation!$J:$J,$H26+$I26-1),1),1),1),$I26-1))):INDEX(Attenuation!$J:$J,($H26-1+MIN(MAX(IFERROR(MATCH(LN(P$5),INDEX(Attenuation!$J:$J,$H26):INDEX(Attenuation!$J:$J,$H26+$I26-1),1),1),1),$I26-1))+1)))))</f>
        <v>5.9</v>
      </c>
      <c r="Q26" s="12">
        <f>IF($A26="","",IF(Q$5&gt;2*$G26,"",EXP(FORECAST(LN(Q$5),INDEX(Attenuation!$K:$K,($H26-1+MIN(MAX(IFERROR(MATCH(LN(Q$5),INDEX(Attenuation!$J:$J,$H26):INDEX(Attenuation!$J:$J,$H26+$I26-1),1),1),1),$I26-1))):INDEX(Attenuation!$K:$K,($H26-1+MIN(MAX(IFERROR(MATCH(LN(Q$5),INDEX(Attenuation!$J:$J,$H26):INDEX(Attenuation!$J:$J,$H26+$I26-1),1),1),1),$I26-1))+1),INDEX(Attenuation!$J:$J,($H26-1+MIN(MAX(IFERROR(MATCH(LN(Q$5),INDEX(Attenuation!$J:$J,$H26):INDEX(Attenuation!$J:$J,$H26+$I26-1),1),1),1),$I26-1))):INDEX(Attenuation!$J:$J,($H26-1+MIN(MAX(IFERROR(MATCH(LN(Q$5),INDEX(Attenuation!$J:$J,$H26):INDEX(Attenuation!$J:$J,$H26+$I26-1),1),1),1),$I26-1))+1)))))</f>
        <v>9.796411129219889</v>
      </c>
      <c r="R26" s="12">
        <f>IF($A26="","",IF(R$5&gt;2*$G26,"",EXP(FORECAST(LN(R$5),INDEX(Attenuation!$K:$K,($H26-1+MIN(MAX(IFERROR(MATCH(LN(R$5),INDEX(Attenuation!$J:$J,$H26):INDEX(Attenuation!$J:$J,$H26+$I26-1),1),1),1),$I26-1))):INDEX(Attenuation!$K:$K,($H26-1+MIN(MAX(IFERROR(MATCH(LN(R$5),INDEX(Attenuation!$J:$J,$H26):INDEX(Attenuation!$J:$J,$H26+$I26-1),1),1),1),$I26-1))+1),INDEX(Attenuation!$J:$J,($H26-1+MIN(MAX(IFERROR(MATCH(LN(R$5),INDEX(Attenuation!$J:$J,$H26):INDEX(Attenuation!$J:$J,$H26+$I26-1),1),1),1),$I26-1))):INDEX(Attenuation!$J:$J,($H26-1+MIN(MAX(IFERROR(MATCH(LN(R$5),INDEX(Attenuation!$J:$J,$H26):INDEX(Attenuation!$J:$J,$H26+$I26-1),1),1),1),$I26-1))+1)))))</f>
        <v>16.956803580537766</v>
      </c>
      <c r="S26" s="12">
        <f>IF($A26="","",IF(S$5&gt;2*$G26,"",EXP(FORECAST(LN(S$5),INDEX(Attenuation!$K:$K,($H26-1+MIN(MAX(IFERROR(MATCH(LN(S$5),INDEX(Attenuation!$J:$J,$H26):INDEX(Attenuation!$J:$J,$H26+$I26-1),1),1),1),$I26-1))):INDEX(Attenuation!$K:$K,($H26-1+MIN(MAX(IFERROR(MATCH(LN(S$5),INDEX(Attenuation!$J:$J,$H26):INDEX(Attenuation!$J:$J,$H26+$I26-1),1),1),1),$I26-1))+1),INDEX(Attenuation!$J:$J,($H26-1+MIN(MAX(IFERROR(MATCH(LN(S$5),INDEX(Attenuation!$J:$J,$H26):INDEX(Attenuation!$J:$J,$H26+$I26-1),1),1),1),$I26-1))):INDEX(Attenuation!$J:$J,($H26-1+MIN(MAX(IFERROR(MATCH(LN(S$5),INDEX(Attenuation!$J:$J,$H26):INDEX(Attenuation!$J:$J,$H26+$I26-1),1),1),1),$I26-1))+1)))))</f>
        <v>30.113041231045138</v>
      </c>
      <c r="T26" s="12">
        <f>IF($A26="","",IF(T$5&gt;2*$G26,"",EXP(FORECAST(LN(T$5),INDEX(Attenuation!$K:$K,($H26-1+MIN(MAX(IFERROR(MATCH(LN(T$5),INDEX(Attenuation!$J:$J,$H26):INDEX(Attenuation!$J:$J,$H26+$I26-1),1),1),1),$I26-1))):INDEX(Attenuation!$K:$K,($H26-1+MIN(MAX(IFERROR(MATCH(LN(T$5),INDEX(Attenuation!$J:$J,$H26):INDEX(Attenuation!$J:$J,$H26+$I26-1),1),1),1),$I26-1))+1),INDEX(Attenuation!$J:$J,($H26-1+MIN(MAX(IFERROR(MATCH(LN(T$5),INDEX(Attenuation!$J:$J,$H26):INDEX(Attenuation!$J:$J,$H26+$I26-1),1),1),1),$I26-1))):INDEX(Attenuation!$J:$J,($H26-1+MIN(MAX(IFERROR(MATCH(LN(T$5),INDEX(Attenuation!$J:$J,$H26):INDEX(Attenuation!$J:$J,$H26+$I26-1),1),1),1),$I26-1))+1)))))</f>
        <v>42.046602375810231</v>
      </c>
      <c r="U26" s="12">
        <f>IF($A26="","",IF(U$5&gt;2*$G26,"",EXP(FORECAST(LN(U$5),INDEX(Attenuation!$K:$K,($H26-1+MIN(MAX(IFERROR(MATCH(LN(U$5),INDEX(Attenuation!$J:$J,$H26):INDEX(Attenuation!$J:$J,$H26+$I26-1),1),1),1),$I26-1))):INDEX(Attenuation!$K:$K,($H26-1+MIN(MAX(IFERROR(MATCH(LN(U$5),INDEX(Attenuation!$J:$J,$H26):INDEX(Attenuation!$J:$J,$H26+$I26-1),1),1),1),$I26-1))+1),INDEX(Attenuation!$J:$J,($H26-1+MIN(MAX(IFERROR(MATCH(LN(U$5),INDEX(Attenuation!$J:$J,$H26):INDEX(Attenuation!$J:$J,$H26+$I26-1),1),1),1),$I26-1))):INDEX(Attenuation!$J:$J,($H26-1+MIN(MAX(IFERROR(MATCH(LN(U$5),INDEX(Attenuation!$J:$J,$H26):INDEX(Attenuation!$J:$J,$H26+$I26-1),1),1),1),$I26-1))+1)))))</f>
        <v>68.949532157905793</v>
      </c>
      <c r="V26" s="1"/>
      <c r="W26" s="12">
        <f t="shared" si="0"/>
        <v>0.39275293364013675</v>
      </c>
      <c r="X26" s="12">
        <f t="shared" si="1"/>
        <v>0.532469324221996</v>
      </c>
      <c r="Y26" s="12">
        <f t="shared" si="2"/>
        <v>0.7312555595032284</v>
      </c>
      <c r="Z26" s="12">
        <f t="shared" si="3"/>
        <v>1.0042544593262597</v>
      </c>
      <c r="AA26" s="12">
        <f t="shared" si="4"/>
        <v>1.2090290509911876</v>
      </c>
      <c r="AB26" s="12">
        <f t="shared" si="5"/>
        <v>1.3791717628264077</v>
      </c>
      <c r="AC26" s="12">
        <f t="shared" si="6"/>
        <v>1.7983200000000001</v>
      </c>
      <c r="AD26" s="12">
        <f t="shared" si="7"/>
        <v>2.9859461121862223</v>
      </c>
      <c r="AE26" s="12">
        <f t="shared" si="8"/>
        <v>5.1684337313479114</v>
      </c>
      <c r="AF26" s="12">
        <f t="shared" si="9"/>
        <v>9.1784549672225584</v>
      </c>
      <c r="AG26" s="12">
        <f t="shared" si="10"/>
        <v>12.815804404146959</v>
      </c>
      <c r="AH26" s="12">
        <f t="shared" si="11"/>
        <v>21.015817401729688</v>
      </c>
    </row>
    <row r="27" spans="1:34" x14ac:dyDescent="0.25">
      <c r="A27" s="11" t="str">
        <f>IF(ROWS($A$6:A27)&gt;COUNTA(Cables!$A:$A)-1,"",INDEX(Cables!$A:$A,ROWS($A$6:A27)+1))</f>
        <v>RCB-RG213U-PE</v>
      </c>
      <c r="B27" s="11" t="str">
        <f>IF($A27="","",IF(INDEX(Cables!$B:$B,MATCH($A27,Cables!$A:$A,0))="","",INDEX(Cables!$B:$B,MATCH($A27,Cables!$A:$A,0))))</f>
        <v>Reçber RG 213 U PE</v>
      </c>
      <c r="C27" s="11">
        <f>IF($A27="","",IF(INDEX(Cables!$F:$F,MATCH($A27,Cables!$A:$A,0))="","",INDEX(Cables!$F:$F,MATCH($A27,Cables!$A:$A,0))))</f>
        <v>50</v>
      </c>
      <c r="D27" s="11">
        <f>IF($A27="","",IF(INDEX(Cables!$H:$H,MATCH($A27,Cables!$A:$A,0))="","",INDEX(Cables!$H:$H,MATCH($A27,Cables!$A:$A,0))))</f>
        <v>10.3</v>
      </c>
      <c r="E27" s="12">
        <f>IF($A27="","",IF(INDEX(Cables!$Q:$Q,MATCH($A27,Cables!$A:$A,0))="","",INDEX(Cables!$Q:$Q,MATCH($A27,Cables!$A:$A,0))))</f>
        <v>0.66</v>
      </c>
      <c r="F27" s="11">
        <f>IF($A27="","",IF(INDEX(Cables!$AQ:$AQ,MATCH($A27,Cables!$A:$A,0))="","",INDEX(Cables!$AQ:$AQ,MATCH($A27,Cables!$A:$A,0))))</f>
        <v>1</v>
      </c>
      <c r="G27" s="11">
        <f>IF($A27="","",IF(INDEX(Cables!$AR:$AR,MATCH($A27,Cables!$A:$A,0))="","",INDEX(Cables!$AR:$AR,MATCH($A27,Cables!$A:$A,0))))</f>
        <v>1000</v>
      </c>
      <c r="H27" s="11">
        <f>IF($A27="","",IF(INDEX(Cables!$AO:$AO,MATCH($A27,Cables!$A:$A,0))="","",INDEX(Cables!$AO:$AO,MATCH($A27,Cables!$A:$A,0))))</f>
        <v>253</v>
      </c>
      <c r="I27" s="11">
        <f>IF($A27="","",IF(INDEX(Cables!$AP:$AP,MATCH($A27,Cables!$A:$A,0))="","",INDEX(Cables!$AP:$AP,MATCH($A27,Cables!$A:$A,0))))</f>
        <v>9</v>
      </c>
      <c r="J27" s="12">
        <f>IF($A27="","",IF(J$5&gt;2*$G27,"",EXP(FORECAST(LN(J$5),INDEX(Attenuation!$K:$K,($H27-1+MIN(MAX(IFERROR(MATCH(LN(J$5),INDEX(Attenuation!$J:$J,$H27):INDEX(Attenuation!$J:$J,$H27+$I27-1),1),1),1),$I27-1))):INDEX(Attenuation!$K:$K,($H27-1+MIN(MAX(IFERROR(MATCH(LN(J$5),INDEX(Attenuation!$J:$J,$H27):INDEX(Attenuation!$J:$J,$H27+$I27-1),1),1),1),$I27-1))+1),INDEX(Attenuation!$J:$J,($H27-1+MIN(MAX(IFERROR(MATCH(LN(J$5),INDEX(Attenuation!$J:$J,$H27):INDEX(Attenuation!$J:$J,$H27+$I27-1),1),1),1),$I27-1))):INDEX(Attenuation!$J:$J,($H27-1+MIN(MAX(IFERROR(MATCH(LN(J$5),INDEX(Attenuation!$J:$J,$H27):INDEX(Attenuation!$J:$J,$H27+$I27-1),1),1),1),$I27-1))+1)))))</f>
        <v>1.0317413151464994</v>
      </c>
      <c r="K27" s="12">
        <f>IF($A27="","",IF(K$5&gt;2*$G27,"",EXP(FORECAST(LN(K$5),INDEX(Attenuation!$K:$K,($H27-1+MIN(MAX(IFERROR(MATCH(LN(K$5),INDEX(Attenuation!$J:$J,$H27):INDEX(Attenuation!$J:$J,$H27+$I27-1),1),1),1),$I27-1))):INDEX(Attenuation!$K:$K,($H27-1+MIN(MAX(IFERROR(MATCH(LN(K$5),INDEX(Attenuation!$J:$J,$H27):INDEX(Attenuation!$J:$J,$H27+$I27-1),1),1),1),$I27-1))+1),INDEX(Attenuation!$J:$J,($H27-1+MIN(MAX(IFERROR(MATCH(LN(K$5),INDEX(Attenuation!$J:$J,$H27):INDEX(Attenuation!$J:$J,$H27+$I27-1),1),1),1),$I27-1))):INDEX(Attenuation!$J:$J,($H27-1+MIN(MAX(IFERROR(MATCH(LN(K$5),INDEX(Attenuation!$J:$J,$H27):INDEX(Attenuation!$J:$J,$H27+$I27-1),1),1),1),$I27-1))+1)))))</f>
        <v>1.3566154521786644</v>
      </c>
      <c r="L27" s="12">
        <f>IF($A27="","",IF(L$5&gt;2*$G27,"",EXP(FORECAST(LN(L$5),INDEX(Attenuation!$K:$K,($H27-1+MIN(MAX(IFERROR(MATCH(LN(L$5),INDEX(Attenuation!$J:$J,$H27):INDEX(Attenuation!$J:$J,$H27+$I27-1),1),1),1),$I27-1))):INDEX(Attenuation!$K:$K,($H27-1+MIN(MAX(IFERROR(MATCH(LN(L$5),INDEX(Attenuation!$J:$J,$H27):INDEX(Attenuation!$J:$J,$H27+$I27-1),1),1),1),$I27-1))+1),INDEX(Attenuation!$J:$J,($H27-1+MIN(MAX(IFERROR(MATCH(LN(L$5),INDEX(Attenuation!$J:$J,$H27):INDEX(Attenuation!$J:$J,$H27+$I27-1),1),1),1),$I27-1))):INDEX(Attenuation!$J:$J,($H27-1+MIN(MAX(IFERROR(MATCH(LN(L$5),INDEX(Attenuation!$J:$J,$H27):INDEX(Attenuation!$J:$J,$H27+$I27-1),1),1),1),$I27-1))+1)))))</f>
        <v>1.8045925036829717</v>
      </c>
      <c r="M27" s="12">
        <f>IF($A27="","",IF(M$5&gt;2*$G27,"",EXP(FORECAST(LN(M$5),INDEX(Attenuation!$K:$K,($H27-1+MIN(MAX(IFERROR(MATCH(LN(M$5),INDEX(Attenuation!$J:$J,$H27):INDEX(Attenuation!$J:$J,$H27+$I27-1),1),1),1),$I27-1))):INDEX(Attenuation!$K:$K,($H27-1+MIN(MAX(IFERROR(MATCH(LN(M$5),INDEX(Attenuation!$J:$J,$H27):INDEX(Attenuation!$J:$J,$H27+$I27-1),1),1),1),$I27-1))+1),INDEX(Attenuation!$J:$J,($H27-1+MIN(MAX(IFERROR(MATCH(LN(M$5),INDEX(Attenuation!$J:$J,$H27):INDEX(Attenuation!$J:$J,$H27+$I27-1),1),1),1),$I27-1))):INDEX(Attenuation!$J:$J,($H27-1+MIN(MAX(IFERROR(MATCH(LN(M$5),INDEX(Attenuation!$J:$J,$H27):INDEX(Attenuation!$J:$J,$H27+$I27-1),1),1),1),$I27-1))+1)))))</f>
        <v>2.4692179746563188</v>
      </c>
      <c r="N27" s="12">
        <f>IF($A27="","",IF(N$5&gt;2*$G27,"",EXP(FORECAST(LN(N$5),INDEX(Attenuation!$K:$K,($H27-1+MIN(MAX(IFERROR(MATCH(LN(N$5),INDEX(Attenuation!$J:$J,$H27):INDEX(Attenuation!$J:$J,$H27+$I27-1),1),1),1),$I27-1))):INDEX(Attenuation!$K:$K,($H27-1+MIN(MAX(IFERROR(MATCH(LN(N$5),INDEX(Attenuation!$J:$J,$H27):INDEX(Attenuation!$J:$J,$H27+$I27-1),1),1),1),$I27-1))+1),INDEX(Attenuation!$J:$J,($H27-1+MIN(MAX(IFERROR(MATCH(LN(N$5),INDEX(Attenuation!$J:$J,$H27):INDEX(Attenuation!$J:$J,$H27+$I27-1),1),1),1),$I27-1))):INDEX(Attenuation!$J:$J,($H27-1+MIN(MAX(IFERROR(MATCH(LN(N$5),INDEX(Attenuation!$J:$J,$H27):INDEX(Attenuation!$J:$J,$H27+$I27-1),1),1),1),$I27-1))+1)))))</f>
        <v>3.0187053524275766</v>
      </c>
      <c r="O27" s="12">
        <f>IF($A27="","",IF(O$5&gt;2*$G27,"",EXP(FORECAST(LN(O$5),INDEX(Attenuation!$K:$K,($H27-1+MIN(MAX(IFERROR(MATCH(LN(O$5),INDEX(Attenuation!$J:$J,$H27):INDEX(Attenuation!$J:$J,$H27+$I27-1),1),1),1),$I27-1))):INDEX(Attenuation!$K:$K,($H27-1+MIN(MAX(IFERROR(MATCH(LN(O$5),INDEX(Attenuation!$J:$J,$H27):INDEX(Attenuation!$J:$J,$H27+$I27-1),1),1),1),$I27-1))+1),INDEX(Attenuation!$J:$J,($H27-1+MIN(MAX(IFERROR(MATCH(LN(O$5),INDEX(Attenuation!$J:$J,$H27):INDEX(Attenuation!$J:$J,$H27+$I27-1),1),1),1),$I27-1))):INDEX(Attenuation!$J:$J,($H27-1+MIN(MAX(IFERROR(MATCH(LN(O$5),INDEX(Attenuation!$J:$J,$H27):INDEX(Attenuation!$J:$J,$H27+$I27-1),1),1),1),$I27-1))+1)))))</f>
        <v>3.4812370656874903</v>
      </c>
      <c r="P27" s="12">
        <f>IF($A27="","",IF(P$5&gt;2*$G27,"",EXP(FORECAST(LN(P$5),INDEX(Attenuation!$K:$K,($H27-1+MIN(MAX(IFERROR(MATCH(LN(P$5),INDEX(Attenuation!$J:$J,$H27):INDEX(Attenuation!$J:$J,$H27+$I27-1),1),1),1),$I27-1))):INDEX(Attenuation!$K:$K,($H27-1+MIN(MAX(IFERROR(MATCH(LN(P$5),INDEX(Attenuation!$J:$J,$H27):INDEX(Attenuation!$J:$J,$H27+$I27-1),1),1),1),$I27-1))+1),INDEX(Attenuation!$J:$J,($H27-1+MIN(MAX(IFERROR(MATCH(LN(P$5),INDEX(Attenuation!$J:$J,$H27):INDEX(Attenuation!$J:$J,$H27+$I27-1),1),1),1),$I27-1))):INDEX(Attenuation!$J:$J,($H27-1+MIN(MAX(IFERROR(MATCH(LN(P$5),INDEX(Attenuation!$J:$J,$H27):INDEX(Attenuation!$J:$J,$H27+$I27-1),1),1),1),$I27-1))+1)))))</f>
        <v>4.6400000000000006</v>
      </c>
      <c r="Q27" s="12">
        <f>IF($A27="","",IF(Q$5&gt;2*$G27,"",EXP(FORECAST(LN(Q$5),INDEX(Attenuation!$K:$K,($H27-1+MIN(MAX(IFERROR(MATCH(LN(Q$5),INDEX(Attenuation!$J:$J,$H27):INDEX(Attenuation!$J:$J,$H27+$I27-1),1),1),1),$I27-1))):INDEX(Attenuation!$K:$K,($H27-1+MIN(MAX(IFERROR(MATCH(LN(Q$5),INDEX(Attenuation!$J:$J,$H27):INDEX(Attenuation!$J:$J,$H27+$I27-1),1),1),1),$I27-1))+1),INDEX(Attenuation!$J:$J,($H27-1+MIN(MAX(IFERROR(MATCH(LN(Q$5),INDEX(Attenuation!$J:$J,$H27):INDEX(Attenuation!$J:$J,$H27+$I27-1),1),1),1),$I27-1))):INDEX(Attenuation!$J:$J,($H27-1+MIN(MAX(IFERROR(MATCH(LN(Q$5),INDEX(Attenuation!$J:$J,$H27):INDEX(Attenuation!$J:$J,$H27+$I27-1),1),1),1),$I27-1))+1)))))</f>
        <v>8.3135423698362612</v>
      </c>
      <c r="R27" s="12">
        <f>IF($A27="","",IF(R$5&gt;2*$G27,"",EXP(FORECAST(LN(R$5),INDEX(Attenuation!$K:$K,($H27-1+MIN(MAX(IFERROR(MATCH(LN(R$5),INDEX(Attenuation!$J:$J,$H27):INDEX(Attenuation!$J:$J,$H27+$I27-1),1),1),1),$I27-1))):INDEX(Attenuation!$K:$K,($H27-1+MIN(MAX(IFERROR(MATCH(LN(R$5),INDEX(Attenuation!$J:$J,$H27):INDEX(Attenuation!$J:$J,$H27+$I27-1),1),1),1),$I27-1))+1),INDEX(Attenuation!$J:$J,($H27-1+MIN(MAX(IFERROR(MATCH(LN(R$5),INDEX(Attenuation!$J:$J,$H27):INDEX(Attenuation!$J:$J,$H27+$I27-1),1),1),1),$I27-1))):INDEX(Attenuation!$J:$J,($H27-1+MIN(MAX(IFERROR(MATCH(LN(R$5),INDEX(Attenuation!$J:$J,$H27):INDEX(Attenuation!$J:$J,$H27+$I27-1),1),1),1),$I27-1))+1)))))</f>
        <v>16.018131490756467</v>
      </c>
      <c r="S27" s="12">
        <f>IF($A27="","",IF(S$5&gt;2*$G27,"",EXP(FORECAST(LN(S$5),INDEX(Attenuation!$K:$K,($H27-1+MIN(MAX(IFERROR(MATCH(LN(S$5),INDEX(Attenuation!$J:$J,$H27):INDEX(Attenuation!$J:$J,$H27+$I27-1),1),1),1),$I27-1))):INDEX(Attenuation!$K:$K,($H27-1+MIN(MAX(IFERROR(MATCH(LN(S$5),INDEX(Attenuation!$J:$J,$H27):INDEX(Attenuation!$J:$J,$H27+$I27-1),1),1),1),$I27-1))+1),INDEX(Attenuation!$J:$J,($H27-1+MIN(MAX(IFERROR(MATCH(LN(S$5),INDEX(Attenuation!$J:$J,$H27):INDEX(Attenuation!$J:$J,$H27+$I27-1),1),1),1),$I27-1))):INDEX(Attenuation!$J:$J,($H27-1+MIN(MAX(IFERROR(MATCH(LN(S$5),INDEX(Attenuation!$J:$J,$H27):INDEX(Attenuation!$J:$J,$H27+$I27-1),1),1),1),$I27-1))+1)))))</f>
        <v>32.903156923663936</v>
      </c>
      <c r="T27" s="12" t="str">
        <f>IF($A27="","",IF(T$5&gt;2*$G27,"",EXP(FORECAST(LN(T$5),INDEX(Attenuation!$K:$K,($H27-1+MIN(MAX(IFERROR(MATCH(LN(T$5),INDEX(Attenuation!$J:$J,$H27):INDEX(Attenuation!$J:$J,$H27+$I27-1),1),1),1),$I27-1))):INDEX(Attenuation!$K:$K,($H27-1+MIN(MAX(IFERROR(MATCH(LN(T$5),INDEX(Attenuation!$J:$J,$H27):INDEX(Attenuation!$J:$J,$H27+$I27-1),1),1),1),$I27-1))+1),INDEX(Attenuation!$J:$J,($H27-1+MIN(MAX(IFERROR(MATCH(LN(T$5),INDEX(Attenuation!$J:$J,$H27):INDEX(Attenuation!$J:$J,$H27+$I27-1),1),1),1),$I27-1))):INDEX(Attenuation!$J:$J,($H27-1+MIN(MAX(IFERROR(MATCH(LN(T$5),INDEX(Attenuation!$J:$J,$H27):INDEX(Attenuation!$J:$J,$H27+$I27-1),1),1),1),$I27-1))+1)))))</f>
        <v/>
      </c>
      <c r="U27" s="12" t="str">
        <f>IF($A27="","",IF(U$5&gt;2*$G27,"",EXP(FORECAST(LN(U$5),INDEX(Attenuation!$K:$K,($H27-1+MIN(MAX(IFERROR(MATCH(LN(U$5),INDEX(Attenuation!$J:$J,$H27):INDEX(Attenuation!$J:$J,$H27+$I27-1),1),1),1),$I27-1))):INDEX(Attenuation!$K:$K,($H27-1+MIN(MAX(IFERROR(MATCH(LN(U$5),INDEX(Attenuation!$J:$J,$H27):INDEX(Attenuation!$J:$J,$H27+$I27-1),1),1),1),$I27-1))+1),INDEX(Attenuation!$J:$J,($H27-1+MIN(MAX(IFERROR(MATCH(LN(U$5),INDEX(Attenuation!$J:$J,$H27):INDEX(Attenuation!$J:$J,$H27+$I27-1),1),1),1),$I27-1))):INDEX(Attenuation!$J:$J,($H27-1+MIN(MAX(IFERROR(MATCH(LN(U$5),INDEX(Attenuation!$J:$J,$H27):INDEX(Attenuation!$J:$J,$H27+$I27-1),1),1),1),$I27-1))+1)))))</f>
        <v/>
      </c>
      <c r="V27" s="1"/>
      <c r="W27" s="12">
        <f t="shared" si="0"/>
        <v>0.31447475285665299</v>
      </c>
      <c r="X27" s="12">
        <f t="shared" si="1"/>
        <v>0.41349638982405695</v>
      </c>
      <c r="Y27" s="12">
        <f t="shared" si="2"/>
        <v>0.55003979512256984</v>
      </c>
      <c r="Z27" s="12">
        <f t="shared" si="3"/>
        <v>0.752617638675246</v>
      </c>
      <c r="AA27" s="12">
        <f t="shared" si="4"/>
        <v>0.92010139141992542</v>
      </c>
      <c r="AB27" s="12">
        <f t="shared" si="5"/>
        <v>1.061081057621547</v>
      </c>
      <c r="AC27" s="12">
        <f t="shared" si="6"/>
        <v>1.4142720000000002</v>
      </c>
      <c r="AD27" s="12">
        <f t="shared" si="7"/>
        <v>2.5339677143260926</v>
      </c>
      <c r="AE27" s="12">
        <f t="shared" si="8"/>
        <v>4.8823264783825717</v>
      </c>
      <c r="AF27" s="12">
        <f t="shared" si="9"/>
        <v>10.028882230332767</v>
      </c>
      <c r="AG27" s="12" t="str">
        <f t="shared" si="10"/>
        <v/>
      </c>
      <c r="AH27" s="12" t="str">
        <f t="shared" si="11"/>
        <v/>
      </c>
    </row>
    <row r="28" spans="1:34" x14ac:dyDescent="0.25">
      <c r="A28" s="11" t="str">
        <f>IF(ROWS($A$6:A28)&gt;COUNTA(Cables!$A:$A)-1,"",INDEX(Cables!$A:$A,ROWS($A$6:A28)+1))</f>
        <v>BEL-8267</v>
      </c>
      <c r="B28" s="11" t="str">
        <f>IF($A28="","",IF(INDEX(Cables!$B:$B,MATCH($A28,Cables!$A:$A,0))="","",INDEX(Cables!$B:$B,MATCH($A28,Cables!$A:$A,0))))</f>
        <v>Belden 8267 (RG-213/U)</v>
      </c>
      <c r="C28" s="11">
        <f>IF($A28="","",IF(INDEX(Cables!$F:$F,MATCH($A28,Cables!$A:$A,0))="","",INDEX(Cables!$F:$F,MATCH($A28,Cables!$A:$A,0))))</f>
        <v>50</v>
      </c>
      <c r="D28" s="11">
        <f>IF($A28="","",IF(INDEX(Cables!$H:$H,MATCH($A28,Cables!$A:$A,0))="","",INDEX(Cables!$H:$H,MATCH($A28,Cables!$A:$A,0))))</f>
        <v>10.3</v>
      </c>
      <c r="E28" s="12">
        <f>IF($A28="","",IF(INDEX(Cables!$Q:$Q,MATCH($A28,Cables!$A:$A,0))="","",INDEX(Cables!$Q:$Q,MATCH($A28,Cables!$A:$A,0))))</f>
        <v>0.66</v>
      </c>
      <c r="F28" s="11">
        <f>IF($A28="","",IF(INDEX(Cables!$AQ:$AQ,MATCH($A28,Cables!$A:$A,0))="","",INDEX(Cables!$AQ:$AQ,MATCH($A28,Cables!$A:$A,0))))</f>
        <v>1</v>
      </c>
      <c r="G28" s="11">
        <f>IF($A28="","",IF(INDEX(Cables!$AR:$AR,MATCH($A28,Cables!$A:$A,0))="","",INDEX(Cables!$AR:$AR,MATCH($A28,Cables!$A:$A,0))))</f>
        <v>4000</v>
      </c>
      <c r="H28" s="11">
        <f>IF($A28="","",IF(INDEX(Cables!$AO:$AO,MATCH($A28,Cables!$A:$A,0))="","",INDEX(Cables!$AO:$AO,MATCH($A28,Cables!$A:$A,0))))</f>
        <v>262</v>
      </c>
      <c r="I28" s="11">
        <f>IF($A28="","",IF(INDEX(Cables!$AP:$AP,MATCH($A28,Cables!$A:$A,0))="","",INDEX(Cables!$AP:$AP,MATCH($A28,Cables!$A:$A,0))))</f>
        <v>10</v>
      </c>
      <c r="J28" s="12">
        <f>IF($A28="","",IF(J$5&gt;2*$G28,"",EXP(FORECAST(LN(J$5),INDEX(Attenuation!$K:$K,($H28-1+MIN(MAX(IFERROR(MATCH(LN(J$5),INDEX(Attenuation!$J:$J,$H28):INDEX(Attenuation!$J:$J,$H28+$I28-1),1),1),1),$I28-1))):INDEX(Attenuation!$K:$K,($H28-1+MIN(MAX(IFERROR(MATCH(LN(J$5),INDEX(Attenuation!$J:$J,$H28):INDEX(Attenuation!$J:$J,$H28+$I28-1),1),1),1),$I28-1))+1),INDEX(Attenuation!$J:$J,($H28-1+MIN(MAX(IFERROR(MATCH(LN(J$5),INDEX(Attenuation!$J:$J,$H28):INDEX(Attenuation!$J:$J,$H28+$I28-1),1),1),1),$I28-1))):INDEX(Attenuation!$J:$J,($H28-1+MIN(MAX(IFERROR(MATCH(LN(J$5),INDEX(Attenuation!$J:$J,$H28):INDEX(Attenuation!$J:$J,$H28+$I28-1),1),1),1),$I28-1))+1)))))</f>
        <v>0.75266361786627312</v>
      </c>
      <c r="K28" s="12">
        <f>IF($A28="","",IF(K$5&gt;2*$G28,"",EXP(FORECAST(LN(K$5),INDEX(Attenuation!$K:$K,($H28-1+MIN(MAX(IFERROR(MATCH(LN(K$5),INDEX(Attenuation!$J:$J,$H28):INDEX(Attenuation!$J:$J,$H28+$I28-1),1),1),1),$I28-1))):INDEX(Attenuation!$K:$K,($H28-1+MIN(MAX(IFERROR(MATCH(LN(K$5),INDEX(Attenuation!$J:$J,$H28):INDEX(Attenuation!$J:$J,$H28+$I28-1),1),1),1),$I28-1))+1),INDEX(Attenuation!$J:$J,($H28-1+MIN(MAX(IFERROR(MATCH(LN(K$5),INDEX(Attenuation!$J:$J,$H28):INDEX(Attenuation!$J:$J,$H28+$I28-1),1),1),1),$I28-1))):INDEX(Attenuation!$J:$J,($H28-1+MIN(MAX(IFERROR(MATCH(LN(K$5),INDEX(Attenuation!$J:$J,$H28):INDEX(Attenuation!$J:$J,$H28+$I28-1),1),1),1),$I28-1))+1)))))</f>
        <v>1.0564811321195748</v>
      </c>
      <c r="L28" s="12">
        <f>IF($A28="","",IF(L$5&gt;2*$G28,"",EXP(FORECAST(LN(L$5),INDEX(Attenuation!$K:$K,($H28-1+MIN(MAX(IFERROR(MATCH(LN(L$5),INDEX(Attenuation!$J:$J,$H28):INDEX(Attenuation!$J:$J,$H28+$I28-1),1),1),1),$I28-1))):INDEX(Attenuation!$K:$K,($H28-1+MIN(MAX(IFERROR(MATCH(LN(L$5),INDEX(Attenuation!$J:$J,$H28):INDEX(Attenuation!$J:$J,$H28+$I28-1),1),1),1),$I28-1))+1),INDEX(Attenuation!$J:$J,($H28-1+MIN(MAX(IFERROR(MATCH(LN(L$5),INDEX(Attenuation!$J:$J,$H28):INDEX(Attenuation!$J:$J,$H28+$I28-1),1),1),1),$I28-1))):INDEX(Attenuation!$J:$J,($H28-1+MIN(MAX(IFERROR(MATCH(LN(L$5),INDEX(Attenuation!$J:$J,$H28):INDEX(Attenuation!$J:$J,$H28+$I28-1),1),1),1),$I28-1))+1)))))</f>
        <v>1.5043922405408876</v>
      </c>
      <c r="M28" s="12">
        <f>IF($A28="","",IF(M$5&gt;2*$G28,"",EXP(FORECAST(LN(M$5),INDEX(Attenuation!$K:$K,($H28-1+MIN(MAX(IFERROR(MATCH(LN(M$5),INDEX(Attenuation!$J:$J,$H28):INDEX(Attenuation!$J:$J,$H28+$I28-1),1),1),1),$I28-1))):INDEX(Attenuation!$K:$K,($H28-1+MIN(MAX(IFERROR(MATCH(LN(M$5),INDEX(Attenuation!$J:$J,$H28):INDEX(Attenuation!$J:$J,$H28+$I28-1),1),1),1),$I28-1))+1),INDEX(Attenuation!$J:$J,($H28-1+MIN(MAX(IFERROR(MATCH(LN(M$5),INDEX(Attenuation!$J:$J,$H28):INDEX(Attenuation!$J:$J,$H28+$I28-1),1),1),1),$I28-1))):INDEX(Attenuation!$J:$J,($H28-1+MIN(MAX(IFERROR(MATCH(LN(M$5),INDEX(Attenuation!$J:$J,$H28):INDEX(Attenuation!$J:$J,$H28+$I28-1),1),1),1),$I28-1))+1)))))</f>
        <v>2.1599775167289783</v>
      </c>
      <c r="N28" s="12">
        <f>IF($A28="","",IF(N$5&gt;2*$G28,"",EXP(FORECAST(LN(N$5),INDEX(Attenuation!$K:$K,($H28-1+MIN(MAX(IFERROR(MATCH(LN(N$5),INDEX(Attenuation!$J:$J,$H28):INDEX(Attenuation!$J:$J,$H28+$I28-1),1),1),1),$I28-1))):INDEX(Attenuation!$K:$K,($H28-1+MIN(MAX(IFERROR(MATCH(LN(N$5),INDEX(Attenuation!$J:$J,$H28):INDEX(Attenuation!$J:$J,$H28+$I28-1),1),1),1),$I28-1))+1),INDEX(Attenuation!$J:$J,($H28-1+MIN(MAX(IFERROR(MATCH(LN(N$5),INDEX(Attenuation!$J:$J,$H28):INDEX(Attenuation!$J:$J,$H28+$I28-1),1),1),1),$I28-1))):INDEX(Attenuation!$J:$J,($H28-1+MIN(MAX(IFERROR(MATCH(LN(N$5),INDEX(Attenuation!$J:$J,$H28):INDEX(Attenuation!$J:$J,$H28+$I28-1),1),1),1),$I28-1))+1)))))</f>
        <v>2.6826577602822215</v>
      </c>
      <c r="O28" s="12">
        <f>IF($A28="","",IF(O$5&gt;2*$G28,"",EXP(FORECAST(LN(O$5),INDEX(Attenuation!$K:$K,($H28-1+MIN(MAX(IFERROR(MATCH(LN(O$5),INDEX(Attenuation!$J:$J,$H28):INDEX(Attenuation!$J:$J,$H28+$I28-1),1),1),1),$I28-1))):INDEX(Attenuation!$K:$K,($H28-1+MIN(MAX(IFERROR(MATCH(LN(O$5),INDEX(Attenuation!$J:$J,$H28):INDEX(Attenuation!$J:$J,$H28+$I28-1),1),1),1),$I28-1))+1),INDEX(Attenuation!$J:$J,($H28-1+MIN(MAX(IFERROR(MATCH(LN(O$5),INDEX(Attenuation!$J:$J,$H28):INDEX(Attenuation!$J:$J,$H28+$I28-1),1),1),1),$I28-1))):INDEX(Attenuation!$J:$J,($H28-1+MIN(MAX(IFERROR(MATCH(LN(O$5),INDEX(Attenuation!$J:$J,$H28):INDEX(Attenuation!$J:$J,$H28+$I28-1),1),1),1),$I28-1))+1)))))</f>
        <v>3.1285396584329526</v>
      </c>
      <c r="P28" s="12">
        <f>IF($A28="","",IF(P$5&gt;2*$G28,"",EXP(FORECAST(LN(P$5),INDEX(Attenuation!$K:$K,($H28-1+MIN(MAX(IFERROR(MATCH(LN(P$5),INDEX(Attenuation!$J:$J,$H28):INDEX(Attenuation!$J:$J,$H28+$I28-1),1),1),1),$I28-1))):INDEX(Attenuation!$K:$K,($H28-1+MIN(MAX(IFERROR(MATCH(LN(P$5),INDEX(Attenuation!$J:$J,$H28):INDEX(Attenuation!$J:$J,$H28+$I28-1),1),1),1),$I28-1))+1),INDEX(Attenuation!$J:$J,($H28-1+MIN(MAX(IFERROR(MATCH(LN(P$5),INDEX(Attenuation!$J:$J,$H28):INDEX(Attenuation!$J:$J,$H28+$I28-1),1),1),1),$I28-1))):INDEX(Attenuation!$J:$J,($H28-1+MIN(MAX(IFERROR(MATCH(LN(P$5),INDEX(Attenuation!$J:$J,$H28):INDEX(Attenuation!$J:$J,$H28+$I28-1),1),1),1),$I28-1))+1)))))</f>
        <v>4.2650918635170587</v>
      </c>
      <c r="Q28" s="12">
        <f>IF($A28="","",IF(Q$5&gt;2*$G28,"",EXP(FORECAST(LN(Q$5),INDEX(Attenuation!$K:$K,($H28-1+MIN(MAX(IFERROR(MATCH(LN(Q$5),INDEX(Attenuation!$J:$J,$H28):INDEX(Attenuation!$J:$J,$H28+$I28-1),1),1),1),$I28-1))):INDEX(Attenuation!$K:$K,($H28-1+MIN(MAX(IFERROR(MATCH(LN(Q$5),INDEX(Attenuation!$J:$J,$H28):INDEX(Attenuation!$J:$J,$H28+$I28-1),1),1),1),$I28-1))+1),INDEX(Attenuation!$J:$J,($H28-1+MIN(MAX(IFERROR(MATCH(LN(Q$5),INDEX(Attenuation!$J:$J,$H28):INDEX(Attenuation!$J:$J,$H28+$I28-1),1),1),1),$I28-1))):INDEX(Attenuation!$J:$J,($H28-1+MIN(MAX(IFERROR(MATCH(LN(Q$5),INDEX(Attenuation!$J:$J,$H28):INDEX(Attenuation!$J:$J,$H28+$I28-1),1),1),1),$I28-1))+1)))))</f>
        <v>7.4993234521494427</v>
      </c>
      <c r="R28" s="12">
        <f>IF($A28="","",IF(R$5&gt;2*$G28,"",EXP(FORECAST(LN(R$5),INDEX(Attenuation!$K:$K,($H28-1+MIN(MAX(IFERROR(MATCH(LN(R$5),INDEX(Attenuation!$J:$J,$H28):INDEX(Attenuation!$J:$J,$H28+$I28-1),1),1),1),$I28-1))):INDEX(Attenuation!$K:$K,($H28-1+MIN(MAX(IFERROR(MATCH(LN(R$5),INDEX(Attenuation!$J:$J,$H28):INDEX(Attenuation!$J:$J,$H28+$I28-1),1),1),1),$I28-1))+1),INDEX(Attenuation!$J:$J,($H28-1+MIN(MAX(IFERROR(MATCH(LN(R$5),INDEX(Attenuation!$J:$J,$H28):INDEX(Attenuation!$J:$J,$H28+$I28-1),1),1),1),$I28-1))):INDEX(Attenuation!$J:$J,($H28-1+MIN(MAX(IFERROR(MATCH(LN(R$5),INDEX(Attenuation!$J:$J,$H28):INDEX(Attenuation!$J:$J,$H28+$I28-1),1),1),1),$I28-1))+1)))))</f>
        <v>14.331500414680271</v>
      </c>
      <c r="S28" s="12">
        <f>IF($A28="","",IF(S$5&gt;2*$G28,"",EXP(FORECAST(LN(S$5),INDEX(Attenuation!$K:$K,($H28-1+MIN(MAX(IFERROR(MATCH(LN(S$5),INDEX(Attenuation!$J:$J,$H28):INDEX(Attenuation!$J:$J,$H28+$I28-1),1),1),1),$I28-1))):INDEX(Attenuation!$K:$K,($H28-1+MIN(MAX(IFERROR(MATCH(LN(S$5),INDEX(Attenuation!$J:$J,$H28):INDEX(Attenuation!$J:$J,$H28+$I28-1),1),1),1),$I28-1))+1),INDEX(Attenuation!$J:$J,($H28-1+MIN(MAX(IFERROR(MATCH(LN(S$5),INDEX(Attenuation!$J:$J,$H28):INDEX(Attenuation!$J:$J,$H28+$I28-1),1),1),1),$I28-1))):INDEX(Attenuation!$J:$J,($H28-1+MIN(MAX(IFERROR(MATCH(LN(S$5),INDEX(Attenuation!$J:$J,$H28):INDEX(Attenuation!$J:$J,$H28+$I28-1),1),1),1),$I28-1))+1)))))</f>
        <v>31.577467495752625</v>
      </c>
      <c r="T28" s="12">
        <f>IF($A28="","",IF(T$5&gt;2*$G28,"",EXP(FORECAST(LN(T$5),INDEX(Attenuation!$K:$K,($H28-1+MIN(MAX(IFERROR(MATCH(LN(T$5),INDEX(Attenuation!$J:$J,$H28):INDEX(Attenuation!$J:$J,$H28+$I28-1),1),1),1),$I28-1))):INDEX(Attenuation!$K:$K,($H28-1+MIN(MAX(IFERROR(MATCH(LN(T$5),INDEX(Attenuation!$J:$J,$H28):INDEX(Attenuation!$J:$J,$H28+$I28-1),1),1),1),$I28-1))+1),INDEX(Attenuation!$J:$J,($H28-1+MIN(MAX(IFERROR(MATCH(LN(T$5),INDEX(Attenuation!$J:$J,$H28):INDEX(Attenuation!$J:$J,$H28+$I28-1),1),1),1),$I28-1))):INDEX(Attenuation!$J:$J,($H28-1+MIN(MAX(IFERROR(MATCH(LN(T$5),INDEX(Attenuation!$J:$J,$H28):INDEX(Attenuation!$J:$J,$H28+$I28-1),1),1),1),$I28-1))+1)))))</f>
        <v>49.002244285918152</v>
      </c>
      <c r="U28" s="12">
        <f>IF($A28="","",IF(U$5&gt;2*$G28,"",EXP(FORECAST(LN(U$5),INDEX(Attenuation!$K:$K,($H28-1+MIN(MAX(IFERROR(MATCH(LN(U$5),INDEX(Attenuation!$J:$J,$H28):INDEX(Attenuation!$J:$J,$H28+$I28-1),1),1),1),$I28-1))):INDEX(Attenuation!$K:$K,($H28-1+MIN(MAX(IFERROR(MATCH(LN(U$5),INDEX(Attenuation!$J:$J,$H28):INDEX(Attenuation!$J:$J,$H28+$I28-1),1),1),1),$I28-1))+1),INDEX(Attenuation!$J:$J,($H28-1+MIN(MAX(IFERROR(MATCH(LN(U$5),INDEX(Attenuation!$J:$J,$H28):INDEX(Attenuation!$J:$J,$H28+$I28-1),1),1),1),$I28-1))):INDEX(Attenuation!$J:$J,($H28-1+MIN(MAX(IFERROR(MATCH(LN(U$5),INDEX(Attenuation!$J:$J,$H28):INDEX(Attenuation!$J:$J,$H28+$I28-1),1),1),1),$I28-1))+1)))))</f>
        <v>91.486479906663973</v>
      </c>
      <c r="V28" s="1"/>
      <c r="W28" s="12">
        <f t="shared" si="0"/>
        <v>0.22941187072564007</v>
      </c>
      <c r="X28" s="12">
        <f t="shared" si="1"/>
        <v>0.32201544907004642</v>
      </c>
      <c r="Y28" s="12">
        <f t="shared" si="2"/>
        <v>0.45853875491686258</v>
      </c>
      <c r="Z28" s="12">
        <f t="shared" si="3"/>
        <v>0.65836114709899263</v>
      </c>
      <c r="AA28" s="12">
        <f t="shared" si="4"/>
        <v>0.81767408533402119</v>
      </c>
      <c r="AB28" s="12">
        <f t="shared" si="5"/>
        <v>0.95357888789036394</v>
      </c>
      <c r="AC28" s="12">
        <f t="shared" si="6"/>
        <v>1.2999999999999996</v>
      </c>
      <c r="AD28" s="12">
        <f t="shared" si="7"/>
        <v>2.2857937882151504</v>
      </c>
      <c r="AE28" s="12">
        <f t="shared" si="8"/>
        <v>4.3682413263945463</v>
      </c>
      <c r="AF28" s="12">
        <f t="shared" si="9"/>
        <v>9.6248120927054011</v>
      </c>
      <c r="AG28" s="12">
        <f t="shared" si="10"/>
        <v>14.935884058347854</v>
      </c>
      <c r="AH28" s="12">
        <f t="shared" si="11"/>
        <v>27.885079075551179</v>
      </c>
    </row>
    <row r="29" spans="1:34" x14ac:dyDescent="0.25">
      <c r="A29" s="11" t="str">
        <f>IF(ROWS($A$6:A29)&gt;COUNTA(Cables!$A:$A)-1,"",INDEX(Cables!$A:$A,ROWS($A$6:A29)+1))</f>
        <v>BEL-8268</v>
      </c>
      <c r="B29" s="11" t="str">
        <f>IF($A29="","",IF(INDEX(Cables!$B:$B,MATCH($A29,Cables!$A:$A,0))="","",INDEX(Cables!$B:$B,MATCH($A29,Cables!$A:$A,0))))</f>
        <v>Belden 8268 (RG-214/U)</v>
      </c>
      <c r="C29" s="11">
        <f>IF($A29="","",IF(INDEX(Cables!$F:$F,MATCH($A29,Cables!$A:$A,0))="","",INDEX(Cables!$F:$F,MATCH($A29,Cables!$A:$A,0))))</f>
        <v>50</v>
      </c>
      <c r="D29" s="11">
        <f>IF($A29="","",IF(INDEX(Cables!$H:$H,MATCH($A29,Cables!$A:$A,0))="","",INDEX(Cables!$H:$H,MATCH($A29,Cables!$A:$A,0))))</f>
        <v>10.8</v>
      </c>
      <c r="E29" s="12">
        <f>IF($A29="","",IF(INDEX(Cables!$Q:$Q,MATCH($A29,Cables!$A:$A,0))="","",INDEX(Cables!$Q:$Q,MATCH($A29,Cables!$A:$A,0))))</f>
        <v>0.66</v>
      </c>
      <c r="F29" s="11">
        <f>IF($A29="","",IF(INDEX(Cables!$AQ:$AQ,MATCH($A29,Cables!$A:$A,0))="","",INDEX(Cables!$AQ:$AQ,MATCH($A29,Cables!$A:$A,0))))</f>
        <v>1</v>
      </c>
      <c r="G29" s="11">
        <f>IF($A29="","",IF(INDEX(Cables!$AR:$AR,MATCH($A29,Cables!$A:$A,0))="","",INDEX(Cables!$AR:$AR,MATCH($A29,Cables!$A:$A,0))))</f>
        <v>4000</v>
      </c>
      <c r="H29" s="11">
        <f>IF($A29="","",IF(INDEX(Cables!$AO:$AO,MATCH($A29,Cables!$A:$A,0))="","",INDEX(Cables!$AO:$AO,MATCH($A29,Cables!$A:$A,0))))</f>
        <v>272</v>
      </c>
      <c r="I29" s="11">
        <f>IF($A29="","",IF(INDEX(Cables!$AP:$AP,MATCH($A29,Cables!$A:$A,0))="","",INDEX(Cables!$AP:$AP,MATCH($A29,Cables!$A:$A,0))))</f>
        <v>10</v>
      </c>
      <c r="J29" s="12">
        <f>IF($A29="","",IF(J$5&gt;2*$G29,"",EXP(FORECAST(LN(J$5),INDEX(Attenuation!$K:$K,($H29-1+MIN(MAX(IFERROR(MATCH(LN(J$5),INDEX(Attenuation!$J:$J,$H29):INDEX(Attenuation!$J:$J,$H29+$I29-1),1),1),1),$I29-1))):INDEX(Attenuation!$K:$K,($H29-1+MIN(MAX(IFERROR(MATCH(LN(J$5),INDEX(Attenuation!$J:$J,$H29):INDEX(Attenuation!$J:$J,$H29+$I29-1),1),1),1),$I29-1))+1),INDEX(Attenuation!$J:$J,($H29-1+MIN(MAX(IFERROR(MATCH(LN(J$5),INDEX(Attenuation!$J:$J,$H29):INDEX(Attenuation!$J:$J,$H29+$I29-1),1),1),1),$I29-1))):INDEX(Attenuation!$J:$J,($H29-1+MIN(MAX(IFERROR(MATCH(LN(J$5),INDEX(Attenuation!$J:$J,$H29):INDEX(Attenuation!$J:$J,$H29+$I29-1),1),1),1),$I29-1))+1)))))</f>
        <v>0.75266361786627312</v>
      </c>
      <c r="K29" s="12">
        <f>IF($A29="","",IF(K$5&gt;2*$G29,"",EXP(FORECAST(LN(K$5),INDEX(Attenuation!$K:$K,($H29-1+MIN(MAX(IFERROR(MATCH(LN(K$5),INDEX(Attenuation!$J:$J,$H29):INDEX(Attenuation!$J:$J,$H29+$I29-1),1),1),1),$I29-1))):INDEX(Attenuation!$K:$K,($H29-1+MIN(MAX(IFERROR(MATCH(LN(K$5),INDEX(Attenuation!$J:$J,$H29):INDEX(Attenuation!$J:$J,$H29+$I29-1),1),1),1),$I29-1))+1),INDEX(Attenuation!$J:$J,($H29-1+MIN(MAX(IFERROR(MATCH(LN(K$5),INDEX(Attenuation!$J:$J,$H29):INDEX(Attenuation!$J:$J,$H29+$I29-1),1),1),1),$I29-1))):INDEX(Attenuation!$J:$J,($H29-1+MIN(MAX(IFERROR(MATCH(LN(K$5),INDEX(Attenuation!$J:$J,$H29):INDEX(Attenuation!$J:$J,$H29+$I29-1),1),1),1),$I29-1))+1)))))</f>
        <v>1.0564811321195748</v>
      </c>
      <c r="L29" s="12">
        <f>IF($A29="","",IF(L$5&gt;2*$G29,"",EXP(FORECAST(LN(L$5),INDEX(Attenuation!$K:$K,($H29-1+MIN(MAX(IFERROR(MATCH(LN(L$5),INDEX(Attenuation!$J:$J,$H29):INDEX(Attenuation!$J:$J,$H29+$I29-1),1),1),1),$I29-1))):INDEX(Attenuation!$K:$K,($H29-1+MIN(MAX(IFERROR(MATCH(LN(L$5),INDEX(Attenuation!$J:$J,$H29):INDEX(Attenuation!$J:$J,$H29+$I29-1),1),1),1),$I29-1))+1),INDEX(Attenuation!$J:$J,($H29-1+MIN(MAX(IFERROR(MATCH(LN(L$5),INDEX(Attenuation!$J:$J,$H29):INDEX(Attenuation!$J:$J,$H29+$I29-1),1),1),1),$I29-1))):INDEX(Attenuation!$J:$J,($H29-1+MIN(MAX(IFERROR(MATCH(LN(L$5),INDEX(Attenuation!$J:$J,$H29):INDEX(Attenuation!$J:$J,$H29+$I29-1),1),1),1),$I29-1))+1)))))</f>
        <v>1.5043922405408876</v>
      </c>
      <c r="M29" s="12">
        <f>IF($A29="","",IF(M$5&gt;2*$G29,"",EXP(FORECAST(LN(M$5),INDEX(Attenuation!$K:$K,($H29-1+MIN(MAX(IFERROR(MATCH(LN(M$5),INDEX(Attenuation!$J:$J,$H29):INDEX(Attenuation!$J:$J,$H29+$I29-1),1),1),1),$I29-1))):INDEX(Attenuation!$K:$K,($H29-1+MIN(MAX(IFERROR(MATCH(LN(M$5),INDEX(Attenuation!$J:$J,$H29):INDEX(Attenuation!$J:$J,$H29+$I29-1),1),1),1),$I29-1))+1),INDEX(Attenuation!$J:$J,($H29-1+MIN(MAX(IFERROR(MATCH(LN(M$5),INDEX(Attenuation!$J:$J,$H29):INDEX(Attenuation!$J:$J,$H29+$I29-1),1),1),1),$I29-1))):INDEX(Attenuation!$J:$J,($H29-1+MIN(MAX(IFERROR(MATCH(LN(M$5),INDEX(Attenuation!$J:$J,$H29):INDEX(Attenuation!$J:$J,$H29+$I29-1),1),1),1),$I29-1))+1)))))</f>
        <v>2.1599775167289783</v>
      </c>
      <c r="N29" s="12">
        <f>IF($A29="","",IF(N$5&gt;2*$G29,"",EXP(FORECAST(LN(N$5),INDEX(Attenuation!$K:$K,($H29-1+MIN(MAX(IFERROR(MATCH(LN(N$5),INDEX(Attenuation!$J:$J,$H29):INDEX(Attenuation!$J:$J,$H29+$I29-1),1),1),1),$I29-1))):INDEX(Attenuation!$K:$K,($H29-1+MIN(MAX(IFERROR(MATCH(LN(N$5),INDEX(Attenuation!$J:$J,$H29):INDEX(Attenuation!$J:$J,$H29+$I29-1),1),1),1),$I29-1))+1),INDEX(Attenuation!$J:$J,($H29-1+MIN(MAX(IFERROR(MATCH(LN(N$5),INDEX(Attenuation!$J:$J,$H29):INDEX(Attenuation!$J:$J,$H29+$I29-1),1),1),1),$I29-1))):INDEX(Attenuation!$J:$J,($H29-1+MIN(MAX(IFERROR(MATCH(LN(N$5),INDEX(Attenuation!$J:$J,$H29):INDEX(Attenuation!$J:$J,$H29+$I29-1),1),1),1),$I29-1))+1)))))</f>
        <v>2.6826577602822215</v>
      </c>
      <c r="O29" s="12">
        <f>IF($A29="","",IF(O$5&gt;2*$G29,"",EXP(FORECAST(LN(O$5),INDEX(Attenuation!$K:$K,($H29-1+MIN(MAX(IFERROR(MATCH(LN(O$5),INDEX(Attenuation!$J:$J,$H29):INDEX(Attenuation!$J:$J,$H29+$I29-1),1),1),1),$I29-1))):INDEX(Attenuation!$K:$K,($H29-1+MIN(MAX(IFERROR(MATCH(LN(O$5),INDEX(Attenuation!$J:$J,$H29):INDEX(Attenuation!$J:$J,$H29+$I29-1),1),1),1),$I29-1))+1),INDEX(Attenuation!$J:$J,($H29-1+MIN(MAX(IFERROR(MATCH(LN(O$5),INDEX(Attenuation!$J:$J,$H29):INDEX(Attenuation!$J:$J,$H29+$I29-1),1),1),1),$I29-1))):INDEX(Attenuation!$J:$J,($H29-1+MIN(MAX(IFERROR(MATCH(LN(O$5),INDEX(Attenuation!$J:$J,$H29):INDEX(Attenuation!$J:$J,$H29+$I29-1),1),1),1),$I29-1))+1)))))</f>
        <v>3.1285396584329526</v>
      </c>
      <c r="P29" s="12">
        <f>IF($A29="","",IF(P$5&gt;2*$G29,"",EXP(FORECAST(LN(P$5),INDEX(Attenuation!$K:$K,($H29-1+MIN(MAX(IFERROR(MATCH(LN(P$5),INDEX(Attenuation!$J:$J,$H29):INDEX(Attenuation!$J:$J,$H29+$I29-1),1),1),1),$I29-1))):INDEX(Attenuation!$K:$K,($H29-1+MIN(MAX(IFERROR(MATCH(LN(P$5),INDEX(Attenuation!$J:$J,$H29):INDEX(Attenuation!$J:$J,$H29+$I29-1),1),1),1),$I29-1))+1),INDEX(Attenuation!$J:$J,($H29-1+MIN(MAX(IFERROR(MATCH(LN(P$5),INDEX(Attenuation!$J:$J,$H29):INDEX(Attenuation!$J:$J,$H29+$I29-1),1),1),1),$I29-1))):INDEX(Attenuation!$J:$J,($H29-1+MIN(MAX(IFERROR(MATCH(LN(P$5),INDEX(Attenuation!$J:$J,$H29):INDEX(Attenuation!$J:$J,$H29+$I29-1),1),1),1),$I29-1))+1)))))</f>
        <v>4.2650918635170587</v>
      </c>
      <c r="Q29" s="12">
        <f>IF($A29="","",IF(Q$5&gt;2*$G29,"",EXP(FORECAST(LN(Q$5),INDEX(Attenuation!$K:$K,($H29-1+MIN(MAX(IFERROR(MATCH(LN(Q$5),INDEX(Attenuation!$J:$J,$H29):INDEX(Attenuation!$J:$J,$H29+$I29-1),1),1),1),$I29-1))):INDEX(Attenuation!$K:$K,($H29-1+MIN(MAX(IFERROR(MATCH(LN(Q$5),INDEX(Attenuation!$J:$J,$H29):INDEX(Attenuation!$J:$J,$H29+$I29-1),1),1),1),$I29-1))+1),INDEX(Attenuation!$J:$J,($H29-1+MIN(MAX(IFERROR(MATCH(LN(Q$5),INDEX(Attenuation!$J:$J,$H29):INDEX(Attenuation!$J:$J,$H29+$I29-1),1),1),1),$I29-1))):INDEX(Attenuation!$J:$J,($H29-1+MIN(MAX(IFERROR(MATCH(LN(Q$5),INDEX(Attenuation!$J:$J,$H29):INDEX(Attenuation!$J:$J,$H29+$I29-1),1),1),1),$I29-1))+1)))))</f>
        <v>7.4993234521494427</v>
      </c>
      <c r="R29" s="12">
        <f>IF($A29="","",IF(R$5&gt;2*$G29,"",EXP(FORECAST(LN(R$5),INDEX(Attenuation!$K:$K,($H29-1+MIN(MAX(IFERROR(MATCH(LN(R$5),INDEX(Attenuation!$J:$J,$H29):INDEX(Attenuation!$J:$J,$H29+$I29-1),1),1),1),$I29-1))):INDEX(Attenuation!$K:$K,($H29-1+MIN(MAX(IFERROR(MATCH(LN(R$5),INDEX(Attenuation!$J:$J,$H29):INDEX(Attenuation!$J:$J,$H29+$I29-1),1),1),1),$I29-1))+1),INDEX(Attenuation!$J:$J,($H29-1+MIN(MAX(IFERROR(MATCH(LN(R$5),INDEX(Attenuation!$J:$J,$H29):INDEX(Attenuation!$J:$J,$H29+$I29-1),1),1),1),$I29-1))):INDEX(Attenuation!$J:$J,($H29-1+MIN(MAX(IFERROR(MATCH(LN(R$5),INDEX(Attenuation!$J:$J,$H29):INDEX(Attenuation!$J:$J,$H29+$I29-1),1),1),1),$I29-1))+1)))))</f>
        <v>14.331500414680271</v>
      </c>
      <c r="S29" s="12">
        <f>IF($A29="","",IF(S$5&gt;2*$G29,"",EXP(FORECAST(LN(S$5),INDEX(Attenuation!$K:$K,($H29-1+MIN(MAX(IFERROR(MATCH(LN(S$5),INDEX(Attenuation!$J:$J,$H29):INDEX(Attenuation!$J:$J,$H29+$I29-1),1),1),1),$I29-1))):INDEX(Attenuation!$K:$K,($H29-1+MIN(MAX(IFERROR(MATCH(LN(S$5),INDEX(Attenuation!$J:$J,$H29):INDEX(Attenuation!$J:$J,$H29+$I29-1),1),1),1),$I29-1))+1),INDEX(Attenuation!$J:$J,($H29-1+MIN(MAX(IFERROR(MATCH(LN(S$5),INDEX(Attenuation!$J:$J,$H29):INDEX(Attenuation!$J:$J,$H29+$I29-1),1),1),1),$I29-1))):INDEX(Attenuation!$J:$J,($H29-1+MIN(MAX(IFERROR(MATCH(LN(S$5),INDEX(Attenuation!$J:$J,$H29):INDEX(Attenuation!$J:$J,$H29+$I29-1),1),1),1),$I29-1))+1)))))</f>
        <v>31.153215686259866</v>
      </c>
      <c r="T29" s="12">
        <f>IF($A29="","",IF(T$5&gt;2*$G29,"",EXP(FORECAST(LN(T$5),INDEX(Attenuation!$K:$K,($H29-1+MIN(MAX(IFERROR(MATCH(LN(T$5),INDEX(Attenuation!$J:$J,$H29):INDEX(Attenuation!$J:$J,$H29+$I29-1),1),1),1),$I29-1))):INDEX(Attenuation!$K:$K,($H29-1+MIN(MAX(IFERROR(MATCH(LN(T$5),INDEX(Attenuation!$J:$J,$H29):INDEX(Attenuation!$J:$J,$H29+$I29-1),1),1),1),$I29-1))+1),INDEX(Attenuation!$J:$J,($H29-1+MIN(MAX(IFERROR(MATCH(LN(T$5),INDEX(Attenuation!$J:$J,$H29):INDEX(Attenuation!$J:$J,$H29+$I29-1),1),1),1),$I29-1))):INDEX(Attenuation!$J:$J,($H29-1+MIN(MAX(IFERROR(MATCH(LN(T$5),INDEX(Attenuation!$J:$J,$H29):INDEX(Attenuation!$J:$J,$H29+$I29-1),1),1),1),$I29-1))+1)))))</f>
        <v>46.814564271905503</v>
      </c>
      <c r="U29" s="12">
        <f>IF($A29="","",IF(U$5&gt;2*$G29,"",EXP(FORECAST(LN(U$5),INDEX(Attenuation!$K:$K,($H29-1+MIN(MAX(IFERROR(MATCH(LN(U$5),INDEX(Attenuation!$J:$J,$H29):INDEX(Attenuation!$J:$J,$H29+$I29-1),1),1),1),$I29-1))):INDEX(Attenuation!$K:$K,($H29-1+MIN(MAX(IFERROR(MATCH(LN(U$5),INDEX(Attenuation!$J:$J,$H29):INDEX(Attenuation!$J:$J,$H29+$I29-1),1),1),1),$I29-1))+1),INDEX(Attenuation!$J:$J,($H29-1+MIN(MAX(IFERROR(MATCH(LN(U$5),INDEX(Attenuation!$J:$J,$H29):INDEX(Attenuation!$J:$J,$H29+$I29-1),1),1),1),$I29-1))):INDEX(Attenuation!$J:$J,($H29-1+MIN(MAX(IFERROR(MATCH(LN(U$5),INDEX(Attenuation!$J:$J,$H29):INDEX(Attenuation!$J:$J,$H29+$I29-1),1),1),1),$I29-1))+1)))))</f>
        <v>83.500090605594963</v>
      </c>
      <c r="V29" s="1"/>
      <c r="W29" s="12">
        <f t="shared" si="0"/>
        <v>0.22941187072564007</v>
      </c>
      <c r="X29" s="12">
        <f t="shared" si="1"/>
        <v>0.32201544907004642</v>
      </c>
      <c r="Y29" s="12">
        <f t="shared" si="2"/>
        <v>0.45853875491686258</v>
      </c>
      <c r="Z29" s="12">
        <f t="shared" si="3"/>
        <v>0.65836114709899263</v>
      </c>
      <c r="AA29" s="12">
        <f t="shared" si="4"/>
        <v>0.81767408533402119</v>
      </c>
      <c r="AB29" s="12">
        <f t="shared" si="5"/>
        <v>0.95357888789036394</v>
      </c>
      <c r="AC29" s="12">
        <f t="shared" si="6"/>
        <v>1.2999999999999996</v>
      </c>
      <c r="AD29" s="12">
        <f t="shared" si="7"/>
        <v>2.2857937882151504</v>
      </c>
      <c r="AE29" s="12">
        <f t="shared" si="8"/>
        <v>4.3682413263945463</v>
      </c>
      <c r="AF29" s="12">
        <f t="shared" si="9"/>
        <v>9.4955001411720072</v>
      </c>
      <c r="AG29" s="12">
        <f t="shared" si="10"/>
        <v>14.269079190076798</v>
      </c>
      <c r="AH29" s="12">
        <f t="shared" si="11"/>
        <v>25.450827616585347</v>
      </c>
    </row>
    <row r="30" spans="1:34" x14ac:dyDescent="0.25">
      <c r="A30" s="11" t="str">
        <f>IF(ROWS($A$6:A30)&gt;COUNTA(Cables!$A:$A)-1,"",INDEX(Cables!$A:$A,ROWS($A$6:A30)+1))</f>
        <v>MP-RG213U</v>
      </c>
      <c r="B30" s="11" t="str">
        <f>IF($A30="","",IF(INDEX(Cables!$B:$B,MATCH($A30,Cables!$A:$A,0))="","",INDEX(Cables!$B:$B,MATCH($A30,Cables!$A:$A,0))))</f>
        <v>Messi &amp; Paoloni RG 213/U</v>
      </c>
      <c r="C30" s="11">
        <f>IF($A30="","",IF(INDEX(Cables!$F:$F,MATCH($A30,Cables!$A:$A,0))="","",INDEX(Cables!$F:$F,MATCH($A30,Cables!$A:$A,0))))</f>
        <v>50</v>
      </c>
      <c r="D30" s="11">
        <f>IF($A30="","",IF(INDEX(Cables!$H:$H,MATCH($A30,Cables!$A:$A,0))="","",INDEX(Cables!$H:$H,MATCH($A30,Cables!$A:$A,0))))</f>
        <v>10.3</v>
      </c>
      <c r="E30" s="12" t="str">
        <f>IF($A30="","",IF(INDEX(Cables!$Q:$Q,MATCH($A30,Cables!$A:$A,0))="","",INDEX(Cables!$Q:$Q,MATCH($A30,Cables!$A:$A,0))))</f>
        <v/>
      </c>
      <c r="F30" s="11">
        <f>IF($A30="","",IF(INDEX(Cables!$AQ:$AQ,MATCH($A30,Cables!$A:$A,0))="","",INDEX(Cables!$AQ:$AQ,MATCH($A30,Cables!$A:$A,0))))</f>
        <v>10</v>
      </c>
      <c r="G30" s="11">
        <f>IF($A30="","",IF(INDEX(Cables!$AR:$AR,MATCH($A30,Cables!$A:$A,0))="","",INDEX(Cables!$AR:$AR,MATCH($A30,Cables!$A:$A,0))))</f>
        <v>1296</v>
      </c>
      <c r="H30" s="11">
        <f>IF($A30="","",IF(INDEX(Cables!$AO:$AO,MATCH($A30,Cables!$A:$A,0))="","",INDEX(Cables!$AO:$AO,MATCH($A30,Cables!$A:$A,0))))</f>
        <v>282</v>
      </c>
      <c r="I30" s="11">
        <f>IF($A30="","",IF(INDEX(Cables!$AP:$AP,MATCH($A30,Cables!$A:$A,0))="","",INDEX(Cables!$AP:$AP,MATCH($A30,Cables!$A:$A,0))))</f>
        <v>9</v>
      </c>
      <c r="J30" s="12">
        <f>IF($A30="","",IF(J$5&gt;2*$G30,"",EXP(FORECAST(LN(J$5),INDEX(Attenuation!$K:$K,($H30-1+MIN(MAX(IFERROR(MATCH(LN(J$5),INDEX(Attenuation!$J:$J,$H30):INDEX(Attenuation!$J:$J,$H30+$I30-1),1),1),1),$I30-1))):INDEX(Attenuation!$K:$K,($H30-1+MIN(MAX(IFERROR(MATCH(LN(J$5),INDEX(Attenuation!$J:$J,$H30):INDEX(Attenuation!$J:$J,$H30+$I30-1),1),1),1),$I30-1))+1),INDEX(Attenuation!$J:$J,($H30-1+MIN(MAX(IFERROR(MATCH(LN(J$5),INDEX(Attenuation!$J:$J,$H30):INDEX(Attenuation!$J:$J,$H30+$I30-1),1),1),1),$I30-1))):INDEX(Attenuation!$J:$J,($H30-1+MIN(MAX(IFERROR(MATCH(LN(J$5),INDEX(Attenuation!$J:$J,$H30):INDEX(Attenuation!$J:$J,$H30+$I30-1),1),1),1),$I30-1))+1)))))</f>
        <v>0.94124794711143533</v>
      </c>
      <c r="K30" s="12">
        <f>IF($A30="","",IF(K$5&gt;2*$G30,"",EXP(FORECAST(LN(K$5),INDEX(Attenuation!$K:$K,($H30-1+MIN(MAX(IFERROR(MATCH(LN(K$5),INDEX(Attenuation!$J:$J,$H30):INDEX(Attenuation!$J:$J,$H30+$I30-1),1),1),1),$I30-1))):INDEX(Attenuation!$K:$K,($H30-1+MIN(MAX(IFERROR(MATCH(LN(K$5),INDEX(Attenuation!$J:$J,$H30):INDEX(Attenuation!$J:$J,$H30+$I30-1),1),1),1),$I30-1))+1),INDEX(Attenuation!$J:$J,($H30-1+MIN(MAX(IFERROR(MATCH(LN(K$5),INDEX(Attenuation!$J:$J,$H30):INDEX(Attenuation!$J:$J,$H30+$I30-1),1),1),1),$I30-1))):INDEX(Attenuation!$J:$J,($H30-1+MIN(MAX(IFERROR(MATCH(LN(K$5),INDEX(Attenuation!$J:$J,$H30):INDEX(Attenuation!$J:$J,$H30+$I30-1),1),1),1),$I30-1))+1)))))</f>
        <v>1.284853697540536</v>
      </c>
      <c r="L30" s="12">
        <f>IF($A30="","",IF(L$5&gt;2*$G30,"",EXP(FORECAST(LN(L$5),INDEX(Attenuation!$K:$K,($H30-1+MIN(MAX(IFERROR(MATCH(LN(L$5),INDEX(Attenuation!$J:$J,$H30):INDEX(Attenuation!$J:$J,$H30+$I30-1),1),1),1),$I30-1))):INDEX(Attenuation!$K:$K,($H30-1+MIN(MAX(IFERROR(MATCH(LN(L$5),INDEX(Attenuation!$J:$J,$H30):INDEX(Attenuation!$J:$J,$H30+$I30-1),1),1),1),$I30-1))+1),INDEX(Attenuation!$J:$J,($H30-1+MIN(MAX(IFERROR(MATCH(LN(L$5),INDEX(Attenuation!$J:$J,$H30):INDEX(Attenuation!$J:$J,$H30+$I30-1),1),1),1),$I30-1))):INDEX(Attenuation!$J:$J,($H30-1+MIN(MAX(IFERROR(MATCH(LN(L$5),INDEX(Attenuation!$J:$J,$H30):INDEX(Attenuation!$J:$J,$H30+$I30-1),1),1),1),$I30-1))+1)))))</f>
        <v>1.7771691190521284</v>
      </c>
      <c r="M30" s="12">
        <f>IF($A30="","",IF(M$5&gt;2*$G30,"",EXP(FORECAST(LN(M$5),INDEX(Attenuation!$K:$K,($H30-1+MIN(MAX(IFERROR(MATCH(LN(M$5),INDEX(Attenuation!$J:$J,$H30):INDEX(Attenuation!$J:$J,$H30+$I30-1),1),1),1),$I30-1))):INDEX(Attenuation!$K:$K,($H30-1+MIN(MAX(IFERROR(MATCH(LN(M$5),INDEX(Attenuation!$J:$J,$H30):INDEX(Attenuation!$J:$J,$H30+$I30-1),1),1),1),$I30-1))+1),INDEX(Attenuation!$J:$J,($H30-1+MIN(MAX(IFERROR(MATCH(LN(M$5),INDEX(Attenuation!$J:$J,$H30):INDEX(Attenuation!$J:$J,$H30+$I30-1),1),1),1),$I30-1))):INDEX(Attenuation!$J:$J,($H30-1+MIN(MAX(IFERROR(MATCH(LN(M$5),INDEX(Attenuation!$J:$J,$H30):INDEX(Attenuation!$J:$J,$H30+$I30-1),1),1),1),$I30-1))+1)))))</f>
        <v>2.4581242858686454</v>
      </c>
      <c r="N30" s="12">
        <f>IF($A30="","",IF(N$5&gt;2*$G30,"",EXP(FORECAST(LN(N$5),INDEX(Attenuation!$K:$K,($H30-1+MIN(MAX(IFERROR(MATCH(LN(N$5),INDEX(Attenuation!$J:$J,$H30):INDEX(Attenuation!$J:$J,$H30+$I30-1),1),1),1),$I30-1))):INDEX(Attenuation!$K:$K,($H30-1+MIN(MAX(IFERROR(MATCH(LN(N$5),INDEX(Attenuation!$J:$J,$H30):INDEX(Attenuation!$J:$J,$H30+$I30-1),1),1),1),$I30-1))+1),INDEX(Attenuation!$J:$J,($H30-1+MIN(MAX(IFERROR(MATCH(LN(N$5),INDEX(Attenuation!$J:$J,$H30):INDEX(Attenuation!$J:$J,$H30+$I30-1),1),1),1),$I30-1))):INDEX(Attenuation!$J:$J,($H30-1+MIN(MAX(IFERROR(MATCH(LN(N$5),INDEX(Attenuation!$J:$J,$H30):INDEX(Attenuation!$J:$J,$H30+$I30-1),1),1),1),$I30-1))+1)))))</f>
        <v>2.9717377171925574</v>
      </c>
      <c r="O30" s="12">
        <f>IF($A30="","",IF(O$5&gt;2*$G30,"",EXP(FORECAST(LN(O$5),INDEX(Attenuation!$K:$K,($H30-1+MIN(MAX(IFERROR(MATCH(LN(O$5),INDEX(Attenuation!$J:$J,$H30):INDEX(Attenuation!$J:$J,$H30+$I30-1),1),1),1),$I30-1))):INDEX(Attenuation!$K:$K,($H30-1+MIN(MAX(IFERROR(MATCH(LN(O$5),INDEX(Attenuation!$J:$J,$H30):INDEX(Attenuation!$J:$J,$H30+$I30-1),1),1),1),$I30-1))+1),INDEX(Attenuation!$J:$J,($H30-1+MIN(MAX(IFERROR(MATCH(LN(O$5),INDEX(Attenuation!$J:$J,$H30):INDEX(Attenuation!$J:$J,$H30+$I30-1),1),1),1),$I30-1))):INDEX(Attenuation!$J:$J,($H30-1+MIN(MAX(IFERROR(MATCH(LN(O$5),INDEX(Attenuation!$J:$J,$H30):INDEX(Attenuation!$J:$J,$H30+$I30-1),1),1),1),$I30-1))+1)))))</f>
        <v>3.4</v>
      </c>
      <c r="P30" s="12">
        <f>IF($A30="","",IF(P$5&gt;2*$G30,"",EXP(FORECAST(LN(P$5),INDEX(Attenuation!$K:$K,($H30-1+MIN(MAX(IFERROR(MATCH(LN(P$5),INDEX(Attenuation!$J:$J,$H30):INDEX(Attenuation!$J:$J,$H30+$I30-1),1),1),1),$I30-1))):INDEX(Attenuation!$K:$K,($H30-1+MIN(MAX(IFERROR(MATCH(LN(P$5),INDEX(Attenuation!$J:$J,$H30):INDEX(Attenuation!$J:$J,$H30+$I30-1),1),1),1),$I30-1))+1),INDEX(Attenuation!$J:$J,($H30-1+MIN(MAX(IFERROR(MATCH(LN(P$5),INDEX(Attenuation!$J:$J,$H30):INDEX(Attenuation!$J:$J,$H30+$I30-1),1),1),1),$I30-1))):INDEX(Attenuation!$J:$J,($H30-1+MIN(MAX(IFERROR(MATCH(LN(P$5),INDEX(Attenuation!$J:$J,$H30):INDEX(Attenuation!$J:$J,$H30+$I30-1),1),1),1),$I30-1))+1)))))</f>
        <v>4.5</v>
      </c>
      <c r="Q30" s="12">
        <f>IF($A30="","",IF(Q$5&gt;2*$G30,"",EXP(FORECAST(LN(Q$5),INDEX(Attenuation!$K:$K,($H30-1+MIN(MAX(IFERROR(MATCH(LN(Q$5),INDEX(Attenuation!$J:$J,$H30):INDEX(Attenuation!$J:$J,$H30+$I30-1),1),1),1),$I30-1))):INDEX(Attenuation!$K:$K,($H30-1+MIN(MAX(IFERROR(MATCH(LN(Q$5),INDEX(Attenuation!$J:$J,$H30):INDEX(Attenuation!$J:$J,$H30+$I30-1),1),1),1),$I30-1))+1),INDEX(Attenuation!$J:$J,($H30-1+MIN(MAX(IFERROR(MATCH(LN(Q$5),INDEX(Attenuation!$J:$J,$H30):INDEX(Attenuation!$J:$J,$H30+$I30-1),1),1),1),$I30-1))):INDEX(Attenuation!$J:$J,($H30-1+MIN(MAX(IFERROR(MATCH(LN(Q$5),INDEX(Attenuation!$J:$J,$H30):INDEX(Attenuation!$J:$J,$H30+$I30-1),1),1),1),$I30-1))+1)))))</f>
        <v>7.4999999999999991</v>
      </c>
      <c r="R30" s="12">
        <f>IF($A30="","",IF(R$5&gt;2*$G30,"",EXP(FORECAST(LN(R$5),INDEX(Attenuation!$K:$K,($H30-1+MIN(MAX(IFERROR(MATCH(LN(R$5),INDEX(Attenuation!$J:$J,$H30):INDEX(Attenuation!$J:$J,$H30+$I30-1),1),1),1),$I30-1))):INDEX(Attenuation!$K:$K,($H30-1+MIN(MAX(IFERROR(MATCH(LN(R$5),INDEX(Attenuation!$J:$J,$H30):INDEX(Attenuation!$J:$J,$H30+$I30-1),1),1),1),$I30-1))+1),INDEX(Attenuation!$J:$J,($H30-1+MIN(MAX(IFERROR(MATCH(LN(R$5),INDEX(Attenuation!$J:$J,$H30):INDEX(Attenuation!$J:$J,$H30+$I30-1),1),1),1),$I30-1))):INDEX(Attenuation!$J:$J,($H30-1+MIN(MAX(IFERROR(MATCH(LN(R$5),INDEX(Attenuation!$J:$J,$H30):INDEX(Attenuation!$J:$J,$H30+$I30-1),1),1),1),$I30-1))+1)))))</f>
        <v>14.13949770354272</v>
      </c>
      <c r="S30" s="12">
        <f>IF($A30="","",IF(S$5&gt;2*$G30,"",EXP(FORECAST(LN(S$5),INDEX(Attenuation!$K:$K,($H30-1+MIN(MAX(IFERROR(MATCH(LN(S$5),INDEX(Attenuation!$J:$J,$H30):INDEX(Attenuation!$J:$J,$H30+$I30-1),1),1),1),$I30-1))):INDEX(Attenuation!$K:$K,($H30-1+MIN(MAX(IFERROR(MATCH(LN(S$5),INDEX(Attenuation!$J:$J,$H30):INDEX(Attenuation!$J:$J,$H30+$I30-1),1),1),1),$I30-1))+1),INDEX(Attenuation!$J:$J,($H30-1+MIN(MAX(IFERROR(MATCH(LN(S$5),INDEX(Attenuation!$J:$J,$H30):INDEX(Attenuation!$J:$J,$H30+$I30-1),1),1),1),$I30-1))):INDEX(Attenuation!$J:$J,($H30-1+MIN(MAX(IFERROR(MATCH(LN(S$5),INDEX(Attenuation!$J:$J,$H30):INDEX(Attenuation!$J:$J,$H30+$I30-1),1),1),1),$I30-1))+1)))))</f>
        <v>27.599999999999994</v>
      </c>
      <c r="T30" s="12">
        <f>IF($A30="","",IF(T$5&gt;2*$G30,"",EXP(FORECAST(LN(T$5),INDEX(Attenuation!$K:$K,($H30-1+MIN(MAX(IFERROR(MATCH(LN(T$5),INDEX(Attenuation!$J:$J,$H30):INDEX(Attenuation!$J:$J,$H30+$I30-1),1),1),1),$I30-1))):INDEX(Attenuation!$K:$K,($H30-1+MIN(MAX(IFERROR(MATCH(LN(T$5),INDEX(Attenuation!$J:$J,$H30):INDEX(Attenuation!$J:$J,$H30+$I30-1),1),1),1),$I30-1))+1),INDEX(Attenuation!$J:$J,($H30-1+MIN(MAX(IFERROR(MATCH(LN(T$5),INDEX(Attenuation!$J:$J,$H30):INDEX(Attenuation!$J:$J,$H30+$I30-1),1),1),1),$I30-1))):INDEX(Attenuation!$J:$J,($H30-1+MIN(MAX(IFERROR(MATCH(LN(T$5),INDEX(Attenuation!$J:$J,$H30):INDEX(Attenuation!$J:$J,$H30+$I30-1),1),1),1),$I30-1))+1)))))</f>
        <v>40.352881609688723</v>
      </c>
      <c r="U30" s="12" t="str">
        <f>IF($A30="","",IF(U$5&gt;2*$G30,"",EXP(FORECAST(LN(U$5),INDEX(Attenuation!$K:$K,($H30-1+MIN(MAX(IFERROR(MATCH(LN(U$5),INDEX(Attenuation!$J:$J,$H30):INDEX(Attenuation!$J:$J,$H30+$I30-1),1),1),1),$I30-1))):INDEX(Attenuation!$K:$K,($H30-1+MIN(MAX(IFERROR(MATCH(LN(U$5),INDEX(Attenuation!$J:$J,$H30):INDEX(Attenuation!$J:$J,$H30+$I30-1),1),1),1),$I30-1))+1),INDEX(Attenuation!$J:$J,($H30-1+MIN(MAX(IFERROR(MATCH(LN(U$5),INDEX(Attenuation!$J:$J,$H30):INDEX(Attenuation!$J:$J,$H30+$I30-1),1),1),1),$I30-1))):INDEX(Attenuation!$J:$J,($H30-1+MIN(MAX(IFERROR(MATCH(LN(U$5),INDEX(Attenuation!$J:$J,$H30):INDEX(Attenuation!$J:$J,$H30+$I30-1),1),1),1),$I30-1))+1)))))</f>
        <v/>
      </c>
      <c r="V30" s="1"/>
      <c r="W30" s="12">
        <f t="shared" si="0"/>
        <v>0.28689237427956549</v>
      </c>
      <c r="X30" s="12">
        <f t="shared" si="1"/>
        <v>0.39162340701035542</v>
      </c>
      <c r="Y30" s="12">
        <f t="shared" si="2"/>
        <v>0.54168114748708873</v>
      </c>
      <c r="Z30" s="12">
        <f t="shared" si="3"/>
        <v>0.74923628233276318</v>
      </c>
      <c r="AA30" s="12">
        <f t="shared" si="4"/>
        <v>0.9057856562002915</v>
      </c>
      <c r="AB30" s="12">
        <f t="shared" si="5"/>
        <v>1.0363200000000001</v>
      </c>
      <c r="AC30" s="12">
        <f t="shared" si="6"/>
        <v>1.3716000000000002</v>
      </c>
      <c r="AD30" s="12">
        <f t="shared" si="7"/>
        <v>2.286</v>
      </c>
      <c r="AE30" s="12">
        <f t="shared" si="8"/>
        <v>4.3097189000398215</v>
      </c>
      <c r="AF30" s="12">
        <f t="shared" si="9"/>
        <v>8.4124799999999986</v>
      </c>
      <c r="AG30" s="12">
        <f t="shared" si="10"/>
        <v>12.299558314633122</v>
      </c>
      <c r="AH30" s="12" t="str">
        <f t="shared" si="11"/>
        <v/>
      </c>
    </row>
    <row r="31" spans="1:34" x14ac:dyDescent="0.25">
      <c r="A31" s="11" t="str">
        <f>IF(ROWS($A$6:A31)&gt;COUNTA(Cables!$A:$A)-1,"",INDEX(Cables!$A:$A,ROWS($A$6:A31)+1))</f>
        <v>SSB-AIRCELL7</v>
      </c>
      <c r="B31" s="11" t="str">
        <f>IF($A31="","",IF(INDEX(Cables!$B:$B,MATCH($A31,Cables!$A:$A,0))="","",INDEX(Cables!$B:$B,MATCH($A31,Cables!$A:$A,0))))</f>
        <v>SSB Aircell 7</v>
      </c>
      <c r="C31" s="11">
        <f>IF($A31="","",IF(INDEX(Cables!$F:$F,MATCH($A31,Cables!$A:$A,0))="","",INDEX(Cables!$F:$F,MATCH($A31,Cables!$A:$A,0))))</f>
        <v>50</v>
      </c>
      <c r="D31" s="11">
        <f>IF($A31="","",IF(INDEX(Cables!$H:$H,MATCH($A31,Cables!$A:$A,0))="","",INDEX(Cables!$H:$H,MATCH($A31,Cables!$A:$A,0))))</f>
        <v>7.3</v>
      </c>
      <c r="E31" s="12">
        <f>IF($A31="","",IF(INDEX(Cables!$Q:$Q,MATCH($A31,Cables!$A:$A,0))="","",INDEX(Cables!$Q:$Q,MATCH($A31,Cables!$A:$A,0))))</f>
        <v>0.83</v>
      </c>
      <c r="F31" s="11">
        <f>IF($A31="","",IF(INDEX(Cables!$AQ:$AQ,MATCH($A31,Cables!$A:$A,0))="","",INDEX(Cables!$AQ:$AQ,MATCH($A31,Cables!$A:$A,0))))</f>
        <v>5</v>
      </c>
      <c r="G31" s="11">
        <f>IF($A31="","",IF(INDEX(Cables!$AR:$AR,MATCH($A31,Cables!$A:$A,0))="","",INDEX(Cables!$AR:$AR,MATCH($A31,Cables!$A:$A,0))))</f>
        <v>6000</v>
      </c>
      <c r="H31" s="11">
        <f>IF($A31="","",IF(INDEX(Cables!$AO:$AO,MATCH($A31,Cables!$A:$A,0))="","",INDEX(Cables!$AO:$AO,MATCH($A31,Cables!$A:$A,0))))</f>
        <v>291</v>
      </c>
      <c r="I31" s="11">
        <f>IF($A31="","",IF(INDEX(Cables!$AP:$AP,MATCH($A31,Cables!$A:$A,0))="","",INDEX(Cables!$AP:$AP,MATCH($A31,Cables!$A:$A,0))))</f>
        <v>20</v>
      </c>
      <c r="J31" s="12">
        <f>IF($A31="","",IF(J$5&gt;2*$G31,"",EXP(FORECAST(LN(J$5),INDEX(Attenuation!$K:$K,($H31-1+MIN(MAX(IFERROR(MATCH(LN(J$5),INDEX(Attenuation!$J:$J,$H31):INDEX(Attenuation!$J:$J,$H31+$I31-1),1),1),1),$I31-1))):INDEX(Attenuation!$K:$K,($H31-1+MIN(MAX(IFERROR(MATCH(LN(J$5),INDEX(Attenuation!$J:$J,$H31):INDEX(Attenuation!$J:$J,$H31+$I31-1),1),1),1),$I31-1))+1),INDEX(Attenuation!$J:$J,($H31-1+MIN(MAX(IFERROR(MATCH(LN(J$5),INDEX(Attenuation!$J:$J,$H31):INDEX(Attenuation!$J:$J,$H31+$I31-1),1),1),1),$I31-1))):INDEX(Attenuation!$J:$J,($H31-1+MIN(MAX(IFERROR(MATCH(LN(J$5),INDEX(Attenuation!$J:$J,$H31):INDEX(Attenuation!$J:$J,$H31+$I31-1),1),1),1),$I31-1))+1)))))</f>
        <v>1.0006249381018013</v>
      </c>
      <c r="K31" s="12">
        <f>IF($A31="","",IF(K$5&gt;2*$G31,"",EXP(FORECAST(LN(K$5),INDEX(Attenuation!$K:$K,($H31-1+MIN(MAX(IFERROR(MATCH(LN(K$5),INDEX(Attenuation!$J:$J,$H31):INDEX(Attenuation!$J:$J,$H31+$I31-1),1),1),1),$I31-1))):INDEX(Attenuation!$K:$K,($H31-1+MIN(MAX(IFERROR(MATCH(LN(K$5),INDEX(Attenuation!$J:$J,$H31):INDEX(Attenuation!$J:$J,$H31+$I31-1),1),1),1),$I31-1))+1),INDEX(Attenuation!$J:$J,($H31-1+MIN(MAX(IFERROR(MATCH(LN(K$5),INDEX(Attenuation!$J:$J,$H31):INDEX(Attenuation!$J:$J,$H31+$I31-1),1),1),1),$I31-1))):INDEX(Attenuation!$J:$J,($H31-1+MIN(MAX(IFERROR(MATCH(LN(K$5),INDEX(Attenuation!$J:$J,$H31):INDEX(Attenuation!$J:$J,$H31+$I31-1),1),1),1),$I31-1))+1)))))</f>
        <v>1.3581668450137487</v>
      </c>
      <c r="L31" s="12">
        <f>IF($A31="","",IF(L$5&gt;2*$G31,"",EXP(FORECAST(LN(L$5),INDEX(Attenuation!$K:$K,($H31-1+MIN(MAX(IFERROR(MATCH(LN(L$5),INDEX(Attenuation!$J:$J,$H31):INDEX(Attenuation!$J:$J,$H31+$I31-1),1),1),1),$I31-1))):INDEX(Attenuation!$K:$K,($H31-1+MIN(MAX(IFERROR(MATCH(LN(L$5),INDEX(Attenuation!$J:$J,$H31):INDEX(Attenuation!$J:$J,$H31+$I31-1),1),1),1),$I31-1))+1),INDEX(Attenuation!$J:$J,($H31-1+MIN(MAX(IFERROR(MATCH(LN(L$5),INDEX(Attenuation!$J:$J,$H31):INDEX(Attenuation!$J:$J,$H31+$I31-1),1),1),1),$I31-1))):INDEX(Attenuation!$J:$J,($H31-1+MIN(MAX(IFERROR(MATCH(LN(L$5),INDEX(Attenuation!$J:$J,$H31):INDEX(Attenuation!$J:$J,$H31+$I31-1),1),1),1),$I31-1))+1)))))</f>
        <v>1.867479411893904</v>
      </c>
      <c r="M31" s="12">
        <f>IF($A31="","",IF(M$5&gt;2*$G31,"",EXP(FORECAST(LN(M$5),INDEX(Attenuation!$K:$K,($H31-1+MIN(MAX(IFERROR(MATCH(LN(M$5),INDEX(Attenuation!$J:$J,$H31):INDEX(Attenuation!$J:$J,$H31+$I31-1),1),1),1),$I31-1))):INDEX(Attenuation!$K:$K,($H31-1+MIN(MAX(IFERROR(MATCH(LN(M$5),INDEX(Attenuation!$J:$J,$H31):INDEX(Attenuation!$J:$J,$H31+$I31-1),1),1),1),$I31-1))+1),INDEX(Attenuation!$J:$J,($H31-1+MIN(MAX(IFERROR(MATCH(LN(M$5),INDEX(Attenuation!$J:$J,$H31):INDEX(Attenuation!$J:$J,$H31+$I31-1),1),1),1),$I31-1))):INDEX(Attenuation!$J:$J,($H31-1+MIN(MAX(IFERROR(MATCH(LN(M$5),INDEX(Attenuation!$J:$J,$H31):INDEX(Attenuation!$J:$J,$H31+$I31-1),1),1),1),$I31-1))+1)))))</f>
        <v>2.557405811543167</v>
      </c>
      <c r="N31" s="12">
        <f>IF($A31="","",IF(N$5&gt;2*$G31,"",EXP(FORECAST(LN(N$5),INDEX(Attenuation!$K:$K,($H31-1+MIN(MAX(IFERROR(MATCH(LN(N$5),INDEX(Attenuation!$J:$J,$H31):INDEX(Attenuation!$J:$J,$H31+$I31-1),1),1),1),$I31-1))):INDEX(Attenuation!$K:$K,($H31-1+MIN(MAX(IFERROR(MATCH(LN(N$5),INDEX(Attenuation!$J:$J,$H31):INDEX(Attenuation!$J:$J,$H31+$I31-1),1),1),1),$I31-1))+1),INDEX(Attenuation!$J:$J,($H31-1+MIN(MAX(IFERROR(MATCH(LN(N$5),INDEX(Attenuation!$J:$J,$H31):INDEX(Attenuation!$J:$J,$H31+$I31-1),1),1),1),$I31-1))):INDEX(Attenuation!$J:$J,($H31-1+MIN(MAX(IFERROR(MATCH(LN(N$5),INDEX(Attenuation!$J:$J,$H31):INDEX(Attenuation!$J:$J,$H31+$I31-1),1),1),1),$I31-1))+1)))))</f>
        <v>3.0660696339263103</v>
      </c>
      <c r="O31" s="12">
        <f>IF($A31="","",IF(O$5&gt;2*$G31,"",EXP(FORECAST(LN(O$5),INDEX(Attenuation!$K:$K,($H31-1+MIN(MAX(IFERROR(MATCH(LN(O$5),INDEX(Attenuation!$J:$J,$H31):INDEX(Attenuation!$J:$J,$H31+$I31-1),1),1),1),$I31-1))):INDEX(Attenuation!$K:$K,($H31-1+MIN(MAX(IFERROR(MATCH(LN(O$5),INDEX(Attenuation!$J:$J,$H31):INDEX(Attenuation!$J:$J,$H31+$I31-1),1),1),1),$I31-1))+1),INDEX(Attenuation!$J:$J,($H31-1+MIN(MAX(IFERROR(MATCH(LN(O$5),INDEX(Attenuation!$J:$J,$H31):INDEX(Attenuation!$J:$J,$H31+$I31-1),1),1),1),$I31-1))):INDEX(Attenuation!$J:$J,($H31-1+MIN(MAX(IFERROR(MATCH(LN(O$5),INDEX(Attenuation!$J:$J,$H31):INDEX(Attenuation!$J:$J,$H31+$I31-1),1),1),1),$I31-1))+1)))))</f>
        <v>3.4872171538029053</v>
      </c>
      <c r="P31" s="12">
        <f>IF($A31="","",IF(P$5&gt;2*$G31,"",EXP(FORECAST(LN(P$5),INDEX(Attenuation!$K:$K,($H31-1+MIN(MAX(IFERROR(MATCH(LN(P$5),INDEX(Attenuation!$J:$J,$H31):INDEX(Attenuation!$J:$J,$H31+$I31-1),1),1),1),$I31-1))):INDEX(Attenuation!$K:$K,($H31-1+MIN(MAX(IFERROR(MATCH(LN(P$5),INDEX(Attenuation!$J:$J,$H31):INDEX(Attenuation!$J:$J,$H31+$I31-1),1),1),1),$I31-1))+1),INDEX(Attenuation!$J:$J,($H31-1+MIN(MAX(IFERROR(MATCH(LN(P$5),INDEX(Attenuation!$J:$J,$H31):INDEX(Attenuation!$J:$J,$H31+$I31-1),1),1),1),$I31-1))):INDEX(Attenuation!$J:$J,($H31-1+MIN(MAX(IFERROR(MATCH(LN(P$5),INDEX(Attenuation!$J:$J,$H31):INDEX(Attenuation!$J:$J,$H31+$I31-1),1),1),1),$I31-1))+1)))))</f>
        <v>4.5199999999999996</v>
      </c>
      <c r="Q31" s="12">
        <f>IF($A31="","",IF(Q$5&gt;2*$G31,"",EXP(FORECAST(LN(Q$5),INDEX(Attenuation!$K:$K,($H31-1+MIN(MAX(IFERROR(MATCH(LN(Q$5),INDEX(Attenuation!$J:$J,$H31):INDEX(Attenuation!$J:$J,$H31+$I31-1),1),1),1),$I31-1))):INDEX(Attenuation!$K:$K,($H31-1+MIN(MAX(IFERROR(MATCH(LN(Q$5),INDEX(Attenuation!$J:$J,$H31):INDEX(Attenuation!$J:$J,$H31+$I31-1),1),1),1),$I31-1))+1),INDEX(Attenuation!$J:$J,($H31-1+MIN(MAX(IFERROR(MATCH(LN(Q$5),INDEX(Attenuation!$J:$J,$H31):INDEX(Attenuation!$J:$J,$H31+$I31-1),1),1),1),$I31-1))):INDEX(Attenuation!$J:$J,($H31-1+MIN(MAX(IFERROR(MATCH(LN(Q$5),INDEX(Attenuation!$J:$J,$H31):INDEX(Attenuation!$J:$J,$H31+$I31-1),1),1),1),$I31-1))+1)))))</f>
        <v>7.5999999999999979</v>
      </c>
      <c r="R31" s="12">
        <f>IF($A31="","",IF(R$5&gt;2*$G31,"",EXP(FORECAST(LN(R$5),INDEX(Attenuation!$K:$K,($H31-1+MIN(MAX(IFERROR(MATCH(LN(R$5),INDEX(Attenuation!$J:$J,$H31):INDEX(Attenuation!$J:$J,$H31+$I31-1),1),1),1),$I31-1))):INDEX(Attenuation!$K:$K,($H31-1+MIN(MAX(IFERROR(MATCH(LN(R$5),INDEX(Attenuation!$J:$J,$H31):INDEX(Attenuation!$J:$J,$H31+$I31-1),1),1),1),$I31-1))+1),INDEX(Attenuation!$J:$J,($H31-1+MIN(MAX(IFERROR(MATCH(LN(R$5),INDEX(Attenuation!$J:$J,$H31):INDEX(Attenuation!$J:$J,$H31+$I31-1),1),1),1),$I31-1))):INDEX(Attenuation!$J:$J,($H31-1+MIN(MAX(IFERROR(MATCH(LN(R$5),INDEX(Attenuation!$J:$J,$H31):INDEX(Attenuation!$J:$J,$H31+$I31-1),1),1),1),$I31-1))+1)))))</f>
        <v>13.600000000000001</v>
      </c>
      <c r="S31" s="12">
        <f>IF($A31="","",IF(S$5&gt;2*$G31,"",EXP(FORECAST(LN(S$5),INDEX(Attenuation!$K:$K,($H31-1+MIN(MAX(IFERROR(MATCH(LN(S$5),INDEX(Attenuation!$J:$J,$H31):INDEX(Attenuation!$J:$J,$H31+$I31-1),1),1),1),$I31-1))):INDEX(Attenuation!$K:$K,($H31-1+MIN(MAX(IFERROR(MATCH(LN(S$5),INDEX(Attenuation!$J:$J,$H31):INDEX(Attenuation!$J:$J,$H31+$I31-1),1),1),1),$I31-1))+1),INDEX(Attenuation!$J:$J,($H31-1+MIN(MAX(IFERROR(MATCH(LN(S$5),INDEX(Attenuation!$J:$J,$H31):INDEX(Attenuation!$J:$J,$H31+$I31-1),1),1),1),$I31-1))):INDEX(Attenuation!$J:$J,($H31-1+MIN(MAX(IFERROR(MATCH(LN(S$5),INDEX(Attenuation!$J:$J,$H31):INDEX(Attenuation!$J:$J,$H31+$I31-1),1),1),1),$I31-1))+1)))))</f>
        <v>24.839999999999982</v>
      </c>
      <c r="T31" s="12">
        <f>IF($A31="","",IF(T$5&gt;2*$G31,"",EXP(FORECAST(LN(T$5),INDEX(Attenuation!$K:$K,($H31-1+MIN(MAX(IFERROR(MATCH(LN(T$5),INDEX(Attenuation!$J:$J,$H31):INDEX(Attenuation!$J:$J,$H31+$I31-1),1),1),1),$I31-1))):INDEX(Attenuation!$K:$K,($H31-1+MIN(MAX(IFERROR(MATCH(LN(T$5),INDEX(Attenuation!$J:$J,$H31):INDEX(Attenuation!$J:$J,$H31+$I31-1),1),1),1),$I31-1))+1),INDEX(Attenuation!$J:$J,($H31-1+MIN(MAX(IFERROR(MATCH(LN(T$5),INDEX(Attenuation!$J:$J,$H31):INDEX(Attenuation!$J:$J,$H31+$I31-1),1),1),1),$I31-1))):INDEX(Attenuation!$J:$J,($H31-1+MIN(MAX(IFERROR(MATCH(LN(T$5),INDEX(Attenuation!$J:$J,$H31):INDEX(Attenuation!$J:$J,$H31+$I31-1),1),1),1),$I31-1))+1)))))</f>
        <v>35.600000000000023</v>
      </c>
      <c r="U31" s="12">
        <f>IF($A31="","",IF(U$5&gt;2*$G31,"",EXP(FORECAST(LN(U$5),INDEX(Attenuation!$K:$K,($H31-1+MIN(MAX(IFERROR(MATCH(LN(U$5),INDEX(Attenuation!$J:$J,$H31):INDEX(Attenuation!$J:$J,$H31+$I31-1),1),1),1),$I31-1))):INDEX(Attenuation!$K:$K,($H31-1+MIN(MAX(IFERROR(MATCH(LN(U$5),INDEX(Attenuation!$J:$J,$H31):INDEX(Attenuation!$J:$J,$H31+$I31-1),1),1),1),$I31-1))+1),INDEX(Attenuation!$J:$J,($H31-1+MIN(MAX(IFERROR(MATCH(LN(U$5),INDEX(Attenuation!$J:$J,$H31):INDEX(Attenuation!$J:$J,$H31+$I31-1),1),1),1),$I31-1))):INDEX(Attenuation!$J:$J,($H31-1+MIN(MAX(IFERROR(MATCH(LN(U$5),INDEX(Attenuation!$J:$J,$H31):INDEX(Attenuation!$J:$J,$H31+$I31-1),1),1),1),$I31-1))+1)))))</f>
        <v>63.050951101098597</v>
      </c>
      <c r="V31" s="1"/>
      <c r="W31" s="12">
        <f t="shared" si="0"/>
        <v>0.30499048113342908</v>
      </c>
      <c r="X31" s="12">
        <f t="shared" si="1"/>
        <v>0.41396925436019061</v>
      </c>
      <c r="Y31" s="12">
        <f t="shared" si="2"/>
        <v>0.56920772474526193</v>
      </c>
      <c r="Z31" s="12">
        <f t="shared" si="3"/>
        <v>0.77949729135835732</v>
      </c>
      <c r="AA31" s="12">
        <f t="shared" si="4"/>
        <v>0.93453802442073941</v>
      </c>
      <c r="AB31" s="12">
        <f t="shared" si="5"/>
        <v>1.0629037884791257</v>
      </c>
      <c r="AC31" s="12">
        <f t="shared" si="6"/>
        <v>1.377696</v>
      </c>
      <c r="AD31" s="12">
        <f t="shared" si="7"/>
        <v>2.3164799999999994</v>
      </c>
      <c r="AE31" s="12">
        <f t="shared" si="8"/>
        <v>4.1452800000000005</v>
      </c>
      <c r="AF31" s="12">
        <f t="shared" si="9"/>
        <v>7.5712319999999949</v>
      </c>
      <c r="AG31" s="12">
        <f t="shared" si="10"/>
        <v>10.850880000000007</v>
      </c>
      <c r="AH31" s="12">
        <f t="shared" si="11"/>
        <v>19.217929895614855</v>
      </c>
    </row>
    <row r="32" spans="1:34" x14ac:dyDescent="0.25">
      <c r="A32" s="11" t="str">
        <f>IF(ROWS($A$6:A32)&gt;COUNTA(Cables!$A:$A)-1,"",INDEX(Cables!$A:$A,ROWS($A$6:A32)+1))</f>
        <v>TMS-LMR300</v>
      </c>
      <c r="B32" s="11" t="str">
        <f>IF($A32="","",IF(INDEX(Cables!$B:$B,MATCH($A32,Cables!$A:$A,0))="","",INDEX(Cables!$B:$B,MATCH($A32,Cables!$A:$A,0))))</f>
        <v>Times Microwave LMR-300 (Amphenol)</v>
      </c>
      <c r="C32" s="11">
        <f>IF($A32="","",IF(INDEX(Cables!$F:$F,MATCH($A32,Cables!$A:$A,0))="","",INDEX(Cables!$F:$F,MATCH($A32,Cables!$A:$A,0))))</f>
        <v>50</v>
      </c>
      <c r="D32" s="11">
        <f>IF($A32="","",IF(INDEX(Cables!$H:$H,MATCH($A32,Cables!$A:$A,0))="","",INDEX(Cables!$H:$H,MATCH($A32,Cables!$A:$A,0))))</f>
        <v>7.62</v>
      </c>
      <c r="E32" s="12">
        <f>IF($A32="","",IF(INDEX(Cables!$Q:$Q,MATCH($A32,Cables!$A:$A,0))="","",INDEX(Cables!$Q:$Q,MATCH($A32,Cables!$A:$A,0))))</f>
        <v>0.85</v>
      </c>
      <c r="F32" s="11">
        <f>IF($A32="","",IF(INDEX(Cables!$AQ:$AQ,MATCH($A32,Cables!$A:$A,0))="","",INDEX(Cables!$AQ:$AQ,MATCH($A32,Cables!$A:$A,0))))</f>
        <v>30</v>
      </c>
      <c r="G32" s="11">
        <f>IF($A32="","",IF(INDEX(Cables!$AR:$AR,MATCH($A32,Cables!$A:$A,0))="","",INDEX(Cables!$AR:$AR,MATCH($A32,Cables!$A:$A,0))))</f>
        <v>2500</v>
      </c>
      <c r="H32" s="11">
        <f>IF($A32="","",IF(INDEX(Cables!$AO:$AO,MATCH($A32,Cables!$A:$A,0))="","",INDEX(Cables!$AO:$AO,MATCH($A32,Cables!$A:$A,0))))</f>
        <v>311</v>
      </c>
      <c r="I32" s="11">
        <f>IF($A32="","",IF(INDEX(Cables!$AP:$AP,MATCH($A32,Cables!$A:$A,0))="","",INDEX(Cables!$AP:$AP,MATCH($A32,Cables!$A:$A,0))))</f>
        <v>10</v>
      </c>
      <c r="J32" s="12">
        <f>IF($A32="","",IF(J$5&gt;2*$G32,"",EXP(FORECAST(LN(J$5),INDEX(Attenuation!$K:$K,($H32-1+MIN(MAX(IFERROR(MATCH(LN(J$5),INDEX(Attenuation!$J:$J,$H32):INDEX(Attenuation!$J:$J,$H32+$I32-1),1),1),1),$I32-1))):INDEX(Attenuation!$K:$K,($H32-1+MIN(MAX(IFERROR(MATCH(LN(J$5),INDEX(Attenuation!$J:$J,$H32):INDEX(Attenuation!$J:$J,$H32+$I32-1),1),1),1),$I32-1))+1),INDEX(Attenuation!$J:$J,($H32-1+MIN(MAX(IFERROR(MATCH(LN(J$5),INDEX(Attenuation!$J:$J,$H32):INDEX(Attenuation!$J:$J,$H32+$I32-1),1),1),1),$I32-1))):INDEX(Attenuation!$J:$J,($H32-1+MIN(MAX(IFERROR(MATCH(LN(J$5),INDEX(Attenuation!$J:$J,$H32):INDEX(Attenuation!$J:$J,$H32+$I32-1),1),1),1),$I32-1))+1)))))</f>
        <v>0.95618046463474571</v>
      </c>
      <c r="K32" s="12">
        <f>IF($A32="","",IF(K$5&gt;2*$G32,"",EXP(FORECAST(LN(K$5),INDEX(Attenuation!$K:$K,($H32-1+MIN(MAX(IFERROR(MATCH(LN(K$5),INDEX(Attenuation!$J:$J,$H32):INDEX(Attenuation!$J:$J,$H32+$I32-1),1),1),1),$I32-1))):INDEX(Attenuation!$K:$K,($H32-1+MIN(MAX(IFERROR(MATCH(LN(K$5),INDEX(Attenuation!$J:$J,$H32):INDEX(Attenuation!$J:$J,$H32+$I32-1),1),1),1),$I32-1))+1),INDEX(Attenuation!$J:$J,($H32-1+MIN(MAX(IFERROR(MATCH(LN(K$5),INDEX(Attenuation!$J:$J,$H32):INDEX(Attenuation!$J:$J,$H32+$I32-1),1),1),1),$I32-1))):INDEX(Attenuation!$J:$J,($H32-1+MIN(MAX(IFERROR(MATCH(LN(K$5),INDEX(Attenuation!$J:$J,$H32):INDEX(Attenuation!$J:$J,$H32+$I32-1),1),1),1),$I32-1))+1)))))</f>
        <v>1.3088231383531017</v>
      </c>
      <c r="L32" s="12">
        <f>IF($A32="","",IF(L$5&gt;2*$G32,"",EXP(FORECAST(LN(L$5),INDEX(Attenuation!$K:$K,($H32-1+MIN(MAX(IFERROR(MATCH(LN(L$5),INDEX(Attenuation!$J:$J,$H32):INDEX(Attenuation!$J:$J,$H32+$I32-1),1),1),1),$I32-1))):INDEX(Attenuation!$K:$K,($H32-1+MIN(MAX(IFERROR(MATCH(LN(L$5),INDEX(Attenuation!$J:$J,$H32):INDEX(Attenuation!$J:$J,$H32+$I32-1),1),1),1),$I32-1))+1),INDEX(Attenuation!$J:$J,($H32-1+MIN(MAX(IFERROR(MATCH(LN(L$5),INDEX(Attenuation!$J:$J,$H32):INDEX(Attenuation!$J:$J,$H32+$I32-1),1),1),1),$I32-1))):INDEX(Attenuation!$J:$J,($H32-1+MIN(MAX(IFERROR(MATCH(LN(L$5),INDEX(Attenuation!$J:$J,$H32):INDEX(Attenuation!$J:$J,$H32+$I32-1),1),1),1),$I32-1))+1)))))</f>
        <v>1.8155072156650585</v>
      </c>
      <c r="M32" s="12">
        <f>IF($A32="","",IF(M$5&gt;2*$G32,"",EXP(FORECAST(LN(M$5),INDEX(Attenuation!$K:$K,($H32-1+MIN(MAX(IFERROR(MATCH(LN(M$5),INDEX(Attenuation!$J:$J,$H32):INDEX(Attenuation!$J:$J,$H32+$I32-1),1),1),1),$I32-1))):INDEX(Attenuation!$K:$K,($H32-1+MIN(MAX(IFERROR(MATCH(LN(M$5),INDEX(Attenuation!$J:$J,$H32):INDEX(Attenuation!$J:$J,$H32+$I32-1),1),1),1),$I32-1))+1),INDEX(Attenuation!$J:$J,($H32-1+MIN(MAX(IFERROR(MATCH(LN(M$5),INDEX(Attenuation!$J:$J,$H32):INDEX(Attenuation!$J:$J,$H32+$I32-1),1),1),1),$I32-1))):INDEX(Attenuation!$J:$J,($H32-1+MIN(MAX(IFERROR(MATCH(LN(M$5),INDEX(Attenuation!$J:$J,$H32):INDEX(Attenuation!$J:$J,$H32+$I32-1),1),1),1),$I32-1))+1)))))</f>
        <v>2.5183436581655712</v>
      </c>
      <c r="N32" s="12">
        <f>IF($A32="","",IF(N$5&gt;2*$G32,"",EXP(FORECAST(LN(N$5),INDEX(Attenuation!$K:$K,($H32-1+MIN(MAX(IFERROR(MATCH(LN(N$5),INDEX(Attenuation!$J:$J,$H32):INDEX(Attenuation!$J:$J,$H32+$I32-1),1),1),1),$I32-1))):INDEX(Attenuation!$K:$K,($H32-1+MIN(MAX(IFERROR(MATCH(LN(N$5),INDEX(Attenuation!$J:$J,$H32):INDEX(Attenuation!$J:$J,$H32+$I32-1),1),1),1),$I32-1))+1),INDEX(Attenuation!$J:$J,($H32-1+MIN(MAX(IFERROR(MATCH(LN(N$5),INDEX(Attenuation!$J:$J,$H32):INDEX(Attenuation!$J:$J,$H32+$I32-1),1),1),1),$I32-1))):INDEX(Attenuation!$J:$J,($H32-1+MIN(MAX(IFERROR(MATCH(LN(N$5),INDEX(Attenuation!$J:$J,$H32):INDEX(Attenuation!$J:$J,$H32+$I32-1),1),1),1),$I32-1))+1)))))</f>
        <v>3.0496367962053887</v>
      </c>
      <c r="O32" s="12">
        <f>IF($A32="","",IF(O$5&gt;2*$G32,"",EXP(FORECAST(LN(O$5),INDEX(Attenuation!$K:$K,($H32-1+MIN(MAX(IFERROR(MATCH(LN(O$5),INDEX(Attenuation!$J:$J,$H32):INDEX(Attenuation!$J:$J,$H32+$I32-1),1),1),1),$I32-1))):INDEX(Attenuation!$K:$K,($H32-1+MIN(MAX(IFERROR(MATCH(LN(O$5),INDEX(Attenuation!$J:$J,$H32):INDEX(Attenuation!$J:$J,$H32+$I32-1),1),1),1),$I32-1))+1),INDEX(Attenuation!$J:$J,($H32-1+MIN(MAX(IFERROR(MATCH(LN(O$5),INDEX(Attenuation!$J:$J,$H32):INDEX(Attenuation!$J:$J,$H32+$I32-1),1),1),1),$I32-1))):INDEX(Attenuation!$J:$J,($H32-1+MIN(MAX(IFERROR(MATCH(LN(O$5),INDEX(Attenuation!$J:$J,$H32):INDEX(Attenuation!$J:$J,$H32+$I32-1),1),1),1),$I32-1))+1)))))</f>
        <v>3.4932688374358913</v>
      </c>
      <c r="P32" s="12">
        <f>IF($A32="","",IF(P$5&gt;2*$G32,"",EXP(FORECAST(LN(P$5),INDEX(Attenuation!$K:$K,($H32-1+MIN(MAX(IFERROR(MATCH(LN(P$5),INDEX(Attenuation!$J:$J,$H32):INDEX(Attenuation!$J:$J,$H32+$I32-1),1),1),1),$I32-1))):INDEX(Attenuation!$K:$K,($H32-1+MIN(MAX(IFERROR(MATCH(LN(P$5),INDEX(Attenuation!$J:$J,$H32):INDEX(Attenuation!$J:$J,$H32+$I32-1),1),1),1),$I32-1))+1),INDEX(Attenuation!$J:$J,($H32-1+MIN(MAX(IFERROR(MATCH(LN(P$5),INDEX(Attenuation!$J:$J,$H32):INDEX(Attenuation!$J:$J,$H32+$I32-1),1),1),1),$I32-1))):INDEX(Attenuation!$J:$J,($H32-1+MIN(MAX(IFERROR(MATCH(LN(P$5),INDEX(Attenuation!$J:$J,$H32):INDEX(Attenuation!$J:$J,$H32+$I32-1),1),1),1),$I32-1))+1)))))</f>
        <v>4.5931758530183711</v>
      </c>
      <c r="Q32" s="12">
        <f>IF($A32="","",IF(Q$5&gt;2*$G32,"",EXP(FORECAST(LN(Q$5),INDEX(Attenuation!$K:$K,($H32-1+MIN(MAX(IFERROR(MATCH(LN(Q$5),INDEX(Attenuation!$J:$J,$H32):INDEX(Attenuation!$J:$J,$H32+$I32-1),1),1),1),$I32-1))):INDEX(Attenuation!$K:$K,($H32-1+MIN(MAX(IFERROR(MATCH(LN(Q$5),INDEX(Attenuation!$J:$J,$H32):INDEX(Attenuation!$J:$J,$H32+$I32-1),1),1),1),$I32-1))+1),INDEX(Attenuation!$J:$J,($H32-1+MIN(MAX(IFERROR(MATCH(LN(Q$5),INDEX(Attenuation!$J:$J,$H32):INDEX(Attenuation!$J:$J,$H32+$I32-1),1),1),1),$I32-1))):INDEX(Attenuation!$J:$J,($H32-1+MIN(MAX(IFERROR(MATCH(LN(Q$5),INDEX(Attenuation!$J:$J,$H32):INDEX(Attenuation!$J:$J,$H32+$I32-1),1),1),1),$I32-1))+1)))))</f>
        <v>7.7178843514544022</v>
      </c>
      <c r="R32" s="12">
        <f>IF($A32="","",IF(R$5&gt;2*$G32,"",EXP(FORECAST(LN(R$5),INDEX(Attenuation!$K:$K,($H32-1+MIN(MAX(IFERROR(MATCH(LN(R$5),INDEX(Attenuation!$J:$J,$H32):INDEX(Attenuation!$J:$J,$H32+$I32-1),1),1),1),$I32-1))):INDEX(Attenuation!$K:$K,($H32-1+MIN(MAX(IFERROR(MATCH(LN(R$5),INDEX(Attenuation!$J:$J,$H32):INDEX(Attenuation!$J:$J,$H32+$I32-1),1),1),1),$I32-1))+1),INDEX(Attenuation!$J:$J,($H32-1+MIN(MAX(IFERROR(MATCH(LN(R$5),INDEX(Attenuation!$J:$J,$H32):INDEX(Attenuation!$J:$J,$H32+$I32-1),1),1),1),$I32-1))):INDEX(Attenuation!$J:$J,($H32-1+MIN(MAX(IFERROR(MATCH(LN(R$5),INDEX(Attenuation!$J:$J,$H32):INDEX(Attenuation!$J:$J,$H32+$I32-1),1),1),1),$I32-1))+1)))))</f>
        <v>13.491451904012262</v>
      </c>
      <c r="S32" s="12">
        <f>IF($A32="","",IF(S$5&gt;2*$G32,"",EXP(FORECAST(LN(S$5),INDEX(Attenuation!$K:$K,($H32-1+MIN(MAX(IFERROR(MATCH(LN(S$5),INDEX(Attenuation!$J:$J,$H32):INDEX(Attenuation!$J:$J,$H32+$I32-1),1),1),1),$I32-1))):INDEX(Attenuation!$K:$K,($H32-1+MIN(MAX(IFERROR(MATCH(LN(S$5),INDEX(Attenuation!$J:$J,$H32):INDEX(Attenuation!$J:$J,$H32+$I32-1),1),1),1),$I32-1))+1),INDEX(Attenuation!$J:$J,($H32-1+MIN(MAX(IFERROR(MATCH(LN(S$5),INDEX(Attenuation!$J:$J,$H32):INDEX(Attenuation!$J:$J,$H32+$I32-1),1),1),1),$I32-1))):INDEX(Attenuation!$J:$J,($H32-1+MIN(MAX(IFERROR(MATCH(LN(S$5),INDEX(Attenuation!$J:$J,$H32):INDEX(Attenuation!$J:$J,$H32+$I32-1),1),1),1),$I32-1))+1)))))</f>
        <v>24.070001847203525</v>
      </c>
      <c r="T32" s="12">
        <f>IF($A32="","",IF(T$5&gt;2*$G32,"",EXP(FORECAST(LN(T$5),INDEX(Attenuation!$K:$K,($H32-1+MIN(MAX(IFERROR(MATCH(LN(T$5),INDEX(Attenuation!$J:$J,$H32):INDEX(Attenuation!$J:$J,$H32+$I32-1),1),1),1),$I32-1))):INDEX(Attenuation!$K:$K,($H32-1+MIN(MAX(IFERROR(MATCH(LN(T$5),INDEX(Attenuation!$J:$J,$H32):INDEX(Attenuation!$J:$J,$H32+$I32-1),1),1),1),$I32-1))+1),INDEX(Attenuation!$J:$J,($H32-1+MIN(MAX(IFERROR(MATCH(LN(T$5),INDEX(Attenuation!$J:$J,$H32):INDEX(Attenuation!$J:$J,$H32+$I32-1),1),1),1),$I32-1))):INDEX(Attenuation!$J:$J,($H32-1+MIN(MAX(IFERROR(MATCH(LN(T$5),INDEX(Attenuation!$J:$J,$H32):INDEX(Attenuation!$J:$J,$H32+$I32-1),1),1),1),$I32-1))+1)))))</f>
        <v>33.363961828761312</v>
      </c>
      <c r="U32" s="12" t="str">
        <f>IF($A32="","",IF(U$5&gt;2*$G32,"",EXP(FORECAST(LN(U$5),INDEX(Attenuation!$K:$K,($H32-1+MIN(MAX(IFERROR(MATCH(LN(U$5),INDEX(Attenuation!$J:$J,$H32):INDEX(Attenuation!$J:$J,$H32+$I32-1),1),1),1),$I32-1))):INDEX(Attenuation!$K:$K,($H32-1+MIN(MAX(IFERROR(MATCH(LN(U$5),INDEX(Attenuation!$J:$J,$H32):INDEX(Attenuation!$J:$J,$H32+$I32-1),1),1),1),$I32-1))+1),INDEX(Attenuation!$J:$J,($H32-1+MIN(MAX(IFERROR(MATCH(LN(U$5),INDEX(Attenuation!$J:$J,$H32):INDEX(Attenuation!$J:$J,$H32+$I32-1),1),1),1),$I32-1))):INDEX(Attenuation!$J:$J,($H32-1+MIN(MAX(IFERROR(MATCH(LN(U$5),INDEX(Attenuation!$J:$J,$H32):INDEX(Attenuation!$J:$J,$H32+$I32-1),1),1),1),$I32-1))+1)))))</f>
        <v/>
      </c>
      <c r="V32" s="1"/>
      <c r="W32" s="12">
        <f t="shared" si="0"/>
        <v>0.29144380562067052</v>
      </c>
      <c r="X32" s="12">
        <f t="shared" si="1"/>
        <v>0.39892929257002541</v>
      </c>
      <c r="Y32" s="12">
        <f t="shared" si="2"/>
        <v>0.55336659933470989</v>
      </c>
      <c r="Z32" s="12">
        <f t="shared" si="3"/>
        <v>0.7675911470088661</v>
      </c>
      <c r="AA32" s="12">
        <f t="shared" si="4"/>
        <v>0.92952929548340257</v>
      </c>
      <c r="AB32" s="12">
        <f t="shared" si="5"/>
        <v>1.0647483416504597</v>
      </c>
      <c r="AC32" s="12">
        <f t="shared" si="6"/>
        <v>1.3999999999999995</v>
      </c>
      <c r="AD32" s="12">
        <f t="shared" si="7"/>
        <v>2.3524111503233018</v>
      </c>
      <c r="AE32" s="12">
        <f t="shared" si="8"/>
        <v>4.1121945403429381</v>
      </c>
      <c r="AF32" s="12">
        <f t="shared" si="9"/>
        <v>7.3365365630276349</v>
      </c>
      <c r="AG32" s="12">
        <f t="shared" si="10"/>
        <v>10.169335565406449</v>
      </c>
      <c r="AH32" s="12" t="str">
        <f t="shared" si="11"/>
        <v/>
      </c>
    </row>
    <row r="33" spans="1:34" x14ac:dyDescent="0.25">
      <c r="A33" s="11" t="str">
        <f>IF(ROWS($A$6:A33)&gt;COUNTA(Cables!$A:$A)-1,"",INDEX(Cables!$A:$A,ROWS($A$6:A33)+1))</f>
        <v>CS-FSJ1-50A</v>
      </c>
      <c r="B33" s="11" t="str">
        <f>IF($A33="","",IF(INDEX(Cables!$B:$B,MATCH($A33,Cables!$A:$A,0))="","",INDEX(Cables!$B:$B,MATCH($A33,Cables!$A:$A,0))))</f>
        <v>CommScope FSJ1-50A (1/4" Superflex)</v>
      </c>
      <c r="C33" s="11">
        <f>IF($A33="","",IF(INDEX(Cables!$F:$F,MATCH($A33,Cables!$A:$A,0))="","",INDEX(Cables!$F:$F,MATCH($A33,Cables!$A:$A,0))))</f>
        <v>50</v>
      </c>
      <c r="D33" s="11">
        <f>IF($A33="","",IF(INDEX(Cables!$H:$H,MATCH($A33,Cables!$A:$A,0))="","",INDEX(Cables!$H:$H,MATCH($A33,Cables!$A:$A,0))))</f>
        <v>7.3659999999999997</v>
      </c>
      <c r="E33" s="12">
        <f>IF($A33="","",IF(INDEX(Cables!$Q:$Q,MATCH($A33,Cables!$A:$A,0))="","",INDEX(Cables!$Q:$Q,MATCH($A33,Cables!$A:$A,0))))</f>
        <v>0.84</v>
      </c>
      <c r="F33" s="11">
        <f>IF($A33="","",IF(INDEX(Cables!$AQ:$AQ,MATCH($A33,Cables!$A:$A,0))="","",INDEX(Cables!$AQ:$AQ,MATCH($A33,Cables!$A:$A,0))))</f>
        <v>0.5</v>
      </c>
      <c r="G33" s="11">
        <f>IF($A33="","",IF(INDEX(Cables!$AR:$AR,MATCH($A33,Cables!$A:$A,0))="","",INDEX(Cables!$AR:$AR,MATCH($A33,Cables!$A:$A,0))))</f>
        <v>18000</v>
      </c>
      <c r="H33" s="11">
        <f>IF($A33="","",IF(INDEX(Cables!$AO:$AO,MATCH($A33,Cables!$A:$A,0))="","",INDEX(Cables!$AO:$AO,MATCH($A33,Cables!$A:$A,0))))</f>
        <v>321</v>
      </c>
      <c r="I33" s="11">
        <f>IF($A33="","",IF(INDEX(Cables!$AP:$AP,MATCH($A33,Cables!$A:$A,0))="","",INDEX(Cables!$AP:$AP,MATCH($A33,Cables!$A:$A,0))))</f>
        <v>47</v>
      </c>
      <c r="J33" s="12">
        <f>IF($A33="","",IF(J$5&gt;2*$G33,"",EXP(FORECAST(LN(J$5),INDEX(Attenuation!$K:$K,($H33-1+MIN(MAX(IFERROR(MATCH(LN(J$5),INDEX(Attenuation!$J:$J,$H33):INDEX(Attenuation!$J:$J,$H33+$I33-1),1),1),1),$I33-1))):INDEX(Attenuation!$K:$K,($H33-1+MIN(MAX(IFERROR(MATCH(LN(J$5),INDEX(Attenuation!$J:$J,$H33):INDEX(Attenuation!$J:$J,$H33+$I33-1),1),1),1),$I33-1))+1),INDEX(Attenuation!$J:$J,($H33-1+MIN(MAX(IFERROR(MATCH(LN(J$5),INDEX(Attenuation!$J:$J,$H33):INDEX(Attenuation!$J:$J,$H33+$I33-1),1),1),1),$I33-1))):INDEX(Attenuation!$J:$J,($H33-1+MIN(MAX(IFERROR(MATCH(LN(J$5),INDEX(Attenuation!$J:$J,$H33):INDEX(Attenuation!$J:$J,$H33+$I33-1),1),1),1),$I33-1))+1)))))</f>
        <v>0.77425524698643666</v>
      </c>
      <c r="K33" s="12">
        <f>IF($A33="","",IF(K$5&gt;2*$G33,"",EXP(FORECAST(LN(K$5),INDEX(Attenuation!$K:$K,($H33-1+MIN(MAX(IFERROR(MATCH(LN(K$5),INDEX(Attenuation!$J:$J,$H33):INDEX(Attenuation!$J:$J,$H33+$I33-1),1),1),1),$I33-1))):INDEX(Attenuation!$K:$K,($H33-1+MIN(MAX(IFERROR(MATCH(LN(K$5),INDEX(Attenuation!$J:$J,$H33):INDEX(Attenuation!$J:$J,$H33+$I33-1),1),1),1),$I33-1))+1),INDEX(Attenuation!$J:$J,($H33-1+MIN(MAX(IFERROR(MATCH(LN(K$5),INDEX(Attenuation!$J:$J,$H33):INDEX(Attenuation!$J:$J,$H33+$I33-1),1),1),1),$I33-1))):INDEX(Attenuation!$J:$J,($H33-1+MIN(MAX(IFERROR(MATCH(LN(K$5),INDEX(Attenuation!$J:$J,$H33):INDEX(Attenuation!$J:$J,$H33+$I33-1),1),1),1),$I33-1))+1)))))</f>
        <v>1.081185434336374</v>
      </c>
      <c r="L33" s="12">
        <f>IF($A33="","",IF(L$5&gt;2*$G33,"",EXP(FORECAST(LN(L$5),INDEX(Attenuation!$K:$K,($H33-1+MIN(MAX(IFERROR(MATCH(LN(L$5),INDEX(Attenuation!$J:$J,$H33):INDEX(Attenuation!$J:$J,$H33+$I33-1),1),1),1),$I33-1))):INDEX(Attenuation!$K:$K,($H33-1+MIN(MAX(IFERROR(MATCH(LN(L$5),INDEX(Attenuation!$J:$J,$H33):INDEX(Attenuation!$J:$J,$H33+$I33-1),1),1),1),$I33-1))+1),INDEX(Attenuation!$J:$J,($H33-1+MIN(MAX(IFERROR(MATCH(LN(L$5),INDEX(Attenuation!$J:$J,$H33):INDEX(Attenuation!$J:$J,$H33+$I33-1),1),1),1),$I33-1))):INDEX(Attenuation!$J:$J,($H33-1+MIN(MAX(IFERROR(MATCH(LN(L$5),INDEX(Attenuation!$J:$J,$H33):INDEX(Attenuation!$J:$J,$H33+$I33-1),1),1),1),$I33-1))+1)))))</f>
        <v>1.5320434039888631</v>
      </c>
      <c r="M33" s="12">
        <f>IF($A33="","",IF(M$5&gt;2*$G33,"",EXP(FORECAST(LN(M$5),INDEX(Attenuation!$K:$K,($H33-1+MIN(MAX(IFERROR(MATCH(LN(M$5),INDEX(Attenuation!$J:$J,$H33):INDEX(Attenuation!$J:$J,$H33+$I33-1),1),1),1),$I33-1))):INDEX(Attenuation!$K:$K,($H33-1+MIN(MAX(IFERROR(MATCH(LN(M$5),INDEX(Attenuation!$J:$J,$H33):INDEX(Attenuation!$J:$J,$H33+$I33-1),1),1),1),$I33-1))+1),INDEX(Attenuation!$J:$J,($H33-1+MIN(MAX(IFERROR(MATCH(LN(M$5),INDEX(Attenuation!$J:$J,$H33):INDEX(Attenuation!$J:$J,$H33+$I33-1),1),1),1),$I33-1))):INDEX(Attenuation!$J:$J,($H33-1+MIN(MAX(IFERROR(MATCH(LN(M$5),INDEX(Attenuation!$J:$J,$H33):INDEX(Attenuation!$J:$J,$H33+$I33-1),1),1),1),$I33-1))+1)))))</f>
        <v>2.1719785914761638</v>
      </c>
      <c r="N33" s="12">
        <f>IF($A33="","",IF(N$5&gt;2*$G33,"",EXP(FORECAST(LN(N$5),INDEX(Attenuation!$K:$K,($H33-1+MIN(MAX(IFERROR(MATCH(LN(N$5),INDEX(Attenuation!$J:$J,$H33):INDEX(Attenuation!$J:$J,$H33+$I33-1),1),1),1),$I33-1))):INDEX(Attenuation!$K:$K,($H33-1+MIN(MAX(IFERROR(MATCH(LN(N$5),INDEX(Attenuation!$J:$J,$H33):INDEX(Attenuation!$J:$J,$H33+$I33-1),1),1),1),$I33-1))+1),INDEX(Attenuation!$J:$J,($H33-1+MIN(MAX(IFERROR(MATCH(LN(N$5),INDEX(Attenuation!$J:$J,$H33):INDEX(Attenuation!$J:$J,$H33+$I33-1),1),1),1),$I33-1))):INDEX(Attenuation!$J:$J,($H33-1+MIN(MAX(IFERROR(MATCH(LN(N$5),INDEX(Attenuation!$J:$J,$H33):INDEX(Attenuation!$J:$J,$H33+$I33-1),1),1),1),$I33-1))+1)))))</f>
        <v>2.6649779008898098</v>
      </c>
      <c r="O33" s="12">
        <f>IF($A33="","",IF(O$5&gt;2*$G33,"",EXP(FORECAST(LN(O$5),INDEX(Attenuation!$K:$K,($H33-1+MIN(MAX(IFERROR(MATCH(LN(O$5),INDEX(Attenuation!$J:$J,$H33):INDEX(Attenuation!$J:$J,$H33+$I33-1),1),1),1),$I33-1))):INDEX(Attenuation!$K:$K,($H33-1+MIN(MAX(IFERROR(MATCH(LN(O$5),INDEX(Attenuation!$J:$J,$H33):INDEX(Attenuation!$J:$J,$H33+$I33-1),1),1),1),$I33-1))+1),INDEX(Attenuation!$J:$J,($H33-1+MIN(MAX(IFERROR(MATCH(LN(O$5),INDEX(Attenuation!$J:$J,$H33):INDEX(Attenuation!$J:$J,$H33+$I33-1),1),1),1),$I33-1))):INDEX(Attenuation!$J:$J,($H33-1+MIN(MAX(IFERROR(MATCH(LN(O$5),INDEX(Attenuation!$J:$J,$H33):INDEX(Attenuation!$J:$J,$H33+$I33-1),1),1),1),$I33-1))+1)))))</f>
        <v>3.0825039575125626</v>
      </c>
      <c r="P33" s="12">
        <f>IF($A33="","",IF(P$5&gt;2*$G33,"",EXP(FORECAST(LN(P$5),INDEX(Attenuation!$K:$K,($H33-1+MIN(MAX(IFERROR(MATCH(LN(P$5),INDEX(Attenuation!$J:$J,$H33):INDEX(Attenuation!$J:$J,$H33+$I33-1),1),1),1),$I33-1))):INDEX(Attenuation!$K:$K,($H33-1+MIN(MAX(IFERROR(MATCH(LN(P$5),INDEX(Attenuation!$J:$J,$H33):INDEX(Attenuation!$J:$J,$H33+$I33-1),1),1),1),$I33-1))+1),INDEX(Attenuation!$J:$J,($H33-1+MIN(MAX(IFERROR(MATCH(LN(P$5),INDEX(Attenuation!$J:$J,$H33):INDEX(Attenuation!$J:$J,$H33+$I33-1),1),1),1),$I33-1))):INDEX(Attenuation!$J:$J,($H33-1+MIN(MAX(IFERROR(MATCH(LN(P$5),INDEX(Attenuation!$J:$J,$H33):INDEX(Attenuation!$J:$J,$H33+$I33-1),1),1),1),$I33-1))+1)))))</f>
        <v>4.1360000000000001</v>
      </c>
      <c r="Q33" s="12">
        <f>IF($A33="","",IF(Q$5&gt;2*$G33,"",EXP(FORECAST(LN(Q$5),INDEX(Attenuation!$K:$K,($H33-1+MIN(MAX(IFERROR(MATCH(LN(Q$5),INDEX(Attenuation!$J:$J,$H33):INDEX(Attenuation!$J:$J,$H33+$I33-1),1),1),1),$I33-1))):INDEX(Attenuation!$K:$K,($H33-1+MIN(MAX(IFERROR(MATCH(LN(Q$5),INDEX(Attenuation!$J:$J,$H33):INDEX(Attenuation!$J:$J,$H33+$I33-1),1),1),1),$I33-1))+1),INDEX(Attenuation!$J:$J,($H33-1+MIN(MAX(IFERROR(MATCH(LN(Q$5),INDEX(Attenuation!$J:$J,$H33):INDEX(Attenuation!$J:$J,$H33+$I33-1),1),1),1),$I33-1))):INDEX(Attenuation!$J:$J,($H33-1+MIN(MAX(IFERROR(MATCH(LN(Q$5),INDEX(Attenuation!$J:$J,$H33):INDEX(Attenuation!$J:$J,$H33+$I33-1),1),1),1),$I33-1))+1)))))</f>
        <v>7.0996631792333726</v>
      </c>
      <c r="R33" s="12">
        <f>IF($A33="","",IF(R$5&gt;2*$G33,"",EXP(FORECAST(LN(R$5),INDEX(Attenuation!$K:$K,($H33-1+MIN(MAX(IFERROR(MATCH(LN(R$5),INDEX(Attenuation!$J:$J,$H33):INDEX(Attenuation!$J:$J,$H33+$I33-1),1),1),1),$I33-1))):INDEX(Attenuation!$K:$K,($H33-1+MIN(MAX(IFERROR(MATCH(LN(R$5),INDEX(Attenuation!$J:$J,$H33):INDEX(Attenuation!$J:$J,$H33+$I33-1),1),1),1),$I33-1))+1),INDEX(Attenuation!$J:$J,($H33-1+MIN(MAX(IFERROR(MATCH(LN(R$5),INDEX(Attenuation!$J:$J,$H33):INDEX(Attenuation!$J:$J,$H33+$I33-1),1),1),1),$I33-1))):INDEX(Attenuation!$J:$J,($H33-1+MIN(MAX(IFERROR(MATCH(LN(R$5),INDEX(Attenuation!$J:$J,$H33):INDEX(Attenuation!$J:$J,$H33+$I33-1),1),1),1),$I33-1))+1)))))</f>
        <v>12.546153308376546</v>
      </c>
      <c r="S33" s="12">
        <f>IF($A33="","",IF(S$5&gt;2*$G33,"",EXP(FORECAST(LN(S$5),INDEX(Attenuation!$K:$K,($H33-1+MIN(MAX(IFERROR(MATCH(LN(S$5),INDEX(Attenuation!$J:$J,$H33):INDEX(Attenuation!$J:$J,$H33+$I33-1),1),1),1),$I33-1))):INDEX(Attenuation!$K:$K,($H33-1+MIN(MAX(IFERROR(MATCH(LN(S$5),INDEX(Attenuation!$J:$J,$H33):INDEX(Attenuation!$J:$J,$H33+$I33-1),1),1),1),$I33-1))+1),INDEX(Attenuation!$J:$J,($H33-1+MIN(MAX(IFERROR(MATCH(LN(S$5),INDEX(Attenuation!$J:$J,$H33):INDEX(Attenuation!$J:$J,$H33+$I33-1),1),1),1),$I33-1))):INDEX(Attenuation!$J:$J,($H33-1+MIN(MAX(IFERROR(MATCH(LN(S$5),INDEX(Attenuation!$J:$J,$H33):INDEX(Attenuation!$J:$J,$H33+$I33-1),1),1),1),$I33-1))+1)))))</f>
        <v>22.478645668946669</v>
      </c>
      <c r="T33" s="12">
        <f>IF($A33="","",IF(T$5&gt;2*$G33,"",EXP(FORECAST(LN(T$5),INDEX(Attenuation!$K:$K,($H33-1+MIN(MAX(IFERROR(MATCH(LN(T$5),INDEX(Attenuation!$J:$J,$H33):INDEX(Attenuation!$J:$J,$H33+$I33-1),1),1),1),$I33-1))):INDEX(Attenuation!$K:$K,($H33-1+MIN(MAX(IFERROR(MATCH(LN(T$5),INDEX(Attenuation!$J:$J,$H33):INDEX(Attenuation!$J:$J,$H33+$I33-1),1),1),1),$I33-1))+1),INDEX(Attenuation!$J:$J,($H33-1+MIN(MAX(IFERROR(MATCH(LN(T$5),INDEX(Attenuation!$J:$J,$H33):INDEX(Attenuation!$J:$J,$H33+$I33-1),1),1),1),$I33-1))):INDEX(Attenuation!$J:$J,($H33-1+MIN(MAX(IFERROR(MATCH(LN(T$5),INDEX(Attenuation!$J:$J,$H33):INDEX(Attenuation!$J:$J,$H33+$I33-1),1),1),1),$I33-1))+1)))))</f>
        <v>31.457256621938591</v>
      </c>
      <c r="U33" s="12">
        <f>IF($A33="","",IF(U$5&gt;2*$G33,"",EXP(FORECAST(LN(U$5),INDEX(Attenuation!$K:$K,($H33-1+MIN(MAX(IFERROR(MATCH(LN(U$5),INDEX(Attenuation!$J:$J,$H33):INDEX(Attenuation!$J:$J,$H33+$I33-1),1),1),1),$I33-1))):INDEX(Attenuation!$K:$K,($H33-1+MIN(MAX(IFERROR(MATCH(LN(U$5),INDEX(Attenuation!$J:$J,$H33):INDEX(Attenuation!$J:$J,$H33+$I33-1),1),1),1),$I33-1))+1),INDEX(Attenuation!$J:$J,($H33-1+MIN(MAX(IFERROR(MATCH(LN(U$5),INDEX(Attenuation!$J:$J,$H33):INDEX(Attenuation!$J:$J,$H33+$I33-1),1),1),1),$I33-1))):INDEX(Attenuation!$J:$J,($H33-1+MIN(MAX(IFERROR(MATCH(LN(U$5),INDEX(Attenuation!$J:$J,$H33):INDEX(Attenuation!$J:$J,$H33+$I33-1),1),1),1),$I33-1))+1)))))</f>
        <v>51.523971872491259</v>
      </c>
      <c r="V33" s="1"/>
      <c r="W33" s="12">
        <f t="shared" si="0"/>
        <v>0.23599299928146591</v>
      </c>
      <c r="X33" s="12">
        <f t="shared" si="1"/>
        <v>0.32954532038572681</v>
      </c>
      <c r="Y33" s="12">
        <f t="shared" si="2"/>
        <v>0.46696682953580548</v>
      </c>
      <c r="Z33" s="12">
        <f t="shared" si="3"/>
        <v>0.66201907468193477</v>
      </c>
      <c r="AA33" s="12">
        <f t="shared" si="4"/>
        <v>0.81228526419121405</v>
      </c>
      <c r="AB33" s="12">
        <f t="shared" si="5"/>
        <v>0.93954720624982913</v>
      </c>
      <c r="AC33" s="12">
        <f t="shared" si="6"/>
        <v>1.2606528000000001</v>
      </c>
      <c r="AD33" s="12">
        <f t="shared" si="7"/>
        <v>2.1639773370303321</v>
      </c>
      <c r="AE33" s="12">
        <f t="shared" si="8"/>
        <v>3.8240675283931713</v>
      </c>
      <c r="AF33" s="12">
        <f t="shared" si="9"/>
        <v>6.8514911998949453</v>
      </c>
      <c r="AG33" s="12">
        <f t="shared" si="10"/>
        <v>9.5881718183668827</v>
      </c>
      <c r="AH33" s="12">
        <f t="shared" si="11"/>
        <v>15.704506626735336</v>
      </c>
    </row>
    <row r="34" spans="1:34" x14ac:dyDescent="0.25">
      <c r="A34" s="11" t="str">
        <f>IF(ROWS($A$6:A34)&gt;COUNTA(Cables!$A:$A)-1,"",INDEX(Cables!$A:$A,ROWS($A$6:A34)+1))</f>
        <v>RFS-SCF14-50J</v>
      </c>
      <c r="B34" s="11" t="str">
        <f>IF($A34="","",IF(INDEX(Cables!$B:$B,MATCH($A34,Cables!$A:$A,0))="","",INDEX(Cables!$B:$B,MATCH($A34,Cables!$A:$A,0))))</f>
        <v>RFS CELLFLEX SCF14-50J (1/4")</v>
      </c>
      <c r="C34" s="11">
        <f>IF($A34="","",IF(INDEX(Cables!$F:$F,MATCH($A34,Cables!$A:$A,0))="","",INDEX(Cables!$F:$F,MATCH($A34,Cables!$A:$A,0))))</f>
        <v>50</v>
      </c>
      <c r="D34" s="11">
        <f>IF($A34="","",IF(INDEX(Cables!$H:$H,MATCH($A34,Cables!$A:$A,0))="","",INDEX(Cables!$H:$H,MATCH($A34,Cables!$A:$A,0))))</f>
        <v>7.8</v>
      </c>
      <c r="E34" s="12">
        <f>IF($A34="","",IF(INDEX(Cables!$Q:$Q,MATCH($A34,Cables!$A:$A,0))="","",INDEX(Cables!$Q:$Q,MATCH($A34,Cables!$A:$A,0))))</f>
        <v>0.81</v>
      </c>
      <c r="F34" s="11">
        <f>IF($A34="","",IF(INDEX(Cables!$AQ:$AQ,MATCH($A34,Cables!$A:$A,0))="","",INDEX(Cables!$AQ:$AQ,MATCH($A34,Cables!$A:$A,0))))</f>
        <v>1</v>
      </c>
      <c r="G34" s="11">
        <f>IF($A34="","",IF(INDEX(Cables!$AR:$AR,MATCH($A34,Cables!$A:$A,0))="","",INDEX(Cables!$AR:$AR,MATCH($A34,Cables!$A:$A,0))))</f>
        <v>20400</v>
      </c>
      <c r="H34" s="11">
        <f>IF($A34="","",IF(INDEX(Cables!$AO:$AO,MATCH($A34,Cables!$A:$A,0))="","",INDEX(Cables!$AO:$AO,MATCH($A34,Cables!$A:$A,0))))</f>
        <v>368</v>
      </c>
      <c r="I34" s="11">
        <f>IF($A34="","",IF(INDEX(Cables!$AP:$AP,MATCH($A34,Cables!$A:$A,0))="","",INDEX(Cables!$AP:$AP,MATCH($A34,Cables!$A:$A,0))))</f>
        <v>17</v>
      </c>
      <c r="J34" s="12">
        <f>IF($A34="","",IF(J$5&gt;2*$G34,"",EXP(FORECAST(LN(J$5),INDEX(Attenuation!$K:$K,($H34-1+MIN(MAX(IFERROR(MATCH(LN(J$5),INDEX(Attenuation!$J:$J,$H34):INDEX(Attenuation!$J:$J,$H34+$I34-1),1),1),1),$I34-1))):INDEX(Attenuation!$K:$K,($H34-1+MIN(MAX(IFERROR(MATCH(LN(J$5),INDEX(Attenuation!$J:$J,$H34):INDEX(Attenuation!$J:$J,$H34+$I34-1),1),1),1),$I34-1))+1),INDEX(Attenuation!$J:$J,($H34-1+MIN(MAX(IFERROR(MATCH(LN(J$5),INDEX(Attenuation!$J:$J,$H34):INDEX(Attenuation!$J:$J,$H34+$I34-1),1),1),1),$I34-1))):INDEX(Attenuation!$J:$J,($H34-1+MIN(MAX(IFERROR(MATCH(LN(J$5),INDEX(Attenuation!$J:$J,$H34):INDEX(Attenuation!$J:$J,$H34+$I34-1),1),1),1),$I34-1))+1)))))</f>
        <v>0.76677152685666761</v>
      </c>
      <c r="K34" s="12">
        <f>IF($A34="","",IF(K$5&gt;2*$G34,"",EXP(FORECAST(LN(K$5),INDEX(Attenuation!$K:$K,($H34-1+MIN(MAX(IFERROR(MATCH(LN(K$5),INDEX(Attenuation!$J:$J,$H34):INDEX(Attenuation!$J:$J,$H34+$I34-1),1),1),1),$I34-1))):INDEX(Attenuation!$K:$K,($H34-1+MIN(MAX(IFERROR(MATCH(LN(K$5),INDEX(Attenuation!$J:$J,$H34):INDEX(Attenuation!$J:$J,$H34+$I34-1),1),1),1),$I34-1))+1),INDEX(Attenuation!$J:$J,($H34-1+MIN(MAX(IFERROR(MATCH(LN(K$5),INDEX(Attenuation!$J:$J,$H34):INDEX(Attenuation!$J:$J,$H34+$I34-1),1),1),1),$I34-1))):INDEX(Attenuation!$J:$J,($H34-1+MIN(MAX(IFERROR(MATCH(LN(K$5),INDEX(Attenuation!$J:$J,$H34):INDEX(Attenuation!$J:$J,$H34+$I34-1),1),1),1),$I34-1))+1)))))</f>
        <v>1.0724332654770585</v>
      </c>
      <c r="L34" s="12">
        <f>IF($A34="","",IF(L$5&gt;2*$G34,"",EXP(FORECAST(LN(L$5),INDEX(Attenuation!$K:$K,($H34-1+MIN(MAX(IFERROR(MATCH(LN(L$5),INDEX(Attenuation!$J:$J,$H34):INDEX(Attenuation!$J:$J,$H34+$I34-1),1),1),1),$I34-1))):INDEX(Attenuation!$K:$K,($H34-1+MIN(MAX(IFERROR(MATCH(LN(L$5),INDEX(Attenuation!$J:$J,$H34):INDEX(Attenuation!$J:$J,$H34+$I34-1),1),1),1),$I34-1))+1),INDEX(Attenuation!$J:$J,($H34-1+MIN(MAX(IFERROR(MATCH(LN(L$5),INDEX(Attenuation!$J:$J,$H34):INDEX(Attenuation!$J:$J,$H34+$I34-1),1),1),1),$I34-1))):INDEX(Attenuation!$J:$J,($H34-1+MIN(MAX(IFERROR(MATCH(LN(L$5),INDEX(Attenuation!$J:$J,$H34):INDEX(Attenuation!$J:$J,$H34+$I34-1),1),1),1),$I34-1))+1)))))</f>
        <v>1.5214131081294016</v>
      </c>
      <c r="M34" s="12">
        <f>IF($A34="","",IF(M$5&gt;2*$G34,"",EXP(FORECAST(LN(M$5),INDEX(Attenuation!$K:$K,($H34-1+MIN(MAX(IFERROR(MATCH(LN(M$5),INDEX(Attenuation!$J:$J,$H34):INDEX(Attenuation!$J:$J,$H34+$I34-1),1),1),1),$I34-1))):INDEX(Attenuation!$K:$K,($H34-1+MIN(MAX(IFERROR(MATCH(LN(M$5),INDEX(Attenuation!$J:$J,$H34):INDEX(Attenuation!$J:$J,$H34+$I34-1),1),1),1),$I34-1))+1),INDEX(Attenuation!$J:$J,($H34-1+MIN(MAX(IFERROR(MATCH(LN(M$5),INDEX(Attenuation!$J:$J,$H34):INDEX(Attenuation!$J:$J,$H34+$I34-1),1),1),1),$I34-1))):INDEX(Attenuation!$J:$J,($H34-1+MIN(MAX(IFERROR(MATCH(LN(M$5),INDEX(Attenuation!$J:$J,$H34):INDEX(Attenuation!$J:$J,$H34+$I34-1),1),1),1),$I34-1))+1)))))</f>
        <v>2.1583607298476539</v>
      </c>
      <c r="N34" s="12">
        <f>IF($A34="","",IF(N$5&gt;2*$G34,"",EXP(FORECAST(LN(N$5),INDEX(Attenuation!$K:$K,($H34-1+MIN(MAX(IFERROR(MATCH(LN(N$5),INDEX(Attenuation!$J:$J,$H34):INDEX(Attenuation!$J:$J,$H34+$I34-1),1),1),1),$I34-1))):INDEX(Attenuation!$K:$K,($H34-1+MIN(MAX(IFERROR(MATCH(LN(N$5),INDEX(Attenuation!$J:$J,$H34):INDEX(Attenuation!$J:$J,$H34+$I34-1),1),1),1),$I34-1))+1),INDEX(Attenuation!$J:$J,($H34-1+MIN(MAX(IFERROR(MATCH(LN(N$5),INDEX(Attenuation!$J:$J,$H34):INDEX(Attenuation!$J:$J,$H34+$I34-1),1),1),1),$I34-1))):INDEX(Attenuation!$J:$J,($H34-1+MIN(MAX(IFERROR(MATCH(LN(N$5),INDEX(Attenuation!$J:$J,$H34):INDEX(Attenuation!$J:$J,$H34+$I34-1),1),1),1),$I34-1))+1)))))</f>
        <v>2.6482946818078505</v>
      </c>
      <c r="O34" s="12">
        <f>IF($A34="","",IF(O$5&gt;2*$G34,"",EXP(FORECAST(LN(O$5),INDEX(Attenuation!$K:$K,($H34-1+MIN(MAX(IFERROR(MATCH(LN(O$5),INDEX(Attenuation!$J:$J,$H34):INDEX(Attenuation!$J:$J,$H34+$I34-1),1),1),1),$I34-1))):INDEX(Attenuation!$K:$K,($H34-1+MIN(MAX(IFERROR(MATCH(LN(O$5),INDEX(Attenuation!$J:$J,$H34):INDEX(Attenuation!$J:$J,$H34+$I34-1),1),1),1),$I34-1))+1),INDEX(Attenuation!$J:$J,($H34-1+MIN(MAX(IFERROR(MATCH(LN(O$5),INDEX(Attenuation!$J:$J,$H34):INDEX(Attenuation!$J:$J,$H34+$I34-1),1),1),1),$I34-1))):INDEX(Attenuation!$J:$J,($H34-1+MIN(MAX(IFERROR(MATCH(LN(O$5),INDEX(Attenuation!$J:$J,$H34):INDEX(Attenuation!$J:$J,$H34+$I34-1),1),1),1),$I34-1))+1)))))</f>
        <v>3.0619698326881197</v>
      </c>
      <c r="P34" s="12">
        <f>IF($A34="","",IF(P$5&gt;2*$G34,"",EXP(FORECAST(LN(P$5),INDEX(Attenuation!$K:$K,($H34-1+MIN(MAX(IFERROR(MATCH(LN(P$5),INDEX(Attenuation!$J:$J,$H34):INDEX(Attenuation!$J:$J,$H34+$I34-1),1),1),1),$I34-1))):INDEX(Attenuation!$K:$K,($H34-1+MIN(MAX(IFERROR(MATCH(LN(P$5),INDEX(Attenuation!$J:$J,$H34):INDEX(Attenuation!$J:$J,$H34+$I34-1),1),1),1),$I34-1))+1),INDEX(Attenuation!$J:$J,($H34-1+MIN(MAX(IFERROR(MATCH(LN(P$5),INDEX(Attenuation!$J:$J,$H34):INDEX(Attenuation!$J:$J,$H34+$I34-1),1),1),1),$I34-1))):INDEX(Attenuation!$J:$J,($H34-1+MIN(MAX(IFERROR(MATCH(LN(P$5),INDEX(Attenuation!$J:$J,$H34):INDEX(Attenuation!$J:$J,$H34+$I34-1),1),1),1),$I34-1))+1)))))</f>
        <v>4.1024765540179722</v>
      </c>
      <c r="Q34" s="12">
        <f>IF($A34="","",IF(Q$5&gt;2*$G34,"",EXP(FORECAST(LN(Q$5),INDEX(Attenuation!$K:$K,($H34-1+MIN(MAX(IFERROR(MATCH(LN(Q$5),INDEX(Attenuation!$J:$J,$H34):INDEX(Attenuation!$J:$J,$H34+$I34-1),1),1),1),$I34-1))):INDEX(Attenuation!$K:$K,($H34-1+MIN(MAX(IFERROR(MATCH(LN(Q$5),INDEX(Attenuation!$J:$J,$H34):INDEX(Attenuation!$J:$J,$H34+$I34-1),1),1),1),$I34-1))+1),INDEX(Attenuation!$J:$J,($H34-1+MIN(MAX(IFERROR(MATCH(LN(Q$5),INDEX(Attenuation!$J:$J,$H34):INDEX(Attenuation!$J:$J,$H34+$I34-1),1),1),1),$I34-1))):INDEX(Attenuation!$J:$J,($H34-1+MIN(MAX(IFERROR(MATCH(LN(Q$5),INDEX(Attenuation!$J:$J,$H34):INDEX(Attenuation!$J:$J,$H34+$I34-1),1),1),1),$I34-1))+1)))))</f>
        <v>7.0281897938633664</v>
      </c>
      <c r="R34" s="12">
        <f>IF($A34="","",IF(R$5&gt;2*$G34,"",EXP(FORECAST(LN(R$5),INDEX(Attenuation!$K:$K,($H34-1+MIN(MAX(IFERROR(MATCH(LN(R$5),INDEX(Attenuation!$J:$J,$H34):INDEX(Attenuation!$J:$J,$H34+$I34-1),1),1),1),$I34-1))):INDEX(Attenuation!$K:$K,($H34-1+MIN(MAX(IFERROR(MATCH(LN(R$5),INDEX(Attenuation!$J:$J,$H34):INDEX(Attenuation!$J:$J,$H34+$I34-1),1),1),1),$I34-1))+1),INDEX(Attenuation!$J:$J,($H34-1+MIN(MAX(IFERROR(MATCH(LN(R$5),INDEX(Attenuation!$J:$J,$H34):INDEX(Attenuation!$J:$J,$H34+$I34-1),1),1),1),$I34-1))):INDEX(Attenuation!$J:$J,($H34-1+MIN(MAX(IFERROR(MATCH(LN(R$5),INDEX(Attenuation!$J:$J,$H34):INDEX(Attenuation!$J:$J,$H34+$I34-1),1),1),1),$I34-1))+1)))))</f>
        <v>12.461108113470431</v>
      </c>
      <c r="S34" s="12">
        <f>IF($A34="","",IF(S$5&gt;2*$G34,"",EXP(FORECAST(LN(S$5),INDEX(Attenuation!$K:$K,($H34-1+MIN(MAX(IFERROR(MATCH(LN(S$5),INDEX(Attenuation!$J:$J,$H34):INDEX(Attenuation!$J:$J,$H34+$I34-1),1),1),1),$I34-1))):INDEX(Attenuation!$K:$K,($H34-1+MIN(MAX(IFERROR(MATCH(LN(S$5),INDEX(Attenuation!$J:$J,$H34):INDEX(Attenuation!$J:$J,$H34+$I34-1),1),1),1),$I34-1))+1),INDEX(Attenuation!$J:$J,($H34-1+MIN(MAX(IFERROR(MATCH(LN(S$5),INDEX(Attenuation!$J:$J,$H34):INDEX(Attenuation!$J:$J,$H34+$I34-1),1),1),1),$I34-1))):INDEX(Attenuation!$J:$J,($H34-1+MIN(MAX(IFERROR(MATCH(LN(S$5),INDEX(Attenuation!$J:$J,$H34):INDEX(Attenuation!$J:$J,$H34+$I34-1),1),1),1),$I34-1))+1)))))</f>
        <v>22.480620739401537</v>
      </c>
      <c r="T34" s="12">
        <f>IF($A34="","",IF(T$5&gt;2*$G34,"",EXP(FORECAST(LN(T$5),INDEX(Attenuation!$K:$K,($H34-1+MIN(MAX(IFERROR(MATCH(LN(T$5),INDEX(Attenuation!$J:$J,$H34):INDEX(Attenuation!$J:$J,$H34+$I34-1),1),1),1),$I34-1))):INDEX(Attenuation!$K:$K,($H34-1+MIN(MAX(IFERROR(MATCH(LN(T$5),INDEX(Attenuation!$J:$J,$H34):INDEX(Attenuation!$J:$J,$H34+$I34-1),1),1),1),$I34-1))+1),INDEX(Attenuation!$J:$J,($H34-1+MIN(MAX(IFERROR(MATCH(LN(T$5),INDEX(Attenuation!$J:$J,$H34):INDEX(Attenuation!$J:$J,$H34+$I34-1),1),1),1),$I34-1))):INDEX(Attenuation!$J:$J,($H34-1+MIN(MAX(IFERROR(MATCH(LN(T$5),INDEX(Attenuation!$J:$J,$H34):INDEX(Attenuation!$J:$J,$H34+$I34-1),1),1),1),$I34-1))+1)))))</f>
        <v>31.569999999999972</v>
      </c>
      <c r="U34" s="12">
        <f>IF($A34="","",IF(U$5&gt;2*$G34,"",EXP(FORECAST(LN(U$5),INDEX(Attenuation!$K:$K,($H34-1+MIN(MAX(IFERROR(MATCH(LN(U$5),INDEX(Attenuation!$J:$J,$H34):INDEX(Attenuation!$J:$J,$H34+$I34-1),1),1),1),$I34-1))):INDEX(Attenuation!$K:$K,($H34-1+MIN(MAX(IFERROR(MATCH(LN(U$5),INDEX(Attenuation!$J:$J,$H34):INDEX(Attenuation!$J:$J,$H34+$I34-1),1),1),1),$I34-1))+1),INDEX(Attenuation!$J:$J,($H34-1+MIN(MAX(IFERROR(MATCH(LN(U$5),INDEX(Attenuation!$J:$J,$H34):INDEX(Attenuation!$J:$J,$H34+$I34-1),1),1),1),$I34-1))):INDEX(Attenuation!$J:$J,($H34-1+MIN(MAX(IFERROR(MATCH(LN(U$5),INDEX(Attenuation!$J:$J,$H34):INDEX(Attenuation!$J:$J,$H34+$I34-1),1),1),1),$I34-1))+1)))))</f>
        <v>52.371308658391655</v>
      </c>
      <c r="V34" s="1"/>
      <c r="W34" s="12">
        <f t="shared" si="0"/>
        <v>0.2337119613859123</v>
      </c>
      <c r="X34" s="12">
        <f t="shared" si="1"/>
        <v>0.32687765931740748</v>
      </c>
      <c r="Y34" s="12">
        <f t="shared" si="2"/>
        <v>0.4637267153578416</v>
      </c>
      <c r="Z34" s="12">
        <f t="shared" si="3"/>
        <v>0.65786835045756498</v>
      </c>
      <c r="AA34" s="12">
        <f t="shared" si="4"/>
        <v>0.80720021901503292</v>
      </c>
      <c r="AB34" s="12">
        <f t="shared" si="5"/>
        <v>0.93328840500333898</v>
      </c>
      <c r="AC34" s="12">
        <f t="shared" si="6"/>
        <v>1.2504348536646779</v>
      </c>
      <c r="AD34" s="12">
        <f t="shared" si="7"/>
        <v>2.142192249169554</v>
      </c>
      <c r="AE34" s="12">
        <f t="shared" si="8"/>
        <v>3.7981457529857874</v>
      </c>
      <c r="AF34" s="12">
        <f t="shared" si="9"/>
        <v>6.8520932013695885</v>
      </c>
      <c r="AG34" s="12">
        <f t="shared" si="10"/>
        <v>9.6225359999999913</v>
      </c>
      <c r="AH34" s="12">
        <f t="shared" si="11"/>
        <v>15.962774879077777</v>
      </c>
    </row>
    <row r="35" spans="1:34" x14ac:dyDescent="0.25">
      <c r="A35" s="11" t="str">
        <f>IF(ROWS($A$6:A35)&gt;COUNTA(Cables!$A:$A)-1,"",INDEX(Cables!$A:$A,ROWS($A$6:A35)+1))</f>
        <v>MP-ULTRAFLEX7</v>
      </c>
      <c r="B35" s="11" t="str">
        <f>IF($A35="","",IF(INDEX(Cables!$B:$B,MATCH($A35,Cables!$A:$A,0))="","",INDEX(Cables!$B:$B,MATCH($A35,Cables!$A:$A,0))))</f>
        <v>Messi &amp; Paoloni Ultraflex 7</v>
      </c>
      <c r="C35" s="11">
        <f>IF($A35="","",IF(INDEX(Cables!$F:$F,MATCH($A35,Cables!$A:$A,0))="","",INDEX(Cables!$F:$F,MATCH($A35,Cables!$A:$A,0))))</f>
        <v>50</v>
      </c>
      <c r="D35" s="11">
        <f>IF($A35="","",IF(INDEX(Cables!$H:$H,MATCH($A35,Cables!$A:$A,0))="","",INDEX(Cables!$H:$H,MATCH($A35,Cables!$A:$A,0))))</f>
        <v>7.3</v>
      </c>
      <c r="E35" s="12">
        <f>IF($A35="","",IF(INDEX(Cables!$Q:$Q,MATCH($A35,Cables!$A:$A,0))="","",INDEX(Cables!$Q:$Q,MATCH($A35,Cables!$A:$A,0))))</f>
        <v>0.83</v>
      </c>
      <c r="F35" s="11">
        <f>IF($A35="","",IF(INDEX(Cables!$AQ:$AQ,MATCH($A35,Cables!$A:$A,0))="","",INDEX(Cables!$AQ:$AQ,MATCH($A35,Cables!$A:$A,0))))</f>
        <v>1.8</v>
      </c>
      <c r="G35" s="11">
        <f>IF($A35="","",IF(INDEX(Cables!$AR:$AR,MATCH($A35,Cables!$A:$A,0))="","",INDEX(Cables!$AR:$AR,MATCH($A35,Cables!$A:$A,0))))</f>
        <v>8000</v>
      </c>
      <c r="H35" s="11">
        <f>IF($A35="","",IF(INDEX(Cables!$AO:$AO,MATCH($A35,Cables!$A:$A,0))="","",INDEX(Cables!$AO:$AO,MATCH($A35,Cables!$A:$A,0))))</f>
        <v>385</v>
      </c>
      <c r="I35" s="11">
        <f>IF($A35="","",IF(INDEX(Cables!$AP:$AP,MATCH($A35,Cables!$A:$A,0))="","",INDEX(Cables!$AP:$AP,MATCH($A35,Cables!$A:$A,0))))</f>
        <v>23</v>
      </c>
      <c r="J35" s="12">
        <f>IF($A35="","",IF(J$5&gt;2*$G35,"",EXP(FORECAST(LN(J$5),INDEX(Attenuation!$K:$K,($H35-1+MIN(MAX(IFERROR(MATCH(LN(J$5),INDEX(Attenuation!$J:$J,$H35):INDEX(Attenuation!$J:$J,$H35+$I35-1),1),1),1),$I35-1))):INDEX(Attenuation!$K:$K,($H35-1+MIN(MAX(IFERROR(MATCH(LN(J$5),INDEX(Attenuation!$J:$J,$H35):INDEX(Attenuation!$J:$J,$H35+$I35-1),1),1),1),$I35-1))+1),INDEX(Attenuation!$J:$J,($H35-1+MIN(MAX(IFERROR(MATCH(LN(J$5),INDEX(Attenuation!$J:$J,$H35):INDEX(Attenuation!$J:$J,$H35+$I35-1),1),1),1),$I35-1))):INDEX(Attenuation!$J:$J,($H35-1+MIN(MAX(IFERROR(MATCH(LN(J$5),INDEX(Attenuation!$J:$J,$H35):INDEX(Attenuation!$J:$J,$H35+$I35-1),1),1),1),$I35-1))+1)))))</f>
        <v>1.1000000000000001</v>
      </c>
      <c r="K35" s="12">
        <f>IF($A35="","",IF(K$5&gt;2*$G35,"",EXP(FORECAST(LN(K$5),INDEX(Attenuation!$K:$K,($H35-1+MIN(MAX(IFERROR(MATCH(LN(K$5),INDEX(Attenuation!$J:$J,$H35):INDEX(Attenuation!$J:$J,$H35+$I35-1),1),1),1),$I35-1))):INDEX(Attenuation!$K:$K,($H35-1+MIN(MAX(IFERROR(MATCH(LN(K$5),INDEX(Attenuation!$J:$J,$H35):INDEX(Attenuation!$J:$J,$H35+$I35-1),1),1),1),$I35-1))+1),INDEX(Attenuation!$J:$J,($H35-1+MIN(MAX(IFERROR(MATCH(LN(K$5),INDEX(Attenuation!$J:$J,$H35):INDEX(Attenuation!$J:$J,$H35+$I35-1),1),1),1),$I35-1))):INDEX(Attenuation!$J:$J,($H35-1+MIN(MAX(IFERROR(MATCH(LN(K$5),INDEX(Attenuation!$J:$J,$H35):INDEX(Attenuation!$J:$J,$H35+$I35-1),1),1),1),$I35-1))+1)))))</f>
        <v>1.3</v>
      </c>
      <c r="L35" s="12">
        <f>IF($A35="","",IF(L$5&gt;2*$G35,"",EXP(FORECAST(LN(L$5),INDEX(Attenuation!$K:$K,($H35-1+MIN(MAX(IFERROR(MATCH(LN(L$5),INDEX(Attenuation!$J:$J,$H35):INDEX(Attenuation!$J:$J,$H35+$I35-1),1),1),1),$I35-1))):INDEX(Attenuation!$K:$K,($H35-1+MIN(MAX(IFERROR(MATCH(LN(L$5),INDEX(Attenuation!$J:$J,$H35):INDEX(Attenuation!$J:$J,$H35+$I35-1),1),1),1),$I35-1))+1),INDEX(Attenuation!$J:$J,($H35-1+MIN(MAX(IFERROR(MATCH(LN(L$5),INDEX(Attenuation!$J:$J,$H35):INDEX(Attenuation!$J:$J,$H35+$I35-1),1),1),1),$I35-1))):INDEX(Attenuation!$J:$J,($H35-1+MIN(MAX(IFERROR(MATCH(LN(L$5),INDEX(Attenuation!$J:$J,$H35):INDEX(Attenuation!$J:$J,$H35+$I35-1),1),1),1),$I35-1))+1)))))</f>
        <v>1.7</v>
      </c>
      <c r="M35" s="12">
        <f>IF($A35="","",IF(M$5&gt;2*$G35,"",EXP(FORECAST(LN(M$5),INDEX(Attenuation!$K:$K,($H35-1+MIN(MAX(IFERROR(MATCH(LN(M$5),INDEX(Attenuation!$J:$J,$H35):INDEX(Attenuation!$J:$J,$H35+$I35-1),1),1),1),$I35-1))):INDEX(Attenuation!$K:$K,($H35-1+MIN(MAX(IFERROR(MATCH(LN(M$5),INDEX(Attenuation!$J:$J,$H35):INDEX(Attenuation!$J:$J,$H35+$I35-1),1),1),1),$I35-1))+1),INDEX(Attenuation!$J:$J,($H35-1+MIN(MAX(IFERROR(MATCH(LN(M$5),INDEX(Attenuation!$J:$J,$H35):INDEX(Attenuation!$J:$J,$H35+$I35-1),1),1),1),$I35-1))):INDEX(Attenuation!$J:$J,($H35-1+MIN(MAX(IFERROR(MATCH(LN(M$5),INDEX(Attenuation!$J:$J,$H35):INDEX(Attenuation!$J:$J,$H35+$I35-1),1),1),1),$I35-1))+1)))))</f>
        <v>2.2000000000000002</v>
      </c>
      <c r="N35" s="12">
        <f>IF($A35="","",IF(N$5&gt;2*$G35,"",EXP(FORECAST(LN(N$5),INDEX(Attenuation!$K:$K,($H35-1+MIN(MAX(IFERROR(MATCH(LN(N$5),INDEX(Attenuation!$J:$J,$H35):INDEX(Attenuation!$J:$J,$H35+$I35-1),1),1),1),$I35-1))):INDEX(Attenuation!$K:$K,($H35-1+MIN(MAX(IFERROR(MATCH(LN(N$5),INDEX(Attenuation!$J:$J,$H35):INDEX(Attenuation!$J:$J,$H35+$I35-1),1),1),1),$I35-1))+1),INDEX(Attenuation!$J:$J,($H35-1+MIN(MAX(IFERROR(MATCH(LN(N$5),INDEX(Attenuation!$J:$J,$H35):INDEX(Attenuation!$J:$J,$H35+$I35-1),1),1),1),$I35-1))):INDEX(Attenuation!$J:$J,($H35-1+MIN(MAX(IFERROR(MATCH(LN(N$5),INDEX(Attenuation!$J:$J,$H35):INDEX(Attenuation!$J:$J,$H35+$I35-1),1),1),1),$I35-1))+1)))))</f>
        <v>2.6</v>
      </c>
      <c r="O35" s="12">
        <f>IF($A35="","",IF(O$5&gt;2*$G35,"",EXP(FORECAST(LN(O$5),INDEX(Attenuation!$K:$K,($H35-1+MIN(MAX(IFERROR(MATCH(LN(O$5),INDEX(Attenuation!$J:$J,$H35):INDEX(Attenuation!$J:$J,$H35+$I35-1),1),1),1),$I35-1))):INDEX(Attenuation!$K:$K,($H35-1+MIN(MAX(IFERROR(MATCH(LN(O$5),INDEX(Attenuation!$J:$J,$H35):INDEX(Attenuation!$J:$J,$H35+$I35-1),1),1),1),$I35-1))+1),INDEX(Attenuation!$J:$J,($H35-1+MIN(MAX(IFERROR(MATCH(LN(O$5),INDEX(Attenuation!$J:$J,$H35):INDEX(Attenuation!$J:$J,$H35+$I35-1),1),1),1),$I35-1))):INDEX(Attenuation!$J:$J,($H35-1+MIN(MAX(IFERROR(MATCH(LN(O$5),INDEX(Attenuation!$J:$J,$H35):INDEX(Attenuation!$J:$J,$H35+$I35-1),1),1),1),$I35-1))+1)))))</f>
        <v>3.0000000000000004</v>
      </c>
      <c r="P35" s="12">
        <f>IF($A35="","",IF(P$5&gt;2*$G35,"",EXP(FORECAST(LN(P$5),INDEX(Attenuation!$K:$K,($H35-1+MIN(MAX(IFERROR(MATCH(LN(P$5),INDEX(Attenuation!$J:$J,$H35):INDEX(Attenuation!$J:$J,$H35+$I35-1),1),1),1),$I35-1))):INDEX(Attenuation!$K:$K,($H35-1+MIN(MAX(IFERROR(MATCH(LN(P$5),INDEX(Attenuation!$J:$J,$H35):INDEX(Attenuation!$J:$J,$H35+$I35-1),1),1),1),$I35-1))+1),INDEX(Attenuation!$J:$J,($H35-1+MIN(MAX(IFERROR(MATCH(LN(P$5),INDEX(Attenuation!$J:$J,$H35):INDEX(Attenuation!$J:$J,$H35+$I35-1),1),1),1),$I35-1))):INDEX(Attenuation!$J:$J,($H35-1+MIN(MAX(IFERROR(MATCH(LN(P$5),INDEX(Attenuation!$J:$J,$H35):INDEX(Attenuation!$J:$J,$H35+$I35-1),1),1),1),$I35-1))+1)))))</f>
        <v>3.9999999999999991</v>
      </c>
      <c r="Q35" s="12">
        <f>IF($A35="","",IF(Q$5&gt;2*$G35,"",EXP(FORECAST(LN(Q$5),INDEX(Attenuation!$K:$K,($H35-1+MIN(MAX(IFERROR(MATCH(LN(Q$5),INDEX(Attenuation!$J:$J,$H35):INDEX(Attenuation!$J:$J,$H35+$I35-1),1),1),1),$I35-1))):INDEX(Attenuation!$K:$K,($H35-1+MIN(MAX(IFERROR(MATCH(LN(Q$5),INDEX(Attenuation!$J:$J,$H35):INDEX(Attenuation!$J:$J,$H35+$I35-1),1),1),1),$I35-1))+1),INDEX(Attenuation!$J:$J,($H35-1+MIN(MAX(IFERROR(MATCH(LN(Q$5),INDEX(Attenuation!$J:$J,$H35):INDEX(Attenuation!$J:$J,$H35+$I35-1),1),1),1),$I35-1))):INDEX(Attenuation!$J:$J,($H35-1+MIN(MAX(IFERROR(MATCH(LN(Q$5),INDEX(Attenuation!$J:$J,$H35):INDEX(Attenuation!$J:$J,$H35+$I35-1),1),1),1),$I35-1))+1)))))</f>
        <v>6.9</v>
      </c>
      <c r="R35" s="12">
        <f>IF($A35="","",IF(R$5&gt;2*$G35,"",EXP(FORECAST(LN(R$5),INDEX(Attenuation!$K:$K,($H35-1+MIN(MAX(IFERROR(MATCH(LN(R$5),INDEX(Attenuation!$J:$J,$H35):INDEX(Attenuation!$J:$J,$H35+$I35-1),1),1),1),$I35-1))):INDEX(Attenuation!$K:$K,($H35-1+MIN(MAX(IFERROR(MATCH(LN(R$5),INDEX(Attenuation!$J:$J,$H35):INDEX(Attenuation!$J:$J,$H35+$I35-1),1),1),1),$I35-1))+1),INDEX(Attenuation!$J:$J,($H35-1+MIN(MAX(IFERROR(MATCH(LN(R$5),INDEX(Attenuation!$J:$J,$H35):INDEX(Attenuation!$J:$J,$H35+$I35-1),1),1),1),$I35-1))):INDEX(Attenuation!$J:$J,($H35-1+MIN(MAX(IFERROR(MATCH(LN(R$5),INDEX(Attenuation!$J:$J,$H35):INDEX(Attenuation!$J:$J,$H35+$I35-1),1),1),1),$I35-1))+1)))))</f>
        <v>12.330328521465223</v>
      </c>
      <c r="S35" s="12">
        <f>IF($A35="","",IF(S$5&gt;2*$G35,"",EXP(FORECAST(LN(S$5),INDEX(Attenuation!$K:$K,($H35-1+MIN(MAX(IFERROR(MATCH(LN(S$5),INDEX(Attenuation!$J:$J,$H35):INDEX(Attenuation!$J:$J,$H35+$I35-1),1),1),1),$I35-1))):INDEX(Attenuation!$K:$K,($H35-1+MIN(MAX(IFERROR(MATCH(LN(S$5),INDEX(Attenuation!$J:$J,$H35):INDEX(Attenuation!$J:$J,$H35+$I35-1),1),1),1),$I35-1))+1),INDEX(Attenuation!$J:$J,($H35-1+MIN(MAX(IFERROR(MATCH(LN(S$5),INDEX(Attenuation!$J:$J,$H35):INDEX(Attenuation!$J:$J,$H35+$I35-1),1),1),1),$I35-1))):INDEX(Attenuation!$J:$J,($H35-1+MIN(MAX(IFERROR(MATCH(LN(S$5),INDEX(Attenuation!$J:$J,$H35):INDEX(Attenuation!$J:$J,$H35+$I35-1),1),1),1),$I35-1))+1)))))</f>
        <v>22.300000000000018</v>
      </c>
      <c r="T35" s="12">
        <f>IF($A35="","",IF(T$5&gt;2*$G35,"",EXP(FORECAST(LN(T$5),INDEX(Attenuation!$K:$K,($H35-1+MIN(MAX(IFERROR(MATCH(LN(T$5),INDEX(Attenuation!$J:$J,$H35):INDEX(Attenuation!$J:$J,$H35+$I35-1),1),1),1),$I35-1))):INDEX(Attenuation!$K:$K,($H35-1+MIN(MAX(IFERROR(MATCH(LN(T$5),INDEX(Attenuation!$J:$J,$H35):INDEX(Attenuation!$J:$J,$H35+$I35-1),1),1),1),$I35-1))+1),INDEX(Attenuation!$J:$J,($H35-1+MIN(MAX(IFERROR(MATCH(LN(T$5),INDEX(Attenuation!$J:$J,$H35):INDEX(Attenuation!$J:$J,$H35+$I35-1),1),1),1),$I35-1))):INDEX(Attenuation!$J:$J,($H35-1+MIN(MAX(IFERROR(MATCH(LN(T$5),INDEX(Attenuation!$J:$J,$H35):INDEX(Attenuation!$J:$J,$H35+$I35-1),1),1),1),$I35-1))+1)))))</f>
        <v>32.29999999999999</v>
      </c>
      <c r="U35" s="12">
        <f>IF($A35="","",IF(U$5&gt;2*$G35,"",EXP(FORECAST(LN(U$5),INDEX(Attenuation!$K:$K,($H35-1+MIN(MAX(IFERROR(MATCH(LN(U$5),INDEX(Attenuation!$J:$J,$H35):INDEX(Attenuation!$J:$J,$H35+$I35-1),1),1),1),$I35-1))):INDEX(Attenuation!$K:$K,($H35-1+MIN(MAX(IFERROR(MATCH(LN(U$5),INDEX(Attenuation!$J:$J,$H35):INDEX(Attenuation!$J:$J,$H35+$I35-1),1),1),1),$I35-1))+1),INDEX(Attenuation!$J:$J,($H35-1+MIN(MAX(IFERROR(MATCH(LN(U$5),INDEX(Attenuation!$J:$J,$H35):INDEX(Attenuation!$J:$J,$H35+$I35-1),1),1),1),$I35-1))):INDEX(Attenuation!$J:$J,($H35-1+MIN(MAX(IFERROR(MATCH(LN(U$5),INDEX(Attenuation!$J:$J,$H35):INDEX(Attenuation!$J:$J,$H35+$I35-1),1),1),1),$I35-1))+1)))))</f>
        <v>53.896100661712197</v>
      </c>
      <c r="V35" s="1"/>
      <c r="W35" s="12">
        <f t="shared" si="0"/>
        <v>0.33528000000000002</v>
      </c>
      <c r="X35" s="12">
        <f t="shared" si="1"/>
        <v>0.39624000000000004</v>
      </c>
      <c r="Y35" s="12">
        <f t="shared" si="2"/>
        <v>0.51816000000000006</v>
      </c>
      <c r="Z35" s="12">
        <f t="shared" si="3"/>
        <v>0.67056000000000004</v>
      </c>
      <c r="AA35" s="12">
        <f t="shared" si="4"/>
        <v>0.79248000000000007</v>
      </c>
      <c r="AB35" s="12">
        <f t="shared" si="5"/>
        <v>0.91440000000000021</v>
      </c>
      <c r="AC35" s="12">
        <f t="shared" si="6"/>
        <v>1.2191999999999998</v>
      </c>
      <c r="AD35" s="12">
        <f t="shared" si="7"/>
        <v>2.1031200000000001</v>
      </c>
      <c r="AE35" s="12">
        <f t="shared" si="8"/>
        <v>3.7582841333426003</v>
      </c>
      <c r="AF35" s="12">
        <f t="shared" si="9"/>
        <v>6.7970400000000062</v>
      </c>
      <c r="AG35" s="12">
        <f t="shared" si="10"/>
        <v>9.8450399999999973</v>
      </c>
      <c r="AH35" s="12">
        <f t="shared" si="11"/>
        <v>16.427531481689879</v>
      </c>
    </row>
    <row r="36" spans="1:34" x14ac:dyDescent="0.25">
      <c r="A36" s="11" t="str">
        <f>IF(ROWS($A$6:A36)&gt;COUNTA(Cables!$A:$A)-1,"",INDEX(Cables!$A:$A,ROWS($A$6:A36)+1))</f>
        <v>ERI-TZC50032</v>
      </c>
      <c r="B36" s="11" t="str">
        <f>IF($A36="","",IF(INDEX(Cables!$B:$B,MATCH($A36,Cables!$A:$A,0))="","",INDEX(Cables!$B:$B,MATCH($A36,Cables!$A:$A,0))))</f>
        <v>Ericsson TZC 500 32 (RG-8 tipi)</v>
      </c>
      <c r="C36" s="11">
        <f>IF($A36="","",IF(INDEX(Cables!$F:$F,MATCH($A36,Cables!$A:$A,0))="","",INDEX(Cables!$F:$F,MATCH($A36,Cables!$A:$A,0))))</f>
        <v>50</v>
      </c>
      <c r="D36" s="11">
        <f>IF($A36="","",IF(INDEX(Cables!$H:$H,MATCH($A36,Cables!$A:$A,0))="","",INDEX(Cables!$H:$H,MATCH($A36,Cables!$A:$A,0))))</f>
        <v>10.16</v>
      </c>
      <c r="E36" s="12" t="str">
        <f>IF($A36="","",IF(INDEX(Cables!$Q:$Q,MATCH($A36,Cables!$A:$A,0))="","",INDEX(Cables!$Q:$Q,MATCH($A36,Cables!$A:$A,0))))</f>
        <v/>
      </c>
      <c r="F36" s="11">
        <f>IF($A36="","",IF(INDEX(Cables!$AQ:$AQ,MATCH($A36,Cables!$A:$A,0))="","",INDEX(Cables!$AQ:$AQ,MATCH($A36,Cables!$A:$A,0))))</f>
        <v>140</v>
      </c>
      <c r="G36" s="11">
        <f>IF($A36="","",IF(INDEX(Cables!$AR:$AR,MATCH($A36,Cables!$A:$A,0))="","",INDEX(Cables!$AR:$AR,MATCH($A36,Cables!$A:$A,0))))</f>
        <v>1900</v>
      </c>
      <c r="H36" s="11">
        <f>IF($A36="","",IF(INDEX(Cables!$AO:$AO,MATCH($A36,Cables!$A:$A,0))="","",INDEX(Cables!$AO:$AO,MATCH($A36,Cables!$A:$A,0))))</f>
        <v>408</v>
      </c>
      <c r="I36" s="11">
        <f>IF($A36="","",IF(INDEX(Cables!$AP:$AP,MATCH($A36,Cables!$A:$A,0))="","",INDEX(Cables!$AP:$AP,MATCH($A36,Cables!$A:$A,0))))</f>
        <v>5</v>
      </c>
      <c r="J36" s="12">
        <f>IF($A36="","",IF(J$5&gt;2*$G36,"",EXP(FORECAST(LN(J$5),INDEX(Attenuation!$K:$K,($H36-1+MIN(MAX(IFERROR(MATCH(LN(J$5),INDEX(Attenuation!$J:$J,$H36):INDEX(Attenuation!$J:$J,$H36+$I36-1),1),1),1),$I36-1))):INDEX(Attenuation!$K:$K,($H36-1+MIN(MAX(IFERROR(MATCH(LN(J$5),INDEX(Attenuation!$J:$J,$H36):INDEX(Attenuation!$J:$J,$H36+$I36-1),1),1),1),$I36-1))+1),INDEX(Attenuation!$J:$J,($H36-1+MIN(MAX(IFERROR(MATCH(LN(J$5),INDEX(Attenuation!$J:$J,$H36):INDEX(Attenuation!$J:$J,$H36+$I36-1),1),1),1),$I36-1))):INDEX(Attenuation!$J:$J,($H36-1+MIN(MAX(IFERROR(MATCH(LN(J$5),INDEX(Attenuation!$J:$J,$H36):INDEX(Attenuation!$J:$J,$H36+$I36-1),1),1),1),$I36-1))+1)))))</f>
        <v>0.87384488568580909</v>
      </c>
      <c r="K36" s="12">
        <f>IF($A36="","",IF(K$5&gt;2*$G36,"",EXP(FORECAST(LN(K$5),INDEX(Attenuation!$K:$K,($H36-1+MIN(MAX(IFERROR(MATCH(LN(K$5),INDEX(Attenuation!$J:$J,$H36):INDEX(Attenuation!$J:$J,$H36+$I36-1),1),1),1),$I36-1))):INDEX(Attenuation!$K:$K,($H36-1+MIN(MAX(IFERROR(MATCH(LN(K$5),INDEX(Attenuation!$J:$J,$H36):INDEX(Attenuation!$J:$J,$H36+$I36-1),1),1),1),$I36-1))+1),INDEX(Attenuation!$J:$J,($H36-1+MIN(MAX(IFERROR(MATCH(LN(K$5),INDEX(Attenuation!$J:$J,$H36):INDEX(Attenuation!$J:$J,$H36+$I36-1),1),1),1),$I36-1))):INDEX(Attenuation!$J:$J,($H36-1+MIN(MAX(IFERROR(MATCH(LN(K$5),INDEX(Attenuation!$J:$J,$H36):INDEX(Attenuation!$J:$J,$H36+$I36-1),1),1),1),$I36-1))+1)))))</f>
        <v>1.1728120264582138</v>
      </c>
      <c r="L36" s="12">
        <f>IF($A36="","",IF(L$5&gt;2*$G36,"",EXP(FORECAST(LN(L$5),INDEX(Attenuation!$K:$K,($H36-1+MIN(MAX(IFERROR(MATCH(LN(L$5),INDEX(Attenuation!$J:$J,$H36):INDEX(Attenuation!$J:$J,$H36+$I36-1),1),1),1),$I36-1))):INDEX(Attenuation!$K:$K,($H36-1+MIN(MAX(IFERROR(MATCH(LN(L$5),INDEX(Attenuation!$J:$J,$H36):INDEX(Attenuation!$J:$J,$H36+$I36-1),1),1),1),$I36-1))+1),INDEX(Attenuation!$J:$J,($H36-1+MIN(MAX(IFERROR(MATCH(LN(L$5),INDEX(Attenuation!$J:$J,$H36):INDEX(Attenuation!$J:$J,$H36+$I36-1),1),1),1),$I36-1))):INDEX(Attenuation!$J:$J,($H36-1+MIN(MAX(IFERROR(MATCH(LN(L$5),INDEX(Attenuation!$J:$J,$H36):INDEX(Attenuation!$J:$J,$H36+$I36-1),1),1),1),$I36-1))+1)))))</f>
        <v>1.5938091137479153</v>
      </c>
      <c r="M36" s="12">
        <f>IF($A36="","",IF(M$5&gt;2*$G36,"",EXP(FORECAST(LN(M$5),INDEX(Attenuation!$K:$K,($H36-1+MIN(MAX(IFERROR(MATCH(LN(M$5),INDEX(Attenuation!$J:$J,$H36):INDEX(Attenuation!$J:$J,$H36+$I36-1),1),1),1),$I36-1))):INDEX(Attenuation!$K:$K,($H36-1+MIN(MAX(IFERROR(MATCH(LN(M$5),INDEX(Attenuation!$J:$J,$H36):INDEX(Attenuation!$J:$J,$H36+$I36-1),1),1),1),$I36-1))+1),INDEX(Attenuation!$J:$J,($H36-1+MIN(MAX(IFERROR(MATCH(LN(M$5),INDEX(Attenuation!$J:$J,$H36):INDEX(Attenuation!$J:$J,$H36+$I36-1),1),1),1),$I36-1))):INDEX(Attenuation!$J:$J,($H36-1+MIN(MAX(IFERROR(MATCH(LN(M$5),INDEX(Attenuation!$J:$J,$H36):INDEX(Attenuation!$J:$J,$H36+$I36-1),1),1),1),$I36-1))+1)))))</f>
        <v>2.1659289244647093</v>
      </c>
      <c r="N36" s="12">
        <f>IF($A36="","",IF(N$5&gt;2*$G36,"",EXP(FORECAST(LN(N$5),INDEX(Attenuation!$K:$K,($H36-1+MIN(MAX(IFERROR(MATCH(LN(N$5),INDEX(Attenuation!$J:$J,$H36):INDEX(Attenuation!$J:$J,$H36+$I36-1),1),1),1),$I36-1))):INDEX(Attenuation!$K:$K,($H36-1+MIN(MAX(IFERROR(MATCH(LN(N$5),INDEX(Attenuation!$J:$J,$H36):INDEX(Attenuation!$J:$J,$H36+$I36-1),1),1),1),$I36-1))+1),INDEX(Attenuation!$J:$J,($H36-1+MIN(MAX(IFERROR(MATCH(LN(N$5),INDEX(Attenuation!$J:$J,$H36):INDEX(Attenuation!$J:$J,$H36+$I36-1),1),1),1),$I36-1))):INDEX(Attenuation!$J:$J,($H36-1+MIN(MAX(IFERROR(MATCH(LN(N$5),INDEX(Attenuation!$J:$J,$H36):INDEX(Attenuation!$J:$J,$H36+$I36-1),1),1),1),$I36-1))+1)))))</f>
        <v>2.5915871893902378</v>
      </c>
      <c r="O36" s="12">
        <f>IF($A36="","",IF(O$5&gt;2*$G36,"",EXP(FORECAST(LN(O$5),INDEX(Attenuation!$K:$K,($H36-1+MIN(MAX(IFERROR(MATCH(LN(O$5),INDEX(Attenuation!$J:$J,$H36):INDEX(Attenuation!$J:$J,$H36+$I36-1),1),1),1),$I36-1))):INDEX(Attenuation!$K:$K,($H36-1+MIN(MAX(IFERROR(MATCH(LN(O$5),INDEX(Attenuation!$J:$J,$H36):INDEX(Attenuation!$J:$J,$H36+$I36-1),1),1),1),$I36-1))+1),INDEX(Attenuation!$J:$J,($H36-1+MIN(MAX(IFERROR(MATCH(LN(O$5),INDEX(Attenuation!$J:$J,$H36):INDEX(Attenuation!$J:$J,$H36+$I36-1),1),1),1),$I36-1))):INDEX(Attenuation!$J:$J,($H36-1+MIN(MAX(IFERROR(MATCH(LN(O$5),INDEX(Attenuation!$J:$J,$H36):INDEX(Attenuation!$J:$J,$H36+$I36-1),1),1),1),$I36-1))+1)))))</f>
        <v>2.9434190489732917</v>
      </c>
      <c r="P36" s="12">
        <f>IF($A36="","",IF(P$5&gt;2*$G36,"",EXP(FORECAST(LN(P$5),INDEX(Attenuation!$K:$K,($H36-1+MIN(MAX(IFERROR(MATCH(LN(P$5),INDEX(Attenuation!$J:$J,$H36):INDEX(Attenuation!$J:$J,$H36+$I36-1),1),1),1),$I36-1))):INDEX(Attenuation!$K:$K,($H36-1+MIN(MAX(IFERROR(MATCH(LN(P$5),INDEX(Attenuation!$J:$J,$H36):INDEX(Attenuation!$J:$J,$H36+$I36-1),1),1),1),$I36-1))+1),INDEX(Attenuation!$J:$J,($H36-1+MIN(MAX(IFERROR(MATCH(LN(P$5),INDEX(Attenuation!$J:$J,$H36):INDEX(Attenuation!$J:$J,$H36+$I36-1),1),1),1),$I36-1))):INDEX(Attenuation!$J:$J,($H36-1+MIN(MAX(IFERROR(MATCH(LN(P$5),INDEX(Attenuation!$J:$J,$H36):INDEX(Attenuation!$J:$J,$H36+$I36-1),1),1),1),$I36-1))+1)))))</f>
        <v>3.8043517884830815</v>
      </c>
      <c r="Q36" s="12">
        <f>IF($A36="","",IF(Q$5&gt;2*$G36,"",EXP(FORECAST(LN(Q$5),INDEX(Attenuation!$K:$K,($H36-1+MIN(MAX(IFERROR(MATCH(LN(Q$5),INDEX(Attenuation!$J:$J,$H36):INDEX(Attenuation!$J:$J,$H36+$I36-1),1),1),1),$I36-1))):INDEX(Attenuation!$K:$K,($H36-1+MIN(MAX(IFERROR(MATCH(LN(Q$5),INDEX(Attenuation!$J:$J,$H36):INDEX(Attenuation!$J:$J,$H36+$I36-1),1),1),1),$I36-1))+1),INDEX(Attenuation!$J:$J,($H36-1+MIN(MAX(IFERROR(MATCH(LN(Q$5),INDEX(Attenuation!$J:$J,$H36):INDEX(Attenuation!$J:$J,$H36+$I36-1),1),1),1),$I36-1))):INDEX(Attenuation!$J:$J,($H36-1+MIN(MAX(IFERROR(MATCH(LN(Q$5),INDEX(Attenuation!$J:$J,$H36):INDEX(Attenuation!$J:$J,$H36+$I36-1),1),1),1),$I36-1))+1)))))</f>
        <v>6.0752630024397059</v>
      </c>
      <c r="R36" s="12">
        <f>IF($A36="","",IF(R$5&gt;2*$G36,"",EXP(FORECAST(LN(R$5),INDEX(Attenuation!$K:$K,($H36-1+MIN(MAX(IFERROR(MATCH(LN(R$5),INDEX(Attenuation!$J:$J,$H36):INDEX(Attenuation!$J:$J,$H36+$I36-1),1),1),1),$I36-1))):INDEX(Attenuation!$K:$K,($H36-1+MIN(MAX(IFERROR(MATCH(LN(R$5),INDEX(Attenuation!$J:$J,$H36):INDEX(Attenuation!$J:$J,$H36+$I36-1),1),1),1),$I36-1))+1),INDEX(Attenuation!$J:$J,($H36-1+MIN(MAX(IFERROR(MATCH(LN(R$5),INDEX(Attenuation!$J:$J,$H36):INDEX(Attenuation!$J:$J,$H36+$I36-1),1),1),1),$I36-1))):INDEX(Attenuation!$J:$J,($H36-1+MIN(MAX(IFERROR(MATCH(LN(R$5),INDEX(Attenuation!$J:$J,$H36):INDEX(Attenuation!$J:$J,$H36+$I36-1),1),1),1),$I36-1))+1)))))</f>
        <v>10.08523459430597</v>
      </c>
      <c r="S36" s="12">
        <f>IF($A36="","",IF(S$5&gt;2*$G36,"",EXP(FORECAST(LN(S$5),INDEX(Attenuation!$K:$K,($H36-1+MIN(MAX(IFERROR(MATCH(LN(S$5),INDEX(Attenuation!$J:$J,$H36):INDEX(Attenuation!$J:$J,$H36+$I36-1),1),1),1),$I36-1))):INDEX(Attenuation!$K:$K,($H36-1+MIN(MAX(IFERROR(MATCH(LN(S$5),INDEX(Attenuation!$J:$J,$H36):INDEX(Attenuation!$J:$J,$H36+$I36-1),1),1),1),$I36-1))+1),INDEX(Attenuation!$J:$J,($H36-1+MIN(MAX(IFERROR(MATCH(LN(S$5),INDEX(Attenuation!$J:$J,$H36):INDEX(Attenuation!$J:$J,$H36+$I36-1),1),1),1),$I36-1))):INDEX(Attenuation!$J:$J,($H36-1+MIN(MAX(IFERROR(MATCH(LN(S$5),INDEX(Attenuation!$J:$J,$H36):INDEX(Attenuation!$J:$J,$H36+$I36-1),1),1),1),$I36-1))+1)))))</f>
        <v>17.904601570381576</v>
      </c>
      <c r="T36" s="12">
        <f>IF($A36="","",IF(T$5&gt;2*$G36,"",EXP(FORECAST(LN(T$5),INDEX(Attenuation!$K:$K,($H36-1+MIN(MAX(IFERROR(MATCH(LN(T$5),INDEX(Attenuation!$J:$J,$H36):INDEX(Attenuation!$J:$J,$H36+$I36-1),1),1),1),$I36-1))):INDEX(Attenuation!$K:$K,($H36-1+MIN(MAX(IFERROR(MATCH(LN(T$5),INDEX(Attenuation!$J:$J,$H36):INDEX(Attenuation!$J:$J,$H36+$I36-1),1),1),1),$I36-1))+1),INDEX(Attenuation!$J:$J,($H36-1+MIN(MAX(IFERROR(MATCH(LN(T$5),INDEX(Attenuation!$J:$J,$H36):INDEX(Attenuation!$J:$J,$H36+$I36-1),1),1),1),$I36-1))):INDEX(Attenuation!$J:$J,($H36-1+MIN(MAX(IFERROR(MATCH(LN(T$5),INDEX(Attenuation!$J:$J,$H36):INDEX(Attenuation!$J:$J,$H36+$I36-1),1),1),1),$I36-1))+1)))))</f>
        <v>26.897871866576896</v>
      </c>
      <c r="U36" s="12" t="str">
        <f>IF($A36="","",IF(U$5&gt;2*$G36,"",EXP(FORECAST(LN(U$5),INDEX(Attenuation!$K:$K,($H36-1+MIN(MAX(IFERROR(MATCH(LN(U$5),INDEX(Attenuation!$J:$J,$H36):INDEX(Attenuation!$J:$J,$H36+$I36-1),1),1),1),$I36-1))):INDEX(Attenuation!$K:$K,($H36-1+MIN(MAX(IFERROR(MATCH(LN(U$5),INDEX(Attenuation!$J:$J,$H36):INDEX(Attenuation!$J:$J,$H36+$I36-1),1),1),1),$I36-1))+1),INDEX(Attenuation!$J:$J,($H36-1+MIN(MAX(IFERROR(MATCH(LN(U$5),INDEX(Attenuation!$J:$J,$H36):INDEX(Attenuation!$J:$J,$H36+$I36-1),1),1),1),$I36-1))):INDEX(Attenuation!$J:$J,($H36-1+MIN(MAX(IFERROR(MATCH(LN(U$5),INDEX(Attenuation!$J:$J,$H36):INDEX(Attenuation!$J:$J,$H36+$I36-1),1),1),1),$I36-1))+1)))))</f>
        <v/>
      </c>
      <c r="V36" s="1"/>
      <c r="W36" s="12">
        <f t="shared" si="0"/>
        <v>0.26634792115703465</v>
      </c>
      <c r="X36" s="12">
        <f t="shared" si="1"/>
        <v>0.35747310566446361</v>
      </c>
      <c r="Y36" s="12">
        <f t="shared" si="2"/>
        <v>0.48579301787036461</v>
      </c>
      <c r="Z36" s="12">
        <f t="shared" si="3"/>
        <v>0.66017513617684342</v>
      </c>
      <c r="AA36" s="12">
        <f t="shared" si="4"/>
        <v>0.78991577532614454</v>
      </c>
      <c r="AB36" s="12">
        <f t="shared" si="5"/>
        <v>0.89715412612705936</v>
      </c>
      <c r="AC36" s="12">
        <f t="shared" si="6"/>
        <v>1.1595664251296434</v>
      </c>
      <c r="AD36" s="12">
        <f t="shared" si="7"/>
        <v>1.8517401631436223</v>
      </c>
      <c r="AE36" s="12">
        <f t="shared" si="8"/>
        <v>3.0739795043444595</v>
      </c>
      <c r="AF36" s="12">
        <f t="shared" si="9"/>
        <v>5.4573225586523044</v>
      </c>
      <c r="AG36" s="12">
        <f t="shared" si="10"/>
        <v>8.1984713449326385</v>
      </c>
      <c r="AH36" s="12" t="str">
        <f t="shared" si="11"/>
        <v/>
      </c>
    </row>
    <row r="37" spans="1:34" x14ac:dyDescent="0.25">
      <c r="A37" s="11" t="str">
        <f>IF(ROWS($A$6:A37)&gt;COUNTA(Cables!$A:$A)-1,"",INDEX(Cables!$A:$A,ROWS($A$6:A37)+1))</f>
        <v>DAV-BURYFLEX</v>
      </c>
      <c r="B37" s="11" t="str">
        <f>IF($A37="","",IF(INDEX(Cables!$B:$B,MATCH($A37,Cables!$A:$A,0))="","",INDEX(Cables!$B:$B,MATCH($A37,Cables!$A:$A,0))))</f>
        <v>Davis RF BURY-FLEX</v>
      </c>
      <c r="C37" s="11">
        <f>IF($A37="","",IF(INDEX(Cables!$F:$F,MATCH($A37,Cables!$A:$A,0))="","",INDEX(Cables!$F:$F,MATCH($A37,Cables!$A:$A,0))))</f>
        <v>50</v>
      </c>
      <c r="D37" s="11">
        <f>IF($A37="","",IF(INDEX(Cables!$H:$H,MATCH($A37,Cables!$A:$A,0))="","",INDEX(Cables!$H:$H,MATCH($A37,Cables!$A:$A,0))))</f>
        <v>10.3</v>
      </c>
      <c r="E37" s="12">
        <f>IF($A37="","",IF(INDEX(Cables!$Q:$Q,MATCH($A37,Cables!$A:$A,0))="","",INDEX(Cables!$Q:$Q,MATCH($A37,Cables!$A:$A,0))))</f>
        <v>0.82</v>
      </c>
      <c r="F37" s="11">
        <f>IF($A37="","",IF(INDEX(Cables!$AQ:$AQ,MATCH($A37,Cables!$A:$A,0))="","",INDEX(Cables!$AQ:$AQ,MATCH($A37,Cables!$A:$A,0))))</f>
        <v>10</v>
      </c>
      <c r="G37" s="11">
        <f>IF($A37="","",IF(INDEX(Cables!$AR:$AR,MATCH($A37,Cables!$A:$A,0))="","",INDEX(Cables!$AR:$AR,MATCH($A37,Cables!$A:$A,0))))</f>
        <v>1000</v>
      </c>
      <c r="H37" s="11">
        <f>IF($A37="","",IF(INDEX(Cables!$AO:$AO,MATCH($A37,Cables!$A:$A,0))="","",INDEX(Cables!$AO:$AO,MATCH($A37,Cables!$A:$A,0))))</f>
        <v>413</v>
      </c>
      <c r="I37" s="11">
        <f>IF($A37="","",IF(INDEX(Cables!$AP:$AP,MATCH($A37,Cables!$A:$A,0))="","",INDEX(Cables!$AP:$AP,MATCH($A37,Cables!$A:$A,0))))</f>
        <v>8</v>
      </c>
      <c r="J37" s="12">
        <f>IF($A37="","",IF(J$5&gt;2*$G37,"",EXP(FORECAST(LN(J$5),INDEX(Attenuation!$K:$K,($H37-1+MIN(MAX(IFERROR(MATCH(LN(J$5),INDEX(Attenuation!$J:$J,$H37):INDEX(Attenuation!$J:$J,$H37+$I37-1),1),1),1),$I37-1))):INDEX(Attenuation!$K:$K,($H37-1+MIN(MAX(IFERROR(MATCH(LN(J$5),INDEX(Attenuation!$J:$J,$H37):INDEX(Attenuation!$J:$J,$H37+$I37-1),1),1),1),$I37-1))+1),INDEX(Attenuation!$J:$J,($H37-1+MIN(MAX(IFERROR(MATCH(LN(J$5),INDEX(Attenuation!$J:$J,$H37):INDEX(Attenuation!$J:$J,$H37+$I37-1),1),1),1),$I37-1))):INDEX(Attenuation!$J:$J,($H37-1+MIN(MAX(IFERROR(MATCH(LN(J$5),INDEX(Attenuation!$J:$J,$H37):INDEX(Attenuation!$J:$J,$H37+$I37-1),1),1),1),$I37-1))+1)))))</f>
        <v>1.0319578787792092</v>
      </c>
      <c r="K37" s="12">
        <f>IF($A37="","",IF(K$5&gt;2*$G37,"",EXP(FORECAST(LN(K$5),INDEX(Attenuation!$K:$K,($H37-1+MIN(MAX(IFERROR(MATCH(LN(K$5),INDEX(Attenuation!$J:$J,$H37):INDEX(Attenuation!$J:$J,$H37+$I37-1),1),1),1),$I37-1))):INDEX(Attenuation!$K:$K,($H37-1+MIN(MAX(IFERROR(MATCH(LN(K$5),INDEX(Attenuation!$J:$J,$H37):INDEX(Attenuation!$J:$J,$H37+$I37-1),1),1),1),$I37-1))+1),INDEX(Attenuation!$J:$J,($H37-1+MIN(MAX(IFERROR(MATCH(LN(K$5),INDEX(Attenuation!$J:$J,$H37):INDEX(Attenuation!$J:$J,$H37+$I37-1),1),1),1),$I37-1))):INDEX(Attenuation!$J:$J,($H37-1+MIN(MAX(IFERROR(MATCH(LN(K$5),INDEX(Attenuation!$J:$J,$H37):INDEX(Attenuation!$J:$J,$H37+$I37-1),1),1),1),$I37-1))+1)))))</f>
        <v>1.3256419124546657</v>
      </c>
      <c r="L37" s="12">
        <f>IF($A37="","",IF(L$5&gt;2*$G37,"",EXP(FORECAST(LN(L$5),INDEX(Attenuation!$K:$K,($H37-1+MIN(MAX(IFERROR(MATCH(LN(L$5),INDEX(Attenuation!$J:$J,$H37):INDEX(Attenuation!$J:$J,$H37+$I37-1),1),1),1),$I37-1))):INDEX(Attenuation!$K:$K,($H37-1+MIN(MAX(IFERROR(MATCH(LN(L$5),INDEX(Attenuation!$J:$J,$H37):INDEX(Attenuation!$J:$J,$H37+$I37-1),1),1),1),$I37-1))+1),INDEX(Attenuation!$J:$J,($H37-1+MIN(MAX(IFERROR(MATCH(LN(L$5),INDEX(Attenuation!$J:$J,$H37):INDEX(Attenuation!$J:$J,$H37+$I37-1),1),1),1),$I37-1))):INDEX(Attenuation!$J:$J,($H37-1+MIN(MAX(IFERROR(MATCH(LN(L$5),INDEX(Attenuation!$J:$J,$H37):INDEX(Attenuation!$J:$J,$H37+$I37-1),1),1),1),$I37-1))+1)))))</f>
        <v>1.7210684433478465</v>
      </c>
      <c r="M37" s="12">
        <f>IF($A37="","",IF(M$5&gt;2*$G37,"",EXP(FORECAST(LN(M$5),INDEX(Attenuation!$K:$K,($H37-1+MIN(MAX(IFERROR(MATCH(LN(M$5),INDEX(Attenuation!$J:$J,$H37):INDEX(Attenuation!$J:$J,$H37+$I37-1),1),1),1),$I37-1))):INDEX(Attenuation!$K:$K,($H37-1+MIN(MAX(IFERROR(MATCH(LN(M$5),INDEX(Attenuation!$J:$J,$H37):INDEX(Attenuation!$J:$J,$H37+$I37-1),1),1),1),$I37-1))+1),INDEX(Attenuation!$J:$J,($H37-1+MIN(MAX(IFERROR(MATCH(LN(M$5),INDEX(Attenuation!$J:$J,$H37):INDEX(Attenuation!$J:$J,$H37+$I37-1),1),1),1),$I37-1))):INDEX(Attenuation!$J:$J,($H37-1+MIN(MAX(IFERROR(MATCH(LN(M$5),INDEX(Attenuation!$J:$J,$H37):INDEX(Attenuation!$J:$J,$H37+$I37-1),1),1),1),$I37-1))+1)))))</f>
        <v>2.2344469942135126</v>
      </c>
      <c r="N37" s="12">
        <f>IF($A37="","",IF(N$5&gt;2*$G37,"",EXP(FORECAST(LN(N$5),INDEX(Attenuation!$K:$K,($H37-1+MIN(MAX(IFERROR(MATCH(LN(N$5),INDEX(Attenuation!$J:$J,$H37):INDEX(Attenuation!$J:$J,$H37+$I37-1),1),1),1),$I37-1))):INDEX(Attenuation!$K:$K,($H37-1+MIN(MAX(IFERROR(MATCH(LN(N$5),INDEX(Attenuation!$J:$J,$H37):INDEX(Attenuation!$J:$J,$H37+$I37-1),1),1),1),$I37-1))+1),INDEX(Attenuation!$J:$J,($H37-1+MIN(MAX(IFERROR(MATCH(LN(N$5),INDEX(Attenuation!$J:$J,$H37):INDEX(Attenuation!$J:$J,$H37+$I37-1),1),1),1),$I37-1))):INDEX(Attenuation!$J:$J,($H37-1+MIN(MAX(IFERROR(MATCH(LN(N$5),INDEX(Attenuation!$J:$J,$H37):INDEX(Attenuation!$J:$J,$H37+$I37-1),1),1),1),$I37-1))+1)))))</f>
        <v>2.6030851563651964</v>
      </c>
      <c r="O37" s="12">
        <f>IF($A37="","",IF(O$5&gt;2*$G37,"",EXP(FORECAST(LN(O$5),INDEX(Attenuation!$K:$K,($H37-1+MIN(MAX(IFERROR(MATCH(LN(O$5),INDEX(Attenuation!$J:$J,$H37):INDEX(Attenuation!$J:$J,$H37+$I37-1),1),1),1),$I37-1))):INDEX(Attenuation!$K:$K,($H37-1+MIN(MAX(IFERROR(MATCH(LN(O$5),INDEX(Attenuation!$J:$J,$H37):INDEX(Attenuation!$J:$J,$H37+$I37-1),1),1),1),$I37-1))+1),INDEX(Attenuation!$J:$J,($H37-1+MIN(MAX(IFERROR(MATCH(LN(O$5),INDEX(Attenuation!$J:$J,$H37):INDEX(Attenuation!$J:$J,$H37+$I37-1),1),1),1),$I37-1))):INDEX(Attenuation!$J:$J,($H37-1+MIN(MAX(IFERROR(MATCH(LN(O$5),INDEX(Attenuation!$J:$J,$H37):INDEX(Attenuation!$J:$J,$H37+$I37-1),1),1),1),$I37-1))+1)))))</f>
        <v>2.9009615447005856</v>
      </c>
      <c r="P37" s="12">
        <f>IF($A37="","",IF(P$5&gt;2*$G37,"",EXP(FORECAST(LN(P$5),INDEX(Attenuation!$K:$K,($H37-1+MIN(MAX(IFERROR(MATCH(LN(P$5),INDEX(Attenuation!$J:$J,$H37):INDEX(Attenuation!$J:$J,$H37+$I37-1),1),1),1),$I37-1))):INDEX(Attenuation!$K:$K,($H37-1+MIN(MAX(IFERROR(MATCH(LN(P$5),INDEX(Attenuation!$J:$J,$H37):INDEX(Attenuation!$J:$J,$H37+$I37-1),1),1),1),$I37-1))+1),INDEX(Attenuation!$J:$J,($H37-1+MIN(MAX(IFERROR(MATCH(LN(P$5),INDEX(Attenuation!$J:$J,$H37):INDEX(Attenuation!$J:$J,$H37+$I37-1),1),1),1),$I37-1))):INDEX(Attenuation!$J:$J,($H37-1+MIN(MAX(IFERROR(MATCH(LN(P$5),INDEX(Attenuation!$J:$J,$H37):INDEX(Attenuation!$J:$J,$H37+$I37-1),1),1),1),$I37-1))+1)))))</f>
        <v>3.6089238845144358</v>
      </c>
      <c r="Q37" s="12">
        <f>IF($A37="","",IF(Q$5&gt;2*$G37,"",EXP(FORECAST(LN(Q$5),INDEX(Attenuation!$K:$K,($H37-1+MIN(MAX(IFERROR(MATCH(LN(Q$5),INDEX(Attenuation!$J:$J,$H37):INDEX(Attenuation!$J:$J,$H37+$I37-1),1),1),1),$I37-1))):INDEX(Attenuation!$K:$K,($H37-1+MIN(MAX(IFERROR(MATCH(LN(Q$5),INDEX(Attenuation!$J:$J,$H37):INDEX(Attenuation!$J:$J,$H37+$I37-1),1),1),1),$I37-1))+1),INDEX(Attenuation!$J:$J,($H37-1+MIN(MAX(IFERROR(MATCH(LN(Q$5),INDEX(Attenuation!$J:$J,$H37):INDEX(Attenuation!$J:$J,$H37+$I37-1),1),1),1),$I37-1))):INDEX(Attenuation!$J:$J,($H37-1+MIN(MAX(IFERROR(MATCH(LN(Q$5),INDEX(Attenuation!$J:$J,$H37):INDEX(Attenuation!$J:$J,$H37+$I37-1),1),1),1),$I37-1))+1)))))</f>
        <v>5.7253582807388348</v>
      </c>
      <c r="R37" s="12">
        <f>IF($A37="","",IF(R$5&gt;2*$G37,"",EXP(FORECAST(LN(R$5),INDEX(Attenuation!$K:$K,($H37-1+MIN(MAX(IFERROR(MATCH(LN(R$5),INDEX(Attenuation!$J:$J,$H37):INDEX(Attenuation!$J:$J,$H37+$I37-1),1),1),1),$I37-1))):INDEX(Attenuation!$K:$K,($H37-1+MIN(MAX(IFERROR(MATCH(LN(R$5),INDEX(Attenuation!$J:$J,$H37):INDEX(Attenuation!$J:$J,$H37+$I37-1),1),1),1),$I37-1))+1),INDEX(Attenuation!$J:$J,($H37-1+MIN(MAX(IFERROR(MATCH(LN(R$5),INDEX(Attenuation!$J:$J,$H37):INDEX(Attenuation!$J:$J,$H37+$I37-1),1),1),1),$I37-1))):INDEX(Attenuation!$J:$J,($H37-1+MIN(MAX(IFERROR(MATCH(LN(R$5),INDEX(Attenuation!$J:$J,$H37):INDEX(Attenuation!$J:$J,$H37+$I37-1),1),1),1),$I37-1))+1)))))</f>
        <v>9.6146568690730465</v>
      </c>
      <c r="S37" s="12">
        <f>IF($A37="","",IF(S$5&gt;2*$G37,"",EXP(FORECAST(LN(S$5),INDEX(Attenuation!$K:$K,($H37-1+MIN(MAX(IFERROR(MATCH(LN(S$5),INDEX(Attenuation!$J:$J,$H37):INDEX(Attenuation!$J:$J,$H37+$I37-1),1),1),1),$I37-1))):INDEX(Attenuation!$K:$K,($H37-1+MIN(MAX(IFERROR(MATCH(LN(S$5),INDEX(Attenuation!$J:$J,$H37):INDEX(Attenuation!$J:$J,$H37+$I37-1),1),1),1),$I37-1))+1),INDEX(Attenuation!$J:$J,($H37-1+MIN(MAX(IFERROR(MATCH(LN(S$5),INDEX(Attenuation!$J:$J,$H37):INDEX(Attenuation!$J:$J,$H37+$I37-1),1),1),1),$I37-1))):INDEX(Attenuation!$J:$J,($H37-1+MIN(MAX(IFERROR(MATCH(LN(S$5),INDEX(Attenuation!$J:$J,$H37):INDEX(Attenuation!$J:$J,$H37+$I37-1),1),1),1),$I37-1))+1)))))</f>
        <v>19.508346859524842</v>
      </c>
      <c r="T37" s="12" t="str">
        <f>IF($A37="","",IF(T$5&gt;2*$G37,"",EXP(FORECAST(LN(T$5),INDEX(Attenuation!$K:$K,($H37-1+MIN(MAX(IFERROR(MATCH(LN(T$5),INDEX(Attenuation!$J:$J,$H37):INDEX(Attenuation!$J:$J,$H37+$I37-1),1),1),1),$I37-1))):INDEX(Attenuation!$K:$K,($H37-1+MIN(MAX(IFERROR(MATCH(LN(T$5),INDEX(Attenuation!$J:$J,$H37):INDEX(Attenuation!$J:$J,$H37+$I37-1),1),1),1),$I37-1))+1),INDEX(Attenuation!$J:$J,($H37-1+MIN(MAX(IFERROR(MATCH(LN(T$5),INDEX(Attenuation!$J:$J,$H37):INDEX(Attenuation!$J:$J,$H37+$I37-1),1),1),1),$I37-1))):INDEX(Attenuation!$J:$J,($H37-1+MIN(MAX(IFERROR(MATCH(LN(T$5),INDEX(Attenuation!$J:$J,$H37):INDEX(Attenuation!$J:$J,$H37+$I37-1),1),1),1),$I37-1))+1)))))</f>
        <v/>
      </c>
      <c r="U37" s="12" t="str">
        <f>IF($A37="","",IF(U$5&gt;2*$G37,"",EXP(FORECAST(LN(U$5),INDEX(Attenuation!$K:$K,($H37-1+MIN(MAX(IFERROR(MATCH(LN(U$5),INDEX(Attenuation!$J:$J,$H37):INDEX(Attenuation!$J:$J,$H37+$I37-1),1),1),1),$I37-1))):INDEX(Attenuation!$K:$K,($H37-1+MIN(MAX(IFERROR(MATCH(LN(U$5),INDEX(Attenuation!$J:$J,$H37):INDEX(Attenuation!$J:$J,$H37+$I37-1),1),1),1),$I37-1))+1),INDEX(Attenuation!$J:$J,($H37-1+MIN(MAX(IFERROR(MATCH(LN(U$5),INDEX(Attenuation!$J:$J,$H37):INDEX(Attenuation!$J:$J,$H37+$I37-1),1),1),1),$I37-1))):INDEX(Attenuation!$J:$J,($H37-1+MIN(MAX(IFERROR(MATCH(LN(U$5),INDEX(Attenuation!$J:$J,$H37):INDEX(Attenuation!$J:$J,$H37+$I37-1),1),1),1),$I37-1))+1)))))</f>
        <v/>
      </c>
      <c r="V37" s="1"/>
      <c r="W37" s="12">
        <f t="shared" si="0"/>
        <v>0.31454076145190296</v>
      </c>
      <c r="X37" s="12">
        <f t="shared" si="1"/>
        <v>0.40405565491618212</v>
      </c>
      <c r="Y37" s="12">
        <f t="shared" si="2"/>
        <v>0.52458166153242358</v>
      </c>
      <c r="Z37" s="12">
        <f t="shared" si="3"/>
        <v>0.6810594438362787</v>
      </c>
      <c r="AA37" s="12">
        <f t="shared" si="4"/>
        <v>0.79342035566011193</v>
      </c>
      <c r="AB37" s="12">
        <f t="shared" si="5"/>
        <v>0.88421307882473854</v>
      </c>
      <c r="AC37" s="12">
        <f t="shared" si="6"/>
        <v>1.1000000000000001</v>
      </c>
      <c r="AD37" s="12">
        <f t="shared" si="7"/>
        <v>1.745089203969197</v>
      </c>
      <c r="AE37" s="12">
        <f t="shared" si="8"/>
        <v>2.9305474136934646</v>
      </c>
      <c r="AF37" s="12">
        <f t="shared" si="9"/>
        <v>5.9461441227831724</v>
      </c>
      <c r="AG37" s="12" t="str">
        <f t="shared" si="10"/>
        <v/>
      </c>
      <c r="AH37" s="12" t="str">
        <f t="shared" si="11"/>
        <v/>
      </c>
    </row>
    <row r="38" spans="1:34" x14ac:dyDescent="0.25">
      <c r="A38" s="11" t="str">
        <f>IF(ROWS($A$6:A38)&gt;COUNTA(Cables!$A:$A)-1,"",INDEX(Cables!$A:$A,ROWS($A$6:A38)+1))</f>
        <v>RFS-SCF38-50J</v>
      </c>
      <c r="B38" s="11" t="str">
        <f>IF($A38="","",IF(INDEX(Cables!$B:$B,MATCH($A38,Cables!$A:$A,0))="","",INDEX(Cables!$B:$B,MATCH($A38,Cables!$A:$A,0))))</f>
        <v>RFS CELLFLEX SCF38-50J (3/8")</v>
      </c>
      <c r="C38" s="11">
        <f>IF($A38="","",IF(INDEX(Cables!$F:$F,MATCH($A38,Cables!$A:$A,0))="","",INDEX(Cables!$F:$F,MATCH($A38,Cables!$A:$A,0))))</f>
        <v>50</v>
      </c>
      <c r="D38" s="11">
        <f>IF($A38="","",IF(INDEX(Cables!$H:$H,MATCH($A38,Cables!$A:$A,0))="","",INDEX(Cables!$H:$H,MATCH($A38,Cables!$A:$A,0))))</f>
        <v>10.199999999999999</v>
      </c>
      <c r="E38" s="12">
        <f>IF($A38="","",IF(INDEX(Cables!$Q:$Q,MATCH($A38,Cables!$A:$A,0))="","",INDEX(Cables!$Q:$Q,MATCH($A38,Cables!$A:$A,0))))</f>
        <v>0.82</v>
      </c>
      <c r="F38" s="11">
        <f>IF($A38="","",IF(INDEX(Cables!$AQ:$AQ,MATCH($A38,Cables!$A:$A,0))="","",INDEX(Cables!$AQ:$AQ,MATCH($A38,Cables!$A:$A,0))))</f>
        <v>100</v>
      </c>
      <c r="G38" s="11">
        <f>IF($A38="","",IF(INDEX(Cables!$AR:$AR,MATCH($A38,Cables!$A:$A,0))="","",INDEX(Cables!$AR:$AR,MATCH($A38,Cables!$A:$A,0))))</f>
        <v>6000</v>
      </c>
      <c r="H38" s="11">
        <f>IF($A38="","",IF(INDEX(Cables!$AO:$AO,MATCH($A38,Cables!$A:$A,0))="","",INDEX(Cables!$AO:$AO,MATCH($A38,Cables!$A:$A,0))))</f>
        <v>421</v>
      </c>
      <c r="I38" s="11">
        <f>IF($A38="","",IF(INDEX(Cables!$AP:$AP,MATCH($A38,Cables!$A:$A,0))="","",INDEX(Cables!$AP:$AP,MATCH($A38,Cables!$A:$A,0))))</f>
        <v>20</v>
      </c>
      <c r="J38" s="12">
        <f>IF($A38="","",IF(J$5&gt;2*$G38,"",EXP(FORECAST(LN(J$5),INDEX(Attenuation!$K:$K,($H38-1+MIN(MAX(IFERROR(MATCH(LN(J$5),INDEX(Attenuation!$J:$J,$H38):INDEX(Attenuation!$J:$J,$H38+$I38-1),1),1),1),$I38-1))):INDEX(Attenuation!$K:$K,($H38-1+MIN(MAX(IFERROR(MATCH(LN(J$5),INDEX(Attenuation!$J:$J,$H38):INDEX(Attenuation!$J:$J,$H38+$I38-1),1),1),1),$I38-1))+1),INDEX(Attenuation!$J:$J,($H38-1+MIN(MAX(IFERROR(MATCH(LN(J$5),INDEX(Attenuation!$J:$J,$H38):INDEX(Attenuation!$J:$J,$H38+$I38-1),1),1),1),$I38-1))):INDEX(Attenuation!$J:$J,($H38-1+MIN(MAX(IFERROR(MATCH(LN(J$5),INDEX(Attenuation!$J:$J,$H38):INDEX(Attenuation!$J:$J,$H38+$I38-1),1),1),1),$I38-1))+1)))))</f>
        <v>0.51939767732113151</v>
      </c>
      <c r="K38" s="12">
        <f>IF($A38="","",IF(K$5&gt;2*$G38,"",EXP(FORECAST(LN(K$5),INDEX(Attenuation!$K:$K,($H38-1+MIN(MAX(IFERROR(MATCH(LN(K$5),INDEX(Attenuation!$J:$J,$H38):INDEX(Attenuation!$J:$J,$H38+$I38-1),1),1),1),$I38-1))):INDEX(Attenuation!$K:$K,($H38-1+MIN(MAX(IFERROR(MATCH(LN(K$5),INDEX(Attenuation!$J:$J,$H38):INDEX(Attenuation!$J:$J,$H38+$I38-1),1),1),1),$I38-1))+1),INDEX(Attenuation!$J:$J,($H38-1+MIN(MAX(IFERROR(MATCH(LN(K$5),INDEX(Attenuation!$J:$J,$H38):INDEX(Attenuation!$J:$J,$H38+$I38-1),1),1),1),$I38-1))):INDEX(Attenuation!$J:$J,($H38-1+MIN(MAX(IFERROR(MATCH(LN(K$5),INDEX(Attenuation!$J:$J,$H38):INDEX(Attenuation!$J:$J,$H38+$I38-1),1),1),1),$I38-1))+1)))))</f>
        <v>0.73438857083794873</v>
      </c>
      <c r="L38" s="12">
        <f>IF($A38="","",IF(L$5&gt;2*$G38,"",EXP(FORECAST(LN(L$5),INDEX(Attenuation!$K:$K,($H38-1+MIN(MAX(IFERROR(MATCH(LN(L$5),INDEX(Attenuation!$J:$J,$H38):INDEX(Attenuation!$J:$J,$H38+$I38-1),1),1),1),$I38-1))):INDEX(Attenuation!$K:$K,($H38-1+MIN(MAX(IFERROR(MATCH(LN(L$5),INDEX(Attenuation!$J:$J,$H38):INDEX(Attenuation!$J:$J,$H38+$I38-1),1),1),1),$I38-1))+1),INDEX(Attenuation!$J:$J,($H38-1+MIN(MAX(IFERROR(MATCH(LN(L$5),INDEX(Attenuation!$J:$J,$H38):INDEX(Attenuation!$J:$J,$H38+$I38-1),1),1),1),$I38-1))):INDEX(Attenuation!$J:$J,($H38-1+MIN(MAX(IFERROR(MATCH(LN(L$5),INDEX(Attenuation!$J:$J,$H38):INDEX(Attenuation!$J:$J,$H38+$I38-1),1),1),1),$I38-1))+1)))))</f>
        <v>1.0537180467600746</v>
      </c>
      <c r="M38" s="12">
        <f>IF($A38="","",IF(M$5&gt;2*$G38,"",EXP(FORECAST(LN(M$5),INDEX(Attenuation!$K:$K,($H38-1+MIN(MAX(IFERROR(MATCH(LN(M$5),INDEX(Attenuation!$J:$J,$H38):INDEX(Attenuation!$J:$J,$H38+$I38-1),1),1),1),$I38-1))):INDEX(Attenuation!$K:$K,($H38-1+MIN(MAX(IFERROR(MATCH(LN(M$5),INDEX(Attenuation!$J:$J,$H38):INDEX(Attenuation!$J:$J,$H38+$I38-1),1),1),1),$I38-1))+1),INDEX(Attenuation!$J:$J,($H38-1+MIN(MAX(IFERROR(MATCH(LN(M$5),INDEX(Attenuation!$J:$J,$H38):INDEX(Attenuation!$J:$J,$H38+$I38-1),1),1),1),$I38-1))):INDEX(Attenuation!$J:$J,($H38-1+MIN(MAX(IFERROR(MATCH(LN(M$5),INDEX(Attenuation!$J:$J,$H38):INDEX(Attenuation!$J:$J,$H38+$I38-1),1),1),1),$I38-1))+1)))))</f>
        <v>1.5118995122717831</v>
      </c>
      <c r="N38" s="12">
        <f>IF($A38="","",IF(N$5&gt;2*$G38,"",EXP(FORECAST(LN(N$5),INDEX(Attenuation!$K:$K,($H38-1+MIN(MAX(IFERROR(MATCH(LN(N$5),INDEX(Attenuation!$J:$J,$H38):INDEX(Attenuation!$J:$J,$H38+$I38-1),1),1),1),$I38-1))):INDEX(Attenuation!$K:$K,($H38-1+MIN(MAX(IFERROR(MATCH(LN(N$5),INDEX(Attenuation!$J:$J,$H38):INDEX(Attenuation!$J:$J,$H38+$I38-1),1),1),1),$I38-1))+1),INDEX(Attenuation!$J:$J,($H38-1+MIN(MAX(IFERROR(MATCH(LN(N$5),INDEX(Attenuation!$J:$J,$H38):INDEX(Attenuation!$J:$J,$H38+$I38-1),1),1),1),$I38-1))):INDEX(Attenuation!$J:$J,($H38-1+MIN(MAX(IFERROR(MATCH(LN(N$5),INDEX(Attenuation!$J:$J,$H38):INDEX(Attenuation!$J:$J,$H38+$I38-1),1),1),1),$I38-1))+1)))))</f>
        <v>1.867429326321443</v>
      </c>
      <c r="O38" s="12">
        <f>IF($A38="","",IF(O$5&gt;2*$G38,"",EXP(FORECAST(LN(O$5),INDEX(Attenuation!$K:$K,($H38-1+MIN(MAX(IFERROR(MATCH(LN(O$5),INDEX(Attenuation!$J:$J,$H38):INDEX(Attenuation!$J:$J,$H38+$I38-1),1),1),1),$I38-1))):INDEX(Attenuation!$K:$K,($H38-1+MIN(MAX(IFERROR(MATCH(LN(O$5),INDEX(Attenuation!$J:$J,$H38):INDEX(Attenuation!$J:$J,$H38+$I38-1),1),1),1),$I38-1))+1),INDEX(Attenuation!$J:$J,($H38-1+MIN(MAX(IFERROR(MATCH(LN(O$5),INDEX(Attenuation!$J:$J,$H38):INDEX(Attenuation!$J:$J,$H38+$I38-1),1),1),1),$I38-1))):INDEX(Attenuation!$J:$J,($H38-1+MIN(MAX(IFERROR(MATCH(LN(O$5),INDEX(Attenuation!$J:$J,$H38):INDEX(Attenuation!$J:$J,$H38+$I38-1),1),1),1),$I38-1))+1)))))</f>
        <v>2.1693090881721684</v>
      </c>
      <c r="P38" s="12">
        <f>IF($A38="","",IF(P$5&gt;2*$G38,"",EXP(FORECAST(LN(P$5),INDEX(Attenuation!$K:$K,($H38-1+MIN(MAX(IFERROR(MATCH(LN(P$5),INDEX(Attenuation!$J:$J,$H38):INDEX(Attenuation!$J:$J,$H38+$I38-1),1),1),1),$I38-1))):INDEX(Attenuation!$K:$K,($H38-1+MIN(MAX(IFERROR(MATCH(LN(P$5),INDEX(Attenuation!$J:$J,$H38):INDEX(Attenuation!$J:$J,$H38+$I38-1),1),1),1),$I38-1))+1),INDEX(Attenuation!$J:$J,($H38-1+MIN(MAX(IFERROR(MATCH(LN(P$5),INDEX(Attenuation!$J:$J,$H38):INDEX(Attenuation!$J:$J,$H38+$I38-1),1),1),1),$I38-1))):INDEX(Attenuation!$J:$J,($H38-1+MIN(MAX(IFERROR(MATCH(LN(P$5),INDEX(Attenuation!$J:$J,$H38):INDEX(Attenuation!$J:$J,$H38+$I38-1),1),1),1),$I38-1))+1)))))</f>
        <v>2.9341586136198563</v>
      </c>
      <c r="Q38" s="12">
        <f>IF($A38="","",IF(Q$5&gt;2*$G38,"",EXP(FORECAST(LN(Q$5),INDEX(Attenuation!$K:$K,($H38-1+MIN(MAX(IFERROR(MATCH(LN(Q$5),INDEX(Attenuation!$J:$J,$H38):INDEX(Attenuation!$J:$J,$H38+$I38-1),1),1),1),$I38-1))):INDEX(Attenuation!$K:$K,($H38-1+MIN(MAX(IFERROR(MATCH(LN(Q$5),INDEX(Attenuation!$J:$J,$H38):INDEX(Attenuation!$J:$J,$H38+$I38-1),1),1),1),$I38-1))+1),INDEX(Attenuation!$J:$J,($H38-1+MIN(MAX(IFERROR(MATCH(LN(Q$5),INDEX(Attenuation!$J:$J,$H38):INDEX(Attenuation!$J:$J,$H38+$I38-1),1),1),1),$I38-1))):INDEX(Attenuation!$J:$J,($H38-1+MIN(MAX(IFERROR(MATCH(LN(Q$5),INDEX(Attenuation!$J:$J,$H38):INDEX(Attenuation!$J:$J,$H38+$I38-1),1),1),1),$I38-1))+1)))))</f>
        <v>5.0905991542562434</v>
      </c>
      <c r="R38" s="12">
        <f>IF($A38="","",IF(R$5&gt;2*$G38,"",EXP(FORECAST(LN(R$5),INDEX(Attenuation!$K:$K,($H38-1+MIN(MAX(IFERROR(MATCH(LN(R$5),INDEX(Attenuation!$J:$J,$H38):INDEX(Attenuation!$J:$J,$H38+$I38-1),1),1),1),$I38-1))):INDEX(Attenuation!$K:$K,($H38-1+MIN(MAX(IFERROR(MATCH(LN(R$5),INDEX(Attenuation!$J:$J,$H38):INDEX(Attenuation!$J:$J,$H38+$I38-1),1),1),1),$I38-1))+1),INDEX(Attenuation!$J:$J,($H38-1+MIN(MAX(IFERROR(MATCH(LN(R$5),INDEX(Attenuation!$J:$J,$H38):INDEX(Attenuation!$J:$J,$H38+$I38-1),1),1),1),$I38-1))):INDEX(Attenuation!$J:$J,($H38-1+MIN(MAX(IFERROR(MATCH(LN(R$5),INDEX(Attenuation!$J:$J,$H38):INDEX(Attenuation!$J:$J,$H38+$I38-1),1),1),1),$I38-1))+1)))))</f>
        <v>9.1094091191590234</v>
      </c>
      <c r="S38" s="12">
        <f>IF($A38="","",IF(S$5&gt;2*$G38,"",EXP(FORECAST(LN(S$5),INDEX(Attenuation!$K:$K,($H38-1+MIN(MAX(IFERROR(MATCH(LN(S$5),INDEX(Attenuation!$J:$J,$H38):INDEX(Attenuation!$J:$J,$H38+$I38-1),1),1),1),$I38-1))):INDEX(Attenuation!$K:$K,($H38-1+MIN(MAX(IFERROR(MATCH(LN(S$5),INDEX(Attenuation!$J:$J,$H38):INDEX(Attenuation!$J:$J,$H38+$I38-1),1),1),1),$I38-1))+1),INDEX(Attenuation!$J:$J,($H38-1+MIN(MAX(IFERROR(MATCH(LN(S$5),INDEX(Attenuation!$J:$J,$H38):INDEX(Attenuation!$J:$J,$H38+$I38-1),1),1),1),$I38-1))):INDEX(Attenuation!$J:$J,($H38-1+MIN(MAX(IFERROR(MATCH(LN(S$5),INDEX(Attenuation!$J:$J,$H38):INDEX(Attenuation!$J:$J,$H38+$I38-1),1),1),1),$I38-1))+1)))))</f>
        <v>16.668281105195213</v>
      </c>
      <c r="T38" s="12">
        <f>IF($A38="","",IF(T$5&gt;2*$G38,"",EXP(FORECAST(LN(T$5),INDEX(Attenuation!$K:$K,($H38-1+MIN(MAX(IFERROR(MATCH(LN(T$5),INDEX(Attenuation!$J:$J,$H38):INDEX(Attenuation!$J:$J,$H38+$I38-1),1),1),1),$I38-1))):INDEX(Attenuation!$K:$K,($H38-1+MIN(MAX(IFERROR(MATCH(LN(T$5),INDEX(Attenuation!$J:$J,$H38):INDEX(Attenuation!$J:$J,$H38+$I38-1),1),1),1),$I38-1))+1),INDEX(Attenuation!$J:$J,($H38-1+MIN(MAX(IFERROR(MATCH(LN(T$5),INDEX(Attenuation!$J:$J,$H38):INDEX(Attenuation!$J:$J,$H38+$I38-1),1),1),1),$I38-1))):INDEX(Attenuation!$J:$J,($H38-1+MIN(MAX(IFERROR(MATCH(LN(T$5),INDEX(Attenuation!$J:$J,$H38):INDEX(Attenuation!$J:$J,$H38+$I38-1),1),1),1),$I38-1))+1)))))</f>
        <v>23.670000000000009</v>
      </c>
      <c r="U38" s="12">
        <f>IF($A38="","",IF(U$5&gt;2*$G38,"",EXP(FORECAST(LN(U$5),INDEX(Attenuation!$K:$K,($H38-1+MIN(MAX(IFERROR(MATCH(LN(U$5),INDEX(Attenuation!$J:$J,$H38):INDEX(Attenuation!$J:$J,$H38+$I38-1),1),1),1),$I38-1))):INDEX(Attenuation!$K:$K,($H38-1+MIN(MAX(IFERROR(MATCH(LN(U$5),INDEX(Attenuation!$J:$J,$H38):INDEX(Attenuation!$J:$J,$H38+$I38-1),1),1),1),$I38-1))+1),INDEX(Attenuation!$J:$J,($H38-1+MIN(MAX(IFERROR(MATCH(LN(U$5),INDEX(Attenuation!$J:$J,$H38):INDEX(Attenuation!$J:$J,$H38+$I38-1),1),1),1),$I38-1))):INDEX(Attenuation!$J:$J,($H38-1+MIN(MAX(IFERROR(MATCH(LN(U$5),INDEX(Attenuation!$J:$J,$H38):INDEX(Attenuation!$J:$J,$H38+$I38-1),1),1),1),$I38-1))+1)))))</f>
        <v>39.938039312976244</v>
      </c>
      <c r="V38" s="1"/>
      <c r="W38" s="12">
        <f t="shared" ref="W38:W69" si="12">IF(J38="","",J38*0.3048)</f>
        <v>0.15831241204748089</v>
      </c>
      <c r="X38" s="12">
        <f t="shared" ref="X38:X69" si="13">IF(K38="","",K38*0.3048)</f>
        <v>0.22384163639140678</v>
      </c>
      <c r="Y38" s="12">
        <f t="shared" ref="Y38:Y69" si="14">IF(L38="","",L38*0.3048)</f>
        <v>0.32117326065247076</v>
      </c>
      <c r="Z38" s="12">
        <f t="shared" ref="Z38:Z69" si="15">IF(M38="","",M38*0.3048)</f>
        <v>0.46082697134043948</v>
      </c>
      <c r="AA38" s="12">
        <f t="shared" ref="AA38:AA69" si="16">IF(N38="","",N38*0.3048)</f>
        <v>0.5691924586627759</v>
      </c>
      <c r="AB38" s="12">
        <f t="shared" ref="AB38:AB69" si="17">IF(O38="","",O38*0.3048)</f>
        <v>0.66120541007487699</v>
      </c>
      <c r="AC38" s="12">
        <f t="shared" ref="AC38:AC69" si="18">IF(P38="","",P38*0.3048)</f>
        <v>0.8943315454313322</v>
      </c>
      <c r="AD38" s="12">
        <f t="shared" ref="AD38:AD69" si="19">IF(Q38="","",Q38*0.3048)</f>
        <v>1.5516146222173031</v>
      </c>
      <c r="AE38" s="12">
        <f t="shared" ref="AE38:AE69" si="20">IF(R38="","",R38*0.3048)</f>
        <v>2.7765478995196706</v>
      </c>
      <c r="AF38" s="12">
        <f t="shared" ref="AF38:AF69" si="21">IF(S38="","",S38*0.3048)</f>
        <v>5.0804920808635012</v>
      </c>
      <c r="AG38" s="12">
        <f t="shared" ref="AG38:AG69" si="22">IF(T38="","",T38*0.3048)</f>
        <v>7.214616000000003</v>
      </c>
      <c r="AH38" s="12">
        <f t="shared" ref="AH38:AH69" si="23">IF(U38="","",U38*0.3048)</f>
        <v>12.173114382595159</v>
      </c>
    </row>
    <row r="39" spans="1:34" x14ac:dyDescent="0.25">
      <c r="A39" s="11" t="str">
        <f>IF(ROWS($A$6:A39)&gt;COUNTA(Cables!$A:$A)-1,"",INDEX(Cables!$A:$A,ROWS($A$6:A39)+1))</f>
        <v>BEL-9914</v>
      </c>
      <c r="B39" s="11" t="str">
        <f>IF($A39="","",IF(INDEX(Cables!$B:$B,MATCH($A39,Cables!$A:$A,0))="","",INDEX(Cables!$B:$B,MATCH($A39,Cables!$A:$A,0))))</f>
        <v>Belden 9914 (RG-8, köpük PE)</v>
      </c>
      <c r="C39" s="11">
        <f>IF($A39="","",IF(INDEX(Cables!$F:$F,MATCH($A39,Cables!$A:$A,0))="","",INDEX(Cables!$F:$F,MATCH($A39,Cables!$A:$A,0))))</f>
        <v>50</v>
      </c>
      <c r="D39" s="11">
        <f>IF($A39="","",IF(INDEX(Cables!$H:$H,MATCH($A39,Cables!$A:$A,0))="","",INDEX(Cables!$H:$H,MATCH($A39,Cables!$A:$A,0))))</f>
        <v>10.199999999999999</v>
      </c>
      <c r="E39" s="12">
        <f>IF($A39="","",IF(INDEX(Cables!$Q:$Q,MATCH($A39,Cables!$A:$A,0))="","",INDEX(Cables!$Q:$Q,MATCH($A39,Cables!$A:$A,0))))</f>
        <v>0.82</v>
      </c>
      <c r="F39" s="11">
        <f>IF($A39="","",IF(INDEX(Cables!$AQ:$AQ,MATCH($A39,Cables!$A:$A,0))="","",INDEX(Cables!$AQ:$AQ,MATCH($A39,Cables!$A:$A,0))))</f>
        <v>5</v>
      </c>
      <c r="G39" s="11">
        <f>IF($A39="","",IF(INDEX(Cables!$AR:$AR,MATCH($A39,Cables!$A:$A,0))="","",INDEX(Cables!$AR:$AR,MATCH($A39,Cables!$A:$A,0))))</f>
        <v>4000</v>
      </c>
      <c r="H39" s="11">
        <f>IF($A39="","",IF(INDEX(Cables!$AO:$AO,MATCH($A39,Cables!$A:$A,0))="","",INDEX(Cables!$AO:$AO,MATCH($A39,Cables!$A:$A,0))))</f>
        <v>441</v>
      </c>
      <c r="I39" s="11">
        <f>IF($A39="","",IF(INDEX(Cables!$AP:$AP,MATCH($A39,Cables!$A:$A,0))="","",INDEX(Cables!$AP:$AP,MATCH($A39,Cables!$A:$A,0))))</f>
        <v>15</v>
      </c>
      <c r="J39" s="12">
        <f>IF($A39="","",IF(J$5&gt;2*$G39,"",EXP(FORECAST(LN(J$5),INDEX(Attenuation!$K:$K,($H39-1+MIN(MAX(IFERROR(MATCH(LN(J$5),INDEX(Attenuation!$J:$J,$H39):INDEX(Attenuation!$J:$J,$H39+$I39-1),1),1),1),$I39-1))):INDEX(Attenuation!$K:$K,($H39-1+MIN(MAX(IFERROR(MATCH(LN(J$5),INDEX(Attenuation!$J:$J,$H39):INDEX(Attenuation!$J:$J,$H39+$I39-1),1),1),1),$I39-1))+1),INDEX(Attenuation!$J:$J,($H39-1+MIN(MAX(IFERROR(MATCH(LN(J$5),INDEX(Attenuation!$J:$J,$H39):INDEX(Attenuation!$J:$J,$H39+$I39-1),1),1),1),$I39-1))):INDEX(Attenuation!$J:$J,($H39-1+MIN(MAX(IFERROR(MATCH(LN(J$5),INDEX(Attenuation!$J:$J,$H39):INDEX(Attenuation!$J:$J,$H39+$I39-1),1),1),1),$I39-1))+1)))))</f>
        <v>0.94450951643211456</v>
      </c>
      <c r="K39" s="12">
        <f>IF($A39="","",IF(K$5&gt;2*$G39,"",EXP(FORECAST(LN(K$5),INDEX(Attenuation!$K:$K,($H39-1+MIN(MAX(IFERROR(MATCH(LN(K$5),INDEX(Attenuation!$J:$J,$H39):INDEX(Attenuation!$J:$J,$H39+$I39-1),1),1),1),$I39-1))):INDEX(Attenuation!$K:$K,($H39-1+MIN(MAX(IFERROR(MATCH(LN(K$5),INDEX(Attenuation!$J:$J,$H39):INDEX(Attenuation!$J:$J,$H39+$I39-1),1),1),1),$I39-1))+1),INDEX(Attenuation!$J:$J,($H39-1+MIN(MAX(IFERROR(MATCH(LN(K$5),INDEX(Attenuation!$J:$J,$H39):INDEX(Attenuation!$J:$J,$H39+$I39-1),1),1),1),$I39-1))):INDEX(Attenuation!$J:$J,($H39-1+MIN(MAX(IFERROR(MATCH(LN(K$5),INDEX(Attenuation!$J:$J,$H39):INDEX(Attenuation!$J:$J,$H39+$I39-1),1),1),1),$I39-1))+1)))))</f>
        <v>1.1699781086736025</v>
      </c>
      <c r="L39" s="12">
        <f>IF($A39="","",IF(L$5&gt;2*$G39,"",EXP(FORECAST(LN(L$5),INDEX(Attenuation!$K:$K,($H39-1+MIN(MAX(IFERROR(MATCH(LN(L$5),INDEX(Attenuation!$J:$J,$H39):INDEX(Attenuation!$J:$J,$H39+$I39-1),1),1),1),$I39-1))):INDEX(Attenuation!$K:$K,($H39-1+MIN(MAX(IFERROR(MATCH(LN(L$5),INDEX(Attenuation!$J:$J,$H39):INDEX(Attenuation!$J:$J,$H39+$I39-1),1),1),1),$I39-1))+1),INDEX(Attenuation!$J:$J,($H39-1+MIN(MAX(IFERROR(MATCH(LN(L$5),INDEX(Attenuation!$J:$J,$H39):INDEX(Attenuation!$J:$J,$H39+$I39-1),1),1),1),$I39-1))):INDEX(Attenuation!$J:$J,($H39-1+MIN(MAX(IFERROR(MATCH(LN(L$5),INDEX(Attenuation!$J:$J,$H39):INDEX(Attenuation!$J:$J,$H39+$I39-1),1),1),1),$I39-1))+1)))))</f>
        <v>1.4624726358420028</v>
      </c>
      <c r="M39" s="12">
        <f>IF($A39="","",IF(M$5&gt;2*$G39,"",EXP(FORECAST(LN(M$5),INDEX(Attenuation!$K:$K,($H39-1+MIN(MAX(IFERROR(MATCH(LN(M$5),INDEX(Attenuation!$J:$J,$H39):INDEX(Attenuation!$J:$J,$H39+$I39-1),1),1),1),$I39-1))):INDEX(Attenuation!$K:$K,($H39-1+MIN(MAX(IFERROR(MATCH(LN(M$5),INDEX(Attenuation!$J:$J,$H39):INDEX(Attenuation!$J:$J,$H39+$I39-1),1),1),1),$I39-1))+1),INDEX(Attenuation!$J:$J,($H39-1+MIN(MAX(IFERROR(MATCH(LN(M$5),INDEX(Attenuation!$J:$J,$H39):INDEX(Attenuation!$J:$J,$H39+$I39-1),1),1),1),$I39-1))):INDEX(Attenuation!$J:$J,($H39-1+MIN(MAX(IFERROR(MATCH(LN(M$5),INDEX(Attenuation!$J:$J,$H39):INDEX(Attenuation!$J:$J,$H39+$I39-1),1),1),1),$I39-1))+1)))))</f>
        <v>1.8962210400926405</v>
      </c>
      <c r="N39" s="12">
        <f>IF($A39="","",IF(N$5&gt;2*$G39,"",EXP(FORECAST(LN(N$5),INDEX(Attenuation!$K:$K,($H39-1+MIN(MAX(IFERROR(MATCH(LN(N$5),INDEX(Attenuation!$J:$J,$H39):INDEX(Attenuation!$J:$J,$H39+$I39-1),1),1),1),$I39-1))):INDEX(Attenuation!$K:$K,($H39-1+MIN(MAX(IFERROR(MATCH(LN(N$5),INDEX(Attenuation!$J:$J,$H39):INDEX(Attenuation!$J:$J,$H39+$I39-1),1),1),1),$I39-1))+1),INDEX(Attenuation!$J:$J,($H39-1+MIN(MAX(IFERROR(MATCH(LN(N$5),INDEX(Attenuation!$J:$J,$H39):INDEX(Attenuation!$J:$J,$H39+$I39-1),1),1),1),$I39-1))):INDEX(Attenuation!$J:$J,($H39-1+MIN(MAX(IFERROR(MATCH(LN(N$5),INDEX(Attenuation!$J:$J,$H39):INDEX(Attenuation!$J:$J,$H39+$I39-1),1),1),1),$I39-1))+1)))))</f>
        <v>2.2580176820526434</v>
      </c>
      <c r="O39" s="12">
        <f>IF($A39="","",IF(O$5&gt;2*$G39,"",EXP(FORECAST(LN(O$5),INDEX(Attenuation!$K:$K,($H39-1+MIN(MAX(IFERROR(MATCH(LN(O$5),INDEX(Attenuation!$J:$J,$H39):INDEX(Attenuation!$J:$J,$H39+$I39-1),1),1),1),$I39-1))):INDEX(Attenuation!$K:$K,($H39-1+MIN(MAX(IFERROR(MATCH(LN(O$5),INDEX(Attenuation!$J:$J,$H39):INDEX(Attenuation!$J:$J,$H39+$I39-1),1),1),1),$I39-1))+1),INDEX(Attenuation!$J:$J,($H39-1+MIN(MAX(IFERROR(MATCH(LN(O$5),INDEX(Attenuation!$J:$J,$H39):INDEX(Attenuation!$J:$J,$H39+$I39-1),1),1),1),$I39-1))):INDEX(Attenuation!$J:$J,($H39-1+MIN(MAX(IFERROR(MATCH(LN(O$5),INDEX(Attenuation!$J:$J,$H39):INDEX(Attenuation!$J:$J,$H39+$I39-1),1),1),1),$I39-1))+1)))))</f>
        <v>2.555850950724222</v>
      </c>
      <c r="P39" s="12">
        <f>IF($A39="","",IF(P$5&gt;2*$G39,"",EXP(FORECAST(LN(P$5),INDEX(Attenuation!$K:$K,($H39-1+MIN(MAX(IFERROR(MATCH(LN(P$5),INDEX(Attenuation!$J:$J,$H39):INDEX(Attenuation!$J:$J,$H39+$I39-1),1),1),1),$I39-1))):INDEX(Attenuation!$K:$K,($H39-1+MIN(MAX(IFERROR(MATCH(LN(P$5),INDEX(Attenuation!$J:$J,$H39):INDEX(Attenuation!$J:$J,$H39+$I39-1),1),1),1),$I39-1))+1),INDEX(Attenuation!$J:$J,($H39-1+MIN(MAX(IFERROR(MATCH(LN(P$5),INDEX(Attenuation!$J:$J,$H39):INDEX(Attenuation!$J:$J,$H39+$I39-1),1),1),1),$I39-1))):INDEX(Attenuation!$J:$J,($H39-1+MIN(MAX(IFERROR(MATCH(LN(P$5),INDEX(Attenuation!$J:$J,$H39):INDEX(Attenuation!$J:$J,$H39+$I39-1),1),1),1),$I39-1))+1)))))</f>
        <v>3.280839895013123</v>
      </c>
      <c r="Q39" s="12">
        <f>IF($A39="","",IF(Q$5&gt;2*$G39,"",EXP(FORECAST(LN(Q$5),INDEX(Attenuation!$K:$K,($H39-1+MIN(MAX(IFERROR(MATCH(LN(Q$5),INDEX(Attenuation!$J:$J,$H39):INDEX(Attenuation!$J:$J,$H39+$I39-1),1),1),1),$I39-1))):INDEX(Attenuation!$K:$K,($H39-1+MIN(MAX(IFERROR(MATCH(LN(Q$5),INDEX(Attenuation!$J:$J,$H39):INDEX(Attenuation!$J:$J,$H39+$I39-1),1),1),1),$I39-1))+1),INDEX(Attenuation!$J:$J,($H39-1+MIN(MAX(IFERROR(MATCH(LN(Q$5),INDEX(Attenuation!$J:$J,$H39):INDEX(Attenuation!$J:$J,$H39+$I39-1),1),1),1),$I39-1))):INDEX(Attenuation!$J:$J,($H39-1+MIN(MAX(IFERROR(MATCH(LN(Q$5),INDEX(Attenuation!$J:$J,$H39):INDEX(Attenuation!$J:$J,$H39+$I39-1),1),1),1),$I39-1))+1)))))</f>
        <v>5.2424050625271255</v>
      </c>
      <c r="R39" s="12">
        <f>IF($A39="","",IF(R$5&gt;2*$G39,"",EXP(FORECAST(LN(R$5),INDEX(Attenuation!$K:$K,($H39-1+MIN(MAX(IFERROR(MATCH(LN(R$5),INDEX(Attenuation!$J:$J,$H39):INDEX(Attenuation!$J:$J,$H39+$I39-1),1),1),1),$I39-1))):INDEX(Attenuation!$K:$K,($H39-1+MIN(MAX(IFERROR(MATCH(LN(R$5),INDEX(Attenuation!$J:$J,$H39):INDEX(Attenuation!$J:$J,$H39+$I39-1),1),1),1),$I39-1))+1),INDEX(Attenuation!$J:$J,($H39-1+MIN(MAX(IFERROR(MATCH(LN(R$5),INDEX(Attenuation!$J:$J,$H39):INDEX(Attenuation!$J:$J,$H39+$I39-1),1),1),1),$I39-1))):INDEX(Attenuation!$J:$J,($H39-1+MIN(MAX(IFERROR(MATCH(LN(R$5),INDEX(Attenuation!$J:$J,$H39):INDEX(Attenuation!$J:$J,$H39+$I39-1),1),1),1),$I39-1))+1)))))</f>
        <v>8.9206119275092934</v>
      </c>
      <c r="S39" s="12">
        <f>IF($A39="","",IF(S$5&gt;2*$G39,"",EXP(FORECAST(LN(S$5),INDEX(Attenuation!$K:$K,($H39-1+MIN(MAX(IFERROR(MATCH(LN(S$5),INDEX(Attenuation!$J:$J,$H39):INDEX(Attenuation!$J:$J,$H39+$I39-1),1),1),1),$I39-1))):INDEX(Attenuation!$K:$K,($H39-1+MIN(MAX(IFERROR(MATCH(LN(S$5),INDEX(Attenuation!$J:$J,$H39):INDEX(Attenuation!$J:$J,$H39+$I39-1),1),1),1),$I39-1))+1),INDEX(Attenuation!$J:$J,($H39-1+MIN(MAX(IFERROR(MATCH(LN(S$5),INDEX(Attenuation!$J:$J,$H39):INDEX(Attenuation!$J:$J,$H39+$I39-1),1),1),1),$I39-1))):INDEX(Attenuation!$J:$J,($H39-1+MIN(MAX(IFERROR(MATCH(LN(S$5),INDEX(Attenuation!$J:$J,$H39):INDEX(Attenuation!$J:$J,$H39+$I39-1),1),1),1),$I39-1))+1)))))</f>
        <v>16.649788384064344</v>
      </c>
      <c r="T39" s="12">
        <f>IF($A39="","",IF(T$5&gt;2*$G39,"",EXP(FORECAST(LN(T$5),INDEX(Attenuation!$K:$K,($H39-1+MIN(MAX(IFERROR(MATCH(LN(T$5),INDEX(Attenuation!$J:$J,$H39):INDEX(Attenuation!$J:$J,$H39+$I39-1),1),1),1),$I39-1))):INDEX(Attenuation!$K:$K,($H39-1+MIN(MAX(IFERROR(MATCH(LN(T$5),INDEX(Attenuation!$J:$J,$H39):INDEX(Attenuation!$J:$J,$H39+$I39-1),1),1),1),$I39-1))+1),INDEX(Attenuation!$J:$J,($H39-1+MIN(MAX(IFERROR(MATCH(LN(T$5),INDEX(Attenuation!$J:$J,$H39):INDEX(Attenuation!$J:$J,$H39+$I39-1),1),1),1),$I39-1))):INDEX(Attenuation!$J:$J,($H39-1+MIN(MAX(IFERROR(MATCH(LN(T$5),INDEX(Attenuation!$J:$J,$H39):INDEX(Attenuation!$J:$J,$H39+$I39-1),1),1),1),$I39-1))+1)))))</f>
        <v>23.970491061831094</v>
      </c>
      <c r="U39" s="12">
        <f>IF($A39="","",IF(U$5&gt;2*$G39,"",EXP(FORECAST(LN(U$5),INDEX(Attenuation!$K:$K,($H39-1+MIN(MAX(IFERROR(MATCH(LN(U$5),INDEX(Attenuation!$J:$J,$H39):INDEX(Attenuation!$J:$J,$H39+$I39-1),1),1),1),$I39-1))):INDEX(Attenuation!$K:$K,($H39-1+MIN(MAX(IFERROR(MATCH(LN(U$5),INDEX(Attenuation!$J:$J,$H39):INDEX(Attenuation!$J:$J,$H39+$I39-1),1),1),1),$I39-1))+1),INDEX(Attenuation!$J:$J,($H39-1+MIN(MAX(IFERROR(MATCH(LN(U$5),INDEX(Attenuation!$J:$J,$H39):INDEX(Attenuation!$J:$J,$H39+$I39-1),1),1),1),$I39-1))):INDEX(Attenuation!$J:$J,($H39-1+MIN(MAX(IFERROR(MATCH(LN(U$5),INDEX(Attenuation!$J:$J,$H39):INDEX(Attenuation!$J:$J,$H39+$I39-1),1),1),1),$I39-1))+1)))))</f>
        <v>40.612336765739101</v>
      </c>
      <c r="V39" s="1"/>
      <c r="W39" s="12">
        <f t="shared" si="12"/>
        <v>0.28788650060850851</v>
      </c>
      <c r="X39" s="12">
        <f t="shared" si="13"/>
        <v>0.35660932752371405</v>
      </c>
      <c r="Y39" s="12">
        <f t="shared" si="14"/>
        <v>0.44576165940464246</v>
      </c>
      <c r="Z39" s="12">
        <f t="shared" si="15"/>
        <v>0.57796817302023684</v>
      </c>
      <c r="AA39" s="12">
        <f t="shared" si="16"/>
        <v>0.68824378948964571</v>
      </c>
      <c r="AB39" s="12">
        <f t="shared" si="17"/>
        <v>0.77902336978074294</v>
      </c>
      <c r="AC39" s="12">
        <f t="shared" si="18"/>
        <v>0.99999999999999989</v>
      </c>
      <c r="AD39" s="12">
        <f t="shared" si="19"/>
        <v>1.5978850630582679</v>
      </c>
      <c r="AE39" s="12">
        <f t="shared" si="20"/>
        <v>2.7190025155048327</v>
      </c>
      <c r="AF39" s="12">
        <f t="shared" si="21"/>
        <v>5.0748554994628119</v>
      </c>
      <c r="AG39" s="12">
        <f t="shared" si="22"/>
        <v>7.306205675646118</v>
      </c>
      <c r="AH39" s="12">
        <f t="shared" si="23"/>
        <v>12.378640246197278</v>
      </c>
    </row>
    <row r="40" spans="1:34" x14ac:dyDescent="0.25">
      <c r="A40" s="11" t="str">
        <f>IF(ROWS($A$6:A40)&gt;COUNTA(Cables!$A:$A)-1,"",INDEX(Cables!$A:$A,ROWS($A$6:A40)+1))</f>
        <v>SSB-ECOFLEX10</v>
      </c>
      <c r="B40" s="11" t="str">
        <f>IF($A40="","",IF(INDEX(Cables!$B:$B,MATCH($A40,Cables!$A:$A,0))="","",INDEX(Cables!$B:$B,MATCH($A40,Cables!$A:$A,0))))</f>
        <v>SSB Ecoflex 10</v>
      </c>
      <c r="C40" s="11">
        <f>IF($A40="","",IF(INDEX(Cables!$F:$F,MATCH($A40,Cables!$A:$A,0))="","",INDEX(Cables!$F:$F,MATCH($A40,Cables!$A:$A,0))))</f>
        <v>50</v>
      </c>
      <c r="D40" s="11">
        <f>IF($A40="","",IF(INDEX(Cables!$H:$H,MATCH($A40,Cables!$A:$A,0))="","",INDEX(Cables!$H:$H,MATCH($A40,Cables!$A:$A,0))))</f>
        <v>10.199999999999999</v>
      </c>
      <c r="E40" s="12">
        <f>IF($A40="","",IF(INDEX(Cables!$Q:$Q,MATCH($A40,Cables!$A:$A,0))="","",INDEX(Cables!$Q:$Q,MATCH($A40,Cables!$A:$A,0))))</f>
        <v>0.85</v>
      </c>
      <c r="F40" s="11">
        <f>IF($A40="","",IF(INDEX(Cables!$AQ:$AQ,MATCH($A40,Cables!$A:$A,0))="","",INDEX(Cables!$AQ:$AQ,MATCH($A40,Cables!$A:$A,0))))</f>
        <v>5</v>
      </c>
      <c r="G40" s="11">
        <f>IF($A40="","",IF(INDEX(Cables!$AR:$AR,MATCH($A40,Cables!$A:$A,0))="","",INDEX(Cables!$AR:$AR,MATCH($A40,Cables!$A:$A,0))))</f>
        <v>6000</v>
      </c>
      <c r="H40" s="11">
        <f>IF($A40="","",IF(INDEX(Cables!$AO:$AO,MATCH($A40,Cables!$A:$A,0))="","",INDEX(Cables!$AO:$AO,MATCH($A40,Cables!$A:$A,0))))</f>
        <v>456</v>
      </c>
      <c r="I40" s="11">
        <f>IF($A40="","",IF(INDEX(Cables!$AP:$AP,MATCH($A40,Cables!$A:$A,0))="","",INDEX(Cables!$AP:$AP,MATCH($A40,Cables!$A:$A,0))))</f>
        <v>20</v>
      </c>
      <c r="J40" s="12">
        <f>IF($A40="","",IF(J$5&gt;2*$G40,"",EXP(FORECAST(LN(J$5),INDEX(Attenuation!$K:$K,($H40-1+MIN(MAX(IFERROR(MATCH(LN(J$5),INDEX(Attenuation!$J:$J,$H40):INDEX(Attenuation!$J:$J,$H40+$I40-1),1),1),1),$I40-1))):INDEX(Attenuation!$K:$K,($H40-1+MIN(MAX(IFERROR(MATCH(LN(J$5),INDEX(Attenuation!$J:$J,$H40):INDEX(Attenuation!$J:$J,$H40+$I40-1),1),1),1),$I40-1))+1),INDEX(Attenuation!$J:$J,($H40-1+MIN(MAX(IFERROR(MATCH(LN(J$5),INDEX(Attenuation!$J:$J,$H40):INDEX(Attenuation!$J:$J,$H40+$I40-1),1),1),1),$I40-1))):INDEX(Attenuation!$J:$J,($H40-1+MIN(MAX(IFERROR(MATCH(LN(J$5),INDEX(Attenuation!$J:$J,$H40):INDEX(Attenuation!$J:$J,$H40+$I40-1),1),1),1),$I40-1))+1)))))</f>
        <v>0.44009211578020668</v>
      </c>
      <c r="K40" s="12">
        <f>IF($A40="","",IF(K$5&gt;2*$G40,"",EXP(FORECAST(LN(K$5),INDEX(Attenuation!$K:$K,($H40-1+MIN(MAX(IFERROR(MATCH(LN(K$5),INDEX(Attenuation!$J:$J,$H40):INDEX(Attenuation!$J:$J,$H40+$I40-1),1),1),1),$I40-1))):INDEX(Attenuation!$K:$K,($H40-1+MIN(MAX(IFERROR(MATCH(LN(K$5),INDEX(Attenuation!$J:$J,$H40):INDEX(Attenuation!$J:$J,$H40+$I40-1),1),1),1),$I40-1))+1),INDEX(Attenuation!$J:$J,($H40-1+MIN(MAX(IFERROR(MATCH(LN(K$5),INDEX(Attenuation!$J:$J,$H40):INDEX(Attenuation!$J:$J,$H40+$I40-1),1),1),1),$I40-1))):INDEX(Attenuation!$J:$J,($H40-1+MIN(MAX(IFERROR(MATCH(LN(K$5),INDEX(Attenuation!$J:$J,$H40):INDEX(Attenuation!$J:$J,$H40+$I40-1),1),1),1),$I40-1))+1)))))</f>
        <v>0.64934895971671069</v>
      </c>
      <c r="L40" s="12">
        <f>IF($A40="","",IF(L$5&gt;2*$G40,"",EXP(FORECAST(LN(L$5),INDEX(Attenuation!$K:$K,($H40-1+MIN(MAX(IFERROR(MATCH(LN(L$5),INDEX(Attenuation!$J:$J,$H40):INDEX(Attenuation!$J:$J,$H40+$I40-1),1),1),1),$I40-1))):INDEX(Attenuation!$K:$K,($H40-1+MIN(MAX(IFERROR(MATCH(LN(L$5),INDEX(Attenuation!$J:$J,$H40):INDEX(Attenuation!$J:$J,$H40+$I40-1),1),1),1),$I40-1))+1),INDEX(Attenuation!$J:$J,($H40-1+MIN(MAX(IFERROR(MATCH(LN(L$5),INDEX(Attenuation!$J:$J,$H40):INDEX(Attenuation!$J:$J,$H40+$I40-1),1),1),1),$I40-1))):INDEX(Attenuation!$J:$J,($H40-1+MIN(MAX(IFERROR(MATCH(LN(L$5),INDEX(Attenuation!$J:$J,$H40):INDEX(Attenuation!$J:$J,$H40+$I40-1),1),1),1),$I40-1))+1)))))</f>
        <v>0.97402343957506565</v>
      </c>
      <c r="M40" s="12">
        <f>IF($A40="","",IF(M$5&gt;2*$G40,"",EXP(FORECAST(LN(M$5),INDEX(Attenuation!$K:$K,($H40-1+MIN(MAX(IFERROR(MATCH(LN(M$5),INDEX(Attenuation!$J:$J,$H40):INDEX(Attenuation!$J:$J,$H40+$I40-1),1),1),1),$I40-1))):INDEX(Attenuation!$K:$K,($H40-1+MIN(MAX(IFERROR(MATCH(LN(M$5),INDEX(Attenuation!$J:$J,$H40):INDEX(Attenuation!$J:$J,$H40+$I40-1),1),1),1),$I40-1))+1),INDEX(Attenuation!$J:$J,($H40-1+MIN(MAX(IFERROR(MATCH(LN(M$5),INDEX(Attenuation!$J:$J,$H40):INDEX(Attenuation!$J:$J,$H40+$I40-1),1),1),1),$I40-1))):INDEX(Attenuation!$J:$J,($H40-1+MIN(MAX(IFERROR(MATCH(LN(M$5),INDEX(Attenuation!$J:$J,$H40):INDEX(Attenuation!$J:$J,$H40+$I40-1),1),1),1),$I40-1))+1)))))</f>
        <v>1.432554628642059</v>
      </c>
      <c r="N40" s="12">
        <f>IF($A40="","",IF(N$5&gt;2*$G40,"",EXP(FORECAST(LN(N$5),INDEX(Attenuation!$K:$K,($H40-1+MIN(MAX(IFERROR(MATCH(LN(N$5),INDEX(Attenuation!$J:$J,$H40):INDEX(Attenuation!$J:$J,$H40+$I40-1),1),1),1),$I40-1))):INDEX(Attenuation!$K:$K,($H40-1+MIN(MAX(IFERROR(MATCH(LN(N$5),INDEX(Attenuation!$J:$J,$H40):INDEX(Attenuation!$J:$J,$H40+$I40-1),1),1),1),$I40-1))+1),INDEX(Attenuation!$J:$J,($H40-1+MIN(MAX(IFERROR(MATCH(LN(N$5),INDEX(Attenuation!$J:$J,$H40):INDEX(Attenuation!$J:$J,$H40+$I40-1),1),1),1),$I40-1))):INDEX(Attenuation!$J:$J,($H40-1+MIN(MAX(IFERROR(MATCH(LN(N$5),INDEX(Attenuation!$J:$J,$H40):INDEX(Attenuation!$J:$J,$H40+$I40-1),1),1),1),$I40-1))+1)))))</f>
        <v>1.7734357130782932</v>
      </c>
      <c r="O40" s="12">
        <f>IF($A40="","",IF(O$5&gt;2*$G40,"",EXP(FORECAST(LN(O$5),INDEX(Attenuation!$K:$K,($H40-1+MIN(MAX(IFERROR(MATCH(LN(O$5),INDEX(Attenuation!$J:$J,$H40):INDEX(Attenuation!$J:$J,$H40+$I40-1),1),1),1),$I40-1))):INDEX(Attenuation!$K:$K,($H40-1+MIN(MAX(IFERROR(MATCH(LN(O$5),INDEX(Attenuation!$J:$J,$H40):INDEX(Attenuation!$J:$J,$H40+$I40-1),1),1),1),$I40-1))+1),INDEX(Attenuation!$J:$J,($H40-1+MIN(MAX(IFERROR(MATCH(LN(O$5),INDEX(Attenuation!$J:$J,$H40):INDEX(Attenuation!$J:$J,$H40+$I40-1),1),1),1),$I40-1))):INDEX(Attenuation!$J:$J,($H40-1+MIN(MAX(IFERROR(MATCH(LN(O$5),INDEX(Attenuation!$J:$J,$H40):INDEX(Attenuation!$J:$J,$H40+$I40-1),1),1),1),$I40-1))+1)))))</f>
        <v>2.0634320294735247</v>
      </c>
      <c r="P40" s="12">
        <f>IF($A40="","",IF(P$5&gt;2*$G40,"",EXP(FORECAST(LN(P$5),INDEX(Attenuation!$K:$K,($H40-1+MIN(MAX(IFERROR(MATCH(LN(P$5),INDEX(Attenuation!$J:$J,$H40):INDEX(Attenuation!$J:$J,$H40+$I40-1),1),1),1),$I40-1))):INDEX(Attenuation!$K:$K,($H40-1+MIN(MAX(IFERROR(MATCH(LN(P$5),INDEX(Attenuation!$J:$J,$H40):INDEX(Attenuation!$J:$J,$H40+$I40-1),1),1),1),$I40-1))+1),INDEX(Attenuation!$J:$J,($H40-1+MIN(MAX(IFERROR(MATCH(LN(P$5),INDEX(Attenuation!$J:$J,$H40):INDEX(Attenuation!$J:$J,$H40+$I40-1),1),1),1),$I40-1))):INDEX(Attenuation!$J:$J,($H40-1+MIN(MAX(IFERROR(MATCH(LN(P$5),INDEX(Attenuation!$J:$J,$H40):INDEX(Attenuation!$J:$J,$H40+$I40-1),1),1),1),$I40-1))+1)))))</f>
        <v>2.8</v>
      </c>
      <c r="Q40" s="12">
        <f>IF($A40="","",IF(Q$5&gt;2*$G40,"",EXP(FORECAST(LN(Q$5),INDEX(Attenuation!$K:$K,($H40-1+MIN(MAX(IFERROR(MATCH(LN(Q$5),INDEX(Attenuation!$J:$J,$H40):INDEX(Attenuation!$J:$J,$H40+$I40-1),1),1),1),$I40-1))):INDEX(Attenuation!$K:$K,($H40-1+MIN(MAX(IFERROR(MATCH(LN(Q$5),INDEX(Attenuation!$J:$J,$H40):INDEX(Attenuation!$J:$J,$H40+$I40-1),1),1),1),$I40-1))+1),INDEX(Attenuation!$J:$J,($H40-1+MIN(MAX(IFERROR(MATCH(LN(Q$5),INDEX(Attenuation!$J:$J,$H40):INDEX(Attenuation!$J:$J,$H40+$I40-1),1),1),1),$I40-1))):INDEX(Attenuation!$J:$J,($H40-1+MIN(MAX(IFERROR(MATCH(LN(Q$5),INDEX(Attenuation!$J:$J,$H40):INDEX(Attenuation!$J:$J,$H40+$I40-1),1),1),1),$I40-1))+1)))))</f>
        <v>4.8999999999999995</v>
      </c>
      <c r="R40" s="12">
        <f>IF($A40="","",IF(R$5&gt;2*$G40,"",EXP(FORECAST(LN(R$5),INDEX(Attenuation!$K:$K,($H40-1+MIN(MAX(IFERROR(MATCH(LN(R$5),INDEX(Attenuation!$J:$J,$H40):INDEX(Attenuation!$J:$J,$H40+$I40-1),1),1),1),$I40-1))):INDEX(Attenuation!$K:$K,($H40-1+MIN(MAX(IFERROR(MATCH(LN(R$5),INDEX(Attenuation!$J:$J,$H40):INDEX(Attenuation!$J:$J,$H40+$I40-1),1),1),1),$I40-1))+1),INDEX(Attenuation!$J:$J,($H40-1+MIN(MAX(IFERROR(MATCH(LN(R$5),INDEX(Attenuation!$J:$J,$H40):INDEX(Attenuation!$J:$J,$H40+$I40-1),1),1),1),$I40-1))):INDEX(Attenuation!$J:$J,($H40-1+MIN(MAX(IFERROR(MATCH(LN(R$5),INDEX(Attenuation!$J:$J,$H40):INDEX(Attenuation!$J:$J,$H40+$I40-1),1),1),1),$I40-1))+1)))))</f>
        <v>8.9</v>
      </c>
      <c r="S40" s="12">
        <f>IF($A40="","",IF(S$5&gt;2*$G40,"",EXP(FORECAST(LN(S$5),INDEX(Attenuation!$K:$K,($H40-1+MIN(MAX(IFERROR(MATCH(LN(S$5),INDEX(Attenuation!$J:$J,$H40):INDEX(Attenuation!$J:$J,$H40+$I40-1),1),1),1),$I40-1))):INDEX(Attenuation!$K:$K,($H40-1+MIN(MAX(IFERROR(MATCH(LN(S$5),INDEX(Attenuation!$J:$J,$H40):INDEX(Attenuation!$J:$J,$H40+$I40-1),1),1),1),$I40-1))+1),INDEX(Attenuation!$J:$J,($H40-1+MIN(MAX(IFERROR(MATCH(LN(S$5),INDEX(Attenuation!$J:$J,$H40):INDEX(Attenuation!$J:$J,$H40+$I40-1),1),1),1),$I40-1))):INDEX(Attenuation!$J:$J,($H40-1+MIN(MAX(IFERROR(MATCH(LN(S$5),INDEX(Attenuation!$J:$J,$H40):INDEX(Attenuation!$J:$J,$H40+$I40-1),1),1),1),$I40-1))+1)))))</f>
        <v>16.5</v>
      </c>
      <c r="T40" s="12">
        <f>IF($A40="","",IF(T$5&gt;2*$G40,"",EXP(FORECAST(LN(T$5),INDEX(Attenuation!$K:$K,($H40-1+MIN(MAX(IFERROR(MATCH(LN(T$5),INDEX(Attenuation!$J:$J,$H40):INDEX(Attenuation!$J:$J,$H40+$I40-1),1),1),1),$I40-1))):INDEX(Attenuation!$K:$K,($H40-1+MIN(MAX(IFERROR(MATCH(LN(T$5),INDEX(Attenuation!$J:$J,$H40):INDEX(Attenuation!$J:$J,$H40+$I40-1),1),1),1),$I40-1))+1),INDEX(Attenuation!$J:$J,($H40-1+MIN(MAX(IFERROR(MATCH(LN(T$5),INDEX(Attenuation!$J:$J,$H40):INDEX(Attenuation!$J:$J,$H40+$I40-1),1),1),1),$I40-1))):INDEX(Attenuation!$J:$J,($H40-1+MIN(MAX(IFERROR(MATCH(LN(T$5),INDEX(Attenuation!$J:$J,$H40):INDEX(Attenuation!$J:$J,$H40+$I40-1),1),1),1),$I40-1))+1)))))</f>
        <v>23.600000000000005</v>
      </c>
      <c r="U40" s="12">
        <f>IF($A40="","",IF(U$5&gt;2*$G40,"",EXP(FORECAST(LN(U$5),INDEX(Attenuation!$K:$K,($H40-1+MIN(MAX(IFERROR(MATCH(LN(U$5),INDEX(Attenuation!$J:$J,$H40):INDEX(Attenuation!$J:$J,$H40+$I40-1),1),1),1),$I40-1))):INDEX(Attenuation!$K:$K,($H40-1+MIN(MAX(IFERROR(MATCH(LN(U$5),INDEX(Attenuation!$J:$J,$H40):INDEX(Attenuation!$J:$J,$H40+$I40-1),1),1),1),$I40-1))+1),INDEX(Attenuation!$J:$J,($H40-1+MIN(MAX(IFERROR(MATCH(LN(U$5),INDEX(Attenuation!$J:$J,$H40):INDEX(Attenuation!$J:$J,$H40+$I40-1),1),1),1),$I40-1))):INDEX(Attenuation!$J:$J,($H40-1+MIN(MAX(IFERROR(MATCH(LN(U$5),INDEX(Attenuation!$J:$J,$H40):INDEX(Attenuation!$J:$J,$H40+$I40-1),1),1),1),$I40-1))+1)))))</f>
        <v>40.447104749183993</v>
      </c>
      <c r="V40" s="1"/>
      <c r="W40" s="12">
        <f t="shared" si="12"/>
        <v>0.134140076889807</v>
      </c>
      <c r="X40" s="12">
        <f t="shared" si="13"/>
        <v>0.19792156292165344</v>
      </c>
      <c r="Y40" s="12">
        <f t="shared" si="14"/>
        <v>0.29688234438248001</v>
      </c>
      <c r="Z40" s="12">
        <f t="shared" si="15"/>
        <v>0.43664265081009962</v>
      </c>
      <c r="AA40" s="12">
        <f t="shared" si="16"/>
        <v>0.54054320534626377</v>
      </c>
      <c r="AB40" s="12">
        <f t="shared" si="17"/>
        <v>0.62893408258353034</v>
      </c>
      <c r="AC40" s="12">
        <f t="shared" si="18"/>
        <v>0.85343999999999998</v>
      </c>
      <c r="AD40" s="12">
        <f t="shared" si="19"/>
        <v>1.49352</v>
      </c>
      <c r="AE40" s="12">
        <f t="shared" si="20"/>
        <v>2.7127200000000005</v>
      </c>
      <c r="AF40" s="12">
        <f t="shared" si="21"/>
        <v>5.0292000000000003</v>
      </c>
      <c r="AG40" s="12">
        <f t="shared" si="22"/>
        <v>7.1932800000000015</v>
      </c>
      <c r="AH40" s="12">
        <f t="shared" si="23"/>
        <v>12.328277527551281</v>
      </c>
    </row>
    <row r="41" spans="1:34" x14ac:dyDescent="0.25">
      <c r="A41" s="11" t="str">
        <f>IF(ROWS($A$6:A41)&gt;COUNTA(Cables!$A:$A)-1,"",INDEX(Cables!$A:$A,ROWS($A$6:A41)+1))</f>
        <v>BEL-H1000C1</v>
      </c>
      <c r="B41" s="11" t="str">
        <f>IF($A41="","",IF(INDEX(Cables!$B:$B,MATCH($A41,Cables!$A:$A,0))="","",INDEX(Cables!$B:$B,MATCH($A41,Cables!$A:$A,0))))</f>
        <v>Belden H1000C1 (H1000)</v>
      </c>
      <c r="C41" s="11">
        <f>IF($A41="","",IF(INDEX(Cables!$F:$F,MATCH($A41,Cables!$A:$A,0))="","",INDEX(Cables!$F:$F,MATCH($A41,Cables!$A:$A,0))))</f>
        <v>50</v>
      </c>
      <c r="D41" s="11">
        <f>IF($A41="","",IF(INDEX(Cables!$H:$H,MATCH($A41,Cables!$A:$A,0))="","",INDEX(Cables!$H:$H,MATCH($A41,Cables!$A:$A,0))))</f>
        <v>10.3</v>
      </c>
      <c r="E41" s="12">
        <f>IF($A41="","",IF(INDEX(Cables!$Q:$Q,MATCH($A41,Cables!$A:$A,0))="","",INDEX(Cables!$Q:$Q,MATCH($A41,Cables!$A:$A,0))))</f>
        <v>0.83</v>
      </c>
      <c r="F41" s="11">
        <f>IF($A41="","",IF(INDEX(Cables!$AQ:$AQ,MATCH($A41,Cables!$A:$A,0))="","",INDEX(Cables!$AQ:$AQ,MATCH($A41,Cables!$A:$A,0))))</f>
        <v>5</v>
      </c>
      <c r="G41" s="11">
        <f>IF($A41="","",IF(INDEX(Cables!$AR:$AR,MATCH($A41,Cables!$A:$A,0))="","",INDEX(Cables!$AR:$AR,MATCH($A41,Cables!$A:$A,0))))</f>
        <v>10000</v>
      </c>
      <c r="H41" s="11">
        <f>IF($A41="","",IF(INDEX(Cables!$AO:$AO,MATCH($A41,Cables!$A:$A,0))="","",INDEX(Cables!$AO:$AO,MATCH($A41,Cables!$A:$A,0))))</f>
        <v>476</v>
      </c>
      <c r="I41" s="11">
        <f>IF($A41="","",IF(INDEX(Cables!$AP:$AP,MATCH($A41,Cables!$A:$A,0))="","",INDEX(Cables!$AP:$AP,MATCH($A41,Cables!$A:$A,0))))</f>
        <v>14</v>
      </c>
      <c r="J41" s="12">
        <f>IF($A41="","",IF(J$5&gt;2*$G41,"",EXP(FORECAST(LN(J$5),INDEX(Attenuation!$K:$K,($H41-1+MIN(MAX(IFERROR(MATCH(LN(J$5),INDEX(Attenuation!$J:$J,$H41):INDEX(Attenuation!$J:$J,$H41+$I41-1),1),1),1),$I41-1))):INDEX(Attenuation!$K:$K,($H41-1+MIN(MAX(IFERROR(MATCH(LN(J$5),INDEX(Attenuation!$J:$J,$H41):INDEX(Attenuation!$J:$J,$H41+$I41-1),1),1),1),$I41-1))+1),INDEX(Attenuation!$J:$J,($H41-1+MIN(MAX(IFERROR(MATCH(LN(J$5),INDEX(Attenuation!$J:$J,$H41):INDEX(Attenuation!$J:$J,$H41+$I41-1),1),1),1),$I41-1))):INDEX(Attenuation!$J:$J,($H41-1+MIN(MAX(IFERROR(MATCH(LN(J$5),INDEX(Attenuation!$J:$J,$H41):INDEX(Attenuation!$J:$J,$H41+$I41-1),1),1),1),$I41-1))+1)))))</f>
        <v>0.45886861690876263</v>
      </c>
      <c r="K41" s="12">
        <f>IF($A41="","",IF(K$5&gt;2*$G41,"",EXP(FORECAST(LN(K$5),INDEX(Attenuation!$K:$K,($H41-1+MIN(MAX(IFERROR(MATCH(LN(K$5),INDEX(Attenuation!$J:$J,$H41):INDEX(Attenuation!$J:$J,$H41+$I41-1),1),1),1),$I41-1))):INDEX(Attenuation!$K:$K,($H41-1+MIN(MAX(IFERROR(MATCH(LN(K$5),INDEX(Attenuation!$J:$J,$H41):INDEX(Attenuation!$J:$J,$H41+$I41-1),1),1),1),$I41-1))+1),INDEX(Attenuation!$J:$J,($H41-1+MIN(MAX(IFERROR(MATCH(LN(K$5),INDEX(Attenuation!$J:$J,$H41):INDEX(Attenuation!$J:$J,$H41+$I41-1),1),1),1),$I41-1))):INDEX(Attenuation!$J:$J,($H41-1+MIN(MAX(IFERROR(MATCH(LN(K$5),INDEX(Attenuation!$J:$J,$H41):INDEX(Attenuation!$J:$J,$H41+$I41-1),1),1),1),$I41-1))+1)))))</f>
        <v>0.6588897940676961</v>
      </c>
      <c r="L41" s="12">
        <f>IF($A41="","",IF(L$5&gt;2*$G41,"",EXP(FORECAST(LN(L$5),INDEX(Attenuation!$K:$K,($H41-1+MIN(MAX(IFERROR(MATCH(LN(L$5),INDEX(Attenuation!$J:$J,$H41):INDEX(Attenuation!$J:$J,$H41+$I41-1),1),1),1),$I41-1))):INDEX(Attenuation!$K:$K,($H41-1+MIN(MAX(IFERROR(MATCH(LN(L$5),INDEX(Attenuation!$J:$J,$H41):INDEX(Attenuation!$J:$J,$H41+$I41-1),1),1),1),$I41-1))+1),INDEX(Attenuation!$J:$J,($H41-1+MIN(MAX(IFERROR(MATCH(LN(L$5),INDEX(Attenuation!$J:$J,$H41):INDEX(Attenuation!$J:$J,$H41+$I41-1),1),1),1),$I41-1))):INDEX(Attenuation!$J:$J,($H41-1+MIN(MAX(IFERROR(MATCH(LN(L$5),INDEX(Attenuation!$J:$J,$H41):INDEX(Attenuation!$J:$J,$H41+$I41-1),1),1),1),$I41-1))+1)))))</f>
        <v>0.96071281006775555</v>
      </c>
      <c r="M41" s="12">
        <f>IF($A41="","",IF(M$5&gt;2*$G41,"",EXP(FORECAST(LN(M$5),INDEX(Attenuation!$K:$K,($H41-1+MIN(MAX(IFERROR(MATCH(LN(M$5),INDEX(Attenuation!$J:$J,$H41):INDEX(Attenuation!$J:$J,$H41+$I41-1),1),1),1),$I41-1))):INDEX(Attenuation!$K:$K,($H41-1+MIN(MAX(IFERROR(MATCH(LN(M$5),INDEX(Attenuation!$J:$J,$H41):INDEX(Attenuation!$J:$J,$H41+$I41-1),1),1),1),$I41-1))+1),INDEX(Attenuation!$J:$J,($H41-1+MIN(MAX(IFERROR(MATCH(LN(M$5),INDEX(Attenuation!$J:$J,$H41):INDEX(Attenuation!$J:$J,$H41+$I41-1),1),1),1),$I41-1))):INDEX(Attenuation!$J:$J,($H41-1+MIN(MAX(IFERROR(MATCH(LN(M$5),INDEX(Attenuation!$J:$J,$H41):INDEX(Attenuation!$J:$J,$H41+$I41-1),1),1),1),$I41-1))+1)))))</f>
        <v>1.4007943539848717</v>
      </c>
      <c r="N41" s="12">
        <f>IF($A41="","",IF(N$5&gt;2*$G41,"",EXP(FORECAST(LN(N$5),INDEX(Attenuation!$K:$K,($H41-1+MIN(MAX(IFERROR(MATCH(LN(N$5),INDEX(Attenuation!$J:$J,$H41):INDEX(Attenuation!$J:$J,$H41+$I41-1),1),1),1),$I41-1))):INDEX(Attenuation!$K:$K,($H41-1+MIN(MAX(IFERROR(MATCH(LN(N$5),INDEX(Attenuation!$J:$J,$H41):INDEX(Attenuation!$J:$J,$H41+$I41-1),1),1),1),$I41-1))+1),INDEX(Attenuation!$J:$J,($H41-1+MIN(MAX(IFERROR(MATCH(LN(N$5),INDEX(Attenuation!$J:$J,$H41):INDEX(Attenuation!$J:$J,$H41+$I41-1),1),1),1),$I41-1))):INDEX(Attenuation!$J:$J,($H41-1+MIN(MAX(IFERROR(MATCH(LN(N$5),INDEX(Attenuation!$J:$J,$H41):INDEX(Attenuation!$J:$J,$H41+$I41-1),1),1),1),$I41-1))+1)))))</f>
        <v>1.7465459240747259</v>
      </c>
      <c r="O41" s="12">
        <f>IF($A41="","",IF(O$5&gt;2*$G41,"",EXP(FORECAST(LN(O$5),INDEX(Attenuation!$K:$K,($H41-1+MIN(MAX(IFERROR(MATCH(LN(O$5),INDEX(Attenuation!$J:$J,$H41):INDEX(Attenuation!$J:$J,$H41+$I41-1),1),1),1),$I41-1))):INDEX(Attenuation!$K:$K,($H41-1+MIN(MAX(IFERROR(MATCH(LN(O$5),INDEX(Attenuation!$J:$J,$H41):INDEX(Attenuation!$J:$J,$H41+$I41-1),1),1),1),$I41-1))+1),INDEX(Attenuation!$J:$J,($H41-1+MIN(MAX(IFERROR(MATCH(LN(O$5),INDEX(Attenuation!$J:$J,$H41):INDEX(Attenuation!$J:$J,$H41+$I41-1),1),1),1),$I41-1))):INDEX(Attenuation!$J:$J,($H41-1+MIN(MAX(IFERROR(MATCH(LN(O$5),INDEX(Attenuation!$J:$J,$H41):INDEX(Attenuation!$J:$J,$H41+$I41-1),1),1),1),$I41-1))+1)))))</f>
        <v>2.0424676361060552</v>
      </c>
      <c r="P41" s="12">
        <f>IF($A41="","",IF(P$5&gt;2*$G41,"",EXP(FORECAST(LN(P$5),INDEX(Attenuation!$K:$K,($H41-1+MIN(MAX(IFERROR(MATCH(LN(P$5),INDEX(Attenuation!$J:$J,$H41):INDEX(Attenuation!$J:$J,$H41+$I41-1),1),1),1),$I41-1))):INDEX(Attenuation!$K:$K,($H41-1+MIN(MAX(IFERROR(MATCH(LN(P$5),INDEX(Attenuation!$J:$J,$H41):INDEX(Attenuation!$J:$J,$H41+$I41-1),1),1),1),$I41-1))+1),INDEX(Attenuation!$J:$J,($H41-1+MIN(MAX(IFERROR(MATCH(LN(P$5),INDEX(Attenuation!$J:$J,$H41):INDEX(Attenuation!$J:$J,$H41+$I41-1),1),1),1),$I41-1))):INDEX(Attenuation!$J:$J,($H41-1+MIN(MAX(IFERROR(MATCH(LN(P$5),INDEX(Attenuation!$J:$J,$H41):INDEX(Attenuation!$J:$J,$H41+$I41-1),1),1),1),$I41-1))+1)))))</f>
        <v>2.8</v>
      </c>
      <c r="Q41" s="12">
        <f>IF($A41="","",IF(Q$5&gt;2*$G41,"",EXP(FORECAST(LN(Q$5),INDEX(Attenuation!$K:$K,($H41-1+MIN(MAX(IFERROR(MATCH(LN(Q$5),INDEX(Attenuation!$J:$J,$H41):INDEX(Attenuation!$J:$J,$H41+$I41-1),1),1),1),$I41-1))):INDEX(Attenuation!$K:$K,($H41-1+MIN(MAX(IFERROR(MATCH(LN(Q$5),INDEX(Attenuation!$J:$J,$H41):INDEX(Attenuation!$J:$J,$H41+$I41-1),1),1),1),$I41-1))+1),INDEX(Attenuation!$J:$J,($H41-1+MIN(MAX(IFERROR(MATCH(LN(Q$5),INDEX(Attenuation!$J:$J,$H41):INDEX(Attenuation!$J:$J,$H41+$I41-1),1),1),1),$I41-1))):INDEX(Attenuation!$J:$J,($H41-1+MIN(MAX(IFERROR(MATCH(LN(Q$5),INDEX(Attenuation!$J:$J,$H41):INDEX(Attenuation!$J:$J,$H41+$I41-1),1),1),1),$I41-1))+1)))))</f>
        <v>4.8192249013847794</v>
      </c>
      <c r="R41" s="12">
        <f>IF($A41="","",IF(R$5&gt;2*$G41,"",EXP(FORECAST(LN(R$5),INDEX(Attenuation!$K:$K,($H41-1+MIN(MAX(IFERROR(MATCH(LN(R$5),INDEX(Attenuation!$J:$J,$H41):INDEX(Attenuation!$J:$J,$H41+$I41-1),1),1),1),$I41-1))):INDEX(Attenuation!$K:$K,($H41-1+MIN(MAX(IFERROR(MATCH(LN(R$5),INDEX(Attenuation!$J:$J,$H41):INDEX(Attenuation!$J:$J,$H41+$I41-1),1),1),1),$I41-1))+1),INDEX(Attenuation!$J:$J,($H41-1+MIN(MAX(IFERROR(MATCH(LN(R$5),INDEX(Attenuation!$J:$J,$H41):INDEX(Attenuation!$J:$J,$H41+$I41-1),1),1),1),$I41-1))):INDEX(Attenuation!$J:$J,($H41-1+MIN(MAX(IFERROR(MATCH(LN(R$5),INDEX(Attenuation!$J:$J,$H41):INDEX(Attenuation!$J:$J,$H41+$I41-1),1),1),1),$I41-1))+1)))))</f>
        <v>8.7634216075622557</v>
      </c>
      <c r="S41" s="12">
        <f>IF($A41="","",IF(S$5&gt;2*$G41,"",EXP(FORECAST(LN(S$5),INDEX(Attenuation!$K:$K,($H41-1+MIN(MAX(IFERROR(MATCH(LN(S$5),INDEX(Attenuation!$J:$J,$H41):INDEX(Attenuation!$J:$J,$H41+$I41-1),1),1),1),$I41-1))):INDEX(Attenuation!$K:$K,($H41-1+MIN(MAX(IFERROR(MATCH(LN(S$5),INDEX(Attenuation!$J:$J,$H41):INDEX(Attenuation!$J:$J,$H41+$I41-1),1),1),1),$I41-1))+1),INDEX(Attenuation!$J:$J,($H41-1+MIN(MAX(IFERROR(MATCH(LN(S$5),INDEX(Attenuation!$J:$J,$H41):INDEX(Attenuation!$J:$J,$H41+$I41-1),1),1),1),$I41-1))):INDEX(Attenuation!$J:$J,($H41-1+MIN(MAX(IFERROR(MATCH(LN(S$5),INDEX(Attenuation!$J:$J,$H41):INDEX(Attenuation!$J:$J,$H41+$I41-1),1),1),1),$I41-1))+1)))))</f>
        <v>16.304161215572986</v>
      </c>
      <c r="T41" s="12">
        <f>IF($A41="","",IF(T$5&gt;2*$G41,"",EXP(FORECAST(LN(T$5),INDEX(Attenuation!$K:$K,($H41-1+MIN(MAX(IFERROR(MATCH(LN(T$5),INDEX(Attenuation!$J:$J,$H41):INDEX(Attenuation!$J:$J,$H41+$I41-1),1),1),1),$I41-1))):INDEX(Attenuation!$K:$K,($H41-1+MIN(MAX(IFERROR(MATCH(LN(T$5),INDEX(Attenuation!$J:$J,$H41):INDEX(Attenuation!$J:$J,$H41+$I41-1),1),1),1),$I41-1))+1),INDEX(Attenuation!$J:$J,($H41-1+MIN(MAX(IFERROR(MATCH(LN(T$5),INDEX(Attenuation!$J:$J,$H41):INDEX(Attenuation!$J:$J,$H41+$I41-1),1),1),1),$I41-1))):INDEX(Attenuation!$J:$J,($H41-1+MIN(MAX(IFERROR(MATCH(LN(T$5),INDEX(Attenuation!$J:$J,$H41):INDEX(Attenuation!$J:$J,$H41+$I41-1),1),1),1),$I41-1))+1)))))</f>
        <v>23.599999999999984</v>
      </c>
      <c r="U41" s="12">
        <f>IF($A41="","",IF(U$5&gt;2*$G41,"",EXP(FORECAST(LN(U$5),INDEX(Attenuation!$K:$K,($H41-1+MIN(MAX(IFERROR(MATCH(LN(U$5),INDEX(Attenuation!$J:$J,$H41):INDEX(Attenuation!$J:$J,$H41+$I41-1),1),1),1),$I41-1))):INDEX(Attenuation!$K:$K,($H41-1+MIN(MAX(IFERROR(MATCH(LN(U$5),INDEX(Attenuation!$J:$J,$H41):INDEX(Attenuation!$J:$J,$H41+$I41-1),1),1),1),$I41-1))+1),INDEX(Attenuation!$J:$J,($H41-1+MIN(MAX(IFERROR(MATCH(LN(U$5),INDEX(Attenuation!$J:$J,$H41):INDEX(Attenuation!$J:$J,$H41+$I41-1),1),1),1),$I41-1))):INDEX(Attenuation!$J:$J,($H41-1+MIN(MAX(IFERROR(MATCH(LN(U$5),INDEX(Attenuation!$J:$J,$H41):INDEX(Attenuation!$J:$J,$H41+$I41-1),1),1),1),$I41-1))+1)))))</f>
        <v>41.090092783134182</v>
      </c>
      <c r="V41" s="1"/>
      <c r="W41" s="12">
        <f t="shared" si="12"/>
        <v>0.13986315443379085</v>
      </c>
      <c r="X41" s="12">
        <f t="shared" si="13"/>
        <v>0.20082960923183379</v>
      </c>
      <c r="Y41" s="12">
        <f t="shared" si="14"/>
        <v>0.29282526450865193</v>
      </c>
      <c r="Z41" s="12">
        <f t="shared" si="15"/>
        <v>0.42696211909458892</v>
      </c>
      <c r="AA41" s="12">
        <f t="shared" si="16"/>
        <v>0.53234719765797645</v>
      </c>
      <c r="AB41" s="12">
        <f t="shared" si="17"/>
        <v>0.62254413548512566</v>
      </c>
      <c r="AC41" s="12">
        <f t="shared" si="18"/>
        <v>0.85343999999999998</v>
      </c>
      <c r="AD41" s="12">
        <f t="shared" si="19"/>
        <v>1.4688997499420808</v>
      </c>
      <c r="AE41" s="12">
        <f t="shared" si="20"/>
        <v>2.6710909059849759</v>
      </c>
      <c r="AF41" s="12">
        <f t="shared" si="21"/>
        <v>4.9695083385066461</v>
      </c>
      <c r="AG41" s="12">
        <f t="shared" si="22"/>
        <v>7.1932799999999952</v>
      </c>
      <c r="AH41" s="12">
        <f t="shared" si="23"/>
        <v>12.524260280299298</v>
      </c>
    </row>
    <row r="42" spans="1:34" x14ac:dyDescent="0.25">
      <c r="A42" s="11" t="str">
        <f>IF(ROWS($A$6:A42)&gt;COUNTA(Cables!$A:$A)-1,"",INDEX(Cables!$A:$A,ROWS($A$6:A42)+1))</f>
        <v>RCB-RWC400PE</v>
      </c>
      <c r="B42" s="11" t="str">
        <f>IF($A42="","",IF(INDEX(Cables!$B:$B,MATCH($A42,Cables!$A:$A,0))="","",INDEX(Cables!$B:$B,MATCH($A42,Cables!$A:$A,0))))</f>
        <v>Reçber RWC 400 PE (LMR-400 muadili)</v>
      </c>
      <c r="C42" s="11">
        <f>IF($A42="","",IF(INDEX(Cables!$F:$F,MATCH($A42,Cables!$A:$A,0))="","",INDEX(Cables!$F:$F,MATCH($A42,Cables!$A:$A,0))))</f>
        <v>50</v>
      </c>
      <c r="D42" s="11">
        <f>IF($A42="","",IF(INDEX(Cables!$H:$H,MATCH($A42,Cables!$A:$A,0))="","",INDEX(Cables!$H:$H,MATCH($A42,Cables!$A:$A,0))))</f>
        <v>10.199999999999999</v>
      </c>
      <c r="E42" s="12">
        <f>IF($A42="","",IF(INDEX(Cables!$Q:$Q,MATCH($A42,Cables!$A:$A,0))="","",INDEX(Cables!$Q:$Q,MATCH($A42,Cables!$A:$A,0))))</f>
        <v>0.85</v>
      </c>
      <c r="F42" s="11">
        <f>IF($A42="","",IF(INDEX(Cables!$AQ:$AQ,MATCH($A42,Cables!$A:$A,0))="","",INDEX(Cables!$AQ:$AQ,MATCH($A42,Cables!$A:$A,0))))</f>
        <v>30</v>
      </c>
      <c r="G42" s="11">
        <f>IF($A42="","",IF(INDEX(Cables!$AR:$AR,MATCH($A42,Cables!$A:$A,0))="","",INDEX(Cables!$AR:$AR,MATCH($A42,Cables!$A:$A,0))))</f>
        <v>5800</v>
      </c>
      <c r="H42" s="11">
        <f>IF($A42="","",IF(INDEX(Cables!$AO:$AO,MATCH($A42,Cables!$A:$A,0))="","",INDEX(Cables!$AO:$AO,MATCH($A42,Cables!$A:$A,0))))</f>
        <v>490</v>
      </c>
      <c r="I42" s="11">
        <f>IF($A42="","",IF(INDEX(Cables!$AP:$AP,MATCH($A42,Cables!$A:$A,0))="","",INDEX(Cables!$AP:$AP,MATCH($A42,Cables!$A:$A,0))))</f>
        <v>11</v>
      </c>
      <c r="J42" s="12">
        <f>IF($A42="","",IF(J$5&gt;2*$G42,"",EXP(FORECAST(LN(J$5),INDEX(Attenuation!$K:$K,($H42-1+MIN(MAX(IFERROR(MATCH(LN(J$5),INDEX(Attenuation!$J:$J,$H42):INDEX(Attenuation!$J:$J,$H42+$I42-1),1),1),1),$I42-1))):INDEX(Attenuation!$K:$K,($H42-1+MIN(MAX(IFERROR(MATCH(LN(J$5),INDEX(Attenuation!$J:$J,$H42):INDEX(Attenuation!$J:$J,$H42+$I42-1),1),1),1),$I42-1))+1),INDEX(Attenuation!$J:$J,($H42-1+MIN(MAX(IFERROR(MATCH(LN(J$5),INDEX(Attenuation!$J:$J,$H42):INDEX(Attenuation!$J:$J,$H42+$I42-1),1),1),1),$I42-1))):INDEX(Attenuation!$J:$J,($H42-1+MIN(MAX(IFERROR(MATCH(LN(J$5),INDEX(Attenuation!$J:$J,$H42):INDEX(Attenuation!$J:$J,$H42+$I42-1),1),1),1),$I42-1))+1)))))</f>
        <v>0.6529228506113941</v>
      </c>
      <c r="K42" s="12">
        <f>IF($A42="","",IF(K$5&gt;2*$G42,"",EXP(FORECAST(LN(K$5),INDEX(Attenuation!$K:$K,($H42-1+MIN(MAX(IFERROR(MATCH(LN(K$5),INDEX(Attenuation!$J:$J,$H42):INDEX(Attenuation!$J:$J,$H42+$I42-1),1),1),1),$I42-1))):INDEX(Attenuation!$K:$K,($H42-1+MIN(MAX(IFERROR(MATCH(LN(K$5),INDEX(Attenuation!$J:$J,$H42):INDEX(Attenuation!$J:$J,$H42+$I42-1),1),1),1),$I42-1))+1),INDEX(Attenuation!$J:$J,($H42-1+MIN(MAX(IFERROR(MATCH(LN(K$5),INDEX(Attenuation!$J:$J,$H42):INDEX(Attenuation!$J:$J,$H42+$I42-1),1),1),1),$I42-1))):INDEX(Attenuation!$J:$J,($H42-1+MIN(MAX(IFERROR(MATCH(LN(K$5),INDEX(Attenuation!$J:$J,$H42):INDEX(Attenuation!$J:$J,$H42+$I42-1),1),1),1),$I42-1))+1)))))</f>
        <v>0.88639756899960676</v>
      </c>
      <c r="L42" s="12">
        <f>IF($A42="","",IF(L$5&gt;2*$G42,"",EXP(FORECAST(LN(L$5),INDEX(Attenuation!$K:$K,($H42-1+MIN(MAX(IFERROR(MATCH(LN(L$5),INDEX(Attenuation!$J:$J,$H42):INDEX(Attenuation!$J:$J,$H42+$I42-1),1),1),1),$I42-1))):INDEX(Attenuation!$K:$K,($H42-1+MIN(MAX(IFERROR(MATCH(LN(L$5),INDEX(Attenuation!$J:$J,$H42):INDEX(Attenuation!$J:$J,$H42+$I42-1),1),1),1),$I42-1))+1),INDEX(Attenuation!$J:$J,($H42-1+MIN(MAX(IFERROR(MATCH(LN(L$5),INDEX(Attenuation!$J:$J,$H42):INDEX(Attenuation!$J:$J,$H42+$I42-1),1),1),1),$I42-1))):INDEX(Attenuation!$J:$J,($H42-1+MIN(MAX(IFERROR(MATCH(LN(L$5),INDEX(Attenuation!$J:$J,$H42):INDEX(Attenuation!$J:$J,$H42+$I42-1),1),1),1),$I42-1))+1)))))</f>
        <v>1.2190449978866167</v>
      </c>
      <c r="M42" s="12">
        <f>IF($A42="","",IF(M$5&gt;2*$G42,"",EXP(FORECAST(LN(M$5),INDEX(Attenuation!$K:$K,($H42-1+MIN(MAX(IFERROR(MATCH(LN(M$5),INDEX(Attenuation!$J:$J,$H42):INDEX(Attenuation!$J:$J,$H42+$I42-1),1),1),1),$I42-1))):INDEX(Attenuation!$K:$K,($H42-1+MIN(MAX(IFERROR(MATCH(LN(M$5),INDEX(Attenuation!$J:$J,$H42):INDEX(Attenuation!$J:$J,$H42+$I42-1),1),1),1),$I42-1))+1),INDEX(Attenuation!$J:$J,($H42-1+MIN(MAX(IFERROR(MATCH(LN(M$5),INDEX(Attenuation!$J:$J,$H42):INDEX(Attenuation!$J:$J,$H42+$I42-1),1),1),1),$I42-1))):INDEX(Attenuation!$J:$J,($H42-1+MIN(MAX(IFERROR(MATCH(LN(M$5),INDEX(Attenuation!$J:$J,$H42):INDEX(Attenuation!$J:$J,$H42+$I42-1),1),1),1),$I42-1))+1)))))</f>
        <v>1.6765284098754567</v>
      </c>
      <c r="N42" s="12">
        <f>IF($A42="","",IF(N$5&gt;2*$G42,"",EXP(FORECAST(LN(N$5),INDEX(Attenuation!$K:$K,($H42-1+MIN(MAX(IFERROR(MATCH(LN(N$5),INDEX(Attenuation!$J:$J,$H42):INDEX(Attenuation!$J:$J,$H42+$I42-1),1),1),1),$I42-1))):INDEX(Attenuation!$K:$K,($H42-1+MIN(MAX(IFERROR(MATCH(LN(N$5),INDEX(Attenuation!$J:$J,$H42):INDEX(Attenuation!$J:$J,$H42+$I42-1),1),1),1),$I42-1))+1),INDEX(Attenuation!$J:$J,($H42-1+MIN(MAX(IFERROR(MATCH(LN(N$5),INDEX(Attenuation!$J:$J,$H42):INDEX(Attenuation!$J:$J,$H42+$I42-1),1),1),1),$I42-1))):INDEX(Attenuation!$J:$J,($H42-1+MIN(MAX(IFERROR(MATCH(LN(N$5),INDEX(Attenuation!$J:$J,$H42):INDEX(Attenuation!$J:$J,$H42+$I42-1),1),1),1),$I42-1))+1)))))</f>
        <v>2.0200613914214891</v>
      </c>
      <c r="O42" s="12">
        <f>IF($A42="","",IF(O$5&gt;2*$G42,"",EXP(FORECAST(LN(O$5),INDEX(Attenuation!$K:$K,($H42-1+MIN(MAX(IFERROR(MATCH(LN(O$5),INDEX(Attenuation!$J:$J,$H42):INDEX(Attenuation!$J:$J,$H42+$I42-1),1),1),1),$I42-1))):INDEX(Attenuation!$K:$K,($H42-1+MIN(MAX(IFERROR(MATCH(LN(O$5),INDEX(Attenuation!$J:$J,$H42):INDEX(Attenuation!$J:$J,$H42+$I42-1),1),1),1),$I42-1))+1),INDEX(Attenuation!$J:$J,($H42-1+MIN(MAX(IFERROR(MATCH(LN(O$5),INDEX(Attenuation!$J:$J,$H42):INDEX(Attenuation!$J:$J,$H42+$I42-1),1),1),1),$I42-1))):INDEX(Attenuation!$J:$J,($H42-1+MIN(MAX(IFERROR(MATCH(LN(O$5),INDEX(Attenuation!$J:$J,$H42):INDEX(Attenuation!$J:$J,$H42+$I42-1),1),1),1),$I42-1))+1)))))</f>
        <v>2.3056962737161859</v>
      </c>
      <c r="P42" s="12">
        <f>IF($A42="","",IF(P$5&gt;2*$G42,"",EXP(FORECAST(LN(P$5),INDEX(Attenuation!$K:$K,($H42-1+MIN(MAX(IFERROR(MATCH(LN(P$5),INDEX(Attenuation!$J:$J,$H42):INDEX(Attenuation!$J:$J,$H42+$I42-1),1),1),1),$I42-1))):INDEX(Attenuation!$K:$K,($H42-1+MIN(MAX(IFERROR(MATCH(LN(P$5),INDEX(Attenuation!$J:$J,$H42):INDEX(Attenuation!$J:$J,$H42+$I42-1),1),1),1),$I42-1))+1),INDEX(Attenuation!$J:$J,($H42-1+MIN(MAX(IFERROR(MATCH(LN(P$5),INDEX(Attenuation!$J:$J,$H42):INDEX(Attenuation!$J:$J,$H42+$I42-1),1),1),1),$I42-1))):INDEX(Attenuation!$J:$J,($H42-1+MIN(MAX(IFERROR(MATCH(LN(P$5),INDEX(Attenuation!$J:$J,$H42):INDEX(Attenuation!$J:$J,$H42+$I42-1),1),1),1),$I42-1))+1)))))</f>
        <v>3.01</v>
      </c>
      <c r="Q42" s="12">
        <f>IF($A42="","",IF(Q$5&gt;2*$G42,"",EXP(FORECAST(LN(Q$5),INDEX(Attenuation!$K:$K,($H42-1+MIN(MAX(IFERROR(MATCH(LN(Q$5),INDEX(Attenuation!$J:$J,$H42):INDEX(Attenuation!$J:$J,$H42+$I42-1),1),1),1),$I42-1))):INDEX(Attenuation!$K:$K,($H42-1+MIN(MAX(IFERROR(MATCH(LN(Q$5),INDEX(Attenuation!$J:$J,$H42):INDEX(Attenuation!$J:$J,$H42+$I42-1),1),1),1),$I42-1))+1),INDEX(Attenuation!$J:$J,($H42-1+MIN(MAX(IFERROR(MATCH(LN(Q$5),INDEX(Attenuation!$J:$J,$H42):INDEX(Attenuation!$J:$J,$H42+$I42-1),1),1),1),$I42-1))):INDEX(Attenuation!$J:$J,($H42-1+MIN(MAX(IFERROR(MATCH(LN(Q$5),INDEX(Attenuation!$J:$J,$H42):INDEX(Attenuation!$J:$J,$H42+$I42-1),1),1),1),$I42-1))+1)))))</f>
        <v>5.0010466715025332</v>
      </c>
      <c r="R42" s="12">
        <f>IF($A42="","",IF(R$5&gt;2*$G42,"",EXP(FORECAST(LN(R$5),INDEX(Attenuation!$K:$K,($H42-1+MIN(MAX(IFERROR(MATCH(LN(R$5),INDEX(Attenuation!$J:$J,$H42):INDEX(Attenuation!$J:$J,$H42+$I42-1),1),1),1),$I42-1))):INDEX(Attenuation!$K:$K,($H42-1+MIN(MAX(IFERROR(MATCH(LN(R$5),INDEX(Attenuation!$J:$J,$H42):INDEX(Attenuation!$J:$J,$H42+$I42-1),1),1),1),$I42-1))+1),INDEX(Attenuation!$J:$J,($H42-1+MIN(MAX(IFERROR(MATCH(LN(R$5),INDEX(Attenuation!$J:$J,$H42):INDEX(Attenuation!$J:$J,$H42+$I42-1),1),1),1),$I42-1))):INDEX(Attenuation!$J:$J,($H42-1+MIN(MAX(IFERROR(MATCH(LN(R$5),INDEX(Attenuation!$J:$J,$H42):INDEX(Attenuation!$J:$J,$H42+$I42-1),1),1),1),$I42-1))+1)))))</f>
        <v>8.7721421544869873</v>
      </c>
      <c r="S42" s="12">
        <f>IF($A42="","",IF(S$5&gt;2*$G42,"",EXP(FORECAST(LN(S$5),INDEX(Attenuation!$K:$K,($H42-1+MIN(MAX(IFERROR(MATCH(LN(S$5),INDEX(Attenuation!$J:$J,$H42):INDEX(Attenuation!$J:$J,$H42+$I42-1),1),1),1),$I42-1))):INDEX(Attenuation!$K:$K,($H42-1+MIN(MAX(IFERROR(MATCH(LN(S$5),INDEX(Attenuation!$J:$J,$H42):INDEX(Attenuation!$J:$J,$H42+$I42-1),1),1),1),$I42-1))+1),INDEX(Attenuation!$J:$J,($H42-1+MIN(MAX(IFERROR(MATCH(LN(S$5),INDEX(Attenuation!$J:$J,$H42):INDEX(Attenuation!$J:$J,$H42+$I42-1),1),1),1),$I42-1))):INDEX(Attenuation!$J:$J,($H42-1+MIN(MAX(IFERROR(MATCH(LN(S$5),INDEX(Attenuation!$J:$J,$H42):INDEX(Attenuation!$J:$J,$H42+$I42-1),1),1),1),$I42-1))+1)))))</f>
        <v>15.968345286112974</v>
      </c>
      <c r="T42" s="12">
        <f>IF($A42="","",IF(T$5&gt;2*$G42,"",EXP(FORECAST(LN(T$5),INDEX(Attenuation!$K:$K,($H42-1+MIN(MAX(IFERROR(MATCH(LN(T$5),INDEX(Attenuation!$J:$J,$H42):INDEX(Attenuation!$J:$J,$H42+$I42-1),1),1),1),$I42-1))):INDEX(Attenuation!$K:$K,($H42-1+MIN(MAX(IFERROR(MATCH(LN(T$5),INDEX(Attenuation!$J:$J,$H42):INDEX(Attenuation!$J:$J,$H42+$I42-1),1),1),1),$I42-1))+1),INDEX(Attenuation!$J:$J,($H42-1+MIN(MAX(IFERROR(MATCH(LN(T$5),INDEX(Attenuation!$J:$J,$H42):INDEX(Attenuation!$J:$J,$H42+$I42-1),1),1),1),$I42-1))):INDEX(Attenuation!$J:$J,($H42-1+MIN(MAX(IFERROR(MATCH(LN(T$5),INDEX(Attenuation!$J:$J,$H42):INDEX(Attenuation!$J:$J,$H42+$I42-1),1),1),1),$I42-1))+1)))))</f>
        <v>22.750452267714255</v>
      </c>
      <c r="U42" s="12">
        <f>IF($A42="","",IF(U$5&gt;2*$G42,"",EXP(FORECAST(LN(U$5),INDEX(Attenuation!$K:$K,($H42-1+MIN(MAX(IFERROR(MATCH(LN(U$5),INDEX(Attenuation!$J:$J,$H42):INDEX(Attenuation!$J:$J,$H42+$I42-1),1),1),1),$I42-1))):INDEX(Attenuation!$K:$K,($H42-1+MIN(MAX(IFERROR(MATCH(LN(U$5),INDEX(Attenuation!$J:$J,$H42):INDEX(Attenuation!$J:$J,$H42+$I42-1),1),1),1),$I42-1))+1),INDEX(Attenuation!$J:$J,($H42-1+MIN(MAX(IFERROR(MATCH(LN(U$5),INDEX(Attenuation!$J:$J,$H42):INDEX(Attenuation!$J:$J,$H42+$I42-1),1),1),1),$I42-1))):INDEX(Attenuation!$J:$J,($H42-1+MIN(MAX(IFERROR(MATCH(LN(U$5),INDEX(Attenuation!$J:$J,$H42):INDEX(Attenuation!$J:$J,$H42+$I42-1),1),1),1),$I42-1))+1)))))</f>
        <v>38.756142644769859</v>
      </c>
      <c r="V42" s="1"/>
      <c r="W42" s="12">
        <f t="shared" si="12"/>
        <v>0.19901088486635293</v>
      </c>
      <c r="X42" s="12">
        <f t="shared" si="13"/>
        <v>0.27017397903108015</v>
      </c>
      <c r="Y42" s="12">
        <f t="shared" si="14"/>
        <v>0.3715649153558408</v>
      </c>
      <c r="Z42" s="12">
        <f t="shared" si="15"/>
        <v>0.51100585933003928</v>
      </c>
      <c r="AA42" s="12">
        <f t="shared" si="16"/>
        <v>0.61571471210526996</v>
      </c>
      <c r="AB42" s="12">
        <f t="shared" si="17"/>
        <v>0.70277622422869346</v>
      </c>
      <c r="AC42" s="12">
        <f t="shared" si="18"/>
        <v>0.91744799999999993</v>
      </c>
      <c r="AD42" s="12">
        <f t="shared" si="19"/>
        <v>1.5243190254739722</v>
      </c>
      <c r="AE42" s="12">
        <f t="shared" si="20"/>
        <v>2.6737489286876337</v>
      </c>
      <c r="AF42" s="12">
        <f t="shared" si="21"/>
        <v>4.8671516432072348</v>
      </c>
      <c r="AG42" s="12">
        <f t="shared" si="22"/>
        <v>6.934337851199305</v>
      </c>
      <c r="AH42" s="12">
        <f t="shared" si="23"/>
        <v>11.812872278125853</v>
      </c>
    </row>
    <row r="43" spans="1:34" x14ac:dyDescent="0.25">
      <c r="A43" s="11" t="str">
        <f>IF(ROWS($A$6:A43)&gt;COUNTA(Cables!$A:$A)-1,"",INDEX(Cables!$A:$A,ROWS($A$6:A43)+1))</f>
        <v>TMS-LMR400</v>
      </c>
      <c r="B43" s="11" t="str">
        <f>IF($A43="","",IF(INDEX(Cables!$B:$B,MATCH($A43,Cables!$A:$A,0))="","",INDEX(Cables!$B:$B,MATCH($A43,Cables!$A:$A,0))))</f>
        <v>Times Microwave LMR-400 (Amphenol)</v>
      </c>
      <c r="C43" s="11">
        <f>IF($A43="","",IF(INDEX(Cables!$F:$F,MATCH($A43,Cables!$A:$A,0))="","",INDEX(Cables!$F:$F,MATCH($A43,Cables!$A:$A,0))))</f>
        <v>50</v>
      </c>
      <c r="D43" s="11">
        <f>IF($A43="","",IF(INDEX(Cables!$H:$H,MATCH($A43,Cables!$A:$A,0))="","",INDEX(Cables!$H:$H,MATCH($A43,Cables!$A:$A,0))))</f>
        <v>10.29</v>
      </c>
      <c r="E43" s="12">
        <f>IF($A43="","",IF(INDEX(Cables!$Q:$Q,MATCH($A43,Cables!$A:$A,0))="","",INDEX(Cables!$Q:$Q,MATCH($A43,Cables!$A:$A,0))))</f>
        <v>0.85</v>
      </c>
      <c r="F43" s="11">
        <f>IF($A43="","",IF(INDEX(Cables!$AQ:$AQ,MATCH($A43,Cables!$A:$A,0))="","",INDEX(Cables!$AQ:$AQ,MATCH($A43,Cables!$A:$A,0))))</f>
        <v>30</v>
      </c>
      <c r="G43" s="11">
        <f>IF($A43="","",IF(INDEX(Cables!$AR:$AR,MATCH($A43,Cables!$A:$A,0))="","",INDEX(Cables!$AR:$AR,MATCH($A43,Cables!$A:$A,0))))</f>
        <v>5800</v>
      </c>
      <c r="H43" s="11">
        <f>IF($A43="","",IF(INDEX(Cables!$AO:$AO,MATCH($A43,Cables!$A:$A,0))="","",INDEX(Cables!$AO:$AO,MATCH($A43,Cables!$A:$A,0))))</f>
        <v>501</v>
      </c>
      <c r="I43" s="11">
        <f>IF($A43="","",IF(INDEX(Cables!$AP:$AP,MATCH($A43,Cables!$A:$A,0))="","",INDEX(Cables!$AP:$AP,MATCH($A43,Cables!$A:$A,0))))</f>
        <v>12</v>
      </c>
      <c r="J43" s="12">
        <f>IF($A43="","",IF(J$5&gt;2*$G43,"",EXP(FORECAST(LN(J$5),INDEX(Attenuation!$K:$K,($H43-1+MIN(MAX(IFERROR(MATCH(LN(J$5),INDEX(Attenuation!$J:$J,$H43):INDEX(Attenuation!$J:$J,$H43+$I43-1),1),1),1),$I43-1))):INDEX(Attenuation!$K:$K,($H43-1+MIN(MAX(IFERROR(MATCH(LN(J$5),INDEX(Attenuation!$J:$J,$H43):INDEX(Attenuation!$J:$J,$H43+$I43-1),1),1),1),$I43-1))+1),INDEX(Attenuation!$J:$J,($H43-1+MIN(MAX(IFERROR(MATCH(LN(J$5),INDEX(Attenuation!$J:$J,$H43):INDEX(Attenuation!$J:$J,$H43+$I43-1),1),1),1),$I43-1))):INDEX(Attenuation!$J:$J,($H43-1+MIN(MAX(IFERROR(MATCH(LN(J$5),INDEX(Attenuation!$J:$J,$H43):INDEX(Attenuation!$J:$J,$H43+$I43-1),1),1),1),$I43-1))+1)))))</f>
        <v>0.57538914693341292</v>
      </c>
      <c r="K43" s="12">
        <f>IF($A43="","",IF(K$5&gt;2*$G43,"",EXP(FORECAST(LN(K$5),INDEX(Attenuation!$K:$K,($H43-1+MIN(MAX(IFERROR(MATCH(LN(K$5),INDEX(Attenuation!$J:$J,$H43):INDEX(Attenuation!$J:$J,$H43+$I43-1),1),1),1),$I43-1))):INDEX(Attenuation!$K:$K,($H43-1+MIN(MAX(IFERROR(MATCH(LN(K$5),INDEX(Attenuation!$J:$J,$H43):INDEX(Attenuation!$J:$J,$H43+$I43-1),1),1),1),$I43-1))+1),INDEX(Attenuation!$J:$J,($H43-1+MIN(MAX(IFERROR(MATCH(LN(K$5),INDEX(Attenuation!$J:$J,$H43):INDEX(Attenuation!$J:$J,$H43+$I43-1),1),1),1),$I43-1))):INDEX(Attenuation!$J:$J,($H43-1+MIN(MAX(IFERROR(MATCH(LN(K$5),INDEX(Attenuation!$J:$J,$H43):INDEX(Attenuation!$J:$J,$H43+$I43-1),1),1),1),$I43-1))+1)))))</f>
        <v>0.7980726213550644</v>
      </c>
      <c r="L43" s="12">
        <f>IF($A43="","",IF(L$5&gt;2*$G43,"",EXP(FORECAST(LN(L$5),INDEX(Attenuation!$K:$K,($H43-1+MIN(MAX(IFERROR(MATCH(LN(L$5),INDEX(Attenuation!$J:$J,$H43):INDEX(Attenuation!$J:$J,$H43+$I43-1),1),1),1),$I43-1))):INDEX(Attenuation!$K:$K,($H43-1+MIN(MAX(IFERROR(MATCH(LN(L$5),INDEX(Attenuation!$J:$J,$H43):INDEX(Attenuation!$J:$J,$H43+$I43-1),1),1),1),$I43-1))+1),INDEX(Attenuation!$J:$J,($H43-1+MIN(MAX(IFERROR(MATCH(LN(L$5),INDEX(Attenuation!$J:$J,$H43):INDEX(Attenuation!$J:$J,$H43+$I43-1),1),1),1),$I43-1))):INDEX(Attenuation!$J:$J,($H43-1+MIN(MAX(IFERROR(MATCH(LN(L$5),INDEX(Attenuation!$J:$J,$H43):INDEX(Attenuation!$J:$J,$H43+$I43-1),1),1),1),$I43-1))+1)))))</f>
        <v>1.1223859689431051</v>
      </c>
      <c r="M43" s="12">
        <f>IF($A43="","",IF(M$5&gt;2*$G43,"",EXP(FORECAST(LN(M$5),INDEX(Attenuation!$K:$K,($H43-1+MIN(MAX(IFERROR(MATCH(LN(M$5),INDEX(Attenuation!$J:$J,$H43):INDEX(Attenuation!$J:$J,$H43+$I43-1),1),1),1),$I43-1))):INDEX(Attenuation!$K:$K,($H43-1+MIN(MAX(IFERROR(MATCH(LN(M$5),INDEX(Attenuation!$J:$J,$H43):INDEX(Attenuation!$J:$J,$H43+$I43-1),1),1),1),$I43-1))+1),INDEX(Attenuation!$J:$J,($H43-1+MIN(MAX(IFERROR(MATCH(LN(M$5),INDEX(Attenuation!$J:$J,$H43):INDEX(Attenuation!$J:$J,$H43+$I43-1),1),1),1),$I43-1))):INDEX(Attenuation!$J:$J,($H43-1+MIN(MAX(IFERROR(MATCH(LN(M$5),INDEX(Attenuation!$J:$J,$H43):INDEX(Attenuation!$J:$J,$H43+$I43-1),1),1),1),$I43-1))+1)))))</f>
        <v>1.5784907658420815</v>
      </c>
      <c r="N43" s="12">
        <f>IF($A43="","",IF(N$5&gt;2*$G43,"",EXP(FORECAST(LN(N$5),INDEX(Attenuation!$K:$K,($H43-1+MIN(MAX(IFERROR(MATCH(LN(N$5),INDEX(Attenuation!$J:$J,$H43):INDEX(Attenuation!$J:$J,$H43+$I43-1),1),1),1),$I43-1))):INDEX(Attenuation!$K:$K,($H43-1+MIN(MAX(IFERROR(MATCH(LN(N$5),INDEX(Attenuation!$J:$J,$H43):INDEX(Attenuation!$J:$J,$H43+$I43-1),1),1),1),$I43-1))+1),INDEX(Attenuation!$J:$J,($H43-1+MIN(MAX(IFERROR(MATCH(LN(N$5),INDEX(Attenuation!$J:$J,$H43):INDEX(Attenuation!$J:$J,$H43+$I43-1),1),1),1),$I43-1))):INDEX(Attenuation!$J:$J,($H43-1+MIN(MAX(IFERROR(MATCH(LN(N$5),INDEX(Attenuation!$J:$J,$H43):INDEX(Attenuation!$J:$J,$H43+$I43-1),1),1),1),$I43-1))+1)))))</f>
        <v>1.9269696954423758</v>
      </c>
      <c r="O43" s="12">
        <f>IF($A43="","",IF(O$5&gt;2*$G43,"",EXP(FORECAST(LN(O$5),INDEX(Attenuation!$K:$K,($H43-1+MIN(MAX(IFERROR(MATCH(LN(O$5),INDEX(Attenuation!$J:$J,$H43):INDEX(Attenuation!$J:$J,$H43+$I43-1),1),1),1),$I43-1))):INDEX(Attenuation!$K:$K,($H43-1+MIN(MAX(IFERROR(MATCH(LN(O$5),INDEX(Attenuation!$J:$J,$H43):INDEX(Attenuation!$J:$J,$H43+$I43-1),1),1),1),$I43-1))+1),INDEX(Attenuation!$J:$J,($H43-1+MIN(MAX(IFERROR(MATCH(LN(O$5),INDEX(Attenuation!$J:$J,$H43):INDEX(Attenuation!$J:$J,$H43+$I43-1),1),1),1),$I43-1))):INDEX(Attenuation!$J:$J,($H43-1+MIN(MAX(IFERROR(MATCH(LN(O$5),INDEX(Attenuation!$J:$J,$H43):INDEX(Attenuation!$J:$J,$H43+$I43-1),1),1),1),$I43-1))+1)))))</f>
        <v>2.2199431985014635</v>
      </c>
      <c r="P43" s="12">
        <f>IF($A43="","",IF(P$5&gt;2*$G43,"",EXP(FORECAST(LN(P$5),INDEX(Attenuation!$K:$K,($H43-1+MIN(MAX(IFERROR(MATCH(LN(P$5),INDEX(Attenuation!$J:$J,$H43):INDEX(Attenuation!$J:$J,$H43+$I43-1),1),1),1),$I43-1))):INDEX(Attenuation!$K:$K,($H43-1+MIN(MAX(IFERROR(MATCH(LN(P$5),INDEX(Attenuation!$J:$J,$H43):INDEX(Attenuation!$J:$J,$H43+$I43-1),1),1),1),$I43-1))+1),INDEX(Attenuation!$J:$J,($H43-1+MIN(MAX(IFERROR(MATCH(LN(P$5),INDEX(Attenuation!$J:$J,$H43):INDEX(Attenuation!$J:$J,$H43+$I43-1),1),1),1),$I43-1))):INDEX(Attenuation!$J:$J,($H43-1+MIN(MAX(IFERROR(MATCH(LN(P$5),INDEX(Attenuation!$J:$J,$H43):INDEX(Attenuation!$J:$J,$H43+$I43-1),1),1),1),$I43-1))+1)))))</f>
        <v>2.9527559055118116</v>
      </c>
      <c r="Q43" s="12">
        <f>IF($A43="","",IF(Q$5&gt;2*$G43,"",EXP(FORECAST(LN(Q$5),INDEX(Attenuation!$K:$K,($H43-1+MIN(MAX(IFERROR(MATCH(LN(Q$5),INDEX(Attenuation!$J:$J,$H43):INDEX(Attenuation!$J:$J,$H43+$I43-1),1),1),1),$I43-1))):INDEX(Attenuation!$K:$K,($H43-1+MIN(MAX(IFERROR(MATCH(LN(Q$5),INDEX(Attenuation!$J:$J,$H43):INDEX(Attenuation!$J:$J,$H43+$I43-1),1),1),1),$I43-1))+1),INDEX(Attenuation!$J:$J,($H43-1+MIN(MAX(IFERROR(MATCH(LN(Q$5),INDEX(Attenuation!$J:$J,$H43):INDEX(Attenuation!$J:$J,$H43+$I43-1),1),1),1),$I43-1))):INDEX(Attenuation!$J:$J,($H43-1+MIN(MAX(IFERROR(MATCH(LN(Q$5),INDEX(Attenuation!$J:$J,$H43):INDEX(Attenuation!$J:$J,$H43+$I43-1),1),1),1),$I43-1))+1)))))</f>
        <v>4.8287296312389918</v>
      </c>
      <c r="R43" s="12">
        <f>IF($A43="","",IF(R$5&gt;2*$G43,"",EXP(FORECAST(LN(R$5),INDEX(Attenuation!$K:$K,($H43-1+MIN(MAX(IFERROR(MATCH(LN(R$5),INDEX(Attenuation!$J:$J,$H43):INDEX(Attenuation!$J:$J,$H43+$I43-1),1),1),1),$I43-1))):INDEX(Attenuation!$K:$K,($H43-1+MIN(MAX(IFERROR(MATCH(LN(R$5),INDEX(Attenuation!$J:$J,$H43):INDEX(Attenuation!$J:$J,$H43+$I43-1),1),1),1),$I43-1))+1),INDEX(Attenuation!$J:$J,($H43-1+MIN(MAX(IFERROR(MATCH(LN(R$5),INDEX(Attenuation!$J:$J,$H43):INDEX(Attenuation!$J:$J,$H43+$I43-1),1),1),1),$I43-1))):INDEX(Attenuation!$J:$J,($H43-1+MIN(MAX(IFERROR(MATCH(LN(R$5),INDEX(Attenuation!$J:$J,$H43):INDEX(Attenuation!$J:$J,$H43+$I43-1),1),1),1),$I43-1))+1)))))</f>
        <v>8.6824696146491913</v>
      </c>
      <c r="S43" s="12">
        <f>IF($A43="","",IF(S$5&gt;2*$G43,"",EXP(FORECAST(LN(S$5),INDEX(Attenuation!$K:$K,($H43-1+MIN(MAX(IFERROR(MATCH(LN(S$5),INDEX(Attenuation!$J:$J,$H43):INDEX(Attenuation!$J:$J,$H43+$I43-1),1),1),1),$I43-1))):INDEX(Attenuation!$K:$K,($H43-1+MIN(MAX(IFERROR(MATCH(LN(S$5),INDEX(Attenuation!$J:$J,$H43):INDEX(Attenuation!$J:$J,$H43+$I43-1),1),1),1),$I43-1))+1),INDEX(Attenuation!$J:$J,($H43-1+MIN(MAX(IFERROR(MATCH(LN(S$5),INDEX(Attenuation!$J:$J,$H43):INDEX(Attenuation!$J:$J,$H43+$I43-1),1),1),1),$I43-1))):INDEX(Attenuation!$J:$J,($H43-1+MIN(MAX(IFERROR(MATCH(LN(S$5),INDEX(Attenuation!$J:$J,$H43):INDEX(Attenuation!$J:$J,$H43+$I43-1),1),1),1),$I43-1))+1)))))</f>
        <v>15.495832715006763</v>
      </c>
      <c r="T43" s="12">
        <f>IF($A43="","",IF(T$5&gt;2*$G43,"",EXP(FORECAST(LN(T$5),INDEX(Attenuation!$K:$K,($H43-1+MIN(MAX(IFERROR(MATCH(LN(T$5),INDEX(Attenuation!$J:$J,$H43):INDEX(Attenuation!$J:$J,$H43+$I43-1),1),1),1),$I43-1))):INDEX(Attenuation!$K:$K,($H43-1+MIN(MAX(IFERROR(MATCH(LN(T$5),INDEX(Attenuation!$J:$J,$H43):INDEX(Attenuation!$J:$J,$H43+$I43-1),1),1),1),$I43-1))+1),INDEX(Attenuation!$J:$J,($H43-1+MIN(MAX(IFERROR(MATCH(LN(T$5),INDEX(Attenuation!$J:$J,$H43):INDEX(Attenuation!$J:$J,$H43+$I43-1),1),1),1),$I43-1))):INDEX(Attenuation!$J:$J,($H43-1+MIN(MAX(IFERROR(MATCH(LN(T$5),INDEX(Attenuation!$J:$J,$H43):INDEX(Attenuation!$J:$J,$H43+$I43-1),1),1),1),$I43-1))+1)))))</f>
        <v>21.80468071534419</v>
      </c>
      <c r="U43" s="12">
        <f>IF($A43="","",IF(U$5&gt;2*$G43,"",EXP(FORECAST(LN(U$5),INDEX(Attenuation!$K:$K,($H43-1+MIN(MAX(IFERROR(MATCH(LN(U$5),INDEX(Attenuation!$J:$J,$H43):INDEX(Attenuation!$J:$J,$H43+$I43-1),1),1),1),$I43-1))):INDEX(Attenuation!$K:$K,($H43-1+MIN(MAX(IFERROR(MATCH(LN(U$5),INDEX(Attenuation!$J:$J,$H43):INDEX(Attenuation!$J:$J,$H43+$I43-1),1),1),1),$I43-1))+1),INDEX(Attenuation!$J:$J,($H43-1+MIN(MAX(IFERROR(MATCH(LN(U$5),INDEX(Attenuation!$J:$J,$H43):INDEX(Attenuation!$J:$J,$H43+$I43-1),1),1),1),$I43-1))):INDEX(Attenuation!$J:$J,($H43-1+MIN(MAX(IFERROR(MATCH(LN(U$5),INDEX(Attenuation!$J:$J,$H43):INDEX(Attenuation!$J:$J,$H43+$I43-1),1),1),1),$I43-1))+1)))))</f>
        <v>35.298529519968099</v>
      </c>
      <c r="V43" s="1"/>
      <c r="W43" s="12">
        <f t="shared" si="12"/>
        <v>0.17537861198530427</v>
      </c>
      <c r="X43" s="12">
        <f t="shared" si="13"/>
        <v>0.24325253498902363</v>
      </c>
      <c r="Y43" s="12">
        <f t="shared" si="14"/>
        <v>0.34210324333385844</v>
      </c>
      <c r="Z43" s="12">
        <f t="shared" si="15"/>
        <v>0.48112398542866647</v>
      </c>
      <c r="AA43" s="12">
        <f t="shared" si="16"/>
        <v>0.58734036317083615</v>
      </c>
      <c r="AB43" s="12">
        <f t="shared" si="17"/>
        <v>0.67663868690324613</v>
      </c>
      <c r="AC43" s="12">
        <f t="shared" si="18"/>
        <v>0.90000000000000024</v>
      </c>
      <c r="AD43" s="12">
        <f t="shared" si="19"/>
        <v>1.4717967916016448</v>
      </c>
      <c r="AE43" s="12">
        <f t="shared" si="20"/>
        <v>2.6464167385450739</v>
      </c>
      <c r="AF43" s="12">
        <f t="shared" si="21"/>
        <v>4.7231298115340614</v>
      </c>
      <c r="AG43" s="12">
        <f t="shared" si="22"/>
        <v>6.6460666820369099</v>
      </c>
      <c r="AH43" s="12">
        <f t="shared" si="23"/>
        <v>10.758991797686278</v>
      </c>
    </row>
    <row r="44" spans="1:34" x14ac:dyDescent="0.25">
      <c r="A44" s="11" t="str">
        <f>IF(ROWS($A$6:A44)&gt;COUNTA(Cables!$A:$A)-1,"",INDEX(Cables!$A:$A,ROWS($A$6:A44)+1))</f>
        <v>MP-ULTRAFLEX10</v>
      </c>
      <c r="B44" s="11" t="str">
        <f>IF($A44="","",IF(INDEX(Cables!$B:$B,MATCH($A44,Cables!$A:$A,0))="","",INDEX(Cables!$B:$B,MATCH($A44,Cables!$A:$A,0))))</f>
        <v>Messi &amp; Paoloni Ultraflex 10</v>
      </c>
      <c r="C44" s="11">
        <f>IF($A44="","",IF(INDEX(Cables!$F:$F,MATCH($A44,Cables!$A:$A,0))="","",INDEX(Cables!$F:$F,MATCH($A44,Cables!$A:$A,0))))</f>
        <v>50</v>
      </c>
      <c r="D44" s="11">
        <f>IF($A44="","",IF(INDEX(Cables!$H:$H,MATCH($A44,Cables!$A:$A,0))="","",INDEX(Cables!$H:$H,MATCH($A44,Cables!$A:$A,0))))</f>
        <v>10.3</v>
      </c>
      <c r="E44" s="12">
        <f>IF($A44="","",IF(INDEX(Cables!$Q:$Q,MATCH($A44,Cables!$A:$A,0))="","",INDEX(Cables!$Q:$Q,MATCH($A44,Cables!$A:$A,0))))</f>
        <v>0.83</v>
      </c>
      <c r="F44" s="11">
        <f>IF($A44="","",IF(INDEX(Cables!$AQ:$AQ,MATCH($A44,Cables!$A:$A,0))="","",INDEX(Cables!$AQ:$AQ,MATCH($A44,Cables!$A:$A,0))))</f>
        <v>1.8</v>
      </c>
      <c r="G44" s="11">
        <f>IF($A44="","",IF(INDEX(Cables!$AR:$AR,MATCH($A44,Cables!$A:$A,0))="","",INDEX(Cables!$AR:$AR,MATCH($A44,Cables!$A:$A,0))))</f>
        <v>8000</v>
      </c>
      <c r="H44" s="11">
        <f>IF($A44="","",IF(INDEX(Cables!$AO:$AO,MATCH($A44,Cables!$A:$A,0))="","",INDEX(Cables!$AO:$AO,MATCH($A44,Cables!$A:$A,0))))</f>
        <v>513</v>
      </c>
      <c r="I44" s="11">
        <f>IF($A44="","",IF(INDEX(Cables!$AP:$AP,MATCH($A44,Cables!$A:$A,0))="","",INDEX(Cables!$AP:$AP,MATCH($A44,Cables!$A:$A,0))))</f>
        <v>23</v>
      </c>
      <c r="J44" s="12">
        <f>IF($A44="","",IF(J$5&gt;2*$G44,"",EXP(FORECAST(LN(J$5),INDEX(Attenuation!$K:$K,($H44-1+MIN(MAX(IFERROR(MATCH(LN(J$5),INDEX(Attenuation!$J:$J,$H44):INDEX(Attenuation!$J:$J,$H44+$I44-1),1),1),1),$I44-1))):INDEX(Attenuation!$K:$K,($H44-1+MIN(MAX(IFERROR(MATCH(LN(J$5),INDEX(Attenuation!$J:$J,$H44):INDEX(Attenuation!$J:$J,$H44+$I44-1),1),1),1),$I44-1))+1),INDEX(Attenuation!$J:$J,($H44-1+MIN(MAX(IFERROR(MATCH(LN(J$5),INDEX(Attenuation!$J:$J,$H44):INDEX(Attenuation!$J:$J,$H44+$I44-1),1),1),1),$I44-1))):INDEX(Attenuation!$J:$J,($H44-1+MIN(MAX(IFERROR(MATCH(LN(J$5),INDEX(Attenuation!$J:$J,$H44):INDEX(Attenuation!$J:$J,$H44+$I44-1),1),1),1),$I44-1))+1)))))</f>
        <v>0.8</v>
      </c>
      <c r="K44" s="12">
        <f>IF($A44="","",IF(K$5&gt;2*$G44,"",EXP(FORECAST(LN(K$5),INDEX(Attenuation!$K:$K,($H44-1+MIN(MAX(IFERROR(MATCH(LN(K$5),INDEX(Attenuation!$J:$J,$H44):INDEX(Attenuation!$J:$J,$H44+$I44-1),1),1),1),$I44-1))):INDEX(Attenuation!$K:$K,($H44-1+MIN(MAX(IFERROR(MATCH(LN(K$5),INDEX(Attenuation!$J:$J,$H44):INDEX(Attenuation!$J:$J,$H44+$I44-1),1),1),1),$I44-1))+1),INDEX(Attenuation!$J:$J,($H44-1+MIN(MAX(IFERROR(MATCH(LN(K$5),INDEX(Attenuation!$J:$J,$H44):INDEX(Attenuation!$J:$J,$H44+$I44-1),1),1),1),$I44-1))):INDEX(Attenuation!$J:$J,($H44-1+MIN(MAX(IFERROR(MATCH(LN(K$5),INDEX(Attenuation!$J:$J,$H44):INDEX(Attenuation!$J:$J,$H44+$I44-1),1),1),1),$I44-1))+1)))))</f>
        <v>1</v>
      </c>
      <c r="L44" s="12">
        <f>IF($A44="","",IF(L$5&gt;2*$G44,"",EXP(FORECAST(LN(L$5),INDEX(Attenuation!$K:$K,($H44-1+MIN(MAX(IFERROR(MATCH(LN(L$5),INDEX(Attenuation!$J:$J,$H44):INDEX(Attenuation!$J:$J,$H44+$I44-1),1),1),1),$I44-1))):INDEX(Attenuation!$K:$K,($H44-1+MIN(MAX(IFERROR(MATCH(LN(L$5),INDEX(Attenuation!$J:$J,$H44):INDEX(Attenuation!$J:$J,$H44+$I44-1),1),1),1),$I44-1))+1),INDEX(Attenuation!$J:$J,($H44-1+MIN(MAX(IFERROR(MATCH(LN(L$5),INDEX(Attenuation!$J:$J,$H44):INDEX(Attenuation!$J:$J,$H44+$I44-1),1),1),1),$I44-1))):INDEX(Attenuation!$J:$J,($H44-1+MIN(MAX(IFERROR(MATCH(LN(L$5),INDEX(Attenuation!$J:$J,$H44):INDEX(Attenuation!$J:$J,$H44+$I44-1),1),1),1),$I44-1))+1)))))</f>
        <v>1.2</v>
      </c>
      <c r="M44" s="12">
        <f>IF($A44="","",IF(M$5&gt;2*$G44,"",EXP(FORECAST(LN(M$5),INDEX(Attenuation!$K:$K,($H44-1+MIN(MAX(IFERROR(MATCH(LN(M$5),INDEX(Attenuation!$J:$J,$H44):INDEX(Attenuation!$J:$J,$H44+$I44-1),1),1),1),$I44-1))):INDEX(Attenuation!$K:$K,($H44-1+MIN(MAX(IFERROR(MATCH(LN(M$5),INDEX(Attenuation!$J:$J,$H44):INDEX(Attenuation!$J:$J,$H44+$I44-1),1),1),1),$I44-1))+1),INDEX(Attenuation!$J:$J,($H44-1+MIN(MAX(IFERROR(MATCH(LN(M$5),INDEX(Attenuation!$J:$J,$H44):INDEX(Attenuation!$J:$J,$H44+$I44-1),1),1),1),$I44-1))):INDEX(Attenuation!$J:$J,($H44-1+MIN(MAX(IFERROR(MATCH(LN(M$5),INDEX(Attenuation!$J:$J,$H44):INDEX(Attenuation!$J:$J,$H44+$I44-1),1),1),1),$I44-1))+1)))))</f>
        <v>1.5000000000000002</v>
      </c>
      <c r="N44" s="12">
        <f>IF($A44="","",IF(N$5&gt;2*$G44,"",EXP(FORECAST(LN(N$5),INDEX(Attenuation!$K:$K,($H44-1+MIN(MAX(IFERROR(MATCH(LN(N$5),INDEX(Attenuation!$J:$J,$H44):INDEX(Attenuation!$J:$J,$H44+$I44-1),1),1),1),$I44-1))):INDEX(Attenuation!$K:$K,($H44-1+MIN(MAX(IFERROR(MATCH(LN(N$5),INDEX(Attenuation!$J:$J,$H44):INDEX(Attenuation!$J:$J,$H44+$I44-1),1),1),1),$I44-1))+1),INDEX(Attenuation!$J:$J,($H44-1+MIN(MAX(IFERROR(MATCH(LN(N$5),INDEX(Attenuation!$J:$J,$H44):INDEX(Attenuation!$J:$J,$H44+$I44-1),1),1),1),$I44-1))):INDEX(Attenuation!$J:$J,($H44-1+MIN(MAX(IFERROR(MATCH(LN(N$5),INDEX(Attenuation!$J:$J,$H44):INDEX(Attenuation!$J:$J,$H44+$I44-1),1),1),1),$I44-1))+1)))))</f>
        <v>1.8</v>
      </c>
      <c r="O44" s="12">
        <f>IF($A44="","",IF(O$5&gt;2*$G44,"",EXP(FORECAST(LN(O$5),INDEX(Attenuation!$K:$K,($H44-1+MIN(MAX(IFERROR(MATCH(LN(O$5),INDEX(Attenuation!$J:$J,$H44):INDEX(Attenuation!$J:$J,$H44+$I44-1),1),1),1),$I44-1))):INDEX(Attenuation!$K:$K,($H44-1+MIN(MAX(IFERROR(MATCH(LN(O$5),INDEX(Attenuation!$J:$J,$H44):INDEX(Attenuation!$J:$J,$H44+$I44-1),1),1),1),$I44-1))+1),INDEX(Attenuation!$J:$J,($H44-1+MIN(MAX(IFERROR(MATCH(LN(O$5),INDEX(Attenuation!$J:$J,$H44):INDEX(Attenuation!$J:$J,$H44+$I44-1),1),1),1),$I44-1))):INDEX(Attenuation!$J:$J,($H44-1+MIN(MAX(IFERROR(MATCH(LN(O$5),INDEX(Attenuation!$J:$J,$H44):INDEX(Attenuation!$J:$J,$H44+$I44-1),1),1),1),$I44-1))+1)))))</f>
        <v>1.9999999999999998</v>
      </c>
      <c r="P44" s="12">
        <f>IF($A44="","",IF(P$5&gt;2*$G44,"",EXP(FORECAST(LN(P$5),INDEX(Attenuation!$K:$K,($H44-1+MIN(MAX(IFERROR(MATCH(LN(P$5),INDEX(Attenuation!$J:$J,$H44):INDEX(Attenuation!$J:$J,$H44+$I44-1),1),1),1),$I44-1))):INDEX(Attenuation!$K:$K,($H44-1+MIN(MAX(IFERROR(MATCH(LN(P$5),INDEX(Attenuation!$J:$J,$H44):INDEX(Attenuation!$J:$J,$H44+$I44-1),1),1),1),$I44-1))+1),INDEX(Attenuation!$J:$J,($H44-1+MIN(MAX(IFERROR(MATCH(LN(P$5),INDEX(Attenuation!$J:$J,$H44):INDEX(Attenuation!$J:$J,$H44+$I44-1),1),1),1),$I44-1))):INDEX(Attenuation!$J:$J,($H44-1+MIN(MAX(IFERROR(MATCH(LN(P$5),INDEX(Attenuation!$J:$J,$H44):INDEX(Attenuation!$J:$J,$H44+$I44-1),1),1),1),$I44-1))+1)))))</f>
        <v>2.6999999999999988</v>
      </c>
      <c r="Q44" s="12">
        <f>IF($A44="","",IF(Q$5&gt;2*$G44,"",EXP(FORECAST(LN(Q$5),INDEX(Attenuation!$K:$K,($H44-1+MIN(MAX(IFERROR(MATCH(LN(Q$5),INDEX(Attenuation!$J:$J,$H44):INDEX(Attenuation!$J:$J,$H44+$I44-1),1),1),1),$I44-1))):INDEX(Attenuation!$K:$K,($H44-1+MIN(MAX(IFERROR(MATCH(LN(Q$5),INDEX(Attenuation!$J:$J,$H44):INDEX(Attenuation!$J:$J,$H44+$I44-1),1),1),1),$I44-1))+1),INDEX(Attenuation!$J:$J,($H44-1+MIN(MAX(IFERROR(MATCH(LN(Q$5),INDEX(Attenuation!$J:$J,$H44):INDEX(Attenuation!$J:$J,$H44+$I44-1),1),1),1),$I44-1))):INDEX(Attenuation!$J:$J,($H44-1+MIN(MAX(IFERROR(MATCH(LN(Q$5),INDEX(Attenuation!$J:$J,$H44):INDEX(Attenuation!$J:$J,$H44+$I44-1),1),1),1),$I44-1))+1)))))</f>
        <v>4.7</v>
      </c>
      <c r="R44" s="12">
        <f>IF($A44="","",IF(R$5&gt;2*$G44,"",EXP(FORECAST(LN(R$5),INDEX(Attenuation!$K:$K,($H44-1+MIN(MAX(IFERROR(MATCH(LN(R$5),INDEX(Attenuation!$J:$J,$H44):INDEX(Attenuation!$J:$J,$H44+$I44-1),1),1),1),$I44-1))):INDEX(Attenuation!$K:$K,($H44-1+MIN(MAX(IFERROR(MATCH(LN(R$5),INDEX(Attenuation!$J:$J,$H44):INDEX(Attenuation!$J:$J,$H44+$I44-1),1),1),1),$I44-1))+1),INDEX(Attenuation!$J:$J,($H44-1+MIN(MAX(IFERROR(MATCH(LN(R$5),INDEX(Attenuation!$J:$J,$H44):INDEX(Attenuation!$J:$J,$H44+$I44-1),1),1),1),$I44-1))):INDEX(Attenuation!$J:$J,($H44-1+MIN(MAX(IFERROR(MATCH(LN(R$5),INDEX(Attenuation!$J:$J,$H44):INDEX(Attenuation!$J:$J,$H44+$I44-1),1),1),1),$I44-1))+1)))))</f>
        <v>8.6219762977987653</v>
      </c>
      <c r="S44" s="12">
        <f>IF($A44="","",IF(S$5&gt;2*$G44,"",EXP(FORECAST(LN(S$5),INDEX(Attenuation!$K:$K,($H44-1+MIN(MAX(IFERROR(MATCH(LN(S$5),INDEX(Attenuation!$J:$J,$H44):INDEX(Attenuation!$J:$J,$H44+$I44-1),1),1),1),$I44-1))):INDEX(Attenuation!$K:$K,($H44-1+MIN(MAX(IFERROR(MATCH(LN(S$5),INDEX(Attenuation!$J:$J,$H44):INDEX(Attenuation!$J:$J,$H44+$I44-1),1),1),1),$I44-1))+1),INDEX(Attenuation!$J:$J,($H44-1+MIN(MAX(IFERROR(MATCH(LN(S$5),INDEX(Attenuation!$J:$J,$H44):INDEX(Attenuation!$J:$J,$H44+$I44-1),1),1),1),$I44-1))):INDEX(Attenuation!$J:$J,($H44-1+MIN(MAX(IFERROR(MATCH(LN(S$5),INDEX(Attenuation!$J:$J,$H44):INDEX(Attenuation!$J:$J,$H44+$I44-1),1),1),1),$I44-1))+1)))))</f>
        <v>16.399999999999995</v>
      </c>
      <c r="T44" s="12">
        <f>IF($A44="","",IF(T$5&gt;2*$G44,"",EXP(FORECAST(LN(T$5),INDEX(Attenuation!$K:$K,($H44-1+MIN(MAX(IFERROR(MATCH(LN(T$5),INDEX(Attenuation!$J:$J,$H44):INDEX(Attenuation!$J:$J,$H44+$I44-1),1),1),1),$I44-1))):INDEX(Attenuation!$K:$K,($H44-1+MIN(MAX(IFERROR(MATCH(LN(T$5),INDEX(Attenuation!$J:$J,$H44):INDEX(Attenuation!$J:$J,$H44+$I44-1),1),1),1),$I44-1))+1),INDEX(Attenuation!$J:$J,($H44-1+MIN(MAX(IFERROR(MATCH(LN(T$5),INDEX(Attenuation!$J:$J,$H44):INDEX(Attenuation!$J:$J,$H44+$I44-1),1),1),1),$I44-1))):INDEX(Attenuation!$J:$J,($H44-1+MIN(MAX(IFERROR(MATCH(LN(T$5),INDEX(Attenuation!$J:$J,$H44):INDEX(Attenuation!$J:$J,$H44+$I44-1),1),1),1),$I44-1))+1)))))</f>
        <v>23.700000000000003</v>
      </c>
      <c r="U44" s="12">
        <f>IF($A44="","",IF(U$5&gt;2*$G44,"",EXP(FORECAST(LN(U$5),INDEX(Attenuation!$K:$K,($H44-1+MIN(MAX(IFERROR(MATCH(LN(U$5),INDEX(Attenuation!$J:$J,$H44):INDEX(Attenuation!$J:$J,$H44+$I44-1),1),1),1),$I44-1))):INDEX(Attenuation!$K:$K,($H44-1+MIN(MAX(IFERROR(MATCH(LN(U$5),INDEX(Attenuation!$J:$J,$H44):INDEX(Attenuation!$J:$J,$H44+$I44-1),1),1),1),$I44-1))+1),INDEX(Attenuation!$J:$J,($H44-1+MIN(MAX(IFERROR(MATCH(LN(U$5),INDEX(Attenuation!$J:$J,$H44):INDEX(Attenuation!$J:$J,$H44+$I44-1),1),1),1),$I44-1))):INDEX(Attenuation!$J:$J,($H44-1+MIN(MAX(IFERROR(MATCH(LN(U$5),INDEX(Attenuation!$J:$J,$H44):INDEX(Attenuation!$J:$J,$H44+$I44-1),1),1),1),$I44-1))+1)))))</f>
        <v>43.179922332978492</v>
      </c>
      <c r="V44" s="1"/>
      <c r="W44" s="12">
        <f t="shared" si="12"/>
        <v>0.24384000000000003</v>
      </c>
      <c r="X44" s="12">
        <f t="shared" si="13"/>
        <v>0.30480000000000002</v>
      </c>
      <c r="Y44" s="12">
        <f t="shared" si="14"/>
        <v>0.36576000000000003</v>
      </c>
      <c r="Z44" s="12">
        <f t="shared" si="15"/>
        <v>0.45720000000000011</v>
      </c>
      <c r="AA44" s="12">
        <f t="shared" si="16"/>
        <v>0.54864000000000002</v>
      </c>
      <c r="AB44" s="12">
        <f t="shared" si="17"/>
        <v>0.60959999999999992</v>
      </c>
      <c r="AC44" s="12">
        <f t="shared" si="18"/>
        <v>0.82295999999999969</v>
      </c>
      <c r="AD44" s="12">
        <f t="shared" si="19"/>
        <v>1.4325600000000001</v>
      </c>
      <c r="AE44" s="12">
        <f t="shared" si="20"/>
        <v>2.627978375569064</v>
      </c>
      <c r="AF44" s="12">
        <f t="shared" si="21"/>
        <v>4.9987199999999987</v>
      </c>
      <c r="AG44" s="12">
        <f t="shared" si="22"/>
        <v>7.2237600000000013</v>
      </c>
      <c r="AH44" s="12">
        <f t="shared" si="23"/>
        <v>13.161240327091845</v>
      </c>
    </row>
    <row r="45" spans="1:34" x14ac:dyDescent="0.25">
      <c r="A45" s="11" t="str">
        <f>IF(ROWS($A$6:A45)&gt;COUNTA(Cables!$A:$A)-1,"",INDEX(Cables!$A:$A,ROWS($A$6:A45)+1))</f>
        <v>MP-HYPERFLEX10</v>
      </c>
      <c r="B45" s="11" t="str">
        <f>IF($A45="","",IF(INDEX(Cables!$B:$B,MATCH($A45,Cables!$A:$A,0))="","",INDEX(Cables!$B:$B,MATCH($A45,Cables!$A:$A,0))))</f>
        <v>Messi &amp; Paoloni Hyperflex 10</v>
      </c>
      <c r="C45" s="11">
        <f>IF($A45="","",IF(INDEX(Cables!$F:$F,MATCH($A45,Cables!$A:$A,0))="","",INDEX(Cables!$F:$F,MATCH($A45,Cables!$A:$A,0))))</f>
        <v>50</v>
      </c>
      <c r="D45" s="11">
        <f>IF($A45="","",IF(INDEX(Cables!$H:$H,MATCH($A45,Cables!$A:$A,0))="","",INDEX(Cables!$H:$H,MATCH($A45,Cables!$A:$A,0))))</f>
        <v>10.3</v>
      </c>
      <c r="E45" s="12">
        <f>IF($A45="","",IF(INDEX(Cables!$Q:$Q,MATCH($A45,Cables!$A:$A,0))="","",INDEX(Cables!$Q:$Q,MATCH($A45,Cables!$A:$A,0))))</f>
        <v>0.87</v>
      </c>
      <c r="F45" s="11">
        <f>IF($A45="","",IF(INDEX(Cables!$AQ:$AQ,MATCH($A45,Cables!$A:$A,0))="","",INDEX(Cables!$AQ:$AQ,MATCH($A45,Cables!$A:$A,0))))</f>
        <v>1.8</v>
      </c>
      <c r="G45" s="11">
        <f>IF($A45="","",IF(INDEX(Cables!$AR:$AR,MATCH($A45,Cables!$A:$A,0))="","",INDEX(Cables!$AR:$AR,MATCH($A45,Cables!$A:$A,0))))</f>
        <v>10000</v>
      </c>
      <c r="H45" s="11">
        <f>IF($A45="","",IF(INDEX(Cables!$AO:$AO,MATCH($A45,Cables!$A:$A,0))="","",INDEX(Cables!$AO:$AO,MATCH($A45,Cables!$A:$A,0))))</f>
        <v>536</v>
      </c>
      <c r="I45" s="11">
        <f>IF($A45="","",IF(INDEX(Cables!$AP:$AP,MATCH($A45,Cables!$A:$A,0))="","",INDEX(Cables!$AP:$AP,MATCH($A45,Cables!$A:$A,0))))</f>
        <v>25</v>
      </c>
      <c r="J45" s="12">
        <f>IF($A45="","",IF(J$5&gt;2*$G45,"",EXP(FORECAST(LN(J$5),INDEX(Attenuation!$K:$K,($H45-1+MIN(MAX(IFERROR(MATCH(LN(J$5),INDEX(Attenuation!$J:$J,$H45):INDEX(Attenuation!$J:$J,$H45+$I45-1),1),1),1),$I45-1))):INDEX(Attenuation!$K:$K,($H45-1+MIN(MAX(IFERROR(MATCH(LN(J$5),INDEX(Attenuation!$J:$J,$H45):INDEX(Attenuation!$J:$J,$H45+$I45-1),1),1),1),$I45-1))+1),INDEX(Attenuation!$J:$J,($H45-1+MIN(MAX(IFERROR(MATCH(LN(J$5),INDEX(Attenuation!$J:$J,$H45):INDEX(Attenuation!$J:$J,$H45+$I45-1),1),1),1),$I45-1))):INDEX(Attenuation!$J:$J,($H45-1+MIN(MAX(IFERROR(MATCH(LN(J$5),INDEX(Attenuation!$J:$J,$H45):INDEX(Attenuation!$J:$J,$H45+$I45-1),1),1),1),$I45-1))+1)))))</f>
        <v>0.8</v>
      </c>
      <c r="K45" s="12">
        <f>IF($A45="","",IF(K$5&gt;2*$G45,"",EXP(FORECAST(LN(K$5),INDEX(Attenuation!$K:$K,($H45-1+MIN(MAX(IFERROR(MATCH(LN(K$5),INDEX(Attenuation!$J:$J,$H45):INDEX(Attenuation!$J:$J,$H45+$I45-1),1),1),1),$I45-1))):INDEX(Attenuation!$K:$K,($H45-1+MIN(MAX(IFERROR(MATCH(LN(K$5),INDEX(Attenuation!$J:$J,$H45):INDEX(Attenuation!$J:$J,$H45+$I45-1),1),1),1),$I45-1))+1),INDEX(Attenuation!$J:$J,($H45-1+MIN(MAX(IFERROR(MATCH(LN(K$5),INDEX(Attenuation!$J:$J,$H45):INDEX(Attenuation!$J:$J,$H45+$I45-1),1),1),1),$I45-1))):INDEX(Attenuation!$J:$J,($H45-1+MIN(MAX(IFERROR(MATCH(LN(K$5),INDEX(Attenuation!$J:$J,$H45):INDEX(Attenuation!$J:$J,$H45+$I45-1),1),1),1),$I45-1))+1)))))</f>
        <v>1</v>
      </c>
      <c r="L45" s="12">
        <f>IF($A45="","",IF(L$5&gt;2*$G45,"",EXP(FORECAST(LN(L$5),INDEX(Attenuation!$K:$K,($H45-1+MIN(MAX(IFERROR(MATCH(LN(L$5),INDEX(Attenuation!$J:$J,$H45):INDEX(Attenuation!$J:$J,$H45+$I45-1),1),1),1),$I45-1))):INDEX(Attenuation!$K:$K,($H45-1+MIN(MAX(IFERROR(MATCH(LN(L$5),INDEX(Attenuation!$J:$J,$H45):INDEX(Attenuation!$J:$J,$H45+$I45-1),1),1),1),$I45-1))+1),INDEX(Attenuation!$J:$J,($H45-1+MIN(MAX(IFERROR(MATCH(LN(L$5),INDEX(Attenuation!$J:$J,$H45):INDEX(Attenuation!$J:$J,$H45+$I45-1),1),1),1),$I45-1))):INDEX(Attenuation!$J:$J,($H45-1+MIN(MAX(IFERROR(MATCH(LN(L$5),INDEX(Attenuation!$J:$J,$H45):INDEX(Attenuation!$J:$J,$H45+$I45-1),1),1),1),$I45-1))+1)))))</f>
        <v>1.1000000000000001</v>
      </c>
      <c r="M45" s="12">
        <f>IF($A45="","",IF(M$5&gt;2*$G45,"",EXP(FORECAST(LN(M$5),INDEX(Attenuation!$K:$K,($H45-1+MIN(MAX(IFERROR(MATCH(LN(M$5),INDEX(Attenuation!$J:$J,$H45):INDEX(Attenuation!$J:$J,$H45+$I45-1),1),1),1),$I45-1))):INDEX(Attenuation!$K:$K,($H45-1+MIN(MAX(IFERROR(MATCH(LN(M$5),INDEX(Attenuation!$J:$J,$H45):INDEX(Attenuation!$J:$J,$H45+$I45-1),1),1),1),$I45-1))+1),INDEX(Attenuation!$J:$J,($H45-1+MIN(MAX(IFERROR(MATCH(LN(M$5),INDEX(Attenuation!$J:$J,$H45):INDEX(Attenuation!$J:$J,$H45+$I45-1),1),1),1),$I45-1))):INDEX(Attenuation!$J:$J,($H45-1+MIN(MAX(IFERROR(MATCH(LN(M$5),INDEX(Attenuation!$J:$J,$H45):INDEX(Attenuation!$J:$J,$H45+$I45-1),1),1),1),$I45-1))+1)))))</f>
        <v>1.5000000000000002</v>
      </c>
      <c r="N45" s="12">
        <f>IF($A45="","",IF(N$5&gt;2*$G45,"",EXP(FORECAST(LN(N$5),INDEX(Attenuation!$K:$K,($H45-1+MIN(MAX(IFERROR(MATCH(LN(N$5),INDEX(Attenuation!$J:$J,$H45):INDEX(Attenuation!$J:$J,$H45+$I45-1),1),1),1),$I45-1))):INDEX(Attenuation!$K:$K,($H45-1+MIN(MAX(IFERROR(MATCH(LN(N$5),INDEX(Attenuation!$J:$J,$H45):INDEX(Attenuation!$J:$J,$H45+$I45-1),1),1),1),$I45-1))+1),INDEX(Attenuation!$J:$J,($H45-1+MIN(MAX(IFERROR(MATCH(LN(N$5),INDEX(Attenuation!$J:$J,$H45):INDEX(Attenuation!$J:$J,$H45+$I45-1),1),1),1),$I45-1))):INDEX(Attenuation!$J:$J,($H45-1+MIN(MAX(IFERROR(MATCH(LN(N$5),INDEX(Attenuation!$J:$J,$H45):INDEX(Attenuation!$J:$J,$H45+$I45-1),1),1),1),$I45-1))+1)))))</f>
        <v>1.8</v>
      </c>
      <c r="O45" s="12">
        <f>IF($A45="","",IF(O$5&gt;2*$G45,"",EXP(FORECAST(LN(O$5),INDEX(Attenuation!$K:$K,($H45-1+MIN(MAX(IFERROR(MATCH(LN(O$5),INDEX(Attenuation!$J:$J,$H45):INDEX(Attenuation!$J:$J,$H45+$I45-1),1),1),1),$I45-1))):INDEX(Attenuation!$K:$K,($H45-1+MIN(MAX(IFERROR(MATCH(LN(O$5),INDEX(Attenuation!$J:$J,$H45):INDEX(Attenuation!$J:$J,$H45+$I45-1),1),1),1),$I45-1))+1),INDEX(Attenuation!$J:$J,($H45-1+MIN(MAX(IFERROR(MATCH(LN(O$5),INDEX(Attenuation!$J:$J,$H45):INDEX(Attenuation!$J:$J,$H45+$I45-1),1),1),1),$I45-1))):INDEX(Attenuation!$J:$J,($H45-1+MIN(MAX(IFERROR(MATCH(LN(O$5),INDEX(Attenuation!$J:$J,$H45):INDEX(Attenuation!$J:$J,$H45+$I45-1),1),1),1),$I45-1))+1)))))</f>
        <v>1.9999999999999998</v>
      </c>
      <c r="P45" s="12">
        <f>IF($A45="","",IF(P$5&gt;2*$G45,"",EXP(FORECAST(LN(P$5),INDEX(Attenuation!$K:$K,($H45-1+MIN(MAX(IFERROR(MATCH(LN(P$5),INDEX(Attenuation!$J:$J,$H45):INDEX(Attenuation!$J:$J,$H45+$I45-1),1),1),1),$I45-1))):INDEX(Attenuation!$K:$K,($H45-1+MIN(MAX(IFERROR(MATCH(LN(P$5),INDEX(Attenuation!$J:$J,$H45):INDEX(Attenuation!$J:$J,$H45+$I45-1),1),1),1),$I45-1))+1),INDEX(Attenuation!$J:$J,($H45-1+MIN(MAX(IFERROR(MATCH(LN(P$5),INDEX(Attenuation!$J:$J,$H45):INDEX(Attenuation!$J:$J,$H45+$I45-1),1),1),1),$I45-1))):INDEX(Attenuation!$J:$J,($H45-1+MIN(MAX(IFERROR(MATCH(LN(P$5),INDEX(Attenuation!$J:$J,$H45):INDEX(Attenuation!$J:$J,$H45+$I45-1),1),1),1),$I45-1))+1)))))</f>
        <v>2.6999999999999988</v>
      </c>
      <c r="Q45" s="12">
        <f>IF($A45="","",IF(Q$5&gt;2*$G45,"",EXP(FORECAST(LN(Q$5),INDEX(Attenuation!$K:$K,($H45-1+MIN(MAX(IFERROR(MATCH(LN(Q$5),INDEX(Attenuation!$J:$J,$H45):INDEX(Attenuation!$J:$J,$H45+$I45-1),1),1),1),$I45-1))):INDEX(Attenuation!$K:$K,($H45-1+MIN(MAX(IFERROR(MATCH(LN(Q$5),INDEX(Attenuation!$J:$J,$H45):INDEX(Attenuation!$J:$J,$H45+$I45-1),1),1),1),$I45-1))+1),INDEX(Attenuation!$J:$J,($H45-1+MIN(MAX(IFERROR(MATCH(LN(Q$5),INDEX(Attenuation!$J:$J,$H45):INDEX(Attenuation!$J:$J,$H45+$I45-1),1),1),1),$I45-1))):INDEX(Attenuation!$J:$J,($H45-1+MIN(MAX(IFERROR(MATCH(LN(Q$5),INDEX(Attenuation!$J:$J,$H45):INDEX(Attenuation!$J:$J,$H45+$I45-1),1),1),1),$I45-1))+1)))))</f>
        <v>4.7</v>
      </c>
      <c r="R45" s="12">
        <f>IF($A45="","",IF(R$5&gt;2*$G45,"",EXP(FORECAST(LN(R$5),INDEX(Attenuation!$K:$K,($H45-1+MIN(MAX(IFERROR(MATCH(LN(R$5),INDEX(Attenuation!$J:$J,$H45):INDEX(Attenuation!$J:$J,$H45+$I45-1),1),1),1),$I45-1))):INDEX(Attenuation!$K:$K,($H45-1+MIN(MAX(IFERROR(MATCH(LN(R$5),INDEX(Attenuation!$J:$J,$H45):INDEX(Attenuation!$J:$J,$H45+$I45-1),1),1),1),$I45-1))+1),INDEX(Attenuation!$J:$J,($H45-1+MIN(MAX(IFERROR(MATCH(LN(R$5),INDEX(Attenuation!$J:$J,$H45):INDEX(Attenuation!$J:$J,$H45+$I45-1),1),1),1),$I45-1))):INDEX(Attenuation!$J:$J,($H45-1+MIN(MAX(IFERROR(MATCH(LN(R$5),INDEX(Attenuation!$J:$J,$H45):INDEX(Attenuation!$J:$J,$H45+$I45-1),1),1),1),$I45-1))+1)))))</f>
        <v>8.6209022544224414</v>
      </c>
      <c r="S45" s="12">
        <f>IF($A45="","",IF(S$5&gt;2*$G45,"",EXP(FORECAST(LN(S$5),INDEX(Attenuation!$K:$K,($H45-1+MIN(MAX(IFERROR(MATCH(LN(S$5),INDEX(Attenuation!$J:$J,$H45):INDEX(Attenuation!$J:$J,$H45+$I45-1),1),1),1),$I45-1))):INDEX(Attenuation!$K:$K,($H45-1+MIN(MAX(IFERROR(MATCH(LN(S$5),INDEX(Attenuation!$J:$J,$H45):INDEX(Attenuation!$J:$J,$H45+$I45-1),1),1),1),$I45-1))+1),INDEX(Attenuation!$J:$J,($H45-1+MIN(MAX(IFERROR(MATCH(LN(S$5),INDEX(Attenuation!$J:$J,$H45):INDEX(Attenuation!$J:$J,$H45+$I45-1),1),1),1),$I45-1))):INDEX(Attenuation!$J:$J,($H45-1+MIN(MAX(IFERROR(MATCH(LN(S$5),INDEX(Attenuation!$J:$J,$H45):INDEX(Attenuation!$J:$J,$H45+$I45-1),1),1),1),$I45-1))+1)))))</f>
        <v>15.400000000000002</v>
      </c>
      <c r="T45" s="12">
        <f>IF($A45="","",IF(T$5&gt;2*$G45,"",EXP(FORECAST(LN(T$5),INDEX(Attenuation!$K:$K,($H45-1+MIN(MAX(IFERROR(MATCH(LN(T$5),INDEX(Attenuation!$J:$J,$H45):INDEX(Attenuation!$J:$J,$H45+$I45-1),1),1),1),$I45-1))):INDEX(Attenuation!$K:$K,($H45-1+MIN(MAX(IFERROR(MATCH(LN(T$5),INDEX(Attenuation!$J:$J,$H45):INDEX(Attenuation!$J:$J,$H45+$I45-1),1),1),1),$I45-1))+1),INDEX(Attenuation!$J:$J,($H45-1+MIN(MAX(IFERROR(MATCH(LN(T$5),INDEX(Attenuation!$J:$J,$H45):INDEX(Attenuation!$J:$J,$H45+$I45-1),1),1),1),$I45-1))):INDEX(Attenuation!$J:$J,($H45-1+MIN(MAX(IFERROR(MATCH(LN(T$5),INDEX(Attenuation!$J:$J,$H45):INDEX(Attenuation!$J:$J,$H45+$I45-1),1),1),1),$I45-1))+1)))))</f>
        <v>21.800000000000011</v>
      </c>
      <c r="U45" s="12">
        <f>IF($A45="","",IF(U$5&gt;2*$G45,"",EXP(FORECAST(LN(U$5),INDEX(Attenuation!$K:$K,($H45-1+MIN(MAX(IFERROR(MATCH(LN(U$5),INDEX(Attenuation!$J:$J,$H45):INDEX(Attenuation!$J:$J,$H45+$I45-1),1),1),1),$I45-1))):INDEX(Attenuation!$K:$K,($H45-1+MIN(MAX(IFERROR(MATCH(LN(U$5),INDEX(Attenuation!$J:$J,$H45):INDEX(Attenuation!$J:$J,$H45+$I45-1),1),1),1),$I45-1))+1),INDEX(Attenuation!$J:$J,($H45-1+MIN(MAX(IFERROR(MATCH(LN(U$5),INDEX(Attenuation!$J:$J,$H45):INDEX(Attenuation!$J:$J,$H45+$I45-1),1),1),1),$I45-1))):INDEX(Attenuation!$J:$J,($H45-1+MIN(MAX(IFERROR(MATCH(LN(U$5),INDEX(Attenuation!$J:$J,$H45):INDEX(Attenuation!$J:$J,$H45+$I45-1),1),1),1),$I45-1))+1)))))</f>
        <v>36.012941814344352</v>
      </c>
      <c r="V45" s="1"/>
      <c r="W45" s="12">
        <f t="shared" si="12"/>
        <v>0.24384000000000003</v>
      </c>
      <c r="X45" s="12">
        <f t="shared" si="13"/>
        <v>0.30480000000000002</v>
      </c>
      <c r="Y45" s="12">
        <f t="shared" si="14"/>
        <v>0.33528000000000002</v>
      </c>
      <c r="Z45" s="12">
        <f t="shared" si="15"/>
        <v>0.45720000000000011</v>
      </c>
      <c r="AA45" s="12">
        <f t="shared" si="16"/>
        <v>0.54864000000000002</v>
      </c>
      <c r="AB45" s="12">
        <f t="shared" si="17"/>
        <v>0.60959999999999992</v>
      </c>
      <c r="AC45" s="12">
        <f t="shared" si="18"/>
        <v>0.82295999999999969</v>
      </c>
      <c r="AD45" s="12">
        <f t="shared" si="19"/>
        <v>1.4325600000000001</v>
      </c>
      <c r="AE45" s="12">
        <f t="shared" si="20"/>
        <v>2.6276510071479602</v>
      </c>
      <c r="AF45" s="12">
        <f t="shared" si="21"/>
        <v>4.6939200000000012</v>
      </c>
      <c r="AG45" s="12">
        <f t="shared" si="22"/>
        <v>6.6446400000000034</v>
      </c>
      <c r="AH45" s="12">
        <f t="shared" si="23"/>
        <v>10.976744665012159</v>
      </c>
    </row>
    <row r="46" spans="1:34" x14ac:dyDescent="0.25">
      <c r="A46" s="11" t="str">
        <f>IF(ROWS($A$6:A46)&gt;COUNTA(Cables!$A:$A)-1,"",INDEX(Cables!$A:$A,ROWS($A$6:A46)+1))</f>
        <v>BEL-H2000FLEX</v>
      </c>
      <c r="B46" s="11" t="str">
        <f>IF($A46="","",IF(INDEX(Cables!$B:$B,MATCH($A46,Cables!$A:$A,0))="","",INDEX(Cables!$B:$B,MATCH($A46,Cables!$A:$A,0))))</f>
        <v>Belden H2000 Flex</v>
      </c>
      <c r="C46" s="11">
        <f>IF($A46="","",IF(INDEX(Cables!$F:$F,MATCH($A46,Cables!$A:$A,0))="","",INDEX(Cables!$F:$F,MATCH($A46,Cables!$A:$A,0))))</f>
        <v>50</v>
      </c>
      <c r="D46" s="11">
        <f>IF($A46="","",IF(INDEX(Cables!$H:$H,MATCH($A46,Cables!$A:$A,0))="","",INDEX(Cables!$H:$H,MATCH($A46,Cables!$A:$A,0))))</f>
        <v>10.3</v>
      </c>
      <c r="E46" s="12">
        <f>IF($A46="","",IF(INDEX(Cables!$Q:$Q,MATCH($A46,Cables!$A:$A,0))="","",INDEX(Cables!$Q:$Q,MATCH($A46,Cables!$A:$A,0))))</f>
        <v>0.83</v>
      </c>
      <c r="F46" s="11">
        <f>IF($A46="","",IF(INDEX(Cables!$AQ:$AQ,MATCH($A46,Cables!$A:$A,0))="","",INDEX(Cables!$AQ:$AQ,MATCH($A46,Cables!$A:$A,0))))</f>
        <v>7</v>
      </c>
      <c r="G46" s="11">
        <f>IF($A46="","",IF(INDEX(Cables!$AR:$AR,MATCH($A46,Cables!$A:$A,0))="","",INDEX(Cables!$AR:$AR,MATCH($A46,Cables!$A:$A,0))))</f>
        <v>10000</v>
      </c>
      <c r="H46" s="11">
        <f>IF($A46="","",IF(INDEX(Cables!$AO:$AO,MATCH($A46,Cables!$A:$A,0))="","",INDEX(Cables!$AO:$AO,MATCH($A46,Cables!$A:$A,0))))</f>
        <v>561</v>
      </c>
      <c r="I46" s="11">
        <f>IF($A46="","",IF(INDEX(Cables!$AP:$AP,MATCH($A46,Cables!$A:$A,0))="","",INDEX(Cables!$AP:$AP,MATCH($A46,Cables!$A:$A,0))))</f>
        <v>24</v>
      </c>
      <c r="J46" s="12">
        <f>IF($A46="","",IF(J$5&gt;2*$G46,"",EXP(FORECAST(LN(J$5),INDEX(Attenuation!$K:$K,($H46-1+MIN(MAX(IFERROR(MATCH(LN(J$5),INDEX(Attenuation!$J:$J,$H46):INDEX(Attenuation!$J:$J,$H46+$I46-1),1),1),1),$I46-1))):INDEX(Attenuation!$K:$K,($H46-1+MIN(MAX(IFERROR(MATCH(LN(J$5),INDEX(Attenuation!$J:$J,$H46):INDEX(Attenuation!$J:$J,$H46+$I46-1),1),1),1),$I46-1))+1),INDEX(Attenuation!$J:$J,($H46-1+MIN(MAX(IFERROR(MATCH(LN(J$5),INDEX(Attenuation!$J:$J,$H46):INDEX(Attenuation!$J:$J,$H46+$I46-1),1),1),1),$I46-1))):INDEX(Attenuation!$J:$J,($H46-1+MIN(MAX(IFERROR(MATCH(LN(J$5),INDEX(Attenuation!$J:$J,$H46):INDEX(Attenuation!$J:$J,$H46+$I46-1),1),1),1),$I46-1))+1)))))</f>
        <v>0.49945784479669458</v>
      </c>
      <c r="K46" s="12">
        <f>IF($A46="","",IF(K$5&gt;2*$G46,"",EXP(FORECAST(LN(K$5),INDEX(Attenuation!$K:$K,($H46-1+MIN(MAX(IFERROR(MATCH(LN(K$5),INDEX(Attenuation!$J:$J,$H46):INDEX(Attenuation!$J:$J,$H46+$I46-1),1),1),1),$I46-1))):INDEX(Attenuation!$K:$K,($H46-1+MIN(MAX(IFERROR(MATCH(LN(K$5),INDEX(Attenuation!$J:$J,$H46):INDEX(Attenuation!$J:$J,$H46+$I46-1),1),1),1),$I46-1))+1),INDEX(Attenuation!$J:$J,($H46-1+MIN(MAX(IFERROR(MATCH(LN(K$5),INDEX(Attenuation!$J:$J,$H46):INDEX(Attenuation!$J:$J,$H46+$I46-1),1),1),1),$I46-1))):INDEX(Attenuation!$J:$J,($H46-1+MIN(MAX(IFERROR(MATCH(LN(K$5),INDEX(Attenuation!$J:$J,$H46):INDEX(Attenuation!$J:$J,$H46+$I46-1),1),1),1),$I46-1))+1)))))</f>
        <v>0.70165314378657739</v>
      </c>
      <c r="L46" s="12">
        <f>IF($A46="","",IF(L$5&gt;2*$G46,"",EXP(FORECAST(LN(L$5),INDEX(Attenuation!$K:$K,($H46-1+MIN(MAX(IFERROR(MATCH(LN(L$5),INDEX(Attenuation!$J:$J,$H46):INDEX(Attenuation!$J:$J,$H46+$I46-1),1),1),1),$I46-1))):INDEX(Attenuation!$K:$K,($H46-1+MIN(MAX(IFERROR(MATCH(LN(L$5),INDEX(Attenuation!$J:$J,$H46):INDEX(Attenuation!$J:$J,$H46+$I46-1),1),1),1),$I46-1))+1),INDEX(Attenuation!$J:$J,($H46-1+MIN(MAX(IFERROR(MATCH(LN(L$5),INDEX(Attenuation!$J:$J,$H46):INDEX(Attenuation!$J:$J,$H46+$I46-1),1),1),1),$I46-1))):INDEX(Attenuation!$J:$J,($H46-1+MIN(MAX(IFERROR(MATCH(LN(L$5),INDEX(Attenuation!$J:$J,$H46):INDEX(Attenuation!$J:$J,$H46+$I46-1),1),1),1),$I46-1))+1)))))</f>
        <v>0.99999999999999989</v>
      </c>
      <c r="M46" s="12">
        <f>IF($A46="","",IF(M$5&gt;2*$G46,"",EXP(FORECAST(LN(M$5),INDEX(Attenuation!$K:$K,($H46-1+MIN(MAX(IFERROR(MATCH(LN(M$5),INDEX(Attenuation!$J:$J,$H46):INDEX(Attenuation!$J:$J,$H46+$I46-1),1),1),1),$I46-1))):INDEX(Attenuation!$K:$K,($H46-1+MIN(MAX(IFERROR(MATCH(LN(M$5),INDEX(Attenuation!$J:$J,$H46):INDEX(Attenuation!$J:$J,$H46+$I46-1),1),1),1),$I46-1))+1),INDEX(Attenuation!$J:$J,($H46-1+MIN(MAX(IFERROR(MATCH(LN(M$5),INDEX(Attenuation!$J:$J,$H46):INDEX(Attenuation!$J:$J,$H46+$I46-1),1),1),1),$I46-1))):INDEX(Attenuation!$J:$J,($H46-1+MIN(MAX(IFERROR(MATCH(LN(M$5),INDEX(Attenuation!$J:$J,$H46):INDEX(Attenuation!$J:$J,$H46+$I46-1),1),1),1),$I46-1))+1)))))</f>
        <v>1.4000000000000001</v>
      </c>
      <c r="N46" s="12">
        <f>IF($A46="","",IF(N$5&gt;2*$G46,"",EXP(FORECAST(LN(N$5),INDEX(Attenuation!$K:$K,($H46-1+MIN(MAX(IFERROR(MATCH(LN(N$5),INDEX(Attenuation!$J:$J,$H46):INDEX(Attenuation!$J:$J,$H46+$I46-1),1),1),1),$I46-1))):INDEX(Attenuation!$K:$K,($H46-1+MIN(MAX(IFERROR(MATCH(LN(N$5),INDEX(Attenuation!$J:$J,$H46):INDEX(Attenuation!$J:$J,$H46+$I46-1),1),1),1),$I46-1))+1),INDEX(Attenuation!$J:$J,($H46-1+MIN(MAX(IFERROR(MATCH(LN(N$5),INDEX(Attenuation!$J:$J,$H46):INDEX(Attenuation!$J:$J,$H46+$I46-1),1),1),1),$I46-1))):INDEX(Attenuation!$J:$J,($H46-1+MIN(MAX(IFERROR(MATCH(LN(N$5),INDEX(Attenuation!$J:$J,$H46):INDEX(Attenuation!$J:$J,$H46+$I46-1),1),1),1),$I46-1))+1)))))</f>
        <v>1.8</v>
      </c>
      <c r="O46" s="12">
        <f>IF($A46="","",IF(O$5&gt;2*$G46,"",EXP(FORECAST(LN(O$5),INDEX(Attenuation!$K:$K,($H46-1+MIN(MAX(IFERROR(MATCH(LN(O$5),INDEX(Attenuation!$J:$J,$H46):INDEX(Attenuation!$J:$J,$H46+$I46-1),1),1),1),$I46-1))):INDEX(Attenuation!$K:$K,($H46-1+MIN(MAX(IFERROR(MATCH(LN(O$5),INDEX(Attenuation!$J:$J,$H46):INDEX(Attenuation!$J:$J,$H46+$I46-1),1),1),1),$I46-1))+1),INDEX(Attenuation!$J:$J,($H46-1+MIN(MAX(IFERROR(MATCH(LN(O$5),INDEX(Attenuation!$J:$J,$H46):INDEX(Attenuation!$J:$J,$H46+$I46-1),1),1),1),$I46-1))):INDEX(Attenuation!$J:$J,($H46-1+MIN(MAX(IFERROR(MATCH(LN(O$5),INDEX(Attenuation!$J:$J,$H46):INDEX(Attenuation!$J:$J,$H46+$I46-1),1),1),1),$I46-1))+1)))))</f>
        <v>1.9999999999999998</v>
      </c>
      <c r="P46" s="12">
        <f>IF($A46="","",IF(P$5&gt;2*$G46,"",EXP(FORECAST(LN(P$5),INDEX(Attenuation!$K:$K,($H46-1+MIN(MAX(IFERROR(MATCH(LN(P$5),INDEX(Attenuation!$J:$J,$H46):INDEX(Attenuation!$J:$J,$H46+$I46-1),1),1),1),$I46-1))):INDEX(Attenuation!$K:$K,($H46-1+MIN(MAX(IFERROR(MATCH(LN(P$5),INDEX(Attenuation!$J:$J,$H46):INDEX(Attenuation!$J:$J,$H46+$I46-1),1),1),1),$I46-1))+1),INDEX(Attenuation!$J:$J,($H46-1+MIN(MAX(IFERROR(MATCH(LN(P$5),INDEX(Attenuation!$J:$J,$H46):INDEX(Attenuation!$J:$J,$H46+$I46-1),1),1),1),$I46-1))):INDEX(Attenuation!$J:$J,($H46-1+MIN(MAX(IFERROR(MATCH(LN(P$5),INDEX(Attenuation!$J:$J,$H46):INDEX(Attenuation!$J:$J,$H46+$I46-1),1),1),1),$I46-1))+1)))))</f>
        <v>2.6999999999999988</v>
      </c>
      <c r="Q46" s="12">
        <f>IF($A46="","",IF(Q$5&gt;2*$G46,"",EXP(FORECAST(LN(Q$5),INDEX(Attenuation!$K:$K,($H46-1+MIN(MAX(IFERROR(MATCH(LN(Q$5),INDEX(Attenuation!$J:$J,$H46):INDEX(Attenuation!$J:$J,$H46+$I46-1),1),1),1),$I46-1))):INDEX(Attenuation!$K:$K,($H46-1+MIN(MAX(IFERROR(MATCH(LN(Q$5),INDEX(Attenuation!$J:$J,$H46):INDEX(Attenuation!$J:$J,$H46+$I46-1),1),1),1),$I46-1))+1),INDEX(Attenuation!$J:$J,($H46-1+MIN(MAX(IFERROR(MATCH(LN(Q$5),INDEX(Attenuation!$J:$J,$H46):INDEX(Attenuation!$J:$J,$H46+$I46-1),1),1),1),$I46-1))):INDEX(Attenuation!$J:$J,($H46-1+MIN(MAX(IFERROR(MATCH(LN(Q$5),INDEX(Attenuation!$J:$J,$H46):INDEX(Attenuation!$J:$J,$H46+$I46-1),1),1),1),$I46-1))+1)))))</f>
        <v>4.8000000000000007</v>
      </c>
      <c r="R46" s="12">
        <f>IF($A46="","",IF(R$5&gt;2*$G46,"",EXP(FORECAST(LN(R$5),INDEX(Attenuation!$K:$K,($H46-1+MIN(MAX(IFERROR(MATCH(LN(R$5),INDEX(Attenuation!$J:$J,$H46):INDEX(Attenuation!$J:$J,$H46+$I46-1),1),1),1),$I46-1))):INDEX(Attenuation!$K:$K,($H46-1+MIN(MAX(IFERROR(MATCH(LN(R$5),INDEX(Attenuation!$J:$J,$H46):INDEX(Attenuation!$J:$J,$H46+$I46-1),1),1),1),$I46-1))+1),INDEX(Attenuation!$J:$J,($H46-1+MIN(MAX(IFERROR(MATCH(LN(R$5),INDEX(Attenuation!$J:$J,$H46):INDEX(Attenuation!$J:$J,$H46+$I46-1),1),1),1),$I46-1))):INDEX(Attenuation!$J:$J,($H46-1+MIN(MAX(IFERROR(MATCH(LN(R$5),INDEX(Attenuation!$J:$J,$H46):INDEX(Attenuation!$J:$J,$H46+$I46-1),1),1),1),$I46-1))+1)))))</f>
        <v>8.5</v>
      </c>
      <c r="S46" s="12">
        <f>IF($A46="","",IF(S$5&gt;2*$G46,"",EXP(FORECAST(LN(S$5),INDEX(Attenuation!$K:$K,($H46-1+MIN(MAX(IFERROR(MATCH(LN(S$5),INDEX(Attenuation!$J:$J,$H46):INDEX(Attenuation!$J:$J,$H46+$I46-1),1),1),1),$I46-1))):INDEX(Attenuation!$K:$K,($H46-1+MIN(MAX(IFERROR(MATCH(LN(S$5),INDEX(Attenuation!$J:$J,$H46):INDEX(Attenuation!$J:$J,$H46+$I46-1),1),1),1),$I46-1))+1),INDEX(Attenuation!$J:$J,($H46-1+MIN(MAX(IFERROR(MATCH(LN(S$5),INDEX(Attenuation!$J:$J,$H46):INDEX(Attenuation!$J:$J,$H46+$I46-1),1),1),1),$I46-1))):INDEX(Attenuation!$J:$J,($H46-1+MIN(MAX(IFERROR(MATCH(LN(S$5),INDEX(Attenuation!$J:$J,$H46):INDEX(Attenuation!$J:$J,$H46+$I46-1),1),1),1),$I46-1))+1)))))</f>
        <v>15.699999999999998</v>
      </c>
      <c r="T46" s="12">
        <f>IF($A46="","",IF(T$5&gt;2*$G46,"",EXP(FORECAST(LN(T$5),INDEX(Attenuation!$K:$K,($H46-1+MIN(MAX(IFERROR(MATCH(LN(T$5),INDEX(Attenuation!$J:$J,$H46):INDEX(Attenuation!$J:$J,$H46+$I46-1),1),1),1),$I46-1))):INDEX(Attenuation!$K:$K,($H46-1+MIN(MAX(IFERROR(MATCH(LN(T$5),INDEX(Attenuation!$J:$J,$H46):INDEX(Attenuation!$J:$J,$H46+$I46-1),1),1),1),$I46-1))+1),INDEX(Attenuation!$J:$J,($H46-1+MIN(MAX(IFERROR(MATCH(LN(T$5),INDEX(Attenuation!$J:$J,$H46):INDEX(Attenuation!$J:$J,$H46+$I46-1),1),1),1),$I46-1))):INDEX(Attenuation!$J:$J,($H46-1+MIN(MAX(IFERROR(MATCH(LN(T$5),INDEX(Attenuation!$J:$J,$H46):INDEX(Attenuation!$J:$J,$H46+$I46-1),1),1),1),$I46-1))+1)))))</f>
        <v>22.254834997107462</v>
      </c>
      <c r="U46" s="12">
        <f>IF($A46="","",IF(U$5&gt;2*$G46,"",EXP(FORECAST(LN(U$5),INDEX(Attenuation!$K:$K,($H46-1+MIN(MAX(IFERROR(MATCH(LN(U$5),INDEX(Attenuation!$J:$J,$H46):INDEX(Attenuation!$J:$J,$H46+$I46-1),1),1),1),$I46-1))):INDEX(Attenuation!$K:$K,($H46-1+MIN(MAX(IFERROR(MATCH(LN(U$5),INDEX(Attenuation!$J:$J,$H46):INDEX(Attenuation!$J:$J,$H46+$I46-1),1),1),1),$I46-1))+1),INDEX(Attenuation!$J:$J,($H46-1+MIN(MAX(IFERROR(MATCH(LN(U$5),INDEX(Attenuation!$J:$J,$H46):INDEX(Attenuation!$J:$J,$H46+$I46-1),1),1),1),$I46-1))):INDEX(Attenuation!$J:$J,($H46-1+MIN(MAX(IFERROR(MATCH(LN(U$5),INDEX(Attenuation!$J:$J,$H46):INDEX(Attenuation!$J:$J,$H46+$I46-1),1),1),1),$I46-1))+1)))))</f>
        <v>38.065562866743413</v>
      </c>
      <c r="V46" s="1"/>
      <c r="W46" s="12">
        <f t="shared" si="12"/>
        <v>0.15223475109403251</v>
      </c>
      <c r="X46" s="12">
        <f t="shared" si="13"/>
        <v>0.2138638782261488</v>
      </c>
      <c r="Y46" s="12">
        <f t="shared" si="14"/>
        <v>0.30479999999999996</v>
      </c>
      <c r="Z46" s="12">
        <f t="shared" si="15"/>
        <v>0.42672000000000004</v>
      </c>
      <c r="AA46" s="12">
        <f t="shared" si="16"/>
        <v>0.54864000000000002</v>
      </c>
      <c r="AB46" s="12">
        <f t="shared" si="17"/>
        <v>0.60959999999999992</v>
      </c>
      <c r="AC46" s="12">
        <f t="shared" si="18"/>
        <v>0.82295999999999969</v>
      </c>
      <c r="AD46" s="12">
        <f t="shared" si="19"/>
        <v>1.4630400000000003</v>
      </c>
      <c r="AE46" s="12">
        <f t="shared" si="20"/>
        <v>2.5908000000000002</v>
      </c>
      <c r="AF46" s="12">
        <f t="shared" si="21"/>
        <v>4.7853599999999998</v>
      </c>
      <c r="AG46" s="12">
        <f t="shared" si="22"/>
        <v>6.7832737071183544</v>
      </c>
      <c r="AH46" s="12">
        <f t="shared" si="23"/>
        <v>11.602383561783393</v>
      </c>
    </row>
    <row r="47" spans="1:34" x14ac:dyDescent="0.25">
      <c r="A47" s="11" t="str">
        <f>IF(ROWS($A$6:A47)&gt;COUNTA(Cables!$A:$A)-1,"",INDEX(Cables!$A:$A,ROWS($A$6:A47)+1))</f>
        <v>CS-FSJ2-50</v>
      </c>
      <c r="B47" s="11" t="str">
        <f>IF($A47="","",IF(INDEX(Cables!$B:$B,MATCH($A47,Cables!$A:$A,0))="","",INDEX(Cables!$B:$B,MATCH($A47,Cables!$A:$A,0))))</f>
        <v>CommScope FSJ2-50 (3/8" Superflex)</v>
      </c>
      <c r="C47" s="11">
        <f>IF($A47="","",IF(INDEX(Cables!$F:$F,MATCH($A47,Cables!$A:$A,0))="","",INDEX(Cables!$F:$F,MATCH($A47,Cables!$A:$A,0))))</f>
        <v>50</v>
      </c>
      <c r="D47" s="11">
        <f>IF($A47="","",IF(INDEX(Cables!$H:$H,MATCH($A47,Cables!$A:$A,0))="","",INDEX(Cables!$H:$H,MATCH($A47,Cables!$A:$A,0))))</f>
        <v>10.4</v>
      </c>
      <c r="E47" s="12">
        <f>IF($A47="","",IF(INDEX(Cables!$Q:$Q,MATCH($A47,Cables!$A:$A,0))="","",INDEX(Cables!$Q:$Q,MATCH($A47,Cables!$A:$A,0))))</f>
        <v>0.83</v>
      </c>
      <c r="F47" s="11">
        <f>IF($A47="","",IF(INDEX(Cables!$AQ:$AQ,MATCH($A47,Cables!$A:$A,0))="","",INDEX(Cables!$AQ:$AQ,MATCH($A47,Cables!$A:$A,0))))</f>
        <v>0.5</v>
      </c>
      <c r="G47" s="11">
        <f>IF($A47="","",IF(INDEX(Cables!$AR:$AR,MATCH($A47,Cables!$A:$A,0))="","",INDEX(Cables!$AR:$AR,MATCH($A47,Cables!$A:$A,0))))</f>
        <v>13400</v>
      </c>
      <c r="H47" s="11">
        <f>IF($A47="","",IF(INDEX(Cables!$AO:$AO,MATCH($A47,Cables!$A:$A,0))="","",INDEX(Cables!$AO:$AO,MATCH($A47,Cables!$A:$A,0))))</f>
        <v>585</v>
      </c>
      <c r="I47" s="11">
        <f>IF($A47="","",IF(INDEX(Cables!$AP:$AP,MATCH($A47,Cables!$A:$A,0))="","",INDEX(Cables!$AP:$AP,MATCH($A47,Cables!$A:$A,0))))</f>
        <v>57</v>
      </c>
      <c r="J47" s="12">
        <f>IF($A47="","",IF(J$5&gt;2*$G47,"",EXP(FORECAST(LN(J$5),INDEX(Attenuation!$K:$K,($H47-1+MIN(MAX(IFERROR(MATCH(LN(J$5),INDEX(Attenuation!$J:$J,$H47):INDEX(Attenuation!$J:$J,$H47+$I47-1),1),1),1),$I47-1))):INDEX(Attenuation!$K:$K,($H47-1+MIN(MAX(IFERROR(MATCH(LN(J$5),INDEX(Attenuation!$J:$J,$H47):INDEX(Attenuation!$J:$J,$H47+$I47-1),1),1),1),$I47-1))+1),INDEX(Attenuation!$J:$J,($H47-1+MIN(MAX(IFERROR(MATCH(LN(J$5),INDEX(Attenuation!$J:$J,$H47):INDEX(Attenuation!$J:$J,$H47+$I47-1),1),1),1),$I47-1))):INDEX(Attenuation!$J:$J,($H47-1+MIN(MAX(IFERROR(MATCH(LN(J$5),INDEX(Attenuation!$J:$J,$H47):INDEX(Attenuation!$J:$J,$H47+$I47-1),1),1),1),$I47-1))+1)))))</f>
        <v>0.51403153861331052</v>
      </c>
      <c r="K47" s="12">
        <f>IF($A47="","",IF(K$5&gt;2*$G47,"",EXP(FORECAST(LN(K$5),INDEX(Attenuation!$K:$K,($H47-1+MIN(MAX(IFERROR(MATCH(LN(K$5),INDEX(Attenuation!$J:$J,$H47):INDEX(Attenuation!$J:$J,$H47+$I47-1),1),1),1),$I47-1))):INDEX(Attenuation!$K:$K,($H47-1+MIN(MAX(IFERROR(MATCH(LN(K$5),INDEX(Attenuation!$J:$J,$H47):INDEX(Attenuation!$J:$J,$H47+$I47-1),1),1),1),$I47-1))+1),INDEX(Attenuation!$J:$J,($H47-1+MIN(MAX(IFERROR(MATCH(LN(K$5),INDEX(Attenuation!$J:$J,$H47):INDEX(Attenuation!$J:$J,$H47+$I47-1),1),1),1),$I47-1))):INDEX(Attenuation!$J:$J,($H47-1+MIN(MAX(IFERROR(MATCH(LN(K$5),INDEX(Attenuation!$J:$J,$H47):INDEX(Attenuation!$J:$J,$H47+$I47-1),1),1),1),$I47-1))+1)))))</f>
        <v>0.71844633623905363</v>
      </c>
      <c r="L47" s="12">
        <f>IF($A47="","",IF(L$5&gt;2*$G47,"",EXP(FORECAST(LN(L$5),INDEX(Attenuation!$K:$K,($H47-1+MIN(MAX(IFERROR(MATCH(LN(L$5),INDEX(Attenuation!$J:$J,$H47):INDEX(Attenuation!$J:$J,$H47+$I47-1),1),1),1),$I47-1))):INDEX(Attenuation!$K:$K,($H47-1+MIN(MAX(IFERROR(MATCH(LN(L$5),INDEX(Attenuation!$J:$J,$H47):INDEX(Attenuation!$J:$J,$H47+$I47-1),1),1),1),$I47-1))+1),INDEX(Attenuation!$J:$J,($H47-1+MIN(MAX(IFERROR(MATCH(LN(L$5),INDEX(Attenuation!$J:$J,$H47):INDEX(Attenuation!$J:$J,$H47+$I47-1),1),1),1),$I47-1))):INDEX(Attenuation!$J:$J,($H47-1+MIN(MAX(IFERROR(MATCH(LN(L$5),INDEX(Attenuation!$J:$J,$H47):INDEX(Attenuation!$J:$J,$H47+$I47-1),1),1),1),$I47-1))+1)))))</f>
        <v>1.0185782212109542</v>
      </c>
      <c r="M47" s="12">
        <f>IF($A47="","",IF(M$5&gt;2*$G47,"",EXP(FORECAST(LN(M$5),INDEX(Attenuation!$K:$K,($H47-1+MIN(MAX(IFERROR(MATCH(LN(M$5),INDEX(Attenuation!$J:$J,$H47):INDEX(Attenuation!$J:$J,$H47+$I47-1),1),1),1),$I47-1))):INDEX(Attenuation!$K:$K,($H47-1+MIN(MAX(IFERROR(MATCH(LN(M$5),INDEX(Attenuation!$J:$J,$H47):INDEX(Attenuation!$J:$J,$H47+$I47-1),1),1),1),$I47-1))+1),INDEX(Attenuation!$J:$J,($H47-1+MIN(MAX(IFERROR(MATCH(LN(M$5),INDEX(Attenuation!$J:$J,$H47):INDEX(Attenuation!$J:$J,$H47+$I47-1),1),1),1),$I47-1))):INDEX(Attenuation!$J:$J,($H47-1+MIN(MAX(IFERROR(MATCH(LN(M$5),INDEX(Attenuation!$J:$J,$H47):INDEX(Attenuation!$J:$J,$H47+$I47-1),1),1),1),$I47-1))+1)))))</f>
        <v>1.4456153262575662</v>
      </c>
      <c r="N47" s="12">
        <f>IF($A47="","",IF(N$5&gt;2*$G47,"",EXP(FORECAST(LN(N$5),INDEX(Attenuation!$K:$K,($H47-1+MIN(MAX(IFERROR(MATCH(LN(N$5),INDEX(Attenuation!$J:$J,$H47):INDEX(Attenuation!$J:$J,$H47+$I47-1),1),1),1),$I47-1))):INDEX(Attenuation!$K:$K,($H47-1+MIN(MAX(IFERROR(MATCH(LN(N$5),INDEX(Attenuation!$J:$J,$H47):INDEX(Attenuation!$J:$J,$H47+$I47-1),1),1),1),$I47-1))+1),INDEX(Attenuation!$J:$J,($H47-1+MIN(MAX(IFERROR(MATCH(LN(N$5),INDEX(Attenuation!$J:$J,$H47):INDEX(Attenuation!$J:$J,$H47+$I47-1),1),1),1),$I47-1))):INDEX(Attenuation!$J:$J,($H47-1+MIN(MAX(IFERROR(MATCH(LN(N$5),INDEX(Attenuation!$J:$J,$H47):INDEX(Attenuation!$J:$J,$H47+$I47-1),1),1),1),$I47-1))+1)))))</f>
        <v>1.7754496744196389</v>
      </c>
      <c r="O47" s="12">
        <f>IF($A47="","",IF(O$5&gt;2*$G47,"",EXP(FORECAST(LN(O$5),INDEX(Attenuation!$K:$K,($H47-1+MIN(MAX(IFERROR(MATCH(LN(O$5),INDEX(Attenuation!$J:$J,$H47):INDEX(Attenuation!$J:$J,$H47+$I47-1),1),1),1),$I47-1))):INDEX(Attenuation!$K:$K,($H47-1+MIN(MAX(IFERROR(MATCH(LN(O$5),INDEX(Attenuation!$J:$J,$H47):INDEX(Attenuation!$J:$J,$H47+$I47-1),1),1),1),$I47-1))+1),INDEX(Attenuation!$J:$J,($H47-1+MIN(MAX(IFERROR(MATCH(LN(O$5),INDEX(Attenuation!$J:$J,$H47):INDEX(Attenuation!$J:$J,$H47+$I47-1),1),1),1),$I47-1))):INDEX(Attenuation!$J:$J,($H47-1+MIN(MAX(IFERROR(MATCH(LN(O$5),INDEX(Attenuation!$J:$J,$H47):INDEX(Attenuation!$J:$J,$H47+$I47-1),1),1),1),$I47-1))+1)))))</f>
        <v>2.0547335725900617</v>
      </c>
      <c r="P47" s="12">
        <f>IF($A47="","",IF(P$5&gt;2*$G47,"",EXP(FORECAST(LN(P$5),INDEX(Attenuation!$K:$K,($H47-1+MIN(MAX(IFERROR(MATCH(LN(P$5),INDEX(Attenuation!$J:$J,$H47):INDEX(Attenuation!$J:$J,$H47+$I47-1),1),1),1),$I47-1))):INDEX(Attenuation!$K:$K,($H47-1+MIN(MAX(IFERROR(MATCH(LN(P$5),INDEX(Attenuation!$J:$J,$H47):INDEX(Attenuation!$J:$J,$H47+$I47-1),1),1),1),$I47-1))+1),INDEX(Attenuation!$J:$J,($H47-1+MIN(MAX(IFERROR(MATCH(LN(P$5),INDEX(Attenuation!$J:$J,$H47):INDEX(Attenuation!$J:$J,$H47+$I47-1),1),1),1),$I47-1))):INDEX(Attenuation!$J:$J,($H47-1+MIN(MAX(IFERROR(MATCH(LN(P$5),INDEX(Attenuation!$J:$J,$H47):INDEX(Attenuation!$J:$J,$H47+$I47-1),1),1),1),$I47-1))+1)))))</f>
        <v>2.7619999999999996</v>
      </c>
      <c r="Q47" s="12">
        <f>IF($A47="","",IF(Q$5&gt;2*$G47,"",EXP(FORECAST(LN(Q$5),INDEX(Attenuation!$K:$K,($H47-1+MIN(MAX(IFERROR(MATCH(LN(Q$5),INDEX(Attenuation!$J:$J,$H47):INDEX(Attenuation!$J:$J,$H47+$I47-1),1),1),1),$I47-1))):INDEX(Attenuation!$K:$K,($H47-1+MIN(MAX(IFERROR(MATCH(LN(Q$5),INDEX(Attenuation!$J:$J,$H47):INDEX(Attenuation!$J:$J,$H47+$I47-1),1),1),1),$I47-1))+1),INDEX(Attenuation!$J:$J,($H47-1+MIN(MAX(IFERROR(MATCH(LN(Q$5),INDEX(Attenuation!$J:$J,$H47):INDEX(Attenuation!$J:$J,$H47+$I47-1),1),1),1),$I47-1))):INDEX(Attenuation!$J:$J,($H47-1+MIN(MAX(IFERROR(MATCH(LN(Q$5),INDEX(Attenuation!$J:$J,$H47):INDEX(Attenuation!$J:$J,$H47+$I47-1),1),1),1),$I47-1))+1)))))</f>
        <v>4.7612382891528027</v>
      </c>
      <c r="R47" s="12">
        <f>IF($A47="","",IF(R$5&gt;2*$G47,"",EXP(FORECAST(LN(R$5),INDEX(Attenuation!$K:$K,($H47-1+MIN(MAX(IFERROR(MATCH(LN(R$5),INDEX(Attenuation!$J:$J,$H47):INDEX(Attenuation!$J:$J,$H47+$I47-1),1),1),1),$I47-1))):INDEX(Attenuation!$K:$K,($H47-1+MIN(MAX(IFERROR(MATCH(LN(R$5),INDEX(Attenuation!$J:$J,$H47):INDEX(Attenuation!$J:$J,$H47+$I47-1),1),1),1),$I47-1))+1),INDEX(Attenuation!$J:$J,($H47-1+MIN(MAX(IFERROR(MATCH(LN(R$5),INDEX(Attenuation!$J:$J,$H47):INDEX(Attenuation!$J:$J,$H47+$I47-1),1),1),1),$I47-1))):INDEX(Attenuation!$J:$J,($H47-1+MIN(MAX(IFERROR(MATCH(LN(R$5),INDEX(Attenuation!$J:$J,$H47):INDEX(Attenuation!$J:$J,$H47+$I47-1),1),1),1),$I47-1))+1)))))</f>
        <v>8.4785928980858873</v>
      </c>
      <c r="S47" s="12">
        <f>IF($A47="","",IF(S$5&gt;2*$G47,"",EXP(FORECAST(LN(S$5),INDEX(Attenuation!$K:$K,($H47-1+MIN(MAX(IFERROR(MATCH(LN(S$5),INDEX(Attenuation!$J:$J,$H47):INDEX(Attenuation!$J:$J,$H47+$I47-1),1),1),1),$I47-1))):INDEX(Attenuation!$K:$K,($H47-1+MIN(MAX(IFERROR(MATCH(LN(S$5),INDEX(Attenuation!$J:$J,$H47):INDEX(Attenuation!$J:$J,$H47+$I47-1),1),1),1),$I47-1))+1),INDEX(Attenuation!$J:$J,($H47-1+MIN(MAX(IFERROR(MATCH(LN(S$5),INDEX(Attenuation!$J:$J,$H47):INDEX(Attenuation!$J:$J,$H47+$I47-1),1),1),1),$I47-1))):INDEX(Attenuation!$J:$J,($H47-1+MIN(MAX(IFERROR(MATCH(LN(S$5),INDEX(Attenuation!$J:$J,$H47):INDEX(Attenuation!$J:$J,$H47+$I47-1),1),1),1),$I47-1))+1)))))</f>
        <v>15.379182716857624</v>
      </c>
      <c r="T47" s="12">
        <f>IF($A47="","",IF(T$5&gt;2*$G47,"",EXP(FORECAST(LN(T$5),INDEX(Attenuation!$K:$K,($H47-1+MIN(MAX(IFERROR(MATCH(LN(T$5),INDEX(Attenuation!$J:$J,$H47):INDEX(Attenuation!$J:$J,$H47+$I47-1),1),1),1),$I47-1))):INDEX(Attenuation!$K:$K,($H47-1+MIN(MAX(IFERROR(MATCH(LN(T$5),INDEX(Attenuation!$J:$J,$H47):INDEX(Attenuation!$J:$J,$H47+$I47-1),1),1),1),$I47-1))+1),INDEX(Attenuation!$J:$J,($H47-1+MIN(MAX(IFERROR(MATCH(LN(T$5),INDEX(Attenuation!$J:$J,$H47):INDEX(Attenuation!$J:$J,$H47+$I47-1),1),1),1),$I47-1))):INDEX(Attenuation!$J:$J,($H47-1+MIN(MAX(IFERROR(MATCH(LN(T$5),INDEX(Attenuation!$J:$J,$H47):INDEX(Attenuation!$J:$J,$H47+$I47-1),1),1),1),$I47-1))+1)))))</f>
        <v>21.733627156434007</v>
      </c>
      <c r="U47" s="12">
        <f>IF($A47="","",IF(U$5&gt;2*$G47,"",EXP(FORECAST(LN(U$5),INDEX(Attenuation!$K:$K,($H47-1+MIN(MAX(IFERROR(MATCH(LN(U$5),INDEX(Attenuation!$J:$J,$H47):INDEX(Attenuation!$J:$J,$H47+$I47-1),1),1),1),$I47-1))):INDEX(Attenuation!$K:$K,($H47-1+MIN(MAX(IFERROR(MATCH(LN(U$5),INDEX(Attenuation!$J:$J,$H47):INDEX(Attenuation!$J:$J,$H47+$I47-1),1),1),1),$I47-1))+1),INDEX(Attenuation!$J:$J,($H47-1+MIN(MAX(IFERROR(MATCH(LN(U$5),INDEX(Attenuation!$J:$J,$H47):INDEX(Attenuation!$J:$J,$H47+$I47-1),1),1),1),$I47-1))):INDEX(Attenuation!$J:$J,($H47-1+MIN(MAX(IFERROR(MATCH(LN(U$5),INDEX(Attenuation!$J:$J,$H47):INDEX(Attenuation!$J:$J,$H47+$I47-1),1),1),1),$I47-1))+1)))))</f>
        <v>36.255600833960877</v>
      </c>
      <c r="V47" s="1"/>
      <c r="W47" s="12">
        <f t="shared" si="12"/>
        <v>0.15667681296933705</v>
      </c>
      <c r="X47" s="12">
        <f t="shared" si="13"/>
        <v>0.21898244328566355</v>
      </c>
      <c r="Y47" s="12">
        <f t="shared" si="14"/>
        <v>0.31046264182509886</v>
      </c>
      <c r="Z47" s="12">
        <f t="shared" si="15"/>
        <v>0.44062355144330617</v>
      </c>
      <c r="AA47" s="12">
        <f t="shared" si="16"/>
        <v>0.54115706076310599</v>
      </c>
      <c r="AB47" s="12">
        <f t="shared" si="17"/>
        <v>0.62628279292545086</v>
      </c>
      <c r="AC47" s="12">
        <f t="shared" si="18"/>
        <v>0.84185759999999987</v>
      </c>
      <c r="AD47" s="12">
        <f t="shared" si="19"/>
        <v>1.4512254305337744</v>
      </c>
      <c r="AE47" s="12">
        <f t="shared" si="20"/>
        <v>2.5842751153365784</v>
      </c>
      <c r="AF47" s="12">
        <f t="shared" si="21"/>
        <v>4.6875748920982039</v>
      </c>
      <c r="AG47" s="12">
        <f t="shared" si="22"/>
        <v>6.6244095572810862</v>
      </c>
      <c r="AH47" s="12">
        <f t="shared" si="23"/>
        <v>11.050707134191276</v>
      </c>
    </row>
    <row r="48" spans="1:34" x14ac:dyDescent="0.25">
      <c r="A48" s="11" t="str">
        <f>IF(ROWS($A$6:A48)&gt;COUNTA(Cables!$A:$A)-1,"",INDEX(Cables!$A:$A,ROWS($A$6:A48)+1))</f>
        <v>MP-AIRBORNE10</v>
      </c>
      <c r="B48" s="11" t="str">
        <f>IF($A48="","",IF(INDEX(Cables!$B:$B,MATCH($A48,Cables!$A:$A,0))="","",INDEX(Cables!$B:$B,MATCH($A48,Cables!$A:$A,0))))</f>
        <v>Messi &amp; Paoloni Airborne 10</v>
      </c>
      <c r="C48" s="11">
        <f>IF($A48="","",IF(INDEX(Cables!$F:$F,MATCH($A48,Cables!$A:$A,0))="","",INDEX(Cables!$F:$F,MATCH($A48,Cables!$A:$A,0))))</f>
        <v>50</v>
      </c>
      <c r="D48" s="11">
        <f>IF($A48="","",IF(INDEX(Cables!$H:$H,MATCH($A48,Cables!$A:$A,0))="","",INDEX(Cables!$H:$H,MATCH($A48,Cables!$A:$A,0))))</f>
        <v>10.3</v>
      </c>
      <c r="E48" s="12">
        <f>IF($A48="","",IF(INDEX(Cables!$Q:$Q,MATCH($A48,Cables!$A:$A,0))="","",INDEX(Cables!$Q:$Q,MATCH($A48,Cables!$A:$A,0))))</f>
        <v>0.87</v>
      </c>
      <c r="F48" s="11">
        <f>IF($A48="","",IF(INDEX(Cables!$AQ:$AQ,MATCH($A48,Cables!$A:$A,0))="","",INDEX(Cables!$AQ:$AQ,MATCH($A48,Cables!$A:$A,0))))</f>
        <v>1.8</v>
      </c>
      <c r="G48" s="11">
        <f>IF($A48="","",IF(INDEX(Cables!$AR:$AR,MATCH($A48,Cables!$A:$A,0))="","",INDEX(Cables!$AR:$AR,MATCH($A48,Cables!$A:$A,0))))</f>
        <v>12000</v>
      </c>
      <c r="H48" s="11">
        <f>IF($A48="","",IF(INDEX(Cables!$AO:$AO,MATCH($A48,Cables!$A:$A,0))="","",INDEX(Cables!$AO:$AO,MATCH($A48,Cables!$A:$A,0))))</f>
        <v>642</v>
      </c>
      <c r="I48" s="11">
        <f>IF($A48="","",IF(INDEX(Cables!$AP:$AP,MATCH($A48,Cables!$A:$A,0))="","",INDEX(Cables!$AP:$AP,MATCH($A48,Cables!$A:$A,0))))</f>
        <v>25</v>
      </c>
      <c r="J48" s="12">
        <f>IF($A48="","",IF(J$5&gt;2*$G48,"",EXP(FORECAST(LN(J$5),INDEX(Attenuation!$K:$K,($H48-1+MIN(MAX(IFERROR(MATCH(LN(J$5),INDEX(Attenuation!$J:$J,$H48):INDEX(Attenuation!$J:$J,$H48+$I48-1),1),1),1),$I48-1))):INDEX(Attenuation!$K:$K,($H48-1+MIN(MAX(IFERROR(MATCH(LN(J$5),INDEX(Attenuation!$J:$J,$H48):INDEX(Attenuation!$J:$J,$H48+$I48-1),1),1),1),$I48-1))+1),INDEX(Attenuation!$J:$J,($H48-1+MIN(MAX(IFERROR(MATCH(LN(J$5),INDEX(Attenuation!$J:$J,$H48):INDEX(Attenuation!$J:$J,$H48+$I48-1),1),1),1),$I48-1))):INDEX(Attenuation!$J:$J,($H48-1+MIN(MAX(IFERROR(MATCH(LN(J$5),INDEX(Attenuation!$J:$J,$H48):INDEX(Attenuation!$J:$J,$H48+$I48-1),1),1),1),$I48-1))+1)))))</f>
        <v>0.6</v>
      </c>
      <c r="K48" s="12">
        <f>IF($A48="","",IF(K$5&gt;2*$G48,"",EXP(FORECAST(LN(K$5),INDEX(Attenuation!$K:$K,($H48-1+MIN(MAX(IFERROR(MATCH(LN(K$5),INDEX(Attenuation!$J:$J,$H48):INDEX(Attenuation!$J:$J,$H48+$I48-1),1),1),1),$I48-1))):INDEX(Attenuation!$K:$K,($H48-1+MIN(MAX(IFERROR(MATCH(LN(K$5),INDEX(Attenuation!$J:$J,$H48):INDEX(Attenuation!$J:$J,$H48+$I48-1),1),1),1),$I48-1))+1),INDEX(Attenuation!$J:$J,($H48-1+MIN(MAX(IFERROR(MATCH(LN(K$5),INDEX(Attenuation!$J:$J,$H48):INDEX(Attenuation!$J:$J,$H48+$I48-1),1),1),1),$I48-1))):INDEX(Attenuation!$J:$J,($H48-1+MIN(MAX(IFERROR(MATCH(LN(K$5),INDEX(Attenuation!$J:$J,$H48):INDEX(Attenuation!$J:$J,$H48+$I48-1),1),1),1),$I48-1))+1)))))</f>
        <v>0.79999999999999993</v>
      </c>
      <c r="L48" s="12">
        <f>IF($A48="","",IF(L$5&gt;2*$G48,"",EXP(FORECAST(LN(L$5),INDEX(Attenuation!$K:$K,($H48-1+MIN(MAX(IFERROR(MATCH(LN(L$5),INDEX(Attenuation!$J:$J,$H48):INDEX(Attenuation!$J:$J,$H48+$I48-1),1),1),1),$I48-1))):INDEX(Attenuation!$K:$K,($H48-1+MIN(MAX(IFERROR(MATCH(LN(L$5),INDEX(Attenuation!$J:$J,$H48):INDEX(Attenuation!$J:$J,$H48+$I48-1),1),1),1),$I48-1))+1),INDEX(Attenuation!$J:$J,($H48-1+MIN(MAX(IFERROR(MATCH(LN(L$5),INDEX(Attenuation!$J:$J,$H48):INDEX(Attenuation!$J:$J,$H48+$I48-1),1),1),1),$I48-1))):INDEX(Attenuation!$J:$J,($H48-1+MIN(MAX(IFERROR(MATCH(LN(L$5),INDEX(Attenuation!$J:$J,$H48):INDEX(Attenuation!$J:$J,$H48+$I48-1),1),1),1),$I48-1))+1)))))</f>
        <v>0.99999999999999989</v>
      </c>
      <c r="M48" s="12">
        <f>IF($A48="","",IF(M$5&gt;2*$G48,"",EXP(FORECAST(LN(M$5),INDEX(Attenuation!$K:$K,($H48-1+MIN(MAX(IFERROR(MATCH(LN(M$5),INDEX(Attenuation!$J:$J,$H48):INDEX(Attenuation!$J:$J,$H48+$I48-1),1),1),1),$I48-1))):INDEX(Attenuation!$K:$K,($H48-1+MIN(MAX(IFERROR(MATCH(LN(M$5),INDEX(Attenuation!$J:$J,$H48):INDEX(Attenuation!$J:$J,$H48+$I48-1),1),1),1),$I48-1))+1),INDEX(Attenuation!$J:$J,($H48-1+MIN(MAX(IFERROR(MATCH(LN(M$5),INDEX(Attenuation!$J:$J,$H48):INDEX(Attenuation!$J:$J,$H48+$I48-1),1),1),1),$I48-1))):INDEX(Attenuation!$J:$J,($H48-1+MIN(MAX(IFERROR(MATCH(LN(M$5),INDEX(Attenuation!$J:$J,$H48):INDEX(Attenuation!$J:$J,$H48+$I48-1),1),1),1),$I48-1))+1)))))</f>
        <v>1.3</v>
      </c>
      <c r="N48" s="12">
        <f>IF($A48="","",IF(N$5&gt;2*$G48,"",EXP(FORECAST(LN(N$5),INDEX(Attenuation!$K:$K,($H48-1+MIN(MAX(IFERROR(MATCH(LN(N$5),INDEX(Attenuation!$J:$J,$H48):INDEX(Attenuation!$J:$J,$H48+$I48-1),1),1),1),$I48-1))):INDEX(Attenuation!$K:$K,($H48-1+MIN(MAX(IFERROR(MATCH(LN(N$5),INDEX(Attenuation!$J:$J,$H48):INDEX(Attenuation!$J:$J,$H48+$I48-1),1),1),1),$I48-1))+1),INDEX(Attenuation!$J:$J,($H48-1+MIN(MAX(IFERROR(MATCH(LN(N$5),INDEX(Attenuation!$J:$J,$H48):INDEX(Attenuation!$J:$J,$H48+$I48-1),1),1),1),$I48-1))):INDEX(Attenuation!$J:$J,($H48-1+MIN(MAX(IFERROR(MATCH(LN(N$5),INDEX(Attenuation!$J:$J,$H48):INDEX(Attenuation!$J:$J,$H48+$I48-1),1),1),1),$I48-1))+1)))))</f>
        <v>1.6999999999999997</v>
      </c>
      <c r="O48" s="12">
        <f>IF($A48="","",IF(O$5&gt;2*$G48,"",EXP(FORECAST(LN(O$5),INDEX(Attenuation!$K:$K,($H48-1+MIN(MAX(IFERROR(MATCH(LN(O$5),INDEX(Attenuation!$J:$J,$H48):INDEX(Attenuation!$J:$J,$H48+$I48-1),1),1),1),$I48-1))):INDEX(Attenuation!$K:$K,($H48-1+MIN(MAX(IFERROR(MATCH(LN(O$5),INDEX(Attenuation!$J:$J,$H48):INDEX(Attenuation!$J:$J,$H48+$I48-1),1),1),1),$I48-1))+1),INDEX(Attenuation!$J:$J,($H48-1+MIN(MAX(IFERROR(MATCH(LN(O$5),INDEX(Attenuation!$J:$J,$H48):INDEX(Attenuation!$J:$J,$H48+$I48-1),1),1),1),$I48-1))):INDEX(Attenuation!$J:$J,($H48-1+MIN(MAX(IFERROR(MATCH(LN(O$5),INDEX(Attenuation!$J:$J,$H48):INDEX(Attenuation!$J:$J,$H48+$I48-1),1),1),1),$I48-1))+1)))))</f>
        <v>1.9000000000000001</v>
      </c>
      <c r="P48" s="12">
        <f>IF($A48="","",IF(P$5&gt;2*$G48,"",EXP(FORECAST(LN(P$5),INDEX(Attenuation!$K:$K,($H48-1+MIN(MAX(IFERROR(MATCH(LN(P$5),INDEX(Attenuation!$J:$J,$H48):INDEX(Attenuation!$J:$J,$H48+$I48-1),1),1),1),$I48-1))):INDEX(Attenuation!$K:$K,($H48-1+MIN(MAX(IFERROR(MATCH(LN(P$5),INDEX(Attenuation!$J:$J,$H48):INDEX(Attenuation!$J:$J,$H48+$I48-1),1),1),1),$I48-1))+1),INDEX(Attenuation!$J:$J,($H48-1+MIN(MAX(IFERROR(MATCH(LN(P$5),INDEX(Attenuation!$J:$J,$H48):INDEX(Attenuation!$J:$J,$H48+$I48-1),1),1),1),$I48-1))):INDEX(Attenuation!$J:$J,($H48-1+MIN(MAX(IFERROR(MATCH(LN(P$5),INDEX(Attenuation!$J:$J,$H48):INDEX(Attenuation!$J:$J,$H48+$I48-1),1),1),1),$I48-1))+1)))))</f>
        <v>2.3999999999999995</v>
      </c>
      <c r="Q48" s="12">
        <f>IF($A48="","",IF(Q$5&gt;2*$G48,"",EXP(FORECAST(LN(Q$5),INDEX(Attenuation!$K:$K,($H48-1+MIN(MAX(IFERROR(MATCH(LN(Q$5),INDEX(Attenuation!$J:$J,$H48):INDEX(Attenuation!$J:$J,$H48+$I48-1),1),1),1),$I48-1))):INDEX(Attenuation!$K:$K,($H48-1+MIN(MAX(IFERROR(MATCH(LN(Q$5),INDEX(Attenuation!$J:$J,$H48):INDEX(Attenuation!$J:$J,$H48+$I48-1),1),1),1),$I48-1))+1),INDEX(Attenuation!$J:$J,($H48-1+MIN(MAX(IFERROR(MATCH(LN(Q$5),INDEX(Attenuation!$J:$J,$H48):INDEX(Attenuation!$J:$J,$H48+$I48-1),1),1),1),$I48-1))):INDEX(Attenuation!$J:$J,($H48-1+MIN(MAX(IFERROR(MATCH(LN(Q$5),INDEX(Attenuation!$J:$J,$H48):INDEX(Attenuation!$J:$J,$H48+$I48-1),1),1),1),$I48-1))+1)))))</f>
        <v>4.2</v>
      </c>
      <c r="R48" s="12">
        <f>IF($A48="","",IF(R$5&gt;2*$G48,"",EXP(FORECAST(LN(R$5),INDEX(Attenuation!$K:$K,($H48-1+MIN(MAX(IFERROR(MATCH(LN(R$5),INDEX(Attenuation!$J:$J,$H48):INDEX(Attenuation!$J:$J,$H48+$I48-1),1),1),1),$I48-1))):INDEX(Attenuation!$K:$K,($H48-1+MIN(MAX(IFERROR(MATCH(LN(R$5),INDEX(Attenuation!$J:$J,$H48):INDEX(Attenuation!$J:$J,$H48+$I48-1),1),1),1),$I48-1))+1),INDEX(Attenuation!$J:$J,($H48-1+MIN(MAX(IFERROR(MATCH(LN(R$5),INDEX(Attenuation!$J:$J,$H48):INDEX(Attenuation!$J:$J,$H48+$I48-1),1),1),1),$I48-1))):INDEX(Attenuation!$J:$J,($H48-1+MIN(MAX(IFERROR(MATCH(LN(R$5),INDEX(Attenuation!$J:$J,$H48):INDEX(Attenuation!$J:$J,$H48+$I48-1),1),1),1),$I48-1))+1)))))</f>
        <v>7.617838641735748</v>
      </c>
      <c r="S48" s="12">
        <f>IF($A48="","",IF(S$5&gt;2*$G48,"",EXP(FORECAST(LN(S$5),INDEX(Attenuation!$K:$K,($H48-1+MIN(MAX(IFERROR(MATCH(LN(S$5),INDEX(Attenuation!$J:$J,$H48):INDEX(Attenuation!$J:$J,$H48+$I48-1),1),1),1),$I48-1))):INDEX(Attenuation!$K:$K,($H48-1+MIN(MAX(IFERROR(MATCH(LN(S$5),INDEX(Attenuation!$J:$J,$H48):INDEX(Attenuation!$J:$J,$H48+$I48-1),1),1),1),$I48-1))+1),INDEX(Attenuation!$J:$J,($H48-1+MIN(MAX(IFERROR(MATCH(LN(S$5),INDEX(Attenuation!$J:$J,$H48):INDEX(Attenuation!$J:$J,$H48+$I48-1),1),1),1),$I48-1))):INDEX(Attenuation!$J:$J,($H48-1+MIN(MAX(IFERROR(MATCH(LN(S$5),INDEX(Attenuation!$J:$J,$H48):INDEX(Attenuation!$J:$J,$H48+$I48-1),1),1),1),$I48-1))+1)))))</f>
        <v>13.600000000000001</v>
      </c>
      <c r="T48" s="12">
        <f>IF($A48="","",IF(T$5&gt;2*$G48,"",EXP(FORECAST(LN(T$5),INDEX(Attenuation!$K:$K,($H48-1+MIN(MAX(IFERROR(MATCH(LN(T$5),INDEX(Attenuation!$J:$J,$H48):INDEX(Attenuation!$J:$J,$H48+$I48-1),1),1),1),$I48-1))):INDEX(Attenuation!$K:$K,($H48-1+MIN(MAX(IFERROR(MATCH(LN(T$5),INDEX(Attenuation!$J:$J,$H48):INDEX(Attenuation!$J:$J,$H48+$I48-1),1),1),1),$I48-1))+1),INDEX(Attenuation!$J:$J,($H48-1+MIN(MAX(IFERROR(MATCH(LN(T$5),INDEX(Attenuation!$J:$J,$H48):INDEX(Attenuation!$J:$J,$H48+$I48-1),1),1),1),$I48-1))):INDEX(Attenuation!$J:$J,($H48-1+MIN(MAX(IFERROR(MATCH(LN(T$5),INDEX(Attenuation!$J:$J,$H48):INDEX(Attenuation!$J:$J,$H48+$I48-1),1),1),1),$I48-1))+1)))))</f>
        <v>19.199999999999996</v>
      </c>
      <c r="U48" s="12">
        <f>IF($A48="","",IF(U$5&gt;2*$G48,"",EXP(FORECAST(LN(U$5),INDEX(Attenuation!$K:$K,($H48-1+MIN(MAX(IFERROR(MATCH(LN(U$5),INDEX(Attenuation!$J:$J,$H48):INDEX(Attenuation!$J:$J,$H48+$I48-1),1),1),1),$I48-1))):INDEX(Attenuation!$K:$K,($H48-1+MIN(MAX(IFERROR(MATCH(LN(U$5),INDEX(Attenuation!$J:$J,$H48):INDEX(Attenuation!$J:$J,$H48+$I48-1),1),1),1),$I48-1))+1),INDEX(Attenuation!$J:$J,($H48-1+MIN(MAX(IFERROR(MATCH(LN(U$5),INDEX(Attenuation!$J:$J,$H48):INDEX(Attenuation!$J:$J,$H48+$I48-1),1),1),1),$I48-1))):INDEX(Attenuation!$J:$J,($H48-1+MIN(MAX(IFERROR(MATCH(LN(U$5),INDEX(Attenuation!$J:$J,$H48):INDEX(Attenuation!$J:$J,$H48+$I48-1),1),1),1),$I48-1))+1)))))</f>
        <v>31.957209939470768</v>
      </c>
      <c r="V48" s="1"/>
      <c r="W48" s="12">
        <f t="shared" si="12"/>
        <v>0.18288000000000001</v>
      </c>
      <c r="X48" s="12">
        <f t="shared" si="13"/>
        <v>0.24384</v>
      </c>
      <c r="Y48" s="12">
        <f t="shared" si="14"/>
        <v>0.30479999999999996</v>
      </c>
      <c r="Z48" s="12">
        <f t="shared" si="15"/>
        <v>0.39624000000000004</v>
      </c>
      <c r="AA48" s="12">
        <f t="shared" si="16"/>
        <v>0.51815999999999995</v>
      </c>
      <c r="AB48" s="12">
        <f t="shared" si="17"/>
        <v>0.57912000000000008</v>
      </c>
      <c r="AC48" s="12">
        <f t="shared" si="18"/>
        <v>0.73151999999999984</v>
      </c>
      <c r="AD48" s="12">
        <f t="shared" si="19"/>
        <v>1.2801600000000002</v>
      </c>
      <c r="AE48" s="12">
        <f t="shared" si="20"/>
        <v>2.3219172180010559</v>
      </c>
      <c r="AF48" s="12">
        <f t="shared" si="21"/>
        <v>4.1452800000000005</v>
      </c>
      <c r="AG48" s="12">
        <f t="shared" si="22"/>
        <v>5.8521599999999987</v>
      </c>
      <c r="AH48" s="12">
        <f t="shared" si="23"/>
        <v>9.74055758955069</v>
      </c>
    </row>
    <row r="49" spans="1:34" x14ac:dyDescent="0.25">
      <c r="A49" s="11" t="str">
        <f>IF(ROWS($A$6:A49)&gt;COUNTA(Cables!$A:$A)-1,"",INDEX(Cables!$A:$A,ROWS($A$6:A49)+1))</f>
        <v>WFX-103</v>
      </c>
      <c r="B49" s="11" t="str">
        <f>IF($A49="","",IF(INDEX(Cables!$B:$B,MATCH($A49,Cables!$A:$A,0))="","",INDEX(Cables!$B:$B,MATCH($A49,Cables!$A:$A,0))))</f>
        <v>Westflex 103</v>
      </c>
      <c r="C49" s="11">
        <f>IF($A49="","",IF(INDEX(Cables!$F:$F,MATCH($A49,Cables!$A:$A,0))="","",INDEX(Cables!$F:$F,MATCH($A49,Cables!$A:$A,0))))</f>
        <v>50</v>
      </c>
      <c r="D49" s="11">
        <f>IF($A49="","",IF(INDEX(Cables!$H:$H,MATCH($A49,Cables!$A:$A,0))="","",INDEX(Cables!$H:$H,MATCH($A49,Cables!$A:$A,0))))</f>
        <v>10.3</v>
      </c>
      <c r="E49" s="12">
        <f>IF($A49="","",IF(INDEX(Cables!$Q:$Q,MATCH($A49,Cables!$A:$A,0))="","",INDEX(Cables!$Q:$Q,MATCH($A49,Cables!$A:$A,0))))</f>
        <v>0.85</v>
      </c>
      <c r="F49" s="11">
        <f>IF($A49="","",IF(INDEX(Cables!$AQ:$AQ,MATCH($A49,Cables!$A:$A,0))="","",INDEX(Cables!$AQ:$AQ,MATCH($A49,Cables!$A:$A,0))))</f>
        <v>10</v>
      </c>
      <c r="G49" s="11">
        <f>IF($A49="","",IF(INDEX(Cables!$AR:$AR,MATCH($A49,Cables!$A:$A,0))="","",INDEX(Cables!$AR:$AR,MATCH($A49,Cables!$A:$A,0))))</f>
        <v>5000</v>
      </c>
      <c r="H49" s="11">
        <f>IF($A49="","",IF(INDEX(Cables!$AO:$AO,MATCH($A49,Cables!$A:$A,0))="","",INDEX(Cables!$AO:$AO,MATCH($A49,Cables!$A:$A,0))))</f>
        <v>667</v>
      </c>
      <c r="I49" s="11">
        <f>IF($A49="","",IF(INDEX(Cables!$AP:$AP,MATCH($A49,Cables!$A:$A,0))="","",INDEX(Cables!$AP:$AP,MATCH($A49,Cables!$A:$A,0))))</f>
        <v>13</v>
      </c>
      <c r="J49" s="12">
        <f>IF($A49="","",IF(J$5&gt;2*$G49,"",EXP(FORECAST(LN(J$5),INDEX(Attenuation!$K:$K,($H49-1+MIN(MAX(IFERROR(MATCH(LN(J$5),INDEX(Attenuation!$J:$J,$H49):INDEX(Attenuation!$J:$J,$H49+$I49-1),1),1),1),$I49-1))):INDEX(Attenuation!$K:$K,($H49-1+MIN(MAX(IFERROR(MATCH(LN(J$5),INDEX(Attenuation!$J:$J,$H49):INDEX(Attenuation!$J:$J,$H49+$I49-1),1),1),1),$I49-1))+1),INDEX(Attenuation!$J:$J,($H49-1+MIN(MAX(IFERROR(MATCH(LN(J$5),INDEX(Attenuation!$J:$J,$H49):INDEX(Attenuation!$J:$J,$H49+$I49-1),1),1),1),$I49-1))):INDEX(Attenuation!$J:$J,($H49-1+MIN(MAX(IFERROR(MATCH(LN(J$5),INDEX(Attenuation!$J:$J,$H49):INDEX(Attenuation!$J:$J,$H49+$I49-1),1),1),1),$I49-1))+1)))))</f>
        <v>0.33351727244897583</v>
      </c>
      <c r="K49" s="12">
        <f>IF($A49="","",IF(K$5&gt;2*$G49,"",EXP(FORECAST(LN(K$5),INDEX(Attenuation!$K:$K,($H49-1+MIN(MAX(IFERROR(MATCH(LN(K$5),INDEX(Attenuation!$J:$J,$H49):INDEX(Attenuation!$J:$J,$H49+$I49-1),1),1),1),$I49-1))):INDEX(Attenuation!$K:$K,($H49-1+MIN(MAX(IFERROR(MATCH(LN(K$5),INDEX(Attenuation!$J:$J,$H49):INDEX(Attenuation!$J:$J,$H49+$I49-1),1),1),1),$I49-1))+1),INDEX(Attenuation!$J:$J,($H49-1+MIN(MAX(IFERROR(MATCH(LN(K$5),INDEX(Attenuation!$J:$J,$H49):INDEX(Attenuation!$J:$J,$H49+$I49-1),1),1),1),$I49-1))):INDEX(Attenuation!$J:$J,($H49-1+MIN(MAX(IFERROR(MATCH(LN(K$5),INDEX(Attenuation!$J:$J,$H49):INDEX(Attenuation!$J:$J,$H49+$I49-1),1),1),1),$I49-1))+1)))))</f>
        <v>0.49012022417710149</v>
      </c>
      <c r="L49" s="12">
        <f>IF($A49="","",IF(L$5&gt;2*$G49,"",EXP(FORECAST(LN(L$5),INDEX(Attenuation!$K:$K,($H49-1+MIN(MAX(IFERROR(MATCH(LN(L$5),INDEX(Attenuation!$J:$J,$H49):INDEX(Attenuation!$J:$J,$H49+$I49-1),1),1),1),$I49-1))):INDEX(Attenuation!$K:$K,($H49-1+MIN(MAX(IFERROR(MATCH(LN(L$5),INDEX(Attenuation!$J:$J,$H49):INDEX(Attenuation!$J:$J,$H49+$I49-1),1),1),1),$I49-1))+1),INDEX(Attenuation!$J:$J,($H49-1+MIN(MAX(IFERROR(MATCH(LN(L$5),INDEX(Attenuation!$J:$J,$H49):INDEX(Attenuation!$J:$J,$H49+$I49-1),1),1),1),$I49-1))):INDEX(Attenuation!$J:$J,($H49-1+MIN(MAX(IFERROR(MATCH(LN(L$5),INDEX(Attenuation!$J:$J,$H49):INDEX(Attenuation!$J:$J,$H49+$I49-1),1),1),1),$I49-1))+1)))))</f>
        <v>0.73209841550427346</v>
      </c>
      <c r="M49" s="12">
        <f>IF($A49="","",IF(M$5&gt;2*$G49,"",EXP(FORECAST(LN(M$5),INDEX(Attenuation!$K:$K,($H49-1+MIN(MAX(IFERROR(MATCH(LN(M$5),INDEX(Attenuation!$J:$J,$H49):INDEX(Attenuation!$J:$J,$H49+$I49-1),1),1),1),$I49-1))):INDEX(Attenuation!$K:$K,($H49-1+MIN(MAX(IFERROR(MATCH(LN(M$5),INDEX(Attenuation!$J:$J,$H49):INDEX(Attenuation!$J:$J,$H49+$I49-1),1),1),1),$I49-1))+1),INDEX(Attenuation!$J:$J,($H49-1+MIN(MAX(IFERROR(MATCH(LN(M$5),INDEX(Attenuation!$J:$J,$H49):INDEX(Attenuation!$J:$J,$H49+$I49-1),1),1),1),$I49-1))):INDEX(Attenuation!$J:$J,($H49-1+MIN(MAX(IFERROR(MATCH(LN(M$5),INDEX(Attenuation!$J:$J,$H49):INDEX(Attenuation!$J:$J,$H49+$I49-1),1),1),1),$I49-1))+1)))))</f>
        <v>1.093544121513744</v>
      </c>
      <c r="N49" s="12">
        <f>IF($A49="","",IF(N$5&gt;2*$G49,"",EXP(FORECAST(LN(N$5),INDEX(Attenuation!$K:$K,($H49-1+MIN(MAX(IFERROR(MATCH(LN(N$5),INDEX(Attenuation!$J:$J,$H49):INDEX(Attenuation!$J:$J,$H49+$I49-1),1),1),1),$I49-1))):INDEX(Attenuation!$K:$K,($H49-1+MIN(MAX(IFERROR(MATCH(LN(N$5),INDEX(Attenuation!$J:$J,$H49):INDEX(Attenuation!$J:$J,$H49+$I49-1),1),1),1),$I49-1))+1),INDEX(Attenuation!$J:$J,($H49-1+MIN(MAX(IFERROR(MATCH(LN(N$5),INDEX(Attenuation!$J:$J,$H49):INDEX(Attenuation!$J:$J,$H49+$I49-1),1),1),1),$I49-1))):INDEX(Attenuation!$J:$J,($H49-1+MIN(MAX(IFERROR(MATCH(LN(N$5),INDEX(Attenuation!$J:$J,$H49):INDEX(Attenuation!$J:$J,$H49+$I49-1),1),1),1),$I49-1))+1)))))</f>
        <v>1.382852562619183</v>
      </c>
      <c r="O49" s="12">
        <f>IF($A49="","",IF(O$5&gt;2*$G49,"",EXP(FORECAST(LN(O$5),INDEX(Attenuation!$K:$K,($H49-1+MIN(MAX(IFERROR(MATCH(LN(O$5),INDEX(Attenuation!$J:$J,$H49):INDEX(Attenuation!$J:$J,$H49+$I49-1),1),1),1),$I49-1))):INDEX(Attenuation!$K:$K,($H49-1+MIN(MAX(IFERROR(MATCH(LN(O$5),INDEX(Attenuation!$J:$J,$H49):INDEX(Attenuation!$J:$J,$H49+$I49-1),1),1),1),$I49-1))+1),INDEX(Attenuation!$J:$J,($H49-1+MIN(MAX(IFERROR(MATCH(LN(O$5),INDEX(Attenuation!$J:$J,$H49):INDEX(Attenuation!$J:$J,$H49+$I49-1),1),1),1),$I49-1))):INDEX(Attenuation!$J:$J,($H49-1+MIN(MAX(IFERROR(MATCH(LN(O$5),INDEX(Attenuation!$J:$J,$H49):INDEX(Attenuation!$J:$J,$H49+$I49-1),1),1),1),$I49-1))+1)))))</f>
        <v>1.6334398768962859</v>
      </c>
      <c r="P49" s="12">
        <f>IF($A49="","",IF(P$5&gt;2*$G49,"",EXP(FORECAST(LN(P$5),INDEX(Attenuation!$K:$K,($H49-1+MIN(MAX(IFERROR(MATCH(LN(P$5),INDEX(Attenuation!$J:$J,$H49):INDEX(Attenuation!$J:$J,$H49+$I49-1),1),1),1),$I49-1))):INDEX(Attenuation!$K:$K,($H49-1+MIN(MAX(IFERROR(MATCH(LN(P$5),INDEX(Attenuation!$J:$J,$H49):INDEX(Attenuation!$J:$J,$H49+$I49-1),1),1),1),$I49-1))+1),INDEX(Attenuation!$J:$J,($H49-1+MIN(MAX(IFERROR(MATCH(LN(P$5),INDEX(Attenuation!$J:$J,$H49):INDEX(Attenuation!$J:$J,$H49+$I49-1),1),1),1),$I49-1))):INDEX(Attenuation!$J:$J,($H49-1+MIN(MAX(IFERROR(MATCH(LN(P$5),INDEX(Attenuation!$J:$J,$H49):INDEX(Attenuation!$J:$J,$H49+$I49-1),1),1),1),$I49-1))+1)))))</f>
        <v>2.7</v>
      </c>
      <c r="Q49" s="12">
        <f>IF($A49="","",IF(Q$5&gt;2*$G49,"",EXP(FORECAST(LN(Q$5),INDEX(Attenuation!$K:$K,($H49-1+MIN(MAX(IFERROR(MATCH(LN(Q$5),INDEX(Attenuation!$J:$J,$H49):INDEX(Attenuation!$J:$J,$H49+$I49-1),1),1),1),$I49-1))):INDEX(Attenuation!$K:$K,($H49-1+MIN(MAX(IFERROR(MATCH(LN(Q$5),INDEX(Attenuation!$J:$J,$H49):INDEX(Attenuation!$J:$J,$H49+$I49-1),1),1),1),$I49-1))+1),INDEX(Attenuation!$J:$J,($H49-1+MIN(MAX(IFERROR(MATCH(LN(Q$5),INDEX(Attenuation!$J:$J,$H49):INDEX(Attenuation!$J:$J,$H49+$I49-1),1),1),1),$I49-1))):INDEX(Attenuation!$J:$J,($H49-1+MIN(MAX(IFERROR(MATCH(LN(Q$5),INDEX(Attenuation!$J:$J,$H49):INDEX(Attenuation!$J:$J,$H49+$I49-1),1),1),1),$I49-1))+1)))))</f>
        <v>4.5</v>
      </c>
      <c r="R49" s="12">
        <f>IF($A49="","",IF(R$5&gt;2*$G49,"",EXP(FORECAST(LN(R$5),INDEX(Attenuation!$K:$K,($H49-1+MIN(MAX(IFERROR(MATCH(LN(R$5),INDEX(Attenuation!$J:$J,$H49):INDEX(Attenuation!$J:$J,$H49+$I49-1),1),1),1),$I49-1))):INDEX(Attenuation!$K:$K,($H49-1+MIN(MAX(IFERROR(MATCH(LN(R$5),INDEX(Attenuation!$J:$J,$H49):INDEX(Attenuation!$J:$J,$H49+$I49-1),1),1),1),$I49-1))+1),INDEX(Attenuation!$J:$J,($H49-1+MIN(MAX(IFERROR(MATCH(LN(R$5),INDEX(Attenuation!$J:$J,$H49):INDEX(Attenuation!$J:$J,$H49+$I49-1),1),1),1),$I49-1))):INDEX(Attenuation!$J:$J,($H49-1+MIN(MAX(IFERROR(MATCH(LN(R$5),INDEX(Attenuation!$J:$J,$H49):INDEX(Attenuation!$J:$J,$H49+$I49-1),1),1),1),$I49-1))+1)))))</f>
        <v>7.4999999999999956</v>
      </c>
      <c r="S49" s="12">
        <f>IF($A49="","",IF(S$5&gt;2*$G49,"",EXP(FORECAST(LN(S$5),INDEX(Attenuation!$K:$K,($H49-1+MIN(MAX(IFERROR(MATCH(LN(S$5),INDEX(Attenuation!$J:$J,$H49):INDEX(Attenuation!$J:$J,$H49+$I49-1),1),1),1),$I49-1))):INDEX(Attenuation!$K:$K,($H49-1+MIN(MAX(IFERROR(MATCH(LN(S$5),INDEX(Attenuation!$J:$J,$H49):INDEX(Attenuation!$J:$J,$H49+$I49-1),1),1),1),$I49-1))+1),INDEX(Attenuation!$J:$J,($H49-1+MIN(MAX(IFERROR(MATCH(LN(S$5),INDEX(Attenuation!$J:$J,$H49):INDEX(Attenuation!$J:$J,$H49+$I49-1),1),1),1),$I49-1))):INDEX(Attenuation!$J:$J,($H49-1+MIN(MAX(IFERROR(MATCH(LN(S$5),INDEX(Attenuation!$J:$J,$H49):INDEX(Attenuation!$J:$J,$H49+$I49-1),1),1),1),$I49-1))+1)))))</f>
        <v>15.000000000000007</v>
      </c>
      <c r="T49" s="12">
        <f>IF($A49="","",IF(T$5&gt;2*$G49,"",EXP(FORECAST(LN(T$5),INDEX(Attenuation!$K:$K,($H49-1+MIN(MAX(IFERROR(MATCH(LN(T$5),INDEX(Attenuation!$J:$J,$H49):INDEX(Attenuation!$J:$J,$H49+$I49-1),1),1),1),$I49-1))):INDEX(Attenuation!$K:$K,($H49-1+MIN(MAX(IFERROR(MATCH(LN(T$5),INDEX(Attenuation!$J:$J,$H49):INDEX(Attenuation!$J:$J,$H49+$I49-1),1),1),1),$I49-1))+1),INDEX(Attenuation!$J:$J,($H49-1+MIN(MAX(IFERROR(MATCH(LN(T$5),INDEX(Attenuation!$J:$J,$H49):INDEX(Attenuation!$J:$J,$H49+$I49-1),1),1),1),$I49-1))):INDEX(Attenuation!$J:$J,($H49-1+MIN(MAX(IFERROR(MATCH(LN(T$5),INDEX(Attenuation!$J:$J,$H49):INDEX(Attenuation!$J:$J,$H49+$I49-1),1),1),1),$I49-1))+1)))))</f>
        <v>23.823160932282864</v>
      </c>
      <c r="U49" s="12">
        <f>IF($A49="","",IF(U$5&gt;2*$G49,"",EXP(FORECAST(LN(U$5),INDEX(Attenuation!$K:$K,($H49-1+MIN(MAX(IFERROR(MATCH(LN(U$5),INDEX(Attenuation!$J:$J,$H49):INDEX(Attenuation!$J:$J,$H49+$I49-1),1),1),1),$I49-1))):INDEX(Attenuation!$K:$K,($H49-1+MIN(MAX(IFERROR(MATCH(LN(U$5),INDEX(Attenuation!$J:$J,$H49):INDEX(Attenuation!$J:$J,$H49+$I49-1),1),1),1),$I49-1))+1),INDEX(Attenuation!$J:$J,($H49-1+MIN(MAX(IFERROR(MATCH(LN(U$5),INDEX(Attenuation!$J:$J,$H49):INDEX(Attenuation!$J:$J,$H49+$I49-1),1),1),1),$I49-1))):INDEX(Attenuation!$J:$J,($H49-1+MIN(MAX(IFERROR(MATCH(LN(U$5),INDEX(Attenuation!$J:$J,$H49):INDEX(Attenuation!$J:$J,$H49+$I49-1),1),1),1),$I49-1))+1)))))</f>
        <v>36.085031074975284</v>
      </c>
      <c r="V49" s="1"/>
      <c r="W49" s="12">
        <f t="shared" si="12"/>
        <v>0.10165606464244784</v>
      </c>
      <c r="X49" s="12">
        <f t="shared" si="13"/>
        <v>0.14938864432918053</v>
      </c>
      <c r="Y49" s="12">
        <f t="shared" si="14"/>
        <v>0.22314359704570255</v>
      </c>
      <c r="Z49" s="12">
        <f t="shared" si="15"/>
        <v>0.3333122482373892</v>
      </c>
      <c r="AA49" s="12">
        <f t="shared" si="16"/>
        <v>0.42149346108632701</v>
      </c>
      <c r="AB49" s="12">
        <f t="shared" si="17"/>
        <v>0.49787247447798799</v>
      </c>
      <c r="AC49" s="12">
        <f t="shared" si="18"/>
        <v>0.82296000000000014</v>
      </c>
      <c r="AD49" s="12">
        <f t="shared" si="19"/>
        <v>1.3716000000000002</v>
      </c>
      <c r="AE49" s="12">
        <f t="shared" si="20"/>
        <v>2.2859999999999987</v>
      </c>
      <c r="AF49" s="12">
        <f t="shared" si="21"/>
        <v>4.5720000000000027</v>
      </c>
      <c r="AG49" s="12">
        <f t="shared" si="22"/>
        <v>7.2612994521598173</v>
      </c>
      <c r="AH49" s="12">
        <f t="shared" si="23"/>
        <v>10.998717471652467</v>
      </c>
    </row>
    <row r="50" spans="1:34" x14ac:dyDescent="0.25">
      <c r="A50" s="11" t="str">
        <f>IF(ROWS($A$6:A50)&gt;COUNTA(Cables!$A:$A)-1,"",INDEX(Cables!$A:$A,ROWS($A$6:A50)+1))</f>
        <v>CS-FSJ4-50B</v>
      </c>
      <c r="B50" s="11" t="str">
        <f>IF($A50="","",IF(INDEX(Cables!$B:$B,MATCH($A50,Cables!$A:$A,0))="","",INDEX(Cables!$B:$B,MATCH($A50,Cables!$A:$A,0))))</f>
        <v>CommScope FSJ4-50B (1/2" Superflex)</v>
      </c>
      <c r="C50" s="11">
        <f>IF($A50="","",IF(INDEX(Cables!$F:$F,MATCH($A50,Cables!$A:$A,0))="","",INDEX(Cables!$F:$F,MATCH($A50,Cables!$A:$A,0))))</f>
        <v>50</v>
      </c>
      <c r="D50" s="11">
        <f>IF($A50="","",IF(INDEX(Cables!$H:$H,MATCH($A50,Cables!$A:$A,0))="","",INDEX(Cables!$H:$H,MATCH($A50,Cables!$A:$A,0))))</f>
        <v>13.2</v>
      </c>
      <c r="E50" s="12">
        <f>IF($A50="","",IF(INDEX(Cables!$Q:$Q,MATCH($A50,Cables!$A:$A,0))="","",INDEX(Cables!$Q:$Q,MATCH($A50,Cables!$A:$A,0))))</f>
        <v>0.81</v>
      </c>
      <c r="F50" s="11">
        <f>IF($A50="","",IF(INDEX(Cables!$AQ:$AQ,MATCH($A50,Cables!$A:$A,0))="","",INDEX(Cables!$AQ:$AQ,MATCH($A50,Cables!$A:$A,0))))</f>
        <v>0.5</v>
      </c>
      <c r="G50" s="11">
        <f>IF($A50="","",IF(INDEX(Cables!$AR:$AR,MATCH($A50,Cables!$A:$A,0))="","",INDEX(Cables!$AR:$AR,MATCH($A50,Cables!$A:$A,0))))</f>
        <v>10200</v>
      </c>
      <c r="H50" s="11">
        <f>IF($A50="","",IF(INDEX(Cables!$AO:$AO,MATCH($A50,Cables!$A:$A,0))="","",INDEX(Cables!$AO:$AO,MATCH($A50,Cables!$A:$A,0))))</f>
        <v>680</v>
      </c>
      <c r="I50" s="11">
        <f>IF($A50="","",IF(INDEX(Cables!$AP:$AP,MATCH($A50,Cables!$A:$A,0))="","",INDEX(Cables!$AP:$AP,MATCH($A50,Cables!$A:$A,0))))</f>
        <v>42</v>
      </c>
      <c r="J50" s="12">
        <f>IF($A50="","",IF(J$5&gt;2*$G50,"",EXP(FORECAST(LN(J$5),INDEX(Attenuation!$K:$K,($H50-1+MIN(MAX(IFERROR(MATCH(LN(J$5),INDEX(Attenuation!$J:$J,$H50):INDEX(Attenuation!$J:$J,$H50+$I50-1),1),1),1),$I50-1))):INDEX(Attenuation!$K:$K,($H50-1+MIN(MAX(IFERROR(MATCH(LN(J$5),INDEX(Attenuation!$J:$J,$H50):INDEX(Attenuation!$J:$J,$H50+$I50-1),1),1),1),$I50-1))+1),INDEX(Attenuation!$J:$J,($H50-1+MIN(MAX(IFERROR(MATCH(LN(J$5),INDEX(Attenuation!$J:$J,$H50):INDEX(Attenuation!$J:$J,$H50+$I50-1),1),1),1),$I50-1))):INDEX(Attenuation!$J:$J,($H50-1+MIN(MAX(IFERROR(MATCH(LN(J$5),INDEX(Attenuation!$J:$J,$H50):INDEX(Attenuation!$J:$J,$H50+$I50-1),1),1),1),$I50-1))+1)))))</f>
        <v>0.43925249806667493</v>
      </c>
      <c r="K50" s="12">
        <f>IF($A50="","",IF(K$5&gt;2*$G50,"",EXP(FORECAST(LN(K$5),INDEX(Attenuation!$K:$K,($H50-1+MIN(MAX(IFERROR(MATCH(LN(K$5),INDEX(Attenuation!$J:$J,$H50):INDEX(Attenuation!$J:$J,$H50+$I50-1),1),1),1),$I50-1))):INDEX(Attenuation!$K:$K,($H50-1+MIN(MAX(IFERROR(MATCH(LN(K$5),INDEX(Attenuation!$J:$J,$H50):INDEX(Attenuation!$J:$J,$H50+$I50-1),1),1),1),$I50-1))+1),INDEX(Attenuation!$J:$J,($H50-1+MIN(MAX(IFERROR(MATCH(LN(K$5),INDEX(Attenuation!$J:$J,$H50):INDEX(Attenuation!$J:$J,$H50+$I50-1),1),1),1),$I50-1))):INDEX(Attenuation!$J:$J,($H50-1+MIN(MAX(IFERROR(MATCH(LN(K$5),INDEX(Attenuation!$J:$J,$H50):INDEX(Attenuation!$J:$J,$H50+$I50-1),1),1),1),$I50-1))+1)))))</f>
        <v>0.61345693296900272</v>
      </c>
      <c r="L50" s="12">
        <f>IF($A50="","",IF(L$5&gt;2*$G50,"",EXP(FORECAST(LN(L$5),INDEX(Attenuation!$K:$K,($H50-1+MIN(MAX(IFERROR(MATCH(LN(L$5),INDEX(Attenuation!$J:$J,$H50):INDEX(Attenuation!$J:$J,$H50+$I50-1),1),1),1),$I50-1))):INDEX(Attenuation!$K:$K,($H50-1+MIN(MAX(IFERROR(MATCH(LN(L$5),INDEX(Attenuation!$J:$J,$H50):INDEX(Attenuation!$J:$J,$H50+$I50-1),1),1),1),$I50-1))+1),INDEX(Attenuation!$J:$J,($H50-1+MIN(MAX(IFERROR(MATCH(LN(L$5),INDEX(Attenuation!$J:$J,$H50):INDEX(Attenuation!$J:$J,$H50+$I50-1),1),1),1),$I50-1))):INDEX(Attenuation!$J:$J,($H50-1+MIN(MAX(IFERROR(MATCH(LN(L$5),INDEX(Attenuation!$J:$J,$H50):INDEX(Attenuation!$J:$J,$H50+$I50-1),1),1),1),$I50-1))+1)))))</f>
        <v>0.86925333719013098</v>
      </c>
      <c r="M50" s="12">
        <f>IF($A50="","",IF(M$5&gt;2*$G50,"",EXP(FORECAST(LN(M$5),INDEX(Attenuation!$K:$K,($H50-1+MIN(MAX(IFERROR(MATCH(LN(M$5),INDEX(Attenuation!$J:$J,$H50):INDEX(Attenuation!$J:$J,$H50+$I50-1),1),1),1),$I50-1))):INDEX(Attenuation!$K:$K,($H50-1+MIN(MAX(IFERROR(MATCH(LN(M$5),INDEX(Attenuation!$J:$J,$H50):INDEX(Attenuation!$J:$J,$H50+$I50-1),1),1),1),$I50-1))+1),INDEX(Attenuation!$J:$J,($H50-1+MIN(MAX(IFERROR(MATCH(LN(M$5),INDEX(Attenuation!$J:$J,$H50):INDEX(Attenuation!$J:$J,$H50+$I50-1),1),1),1),$I50-1))):INDEX(Attenuation!$J:$J,($H50-1+MIN(MAX(IFERROR(MATCH(LN(M$5),INDEX(Attenuation!$J:$J,$H50):INDEX(Attenuation!$J:$J,$H50+$I50-1),1),1),1),$I50-1))+1)))))</f>
        <v>1.2383236297523215</v>
      </c>
      <c r="N50" s="12">
        <f>IF($A50="","",IF(N$5&gt;2*$G50,"",EXP(FORECAST(LN(N$5),INDEX(Attenuation!$K:$K,($H50-1+MIN(MAX(IFERROR(MATCH(LN(N$5),INDEX(Attenuation!$J:$J,$H50):INDEX(Attenuation!$J:$J,$H50+$I50-1),1),1),1),$I50-1))):INDEX(Attenuation!$K:$K,($H50-1+MIN(MAX(IFERROR(MATCH(LN(N$5),INDEX(Attenuation!$J:$J,$H50):INDEX(Attenuation!$J:$J,$H50+$I50-1),1),1),1),$I50-1))+1),INDEX(Attenuation!$J:$J,($H50-1+MIN(MAX(IFERROR(MATCH(LN(N$5),INDEX(Attenuation!$J:$J,$H50):INDEX(Attenuation!$J:$J,$H50+$I50-1),1),1),1),$I50-1))):INDEX(Attenuation!$J:$J,($H50-1+MIN(MAX(IFERROR(MATCH(LN(N$5),INDEX(Attenuation!$J:$J,$H50):INDEX(Attenuation!$J:$J,$H50+$I50-1),1),1),1),$I50-1))+1)))))</f>
        <v>1.527311510979132</v>
      </c>
      <c r="O50" s="12">
        <f>IF($A50="","",IF(O$5&gt;2*$G50,"",EXP(FORECAST(LN(O$5),INDEX(Attenuation!$K:$K,($H50-1+MIN(MAX(IFERROR(MATCH(LN(O$5),INDEX(Attenuation!$J:$J,$H50):INDEX(Attenuation!$J:$J,$H50+$I50-1),1),1),1),$I50-1))):INDEX(Attenuation!$K:$K,($H50-1+MIN(MAX(IFERROR(MATCH(LN(O$5),INDEX(Attenuation!$J:$J,$H50):INDEX(Attenuation!$J:$J,$H50+$I50-1),1),1),1),$I50-1))+1),INDEX(Attenuation!$J:$J,($H50-1+MIN(MAX(IFERROR(MATCH(LN(O$5),INDEX(Attenuation!$J:$J,$H50):INDEX(Attenuation!$J:$J,$H50+$I50-1),1),1),1),$I50-1))):INDEX(Attenuation!$J:$J,($H50-1+MIN(MAX(IFERROR(MATCH(LN(O$5),INDEX(Attenuation!$J:$J,$H50):INDEX(Attenuation!$J:$J,$H50+$I50-1),1),1),1),$I50-1))+1)))))</f>
        <v>1.7671036486152898</v>
      </c>
      <c r="P50" s="12">
        <f>IF($A50="","",IF(P$5&gt;2*$G50,"",EXP(FORECAST(LN(P$5),INDEX(Attenuation!$K:$K,($H50-1+MIN(MAX(IFERROR(MATCH(LN(P$5),INDEX(Attenuation!$J:$J,$H50):INDEX(Attenuation!$J:$J,$H50+$I50-1),1),1),1),$I50-1))):INDEX(Attenuation!$K:$K,($H50-1+MIN(MAX(IFERROR(MATCH(LN(P$5),INDEX(Attenuation!$J:$J,$H50):INDEX(Attenuation!$J:$J,$H50+$I50-1),1),1),1),$I50-1))+1),INDEX(Attenuation!$J:$J,($H50-1+MIN(MAX(IFERROR(MATCH(LN(P$5),INDEX(Attenuation!$J:$J,$H50):INDEX(Attenuation!$J:$J,$H50+$I50-1),1),1),1),$I50-1))):INDEX(Attenuation!$J:$J,($H50-1+MIN(MAX(IFERROR(MATCH(LN(P$5),INDEX(Attenuation!$J:$J,$H50):INDEX(Attenuation!$J:$J,$H50+$I50-1),1),1),1),$I50-1))+1)))))</f>
        <v>2.38</v>
      </c>
      <c r="Q50" s="12">
        <f>IF($A50="","",IF(Q$5&gt;2*$G50,"",EXP(FORECAST(LN(Q$5),INDEX(Attenuation!$K:$K,($H50-1+MIN(MAX(IFERROR(MATCH(LN(Q$5),INDEX(Attenuation!$J:$J,$H50):INDEX(Attenuation!$J:$J,$H50+$I50-1),1),1),1),$I50-1))):INDEX(Attenuation!$K:$K,($H50-1+MIN(MAX(IFERROR(MATCH(LN(Q$5),INDEX(Attenuation!$J:$J,$H50):INDEX(Attenuation!$J:$J,$H50+$I50-1),1),1),1),$I50-1))+1),INDEX(Attenuation!$J:$J,($H50-1+MIN(MAX(IFERROR(MATCH(LN(Q$5),INDEX(Attenuation!$J:$J,$H50):INDEX(Attenuation!$J:$J,$H50+$I50-1),1),1),1),$I50-1))):INDEX(Attenuation!$J:$J,($H50-1+MIN(MAX(IFERROR(MATCH(LN(Q$5),INDEX(Attenuation!$J:$J,$H50):INDEX(Attenuation!$J:$J,$H50+$I50-1),1),1),1),$I50-1))+1)))))</f>
        <v>4.1217316113610396</v>
      </c>
      <c r="R50" s="12">
        <f>IF($A50="","",IF(R$5&gt;2*$G50,"",EXP(FORECAST(LN(R$5),INDEX(Attenuation!$K:$K,($H50-1+MIN(MAX(IFERROR(MATCH(LN(R$5),INDEX(Attenuation!$J:$J,$H50):INDEX(Attenuation!$J:$J,$H50+$I50-1),1),1),1),$I50-1))):INDEX(Attenuation!$K:$K,($H50-1+MIN(MAX(IFERROR(MATCH(LN(R$5),INDEX(Attenuation!$J:$J,$H50):INDEX(Attenuation!$J:$J,$H50+$I50-1),1),1),1),$I50-1))+1),INDEX(Attenuation!$J:$J,($H50-1+MIN(MAX(IFERROR(MATCH(LN(R$5),INDEX(Attenuation!$J:$J,$H50):INDEX(Attenuation!$J:$J,$H50+$I50-1),1),1),1),$I50-1))):INDEX(Attenuation!$J:$J,($H50-1+MIN(MAX(IFERROR(MATCH(LN(R$5),INDEX(Attenuation!$J:$J,$H50):INDEX(Attenuation!$J:$J,$H50+$I50-1),1),1),1),$I50-1))+1)))))</f>
        <v>7.4236915792565288</v>
      </c>
      <c r="S50" s="12">
        <f>IF($A50="","",IF(S$5&gt;2*$G50,"",EXP(FORECAST(LN(S$5),INDEX(Attenuation!$K:$K,($H50-1+MIN(MAX(IFERROR(MATCH(LN(S$5),INDEX(Attenuation!$J:$J,$H50):INDEX(Attenuation!$J:$J,$H50+$I50-1),1),1),1),$I50-1))):INDEX(Attenuation!$K:$K,($H50-1+MIN(MAX(IFERROR(MATCH(LN(S$5),INDEX(Attenuation!$J:$J,$H50):INDEX(Attenuation!$J:$J,$H50+$I50-1),1),1),1),$I50-1))+1),INDEX(Attenuation!$J:$J,($H50-1+MIN(MAX(IFERROR(MATCH(LN(S$5),INDEX(Attenuation!$J:$J,$H50):INDEX(Attenuation!$J:$J,$H50+$I50-1),1),1),1),$I50-1))):INDEX(Attenuation!$J:$J,($H50-1+MIN(MAX(IFERROR(MATCH(LN(S$5),INDEX(Attenuation!$J:$J,$H50):INDEX(Attenuation!$J:$J,$H50+$I50-1),1),1),1),$I50-1))+1)))))</f>
        <v>13.684813472814863</v>
      </c>
      <c r="T50" s="12">
        <f>IF($A50="","",IF(T$5&gt;2*$G50,"",EXP(FORECAST(LN(T$5),INDEX(Attenuation!$K:$K,($H50-1+MIN(MAX(IFERROR(MATCH(LN(T$5),INDEX(Attenuation!$J:$J,$H50):INDEX(Attenuation!$J:$J,$H50+$I50-1),1),1),1),$I50-1))):INDEX(Attenuation!$K:$K,($H50-1+MIN(MAX(IFERROR(MATCH(LN(T$5),INDEX(Attenuation!$J:$J,$H50):INDEX(Attenuation!$J:$J,$H50+$I50-1),1),1),1),$I50-1))+1),INDEX(Attenuation!$J:$J,($H50-1+MIN(MAX(IFERROR(MATCH(LN(T$5),INDEX(Attenuation!$J:$J,$H50):INDEX(Attenuation!$J:$J,$H50+$I50-1),1),1),1),$I50-1))):INDEX(Attenuation!$J:$J,($H50-1+MIN(MAX(IFERROR(MATCH(LN(T$5),INDEX(Attenuation!$J:$J,$H50):INDEX(Attenuation!$J:$J,$H50+$I50-1),1),1),1),$I50-1))+1)))))</f>
        <v>19.593859196925717</v>
      </c>
      <c r="U50" s="12">
        <f>IF($A50="","",IF(U$5&gt;2*$G50,"",EXP(FORECAST(LN(U$5),INDEX(Attenuation!$K:$K,($H50-1+MIN(MAX(IFERROR(MATCH(LN(U$5),INDEX(Attenuation!$J:$J,$H50):INDEX(Attenuation!$J:$J,$H50+$I50-1),1),1),1),$I50-1))):INDEX(Attenuation!$K:$K,($H50-1+MIN(MAX(IFERROR(MATCH(LN(U$5),INDEX(Attenuation!$J:$J,$H50):INDEX(Attenuation!$J:$J,$H50+$I50-1),1),1),1),$I50-1))+1),INDEX(Attenuation!$J:$J,($H50-1+MIN(MAX(IFERROR(MATCH(LN(U$5),INDEX(Attenuation!$J:$J,$H50):INDEX(Attenuation!$J:$J,$H50+$I50-1),1),1),1),$I50-1))):INDEX(Attenuation!$J:$J,($H50-1+MIN(MAX(IFERROR(MATCH(LN(U$5),INDEX(Attenuation!$J:$J,$H50):INDEX(Attenuation!$J:$J,$H50+$I50-1),1),1),1),$I50-1))+1)))))</f>
        <v>33.534608141647617</v>
      </c>
      <c r="V50" s="1"/>
      <c r="W50" s="12">
        <f t="shared" si="12"/>
        <v>0.13388416141072251</v>
      </c>
      <c r="X50" s="12">
        <f t="shared" si="13"/>
        <v>0.18698167316895203</v>
      </c>
      <c r="Y50" s="12">
        <f t="shared" si="14"/>
        <v>0.26494841717555195</v>
      </c>
      <c r="Z50" s="12">
        <f t="shared" si="15"/>
        <v>0.37744104234850762</v>
      </c>
      <c r="AA50" s="12">
        <f t="shared" si="16"/>
        <v>0.46552454854643943</v>
      </c>
      <c r="AB50" s="12">
        <f t="shared" si="17"/>
        <v>0.53861319209794034</v>
      </c>
      <c r="AC50" s="12">
        <f t="shared" si="18"/>
        <v>0.72542399999999996</v>
      </c>
      <c r="AD50" s="12">
        <f t="shared" si="19"/>
        <v>1.2563037951428448</v>
      </c>
      <c r="AE50" s="12">
        <f t="shared" si="20"/>
        <v>2.2627411933573902</v>
      </c>
      <c r="AF50" s="12">
        <f t="shared" si="21"/>
        <v>4.1711311465139707</v>
      </c>
      <c r="AG50" s="12">
        <f t="shared" si="22"/>
        <v>5.972208283222959</v>
      </c>
      <c r="AH50" s="12">
        <f t="shared" si="23"/>
        <v>10.221348561574194</v>
      </c>
    </row>
    <row r="51" spans="1:34" x14ac:dyDescent="0.25">
      <c r="A51" s="11" t="str">
        <f>IF(ROWS($A$6:A51)&gt;COUNTA(Cables!$A:$A)-1,"",INDEX(Cables!$A:$A,ROWS($A$6:A51)+1))</f>
        <v>CS-LDF2-50</v>
      </c>
      <c r="B51" s="11" t="str">
        <f>IF($A51="","",IF(INDEX(Cables!$B:$B,MATCH($A51,Cables!$A:$A,0))="","",INDEX(Cables!$B:$B,MATCH($A51,Cables!$A:$A,0))))</f>
        <v>CommScope LDF2-50 (3/8" HELIAX)</v>
      </c>
      <c r="C51" s="11">
        <f>IF($A51="","",IF(INDEX(Cables!$F:$F,MATCH($A51,Cables!$A:$A,0))="","",INDEX(Cables!$F:$F,MATCH($A51,Cables!$A:$A,0))))</f>
        <v>50</v>
      </c>
      <c r="D51" s="11">
        <f>IF($A51="","",IF(INDEX(Cables!$H:$H,MATCH($A51,Cables!$A:$A,0))="","",INDEX(Cables!$H:$H,MATCH($A51,Cables!$A:$A,0))))</f>
        <v>11.176</v>
      </c>
      <c r="E51" s="12">
        <f>IF($A51="","",IF(INDEX(Cables!$Q:$Q,MATCH($A51,Cables!$A:$A,0))="","",INDEX(Cables!$Q:$Q,MATCH($A51,Cables!$A:$A,0))))</f>
        <v>0.88</v>
      </c>
      <c r="F51" s="11">
        <f>IF($A51="","",IF(INDEX(Cables!$AQ:$AQ,MATCH($A51,Cables!$A:$A,0))="","",INDEX(Cables!$AQ:$AQ,MATCH($A51,Cables!$A:$A,0))))</f>
        <v>0.5</v>
      </c>
      <c r="G51" s="11">
        <f>IF($A51="","",IF(INDEX(Cables!$AR:$AR,MATCH($A51,Cables!$A:$A,0))="","",INDEX(Cables!$AR:$AR,MATCH($A51,Cables!$A:$A,0))))</f>
        <v>12000</v>
      </c>
      <c r="H51" s="11">
        <f>IF($A51="","",IF(INDEX(Cables!$AO:$AO,MATCH($A51,Cables!$A:$A,0))="","",INDEX(Cables!$AO:$AO,MATCH($A51,Cables!$A:$A,0))))</f>
        <v>722</v>
      </c>
      <c r="I51" s="11">
        <f>IF($A51="","",IF(INDEX(Cables!$AP:$AP,MATCH($A51,Cables!$A:$A,0))="","",INDEX(Cables!$AP:$AP,MATCH($A51,Cables!$A:$A,0))))</f>
        <v>44</v>
      </c>
      <c r="J51" s="12">
        <f>IF($A51="","",IF(J$5&gt;2*$G51,"",EXP(FORECAST(LN(J$5),INDEX(Attenuation!$K:$K,($H51-1+MIN(MAX(IFERROR(MATCH(LN(J$5),INDEX(Attenuation!$J:$J,$H51):INDEX(Attenuation!$J:$J,$H51+$I51-1),1),1),1),$I51-1))):INDEX(Attenuation!$K:$K,($H51-1+MIN(MAX(IFERROR(MATCH(LN(J$5),INDEX(Attenuation!$J:$J,$H51):INDEX(Attenuation!$J:$J,$H51+$I51-1),1),1),1),$I51-1))+1),INDEX(Attenuation!$J:$J,($H51-1+MIN(MAX(IFERROR(MATCH(LN(J$5),INDEX(Attenuation!$J:$J,$H51):INDEX(Attenuation!$J:$J,$H51+$I51-1),1),1),1),$I51-1))):INDEX(Attenuation!$J:$J,($H51-1+MIN(MAX(IFERROR(MATCH(LN(J$5),INDEX(Attenuation!$J:$J,$H51):INDEX(Attenuation!$J:$J,$H51+$I51-1),1),1),1),$I51-1))+1)))))</f>
        <v>0.44646932245783189</v>
      </c>
      <c r="K51" s="12">
        <f>IF($A51="","",IF(K$5&gt;2*$G51,"",EXP(FORECAST(LN(K$5),INDEX(Attenuation!$K:$K,($H51-1+MIN(MAX(IFERROR(MATCH(LN(K$5),INDEX(Attenuation!$J:$J,$H51):INDEX(Attenuation!$J:$J,$H51+$I51-1),1),1),1),$I51-1))):INDEX(Attenuation!$K:$K,($H51-1+MIN(MAX(IFERROR(MATCH(LN(K$5),INDEX(Attenuation!$J:$J,$H51):INDEX(Attenuation!$J:$J,$H51+$I51-1),1),1),1),$I51-1))+1),INDEX(Attenuation!$J:$J,($H51-1+MIN(MAX(IFERROR(MATCH(LN(K$5),INDEX(Attenuation!$J:$J,$H51):INDEX(Attenuation!$J:$J,$H51+$I51-1),1),1),1),$I51-1))):INDEX(Attenuation!$J:$J,($H51-1+MIN(MAX(IFERROR(MATCH(LN(K$5),INDEX(Attenuation!$J:$J,$H51):INDEX(Attenuation!$J:$J,$H51+$I51-1),1),1),1),$I51-1))+1)))))</f>
        <v>0.62426785584489797</v>
      </c>
      <c r="L51" s="12">
        <f>IF($A51="","",IF(L$5&gt;2*$G51,"",EXP(FORECAST(LN(L$5),INDEX(Attenuation!$K:$K,($H51-1+MIN(MAX(IFERROR(MATCH(LN(L$5),INDEX(Attenuation!$J:$J,$H51):INDEX(Attenuation!$J:$J,$H51+$I51-1),1),1),1),$I51-1))):INDEX(Attenuation!$K:$K,($H51-1+MIN(MAX(IFERROR(MATCH(LN(L$5),INDEX(Attenuation!$J:$J,$H51):INDEX(Attenuation!$J:$J,$H51+$I51-1),1),1),1),$I51-1))+1),INDEX(Attenuation!$J:$J,($H51-1+MIN(MAX(IFERROR(MATCH(LN(L$5),INDEX(Attenuation!$J:$J,$H51):INDEX(Attenuation!$J:$J,$H51+$I51-1),1),1),1),$I51-1))):INDEX(Attenuation!$J:$J,($H51-1+MIN(MAX(IFERROR(MATCH(LN(L$5),INDEX(Attenuation!$J:$J,$H51):INDEX(Attenuation!$J:$J,$H51+$I51-1),1),1),1),$I51-1))+1)))))</f>
        <v>0.8849430237696474</v>
      </c>
      <c r="M51" s="12">
        <f>IF($A51="","",IF(M$5&gt;2*$G51,"",EXP(FORECAST(LN(M$5),INDEX(Attenuation!$K:$K,($H51-1+MIN(MAX(IFERROR(MATCH(LN(M$5),INDEX(Attenuation!$J:$J,$H51):INDEX(Attenuation!$J:$J,$H51+$I51-1),1),1),1),$I51-1))):INDEX(Attenuation!$K:$K,($H51-1+MIN(MAX(IFERROR(MATCH(LN(M$5),INDEX(Attenuation!$J:$J,$H51):INDEX(Attenuation!$J:$J,$H51+$I51-1),1),1),1),$I51-1))+1),INDEX(Attenuation!$J:$J,($H51-1+MIN(MAX(IFERROR(MATCH(LN(M$5),INDEX(Attenuation!$J:$J,$H51):INDEX(Attenuation!$J:$J,$H51+$I51-1),1),1),1),$I51-1))):INDEX(Attenuation!$J:$J,($H51-1+MIN(MAX(IFERROR(MATCH(LN(M$5),INDEX(Attenuation!$J:$J,$H51):INDEX(Attenuation!$J:$J,$H51+$I51-1),1),1),1),$I51-1))+1)))))</f>
        <v>1.2551956620697757</v>
      </c>
      <c r="N51" s="12">
        <f>IF($A51="","",IF(N$5&gt;2*$G51,"",EXP(FORECAST(LN(N$5),INDEX(Attenuation!$K:$K,($H51-1+MIN(MAX(IFERROR(MATCH(LN(N$5),INDEX(Attenuation!$J:$J,$H51):INDEX(Attenuation!$J:$J,$H51+$I51-1),1),1),1),$I51-1))):INDEX(Attenuation!$K:$K,($H51-1+MIN(MAX(IFERROR(MATCH(LN(N$5),INDEX(Attenuation!$J:$J,$H51):INDEX(Attenuation!$J:$J,$H51+$I51-1),1),1),1),$I51-1))+1),INDEX(Attenuation!$J:$J,($H51-1+MIN(MAX(IFERROR(MATCH(LN(N$5),INDEX(Attenuation!$J:$J,$H51):INDEX(Attenuation!$J:$J,$H51+$I51-1),1),1),1),$I51-1))):INDEX(Attenuation!$J:$J,($H51-1+MIN(MAX(IFERROR(MATCH(LN(N$5),INDEX(Attenuation!$J:$J,$H51):INDEX(Attenuation!$J:$J,$H51+$I51-1),1),1),1),$I51-1))+1)))))</f>
        <v>1.5407408202891868</v>
      </c>
      <c r="O51" s="12">
        <f>IF($A51="","",IF(O$5&gt;2*$G51,"",EXP(FORECAST(LN(O$5),INDEX(Attenuation!$K:$K,($H51-1+MIN(MAX(IFERROR(MATCH(LN(O$5),INDEX(Attenuation!$J:$J,$H51):INDEX(Attenuation!$J:$J,$H51+$I51-1),1),1),1),$I51-1))):INDEX(Attenuation!$K:$K,($H51-1+MIN(MAX(IFERROR(MATCH(LN(O$5),INDEX(Attenuation!$J:$J,$H51):INDEX(Attenuation!$J:$J,$H51+$I51-1),1),1),1),$I51-1))+1),INDEX(Attenuation!$J:$J,($H51-1+MIN(MAX(IFERROR(MATCH(LN(O$5),INDEX(Attenuation!$J:$J,$H51):INDEX(Attenuation!$J:$J,$H51+$I51-1),1),1),1),$I51-1))):INDEX(Attenuation!$J:$J,($H51-1+MIN(MAX(IFERROR(MATCH(LN(O$5),INDEX(Attenuation!$J:$J,$H51):INDEX(Attenuation!$J:$J,$H51+$I51-1),1),1),1),$I51-1))+1)))))</f>
        <v>1.7833495032780613</v>
      </c>
      <c r="P51" s="12">
        <f>IF($A51="","",IF(P$5&gt;2*$G51,"",EXP(FORECAST(LN(P$5),INDEX(Attenuation!$K:$K,($H51-1+MIN(MAX(IFERROR(MATCH(LN(P$5),INDEX(Attenuation!$J:$J,$H51):INDEX(Attenuation!$J:$J,$H51+$I51-1),1),1),1),$I51-1))):INDEX(Attenuation!$K:$K,($H51-1+MIN(MAX(IFERROR(MATCH(LN(P$5),INDEX(Attenuation!$J:$J,$H51):INDEX(Attenuation!$J:$J,$H51+$I51-1),1),1),1),$I51-1))+1),INDEX(Attenuation!$J:$J,($H51-1+MIN(MAX(IFERROR(MATCH(LN(P$5),INDEX(Attenuation!$J:$J,$H51):INDEX(Attenuation!$J:$J,$H51+$I51-1),1),1),1),$I51-1))):INDEX(Attenuation!$J:$J,($H51-1+MIN(MAX(IFERROR(MATCH(LN(P$5),INDEX(Attenuation!$J:$J,$H51):INDEX(Attenuation!$J:$J,$H51+$I51-1),1),1),1),$I51-1))+1)))))</f>
        <v>2.3969999999999989</v>
      </c>
      <c r="Q51" s="12">
        <f>IF($A51="","",IF(Q$5&gt;2*$G51,"",EXP(FORECAST(LN(Q$5),INDEX(Attenuation!$K:$K,($H51-1+MIN(MAX(IFERROR(MATCH(LN(Q$5),INDEX(Attenuation!$J:$J,$H51):INDEX(Attenuation!$J:$J,$H51+$I51-1),1),1),1),$I51-1))):INDEX(Attenuation!$K:$K,($H51-1+MIN(MAX(IFERROR(MATCH(LN(Q$5),INDEX(Attenuation!$J:$J,$H51):INDEX(Attenuation!$J:$J,$H51+$I51-1),1),1),1),$I51-1))+1),INDEX(Attenuation!$J:$J,($H51-1+MIN(MAX(IFERROR(MATCH(LN(Q$5),INDEX(Attenuation!$J:$J,$H51):INDEX(Attenuation!$J:$J,$H51+$I51-1),1),1),1),$I51-1))):INDEX(Attenuation!$J:$J,($H51-1+MIN(MAX(IFERROR(MATCH(LN(Q$5),INDEX(Attenuation!$J:$J,$H51):INDEX(Attenuation!$J:$J,$H51+$I51-1),1),1),1),$I51-1))+1)))))</f>
        <v>4.130746446593955</v>
      </c>
      <c r="R51" s="12">
        <f>IF($A51="","",IF(R$5&gt;2*$G51,"",EXP(FORECAST(LN(R$5),INDEX(Attenuation!$K:$K,($H51-1+MIN(MAX(IFERROR(MATCH(LN(R$5),INDEX(Attenuation!$J:$J,$H51):INDEX(Attenuation!$J:$J,$H51+$I51-1),1),1),1),$I51-1))):INDEX(Attenuation!$K:$K,($H51-1+MIN(MAX(IFERROR(MATCH(LN(R$5),INDEX(Attenuation!$J:$J,$H51):INDEX(Attenuation!$J:$J,$H51+$I51-1),1),1),1),$I51-1))+1),INDEX(Attenuation!$J:$J,($H51-1+MIN(MAX(IFERROR(MATCH(LN(R$5),INDEX(Attenuation!$J:$J,$H51):INDEX(Attenuation!$J:$J,$H51+$I51-1),1),1),1),$I51-1))):INDEX(Attenuation!$J:$J,($H51-1+MIN(MAX(IFERROR(MATCH(LN(R$5),INDEX(Attenuation!$J:$J,$H51):INDEX(Attenuation!$J:$J,$H51+$I51-1),1),1),1),$I51-1))+1)))))</f>
        <v>7.3517134600841842</v>
      </c>
      <c r="S51" s="12">
        <f>IF($A51="","",IF(S$5&gt;2*$G51,"",EXP(FORECAST(LN(S$5),INDEX(Attenuation!$K:$K,($H51-1+MIN(MAX(IFERROR(MATCH(LN(S$5),INDEX(Attenuation!$J:$J,$H51):INDEX(Attenuation!$J:$J,$H51+$I51-1),1),1),1),$I51-1))):INDEX(Attenuation!$K:$K,($H51-1+MIN(MAX(IFERROR(MATCH(LN(S$5),INDEX(Attenuation!$J:$J,$H51):INDEX(Attenuation!$J:$J,$H51+$I51-1),1),1),1),$I51-1))+1),INDEX(Attenuation!$J:$J,($H51-1+MIN(MAX(IFERROR(MATCH(LN(S$5),INDEX(Attenuation!$J:$J,$H51):INDEX(Attenuation!$J:$J,$H51+$I51-1),1),1),1),$I51-1))):INDEX(Attenuation!$J:$J,($H51-1+MIN(MAX(IFERROR(MATCH(LN(S$5),INDEX(Attenuation!$J:$J,$H51):INDEX(Attenuation!$J:$J,$H51+$I51-1),1),1),1),$I51-1))+1)))))</f>
        <v>13.32291485637646</v>
      </c>
      <c r="T51" s="12">
        <f>IF($A51="","",IF(T$5&gt;2*$G51,"",EXP(FORECAST(LN(T$5),INDEX(Attenuation!$K:$K,($H51-1+MIN(MAX(IFERROR(MATCH(LN(T$5),INDEX(Attenuation!$J:$J,$H51):INDEX(Attenuation!$J:$J,$H51+$I51-1),1),1),1),$I51-1))):INDEX(Attenuation!$K:$K,($H51-1+MIN(MAX(IFERROR(MATCH(LN(T$5),INDEX(Attenuation!$J:$J,$H51):INDEX(Attenuation!$J:$J,$H51+$I51-1),1),1),1),$I51-1))+1),INDEX(Attenuation!$J:$J,($H51-1+MIN(MAX(IFERROR(MATCH(LN(T$5),INDEX(Attenuation!$J:$J,$H51):INDEX(Attenuation!$J:$J,$H51+$I51-1),1),1),1),$I51-1))):INDEX(Attenuation!$J:$J,($H51-1+MIN(MAX(IFERROR(MATCH(LN(T$5),INDEX(Attenuation!$J:$J,$H51):INDEX(Attenuation!$J:$J,$H51+$I51-1),1),1),1),$I51-1))+1)))))</f>
        <v>18.815007814261925</v>
      </c>
      <c r="U51" s="12">
        <f>IF($A51="","",IF(U$5&gt;2*$G51,"",EXP(FORECAST(LN(U$5),INDEX(Attenuation!$K:$K,($H51-1+MIN(MAX(IFERROR(MATCH(LN(U$5),INDEX(Attenuation!$J:$J,$H51):INDEX(Attenuation!$J:$J,$H51+$I51-1),1),1),1),$I51-1))):INDEX(Attenuation!$K:$K,($H51-1+MIN(MAX(IFERROR(MATCH(LN(U$5),INDEX(Attenuation!$J:$J,$H51):INDEX(Attenuation!$J:$J,$H51+$I51-1),1),1),1),$I51-1))+1),INDEX(Attenuation!$J:$J,($H51-1+MIN(MAX(IFERROR(MATCH(LN(U$5),INDEX(Attenuation!$J:$J,$H51):INDEX(Attenuation!$J:$J,$H51+$I51-1),1),1),1),$I51-1))):INDEX(Attenuation!$J:$J,($H51-1+MIN(MAX(IFERROR(MATCH(LN(U$5),INDEX(Attenuation!$J:$J,$H51):INDEX(Attenuation!$J:$J,$H51+$I51-1),1),1),1),$I51-1))+1)))))</f>
        <v>31.347816539835947</v>
      </c>
      <c r="V51" s="1"/>
      <c r="W51" s="12">
        <f t="shared" si="12"/>
        <v>0.13608384948514718</v>
      </c>
      <c r="X51" s="12">
        <f t="shared" si="13"/>
        <v>0.1902768424615249</v>
      </c>
      <c r="Y51" s="12">
        <f t="shared" si="14"/>
        <v>0.26973063364498856</v>
      </c>
      <c r="Z51" s="12">
        <f t="shared" si="15"/>
        <v>0.38258363779886767</v>
      </c>
      <c r="AA51" s="12">
        <f t="shared" si="16"/>
        <v>0.46961780202414416</v>
      </c>
      <c r="AB51" s="12">
        <f t="shared" si="17"/>
        <v>0.54356492859915306</v>
      </c>
      <c r="AC51" s="12">
        <f t="shared" si="18"/>
        <v>0.73060559999999974</v>
      </c>
      <c r="AD51" s="12">
        <f t="shared" si="19"/>
        <v>1.2590515169218375</v>
      </c>
      <c r="AE51" s="12">
        <f t="shared" si="20"/>
        <v>2.2408022626336597</v>
      </c>
      <c r="AF51" s="12">
        <f t="shared" si="21"/>
        <v>4.0608244482235456</v>
      </c>
      <c r="AG51" s="12">
        <f t="shared" si="22"/>
        <v>5.734814381787035</v>
      </c>
      <c r="AH51" s="12">
        <f t="shared" si="23"/>
        <v>9.5548144813419977</v>
      </c>
    </row>
    <row r="52" spans="1:34" x14ac:dyDescent="0.25">
      <c r="A52" s="11" t="str">
        <f>IF(ROWS($A$6:A52)&gt;COUNTA(Cables!$A:$A)-1,"",INDEX(Cables!$A:$A,ROWS($A$6:A52)+1))</f>
        <v>TMS-LMR500</v>
      </c>
      <c r="B52" s="11" t="str">
        <f>IF($A52="","",IF(INDEX(Cables!$B:$B,MATCH($A52,Cables!$A:$A,0))="","",INDEX(Cables!$B:$B,MATCH($A52,Cables!$A:$A,0))))</f>
        <v>Times Microwave LMR-500 (Amphenol)</v>
      </c>
      <c r="C52" s="11">
        <f>IF($A52="","",IF(INDEX(Cables!$F:$F,MATCH($A52,Cables!$A:$A,0))="","",INDEX(Cables!$F:$F,MATCH($A52,Cables!$A:$A,0))))</f>
        <v>50</v>
      </c>
      <c r="D52" s="11">
        <f>IF($A52="","",IF(INDEX(Cables!$H:$H,MATCH($A52,Cables!$A:$A,0))="","",INDEX(Cables!$H:$H,MATCH($A52,Cables!$A:$A,0))))</f>
        <v>12.7</v>
      </c>
      <c r="E52" s="12">
        <f>IF($A52="","",IF(INDEX(Cables!$Q:$Q,MATCH($A52,Cables!$A:$A,0))="","",INDEX(Cables!$Q:$Q,MATCH($A52,Cables!$A:$A,0))))</f>
        <v>0.86</v>
      </c>
      <c r="F52" s="11">
        <f>IF($A52="","",IF(INDEX(Cables!$AQ:$AQ,MATCH($A52,Cables!$A:$A,0))="","",INDEX(Cables!$AQ:$AQ,MATCH($A52,Cables!$A:$A,0))))</f>
        <v>30</v>
      </c>
      <c r="G52" s="11">
        <f>IF($A52="","",IF(INDEX(Cables!$AR:$AR,MATCH($A52,Cables!$A:$A,0))="","",INDEX(Cables!$AR:$AR,MATCH($A52,Cables!$A:$A,0))))</f>
        <v>2500</v>
      </c>
      <c r="H52" s="11">
        <f>IF($A52="","",IF(INDEX(Cables!$AO:$AO,MATCH($A52,Cables!$A:$A,0))="","",INDEX(Cables!$AO:$AO,MATCH($A52,Cables!$A:$A,0))))</f>
        <v>766</v>
      </c>
      <c r="I52" s="11">
        <f>IF($A52="","",IF(INDEX(Cables!$AP:$AP,MATCH($A52,Cables!$A:$A,0))="","",INDEX(Cables!$AP:$AP,MATCH($A52,Cables!$A:$A,0))))</f>
        <v>10</v>
      </c>
      <c r="J52" s="12">
        <f>IF($A52="","",IF(J$5&gt;2*$G52,"",EXP(FORECAST(LN(J$5),INDEX(Attenuation!$K:$K,($H52-1+MIN(MAX(IFERROR(MATCH(LN(J$5),INDEX(Attenuation!$J:$J,$H52):INDEX(Attenuation!$J:$J,$H52+$I52-1),1),1),1),$I52-1))):INDEX(Attenuation!$K:$K,($H52-1+MIN(MAX(IFERROR(MATCH(LN(J$5),INDEX(Attenuation!$J:$J,$H52):INDEX(Attenuation!$J:$J,$H52+$I52-1),1),1),1),$I52-1))+1),INDEX(Attenuation!$J:$J,($H52-1+MIN(MAX(IFERROR(MATCH(LN(J$5),INDEX(Attenuation!$J:$J,$H52):INDEX(Attenuation!$J:$J,$H52+$I52-1),1),1),1),$I52-1))):INDEX(Attenuation!$J:$J,($H52-1+MIN(MAX(IFERROR(MATCH(LN(J$5),INDEX(Attenuation!$J:$J,$H52):INDEX(Attenuation!$J:$J,$H52+$I52-1),1),1),1),$I52-1))+1)))))</f>
        <v>0.42427892418907148</v>
      </c>
      <c r="K52" s="12">
        <f>IF($A52="","",IF(K$5&gt;2*$G52,"",EXP(FORECAST(LN(K$5),INDEX(Attenuation!$K:$K,($H52-1+MIN(MAX(IFERROR(MATCH(LN(K$5),INDEX(Attenuation!$J:$J,$H52):INDEX(Attenuation!$J:$J,$H52+$I52-1),1),1),1),$I52-1))):INDEX(Attenuation!$K:$K,($H52-1+MIN(MAX(IFERROR(MATCH(LN(K$5),INDEX(Attenuation!$J:$J,$H52):INDEX(Attenuation!$J:$J,$H52+$I52-1),1),1),1),$I52-1))+1),INDEX(Attenuation!$J:$J,($H52-1+MIN(MAX(IFERROR(MATCH(LN(K$5),INDEX(Attenuation!$J:$J,$H52):INDEX(Attenuation!$J:$J,$H52+$I52-1),1),1),1),$I52-1))):INDEX(Attenuation!$J:$J,($H52-1+MIN(MAX(IFERROR(MATCH(LN(K$5),INDEX(Attenuation!$J:$J,$H52):INDEX(Attenuation!$J:$J,$H52+$I52-1),1),1),1),$I52-1))+1)))))</f>
        <v>0.59479355220946506</v>
      </c>
      <c r="L52" s="12">
        <f>IF($A52="","",IF(L$5&gt;2*$G52,"",EXP(FORECAST(LN(L$5),INDEX(Attenuation!$K:$K,($H52-1+MIN(MAX(IFERROR(MATCH(LN(L$5),INDEX(Attenuation!$J:$J,$H52):INDEX(Attenuation!$J:$J,$H52+$I52-1),1),1),1),$I52-1))):INDEX(Attenuation!$K:$K,($H52-1+MIN(MAX(IFERROR(MATCH(LN(L$5),INDEX(Attenuation!$J:$J,$H52):INDEX(Attenuation!$J:$J,$H52+$I52-1),1),1),1),$I52-1))+1),INDEX(Attenuation!$J:$J,($H52-1+MIN(MAX(IFERROR(MATCH(LN(L$5),INDEX(Attenuation!$J:$J,$H52):INDEX(Attenuation!$J:$J,$H52+$I52-1),1),1),1),$I52-1))):INDEX(Attenuation!$J:$J,($H52-1+MIN(MAX(IFERROR(MATCH(LN(L$5),INDEX(Attenuation!$J:$J,$H52):INDEX(Attenuation!$J:$J,$H52+$I52-1),1),1),1),$I52-1))+1)))))</f>
        <v>0.84585599341354678</v>
      </c>
      <c r="M52" s="12">
        <f>IF($A52="","",IF(M$5&gt;2*$G52,"",EXP(FORECAST(LN(M$5),INDEX(Attenuation!$K:$K,($H52-1+MIN(MAX(IFERROR(MATCH(LN(M$5),INDEX(Attenuation!$J:$J,$H52):INDEX(Attenuation!$J:$J,$H52+$I52-1),1),1),1),$I52-1))):INDEX(Attenuation!$K:$K,($H52-1+MIN(MAX(IFERROR(MATCH(LN(M$5),INDEX(Attenuation!$J:$J,$H52):INDEX(Attenuation!$J:$J,$H52+$I52-1),1),1),1),$I52-1))+1),INDEX(Attenuation!$J:$J,($H52-1+MIN(MAX(IFERROR(MATCH(LN(M$5),INDEX(Attenuation!$J:$J,$H52):INDEX(Attenuation!$J:$J,$H52+$I52-1),1),1),1),$I52-1))):INDEX(Attenuation!$J:$J,($H52-1+MIN(MAX(IFERROR(MATCH(LN(M$5),INDEX(Attenuation!$J:$J,$H52):INDEX(Attenuation!$J:$J,$H52+$I52-1),1),1),1),$I52-1))+1)))))</f>
        <v>1.2028919260067135</v>
      </c>
      <c r="N52" s="12">
        <f>IF($A52="","",IF(N$5&gt;2*$G52,"",EXP(FORECAST(LN(N$5),INDEX(Attenuation!$K:$K,($H52-1+MIN(MAX(IFERROR(MATCH(LN(N$5),INDEX(Attenuation!$J:$J,$H52):INDEX(Attenuation!$J:$J,$H52+$I52-1),1),1),1),$I52-1))):INDEX(Attenuation!$K:$K,($H52-1+MIN(MAX(IFERROR(MATCH(LN(N$5),INDEX(Attenuation!$J:$J,$H52):INDEX(Attenuation!$J:$J,$H52+$I52-1),1),1),1),$I52-1))+1),INDEX(Attenuation!$J:$J,($H52-1+MIN(MAX(IFERROR(MATCH(LN(N$5),INDEX(Attenuation!$J:$J,$H52):INDEX(Attenuation!$J:$J,$H52+$I52-1),1),1),1),$I52-1))):INDEX(Attenuation!$J:$J,($H52-1+MIN(MAX(IFERROR(MATCH(LN(N$5),INDEX(Attenuation!$J:$J,$H52):INDEX(Attenuation!$J:$J,$H52+$I52-1),1),1),1),$I52-1))+1)))))</f>
        <v>1.4780360599327143</v>
      </c>
      <c r="O52" s="12">
        <f>IF($A52="","",IF(O$5&gt;2*$G52,"",EXP(FORECAST(LN(O$5),INDEX(Attenuation!$K:$K,($H52-1+MIN(MAX(IFERROR(MATCH(LN(O$5),INDEX(Attenuation!$J:$J,$H52):INDEX(Attenuation!$J:$J,$H52+$I52-1),1),1),1),$I52-1))):INDEX(Attenuation!$K:$K,($H52-1+MIN(MAX(IFERROR(MATCH(LN(O$5),INDEX(Attenuation!$J:$J,$H52):INDEX(Attenuation!$J:$J,$H52+$I52-1),1),1),1),$I52-1))+1),INDEX(Attenuation!$J:$J,($H52-1+MIN(MAX(IFERROR(MATCH(LN(O$5),INDEX(Attenuation!$J:$J,$H52):INDEX(Attenuation!$J:$J,$H52+$I52-1),1),1),1),$I52-1))):INDEX(Attenuation!$J:$J,($H52-1+MIN(MAX(IFERROR(MATCH(LN(O$5),INDEX(Attenuation!$J:$J,$H52):INDEX(Attenuation!$J:$J,$H52+$I52-1),1),1),1),$I52-1))+1)))))</f>
        <v>1.710632775459586</v>
      </c>
      <c r="P52" s="12">
        <f>IF($A52="","",IF(P$5&gt;2*$G52,"",EXP(FORECAST(LN(P$5),INDEX(Attenuation!$K:$K,($H52-1+MIN(MAX(IFERROR(MATCH(LN(P$5),INDEX(Attenuation!$J:$J,$H52):INDEX(Attenuation!$J:$J,$H52+$I52-1),1),1),1),$I52-1))):INDEX(Attenuation!$K:$K,($H52-1+MIN(MAX(IFERROR(MATCH(LN(P$5),INDEX(Attenuation!$J:$J,$H52):INDEX(Attenuation!$J:$J,$H52+$I52-1),1),1),1),$I52-1))+1),INDEX(Attenuation!$J:$J,($H52-1+MIN(MAX(IFERROR(MATCH(LN(P$5),INDEX(Attenuation!$J:$J,$H52):INDEX(Attenuation!$J:$J,$H52+$I52-1),1),1),1),$I52-1))):INDEX(Attenuation!$J:$J,($H52-1+MIN(MAX(IFERROR(MATCH(LN(P$5),INDEX(Attenuation!$J:$J,$H52):INDEX(Attenuation!$J:$J,$H52+$I52-1),1),1),1),$I52-1))+1)))))</f>
        <v>2.296587926509186</v>
      </c>
      <c r="Q52" s="12">
        <f>IF($A52="","",IF(Q$5&gt;2*$G52,"",EXP(FORECAST(LN(Q$5),INDEX(Attenuation!$K:$K,($H52-1+MIN(MAX(IFERROR(MATCH(LN(Q$5),INDEX(Attenuation!$J:$J,$H52):INDEX(Attenuation!$J:$J,$H52+$I52-1),1),1),1),$I52-1))):INDEX(Attenuation!$K:$K,($H52-1+MIN(MAX(IFERROR(MATCH(LN(Q$5),INDEX(Attenuation!$J:$J,$H52):INDEX(Attenuation!$J:$J,$H52+$I52-1),1),1),1),$I52-1))+1),INDEX(Attenuation!$J:$J,($H52-1+MIN(MAX(IFERROR(MATCH(LN(Q$5),INDEX(Attenuation!$J:$J,$H52):INDEX(Attenuation!$J:$J,$H52+$I52-1),1),1),1),$I52-1))):INDEX(Attenuation!$J:$J,($H52-1+MIN(MAX(IFERROR(MATCH(LN(Q$5),INDEX(Attenuation!$J:$J,$H52):INDEX(Attenuation!$J:$J,$H52+$I52-1),1),1),1),$I52-1))+1)))))</f>
        <v>3.9208489841948588</v>
      </c>
      <c r="R52" s="12">
        <f>IF($A52="","",IF(R$5&gt;2*$G52,"",EXP(FORECAST(LN(R$5),INDEX(Attenuation!$K:$K,($H52-1+MIN(MAX(IFERROR(MATCH(LN(R$5),INDEX(Attenuation!$J:$J,$H52):INDEX(Attenuation!$J:$J,$H52+$I52-1),1),1),1),$I52-1))):INDEX(Attenuation!$K:$K,($H52-1+MIN(MAX(IFERROR(MATCH(LN(R$5),INDEX(Attenuation!$J:$J,$H52):INDEX(Attenuation!$J:$J,$H52+$I52-1),1),1),1),$I52-1))+1),INDEX(Attenuation!$J:$J,($H52-1+MIN(MAX(IFERROR(MATCH(LN(R$5),INDEX(Attenuation!$J:$J,$H52):INDEX(Attenuation!$J:$J,$H52+$I52-1),1),1),1),$I52-1))):INDEX(Attenuation!$J:$J,($H52-1+MIN(MAX(IFERROR(MATCH(LN(R$5),INDEX(Attenuation!$J:$J,$H52):INDEX(Attenuation!$J:$J,$H52+$I52-1),1),1),1),$I52-1))+1)))))</f>
        <v>6.968366142094566</v>
      </c>
      <c r="S52" s="12">
        <f>IF($A52="","",IF(S$5&gt;2*$G52,"",EXP(FORECAST(LN(S$5),INDEX(Attenuation!$K:$K,($H52-1+MIN(MAX(IFERROR(MATCH(LN(S$5),INDEX(Attenuation!$J:$J,$H52):INDEX(Attenuation!$J:$J,$H52+$I52-1),1),1),1),$I52-1))):INDEX(Attenuation!$K:$K,($H52-1+MIN(MAX(IFERROR(MATCH(LN(S$5),INDEX(Attenuation!$J:$J,$H52):INDEX(Attenuation!$J:$J,$H52+$I52-1),1),1),1),$I52-1))+1),INDEX(Attenuation!$J:$J,($H52-1+MIN(MAX(IFERROR(MATCH(LN(S$5),INDEX(Attenuation!$J:$J,$H52):INDEX(Attenuation!$J:$J,$H52+$I52-1),1),1),1),$I52-1))):INDEX(Attenuation!$J:$J,($H52-1+MIN(MAX(IFERROR(MATCH(LN(S$5),INDEX(Attenuation!$J:$J,$H52):INDEX(Attenuation!$J:$J,$H52+$I52-1),1),1),1),$I52-1))+1)))))</f>
        <v>12.516378672066512</v>
      </c>
      <c r="T52" s="12">
        <f>IF($A52="","",IF(T$5&gt;2*$G52,"",EXP(FORECAST(LN(T$5),INDEX(Attenuation!$K:$K,($H52-1+MIN(MAX(IFERROR(MATCH(LN(T$5),INDEX(Attenuation!$J:$J,$H52):INDEX(Attenuation!$J:$J,$H52+$I52-1),1),1),1),$I52-1))):INDEX(Attenuation!$K:$K,($H52-1+MIN(MAX(IFERROR(MATCH(LN(T$5),INDEX(Attenuation!$J:$J,$H52):INDEX(Attenuation!$J:$J,$H52+$I52-1),1),1),1),$I52-1))+1),INDEX(Attenuation!$J:$J,($H52-1+MIN(MAX(IFERROR(MATCH(LN(T$5),INDEX(Attenuation!$J:$J,$H52):INDEX(Attenuation!$J:$J,$H52+$I52-1),1),1),1),$I52-1))):INDEX(Attenuation!$J:$J,($H52-1+MIN(MAX(IFERROR(MATCH(LN(T$5),INDEX(Attenuation!$J:$J,$H52):INDEX(Attenuation!$J:$J,$H52+$I52-1),1),1),1),$I52-1))+1)))))</f>
        <v>17.575134752401873</v>
      </c>
      <c r="U52" s="12" t="str">
        <f>IF($A52="","",IF(U$5&gt;2*$G52,"",EXP(FORECAST(LN(U$5),INDEX(Attenuation!$K:$K,($H52-1+MIN(MAX(IFERROR(MATCH(LN(U$5),INDEX(Attenuation!$J:$J,$H52):INDEX(Attenuation!$J:$J,$H52+$I52-1),1),1),1),$I52-1))):INDEX(Attenuation!$K:$K,($H52-1+MIN(MAX(IFERROR(MATCH(LN(U$5),INDEX(Attenuation!$J:$J,$H52):INDEX(Attenuation!$J:$J,$H52+$I52-1),1),1),1),$I52-1))+1),INDEX(Attenuation!$J:$J,($H52-1+MIN(MAX(IFERROR(MATCH(LN(U$5),INDEX(Attenuation!$J:$J,$H52):INDEX(Attenuation!$J:$J,$H52+$I52-1),1),1),1),$I52-1))):INDEX(Attenuation!$J:$J,($H52-1+MIN(MAX(IFERROR(MATCH(LN(U$5),INDEX(Attenuation!$J:$J,$H52):INDEX(Attenuation!$J:$J,$H52+$I52-1),1),1),1),$I52-1))+1)))))</f>
        <v/>
      </c>
      <c r="V52" s="1"/>
      <c r="W52" s="12">
        <f t="shared" si="12"/>
        <v>0.12932021609282898</v>
      </c>
      <c r="X52" s="12">
        <f t="shared" si="13"/>
        <v>0.18129307471344497</v>
      </c>
      <c r="Y52" s="12">
        <f t="shared" si="14"/>
        <v>0.25781690679244906</v>
      </c>
      <c r="Z52" s="12">
        <f t="shared" si="15"/>
        <v>0.36664145904684631</v>
      </c>
      <c r="AA52" s="12">
        <f t="shared" si="16"/>
        <v>0.45050539106749132</v>
      </c>
      <c r="AB52" s="12">
        <f t="shared" si="17"/>
        <v>0.52140086996008184</v>
      </c>
      <c r="AC52" s="12">
        <f t="shared" si="18"/>
        <v>0.7</v>
      </c>
      <c r="AD52" s="12">
        <f t="shared" si="19"/>
        <v>1.195074770382593</v>
      </c>
      <c r="AE52" s="12">
        <f t="shared" si="20"/>
        <v>2.1239580001104237</v>
      </c>
      <c r="AF52" s="12">
        <f t="shared" si="21"/>
        <v>3.8149922192458732</v>
      </c>
      <c r="AG52" s="12">
        <f t="shared" si="22"/>
        <v>5.3569010725320911</v>
      </c>
      <c r="AH52" s="12" t="str">
        <f t="shared" si="23"/>
        <v/>
      </c>
    </row>
    <row r="53" spans="1:34" x14ac:dyDescent="0.25">
      <c r="A53" s="11" t="str">
        <f>IF(ROWS($A$6:A53)&gt;COUNTA(Cables!$A:$A)-1,"",INDEX(Cables!$A:$A,ROWS($A$6:A53)+1))</f>
        <v>GEN-10D-FB</v>
      </c>
      <c r="B53" s="11" t="str">
        <f>IF($A53="","",IF(INDEX(Cables!$B:$B,MATCH($A53,Cables!$A:$A,0))="","",INDEX(Cables!$B:$B,MATCH($A53,Cables!$A:$A,0))))</f>
        <v>10D-FB (2020 numune spesifikasyonu)</v>
      </c>
      <c r="C53" s="11">
        <f>IF($A53="","",IF(INDEX(Cables!$F:$F,MATCH($A53,Cables!$A:$A,0))="","",INDEX(Cables!$F:$F,MATCH($A53,Cables!$A:$A,0))))</f>
        <v>50</v>
      </c>
      <c r="D53" s="11">
        <f>IF($A53="","",IF(INDEX(Cables!$H:$H,MATCH($A53,Cables!$A:$A,0))="","",INDEX(Cables!$H:$H,MATCH($A53,Cables!$A:$A,0))))</f>
        <v>13.1</v>
      </c>
      <c r="E53" s="12" t="str">
        <f>IF($A53="","",IF(INDEX(Cables!$Q:$Q,MATCH($A53,Cables!$A:$A,0))="","",INDEX(Cables!$Q:$Q,MATCH($A53,Cables!$A:$A,0))))</f>
        <v/>
      </c>
      <c r="F53" s="11">
        <f>IF($A53="","",IF(INDEX(Cables!$AQ:$AQ,MATCH($A53,Cables!$A:$A,0))="","",INDEX(Cables!$AQ:$AQ,MATCH($A53,Cables!$A:$A,0))))</f>
        <v>50</v>
      </c>
      <c r="G53" s="11">
        <f>IF($A53="","",IF(INDEX(Cables!$AR:$AR,MATCH($A53,Cables!$A:$A,0))="","",INDEX(Cables!$AR:$AR,MATCH($A53,Cables!$A:$A,0))))</f>
        <v>2450</v>
      </c>
      <c r="H53" s="11">
        <f>IF($A53="","",IF(INDEX(Cables!$AO:$AO,MATCH($A53,Cables!$A:$A,0))="","",INDEX(Cables!$AO:$AO,MATCH($A53,Cables!$A:$A,0))))</f>
        <v>776</v>
      </c>
      <c r="I53" s="11">
        <f>IF($A53="","",IF(INDEX(Cables!$AP:$AP,MATCH($A53,Cables!$A:$A,0))="","",INDEX(Cables!$AP:$AP,MATCH($A53,Cables!$A:$A,0))))</f>
        <v>9</v>
      </c>
      <c r="J53" s="12">
        <f>IF($A53="","",IF(J$5&gt;2*$G53,"",EXP(FORECAST(LN(J$5),INDEX(Attenuation!$K:$K,($H53-1+MIN(MAX(IFERROR(MATCH(LN(J$5),INDEX(Attenuation!$J:$J,$H53):INDEX(Attenuation!$J:$J,$H53+$I53-1),1),1),1),$I53-1))):INDEX(Attenuation!$K:$K,($H53-1+MIN(MAX(IFERROR(MATCH(LN(J$5),INDEX(Attenuation!$J:$J,$H53):INDEX(Attenuation!$J:$J,$H53+$I53-1),1),1),1),$I53-1))+1),INDEX(Attenuation!$J:$J,($H53-1+MIN(MAX(IFERROR(MATCH(LN(J$5),INDEX(Attenuation!$J:$J,$H53):INDEX(Attenuation!$J:$J,$H53+$I53-1),1),1),1),$I53-1))):INDEX(Attenuation!$J:$J,($H53-1+MIN(MAX(IFERROR(MATCH(LN(J$5),INDEX(Attenuation!$J:$J,$H53):INDEX(Attenuation!$J:$J,$H53+$I53-1),1),1),1),$I53-1))+1)))))</f>
        <v>0.3783670276301056</v>
      </c>
      <c r="K53" s="12">
        <f>IF($A53="","",IF(K$5&gt;2*$G53,"",EXP(FORECAST(LN(K$5),INDEX(Attenuation!$K:$K,($H53-1+MIN(MAX(IFERROR(MATCH(LN(K$5),INDEX(Attenuation!$J:$J,$H53):INDEX(Attenuation!$J:$J,$H53+$I53-1),1),1),1),$I53-1))):INDEX(Attenuation!$K:$K,($H53-1+MIN(MAX(IFERROR(MATCH(LN(K$5),INDEX(Attenuation!$J:$J,$H53):INDEX(Attenuation!$J:$J,$H53+$I53-1),1),1),1),$I53-1))+1),INDEX(Attenuation!$J:$J,($H53-1+MIN(MAX(IFERROR(MATCH(LN(K$5),INDEX(Attenuation!$J:$J,$H53):INDEX(Attenuation!$J:$J,$H53+$I53-1),1),1),1),$I53-1))):INDEX(Attenuation!$J:$J,($H53-1+MIN(MAX(IFERROR(MATCH(LN(K$5),INDEX(Attenuation!$J:$J,$H53):INDEX(Attenuation!$J:$J,$H53+$I53-1),1),1),1),$I53-1))+1)))))</f>
        <v>0.53309348744025564</v>
      </c>
      <c r="L53" s="12">
        <f>IF($A53="","",IF(L$5&gt;2*$G53,"",EXP(FORECAST(LN(L$5),INDEX(Attenuation!$K:$K,($H53-1+MIN(MAX(IFERROR(MATCH(LN(L$5),INDEX(Attenuation!$J:$J,$H53):INDEX(Attenuation!$J:$J,$H53+$I53-1),1),1),1),$I53-1))):INDEX(Attenuation!$K:$K,($H53-1+MIN(MAX(IFERROR(MATCH(LN(L$5),INDEX(Attenuation!$J:$J,$H53):INDEX(Attenuation!$J:$J,$H53+$I53-1),1),1),1),$I53-1))+1),INDEX(Attenuation!$J:$J,($H53-1+MIN(MAX(IFERROR(MATCH(LN(L$5),INDEX(Attenuation!$J:$J,$H53):INDEX(Attenuation!$J:$J,$H53+$I53-1),1),1),1),$I53-1))):INDEX(Attenuation!$J:$J,($H53-1+MIN(MAX(IFERROR(MATCH(LN(L$5),INDEX(Attenuation!$J:$J,$H53):INDEX(Attenuation!$J:$J,$H53+$I53-1),1),1),1),$I53-1))+1)))))</f>
        <v>0.76208078320763861</v>
      </c>
      <c r="M53" s="12">
        <f>IF($A53="","",IF(M$5&gt;2*$G53,"",EXP(FORECAST(LN(M$5),INDEX(Attenuation!$K:$K,($H53-1+MIN(MAX(IFERROR(MATCH(LN(M$5),INDEX(Attenuation!$J:$J,$H53):INDEX(Attenuation!$J:$J,$H53+$I53-1),1),1),1),$I53-1))):INDEX(Attenuation!$K:$K,($H53-1+MIN(MAX(IFERROR(MATCH(LN(M$5),INDEX(Attenuation!$J:$J,$H53):INDEX(Attenuation!$J:$J,$H53+$I53-1),1),1),1),$I53-1))+1),INDEX(Attenuation!$J:$J,($H53-1+MIN(MAX(IFERROR(MATCH(LN(M$5),INDEX(Attenuation!$J:$J,$H53):INDEX(Attenuation!$J:$J,$H53+$I53-1),1),1),1),$I53-1))):INDEX(Attenuation!$J:$J,($H53-1+MIN(MAX(IFERROR(MATCH(LN(M$5),INDEX(Attenuation!$J:$J,$H53):INDEX(Attenuation!$J:$J,$H53+$I53-1),1),1),1),$I53-1))+1)))))</f>
        <v>1.0894282781863003</v>
      </c>
      <c r="N53" s="12">
        <f>IF($A53="","",IF(N$5&gt;2*$G53,"",EXP(FORECAST(LN(N$5),INDEX(Attenuation!$K:$K,($H53-1+MIN(MAX(IFERROR(MATCH(LN(N$5),INDEX(Attenuation!$J:$J,$H53):INDEX(Attenuation!$J:$J,$H53+$I53-1),1),1),1),$I53-1))):INDEX(Attenuation!$K:$K,($H53-1+MIN(MAX(IFERROR(MATCH(LN(N$5),INDEX(Attenuation!$J:$J,$H53):INDEX(Attenuation!$J:$J,$H53+$I53-1),1),1),1),$I53-1))+1),INDEX(Attenuation!$J:$J,($H53-1+MIN(MAX(IFERROR(MATCH(LN(N$5),INDEX(Attenuation!$J:$J,$H53):INDEX(Attenuation!$J:$J,$H53+$I53-1),1),1),1),$I53-1))):INDEX(Attenuation!$J:$J,($H53-1+MIN(MAX(IFERROR(MATCH(LN(N$5),INDEX(Attenuation!$J:$J,$H53):INDEX(Attenuation!$J:$J,$H53+$I53-1),1),1),1),$I53-1))+1)))))</f>
        <v>1.3427137608896491</v>
      </c>
      <c r="O53" s="12">
        <f>IF($A53="","",IF(O$5&gt;2*$G53,"",EXP(FORECAST(LN(O$5),INDEX(Attenuation!$K:$K,($H53-1+MIN(MAX(IFERROR(MATCH(LN(O$5),INDEX(Attenuation!$J:$J,$H53):INDEX(Attenuation!$J:$J,$H53+$I53-1),1),1),1),$I53-1))):INDEX(Attenuation!$K:$K,($H53-1+MIN(MAX(IFERROR(MATCH(LN(O$5),INDEX(Attenuation!$J:$J,$H53):INDEX(Attenuation!$J:$J,$H53+$I53-1),1),1),1),$I53-1))+1),INDEX(Attenuation!$J:$J,($H53-1+MIN(MAX(IFERROR(MATCH(LN(O$5),INDEX(Attenuation!$J:$J,$H53):INDEX(Attenuation!$J:$J,$H53+$I53-1),1),1),1),$I53-1))):INDEX(Attenuation!$J:$J,($H53-1+MIN(MAX(IFERROR(MATCH(LN(O$5),INDEX(Attenuation!$J:$J,$H53):INDEX(Attenuation!$J:$J,$H53+$I53-1),1),1),1),$I53-1))+1)))))</f>
        <v>1.5573860402521049</v>
      </c>
      <c r="P53" s="12">
        <f>IF($A53="","",IF(P$5&gt;2*$G53,"",EXP(FORECAST(LN(P$5),INDEX(Attenuation!$K:$K,($H53-1+MIN(MAX(IFERROR(MATCH(LN(P$5),INDEX(Attenuation!$J:$J,$H53):INDEX(Attenuation!$J:$J,$H53+$I53-1),1),1),1),$I53-1))):INDEX(Attenuation!$K:$K,($H53-1+MIN(MAX(IFERROR(MATCH(LN(P$5),INDEX(Attenuation!$J:$J,$H53):INDEX(Attenuation!$J:$J,$H53+$I53-1),1),1),1),$I53-1))+1),INDEX(Attenuation!$J:$J,($H53-1+MIN(MAX(IFERROR(MATCH(LN(P$5),INDEX(Attenuation!$J:$J,$H53):INDEX(Attenuation!$J:$J,$H53+$I53-1),1),1),1),$I53-1))):INDEX(Attenuation!$J:$J,($H53-1+MIN(MAX(IFERROR(MATCH(LN(P$5),INDEX(Attenuation!$J:$J,$H53):INDEX(Attenuation!$J:$J,$H53+$I53-1),1),1),1),$I53-1))+1)))))</f>
        <v>2.1000000000000005</v>
      </c>
      <c r="Q53" s="12">
        <f>IF($A53="","",IF(Q$5&gt;2*$G53,"",EXP(FORECAST(LN(Q$5),INDEX(Attenuation!$K:$K,($H53-1+MIN(MAX(IFERROR(MATCH(LN(Q$5),INDEX(Attenuation!$J:$J,$H53):INDEX(Attenuation!$J:$J,$H53+$I53-1),1),1),1),$I53-1))):INDEX(Attenuation!$K:$K,($H53-1+MIN(MAX(IFERROR(MATCH(LN(Q$5),INDEX(Attenuation!$J:$J,$H53):INDEX(Attenuation!$J:$J,$H53+$I53-1),1),1),1),$I53-1))+1),INDEX(Attenuation!$J:$J,($H53-1+MIN(MAX(IFERROR(MATCH(LN(Q$5),INDEX(Attenuation!$J:$J,$H53):INDEX(Attenuation!$J:$J,$H53+$I53-1),1),1),1),$I53-1))):INDEX(Attenuation!$J:$J,($H53-1+MIN(MAX(IFERROR(MATCH(LN(Q$5),INDEX(Attenuation!$J:$J,$H53):INDEX(Attenuation!$J:$J,$H53+$I53-1),1),1),1),$I53-1))+1)))))</f>
        <v>3.6229435138071207</v>
      </c>
      <c r="R53" s="12">
        <f>IF($A53="","",IF(R$5&gt;2*$G53,"",EXP(FORECAST(LN(R$5),INDEX(Attenuation!$K:$K,($H53-1+MIN(MAX(IFERROR(MATCH(LN(R$5),INDEX(Attenuation!$J:$J,$H53):INDEX(Attenuation!$J:$J,$H53+$I53-1),1),1),1),$I53-1))):INDEX(Attenuation!$K:$K,($H53-1+MIN(MAX(IFERROR(MATCH(LN(R$5),INDEX(Attenuation!$J:$J,$H53):INDEX(Attenuation!$J:$J,$H53+$I53-1),1),1),1),$I53-1))+1),INDEX(Attenuation!$J:$J,($H53-1+MIN(MAX(IFERROR(MATCH(LN(R$5),INDEX(Attenuation!$J:$J,$H53):INDEX(Attenuation!$J:$J,$H53+$I53-1),1),1),1),$I53-1))):INDEX(Attenuation!$J:$J,($H53-1+MIN(MAX(IFERROR(MATCH(LN(R$5),INDEX(Attenuation!$J:$J,$H53):INDEX(Attenuation!$J:$J,$H53+$I53-1),1),1),1),$I53-1))+1)))))</f>
        <v>6.9301174138348811</v>
      </c>
      <c r="S53" s="12">
        <f>IF($A53="","",IF(S$5&gt;2*$G53,"",EXP(FORECAST(LN(S$5),INDEX(Attenuation!$K:$K,($H53-1+MIN(MAX(IFERROR(MATCH(LN(S$5),INDEX(Attenuation!$J:$J,$H53):INDEX(Attenuation!$J:$J,$H53+$I53-1),1),1),1),$I53-1))):INDEX(Attenuation!$K:$K,($H53-1+MIN(MAX(IFERROR(MATCH(LN(S$5),INDEX(Attenuation!$J:$J,$H53):INDEX(Attenuation!$J:$J,$H53+$I53-1),1),1),1),$I53-1))+1),INDEX(Attenuation!$J:$J,($H53-1+MIN(MAX(IFERROR(MATCH(LN(S$5),INDEX(Attenuation!$J:$J,$H53):INDEX(Attenuation!$J:$J,$H53+$I53-1),1),1),1),$I53-1))):INDEX(Attenuation!$J:$J,($H53-1+MIN(MAX(IFERROR(MATCH(LN(S$5),INDEX(Attenuation!$J:$J,$H53):INDEX(Attenuation!$J:$J,$H53+$I53-1),1),1),1),$I53-1))+1)))))</f>
        <v>12.534972816243849</v>
      </c>
      <c r="T53" s="12">
        <f>IF($A53="","",IF(T$5&gt;2*$G53,"",EXP(FORECAST(LN(T$5),INDEX(Attenuation!$K:$K,($H53-1+MIN(MAX(IFERROR(MATCH(LN(T$5),INDEX(Attenuation!$J:$J,$H53):INDEX(Attenuation!$J:$J,$H53+$I53-1),1),1),1),$I53-1))):INDEX(Attenuation!$K:$K,($H53-1+MIN(MAX(IFERROR(MATCH(LN(T$5),INDEX(Attenuation!$J:$J,$H53):INDEX(Attenuation!$J:$J,$H53+$I53-1),1),1),1),$I53-1))+1),INDEX(Attenuation!$J:$J,($H53-1+MIN(MAX(IFERROR(MATCH(LN(T$5),INDEX(Attenuation!$J:$J,$H53):INDEX(Attenuation!$J:$J,$H53+$I53-1),1),1),1),$I53-1))):INDEX(Attenuation!$J:$J,($H53-1+MIN(MAX(IFERROR(MATCH(LN(T$5),INDEX(Attenuation!$J:$J,$H53):INDEX(Attenuation!$J:$J,$H53+$I53-1),1),1),1),$I53-1))+1)))))</f>
        <v>18.064604854744207</v>
      </c>
      <c r="U53" s="12" t="str">
        <f>IF($A53="","",IF(U$5&gt;2*$G53,"",EXP(FORECAST(LN(U$5),INDEX(Attenuation!$K:$K,($H53-1+MIN(MAX(IFERROR(MATCH(LN(U$5),INDEX(Attenuation!$J:$J,$H53):INDEX(Attenuation!$J:$J,$H53+$I53-1),1),1),1),$I53-1))):INDEX(Attenuation!$K:$K,($H53-1+MIN(MAX(IFERROR(MATCH(LN(U$5),INDEX(Attenuation!$J:$J,$H53):INDEX(Attenuation!$J:$J,$H53+$I53-1),1),1),1),$I53-1))+1),INDEX(Attenuation!$J:$J,($H53-1+MIN(MAX(IFERROR(MATCH(LN(U$5),INDEX(Attenuation!$J:$J,$H53):INDEX(Attenuation!$J:$J,$H53+$I53-1),1),1),1),$I53-1))):INDEX(Attenuation!$J:$J,($H53-1+MIN(MAX(IFERROR(MATCH(LN(U$5),INDEX(Attenuation!$J:$J,$H53):INDEX(Attenuation!$J:$J,$H53+$I53-1),1),1),1),$I53-1))+1)))))</f>
        <v/>
      </c>
      <c r="V53" s="1"/>
      <c r="W53" s="12">
        <f t="shared" si="12"/>
        <v>0.1153262700216562</v>
      </c>
      <c r="X53" s="12">
        <f t="shared" si="13"/>
        <v>0.16248689497178992</v>
      </c>
      <c r="Y53" s="12">
        <f t="shared" si="14"/>
        <v>0.23228222272168825</v>
      </c>
      <c r="Z53" s="12">
        <f t="shared" si="15"/>
        <v>0.33205773919118436</v>
      </c>
      <c r="AA53" s="12">
        <f t="shared" si="16"/>
        <v>0.4092591543191651</v>
      </c>
      <c r="AB53" s="12">
        <f t="shared" si="17"/>
        <v>0.47469126506884163</v>
      </c>
      <c r="AC53" s="12">
        <f t="shared" si="18"/>
        <v>0.6400800000000002</v>
      </c>
      <c r="AD53" s="12">
        <f t="shared" si="19"/>
        <v>1.1042731830084105</v>
      </c>
      <c r="AE53" s="12">
        <f t="shared" si="20"/>
        <v>2.1122997877368719</v>
      </c>
      <c r="AF53" s="12">
        <f t="shared" si="21"/>
        <v>3.8206597143911254</v>
      </c>
      <c r="AG53" s="12">
        <f t="shared" si="22"/>
        <v>5.5060915597260349</v>
      </c>
      <c r="AH53" s="12" t="str">
        <f t="shared" si="23"/>
        <v/>
      </c>
    </row>
    <row r="54" spans="1:34" x14ac:dyDescent="0.25">
      <c r="A54" s="11" t="str">
        <f>IF(ROWS($A$6:A54)&gt;COUNTA(Cables!$A:$A)-1,"",INDEX(Cables!$A:$A,ROWS($A$6:A54)+1))</f>
        <v>MP-ULTRAFLEX13</v>
      </c>
      <c r="B54" s="11" t="str">
        <f>IF($A54="","",IF(INDEX(Cables!$B:$B,MATCH($A54,Cables!$A:$A,0))="","",INDEX(Cables!$B:$B,MATCH($A54,Cables!$A:$A,0))))</f>
        <v>Messi &amp; Paoloni Ultraflex 13</v>
      </c>
      <c r="C54" s="11">
        <f>IF($A54="","",IF(INDEX(Cables!$F:$F,MATCH($A54,Cables!$A:$A,0))="","",INDEX(Cables!$F:$F,MATCH($A54,Cables!$A:$A,0))))</f>
        <v>50</v>
      </c>
      <c r="D54" s="11">
        <f>IF($A54="","",IF(INDEX(Cables!$H:$H,MATCH($A54,Cables!$A:$A,0))="","",INDEX(Cables!$H:$H,MATCH($A54,Cables!$A:$A,0))))</f>
        <v>12.7</v>
      </c>
      <c r="E54" s="12" t="str">
        <f>IF($A54="","",IF(INDEX(Cables!$Q:$Q,MATCH($A54,Cables!$A:$A,0))="","",INDEX(Cables!$Q:$Q,MATCH($A54,Cables!$A:$A,0))))</f>
        <v/>
      </c>
      <c r="F54" s="11">
        <f>IF($A54="","",IF(INDEX(Cables!$AQ:$AQ,MATCH($A54,Cables!$A:$A,0))="","",INDEX(Cables!$AQ:$AQ,MATCH($A54,Cables!$A:$A,0))))</f>
        <v>10</v>
      </c>
      <c r="G54" s="11">
        <f>IF($A54="","",IF(INDEX(Cables!$AR:$AR,MATCH($A54,Cables!$A:$A,0))="","",INDEX(Cables!$AR:$AR,MATCH($A54,Cables!$A:$A,0))))</f>
        <v>5000</v>
      </c>
      <c r="H54" s="11">
        <f>IF($A54="","",IF(INDEX(Cables!$AO:$AO,MATCH($A54,Cables!$A:$A,0))="","",INDEX(Cables!$AO:$AO,MATCH($A54,Cables!$A:$A,0))))</f>
        <v>785</v>
      </c>
      <c r="I54" s="11">
        <f>IF($A54="","",IF(INDEX(Cables!$AP:$AP,MATCH($A54,Cables!$A:$A,0))="","",INDEX(Cables!$AP:$AP,MATCH($A54,Cables!$A:$A,0))))</f>
        <v>11</v>
      </c>
      <c r="J54" s="12">
        <f>IF($A54="","",IF(J$5&gt;2*$G54,"",EXP(FORECAST(LN(J$5),INDEX(Attenuation!$K:$K,($H54-1+MIN(MAX(IFERROR(MATCH(LN(J$5),INDEX(Attenuation!$J:$J,$H54):INDEX(Attenuation!$J:$J,$H54+$I54-1),1),1),1),$I54-1))):INDEX(Attenuation!$K:$K,($H54-1+MIN(MAX(IFERROR(MATCH(LN(J$5),INDEX(Attenuation!$J:$J,$H54):INDEX(Attenuation!$J:$J,$H54+$I54-1),1),1),1),$I54-1))+1),INDEX(Attenuation!$J:$J,($H54-1+MIN(MAX(IFERROR(MATCH(LN(J$5),INDEX(Attenuation!$J:$J,$H54):INDEX(Attenuation!$J:$J,$H54+$I54-1),1),1),1),$I54-1))):INDEX(Attenuation!$J:$J,($H54-1+MIN(MAX(IFERROR(MATCH(LN(J$5),INDEX(Attenuation!$J:$J,$H54):INDEX(Attenuation!$J:$J,$H54+$I54-1),1),1),1),$I54-1))+1)))))</f>
        <v>0.50900916543600694</v>
      </c>
      <c r="K54" s="12">
        <f>IF($A54="","",IF(K$5&gt;2*$G54,"",EXP(FORECAST(LN(K$5),INDEX(Attenuation!$K:$K,($H54-1+MIN(MAX(IFERROR(MATCH(LN(K$5),INDEX(Attenuation!$J:$J,$H54):INDEX(Attenuation!$J:$J,$H54+$I54-1),1),1),1),$I54-1))):INDEX(Attenuation!$K:$K,($H54-1+MIN(MAX(IFERROR(MATCH(LN(K$5),INDEX(Attenuation!$J:$J,$H54):INDEX(Attenuation!$J:$J,$H54+$I54-1),1),1),1),$I54-1))+1),INDEX(Attenuation!$J:$J,($H54-1+MIN(MAX(IFERROR(MATCH(LN(K$5),INDEX(Attenuation!$J:$J,$H54):INDEX(Attenuation!$J:$J,$H54+$I54-1),1),1),1),$I54-1))):INDEX(Attenuation!$J:$J,($H54-1+MIN(MAX(IFERROR(MATCH(LN(K$5),INDEX(Attenuation!$J:$J,$H54):INDEX(Attenuation!$J:$J,$H54+$I54-1),1),1),1),$I54-1))+1)))))</f>
        <v>0.66138381238264055</v>
      </c>
      <c r="L54" s="12">
        <f>IF($A54="","",IF(L$5&gt;2*$G54,"",EXP(FORECAST(LN(L$5),INDEX(Attenuation!$K:$K,($H54-1+MIN(MAX(IFERROR(MATCH(LN(L$5),INDEX(Attenuation!$J:$J,$H54):INDEX(Attenuation!$J:$J,$H54+$I54-1),1),1),1),$I54-1))):INDEX(Attenuation!$K:$K,($H54-1+MIN(MAX(IFERROR(MATCH(LN(L$5),INDEX(Attenuation!$J:$J,$H54):INDEX(Attenuation!$J:$J,$H54+$I54-1),1),1),1),$I54-1))+1),INDEX(Attenuation!$J:$J,($H54-1+MIN(MAX(IFERROR(MATCH(LN(L$5),INDEX(Attenuation!$J:$J,$H54):INDEX(Attenuation!$J:$J,$H54+$I54-1),1),1),1),$I54-1))):INDEX(Attenuation!$J:$J,($H54-1+MIN(MAX(IFERROR(MATCH(LN(L$5),INDEX(Attenuation!$J:$J,$H54):INDEX(Attenuation!$J:$J,$H54+$I54-1),1),1),1),$I54-1))+1)))))</f>
        <v>0.86895934977876621</v>
      </c>
      <c r="M54" s="12">
        <f>IF($A54="","",IF(M$5&gt;2*$G54,"",EXP(FORECAST(LN(M$5),INDEX(Attenuation!$K:$K,($H54-1+MIN(MAX(IFERROR(MATCH(LN(M$5),INDEX(Attenuation!$J:$J,$H54):INDEX(Attenuation!$J:$J,$H54+$I54-1),1),1),1),$I54-1))):INDEX(Attenuation!$K:$K,($H54-1+MIN(MAX(IFERROR(MATCH(LN(M$5),INDEX(Attenuation!$J:$J,$H54):INDEX(Attenuation!$J:$J,$H54+$I54-1),1),1),1),$I54-1))+1),INDEX(Attenuation!$J:$J,($H54-1+MIN(MAX(IFERROR(MATCH(LN(M$5),INDEX(Attenuation!$J:$J,$H54):INDEX(Attenuation!$J:$J,$H54+$I54-1),1),1),1),$I54-1))):INDEX(Attenuation!$J:$J,($H54-1+MIN(MAX(IFERROR(MATCH(LN(M$5),INDEX(Attenuation!$J:$J,$H54):INDEX(Attenuation!$J:$J,$H54+$I54-1),1),1),1),$I54-1))+1)))))</f>
        <v>1.1416825411068303</v>
      </c>
      <c r="N54" s="12">
        <f>IF($A54="","",IF(N$5&gt;2*$G54,"",EXP(FORECAST(LN(N$5),INDEX(Attenuation!$K:$K,($H54-1+MIN(MAX(IFERROR(MATCH(LN(N$5),INDEX(Attenuation!$J:$J,$H54):INDEX(Attenuation!$J:$J,$H54+$I54-1),1),1),1),$I54-1))):INDEX(Attenuation!$K:$K,($H54-1+MIN(MAX(IFERROR(MATCH(LN(N$5),INDEX(Attenuation!$J:$J,$H54):INDEX(Attenuation!$J:$J,$H54+$I54-1),1),1),1),$I54-1))+1),INDEX(Attenuation!$J:$J,($H54-1+MIN(MAX(IFERROR(MATCH(LN(N$5),INDEX(Attenuation!$J:$J,$H54):INDEX(Attenuation!$J:$J,$H54+$I54-1),1),1),1),$I54-1))):INDEX(Attenuation!$J:$J,($H54-1+MIN(MAX(IFERROR(MATCH(LN(N$5),INDEX(Attenuation!$J:$J,$H54):INDEX(Attenuation!$J:$J,$H54+$I54-1),1),1),1),$I54-1))+1)))))</f>
        <v>1.3393382299190513</v>
      </c>
      <c r="O54" s="12">
        <f>IF($A54="","",IF(O$5&gt;2*$G54,"",EXP(FORECAST(LN(O$5),INDEX(Attenuation!$K:$K,($H54-1+MIN(MAX(IFERROR(MATCH(LN(O$5),INDEX(Attenuation!$J:$J,$H54):INDEX(Attenuation!$J:$J,$H54+$I54-1),1),1),1),$I54-1))):INDEX(Attenuation!$K:$K,($H54-1+MIN(MAX(IFERROR(MATCH(LN(O$5),INDEX(Attenuation!$J:$J,$H54):INDEX(Attenuation!$J:$J,$H54+$I54-1),1),1),1),$I54-1))+1),INDEX(Attenuation!$J:$J,($H54-1+MIN(MAX(IFERROR(MATCH(LN(O$5),INDEX(Attenuation!$J:$J,$H54):INDEX(Attenuation!$J:$J,$H54+$I54-1),1),1),1),$I54-1))):INDEX(Attenuation!$J:$J,($H54-1+MIN(MAX(IFERROR(MATCH(LN(O$5),INDEX(Attenuation!$J:$J,$H54):INDEX(Attenuation!$J:$J,$H54+$I54-1),1),1),1),$I54-1))+1)))))</f>
        <v>1.5</v>
      </c>
      <c r="P54" s="12">
        <f>IF($A54="","",IF(P$5&gt;2*$G54,"",EXP(FORECAST(LN(P$5),INDEX(Attenuation!$K:$K,($H54-1+MIN(MAX(IFERROR(MATCH(LN(P$5),INDEX(Attenuation!$J:$J,$H54):INDEX(Attenuation!$J:$J,$H54+$I54-1),1),1),1),$I54-1))):INDEX(Attenuation!$K:$K,($H54-1+MIN(MAX(IFERROR(MATCH(LN(P$5),INDEX(Attenuation!$J:$J,$H54):INDEX(Attenuation!$J:$J,$H54+$I54-1),1),1),1),$I54-1))+1),INDEX(Attenuation!$J:$J,($H54-1+MIN(MAX(IFERROR(MATCH(LN(P$5),INDEX(Attenuation!$J:$J,$H54):INDEX(Attenuation!$J:$J,$H54+$I54-1),1),1),1),$I54-1))):INDEX(Attenuation!$J:$J,($H54-1+MIN(MAX(IFERROR(MATCH(LN(P$5),INDEX(Attenuation!$J:$J,$H54):INDEX(Attenuation!$J:$J,$H54+$I54-1),1),1),1),$I54-1))+1)))))</f>
        <v>1.9999999999999998</v>
      </c>
      <c r="Q54" s="12">
        <f>IF($A54="","",IF(Q$5&gt;2*$G54,"",EXP(FORECAST(LN(Q$5),INDEX(Attenuation!$K:$K,($H54-1+MIN(MAX(IFERROR(MATCH(LN(Q$5),INDEX(Attenuation!$J:$J,$H54):INDEX(Attenuation!$J:$J,$H54+$I54-1),1),1),1),$I54-1))):INDEX(Attenuation!$K:$K,($H54-1+MIN(MAX(IFERROR(MATCH(LN(Q$5),INDEX(Attenuation!$J:$J,$H54):INDEX(Attenuation!$J:$J,$H54+$I54-1),1),1),1),$I54-1))+1),INDEX(Attenuation!$J:$J,($H54-1+MIN(MAX(IFERROR(MATCH(LN(Q$5),INDEX(Attenuation!$J:$J,$H54):INDEX(Attenuation!$J:$J,$H54+$I54-1),1),1),1),$I54-1))):INDEX(Attenuation!$J:$J,($H54-1+MIN(MAX(IFERROR(MATCH(LN(Q$5),INDEX(Attenuation!$J:$J,$H54):INDEX(Attenuation!$J:$J,$H54+$I54-1),1),1),1),$I54-1))+1)))))</f>
        <v>3.6000000000000005</v>
      </c>
      <c r="R54" s="12">
        <f>IF($A54="","",IF(R$5&gt;2*$G54,"",EXP(FORECAST(LN(R$5),INDEX(Attenuation!$K:$K,($H54-1+MIN(MAX(IFERROR(MATCH(LN(R$5),INDEX(Attenuation!$J:$J,$H54):INDEX(Attenuation!$J:$J,$H54+$I54-1),1),1),1),$I54-1))):INDEX(Attenuation!$K:$K,($H54-1+MIN(MAX(IFERROR(MATCH(LN(R$5),INDEX(Attenuation!$J:$J,$H54):INDEX(Attenuation!$J:$J,$H54+$I54-1),1),1),1),$I54-1))+1),INDEX(Attenuation!$J:$J,($H54-1+MIN(MAX(IFERROR(MATCH(LN(R$5),INDEX(Attenuation!$J:$J,$H54):INDEX(Attenuation!$J:$J,$H54+$I54-1),1),1),1),$I54-1))):INDEX(Attenuation!$J:$J,($H54-1+MIN(MAX(IFERROR(MATCH(LN(R$5),INDEX(Attenuation!$J:$J,$H54):INDEX(Attenuation!$J:$J,$H54+$I54-1),1),1),1),$I54-1))+1)))))</f>
        <v>6.4168596362589243</v>
      </c>
      <c r="S54" s="12">
        <f>IF($A54="","",IF(S$5&gt;2*$G54,"",EXP(FORECAST(LN(S$5),INDEX(Attenuation!$K:$K,($H54-1+MIN(MAX(IFERROR(MATCH(LN(S$5),INDEX(Attenuation!$J:$J,$H54):INDEX(Attenuation!$J:$J,$H54+$I54-1),1),1),1),$I54-1))):INDEX(Attenuation!$K:$K,($H54-1+MIN(MAX(IFERROR(MATCH(LN(S$5),INDEX(Attenuation!$J:$J,$H54):INDEX(Attenuation!$J:$J,$H54+$I54-1),1),1),1),$I54-1))+1),INDEX(Attenuation!$J:$J,($H54-1+MIN(MAX(IFERROR(MATCH(LN(S$5),INDEX(Attenuation!$J:$J,$H54):INDEX(Attenuation!$J:$J,$H54+$I54-1),1),1),1),$I54-1))):INDEX(Attenuation!$J:$J,($H54-1+MIN(MAX(IFERROR(MATCH(LN(S$5),INDEX(Attenuation!$J:$J,$H54):INDEX(Attenuation!$J:$J,$H54+$I54-1),1),1),1),$I54-1))+1)))))</f>
        <v>11.999999999999995</v>
      </c>
      <c r="T54" s="12">
        <f>IF($A54="","",IF(T$5&gt;2*$G54,"",EXP(FORECAST(LN(T$5),INDEX(Attenuation!$K:$K,($H54-1+MIN(MAX(IFERROR(MATCH(LN(T$5),INDEX(Attenuation!$J:$J,$H54):INDEX(Attenuation!$J:$J,$H54+$I54-1),1),1),1),$I54-1))):INDEX(Attenuation!$K:$K,($H54-1+MIN(MAX(IFERROR(MATCH(LN(T$5),INDEX(Attenuation!$J:$J,$H54):INDEX(Attenuation!$J:$J,$H54+$I54-1),1),1),1),$I54-1))+1),INDEX(Attenuation!$J:$J,($H54-1+MIN(MAX(IFERROR(MATCH(LN(T$5),INDEX(Attenuation!$J:$J,$H54):INDEX(Attenuation!$J:$J,$H54+$I54-1),1),1),1),$I54-1))):INDEX(Attenuation!$J:$J,($H54-1+MIN(MAX(IFERROR(MATCH(LN(T$5),INDEX(Attenuation!$J:$J,$H54):INDEX(Attenuation!$J:$J,$H54+$I54-1),1),1),1),$I54-1))+1)))))</f>
        <v>17.399999999999991</v>
      </c>
      <c r="U54" s="12">
        <f>IF($A54="","",IF(U$5&gt;2*$G54,"",EXP(FORECAST(LN(U$5),INDEX(Attenuation!$K:$K,($H54-1+MIN(MAX(IFERROR(MATCH(LN(U$5),INDEX(Attenuation!$J:$J,$H54):INDEX(Attenuation!$J:$J,$H54+$I54-1),1),1),1),$I54-1))):INDEX(Attenuation!$K:$K,($H54-1+MIN(MAX(IFERROR(MATCH(LN(U$5),INDEX(Attenuation!$J:$J,$H54):INDEX(Attenuation!$J:$J,$H54+$I54-1),1),1),1),$I54-1))+1),INDEX(Attenuation!$J:$J,($H54-1+MIN(MAX(IFERROR(MATCH(LN(U$5),INDEX(Attenuation!$J:$J,$H54):INDEX(Attenuation!$J:$J,$H54+$I54-1),1),1),1),$I54-1))):INDEX(Attenuation!$J:$J,($H54-1+MIN(MAX(IFERROR(MATCH(LN(U$5),INDEX(Attenuation!$J:$J,$H54):INDEX(Attenuation!$J:$J,$H54+$I54-1),1),1),1),$I54-1))+1)))))</f>
        <v>29.256887747773515</v>
      </c>
      <c r="V54" s="1"/>
      <c r="W54" s="12">
        <f t="shared" si="12"/>
        <v>0.15514599362489492</v>
      </c>
      <c r="X54" s="12">
        <f t="shared" si="13"/>
        <v>0.20158978601422886</v>
      </c>
      <c r="Y54" s="12">
        <f t="shared" si="14"/>
        <v>0.26485880981256793</v>
      </c>
      <c r="Z54" s="12">
        <f t="shared" si="15"/>
        <v>0.34798483852936191</v>
      </c>
      <c r="AA54" s="12">
        <f t="shared" si="16"/>
        <v>0.40823029247932685</v>
      </c>
      <c r="AB54" s="12">
        <f t="shared" si="17"/>
        <v>0.45720000000000005</v>
      </c>
      <c r="AC54" s="12">
        <f t="shared" si="18"/>
        <v>0.60959999999999992</v>
      </c>
      <c r="AD54" s="12">
        <f t="shared" si="19"/>
        <v>1.0972800000000003</v>
      </c>
      <c r="AE54" s="12">
        <f t="shared" si="20"/>
        <v>1.9558588171317202</v>
      </c>
      <c r="AF54" s="12">
        <f t="shared" si="21"/>
        <v>3.6575999999999986</v>
      </c>
      <c r="AG54" s="12">
        <f t="shared" si="22"/>
        <v>5.303519999999998</v>
      </c>
      <c r="AH54" s="12">
        <f t="shared" si="23"/>
        <v>8.9174993855213671</v>
      </c>
    </row>
    <row r="55" spans="1:34" x14ac:dyDescent="0.25">
      <c r="A55" s="11" t="str">
        <f>IF(ROWS($A$6:A55)&gt;COUNTA(Cables!$A:$A)-1,"",INDEX(Cables!$A:$A,ROWS($A$6:A55)+1))</f>
        <v>MP-HYPERFLEX13</v>
      </c>
      <c r="B55" s="11" t="str">
        <f>IF($A55="","",IF(INDEX(Cables!$B:$B,MATCH($A55,Cables!$A:$A,0))="","",INDEX(Cables!$B:$B,MATCH($A55,Cables!$A:$A,0))))</f>
        <v>Messi &amp; Paoloni Hyperflex 13</v>
      </c>
      <c r="C55" s="11">
        <f>IF($A55="","",IF(INDEX(Cables!$F:$F,MATCH($A55,Cables!$A:$A,0))="","",INDEX(Cables!$F:$F,MATCH($A55,Cables!$A:$A,0))))</f>
        <v>50</v>
      </c>
      <c r="D55" s="11">
        <f>IF($A55="","",IF(INDEX(Cables!$H:$H,MATCH($A55,Cables!$A:$A,0))="","",INDEX(Cables!$H:$H,MATCH($A55,Cables!$A:$A,0))))</f>
        <v>12.7</v>
      </c>
      <c r="E55" s="12">
        <f>IF($A55="","",IF(INDEX(Cables!$Q:$Q,MATCH($A55,Cables!$A:$A,0))="","",INDEX(Cables!$Q:$Q,MATCH($A55,Cables!$A:$A,0))))</f>
        <v>0.86</v>
      </c>
      <c r="F55" s="11">
        <f>IF($A55="","",IF(INDEX(Cables!$AQ:$AQ,MATCH($A55,Cables!$A:$A,0))="","",INDEX(Cables!$AQ:$AQ,MATCH($A55,Cables!$A:$A,0))))</f>
        <v>1.8</v>
      </c>
      <c r="G55" s="11">
        <f>IF($A55="","",IF(INDEX(Cables!$AR:$AR,MATCH($A55,Cables!$A:$A,0))="","",INDEX(Cables!$AR:$AR,MATCH($A55,Cables!$A:$A,0))))</f>
        <v>12000</v>
      </c>
      <c r="H55" s="11">
        <f>IF($A55="","",IF(INDEX(Cables!$AO:$AO,MATCH($A55,Cables!$A:$A,0))="","",INDEX(Cables!$AO:$AO,MATCH($A55,Cables!$A:$A,0))))</f>
        <v>796</v>
      </c>
      <c r="I55" s="11">
        <f>IF($A55="","",IF(INDEX(Cables!$AP:$AP,MATCH($A55,Cables!$A:$A,0))="","",INDEX(Cables!$AP:$AP,MATCH($A55,Cables!$A:$A,0))))</f>
        <v>26</v>
      </c>
      <c r="J55" s="12">
        <f>IF($A55="","",IF(J$5&gt;2*$G55,"",EXP(FORECAST(LN(J$5),INDEX(Attenuation!$K:$K,($H55-1+MIN(MAX(IFERROR(MATCH(LN(J$5),INDEX(Attenuation!$J:$J,$H55):INDEX(Attenuation!$J:$J,$H55+$I55-1),1),1),1),$I55-1))):INDEX(Attenuation!$K:$K,($H55-1+MIN(MAX(IFERROR(MATCH(LN(J$5),INDEX(Attenuation!$J:$J,$H55):INDEX(Attenuation!$J:$J,$H55+$I55-1),1),1),1),$I55-1))+1),INDEX(Attenuation!$J:$J,($H55-1+MIN(MAX(IFERROR(MATCH(LN(J$5),INDEX(Attenuation!$J:$J,$H55):INDEX(Attenuation!$J:$J,$H55+$I55-1),1),1),1),$I55-1))):INDEX(Attenuation!$J:$J,($H55-1+MIN(MAX(IFERROR(MATCH(LN(J$5),INDEX(Attenuation!$J:$J,$H55):INDEX(Attenuation!$J:$J,$H55+$I55-1),1),1),1),$I55-1))+1)))))</f>
        <v>0.50000000000000011</v>
      </c>
      <c r="K55" s="12">
        <f>IF($A55="","",IF(K$5&gt;2*$G55,"",EXP(FORECAST(LN(K$5),INDEX(Attenuation!$K:$K,($H55-1+MIN(MAX(IFERROR(MATCH(LN(K$5),INDEX(Attenuation!$J:$J,$H55):INDEX(Attenuation!$J:$J,$H55+$I55-1),1),1),1),$I55-1))):INDEX(Attenuation!$K:$K,($H55-1+MIN(MAX(IFERROR(MATCH(LN(K$5),INDEX(Attenuation!$J:$J,$H55):INDEX(Attenuation!$J:$J,$H55+$I55-1),1),1),1),$I55-1))+1),INDEX(Attenuation!$J:$J,($H55-1+MIN(MAX(IFERROR(MATCH(LN(K$5),INDEX(Attenuation!$J:$J,$H55):INDEX(Attenuation!$J:$J,$H55+$I55-1),1),1),1),$I55-1))):INDEX(Attenuation!$J:$J,($H55-1+MIN(MAX(IFERROR(MATCH(LN(K$5),INDEX(Attenuation!$J:$J,$H55):INDEX(Attenuation!$J:$J,$H55+$I55-1),1),1),1),$I55-1))+1)))))</f>
        <v>0.6</v>
      </c>
      <c r="L55" s="12">
        <f>IF($A55="","",IF(L$5&gt;2*$G55,"",EXP(FORECAST(LN(L$5),INDEX(Attenuation!$K:$K,($H55-1+MIN(MAX(IFERROR(MATCH(LN(L$5),INDEX(Attenuation!$J:$J,$H55):INDEX(Attenuation!$J:$J,$H55+$I55-1),1),1),1),$I55-1))):INDEX(Attenuation!$K:$K,($H55-1+MIN(MAX(IFERROR(MATCH(LN(L$5),INDEX(Attenuation!$J:$J,$H55):INDEX(Attenuation!$J:$J,$H55+$I55-1),1),1),1),$I55-1))+1),INDEX(Attenuation!$J:$J,($H55-1+MIN(MAX(IFERROR(MATCH(LN(L$5),INDEX(Attenuation!$J:$J,$H55):INDEX(Attenuation!$J:$J,$H55+$I55-1),1),1),1),$I55-1))):INDEX(Attenuation!$J:$J,($H55-1+MIN(MAX(IFERROR(MATCH(LN(L$5),INDEX(Attenuation!$J:$J,$H55):INDEX(Attenuation!$J:$J,$H55+$I55-1),1),1),1),$I55-1))+1)))))</f>
        <v>0.8</v>
      </c>
      <c r="M55" s="12">
        <f>IF($A55="","",IF(M$5&gt;2*$G55,"",EXP(FORECAST(LN(M$5),INDEX(Attenuation!$K:$K,($H55-1+MIN(MAX(IFERROR(MATCH(LN(M$5),INDEX(Attenuation!$J:$J,$H55):INDEX(Attenuation!$J:$J,$H55+$I55-1),1),1),1),$I55-1))):INDEX(Attenuation!$K:$K,($H55-1+MIN(MAX(IFERROR(MATCH(LN(M$5),INDEX(Attenuation!$J:$J,$H55):INDEX(Attenuation!$J:$J,$H55+$I55-1),1),1),1),$I55-1))+1),INDEX(Attenuation!$J:$J,($H55-1+MIN(MAX(IFERROR(MATCH(LN(M$5),INDEX(Attenuation!$J:$J,$H55):INDEX(Attenuation!$J:$J,$H55+$I55-1),1),1),1),$I55-1))):INDEX(Attenuation!$J:$J,($H55-1+MIN(MAX(IFERROR(MATCH(LN(M$5),INDEX(Attenuation!$J:$J,$H55):INDEX(Attenuation!$J:$J,$H55+$I55-1),1),1),1),$I55-1))+1)))))</f>
        <v>1.1000000000000001</v>
      </c>
      <c r="N55" s="12">
        <f>IF($A55="","",IF(N$5&gt;2*$G55,"",EXP(FORECAST(LN(N$5),INDEX(Attenuation!$K:$K,($H55-1+MIN(MAX(IFERROR(MATCH(LN(N$5),INDEX(Attenuation!$J:$J,$H55):INDEX(Attenuation!$J:$J,$H55+$I55-1),1),1),1),$I55-1))):INDEX(Attenuation!$K:$K,($H55-1+MIN(MAX(IFERROR(MATCH(LN(N$5),INDEX(Attenuation!$J:$J,$H55):INDEX(Attenuation!$J:$J,$H55+$I55-1),1),1),1),$I55-1))+1),INDEX(Attenuation!$J:$J,($H55-1+MIN(MAX(IFERROR(MATCH(LN(N$5),INDEX(Attenuation!$J:$J,$H55):INDEX(Attenuation!$J:$J,$H55+$I55-1),1),1),1),$I55-1))):INDEX(Attenuation!$J:$J,($H55-1+MIN(MAX(IFERROR(MATCH(LN(N$5),INDEX(Attenuation!$J:$J,$H55):INDEX(Attenuation!$J:$J,$H55+$I55-1),1),1),1),$I55-1))+1)))))</f>
        <v>1.3</v>
      </c>
      <c r="O55" s="12">
        <f>IF($A55="","",IF(O$5&gt;2*$G55,"",EXP(FORECAST(LN(O$5),INDEX(Attenuation!$K:$K,($H55-1+MIN(MAX(IFERROR(MATCH(LN(O$5),INDEX(Attenuation!$J:$J,$H55):INDEX(Attenuation!$J:$J,$H55+$I55-1),1),1),1),$I55-1))):INDEX(Attenuation!$K:$K,($H55-1+MIN(MAX(IFERROR(MATCH(LN(O$5),INDEX(Attenuation!$J:$J,$H55):INDEX(Attenuation!$J:$J,$H55+$I55-1),1),1),1),$I55-1))+1),INDEX(Attenuation!$J:$J,($H55-1+MIN(MAX(IFERROR(MATCH(LN(O$5),INDEX(Attenuation!$J:$J,$H55):INDEX(Attenuation!$J:$J,$H55+$I55-1),1),1),1),$I55-1))):INDEX(Attenuation!$J:$J,($H55-1+MIN(MAX(IFERROR(MATCH(LN(O$5),INDEX(Attenuation!$J:$J,$H55):INDEX(Attenuation!$J:$J,$H55+$I55-1),1),1),1),$I55-1))+1)))))</f>
        <v>1.5</v>
      </c>
      <c r="P55" s="12">
        <f>IF($A55="","",IF(P$5&gt;2*$G55,"",EXP(FORECAST(LN(P$5),INDEX(Attenuation!$K:$K,($H55-1+MIN(MAX(IFERROR(MATCH(LN(P$5),INDEX(Attenuation!$J:$J,$H55):INDEX(Attenuation!$J:$J,$H55+$I55-1),1),1),1),$I55-1))):INDEX(Attenuation!$K:$K,($H55-1+MIN(MAX(IFERROR(MATCH(LN(P$5),INDEX(Attenuation!$J:$J,$H55):INDEX(Attenuation!$J:$J,$H55+$I55-1),1),1),1),$I55-1))+1),INDEX(Attenuation!$J:$J,($H55-1+MIN(MAX(IFERROR(MATCH(LN(P$5),INDEX(Attenuation!$J:$J,$H55):INDEX(Attenuation!$J:$J,$H55+$I55-1),1),1),1),$I55-1))):INDEX(Attenuation!$J:$J,($H55-1+MIN(MAX(IFERROR(MATCH(LN(P$5),INDEX(Attenuation!$J:$J,$H55):INDEX(Attenuation!$J:$J,$H55+$I55-1),1),1),1),$I55-1))+1)))))</f>
        <v>1.9999999999999998</v>
      </c>
      <c r="Q55" s="12">
        <f>IF($A55="","",IF(Q$5&gt;2*$G55,"",EXP(FORECAST(LN(Q$5),INDEX(Attenuation!$K:$K,($H55-1+MIN(MAX(IFERROR(MATCH(LN(Q$5),INDEX(Attenuation!$J:$J,$H55):INDEX(Attenuation!$J:$J,$H55+$I55-1),1),1),1),$I55-1))):INDEX(Attenuation!$K:$K,($H55-1+MIN(MAX(IFERROR(MATCH(LN(Q$5),INDEX(Attenuation!$J:$J,$H55):INDEX(Attenuation!$J:$J,$H55+$I55-1),1),1),1),$I55-1))+1),INDEX(Attenuation!$J:$J,($H55-1+MIN(MAX(IFERROR(MATCH(LN(Q$5),INDEX(Attenuation!$J:$J,$H55):INDEX(Attenuation!$J:$J,$H55+$I55-1),1),1),1),$I55-1))):INDEX(Attenuation!$J:$J,($H55-1+MIN(MAX(IFERROR(MATCH(LN(Q$5),INDEX(Attenuation!$J:$J,$H55):INDEX(Attenuation!$J:$J,$H55+$I55-1),1),1),1),$I55-1))+1)))))</f>
        <v>3.5999999999999988</v>
      </c>
      <c r="R55" s="12">
        <f>IF($A55="","",IF(R$5&gt;2*$G55,"",EXP(FORECAST(LN(R$5),INDEX(Attenuation!$K:$K,($H55-1+MIN(MAX(IFERROR(MATCH(LN(R$5),INDEX(Attenuation!$J:$J,$H55):INDEX(Attenuation!$J:$J,$H55+$I55-1),1),1),1),$I55-1))):INDEX(Attenuation!$K:$K,($H55-1+MIN(MAX(IFERROR(MATCH(LN(R$5),INDEX(Attenuation!$J:$J,$H55):INDEX(Attenuation!$J:$J,$H55+$I55-1),1),1),1),$I55-1))+1),INDEX(Attenuation!$J:$J,($H55-1+MIN(MAX(IFERROR(MATCH(LN(R$5),INDEX(Attenuation!$J:$J,$H55):INDEX(Attenuation!$J:$J,$H55+$I55-1),1),1),1),$I55-1))):INDEX(Attenuation!$J:$J,($H55-1+MIN(MAX(IFERROR(MATCH(LN(R$5),INDEX(Attenuation!$J:$J,$H55):INDEX(Attenuation!$J:$J,$H55+$I55-1),1),1),1),$I55-1))+1)))))</f>
        <v>6.4163296755288783</v>
      </c>
      <c r="S55" s="12">
        <f>IF($A55="","",IF(S$5&gt;2*$G55,"",EXP(FORECAST(LN(S$5),INDEX(Attenuation!$K:$K,($H55-1+MIN(MAX(IFERROR(MATCH(LN(S$5),INDEX(Attenuation!$J:$J,$H55):INDEX(Attenuation!$J:$J,$H55+$I55-1),1),1),1),$I55-1))):INDEX(Attenuation!$K:$K,($H55-1+MIN(MAX(IFERROR(MATCH(LN(S$5),INDEX(Attenuation!$J:$J,$H55):INDEX(Attenuation!$J:$J,$H55+$I55-1),1),1),1),$I55-1))+1),INDEX(Attenuation!$J:$J,($H55-1+MIN(MAX(IFERROR(MATCH(LN(S$5),INDEX(Attenuation!$J:$J,$H55):INDEX(Attenuation!$J:$J,$H55+$I55-1),1),1),1),$I55-1))):INDEX(Attenuation!$J:$J,($H55-1+MIN(MAX(IFERROR(MATCH(LN(S$5),INDEX(Attenuation!$J:$J,$H55):INDEX(Attenuation!$J:$J,$H55+$I55-1),1),1),1),$I55-1))+1)))))</f>
        <v>11.7</v>
      </c>
      <c r="T55" s="12">
        <f>IF($A55="","",IF(T$5&gt;2*$G55,"",EXP(FORECAST(LN(T$5),INDEX(Attenuation!$K:$K,($H55-1+MIN(MAX(IFERROR(MATCH(LN(T$5),INDEX(Attenuation!$J:$J,$H55):INDEX(Attenuation!$J:$J,$H55+$I55-1),1),1),1),$I55-1))):INDEX(Attenuation!$K:$K,($H55-1+MIN(MAX(IFERROR(MATCH(LN(T$5),INDEX(Attenuation!$J:$J,$H55):INDEX(Attenuation!$J:$J,$H55+$I55-1),1),1),1),$I55-1))+1),INDEX(Attenuation!$J:$J,($H55-1+MIN(MAX(IFERROR(MATCH(LN(T$5),INDEX(Attenuation!$J:$J,$H55):INDEX(Attenuation!$J:$J,$H55+$I55-1),1),1),1),$I55-1))):INDEX(Attenuation!$J:$J,($H55-1+MIN(MAX(IFERROR(MATCH(LN(T$5),INDEX(Attenuation!$J:$J,$H55):INDEX(Attenuation!$J:$J,$H55+$I55-1),1),1),1),$I55-1))+1)))))</f>
        <v>16.600000000000005</v>
      </c>
      <c r="U55" s="12">
        <f>IF($A55="","",IF(U$5&gt;2*$G55,"",EXP(FORECAST(LN(U$5),INDEX(Attenuation!$K:$K,($H55-1+MIN(MAX(IFERROR(MATCH(LN(U$5),INDEX(Attenuation!$J:$J,$H55):INDEX(Attenuation!$J:$J,$H55+$I55-1),1),1),1),$I55-1))):INDEX(Attenuation!$K:$K,($H55-1+MIN(MAX(IFERROR(MATCH(LN(U$5),INDEX(Attenuation!$J:$J,$H55):INDEX(Attenuation!$J:$J,$H55+$I55-1),1),1),1),$I55-1))+1),INDEX(Attenuation!$J:$J,($H55-1+MIN(MAX(IFERROR(MATCH(LN(U$5),INDEX(Attenuation!$J:$J,$H55):INDEX(Attenuation!$J:$J,$H55+$I55-1),1),1),1),$I55-1))):INDEX(Attenuation!$J:$J,($H55-1+MIN(MAX(IFERROR(MATCH(LN(U$5),INDEX(Attenuation!$J:$J,$H55):INDEX(Attenuation!$J:$J,$H55+$I55-1),1),1),1),$I55-1))+1)))))</f>
        <v>27.974801550880731</v>
      </c>
      <c r="V55" s="1"/>
      <c r="W55" s="12">
        <f t="shared" si="12"/>
        <v>0.15240000000000004</v>
      </c>
      <c r="X55" s="12">
        <f t="shared" si="13"/>
        <v>0.18288000000000001</v>
      </c>
      <c r="Y55" s="12">
        <f t="shared" si="14"/>
        <v>0.24384000000000003</v>
      </c>
      <c r="Z55" s="12">
        <f t="shared" si="15"/>
        <v>0.33528000000000002</v>
      </c>
      <c r="AA55" s="12">
        <f t="shared" si="16"/>
        <v>0.39624000000000004</v>
      </c>
      <c r="AB55" s="12">
        <f t="shared" si="17"/>
        <v>0.45720000000000005</v>
      </c>
      <c r="AC55" s="12">
        <f t="shared" si="18"/>
        <v>0.60959999999999992</v>
      </c>
      <c r="AD55" s="12">
        <f t="shared" si="19"/>
        <v>1.0972799999999996</v>
      </c>
      <c r="AE55" s="12">
        <f t="shared" si="20"/>
        <v>1.9556972851012022</v>
      </c>
      <c r="AF55" s="12">
        <f t="shared" si="21"/>
        <v>3.56616</v>
      </c>
      <c r="AG55" s="12">
        <f t="shared" si="22"/>
        <v>5.059680000000002</v>
      </c>
      <c r="AH55" s="12">
        <f t="shared" si="23"/>
        <v>8.5267195127084463</v>
      </c>
    </row>
    <row r="56" spans="1:34" x14ac:dyDescent="0.25">
      <c r="A56" s="11" t="str">
        <f>IF(ROWS($A$6:A56)&gt;COUNTA(Cables!$A:$A)-1,"",INDEX(Cables!$A:$A,ROWS($A$6:A56)+1))</f>
        <v>SSB-ECOFLEX15</v>
      </c>
      <c r="B56" s="11" t="str">
        <f>IF($A56="","",IF(INDEX(Cables!$B:$B,MATCH($A56,Cables!$A:$A,0))="","",INDEX(Cables!$B:$B,MATCH($A56,Cables!$A:$A,0))))</f>
        <v>SSB Ecoflex 15</v>
      </c>
      <c r="C56" s="11">
        <f>IF($A56="","",IF(INDEX(Cables!$F:$F,MATCH($A56,Cables!$A:$A,0))="","",INDEX(Cables!$F:$F,MATCH($A56,Cables!$A:$A,0))))</f>
        <v>50</v>
      </c>
      <c r="D56" s="11">
        <f>IF($A56="","",IF(INDEX(Cables!$H:$H,MATCH($A56,Cables!$A:$A,0))="","",INDEX(Cables!$H:$H,MATCH($A56,Cables!$A:$A,0))))</f>
        <v>14.6</v>
      </c>
      <c r="E56" s="12">
        <f>IF($A56="","",IF(INDEX(Cables!$Q:$Q,MATCH($A56,Cables!$A:$A,0))="","",INDEX(Cables!$Q:$Q,MATCH($A56,Cables!$A:$A,0))))</f>
        <v>0.86</v>
      </c>
      <c r="F56" s="11">
        <f>IF($A56="","",IF(INDEX(Cables!$AQ:$AQ,MATCH($A56,Cables!$A:$A,0))="","",INDEX(Cables!$AQ:$AQ,MATCH($A56,Cables!$A:$A,0))))</f>
        <v>5</v>
      </c>
      <c r="G56" s="11">
        <f>IF($A56="","",IF(INDEX(Cables!$AR:$AR,MATCH($A56,Cables!$A:$A,0))="","",INDEX(Cables!$AR:$AR,MATCH($A56,Cables!$A:$A,0))))</f>
        <v>6000</v>
      </c>
      <c r="H56" s="11">
        <f>IF($A56="","",IF(INDEX(Cables!$AO:$AO,MATCH($A56,Cables!$A:$A,0))="","",INDEX(Cables!$AO:$AO,MATCH($A56,Cables!$A:$A,0))))</f>
        <v>822</v>
      </c>
      <c r="I56" s="11">
        <f>IF($A56="","",IF(INDEX(Cables!$AP:$AP,MATCH($A56,Cables!$A:$A,0))="","",INDEX(Cables!$AP:$AP,MATCH($A56,Cables!$A:$A,0))))</f>
        <v>20</v>
      </c>
      <c r="J56" s="12">
        <f>IF($A56="","",IF(J$5&gt;2*$G56,"",EXP(FORECAST(LN(J$5),INDEX(Attenuation!$K:$K,($H56-1+MIN(MAX(IFERROR(MATCH(LN(J$5),INDEX(Attenuation!$J:$J,$H56):INDEX(Attenuation!$J:$J,$H56+$I56-1),1),1),1),$I56-1))):INDEX(Attenuation!$K:$K,($H56-1+MIN(MAX(IFERROR(MATCH(LN(J$5),INDEX(Attenuation!$J:$J,$H56):INDEX(Attenuation!$J:$J,$H56+$I56-1),1),1),1),$I56-1))+1),INDEX(Attenuation!$J:$J,($H56-1+MIN(MAX(IFERROR(MATCH(LN(J$5),INDEX(Attenuation!$J:$J,$H56):INDEX(Attenuation!$J:$J,$H56+$I56-1),1),1),1),$I56-1))):INDEX(Attenuation!$J:$J,($H56-1+MIN(MAX(IFERROR(MATCH(LN(J$5),INDEX(Attenuation!$J:$J,$H56):INDEX(Attenuation!$J:$J,$H56+$I56-1),1),1),1),$I56-1))+1)))))</f>
        <v>0.35294435065721752</v>
      </c>
      <c r="K56" s="12">
        <f>IF($A56="","",IF(K$5&gt;2*$G56,"",EXP(FORECAST(LN(K$5),INDEX(Attenuation!$K:$K,($H56-1+MIN(MAX(IFERROR(MATCH(LN(K$5),INDEX(Attenuation!$J:$J,$H56):INDEX(Attenuation!$J:$J,$H56+$I56-1),1),1),1),$I56-1))):INDEX(Attenuation!$K:$K,($H56-1+MIN(MAX(IFERROR(MATCH(LN(K$5),INDEX(Attenuation!$J:$J,$H56):INDEX(Attenuation!$J:$J,$H56+$I56-1),1),1),1),$I56-1))+1),INDEX(Attenuation!$J:$J,($H56-1+MIN(MAX(IFERROR(MATCH(LN(K$5),INDEX(Attenuation!$J:$J,$H56):INDEX(Attenuation!$J:$J,$H56+$I56-1),1),1),1),$I56-1))):INDEX(Attenuation!$J:$J,($H56-1+MIN(MAX(IFERROR(MATCH(LN(K$5),INDEX(Attenuation!$J:$J,$H56):INDEX(Attenuation!$J:$J,$H56+$I56-1),1),1),1),$I56-1))+1)))))</f>
        <v>0.49853904242187541</v>
      </c>
      <c r="L56" s="12">
        <f>IF($A56="","",IF(L$5&gt;2*$G56,"",EXP(FORECAST(LN(L$5),INDEX(Attenuation!$K:$K,($H56-1+MIN(MAX(IFERROR(MATCH(LN(L$5),INDEX(Attenuation!$J:$J,$H56):INDEX(Attenuation!$J:$J,$H56+$I56-1),1),1),1),$I56-1))):INDEX(Attenuation!$K:$K,($H56-1+MIN(MAX(IFERROR(MATCH(LN(L$5),INDEX(Attenuation!$J:$J,$H56):INDEX(Attenuation!$J:$J,$H56+$I56-1),1),1),1),$I56-1))+1),INDEX(Attenuation!$J:$J,($H56-1+MIN(MAX(IFERROR(MATCH(LN(L$5),INDEX(Attenuation!$J:$J,$H56):INDEX(Attenuation!$J:$J,$H56+$I56-1),1),1),1),$I56-1))):INDEX(Attenuation!$J:$J,($H56-1+MIN(MAX(IFERROR(MATCH(LN(L$5),INDEX(Attenuation!$J:$J,$H56):INDEX(Attenuation!$J:$J,$H56+$I56-1),1),1),1),$I56-1))+1)))))</f>
        <v>0.71457262747135464</v>
      </c>
      <c r="M56" s="12">
        <f>IF($A56="","",IF(M$5&gt;2*$G56,"",EXP(FORECAST(LN(M$5),INDEX(Attenuation!$K:$K,($H56-1+MIN(MAX(IFERROR(MATCH(LN(M$5),INDEX(Attenuation!$J:$J,$H56):INDEX(Attenuation!$J:$J,$H56+$I56-1),1),1),1),$I56-1))):INDEX(Attenuation!$K:$K,($H56-1+MIN(MAX(IFERROR(MATCH(LN(M$5),INDEX(Attenuation!$J:$J,$H56):INDEX(Attenuation!$J:$J,$H56+$I56-1),1),1),1),$I56-1))+1),INDEX(Attenuation!$J:$J,($H56-1+MIN(MAX(IFERROR(MATCH(LN(M$5),INDEX(Attenuation!$J:$J,$H56):INDEX(Attenuation!$J:$J,$H56+$I56-1),1),1),1),$I56-1))):INDEX(Attenuation!$J:$J,($H56-1+MIN(MAX(IFERROR(MATCH(LN(M$5),INDEX(Attenuation!$J:$J,$H56):INDEX(Attenuation!$J:$J,$H56+$I56-1),1),1),1),$I56-1))+1)))))</f>
        <v>1.021626051131159</v>
      </c>
      <c r="N56" s="12">
        <f>IF($A56="","",IF(N$5&gt;2*$G56,"",EXP(FORECAST(LN(N$5),INDEX(Attenuation!$K:$K,($H56-1+MIN(MAX(IFERROR(MATCH(LN(N$5),INDEX(Attenuation!$J:$J,$H56):INDEX(Attenuation!$J:$J,$H56+$I56-1),1),1),1),$I56-1))):INDEX(Attenuation!$K:$K,($H56-1+MIN(MAX(IFERROR(MATCH(LN(N$5),INDEX(Attenuation!$J:$J,$H56):INDEX(Attenuation!$J:$J,$H56+$I56-1),1),1),1),$I56-1))+1),INDEX(Attenuation!$J:$J,($H56-1+MIN(MAX(IFERROR(MATCH(LN(N$5),INDEX(Attenuation!$J:$J,$H56):INDEX(Attenuation!$J:$J,$H56+$I56-1),1),1),1),$I56-1))):INDEX(Attenuation!$J:$J,($H56-1+MIN(MAX(IFERROR(MATCH(LN(N$5),INDEX(Attenuation!$J:$J,$H56):INDEX(Attenuation!$J:$J,$H56+$I56-1),1),1),1),$I56-1))+1)))))</f>
        <v>1.2572501784146541</v>
      </c>
      <c r="O56" s="12">
        <f>IF($A56="","",IF(O$5&gt;2*$G56,"",EXP(FORECAST(LN(O$5),INDEX(Attenuation!$K:$K,($H56-1+MIN(MAX(IFERROR(MATCH(LN(O$5),INDEX(Attenuation!$J:$J,$H56):INDEX(Attenuation!$J:$J,$H56+$I56-1),1),1),1),$I56-1))):INDEX(Attenuation!$K:$K,($H56-1+MIN(MAX(IFERROR(MATCH(LN(O$5),INDEX(Attenuation!$J:$J,$H56):INDEX(Attenuation!$J:$J,$H56+$I56-1),1),1),1),$I56-1))+1),INDEX(Attenuation!$J:$J,($H56-1+MIN(MAX(IFERROR(MATCH(LN(O$5),INDEX(Attenuation!$J:$J,$H56):INDEX(Attenuation!$J:$J,$H56+$I56-1),1),1),1),$I56-1))):INDEX(Attenuation!$J:$J,($H56-1+MIN(MAX(IFERROR(MATCH(LN(O$5),INDEX(Attenuation!$J:$J,$H56):INDEX(Attenuation!$J:$J,$H56+$I56-1),1),1),1),$I56-1))+1)))))</f>
        <v>1.4566988562033836</v>
      </c>
      <c r="P56" s="12">
        <f>IF($A56="","",IF(P$5&gt;2*$G56,"",EXP(FORECAST(LN(P$5),INDEX(Attenuation!$K:$K,($H56-1+MIN(MAX(IFERROR(MATCH(LN(P$5),INDEX(Attenuation!$J:$J,$H56):INDEX(Attenuation!$J:$J,$H56+$I56-1),1),1),1),$I56-1))):INDEX(Attenuation!$K:$K,($H56-1+MIN(MAX(IFERROR(MATCH(LN(P$5),INDEX(Attenuation!$J:$J,$H56):INDEX(Attenuation!$J:$J,$H56+$I56-1),1),1),1),$I56-1))+1),INDEX(Attenuation!$J:$J,($H56-1+MIN(MAX(IFERROR(MATCH(LN(P$5),INDEX(Attenuation!$J:$J,$H56):INDEX(Attenuation!$J:$J,$H56+$I56-1),1),1),1),$I56-1))):INDEX(Attenuation!$J:$J,($H56-1+MIN(MAX(IFERROR(MATCH(LN(P$5),INDEX(Attenuation!$J:$J,$H56):INDEX(Attenuation!$J:$J,$H56+$I56-1),1),1),1),$I56-1))+1)))))</f>
        <v>1.9599999999999993</v>
      </c>
      <c r="Q56" s="12">
        <f>IF($A56="","",IF(Q$5&gt;2*$G56,"",EXP(FORECAST(LN(Q$5),INDEX(Attenuation!$K:$K,($H56-1+MIN(MAX(IFERROR(MATCH(LN(Q$5),INDEX(Attenuation!$J:$J,$H56):INDEX(Attenuation!$J:$J,$H56+$I56-1),1),1),1),$I56-1))):INDEX(Attenuation!$K:$K,($H56-1+MIN(MAX(IFERROR(MATCH(LN(Q$5),INDEX(Attenuation!$J:$J,$H56):INDEX(Attenuation!$J:$J,$H56+$I56-1),1),1),1),$I56-1))+1),INDEX(Attenuation!$J:$J,($H56-1+MIN(MAX(IFERROR(MATCH(LN(Q$5),INDEX(Attenuation!$J:$J,$H56):INDEX(Attenuation!$J:$J,$H56+$I56-1),1),1),1),$I56-1))):INDEX(Attenuation!$J:$J,($H56-1+MIN(MAX(IFERROR(MATCH(LN(Q$5),INDEX(Attenuation!$J:$J,$H56):INDEX(Attenuation!$J:$J,$H56+$I56-1),1),1),1),$I56-1))+1)))))</f>
        <v>3.4</v>
      </c>
      <c r="R56" s="12">
        <f>IF($A56="","",IF(R$5&gt;2*$G56,"",EXP(FORECAST(LN(R$5),INDEX(Attenuation!$K:$K,($H56-1+MIN(MAX(IFERROR(MATCH(LN(R$5),INDEX(Attenuation!$J:$J,$H56):INDEX(Attenuation!$J:$J,$H56+$I56-1),1),1),1),$I56-1))):INDEX(Attenuation!$K:$K,($H56-1+MIN(MAX(IFERROR(MATCH(LN(R$5),INDEX(Attenuation!$J:$J,$H56):INDEX(Attenuation!$J:$J,$H56+$I56-1),1),1),1),$I56-1))+1),INDEX(Attenuation!$J:$J,($H56-1+MIN(MAX(IFERROR(MATCH(LN(R$5),INDEX(Attenuation!$J:$J,$H56):INDEX(Attenuation!$J:$J,$H56+$I56-1),1),1),1),$I56-1))):INDEX(Attenuation!$J:$J,($H56-1+MIN(MAX(IFERROR(MATCH(LN(R$5),INDEX(Attenuation!$J:$J,$H56):INDEX(Attenuation!$J:$J,$H56+$I56-1),1),1),1),$I56-1))+1)))))</f>
        <v>6.1</v>
      </c>
      <c r="S56" s="12">
        <f>IF($A56="","",IF(S$5&gt;2*$G56,"",EXP(FORECAST(LN(S$5),INDEX(Attenuation!$K:$K,($H56-1+MIN(MAX(IFERROR(MATCH(LN(S$5),INDEX(Attenuation!$J:$J,$H56):INDEX(Attenuation!$J:$J,$H56+$I56-1),1),1),1),$I56-1))):INDEX(Attenuation!$K:$K,($H56-1+MIN(MAX(IFERROR(MATCH(LN(S$5),INDEX(Attenuation!$J:$J,$H56):INDEX(Attenuation!$J:$J,$H56+$I56-1),1),1),1),$I56-1))+1),INDEX(Attenuation!$J:$J,($H56-1+MIN(MAX(IFERROR(MATCH(LN(S$5),INDEX(Attenuation!$J:$J,$H56):INDEX(Attenuation!$J:$J,$H56+$I56-1),1),1),1),$I56-1))):INDEX(Attenuation!$J:$J,($H56-1+MIN(MAX(IFERROR(MATCH(LN(S$5),INDEX(Attenuation!$J:$J,$H56):INDEX(Attenuation!$J:$J,$H56+$I56-1),1),1),1),$I56-1))+1)))))</f>
        <v>11.39999999999999</v>
      </c>
      <c r="T56" s="12">
        <f>IF($A56="","",IF(T$5&gt;2*$G56,"",EXP(FORECAST(LN(T$5),INDEX(Attenuation!$K:$K,($H56-1+MIN(MAX(IFERROR(MATCH(LN(T$5),INDEX(Attenuation!$J:$J,$H56):INDEX(Attenuation!$J:$J,$H56+$I56-1),1),1),1),$I56-1))):INDEX(Attenuation!$K:$K,($H56-1+MIN(MAX(IFERROR(MATCH(LN(T$5),INDEX(Attenuation!$J:$J,$H56):INDEX(Attenuation!$J:$J,$H56+$I56-1),1),1),1),$I56-1))+1),INDEX(Attenuation!$J:$J,($H56-1+MIN(MAX(IFERROR(MATCH(LN(T$5),INDEX(Attenuation!$J:$J,$H56):INDEX(Attenuation!$J:$J,$H56+$I56-1),1),1),1),$I56-1))):INDEX(Attenuation!$J:$J,($H56-1+MIN(MAX(IFERROR(MATCH(LN(T$5),INDEX(Attenuation!$J:$J,$H56):INDEX(Attenuation!$J:$J,$H56+$I56-1),1),1),1),$I56-1))+1)))))</f>
        <v>16.300000000000011</v>
      </c>
      <c r="U56" s="12">
        <f>IF($A56="","",IF(U$5&gt;2*$G56,"",EXP(FORECAST(LN(U$5),INDEX(Attenuation!$K:$K,($H56-1+MIN(MAX(IFERROR(MATCH(LN(U$5),INDEX(Attenuation!$J:$J,$H56):INDEX(Attenuation!$J:$J,$H56+$I56-1),1),1),1),$I56-1))):INDEX(Attenuation!$K:$K,($H56-1+MIN(MAX(IFERROR(MATCH(LN(U$5),INDEX(Attenuation!$J:$J,$H56):INDEX(Attenuation!$J:$J,$H56+$I56-1),1),1),1),$I56-1))+1),INDEX(Attenuation!$J:$J,($H56-1+MIN(MAX(IFERROR(MATCH(LN(U$5),INDEX(Attenuation!$J:$J,$H56):INDEX(Attenuation!$J:$J,$H56+$I56-1),1),1),1),$I56-1))):INDEX(Attenuation!$J:$J,($H56-1+MIN(MAX(IFERROR(MATCH(LN(U$5),INDEX(Attenuation!$J:$J,$H56):INDEX(Attenuation!$J:$J,$H56+$I56-1),1),1),1),$I56-1))+1)))))</f>
        <v>28.074917088301795</v>
      </c>
      <c r="V56" s="1"/>
      <c r="W56" s="12">
        <f t="shared" si="12"/>
        <v>0.1075774380803199</v>
      </c>
      <c r="X56" s="12">
        <f t="shared" si="13"/>
        <v>0.15195470013018764</v>
      </c>
      <c r="Y56" s="12">
        <f t="shared" si="14"/>
        <v>0.2178017368532689</v>
      </c>
      <c r="Z56" s="12">
        <f t="shared" si="15"/>
        <v>0.3113916203847773</v>
      </c>
      <c r="AA56" s="12">
        <f t="shared" si="16"/>
        <v>0.38320985438078659</v>
      </c>
      <c r="AB56" s="12">
        <f t="shared" si="17"/>
        <v>0.44400181137079131</v>
      </c>
      <c r="AC56" s="12">
        <f t="shared" si="18"/>
        <v>0.59740799999999983</v>
      </c>
      <c r="AD56" s="12">
        <f t="shared" si="19"/>
        <v>1.0363200000000001</v>
      </c>
      <c r="AE56" s="12">
        <f t="shared" si="20"/>
        <v>1.85928</v>
      </c>
      <c r="AF56" s="12">
        <f t="shared" si="21"/>
        <v>3.4747199999999969</v>
      </c>
      <c r="AG56" s="12">
        <f t="shared" si="22"/>
        <v>4.9682400000000033</v>
      </c>
      <c r="AH56" s="12">
        <f t="shared" si="23"/>
        <v>8.5572347285143877</v>
      </c>
    </row>
    <row r="57" spans="1:34" x14ac:dyDescent="0.25">
      <c r="A57" s="11" t="str">
        <f>IF(ROWS($A$6:A57)&gt;COUNTA(Cables!$A:$A)-1,"",INDEX(Cables!$A:$A,ROWS($A$6:A57)+1))</f>
        <v>TMS-LMR600</v>
      </c>
      <c r="B57" s="11" t="str">
        <f>IF($A57="","",IF(INDEX(Cables!$B:$B,MATCH($A57,Cables!$A:$A,0))="","",INDEX(Cables!$B:$B,MATCH($A57,Cables!$A:$A,0))))</f>
        <v>Times Microwave LMR-600 (Amphenol)</v>
      </c>
      <c r="C57" s="11">
        <f>IF($A57="","",IF(INDEX(Cables!$F:$F,MATCH($A57,Cables!$A:$A,0))="","",INDEX(Cables!$F:$F,MATCH($A57,Cables!$A:$A,0))))</f>
        <v>50</v>
      </c>
      <c r="D57" s="11">
        <f>IF($A57="","",IF(INDEX(Cables!$H:$H,MATCH($A57,Cables!$A:$A,0))="","",INDEX(Cables!$H:$H,MATCH($A57,Cables!$A:$A,0))))</f>
        <v>14.99</v>
      </c>
      <c r="E57" s="12">
        <f>IF($A57="","",IF(INDEX(Cables!$Q:$Q,MATCH($A57,Cables!$A:$A,0))="","",INDEX(Cables!$Q:$Q,MATCH($A57,Cables!$A:$A,0))))</f>
        <v>0.87</v>
      </c>
      <c r="F57" s="11">
        <f>IF($A57="","",IF(INDEX(Cables!$AQ:$AQ,MATCH($A57,Cables!$A:$A,0))="","",INDEX(Cables!$AQ:$AQ,MATCH($A57,Cables!$A:$A,0))))</f>
        <v>30</v>
      </c>
      <c r="G57" s="11">
        <f>IF($A57="","",IF(INDEX(Cables!$AR:$AR,MATCH($A57,Cables!$A:$A,0))="","",INDEX(Cables!$AR:$AR,MATCH($A57,Cables!$A:$A,0))))</f>
        <v>2500</v>
      </c>
      <c r="H57" s="11">
        <f>IF($A57="","",IF(INDEX(Cables!$AO:$AO,MATCH($A57,Cables!$A:$A,0))="","",INDEX(Cables!$AO:$AO,MATCH($A57,Cables!$A:$A,0))))</f>
        <v>842</v>
      </c>
      <c r="I57" s="11">
        <f>IF($A57="","",IF(INDEX(Cables!$AP:$AP,MATCH($A57,Cables!$A:$A,0))="","",INDEX(Cables!$AP:$AP,MATCH($A57,Cables!$A:$A,0))))</f>
        <v>10</v>
      </c>
      <c r="J57" s="12">
        <f>IF($A57="","",IF(J$5&gt;2*$G57,"",EXP(FORECAST(LN(J$5),INDEX(Attenuation!$K:$K,($H57-1+MIN(MAX(IFERROR(MATCH(LN(J$5),INDEX(Attenuation!$J:$J,$H57):INDEX(Attenuation!$J:$J,$H57+$I57-1),1),1),1),$I57-1))):INDEX(Attenuation!$K:$K,($H57-1+MIN(MAX(IFERROR(MATCH(LN(J$5),INDEX(Attenuation!$J:$J,$H57):INDEX(Attenuation!$J:$J,$H57+$I57-1),1),1),1),$I57-1))+1),INDEX(Attenuation!$J:$J,($H57-1+MIN(MAX(IFERROR(MATCH(LN(J$5),INDEX(Attenuation!$J:$J,$H57):INDEX(Attenuation!$J:$J,$H57+$I57-1),1),1),1),$I57-1))):INDEX(Attenuation!$J:$J,($H57-1+MIN(MAX(IFERROR(MATCH(LN(J$5),INDEX(Attenuation!$J:$J,$H57):INDEX(Attenuation!$J:$J,$H57+$I57-1),1),1),1),$I57-1))+1)))))</f>
        <v>0.32660812583623516</v>
      </c>
      <c r="K57" s="12">
        <f>IF($A57="","",IF(K$5&gt;2*$G57,"",EXP(FORECAST(LN(K$5),INDEX(Attenuation!$K:$K,($H57-1+MIN(MAX(IFERROR(MATCH(LN(K$5),INDEX(Attenuation!$J:$J,$H57):INDEX(Attenuation!$J:$J,$H57+$I57-1),1),1),1),$I57-1))):INDEX(Attenuation!$K:$K,($H57-1+MIN(MAX(IFERROR(MATCH(LN(K$5),INDEX(Attenuation!$J:$J,$H57):INDEX(Attenuation!$J:$J,$H57+$I57-1),1),1),1),$I57-1))+1),INDEX(Attenuation!$J:$J,($H57-1+MIN(MAX(IFERROR(MATCH(LN(K$5),INDEX(Attenuation!$J:$J,$H57):INDEX(Attenuation!$J:$J,$H57+$I57-1),1),1),1),$I57-1))):INDEX(Attenuation!$J:$J,($H57-1+MIN(MAX(IFERROR(MATCH(LN(K$5),INDEX(Attenuation!$J:$J,$H57):INDEX(Attenuation!$J:$J,$H57+$I57-1),1),1),1),$I57-1))+1)))))</f>
        <v>0.45924536658900211</v>
      </c>
      <c r="L57" s="12">
        <f>IF($A57="","",IF(L$5&gt;2*$G57,"",EXP(FORECAST(LN(L$5),INDEX(Attenuation!$K:$K,($H57-1+MIN(MAX(IFERROR(MATCH(LN(L$5),INDEX(Attenuation!$J:$J,$H57):INDEX(Attenuation!$J:$J,$H57+$I57-1),1),1),1),$I57-1))):INDEX(Attenuation!$K:$K,($H57-1+MIN(MAX(IFERROR(MATCH(LN(L$5),INDEX(Attenuation!$J:$J,$H57):INDEX(Attenuation!$J:$J,$H57+$I57-1),1),1),1),$I57-1))+1),INDEX(Attenuation!$J:$J,($H57-1+MIN(MAX(IFERROR(MATCH(LN(L$5),INDEX(Attenuation!$J:$J,$H57):INDEX(Attenuation!$J:$J,$H57+$I57-1),1),1),1),$I57-1))):INDEX(Attenuation!$J:$J,($H57-1+MIN(MAX(IFERROR(MATCH(LN(L$5),INDEX(Attenuation!$J:$J,$H57):INDEX(Attenuation!$J:$J,$H57+$I57-1),1),1),1),$I57-1))+1)))))</f>
        <v>0.65513856815920257</v>
      </c>
      <c r="M57" s="12">
        <f>IF($A57="","",IF(M$5&gt;2*$G57,"",EXP(FORECAST(LN(M$5),INDEX(Attenuation!$K:$K,($H57-1+MIN(MAX(IFERROR(MATCH(LN(M$5),INDEX(Attenuation!$J:$J,$H57):INDEX(Attenuation!$J:$J,$H57+$I57-1),1),1),1),$I57-1))):INDEX(Attenuation!$K:$K,($H57-1+MIN(MAX(IFERROR(MATCH(LN(M$5),INDEX(Attenuation!$J:$J,$H57):INDEX(Attenuation!$J:$J,$H57+$I57-1),1),1),1),$I57-1))+1),INDEX(Attenuation!$J:$J,($H57-1+MIN(MAX(IFERROR(MATCH(LN(M$5),INDEX(Attenuation!$J:$J,$H57):INDEX(Attenuation!$J:$J,$H57+$I57-1),1),1),1),$I57-1))):INDEX(Attenuation!$J:$J,($H57-1+MIN(MAX(IFERROR(MATCH(LN(M$5),INDEX(Attenuation!$J:$J,$H57):INDEX(Attenuation!$J:$J,$H57+$I57-1),1),1),1),$I57-1))+1)))))</f>
        <v>0.93459090655084398</v>
      </c>
      <c r="N57" s="12">
        <f>IF($A57="","",IF(N$5&gt;2*$G57,"",EXP(FORECAST(LN(N$5),INDEX(Attenuation!$K:$K,($H57-1+MIN(MAX(IFERROR(MATCH(LN(N$5),INDEX(Attenuation!$J:$J,$H57):INDEX(Attenuation!$J:$J,$H57+$I57-1),1),1),1),$I57-1))):INDEX(Attenuation!$K:$K,($H57-1+MIN(MAX(IFERROR(MATCH(LN(N$5),INDEX(Attenuation!$J:$J,$H57):INDEX(Attenuation!$J:$J,$H57+$I57-1),1),1),1),$I57-1))+1),INDEX(Attenuation!$J:$J,($H57-1+MIN(MAX(IFERROR(MATCH(LN(N$5),INDEX(Attenuation!$J:$J,$H57):INDEX(Attenuation!$J:$J,$H57+$I57-1),1),1),1),$I57-1))):INDEX(Attenuation!$J:$J,($H57-1+MIN(MAX(IFERROR(MATCH(LN(N$5),INDEX(Attenuation!$J:$J,$H57):INDEX(Attenuation!$J:$J,$H57+$I57-1),1),1),1),$I57-1))+1)))))</f>
        <v>1.150467805486908</v>
      </c>
      <c r="O57" s="12">
        <f>IF($A57="","",IF(O$5&gt;2*$G57,"",EXP(FORECAST(LN(O$5),INDEX(Attenuation!$K:$K,($H57-1+MIN(MAX(IFERROR(MATCH(LN(O$5),INDEX(Attenuation!$J:$J,$H57):INDEX(Attenuation!$J:$J,$H57+$I57-1),1),1),1),$I57-1))):INDEX(Attenuation!$K:$K,($H57-1+MIN(MAX(IFERROR(MATCH(LN(O$5),INDEX(Attenuation!$J:$J,$H57):INDEX(Attenuation!$J:$J,$H57+$I57-1),1),1),1),$I57-1))+1),INDEX(Attenuation!$J:$J,($H57-1+MIN(MAX(IFERROR(MATCH(LN(O$5),INDEX(Attenuation!$J:$J,$H57):INDEX(Attenuation!$J:$J,$H57+$I57-1),1),1),1),$I57-1))):INDEX(Attenuation!$J:$J,($H57-1+MIN(MAX(IFERROR(MATCH(LN(O$5),INDEX(Attenuation!$J:$J,$H57):INDEX(Attenuation!$J:$J,$H57+$I57-1),1),1),1),$I57-1))+1)))))</f>
        <v>1.3332449119302539</v>
      </c>
      <c r="P57" s="12">
        <f>IF($A57="","",IF(P$5&gt;2*$G57,"",EXP(FORECAST(LN(P$5),INDEX(Attenuation!$K:$K,($H57-1+MIN(MAX(IFERROR(MATCH(LN(P$5),INDEX(Attenuation!$J:$J,$H57):INDEX(Attenuation!$J:$J,$H57+$I57-1),1),1),1),$I57-1))):INDEX(Attenuation!$K:$K,($H57-1+MIN(MAX(IFERROR(MATCH(LN(P$5),INDEX(Attenuation!$J:$J,$H57):INDEX(Attenuation!$J:$J,$H57+$I57-1),1),1),1),$I57-1))+1),INDEX(Attenuation!$J:$J,($H57-1+MIN(MAX(IFERROR(MATCH(LN(P$5),INDEX(Attenuation!$J:$J,$H57):INDEX(Attenuation!$J:$J,$H57+$I57-1),1),1),1),$I57-1))):INDEX(Attenuation!$J:$J,($H57-1+MIN(MAX(IFERROR(MATCH(LN(P$5),INDEX(Attenuation!$J:$J,$H57):INDEX(Attenuation!$J:$J,$H57+$I57-1),1),1),1),$I57-1))+1)))))</f>
        <v>1.7946194225721785</v>
      </c>
      <c r="Q57" s="12">
        <f>IF($A57="","",IF(Q$5&gt;2*$G57,"",EXP(FORECAST(LN(Q$5),INDEX(Attenuation!$K:$K,($H57-1+MIN(MAX(IFERROR(MATCH(LN(Q$5),INDEX(Attenuation!$J:$J,$H57):INDEX(Attenuation!$J:$J,$H57+$I57-1),1),1),1),$I57-1))):INDEX(Attenuation!$K:$K,($H57-1+MIN(MAX(IFERROR(MATCH(LN(Q$5),INDEX(Attenuation!$J:$J,$H57):INDEX(Attenuation!$J:$J,$H57+$I57-1),1),1),1),$I57-1))+1),INDEX(Attenuation!$J:$J,($H57-1+MIN(MAX(IFERROR(MATCH(LN(Q$5),INDEX(Attenuation!$J:$J,$H57):INDEX(Attenuation!$J:$J,$H57+$I57-1),1),1),1),$I57-1))):INDEX(Attenuation!$J:$J,($H57-1+MIN(MAX(IFERROR(MATCH(LN(Q$5),INDEX(Attenuation!$J:$J,$H57):INDEX(Attenuation!$J:$J,$H57+$I57-1),1),1),1),$I57-1))+1)))))</f>
        <v>3.0968339815107599</v>
      </c>
      <c r="R57" s="12">
        <f>IF($A57="","",IF(R$5&gt;2*$G57,"",EXP(FORECAST(LN(R$5),INDEX(Attenuation!$K:$K,($H57-1+MIN(MAX(IFERROR(MATCH(LN(R$5),INDEX(Attenuation!$J:$J,$H57):INDEX(Attenuation!$J:$J,$H57+$I57-1),1),1),1),$I57-1))):INDEX(Attenuation!$K:$K,($H57-1+MIN(MAX(IFERROR(MATCH(LN(R$5),INDEX(Attenuation!$J:$J,$H57):INDEX(Attenuation!$J:$J,$H57+$I57-1),1),1),1),$I57-1))+1),INDEX(Attenuation!$J:$J,($H57-1+MIN(MAX(IFERROR(MATCH(LN(R$5),INDEX(Attenuation!$J:$J,$H57):INDEX(Attenuation!$J:$J,$H57+$I57-1),1),1),1),$I57-1))):INDEX(Attenuation!$J:$J,($H57-1+MIN(MAX(IFERROR(MATCH(LN(R$5),INDEX(Attenuation!$J:$J,$H57):INDEX(Attenuation!$J:$J,$H57+$I57-1),1),1),1),$I57-1))+1)))))</f>
        <v>5.523042675789033</v>
      </c>
      <c r="S57" s="12">
        <f>IF($A57="","",IF(S$5&gt;2*$G57,"",EXP(FORECAST(LN(S$5),INDEX(Attenuation!$K:$K,($H57-1+MIN(MAX(IFERROR(MATCH(LN(S$5),INDEX(Attenuation!$J:$J,$H57):INDEX(Attenuation!$J:$J,$H57+$I57-1),1),1),1),$I57-1))):INDEX(Attenuation!$K:$K,($H57-1+MIN(MAX(IFERROR(MATCH(LN(S$5),INDEX(Attenuation!$J:$J,$H57):INDEX(Attenuation!$J:$J,$H57+$I57-1),1),1),1),$I57-1))+1),INDEX(Attenuation!$J:$J,($H57-1+MIN(MAX(IFERROR(MATCH(LN(S$5),INDEX(Attenuation!$J:$J,$H57):INDEX(Attenuation!$J:$J,$H57+$I57-1),1),1),1),$I57-1))):INDEX(Attenuation!$J:$J,($H57-1+MIN(MAX(IFERROR(MATCH(LN(S$5),INDEX(Attenuation!$J:$J,$H57):INDEX(Attenuation!$J:$J,$H57+$I57-1),1),1),1),$I57-1))+1)))))</f>
        <v>10.021493654789781</v>
      </c>
      <c r="T57" s="12">
        <f>IF($A57="","",IF(T$5&gt;2*$G57,"",EXP(FORECAST(LN(T$5),INDEX(Attenuation!$K:$K,($H57-1+MIN(MAX(IFERROR(MATCH(LN(T$5),INDEX(Attenuation!$J:$J,$H57):INDEX(Attenuation!$J:$J,$H57+$I57-1),1),1),1),$I57-1))):INDEX(Attenuation!$K:$K,($H57-1+MIN(MAX(IFERROR(MATCH(LN(T$5),INDEX(Attenuation!$J:$J,$H57):INDEX(Attenuation!$J:$J,$H57+$I57-1),1),1),1),$I57-1))+1),INDEX(Attenuation!$J:$J,($H57-1+MIN(MAX(IFERROR(MATCH(LN(T$5),INDEX(Attenuation!$J:$J,$H57):INDEX(Attenuation!$J:$J,$H57+$I57-1),1),1),1),$I57-1))):INDEX(Attenuation!$J:$J,($H57-1+MIN(MAX(IFERROR(MATCH(LN(T$5),INDEX(Attenuation!$J:$J,$H57):INDEX(Attenuation!$J:$J,$H57+$I57-1),1),1),1),$I57-1))+1)))))</f>
        <v>14.173042464973724</v>
      </c>
      <c r="U57" s="12" t="str">
        <f>IF($A57="","",IF(U$5&gt;2*$G57,"",EXP(FORECAST(LN(U$5),INDEX(Attenuation!$K:$K,($H57-1+MIN(MAX(IFERROR(MATCH(LN(U$5),INDEX(Attenuation!$J:$J,$H57):INDEX(Attenuation!$J:$J,$H57+$I57-1),1),1),1),$I57-1))):INDEX(Attenuation!$K:$K,($H57-1+MIN(MAX(IFERROR(MATCH(LN(U$5),INDEX(Attenuation!$J:$J,$H57):INDEX(Attenuation!$J:$J,$H57+$I57-1),1),1),1),$I57-1))+1),INDEX(Attenuation!$J:$J,($H57-1+MIN(MAX(IFERROR(MATCH(LN(U$5),INDEX(Attenuation!$J:$J,$H57):INDEX(Attenuation!$J:$J,$H57+$I57-1),1),1),1),$I57-1))):INDEX(Attenuation!$J:$J,($H57-1+MIN(MAX(IFERROR(MATCH(LN(U$5),INDEX(Attenuation!$J:$J,$H57):INDEX(Attenuation!$J:$J,$H57+$I57-1),1),1),1),$I57-1))+1)))))</f>
        <v/>
      </c>
      <c r="V57" s="1"/>
      <c r="W57" s="12">
        <f t="shared" si="12"/>
        <v>9.9550156754884489E-2</v>
      </c>
      <c r="X57" s="12">
        <f t="shared" si="13"/>
        <v>0.13997798773632786</v>
      </c>
      <c r="Y57" s="12">
        <f t="shared" si="14"/>
        <v>0.19968623557492496</v>
      </c>
      <c r="Z57" s="12">
        <f t="shared" si="15"/>
        <v>0.28486330831669726</v>
      </c>
      <c r="AA57" s="12">
        <f t="shared" si="16"/>
        <v>0.35066258711240955</v>
      </c>
      <c r="AB57" s="12">
        <f t="shared" si="17"/>
        <v>0.40637304915634137</v>
      </c>
      <c r="AC57" s="12">
        <f t="shared" si="18"/>
        <v>0.54700000000000004</v>
      </c>
      <c r="AD57" s="12">
        <f t="shared" si="19"/>
        <v>0.94391499756447972</v>
      </c>
      <c r="AE57" s="12">
        <f t="shared" si="20"/>
        <v>1.6834234075804972</v>
      </c>
      <c r="AF57" s="12">
        <f t="shared" si="21"/>
        <v>3.0545512659799252</v>
      </c>
      <c r="AG57" s="12">
        <f t="shared" si="22"/>
        <v>4.3199433433239918</v>
      </c>
      <c r="AH57" s="12" t="str">
        <f t="shared" si="23"/>
        <v/>
      </c>
    </row>
    <row r="58" spans="1:34" x14ac:dyDescent="0.25">
      <c r="A58" s="11" t="str">
        <f>IF(ROWS($A$6:A58)&gt;COUNTA(Cables!$A:$A)-1,"",INDEX(Cables!$A:$A,ROWS($A$6:A58)+1))</f>
        <v>CS-LDF4-50A</v>
      </c>
      <c r="B58" s="11" t="str">
        <f>IF($A58="","",IF(INDEX(Cables!$B:$B,MATCH($A58,Cables!$A:$A,0))="","",INDEX(Cables!$B:$B,MATCH($A58,Cables!$A:$A,0))))</f>
        <v>CommScope LDF4-50A (1/2" HELIAX)</v>
      </c>
      <c r="C58" s="11">
        <f>IF($A58="","",IF(INDEX(Cables!$F:$F,MATCH($A58,Cables!$A:$A,0))="","",INDEX(Cables!$F:$F,MATCH($A58,Cables!$A:$A,0))))</f>
        <v>50</v>
      </c>
      <c r="D58" s="11">
        <f>IF($A58="","",IF(INDEX(Cables!$H:$H,MATCH($A58,Cables!$A:$A,0))="","",INDEX(Cables!$H:$H,MATCH($A58,Cables!$A:$A,0))))</f>
        <v>15.875</v>
      </c>
      <c r="E58" s="12">
        <f>IF($A58="","",IF(INDEX(Cables!$Q:$Q,MATCH($A58,Cables!$A:$A,0))="","",INDEX(Cables!$Q:$Q,MATCH($A58,Cables!$A:$A,0))))</f>
        <v>0.88</v>
      </c>
      <c r="F58" s="11">
        <f>IF($A58="","",IF(INDEX(Cables!$AQ:$AQ,MATCH($A58,Cables!$A:$A,0))="","",INDEX(Cables!$AQ:$AQ,MATCH($A58,Cables!$A:$A,0))))</f>
        <v>1</v>
      </c>
      <c r="G58" s="11">
        <f>IF($A58="","",IF(INDEX(Cables!$AR:$AR,MATCH($A58,Cables!$A:$A,0))="","",INDEX(Cables!$AR:$AR,MATCH($A58,Cables!$A:$A,0))))</f>
        <v>8800</v>
      </c>
      <c r="H58" s="11">
        <f>IF($A58="","",IF(INDEX(Cables!$AO:$AO,MATCH($A58,Cables!$A:$A,0))="","",INDEX(Cables!$AO:$AO,MATCH($A58,Cables!$A:$A,0))))</f>
        <v>852</v>
      </c>
      <c r="I58" s="11">
        <f>IF($A58="","",IF(INDEX(Cables!$AP:$AP,MATCH($A58,Cables!$A:$A,0))="","",INDEX(Cables!$AP:$AP,MATCH($A58,Cables!$A:$A,0))))</f>
        <v>60</v>
      </c>
      <c r="J58" s="12">
        <f>IF($A58="","",IF(J$5&gt;2*$G58,"",EXP(FORECAST(LN(J$5),INDEX(Attenuation!$K:$K,($H58-1+MIN(MAX(IFERROR(MATCH(LN(J$5),INDEX(Attenuation!$J:$J,$H58):INDEX(Attenuation!$J:$J,$H58+$I58-1),1),1),1),$I58-1))):INDEX(Attenuation!$K:$K,($H58-1+MIN(MAX(IFERROR(MATCH(LN(J$5),INDEX(Attenuation!$J:$J,$H58):INDEX(Attenuation!$J:$J,$H58+$I58-1),1),1),1),$I58-1))+1),INDEX(Attenuation!$J:$J,($H58-1+MIN(MAX(IFERROR(MATCH(LN(J$5),INDEX(Attenuation!$J:$J,$H58):INDEX(Attenuation!$J:$J,$H58+$I58-1),1),1),1),$I58-1))):INDEX(Attenuation!$J:$J,($H58-1+MIN(MAX(IFERROR(MATCH(LN(J$5),INDEX(Attenuation!$J:$J,$H58):INDEX(Attenuation!$J:$J,$H58+$I58-1),1),1),1),$I58-1))+1)))))</f>
        <v>0.28367973595387369</v>
      </c>
      <c r="K58" s="12">
        <f>IF($A58="","",IF(K$5&gt;2*$G58,"",EXP(FORECAST(LN(K$5),INDEX(Attenuation!$K:$K,($H58-1+MIN(MAX(IFERROR(MATCH(LN(K$5),INDEX(Attenuation!$J:$J,$H58):INDEX(Attenuation!$J:$J,$H58+$I58-1),1),1),1),$I58-1))):INDEX(Attenuation!$K:$K,($H58-1+MIN(MAX(IFERROR(MATCH(LN(K$5),INDEX(Attenuation!$J:$J,$H58):INDEX(Attenuation!$J:$J,$H58+$I58-1),1),1),1),$I58-1))+1),INDEX(Attenuation!$J:$J,($H58-1+MIN(MAX(IFERROR(MATCH(LN(K$5),INDEX(Attenuation!$J:$J,$H58):INDEX(Attenuation!$J:$J,$H58+$I58-1),1),1),1),$I58-1))):INDEX(Attenuation!$J:$J,($H58-1+MIN(MAX(IFERROR(MATCH(LN(K$5),INDEX(Attenuation!$J:$J,$H58):INDEX(Attenuation!$J:$J,$H58+$I58-1),1),1),1),$I58-1))+1)))))</f>
        <v>0.3962412828589737</v>
      </c>
      <c r="L58" s="12">
        <f>IF($A58="","",IF(L$5&gt;2*$G58,"",EXP(FORECAST(LN(L$5),INDEX(Attenuation!$K:$K,($H58-1+MIN(MAX(IFERROR(MATCH(LN(L$5),INDEX(Attenuation!$J:$J,$H58):INDEX(Attenuation!$J:$J,$H58+$I58-1),1),1),1),$I58-1))):INDEX(Attenuation!$K:$K,($H58-1+MIN(MAX(IFERROR(MATCH(LN(L$5),INDEX(Attenuation!$J:$J,$H58):INDEX(Attenuation!$J:$J,$H58+$I58-1),1),1),1),$I58-1))+1),INDEX(Attenuation!$J:$J,($H58-1+MIN(MAX(IFERROR(MATCH(LN(L$5),INDEX(Attenuation!$J:$J,$H58):INDEX(Attenuation!$J:$J,$H58+$I58-1),1),1),1),$I58-1))):INDEX(Attenuation!$J:$J,($H58-1+MIN(MAX(IFERROR(MATCH(LN(L$5),INDEX(Attenuation!$J:$J,$H58):INDEX(Attenuation!$J:$J,$H58+$I58-1),1),1),1),$I58-1))+1)))))</f>
        <v>0.56160096018487893</v>
      </c>
      <c r="M58" s="12">
        <f>IF($A58="","",IF(M$5&gt;2*$G58,"",EXP(FORECAST(LN(M$5),INDEX(Attenuation!$K:$K,($H58-1+MIN(MAX(IFERROR(MATCH(LN(M$5),INDEX(Attenuation!$J:$J,$H58):INDEX(Attenuation!$J:$J,$H58+$I58-1),1),1),1),$I58-1))):INDEX(Attenuation!$K:$K,($H58-1+MIN(MAX(IFERROR(MATCH(LN(M$5),INDEX(Attenuation!$J:$J,$H58):INDEX(Attenuation!$J:$J,$H58+$I58-1),1),1),1),$I58-1))+1),INDEX(Attenuation!$J:$J,($H58-1+MIN(MAX(IFERROR(MATCH(LN(M$5),INDEX(Attenuation!$J:$J,$H58):INDEX(Attenuation!$J:$J,$H58+$I58-1),1),1),1),$I58-1))):INDEX(Attenuation!$J:$J,($H58-1+MIN(MAX(IFERROR(MATCH(LN(M$5),INDEX(Attenuation!$J:$J,$H58):INDEX(Attenuation!$J:$J,$H58+$I58-1),1),1),1),$I58-1))+1)))))</f>
        <v>0.79660144805293631</v>
      </c>
      <c r="N58" s="12">
        <f>IF($A58="","",IF(N$5&gt;2*$G58,"",EXP(FORECAST(LN(N$5),INDEX(Attenuation!$K:$K,($H58-1+MIN(MAX(IFERROR(MATCH(LN(N$5),INDEX(Attenuation!$J:$J,$H58):INDEX(Attenuation!$J:$J,$H58+$I58-1),1),1),1),$I58-1))):INDEX(Attenuation!$K:$K,($H58-1+MIN(MAX(IFERROR(MATCH(LN(N$5),INDEX(Attenuation!$J:$J,$H58):INDEX(Attenuation!$J:$J,$H58+$I58-1),1),1),1),$I58-1))+1),INDEX(Attenuation!$J:$J,($H58-1+MIN(MAX(IFERROR(MATCH(LN(N$5),INDEX(Attenuation!$J:$J,$H58):INDEX(Attenuation!$J:$J,$H58+$I58-1),1),1),1),$I58-1))):INDEX(Attenuation!$J:$J,($H58-1+MIN(MAX(IFERROR(MATCH(LN(N$5),INDEX(Attenuation!$J:$J,$H58):INDEX(Attenuation!$J:$J,$H58+$I58-1),1),1),1),$I58-1))+1)))))</f>
        <v>0.97792038460120867</v>
      </c>
      <c r="O58" s="12">
        <f>IF($A58="","",IF(O$5&gt;2*$G58,"",EXP(FORECAST(LN(O$5),INDEX(Attenuation!$K:$K,($H58-1+MIN(MAX(IFERROR(MATCH(LN(O$5),INDEX(Attenuation!$J:$J,$H58):INDEX(Attenuation!$J:$J,$H58+$I58-1),1),1),1),$I58-1))):INDEX(Attenuation!$K:$K,($H58-1+MIN(MAX(IFERROR(MATCH(LN(O$5),INDEX(Attenuation!$J:$J,$H58):INDEX(Attenuation!$J:$J,$H58+$I58-1),1),1),1),$I58-1))+1),INDEX(Attenuation!$J:$J,($H58-1+MIN(MAX(IFERROR(MATCH(LN(O$5),INDEX(Attenuation!$J:$J,$H58):INDEX(Attenuation!$J:$J,$H58+$I58-1),1),1),1),$I58-1))):INDEX(Attenuation!$J:$J,($H58-1+MIN(MAX(IFERROR(MATCH(LN(O$5),INDEX(Attenuation!$J:$J,$H58):INDEX(Attenuation!$J:$J,$H58+$I58-1),1),1),1),$I58-1))+1)))))</f>
        <v>1.1316681075906974</v>
      </c>
      <c r="P58" s="12">
        <f>IF($A58="","",IF(P$5&gt;2*$G58,"",EXP(FORECAST(LN(P$5),INDEX(Attenuation!$K:$K,($H58-1+MIN(MAX(IFERROR(MATCH(LN(P$5),INDEX(Attenuation!$J:$J,$H58):INDEX(Attenuation!$J:$J,$H58+$I58-1),1),1),1),$I58-1))):INDEX(Attenuation!$K:$K,($H58-1+MIN(MAX(IFERROR(MATCH(LN(P$5),INDEX(Attenuation!$J:$J,$H58):INDEX(Attenuation!$J:$J,$H58+$I58-1),1),1),1),$I58-1))+1),INDEX(Attenuation!$J:$J,($H58-1+MIN(MAX(IFERROR(MATCH(LN(P$5),INDEX(Attenuation!$J:$J,$H58):INDEX(Attenuation!$J:$J,$H58+$I58-1),1),1),1),$I58-1))):INDEX(Attenuation!$J:$J,($H58-1+MIN(MAX(IFERROR(MATCH(LN(P$5),INDEX(Attenuation!$J:$J,$H58):INDEX(Attenuation!$J:$J,$H58+$I58-1),1),1),1),$I58-1))+1)))))</f>
        <v>1.5209999999999992</v>
      </c>
      <c r="Q58" s="12">
        <f>IF($A58="","",IF(Q$5&gt;2*$G58,"",EXP(FORECAST(LN(Q$5),INDEX(Attenuation!$K:$K,($H58-1+MIN(MAX(IFERROR(MATCH(LN(Q$5),INDEX(Attenuation!$J:$J,$H58):INDEX(Attenuation!$J:$J,$H58+$I58-1),1),1),1),$I58-1))):INDEX(Attenuation!$K:$K,($H58-1+MIN(MAX(IFERROR(MATCH(LN(Q$5),INDEX(Attenuation!$J:$J,$H58):INDEX(Attenuation!$J:$J,$H58+$I58-1),1),1),1),$I58-1))+1),INDEX(Attenuation!$J:$J,($H58-1+MIN(MAX(IFERROR(MATCH(LN(Q$5),INDEX(Attenuation!$J:$J,$H58):INDEX(Attenuation!$J:$J,$H58+$I58-1),1),1),1),$I58-1))):INDEX(Attenuation!$J:$J,($H58-1+MIN(MAX(IFERROR(MATCH(LN(Q$5),INDEX(Attenuation!$J:$J,$H58):INDEX(Attenuation!$J:$J,$H58+$I58-1),1),1),1),$I58-1))+1)))))</f>
        <v>2.6172518648365748</v>
      </c>
      <c r="R58" s="12">
        <f>IF($A58="","",IF(R$5&gt;2*$G58,"",EXP(FORECAST(LN(R$5),INDEX(Attenuation!$K:$K,($H58-1+MIN(MAX(IFERROR(MATCH(LN(R$5),INDEX(Attenuation!$J:$J,$H58):INDEX(Attenuation!$J:$J,$H58+$I58-1),1),1),1),$I58-1))):INDEX(Attenuation!$K:$K,($H58-1+MIN(MAX(IFERROR(MATCH(LN(R$5),INDEX(Attenuation!$J:$J,$H58):INDEX(Attenuation!$J:$J,$H58+$I58-1),1),1),1),$I58-1))+1),INDEX(Attenuation!$J:$J,($H58-1+MIN(MAX(IFERROR(MATCH(LN(R$5),INDEX(Attenuation!$J:$J,$H58):INDEX(Attenuation!$J:$J,$H58+$I58-1),1),1),1),$I58-1))):INDEX(Attenuation!$J:$J,($H58-1+MIN(MAX(IFERROR(MATCH(LN(R$5),INDEX(Attenuation!$J:$J,$H58):INDEX(Attenuation!$J:$J,$H58+$I58-1),1),1),1),$I58-1))+1)))))</f>
        <v>4.6474976005286628</v>
      </c>
      <c r="S58" s="12">
        <f>IF($A58="","",IF(S$5&gt;2*$G58,"",EXP(FORECAST(LN(S$5),INDEX(Attenuation!$K:$K,($H58-1+MIN(MAX(IFERROR(MATCH(LN(S$5),INDEX(Attenuation!$J:$J,$H58):INDEX(Attenuation!$J:$J,$H58+$I58-1),1),1),1),$I58-1))):INDEX(Attenuation!$K:$K,($H58-1+MIN(MAX(IFERROR(MATCH(LN(S$5),INDEX(Attenuation!$J:$J,$H58):INDEX(Attenuation!$J:$J,$H58+$I58-1),1),1),1),$I58-1))+1),INDEX(Attenuation!$J:$J,($H58-1+MIN(MAX(IFERROR(MATCH(LN(S$5),INDEX(Attenuation!$J:$J,$H58):INDEX(Attenuation!$J:$J,$H58+$I58-1),1),1),1),$I58-1))):INDEX(Attenuation!$J:$J,($H58-1+MIN(MAX(IFERROR(MATCH(LN(S$5),INDEX(Attenuation!$J:$J,$H58):INDEX(Attenuation!$J:$J,$H58+$I58-1),1),1),1),$I58-1))+1)))))</f>
        <v>8.3910201624336676</v>
      </c>
      <c r="T58" s="12">
        <f>IF($A58="","",IF(T$5&gt;2*$G58,"",EXP(FORECAST(LN(T$5),INDEX(Attenuation!$K:$K,($H58-1+MIN(MAX(IFERROR(MATCH(LN(T$5),INDEX(Attenuation!$J:$J,$H58):INDEX(Attenuation!$J:$J,$H58+$I58-1),1),1),1),$I58-1))):INDEX(Attenuation!$K:$K,($H58-1+MIN(MAX(IFERROR(MATCH(LN(T$5),INDEX(Attenuation!$J:$J,$H58):INDEX(Attenuation!$J:$J,$H58+$I58-1),1),1),1),$I58-1))+1),INDEX(Attenuation!$J:$J,($H58-1+MIN(MAX(IFERROR(MATCH(LN(T$5),INDEX(Attenuation!$J:$J,$H58):INDEX(Attenuation!$J:$J,$H58+$I58-1),1),1),1),$I58-1))):INDEX(Attenuation!$J:$J,($H58-1+MIN(MAX(IFERROR(MATCH(LN(T$5),INDEX(Attenuation!$J:$J,$H58):INDEX(Attenuation!$J:$J,$H58+$I58-1),1),1),1),$I58-1))+1)))))</f>
        <v>11.815023834357032</v>
      </c>
      <c r="U58" s="12">
        <f>IF($A58="","",IF(U$5&gt;2*$G58,"",EXP(FORECAST(LN(U$5),INDEX(Attenuation!$K:$K,($H58-1+MIN(MAX(IFERROR(MATCH(LN(U$5),INDEX(Attenuation!$J:$J,$H58):INDEX(Attenuation!$J:$J,$H58+$I58-1),1),1),1),$I58-1))):INDEX(Attenuation!$K:$K,($H58-1+MIN(MAX(IFERROR(MATCH(LN(U$5),INDEX(Attenuation!$J:$J,$H58):INDEX(Attenuation!$J:$J,$H58+$I58-1),1),1),1),$I58-1))+1),INDEX(Attenuation!$J:$J,($H58-1+MIN(MAX(IFERROR(MATCH(LN(U$5),INDEX(Attenuation!$J:$J,$H58):INDEX(Attenuation!$J:$J,$H58+$I58-1),1),1),1),$I58-1))):INDEX(Attenuation!$J:$J,($H58-1+MIN(MAX(IFERROR(MATCH(LN(U$5),INDEX(Attenuation!$J:$J,$H58):INDEX(Attenuation!$J:$J,$H58+$I58-1),1),1),1),$I58-1))+1)))))</f>
        <v>19.577826746746915</v>
      </c>
      <c r="V58" s="1"/>
      <c r="W58" s="12">
        <f t="shared" si="12"/>
        <v>8.6465583518740702E-2</v>
      </c>
      <c r="X58" s="12">
        <f t="shared" si="13"/>
        <v>0.12077434301541519</v>
      </c>
      <c r="Y58" s="12">
        <f t="shared" si="14"/>
        <v>0.17117597266435111</v>
      </c>
      <c r="Z58" s="12">
        <f t="shared" si="15"/>
        <v>0.24280412136653501</v>
      </c>
      <c r="AA58" s="12">
        <f t="shared" si="16"/>
        <v>0.29807013322644843</v>
      </c>
      <c r="AB58" s="12">
        <f t="shared" si="17"/>
        <v>0.34493243919364458</v>
      </c>
      <c r="AC58" s="12">
        <f t="shared" si="18"/>
        <v>0.46360079999999981</v>
      </c>
      <c r="AD58" s="12">
        <f t="shared" si="19"/>
        <v>0.79773836840218804</v>
      </c>
      <c r="AE58" s="12">
        <f t="shared" si="20"/>
        <v>1.4165572686411365</v>
      </c>
      <c r="AF58" s="12">
        <f t="shared" si="21"/>
        <v>2.557582945509782</v>
      </c>
      <c r="AG58" s="12">
        <f t="shared" si="22"/>
        <v>3.6012192647120234</v>
      </c>
      <c r="AH58" s="12">
        <f t="shared" si="23"/>
        <v>5.9673215924084602</v>
      </c>
    </row>
    <row r="59" spans="1:34" x14ac:dyDescent="0.25">
      <c r="A59" s="11" t="str">
        <f>IF(ROWS($A$6:A59)&gt;COUNTA(Cables!$A:$A)-1,"",INDEX(Cables!$A:$A,ROWS($A$6:A59)+1))</f>
        <v>TMS-LMR900</v>
      </c>
      <c r="B59" s="11" t="str">
        <f>IF($A59="","",IF(INDEX(Cables!$B:$B,MATCH($A59,Cables!$A:$A,0))="","",INDEX(Cables!$B:$B,MATCH($A59,Cables!$A:$A,0))))</f>
        <v>Times Microwave LMR-900 (Amphenol)</v>
      </c>
      <c r="C59" s="11">
        <f>IF($A59="","",IF(INDEX(Cables!$F:$F,MATCH($A59,Cables!$A:$A,0))="","",INDEX(Cables!$F:$F,MATCH($A59,Cables!$A:$A,0))))</f>
        <v>50</v>
      </c>
      <c r="D59" s="11">
        <f>IF($A59="","",IF(INDEX(Cables!$H:$H,MATCH($A59,Cables!$A:$A,0))="","",INDEX(Cables!$H:$H,MATCH($A59,Cables!$A:$A,0))))</f>
        <v>22.1</v>
      </c>
      <c r="E59" s="12">
        <f>IF($A59="","",IF(INDEX(Cables!$Q:$Q,MATCH($A59,Cables!$A:$A,0))="","",INDEX(Cables!$Q:$Q,MATCH($A59,Cables!$A:$A,0))))</f>
        <v>0.87</v>
      </c>
      <c r="F59" s="11">
        <f>IF($A59="","",IF(INDEX(Cables!$AQ:$AQ,MATCH($A59,Cables!$A:$A,0))="","",INDEX(Cables!$AQ:$AQ,MATCH($A59,Cables!$A:$A,0))))</f>
        <v>30</v>
      </c>
      <c r="G59" s="11">
        <f>IF($A59="","",IF(INDEX(Cables!$AR:$AR,MATCH($A59,Cables!$A:$A,0))="","",INDEX(Cables!$AR:$AR,MATCH($A59,Cables!$A:$A,0))))</f>
        <v>2500</v>
      </c>
      <c r="H59" s="11">
        <f>IF($A59="","",IF(INDEX(Cables!$AO:$AO,MATCH($A59,Cables!$A:$A,0))="","",INDEX(Cables!$AO:$AO,MATCH($A59,Cables!$A:$A,0))))</f>
        <v>912</v>
      </c>
      <c r="I59" s="11">
        <f>IF($A59="","",IF(INDEX(Cables!$AP:$AP,MATCH($A59,Cables!$A:$A,0))="","",INDEX(Cables!$AP:$AP,MATCH($A59,Cables!$A:$A,0))))</f>
        <v>10</v>
      </c>
      <c r="J59" s="12">
        <f>IF($A59="","",IF(J$5&gt;2*$G59,"",EXP(FORECAST(LN(J$5),INDEX(Attenuation!$K:$K,($H59-1+MIN(MAX(IFERROR(MATCH(LN(J$5),INDEX(Attenuation!$J:$J,$H59):INDEX(Attenuation!$J:$J,$H59+$I59-1),1),1),1),$I59-1))):INDEX(Attenuation!$K:$K,($H59-1+MIN(MAX(IFERROR(MATCH(LN(J$5),INDEX(Attenuation!$J:$J,$H59):INDEX(Attenuation!$J:$J,$H59+$I59-1),1),1),1),$I59-1))+1),INDEX(Attenuation!$J:$J,($H59-1+MIN(MAX(IFERROR(MATCH(LN(J$5),INDEX(Attenuation!$J:$J,$H59):INDEX(Attenuation!$J:$J,$H59+$I59-1),1),1),1),$I59-1))):INDEX(Attenuation!$J:$J,($H59-1+MIN(MAX(IFERROR(MATCH(LN(J$5),INDEX(Attenuation!$J:$J,$H59):INDEX(Attenuation!$J:$J,$H59+$I59-1),1),1),1),$I59-1))+1)))))</f>
        <v>0.22406949158295833</v>
      </c>
      <c r="K59" s="12">
        <f>IF($A59="","",IF(K$5&gt;2*$G59,"",EXP(FORECAST(LN(K$5),INDEX(Attenuation!$K:$K,($H59-1+MIN(MAX(IFERROR(MATCH(LN(K$5),INDEX(Attenuation!$J:$J,$H59):INDEX(Attenuation!$J:$J,$H59+$I59-1),1),1),1),$I59-1))):INDEX(Attenuation!$K:$K,($H59-1+MIN(MAX(IFERROR(MATCH(LN(K$5),INDEX(Attenuation!$J:$J,$H59):INDEX(Attenuation!$J:$J,$H59+$I59-1),1),1),1),$I59-1))+1),INDEX(Attenuation!$J:$J,($H59-1+MIN(MAX(IFERROR(MATCH(LN(K$5),INDEX(Attenuation!$J:$J,$H59):INDEX(Attenuation!$J:$J,$H59+$I59-1),1),1),1),$I59-1))):INDEX(Attenuation!$J:$J,($H59-1+MIN(MAX(IFERROR(MATCH(LN(K$5),INDEX(Attenuation!$J:$J,$H59):INDEX(Attenuation!$J:$J,$H59+$I59-1),1),1),1),$I59-1))+1)))))</f>
        <v>0.31485179668955265</v>
      </c>
      <c r="L59" s="12">
        <f>IF($A59="","",IF(L$5&gt;2*$G59,"",EXP(FORECAST(LN(L$5),INDEX(Attenuation!$K:$K,($H59-1+MIN(MAX(IFERROR(MATCH(LN(L$5),INDEX(Attenuation!$J:$J,$H59):INDEX(Attenuation!$J:$J,$H59+$I59-1),1),1),1),$I59-1))):INDEX(Attenuation!$K:$K,($H59-1+MIN(MAX(IFERROR(MATCH(LN(L$5),INDEX(Attenuation!$J:$J,$H59):INDEX(Attenuation!$J:$J,$H59+$I59-1),1),1),1),$I59-1))+1),INDEX(Attenuation!$J:$J,($H59-1+MIN(MAX(IFERROR(MATCH(LN(L$5),INDEX(Attenuation!$J:$J,$H59):INDEX(Attenuation!$J:$J,$H59+$I59-1),1),1),1),$I59-1))):INDEX(Attenuation!$J:$J,($H59-1+MIN(MAX(IFERROR(MATCH(LN(L$5),INDEX(Attenuation!$J:$J,$H59):INDEX(Attenuation!$J:$J,$H59+$I59-1),1),1),1),$I59-1))+1)))))</f>
        <v>0.44883605801033821</v>
      </c>
      <c r="M59" s="12">
        <f>IF($A59="","",IF(M$5&gt;2*$G59,"",EXP(FORECAST(LN(M$5),INDEX(Attenuation!$K:$K,($H59-1+MIN(MAX(IFERROR(MATCH(LN(M$5),INDEX(Attenuation!$J:$J,$H59):INDEX(Attenuation!$J:$J,$H59+$I59-1),1),1),1),$I59-1))):INDEX(Attenuation!$K:$K,($H59-1+MIN(MAX(IFERROR(MATCH(LN(M$5),INDEX(Attenuation!$J:$J,$H59):INDEX(Attenuation!$J:$J,$H59+$I59-1),1),1),1),$I59-1))+1),INDEX(Attenuation!$J:$J,($H59-1+MIN(MAX(IFERROR(MATCH(LN(M$5),INDEX(Attenuation!$J:$J,$H59):INDEX(Attenuation!$J:$J,$H59+$I59-1),1),1),1),$I59-1))):INDEX(Attenuation!$J:$J,($H59-1+MIN(MAX(IFERROR(MATCH(LN(M$5),INDEX(Attenuation!$J:$J,$H59):INDEX(Attenuation!$J:$J,$H59+$I59-1),1),1),1),$I59-1))+1)))))</f>
        <v>0.63983692990926577</v>
      </c>
      <c r="N59" s="12">
        <f>IF($A59="","",IF(N$5&gt;2*$G59,"",EXP(FORECAST(LN(N$5),INDEX(Attenuation!$K:$K,($H59-1+MIN(MAX(IFERROR(MATCH(LN(N$5),INDEX(Attenuation!$J:$J,$H59):INDEX(Attenuation!$J:$J,$H59+$I59-1),1),1),1),$I59-1))):INDEX(Attenuation!$K:$K,($H59-1+MIN(MAX(IFERROR(MATCH(LN(N$5),INDEX(Attenuation!$J:$J,$H59):INDEX(Attenuation!$J:$J,$H59+$I59-1),1),1),1),$I59-1))+1),INDEX(Attenuation!$J:$J,($H59-1+MIN(MAX(IFERROR(MATCH(LN(N$5),INDEX(Attenuation!$J:$J,$H59):INDEX(Attenuation!$J:$J,$H59+$I59-1),1),1),1),$I59-1))):INDEX(Attenuation!$J:$J,($H59-1+MIN(MAX(IFERROR(MATCH(LN(N$5),INDEX(Attenuation!$J:$J,$H59):INDEX(Attenuation!$J:$J,$H59+$I59-1),1),1),1),$I59-1))+1)))))</f>
        <v>0.78730451749750241</v>
      </c>
      <c r="O59" s="12">
        <f>IF($A59="","",IF(O$5&gt;2*$G59,"",EXP(FORECAST(LN(O$5),INDEX(Attenuation!$K:$K,($H59-1+MIN(MAX(IFERROR(MATCH(LN(O$5),INDEX(Attenuation!$J:$J,$H59):INDEX(Attenuation!$J:$J,$H59+$I59-1),1),1),1),$I59-1))):INDEX(Attenuation!$K:$K,($H59-1+MIN(MAX(IFERROR(MATCH(LN(O$5),INDEX(Attenuation!$J:$J,$H59):INDEX(Attenuation!$J:$J,$H59+$I59-1),1),1),1),$I59-1))+1),INDEX(Attenuation!$J:$J,($H59-1+MIN(MAX(IFERROR(MATCH(LN(O$5),INDEX(Attenuation!$J:$J,$H59):INDEX(Attenuation!$J:$J,$H59+$I59-1),1),1),1),$I59-1))):INDEX(Attenuation!$J:$J,($H59-1+MIN(MAX(IFERROR(MATCH(LN(O$5),INDEX(Attenuation!$J:$J,$H59):INDEX(Attenuation!$J:$J,$H59+$I59-1),1),1),1),$I59-1))+1)))))</f>
        <v>0.91211766427706475</v>
      </c>
      <c r="P59" s="12">
        <f>IF($A59="","",IF(P$5&gt;2*$G59,"",EXP(FORECAST(LN(P$5),INDEX(Attenuation!$K:$K,($H59-1+MIN(MAX(IFERROR(MATCH(LN(P$5),INDEX(Attenuation!$J:$J,$H59):INDEX(Attenuation!$J:$J,$H59+$I59-1),1),1),1),$I59-1))):INDEX(Attenuation!$K:$K,($H59-1+MIN(MAX(IFERROR(MATCH(LN(P$5),INDEX(Attenuation!$J:$J,$H59):INDEX(Attenuation!$J:$J,$H59+$I59-1),1),1),1),$I59-1))+1),INDEX(Attenuation!$J:$J,($H59-1+MIN(MAX(IFERROR(MATCH(LN(P$5),INDEX(Attenuation!$J:$J,$H59):INDEX(Attenuation!$J:$J,$H59+$I59-1),1),1),1),$I59-1))):INDEX(Attenuation!$J:$J,($H59-1+MIN(MAX(IFERROR(MATCH(LN(P$5),INDEX(Attenuation!$J:$J,$H59):INDEX(Attenuation!$J:$J,$H59+$I59-1),1),1),1),$I59-1))+1)))))</f>
        <v>1.2270341207349083</v>
      </c>
      <c r="Q59" s="12">
        <f>IF($A59="","",IF(Q$5&gt;2*$G59,"",EXP(FORECAST(LN(Q$5),INDEX(Attenuation!$K:$K,($H59-1+MIN(MAX(IFERROR(MATCH(LN(Q$5),INDEX(Attenuation!$J:$J,$H59):INDEX(Attenuation!$J:$J,$H59+$I59-1),1),1),1),$I59-1))):INDEX(Attenuation!$K:$K,($H59-1+MIN(MAX(IFERROR(MATCH(LN(Q$5),INDEX(Attenuation!$J:$J,$H59):INDEX(Attenuation!$J:$J,$H59+$I59-1),1),1),1),$I59-1))+1),INDEX(Attenuation!$J:$J,($H59-1+MIN(MAX(IFERROR(MATCH(LN(Q$5),INDEX(Attenuation!$J:$J,$H59):INDEX(Attenuation!$J:$J,$H59+$I59-1),1),1),1),$I59-1))):INDEX(Attenuation!$J:$J,($H59-1+MIN(MAX(IFERROR(MATCH(LN(Q$5),INDEX(Attenuation!$J:$J,$H59):INDEX(Attenuation!$J:$J,$H59+$I59-1),1),1),1),$I59-1))+1)))))</f>
        <v>2.1139470746179927</v>
      </c>
      <c r="R59" s="12">
        <f>IF($A59="","",IF(R$5&gt;2*$G59,"",EXP(FORECAST(LN(R$5),INDEX(Attenuation!$K:$K,($H59-1+MIN(MAX(IFERROR(MATCH(LN(R$5),INDEX(Attenuation!$J:$J,$H59):INDEX(Attenuation!$J:$J,$H59+$I59-1),1),1),1),$I59-1))):INDEX(Attenuation!$K:$K,($H59-1+MIN(MAX(IFERROR(MATCH(LN(R$5),INDEX(Attenuation!$J:$J,$H59):INDEX(Attenuation!$J:$J,$H59+$I59-1),1),1),1),$I59-1))+1),INDEX(Attenuation!$J:$J,($H59-1+MIN(MAX(IFERROR(MATCH(LN(R$5),INDEX(Attenuation!$J:$J,$H59):INDEX(Attenuation!$J:$J,$H59+$I59-1),1),1),1),$I59-1))):INDEX(Attenuation!$J:$J,($H59-1+MIN(MAX(IFERROR(MATCH(LN(R$5),INDEX(Attenuation!$J:$J,$H59):INDEX(Attenuation!$J:$J,$H59+$I59-1),1),1),1),$I59-1))+1)))))</f>
        <v>3.7570403610494121</v>
      </c>
      <c r="S59" s="12">
        <f>IF($A59="","",IF(S$5&gt;2*$G59,"",EXP(FORECAST(LN(S$5),INDEX(Attenuation!$K:$K,($H59-1+MIN(MAX(IFERROR(MATCH(LN(S$5),INDEX(Attenuation!$J:$J,$H59):INDEX(Attenuation!$J:$J,$H59+$I59-1),1),1),1),$I59-1))):INDEX(Attenuation!$K:$K,($H59-1+MIN(MAX(IFERROR(MATCH(LN(S$5),INDEX(Attenuation!$J:$J,$H59):INDEX(Attenuation!$J:$J,$H59+$I59-1),1),1),1),$I59-1))+1),INDEX(Attenuation!$J:$J,($H59-1+MIN(MAX(IFERROR(MATCH(LN(S$5),INDEX(Attenuation!$J:$J,$H59):INDEX(Attenuation!$J:$J,$H59+$I59-1),1),1),1),$I59-1))):INDEX(Attenuation!$J:$J,($H59-1+MIN(MAX(IFERROR(MATCH(LN(S$5),INDEX(Attenuation!$J:$J,$H59):INDEX(Attenuation!$J:$J,$H59+$I59-1),1),1),1),$I59-1))+1)))))</f>
        <v>6.7912584065976747</v>
      </c>
      <c r="T59" s="12">
        <f>IF($A59="","",IF(T$5&gt;2*$G59,"",EXP(FORECAST(LN(T$5),INDEX(Attenuation!$K:$K,($H59-1+MIN(MAX(IFERROR(MATCH(LN(T$5),INDEX(Attenuation!$J:$J,$H59):INDEX(Attenuation!$J:$J,$H59+$I59-1),1),1),1),$I59-1))):INDEX(Attenuation!$K:$K,($H59-1+MIN(MAX(IFERROR(MATCH(LN(T$5),INDEX(Attenuation!$J:$J,$H59):INDEX(Attenuation!$J:$J,$H59+$I59-1),1),1),1),$I59-1))+1),INDEX(Attenuation!$J:$J,($H59-1+MIN(MAX(IFERROR(MATCH(LN(T$5),INDEX(Attenuation!$J:$J,$H59):INDEX(Attenuation!$J:$J,$H59+$I59-1),1),1),1),$I59-1))):INDEX(Attenuation!$J:$J,($H59-1+MIN(MAX(IFERROR(MATCH(LN(T$5),INDEX(Attenuation!$J:$J,$H59):INDEX(Attenuation!$J:$J,$H59+$I59-1),1),1),1),$I59-1))+1)))))</f>
        <v>9.555971705140001</v>
      </c>
      <c r="U59" s="12" t="str">
        <f>IF($A59="","",IF(U$5&gt;2*$G59,"",EXP(FORECAST(LN(U$5),INDEX(Attenuation!$K:$K,($H59-1+MIN(MAX(IFERROR(MATCH(LN(U$5),INDEX(Attenuation!$J:$J,$H59):INDEX(Attenuation!$J:$J,$H59+$I59-1),1),1),1),$I59-1))):INDEX(Attenuation!$K:$K,($H59-1+MIN(MAX(IFERROR(MATCH(LN(U$5),INDEX(Attenuation!$J:$J,$H59):INDEX(Attenuation!$J:$J,$H59+$I59-1),1),1),1),$I59-1))+1),INDEX(Attenuation!$J:$J,($H59-1+MIN(MAX(IFERROR(MATCH(LN(U$5),INDEX(Attenuation!$J:$J,$H59):INDEX(Attenuation!$J:$J,$H59+$I59-1),1),1),1),$I59-1))):INDEX(Attenuation!$J:$J,($H59-1+MIN(MAX(IFERROR(MATCH(LN(U$5),INDEX(Attenuation!$J:$J,$H59):INDEX(Attenuation!$J:$J,$H59+$I59-1),1),1),1),$I59-1))+1)))))</f>
        <v/>
      </c>
      <c r="V59" s="1"/>
      <c r="W59" s="12">
        <f t="shared" si="12"/>
        <v>6.8296381034485709E-2</v>
      </c>
      <c r="X59" s="12">
        <f t="shared" si="13"/>
        <v>9.5966827630975651E-2</v>
      </c>
      <c r="Y59" s="12">
        <f t="shared" si="14"/>
        <v>0.1368052304815511</v>
      </c>
      <c r="Z59" s="12">
        <f t="shared" si="15"/>
        <v>0.19502229623634421</v>
      </c>
      <c r="AA59" s="12">
        <f t="shared" si="16"/>
        <v>0.23997041693323876</v>
      </c>
      <c r="AB59" s="12">
        <f t="shared" si="17"/>
        <v>0.27801346407164934</v>
      </c>
      <c r="AC59" s="12">
        <f t="shared" si="18"/>
        <v>0.37400000000000005</v>
      </c>
      <c r="AD59" s="12">
        <f t="shared" si="19"/>
        <v>0.64433106834356424</v>
      </c>
      <c r="AE59" s="12">
        <f t="shared" si="20"/>
        <v>1.1451459020478609</v>
      </c>
      <c r="AF59" s="12">
        <f t="shared" si="21"/>
        <v>2.0699755623309715</v>
      </c>
      <c r="AG59" s="12">
        <f t="shared" si="22"/>
        <v>2.9126601757266726</v>
      </c>
      <c r="AH59" s="12" t="str">
        <f t="shared" si="23"/>
        <v/>
      </c>
    </row>
    <row r="60" spans="1:34" x14ac:dyDescent="0.25">
      <c r="A60" s="11" t="str">
        <f>IF(ROWS($A$6:A60)&gt;COUNTA(Cables!$A:$A)-1,"",INDEX(Cables!$A:$A,ROWS($A$6:A60)+1))</f>
        <v>TMS-LMR1200</v>
      </c>
      <c r="B60" s="11" t="str">
        <f>IF($A60="","",IF(INDEX(Cables!$B:$B,MATCH($A60,Cables!$A:$A,0))="","",INDEX(Cables!$B:$B,MATCH($A60,Cables!$A:$A,0))))</f>
        <v>Times Microwave LMR-1200 (Amphenol)</v>
      </c>
      <c r="C60" s="11">
        <f>IF($A60="","",IF(INDEX(Cables!$F:$F,MATCH($A60,Cables!$A:$A,0))="","",INDEX(Cables!$F:$F,MATCH($A60,Cables!$A:$A,0))))</f>
        <v>50</v>
      </c>
      <c r="D60" s="11">
        <f>IF($A60="","",IF(INDEX(Cables!$H:$H,MATCH($A60,Cables!$A:$A,0))="","",INDEX(Cables!$H:$H,MATCH($A60,Cables!$A:$A,0))))</f>
        <v>30.48</v>
      </c>
      <c r="E60" s="12">
        <f>IF($A60="","",IF(INDEX(Cables!$Q:$Q,MATCH($A60,Cables!$A:$A,0))="","",INDEX(Cables!$Q:$Q,MATCH($A60,Cables!$A:$A,0))))</f>
        <v>0.88</v>
      </c>
      <c r="F60" s="11">
        <f>IF($A60="","",IF(INDEX(Cables!$AQ:$AQ,MATCH($A60,Cables!$A:$A,0))="","",INDEX(Cables!$AQ:$AQ,MATCH($A60,Cables!$A:$A,0))))</f>
        <v>30</v>
      </c>
      <c r="G60" s="11">
        <f>IF($A60="","",IF(INDEX(Cables!$AR:$AR,MATCH($A60,Cables!$A:$A,0))="","",INDEX(Cables!$AR:$AR,MATCH($A60,Cables!$A:$A,0))))</f>
        <v>2500</v>
      </c>
      <c r="H60" s="11">
        <f>IF($A60="","",IF(INDEX(Cables!$AO:$AO,MATCH($A60,Cables!$A:$A,0))="","",INDEX(Cables!$AO:$AO,MATCH($A60,Cables!$A:$A,0))))</f>
        <v>922</v>
      </c>
      <c r="I60" s="11">
        <f>IF($A60="","",IF(INDEX(Cables!$AP:$AP,MATCH($A60,Cables!$A:$A,0))="","",INDEX(Cables!$AP:$AP,MATCH($A60,Cables!$A:$A,0))))</f>
        <v>10</v>
      </c>
      <c r="J60" s="12">
        <f>IF($A60="","",IF(J$5&gt;2*$G60,"",EXP(FORECAST(LN(J$5),INDEX(Attenuation!$K:$K,($H60-1+MIN(MAX(IFERROR(MATCH(LN(J$5),INDEX(Attenuation!$J:$J,$H60):INDEX(Attenuation!$J:$J,$H60+$I60-1),1),1),1),$I60-1))):INDEX(Attenuation!$K:$K,($H60-1+MIN(MAX(IFERROR(MATCH(LN(J$5),INDEX(Attenuation!$J:$J,$H60):INDEX(Attenuation!$J:$J,$H60+$I60-1),1),1),1),$I60-1))+1),INDEX(Attenuation!$J:$J,($H60-1+MIN(MAX(IFERROR(MATCH(LN(J$5),INDEX(Attenuation!$J:$J,$H60):INDEX(Attenuation!$J:$J,$H60+$I60-1),1),1),1),$I60-1))):INDEX(Attenuation!$J:$J,($H60-1+MIN(MAX(IFERROR(MATCH(LN(J$5),INDEX(Attenuation!$J:$J,$H60):INDEX(Attenuation!$J:$J,$H60+$I60-1),1),1),1),$I60-1))+1)))))</f>
        <v>0.16067196695742714</v>
      </c>
      <c r="K60" s="12">
        <f>IF($A60="","",IF(K$5&gt;2*$G60,"",EXP(FORECAST(LN(K$5),INDEX(Attenuation!$K:$K,($H60-1+MIN(MAX(IFERROR(MATCH(LN(K$5),INDEX(Attenuation!$J:$J,$H60):INDEX(Attenuation!$J:$J,$H60+$I60-1),1),1),1),$I60-1))):INDEX(Attenuation!$K:$K,($H60-1+MIN(MAX(IFERROR(MATCH(LN(K$5),INDEX(Attenuation!$J:$J,$H60):INDEX(Attenuation!$J:$J,$H60+$I60-1),1),1),1),$I60-1))+1),INDEX(Attenuation!$J:$J,($H60-1+MIN(MAX(IFERROR(MATCH(LN(K$5),INDEX(Attenuation!$J:$J,$H60):INDEX(Attenuation!$J:$J,$H60+$I60-1),1),1),1),$I60-1))):INDEX(Attenuation!$J:$J,($H60-1+MIN(MAX(IFERROR(MATCH(LN(K$5),INDEX(Attenuation!$J:$J,$H60):INDEX(Attenuation!$J:$J,$H60+$I60-1),1),1),1),$I60-1))+1)))))</f>
        <v>0.22640800604773897</v>
      </c>
      <c r="L60" s="12">
        <f>IF($A60="","",IF(L$5&gt;2*$G60,"",EXP(FORECAST(LN(L$5),INDEX(Attenuation!$K:$K,($H60-1+MIN(MAX(IFERROR(MATCH(LN(L$5),INDEX(Attenuation!$J:$J,$H60):INDEX(Attenuation!$J:$J,$H60+$I60-1),1),1),1),$I60-1))):INDEX(Attenuation!$K:$K,($H60-1+MIN(MAX(IFERROR(MATCH(LN(L$5),INDEX(Attenuation!$J:$J,$H60):INDEX(Attenuation!$J:$J,$H60+$I60-1),1),1),1),$I60-1))+1),INDEX(Attenuation!$J:$J,($H60-1+MIN(MAX(IFERROR(MATCH(LN(L$5),INDEX(Attenuation!$J:$J,$H60):INDEX(Attenuation!$J:$J,$H60+$I60-1),1),1),1),$I60-1))):INDEX(Attenuation!$J:$J,($H60-1+MIN(MAX(IFERROR(MATCH(LN(L$5),INDEX(Attenuation!$J:$J,$H60):INDEX(Attenuation!$J:$J,$H60+$I60-1),1),1),1),$I60-1))+1)))))</f>
        <v>0.32370812326141973</v>
      </c>
      <c r="M60" s="12">
        <f>IF($A60="","",IF(M$5&gt;2*$G60,"",EXP(FORECAST(LN(M$5),INDEX(Attenuation!$K:$K,($H60-1+MIN(MAX(IFERROR(MATCH(LN(M$5),INDEX(Attenuation!$J:$J,$H60):INDEX(Attenuation!$J:$J,$H60+$I60-1),1),1),1),$I60-1))):INDEX(Attenuation!$K:$K,($H60-1+MIN(MAX(IFERROR(MATCH(LN(M$5),INDEX(Attenuation!$J:$J,$H60):INDEX(Attenuation!$J:$J,$H60+$I60-1),1),1),1),$I60-1))+1),INDEX(Attenuation!$J:$J,($H60-1+MIN(MAX(IFERROR(MATCH(LN(M$5),INDEX(Attenuation!$J:$J,$H60):INDEX(Attenuation!$J:$J,$H60+$I60-1),1),1),1),$I60-1))):INDEX(Attenuation!$J:$J,($H60-1+MIN(MAX(IFERROR(MATCH(LN(M$5),INDEX(Attenuation!$J:$J,$H60):INDEX(Attenuation!$J:$J,$H60+$I60-1),1),1),1),$I60-1))+1)))))</f>
        <v>0.46282351448003045</v>
      </c>
      <c r="N60" s="12">
        <f>IF($A60="","",IF(N$5&gt;2*$G60,"",EXP(FORECAST(LN(N$5),INDEX(Attenuation!$K:$K,($H60-1+MIN(MAX(IFERROR(MATCH(LN(N$5),INDEX(Attenuation!$J:$J,$H60):INDEX(Attenuation!$J:$J,$H60+$I60-1),1),1),1),$I60-1))):INDEX(Attenuation!$K:$K,($H60-1+MIN(MAX(IFERROR(MATCH(LN(N$5),INDEX(Attenuation!$J:$J,$H60):INDEX(Attenuation!$J:$J,$H60+$I60-1),1),1),1),$I60-1))+1),INDEX(Attenuation!$J:$J,($H60-1+MIN(MAX(IFERROR(MATCH(LN(N$5),INDEX(Attenuation!$J:$J,$H60):INDEX(Attenuation!$J:$J,$H60+$I60-1),1),1),1),$I60-1))):INDEX(Attenuation!$J:$J,($H60-1+MIN(MAX(IFERROR(MATCH(LN(N$5),INDEX(Attenuation!$J:$J,$H60):INDEX(Attenuation!$J:$J,$H60+$I60-1),1),1),1),$I60-1))+1)))))</f>
        <v>0.57047649763868113</v>
      </c>
      <c r="O60" s="12">
        <f>IF($A60="","",IF(O$5&gt;2*$G60,"",EXP(FORECAST(LN(O$5),INDEX(Attenuation!$K:$K,($H60-1+MIN(MAX(IFERROR(MATCH(LN(O$5),INDEX(Attenuation!$J:$J,$H60):INDEX(Attenuation!$J:$J,$H60+$I60-1),1),1),1),$I60-1))):INDEX(Attenuation!$K:$K,($H60-1+MIN(MAX(IFERROR(MATCH(LN(O$5),INDEX(Attenuation!$J:$J,$H60):INDEX(Attenuation!$J:$J,$H60+$I60-1),1),1),1),$I60-1))+1),INDEX(Attenuation!$J:$J,($H60-1+MIN(MAX(IFERROR(MATCH(LN(O$5),INDEX(Attenuation!$J:$J,$H60):INDEX(Attenuation!$J:$J,$H60+$I60-1),1),1),1),$I60-1))):INDEX(Attenuation!$J:$J,($H60-1+MIN(MAX(IFERROR(MATCH(LN(O$5),INDEX(Attenuation!$J:$J,$H60):INDEX(Attenuation!$J:$J,$H60+$I60-1),1),1),1),$I60-1))+1)))))</f>
        <v>0.66172452948503591</v>
      </c>
      <c r="P60" s="12">
        <f>IF($A60="","",IF(P$5&gt;2*$G60,"",EXP(FORECAST(LN(P$5),INDEX(Attenuation!$K:$K,($H60-1+MIN(MAX(IFERROR(MATCH(LN(P$5),INDEX(Attenuation!$J:$J,$H60):INDEX(Attenuation!$J:$J,$H60+$I60-1),1),1),1),$I60-1))):INDEX(Attenuation!$K:$K,($H60-1+MIN(MAX(IFERROR(MATCH(LN(P$5),INDEX(Attenuation!$J:$J,$H60):INDEX(Attenuation!$J:$J,$H60+$I60-1),1),1),1),$I60-1))+1),INDEX(Attenuation!$J:$J,($H60-1+MIN(MAX(IFERROR(MATCH(LN(P$5),INDEX(Attenuation!$J:$J,$H60):INDEX(Attenuation!$J:$J,$H60+$I60-1),1),1),1),$I60-1))):INDEX(Attenuation!$J:$J,($H60-1+MIN(MAX(IFERROR(MATCH(LN(P$5),INDEX(Attenuation!$J:$J,$H60):INDEX(Attenuation!$J:$J,$H60+$I60-1),1),1),1),$I60-1))+1)))))</f>
        <v>0.89238845144356926</v>
      </c>
      <c r="Q60" s="12">
        <f>IF($A60="","",IF(Q$5&gt;2*$G60,"",EXP(FORECAST(LN(Q$5),INDEX(Attenuation!$K:$K,($H60-1+MIN(MAX(IFERROR(MATCH(LN(Q$5),INDEX(Attenuation!$J:$J,$H60):INDEX(Attenuation!$J:$J,$H60+$I60-1),1),1),1),$I60-1))):INDEX(Attenuation!$K:$K,($H60-1+MIN(MAX(IFERROR(MATCH(LN(Q$5),INDEX(Attenuation!$J:$J,$H60):INDEX(Attenuation!$J:$J,$H60+$I60-1),1),1),1),$I60-1))+1),INDEX(Attenuation!$J:$J,($H60-1+MIN(MAX(IFERROR(MATCH(LN(Q$5),INDEX(Attenuation!$J:$J,$H60):INDEX(Attenuation!$J:$J,$H60+$I60-1),1),1),1),$I60-1))):INDEX(Attenuation!$J:$J,($H60-1+MIN(MAX(IFERROR(MATCH(LN(Q$5),INDEX(Attenuation!$J:$J,$H60):INDEX(Attenuation!$J:$J,$H60+$I60-1),1),1),1),$I60-1))+1)))))</f>
        <v>1.5450080001905444</v>
      </c>
      <c r="R60" s="12">
        <f>IF($A60="","",IF(R$5&gt;2*$G60,"",EXP(FORECAST(LN(R$5),INDEX(Attenuation!$K:$K,($H60-1+MIN(MAX(IFERROR(MATCH(LN(R$5),INDEX(Attenuation!$J:$J,$H60):INDEX(Attenuation!$J:$J,$H60+$I60-1),1),1),1),$I60-1))):INDEX(Attenuation!$K:$K,($H60-1+MIN(MAX(IFERROR(MATCH(LN(R$5),INDEX(Attenuation!$J:$J,$H60):INDEX(Attenuation!$J:$J,$H60+$I60-1),1),1),1),$I60-1))+1),INDEX(Attenuation!$J:$J,($H60-1+MIN(MAX(IFERROR(MATCH(LN(R$5),INDEX(Attenuation!$J:$J,$H60):INDEX(Attenuation!$J:$J,$H60+$I60-1),1),1),1),$I60-1))):INDEX(Attenuation!$J:$J,($H60-1+MIN(MAX(IFERROR(MATCH(LN(R$5),INDEX(Attenuation!$J:$J,$H60):INDEX(Attenuation!$J:$J,$H60+$I60-1),1),1),1),$I60-1))+1)))))</f>
        <v>2.7733629432452176</v>
      </c>
      <c r="S60" s="12">
        <f>IF($A60="","",IF(S$5&gt;2*$G60,"",EXP(FORECAST(LN(S$5),INDEX(Attenuation!$K:$K,($H60-1+MIN(MAX(IFERROR(MATCH(LN(S$5),INDEX(Attenuation!$J:$J,$H60):INDEX(Attenuation!$J:$J,$H60+$I60-1),1),1),1),$I60-1))):INDEX(Attenuation!$K:$K,($H60-1+MIN(MAX(IFERROR(MATCH(LN(S$5),INDEX(Attenuation!$J:$J,$H60):INDEX(Attenuation!$J:$J,$H60+$I60-1),1),1),1),$I60-1))+1),INDEX(Attenuation!$J:$J,($H60-1+MIN(MAX(IFERROR(MATCH(LN(S$5),INDEX(Attenuation!$J:$J,$H60):INDEX(Attenuation!$J:$J,$H60+$I60-1),1),1),1),$I60-1))):INDEX(Attenuation!$J:$J,($H60-1+MIN(MAX(IFERROR(MATCH(LN(S$5),INDEX(Attenuation!$J:$J,$H60):INDEX(Attenuation!$J:$J,$H60+$I60-1),1),1),1),$I60-1))+1)))))</f>
        <v>5.1093190850254473</v>
      </c>
      <c r="T60" s="12">
        <f>IF($A60="","",IF(T$5&gt;2*$G60,"",EXP(FORECAST(LN(T$5),INDEX(Attenuation!$K:$K,($H60-1+MIN(MAX(IFERROR(MATCH(LN(T$5),INDEX(Attenuation!$J:$J,$H60):INDEX(Attenuation!$J:$J,$H60+$I60-1),1),1),1),$I60-1))):INDEX(Attenuation!$K:$K,($H60-1+MIN(MAX(IFERROR(MATCH(LN(T$5),INDEX(Attenuation!$J:$J,$H60):INDEX(Attenuation!$J:$J,$H60+$I60-1),1),1),1),$I60-1))+1),INDEX(Attenuation!$J:$J,($H60-1+MIN(MAX(IFERROR(MATCH(LN(T$5),INDEX(Attenuation!$J:$J,$H60):INDEX(Attenuation!$J:$J,$H60+$I60-1),1),1),1),$I60-1))):INDEX(Attenuation!$J:$J,($H60-1+MIN(MAX(IFERROR(MATCH(LN(T$5),INDEX(Attenuation!$J:$J,$H60):INDEX(Attenuation!$J:$J,$H60+$I60-1),1),1),1),$I60-1))+1)))))</f>
        <v>7.2441099338441814</v>
      </c>
      <c r="U60" s="12" t="str">
        <f>IF($A60="","",IF(U$5&gt;2*$G60,"",EXP(FORECAST(LN(U$5),INDEX(Attenuation!$K:$K,($H60-1+MIN(MAX(IFERROR(MATCH(LN(U$5),INDEX(Attenuation!$J:$J,$H60):INDEX(Attenuation!$J:$J,$H60+$I60-1),1),1),1),$I60-1))):INDEX(Attenuation!$K:$K,($H60-1+MIN(MAX(IFERROR(MATCH(LN(U$5),INDEX(Attenuation!$J:$J,$H60):INDEX(Attenuation!$J:$J,$H60+$I60-1),1),1),1),$I60-1))+1),INDEX(Attenuation!$J:$J,($H60-1+MIN(MAX(IFERROR(MATCH(LN(U$5),INDEX(Attenuation!$J:$J,$H60):INDEX(Attenuation!$J:$J,$H60+$I60-1),1),1),1),$I60-1))):INDEX(Attenuation!$J:$J,($H60-1+MIN(MAX(IFERROR(MATCH(LN(U$5),INDEX(Attenuation!$J:$J,$H60):INDEX(Attenuation!$J:$J,$H60+$I60-1),1),1),1),$I60-1))+1)))))</f>
        <v/>
      </c>
      <c r="V60" s="1"/>
      <c r="W60" s="12">
        <f t="shared" si="12"/>
        <v>4.8972815528623793E-2</v>
      </c>
      <c r="X60" s="12">
        <f t="shared" si="13"/>
        <v>6.9009160243350839E-2</v>
      </c>
      <c r="Y60" s="12">
        <f t="shared" si="14"/>
        <v>9.8666235970080743E-2</v>
      </c>
      <c r="Z60" s="12">
        <f t="shared" si="15"/>
        <v>0.14106860721351328</v>
      </c>
      <c r="AA60" s="12">
        <f t="shared" si="16"/>
        <v>0.17388123648027001</v>
      </c>
      <c r="AB60" s="12">
        <f t="shared" si="17"/>
        <v>0.20169363658703895</v>
      </c>
      <c r="AC60" s="12">
        <f t="shared" si="18"/>
        <v>0.27199999999999991</v>
      </c>
      <c r="AD60" s="12">
        <f t="shared" si="19"/>
        <v>0.47091843845807796</v>
      </c>
      <c r="AE60" s="12">
        <f t="shared" si="20"/>
        <v>0.84532102510114238</v>
      </c>
      <c r="AF60" s="12">
        <f t="shared" si="21"/>
        <v>1.5573204571157564</v>
      </c>
      <c r="AG60" s="12">
        <f t="shared" si="22"/>
        <v>2.2080047078357068</v>
      </c>
      <c r="AH60" s="12" t="str">
        <f t="shared" si="23"/>
        <v/>
      </c>
    </row>
    <row r="61" spans="1:34" x14ac:dyDescent="0.25">
      <c r="A61" s="11" t="str">
        <f>IF(ROWS($A$6:A61)&gt;COUNTA(Cables!$A:$A)-1,"",INDEX(Cables!$A:$A,ROWS($A$6:A61)+1))</f>
        <v>CS-LDF5-50A</v>
      </c>
      <c r="B61" s="11" t="str">
        <f>IF($A61="","",IF(INDEX(Cables!$B:$B,MATCH($A61,Cables!$A:$A,0))="","",INDEX(Cables!$B:$B,MATCH($A61,Cables!$A:$A,0))))</f>
        <v>CommScope LDF5-50A (7/8" HELIAX)</v>
      </c>
      <c r="C61" s="11">
        <f>IF($A61="","",IF(INDEX(Cables!$F:$F,MATCH($A61,Cables!$A:$A,0))="","",INDEX(Cables!$F:$F,MATCH($A61,Cables!$A:$A,0))))</f>
        <v>50</v>
      </c>
      <c r="D61" s="11">
        <f>IF($A61="","",IF(INDEX(Cables!$H:$H,MATCH($A61,Cables!$A:$A,0))="","",INDEX(Cables!$H:$H,MATCH($A61,Cables!$A:$A,0))))</f>
        <v>27.4</v>
      </c>
      <c r="E61" s="12">
        <f>IF($A61="","",IF(INDEX(Cables!$Q:$Q,MATCH($A61,Cables!$A:$A,0))="","",INDEX(Cables!$Q:$Q,MATCH($A61,Cables!$A:$A,0))))</f>
        <v>0.89</v>
      </c>
      <c r="F61" s="11">
        <f>IF($A61="","",IF(INDEX(Cables!$AQ:$AQ,MATCH($A61,Cables!$A:$A,0))="","",INDEX(Cables!$AQ:$AQ,MATCH($A61,Cables!$A:$A,0))))</f>
        <v>0.5</v>
      </c>
      <c r="G61" s="11">
        <f>IF($A61="","",IF(INDEX(Cables!$AR:$AR,MATCH($A61,Cables!$A:$A,0))="","",INDEX(Cables!$AR:$AR,MATCH($A61,Cables!$A:$A,0))))</f>
        <v>5000</v>
      </c>
      <c r="H61" s="11">
        <f>IF($A61="","",IF(INDEX(Cables!$AO:$AO,MATCH($A61,Cables!$A:$A,0))="","",INDEX(Cables!$AO:$AO,MATCH($A61,Cables!$A:$A,0))))</f>
        <v>932</v>
      </c>
      <c r="I61" s="11">
        <f>IF($A61="","",IF(INDEX(Cables!$AP:$AP,MATCH($A61,Cables!$A:$A,0))="","",INDEX(Cables!$AP:$AP,MATCH($A61,Cables!$A:$A,0))))</f>
        <v>44</v>
      </c>
      <c r="J61" s="12">
        <f>IF($A61="","",IF(J$5&gt;2*$G61,"",EXP(FORECAST(LN(J$5),INDEX(Attenuation!$K:$K,($H61-1+MIN(MAX(IFERROR(MATCH(LN(J$5),INDEX(Attenuation!$J:$J,$H61):INDEX(Attenuation!$J:$J,$H61+$I61-1),1),1),1),$I61-1))):INDEX(Attenuation!$K:$K,($H61-1+MIN(MAX(IFERROR(MATCH(LN(J$5),INDEX(Attenuation!$J:$J,$H61):INDEX(Attenuation!$J:$J,$H61+$I61-1),1),1),1),$I61-1))+1),INDEX(Attenuation!$J:$J,($H61-1+MIN(MAX(IFERROR(MATCH(LN(J$5),INDEX(Attenuation!$J:$J,$H61):INDEX(Attenuation!$J:$J,$H61+$I61-1),1),1),1),$I61-1))):INDEX(Attenuation!$J:$J,($H61-1+MIN(MAX(IFERROR(MATCH(LN(J$5),INDEX(Attenuation!$J:$J,$H61):INDEX(Attenuation!$J:$J,$H61+$I61-1),1),1),1),$I61-1))+1)))))</f>
        <v>0.15457030377594813</v>
      </c>
      <c r="K61" s="12">
        <f>IF($A61="","",IF(K$5&gt;2*$G61,"",EXP(FORECAST(LN(K$5),INDEX(Attenuation!$K:$K,($H61-1+MIN(MAX(IFERROR(MATCH(LN(K$5),INDEX(Attenuation!$J:$J,$H61):INDEX(Attenuation!$J:$J,$H61+$I61-1),1),1),1),$I61-1))):INDEX(Attenuation!$K:$K,($H61-1+MIN(MAX(IFERROR(MATCH(LN(K$5),INDEX(Attenuation!$J:$J,$H61):INDEX(Attenuation!$J:$J,$H61+$I61-1),1),1),1),$I61-1))+1),INDEX(Attenuation!$J:$J,($H61-1+MIN(MAX(IFERROR(MATCH(LN(K$5),INDEX(Attenuation!$J:$J,$H61):INDEX(Attenuation!$J:$J,$H61+$I61-1),1),1),1),$I61-1))):INDEX(Attenuation!$J:$J,($H61-1+MIN(MAX(IFERROR(MATCH(LN(K$5),INDEX(Attenuation!$J:$J,$H61):INDEX(Attenuation!$J:$J,$H61+$I61-1),1),1),1),$I61-1))+1)))))</f>
        <v>0.21594117134573909</v>
      </c>
      <c r="L61" s="12">
        <f>IF($A61="","",IF(L$5&gt;2*$G61,"",EXP(FORECAST(LN(L$5),INDEX(Attenuation!$K:$K,($H61-1+MIN(MAX(IFERROR(MATCH(LN(L$5),INDEX(Attenuation!$J:$J,$H61):INDEX(Attenuation!$J:$J,$H61+$I61-1),1),1),1),$I61-1))):INDEX(Attenuation!$K:$K,($H61-1+MIN(MAX(IFERROR(MATCH(LN(L$5),INDEX(Attenuation!$J:$J,$H61):INDEX(Attenuation!$J:$J,$H61+$I61-1),1),1),1),$I61-1))+1),INDEX(Attenuation!$J:$J,($H61-1+MIN(MAX(IFERROR(MATCH(LN(L$5),INDEX(Attenuation!$J:$J,$H61):INDEX(Attenuation!$J:$J,$H61+$I61-1),1),1),1),$I61-1))):INDEX(Attenuation!$J:$J,($H61-1+MIN(MAX(IFERROR(MATCH(LN(L$5),INDEX(Attenuation!$J:$J,$H61):INDEX(Attenuation!$J:$J,$H61+$I61-1),1),1),1),$I61-1))+1)))))</f>
        <v>0.30593510953995606</v>
      </c>
      <c r="M61" s="12">
        <f>IF($A61="","",IF(M$5&gt;2*$G61,"",EXP(FORECAST(LN(M$5),INDEX(Attenuation!$K:$K,($H61-1+MIN(MAX(IFERROR(MATCH(LN(M$5),INDEX(Attenuation!$J:$J,$H61):INDEX(Attenuation!$J:$J,$H61+$I61-1),1),1),1),$I61-1))):INDEX(Attenuation!$K:$K,($H61-1+MIN(MAX(IFERROR(MATCH(LN(M$5),INDEX(Attenuation!$J:$J,$H61):INDEX(Attenuation!$J:$J,$H61+$I61-1),1),1),1),$I61-1))+1),INDEX(Attenuation!$J:$J,($H61-1+MIN(MAX(IFERROR(MATCH(LN(M$5),INDEX(Attenuation!$J:$J,$H61):INDEX(Attenuation!$J:$J,$H61+$I61-1),1),1),1),$I61-1))):INDEX(Attenuation!$J:$J,($H61-1+MIN(MAX(IFERROR(MATCH(LN(M$5),INDEX(Attenuation!$J:$J,$H61):INDEX(Attenuation!$J:$J,$H61+$I61-1),1),1),1),$I61-1))+1)))))</f>
        <v>0.43443470479327156</v>
      </c>
      <c r="N61" s="12">
        <f>IF($A61="","",IF(N$5&gt;2*$G61,"",EXP(FORECAST(LN(N$5),INDEX(Attenuation!$K:$K,($H61-1+MIN(MAX(IFERROR(MATCH(LN(N$5),INDEX(Attenuation!$J:$J,$H61):INDEX(Attenuation!$J:$J,$H61+$I61-1),1),1),1),$I61-1))):INDEX(Attenuation!$K:$K,($H61-1+MIN(MAX(IFERROR(MATCH(LN(N$5),INDEX(Attenuation!$J:$J,$H61):INDEX(Attenuation!$J:$J,$H61+$I61-1),1),1),1),$I61-1))+1),INDEX(Attenuation!$J:$J,($H61-1+MIN(MAX(IFERROR(MATCH(LN(N$5),INDEX(Attenuation!$J:$J,$H61):INDEX(Attenuation!$J:$J,$H61+$I61-1),1),1),1),$I61-1))):INDEX(Attenuation!$J:$J,($H61-1+MIN(MAX(IFERROR(MATCH(LN(N$5),INDEX(Attenuation!$J:$J,$H61):INDEX(Attenuation!$J:$J,$H61+$I61-1),1),1),1),$I61-1))+1)))))</f>
        <v>0.53415830897402206</v>
      </c>
      <c r="O61" s="12">
        <f>IF($A61="","",IF(O$5&gt;2*$G61,"",EXP(FORECAST(LN(O$5),INDEX(Attenuation!$K:$K,($H61-1+MIN(MAX(IFERROR(MATCH(LN(O$5),INDEX(Attenuation!$J:$J,$H61):INDEX(Attenuation!$J:$J,$H61+$I61-1),1),1),1),$I61-1))):INDEX(Attenuation!$K:$K,($H61-1+MIN(MAX(IFERROR(MATCH(LN(O$5),INDEX(Attenuation!$J:$J,$H61):INDEX(Attenuation!$J:$J,$H61+$I61-1),1),1),1),$I61-1))+1),INDEX(Attenuation!$J:$J,($H61-1+MIN(MAX(IFERROR(MATCH(LN(O$5),INDEX(Attenuation!$J:$J,$H61):INDEX(Attenuation!$J:$J,$H61+$I61-1),1),1),1),$I61-1))):INDEX(Attenuation!$J:$J,($H61-1+MIN(MAX(IFERROR(MATCH(LN(O$5),INDEX(Attenuation!$J:$J,$H61):INDEX(Attenuation!$J:$J,$H61+$I61-1),1),1),1),$I61-1))+1)))))</f>
        <v>0.61878590427082691</v>
      </c>
      <c r="P61" s="12">
        <f>IF($A61="","",IF(P$5&gt;2*$G61,"",EXP(FORECAST(LN(P$5),INDEX(Attenuation!$K:$K,($H61-1+MIN(MAX(IFERROR(MATCH(LN(P$5),INDEX(Attenuation!$J:$J,$H61):INDEX(Attenuation!$J:$J,$H61+$I61-1),1),1),1),$I61-1))):INDEX(Attenuation!$K:$K,($H61-1+MIN(MAX(IFERROR(MATCH(LN(P$5),INDEX(Attenuation!$J:$J,$H61):INDEX(Attenuation!$J:$J,$H61+$I61-1),1),1),1),$I61-1))+1),INDEX(Attenuation!$J:$J,($H61-1+MIN(MAX(IFERROR(MATCH(LN(P$5),INDEX(Attenuation!$J:$J,$H61):INDEX(Attenuation!$J:$J,$H61+$I61-1),1),1),1),$I61-1))):INDEX(Attenuation!$J:$J,($H61-1+MIN(MAX(IFERROR(MATCH(LN(P$5),INDEX(Attenuation!$J:$J,$H61):INDEX(Attenuation!$J:$J,$H61+$I61-1),1),1),1),$I61-1))+1)))))</f>
        <v>0.83299999999999974</v>
      </c>
      <c r="Q61" s="12">
        <f>IF($A61="","",IF(Q$5&gt;2*$G61,"",EXP(FORECAST(LN(Q$5),INDEX(Attenuation!$K:$K,($H61-1+MIN(MAX(IFERROR(MATCH(LN(Q$5),INDEX(Attenuation!$J:$J,$H61):INDEX(Attenuation!$J:$J,$H61+$I61-1),1),1),1),$I61-1))):INDEX(Attenuation!$K:$K,($H61-1+MIN(MAX(IFERROR(MATCH(LN(Q$5),INDEX(Attenuation!$J:$J,$H61):INDEX(Attenuation!$J:$J,$H61+$I61-1),1),1),1),$I61-1))+1),INDEX(Attenuation!$J:$J,($H61-1+MIN(MAX(IFERROR(MATCH(LN(Q$5),INDEX(Attenuation!$J:$J,$H61):INDEX(Attenuation!$J:$J,$H61+$I61-1),1),1),1),$I61-1))):INDEX(Attenuation!$J:$J,($H61-1+MIN(MAX(IFERROR(MATCH(LN(Q$5),INDEX(Attenuation!$J:$J,$H61):INDEX(Attenuation!$J:$J,$H61+$I61-1),1),1),1),$I61-1))+1)))))</f>
        <v>1.4438198249285603</v>
      </c>
      <c r="R61" s="12">
        <f>IF($A61="","",IF(R$5&gt;2*$G61,"",EXP(FORECAST(LN(R$5),INDEX(Attenuation!$K:$K,($H61-1+MIN(MAX(IFERROR(MATCH(LN(R$5),INDEX(Attenuation!$J:$J,$H61):INDEX(Attenuation!$J:$J,$H61+$I61-1),1),1),1),$I61-1))):INDEX(Attenuation!$K:$K,($H61-1+MIN(MAX(IFERROR(MATCH(LN(R$5),INDEX(Attenuation!$J:$J,$H61):INDEX(Attenuation!$J:$J,$H61+$I61-1),1),1),1),$I61-1))+1),INDEX(Attenuation!$J:$J,($H61-1+MIN(MAX(IFERROR(MATCH(LN(R$5),INDEX(Attenuation!$J:$J,$H61):INDEX(Attenuation!$J:$J,$H61+$I61-1),1),1),1),$I61-1))):INDEX(Attenuation!$J:$J,($H61-1+MIN(MAX(IFERROR(MATCH(LN(R$5),INDEX(Attenuation!$J:$J,$H61):INDEX(Attenuation!$J:$J,$H61+$I61-1),1),1),1),$I61-1))+1)))))</f>
        <v>2.5919697094831773</v>
      </c>
      <c r="S61" s="12">
        <f>IF($A61="","",IF(S$5&gt;2*$G61,"",EXP(FORECAST(LN(S$5),INDEX(Attenuation!$K:$K,($H61-1+MIN(MAX(IFERROR(MATCH(LN(S$5),INDEX(Attenuation!$J:$J,$H61):INDEX(Attenuation!$J:$J,$H61+$I61-1),1),1),1),$I61-1))):INDEX(Attenuation!$K:$K,($H61-1+MIN(MAX(IFERROR(MATCH(LN(S$5),INDEX(Attenuation!$J:$J,$H61):INDEX(Attenuation!$J:$J,$H61+$I61-1),1),1),1),$I61-1))+1),INDEX(Attenuation!$J:$J,($H61-1+MIN(MAX(IFERROR(MATCH(LN(S$5),INDEX(Attenuation!$J:$J,$H61):INDEX(Attenuation!$J:$J,$H61+$I61-1),1),1),1),$I61-1))):INDEX(Attenuation!$J:$J,($H61-1+MIN(MAX(IFERROR(MATCH(LN(S$5),INDEX(Attenuation!$J:$J,$H61):INDEX(Attenuation!$J:$J,$H61+$I61-1),1),1),1),$I61-1))+1)))))</f>
        <v>4.7641140261862986</v>
      </c>
      <c r="T61" s="12">
        <f>IF($A61="","",IF(T$5&gt;2*$G61,"",EXP(FORECAST(LN(T$5),INDEX(Attenuation!$K:$K,($H61-1+MIN(MAX(IFERROR(MATCH(LN(T$5),INDEX(Attenuation!$J:$J,$H61):INDEX(Attenuation!$J:$J,$H61+$I61-1),1),1),1),$I61-1))):INDEX(Attenuation!$K:$K,($H61-1+MIN(MAX(IFERROR(MATCH(LN(T$5),INDEX(Attenuation!$J:$J,$H61):INDEX(Attenuation!$J:$J,$H61+$I61-1),1),1),1),$I61-1))+1),INDEX(Attenuation!$J:$J,($H61-1+MIN(MAX(IFERROR(MATCH(LN(T$5),INDEX(Attenuation!$J:$J,$H61):INDEX(Attenuation!$J:$J,$H61+$I61-1),1),1),1),$I61-1))):INDEX(Attenuation!$J:$J,($H61-1+MIN(MAX(IFERROR(MATCH(LN(T$5),INDEX(Attenuation!$J:$J,$H61):INDEX(Attenuation!$J:$J,$H61+$I61-1),1),1),1),$I61-1))+1)))))</f>
        <v>6.8024300456023985</v>
      </c>
      <c r="U61" s="12">
        <f>IF($A61="","",IF(U$5&gt;2*$G61,"",EXP(FORECAST(LN(U$5),INDEX(Attenuation!$K:$K,($H61-1+MIN(MAX(IFERROR(MATCH(LN(U$5),INDEX(Attenuation!$J:$J,$H61):INDEX(Attenuation!$J:$J,$H61+$I61-1),1),1),1),$I61-1))):INDEX(Attenuation!$K:$K,($H61-1+MIN(MAX(IFERROR(MATCH(LN(U$5),INDEX(Attenuation!$J:$J,$H61):INDEX(Attenuation!$J:$J,$H61+$I61-1),1),1),1),$I61-1))+1),INDEX(Attenuation!$J:$J,($H61-1+MIN(MAX(IFERROR(MATCH(LN(U$5),INDEX(Attenuation!$J:$J,$H61):INDEX(Attenuation!$J:$J,$H61+$I61-1),1),1),1),$I61-1))):INDEX(Attenuation!$J:$J,($H61-1+MIN(MAX(IFERROR(MATCH(LN(U$5),INDEX(Attenuation!$J:$J,$H61):INDEX(Attenuation!$J:$J,$H61+$I61-1),1),1),1),$I61-1))+1)))))</f>
        <v>11.553689602833169</v>
      </c>
      <c r="V61" s="1"/>
      <c r="W61" s="12">
        <f t="shared" si="12"/>
        <v>4.711302859090899E-2</v>
      </c>
      <c r="X61" s="12">
        <f t="shared" si="13"/>
        <v>6.5818869026181281E-2</v>
      </c>
      <c r="Y61" s="12">
        <f t="shared" si="14"/>
        <v>9.3249021387778616E-2</v>
      </c>
      <c r="Z61" s="12">
        <f t="shared" si="15"/>
        <v>0.13241569802098918</v>
      </c>
      <c r="AA61" s="12">
        <f t="shared" si="16"/>
        <v>0.16281145257528193</v>
      </c>
      <c r="AB61" s="12">
        <f t="shared" si="17"/>
        <v>0.18860594362174804</v>
      </c>
      <c r="AC61" s="12">
        <f t="shared" si="18"/>
        <v>0.25389839999999991</v>
      </c>
      <c r="AD61" s="12">
        <f t="shared" si="19"/>
        <v>0.44007628263822518</v>
      </c>
      <c r="AE61" s="12">
        <f t="shared" si="20"/>
        <v>0.79003236745047245</v>
      </c>
      <c r="AF61" s="12">
        <f t="shared" si="21"/>
        <v>1.4521019551815839</v>
      </c>
      <c r="AG61" s="12">
        <f t="shared" si="22"/>
        <v>2.0733806778996113</v>
      </c>
      <c r="AH61" s="12">
        <f t="shared" si="23"/>
        <v>3.5215645909435498</v>
      </c>
    </row>
    <row r="62" spans="1:34" x14ac:dyDescent="0.25">
      <c r="A62" s="11" t="str">
        <f>IF(ROWS($A$6:A62)&gt;COUNTA(Cables!$A:$A)-1,"",INDEX(Cables!$A:$A,ROWS($A$6:A62)+1))</f>
        <v>TMS-LMR1700</v>
      </c>
      <c r="B62" s="11" t="str">
        <f>IF($A62="","",IF(INDEX(Cables!$B:$B,MATCH($A62,Cables!$A:$A,0))="","",INDEX(Cables!$B:$B,MATCH($A62,Cables!$A:$A,0))))</f>
        <v>Times Microwave LMR-1700 (Amphenol)</v>
      </c>
      <c r="C62" s="11">
        <f>IF($A62="","",IF(INDEX(Cables!$F:$F,MATCH($A62,Cables!$A:$A,0))="","",INDEX(Cables!$F:$F,MATCH($A62,Cables!$A:$A,0))))</f>
        <v>50</v>
      </c>
      <c r="D62" s="11">
        <f>IF($A62="","",IF(INDEX(Cables!$H:$H,MATCH($A62,Cables!$A:$A,0))="","",INDEX(Cables!$H:$H,MATCH($A62,Cables!$A:$A,0))))</f>
        <v>42.42</v>
      </c>
      <c r="E62" s="12">
        <f>IF($A62="","",IF(INDEX(Cables!$Q:$Q,MATCH($A62,Cables!$A:$A,0))="","",INDEX(Cables!$Q:$Q,MATCH($A62,Cables!$A:$A,0))))</f>
        <v>0.89</v>
      </c>
      <c r="F62" s="11">
        <f>IF($A62="","",IF(INDEX(Cables!$AQ:$AQ,MATCH($A62,Cables!$A:$A,0))="","",INDEX(Cables!$AQ:$AQ,MATCH($A62,Cables!$A:$A,0))))</f>
        <v>30</v>
      </c>
      <c r="G62" s="11">
        <f>IF($A62="","",IF(INDEX(Cables!$AR:$AR,MATCH($A62,Cables!$A:$A,0))="","",INDEX(Cables!$AR:$AR,MATCH($A62,Cables!$A:$A,0))))</f>
        <v>2500</v>
      </c>
      <c r="H62" s="11">
        <f>IF($A62="","",IF(INDEX(Cables!$AO:$AO,MATCH($A62,Cables!$A:$A,0))="","",INDEX(Cables!$AO:$AO,MATCH($A62,Cables!$A:$A,0))))</f>
        <v>976</v>
      </c>
      <c r="I62" s="11">
        <f>IF($A62="","",IF(INDEX(Cables!$AP:$AP,MATCH($A62,Cables!$A:$A,0))="","",INDEX(Cables!$AP:$AP,MATCH($A62,Cables!$A:$A,0))))</f>
        <v>10</v>
      </c>
      <c r="J62" s="12">
        <f>IF($A62="","",IF(J$5&gt;2*$G62,"",EXP(FORECAST(LN(J$5),INDEX(Attenuation!$K:$K,($H62-1+MIN(MAX(IFERROR(MATCH(LN(J$5),INDEX(Attenuation!$J:$J,$H62):INDEX(Attenuation!$J:$J,$H62+$I62-1),1),1),1),$I62-1))):INDEX(Attenuation!$K:$K,($H62-1+MIN(MAX(IFERROR(MATCH(LN(J$5),INDEX(Attenuation!$J:$J,$H62):INDEX(Attenuation!$J:$J,$H62+$I62-1),1),1),1),$I62-1))+1),INDEX(Attenuation!$J:$J,($H62-1+MIN(MAX(IFERROR(MATCH(LN(J$5),INDEX(Attenuation!$J:$J,$H62):INDEX(Attenuation!$J:$J,$H62+$I62-1),1),1),1),$I62-1))):INDEX(Attenuation!$J:$J,($H62-1+MIN(MAX(IFERROR(MATCH(LN(J$5),INDEX(Attenuation!$J:$J,$H62):INDEX(Attenuation!$J:$J,$H62+$I62-1),1),1),1),$I62-1))+1)))))</f>
        <v>0.11107599923538101</v>
      </c>
      <c r="K62" s="12">
        <f>IF($A62="","",IF(K$5&gt;2*$G62,"",EXP(FORECAST(LN(K$5),INDEX(Attenuation!$K:$K,($H62-1+MIN(MAX(IFERROR(MATCH(LN(K$5),INDEX(Attenuation!$J:$J,$H62):INDEX(Attenuation!$J:$J,$H62+$I62-1),1),1),1),$I62-1))):INDEX(Attenuation!$K:$K,($H62-1+MIN(MAX(IFERROR(MATCH(LN(K$5),INDEX(Attenuation!$J:$J,$H62):INDEX(Attenuation!$J:$J,$H62+$I62-1),1),1),1),$I62-1))+1),INDEX(Attenuation!$J:$J,($H62-1+MIN(MAX(IFERROR(MATCH(LN(K$5),INDEX(Attenuation!$J:$J,$H62):INDEX(Attenuation!$J:$J,$H62+$I62-1),1),1),1),$I62-1))):INDEX(Attenuation!$J:$J,($H62-1+MIN(MAX(IFERROR(MATCH(LN(K$5),INDEX(Attenuation!$J:$J,$H62):INDEX(Attenuation!$J:$J,$H62+$I62-1),1),1),1),$I62-1))+1)))))</f>
        <v>0.15766294295918948</v>
      </c>
      <c r="L62" s="12">
        <f>IF($A62="","",IF(L$5&gt;2*$G62,"",EXP(FORECAST(LN(L$5),INDEX(Attenuation!$K:$K,($H62-1+MIN(MAX(IFERROR(MATCH(LN(L$5),INDEX(Attenuation!$J:$J,$H62):INDEX(Attenuation!$J:$J,$H62+$I62-1),1),1),1),$I62-1))):INDEX(Attenuation!$K:$K,($H62-1+MIN(MAX(IFERROR(MATCH(LN(L$5),INDEX(Attenuation!$J:$J,$H62):INDEX(Attenuation!$J:$J,$H62+$I62-1),1),1),1),$I62-1))+1),INDEX(Attenuation!$J:$J,($H62-1+MIN(MAX(IFERROR(MATCH(LN(L$5),INDEX(Attenuation!$J:$J,$H62):INDEX(Attenuation!$J:$J,$H62+$I62-1),1),1),1),$I62-1))):INDEX(Attenuation!$J:$J,($H62-1+MIN(MAX(IFERROR(MATCH(LN(L$5),INDEX(Attenuation!$J:$J,$H62):INDEX(Attenuation!$J:$J,$H62+$I62-1),1),1),1),$I62-1))+1)))))</f>
        <v>0.22713441913185595</v>
      </c>
      <c r="M62" s="12">
        <f>IF($A62="","",IF(M$5&gt;2*$G62,"",EXP(FORECAST(LN(M$5),INDEX(Attenuation!$K:$K,($H62-1+MIN(MAX(IFERROR(MATCH(LN(M$5),INDEX(Attenuation!$J:$J,$H62):INDEX(Attenuation!$J:$J,$H62+$I62-1),1),1),1),$I62-1))):INDEX(Attenuation!$K:$K,($H62-1+MIN(MAX(IFERROR(MATCH(LN(M$5),INDEX(Attenuation!$J:$J,$H62):INDEX(Attenuation!$J:$J,$H62+$I62-1),1),1),1),$I62-1))+1),INDEX(Attenuation!$J:$J,($H62-1+MIN(MAX(IFERROR(MATCH(LN(M$5),INDEX(Attenuation!$J:$J,$H62):INDEX(Attenuation!$J:$J,$H62+$I62-1),1),1),1),$I62-1))):INDEX(Attenuation!$J:$J,($H62-1+MIN(MAX(IFERROR(MATCH(LN(M$5),INDEX(Attenuation!$J:$J,$H62):INDEX(Attenuation!$J:$J,$H62+$I62-1),1),1),1),$I62-1))+1)))))</f>
        <v>0.32721731172885388</v>
      </c>
      <c r="N62" s="12">
        <f>IF($A62="","",IF(N$5&gt;2*$G62,"",EXP(FORECAST(LN(N$5),INDEX(Attenuation!$K:$K,($H62-1+MIN(MAX(IFERROR(MATCH(LN(N$5),INDEX(Attenuation!$J:$J,$H62):INDEX(Attenuation!$J:$J,$H62+$I62-1),1),1),1),$I62-1))):INDEX(Attenuation!$K:$K,($H62-1+MIN(MAX(IFERROR(MATCH(LN(N$5),INDEX(Attenuation!$J:$J,$H62):INDEX(Attenuation!$J:$J,$H62+$I62-1),1),1),1),$I62-1))+1),INDEX(Attenuation!$J:$J,($H62-1+MIN(MAX(IFERROR(MATCH(LN(N$5),INDEX(Attenuation!$J:$J,$H62):INDEX(Attenuation!$J:$J,$H62+$I62-1),1),1),1),$I62-1))):INDEX(Attenuation!$J:$J,($H62-1+MIN(MAX(IFERROR(MATCH(LN(N$5),INDEX(Attenuation!$J:$J,$H62):INDEX(Attenuation!$J:$J,$H62+$I62-1),1),1),1),$I62-1))+1)))))</f>
        <v>0.40512031335600612</v>
      </c>
      <c r="O62" s="12">
        <f>IF($A62="","",IF(O$5&gt;2*$G62,"",EXP(FORECAST(LN(O$5),INDEX(Attenuation!$K:$K,($H62-1+MIN(MAX(IFERROR(MATCH(LN(O$5),INDEX(Attenuation!$J:$J,$H62):INDEX(Attenuation!$J:$J,$H62+$I62-1),1),1),1),$I62-1))):INDEX(Attenuation!$K:$K,($H62-1+MIN(MAX(IFERROR(MATCH(LN(O$5),INDEX(Attenuation!$J:$J,$H62):INDEX(Attenuation!$J:$J,$H62+$I62-1),1),1),1),$I62-1))+1),INDEX(Attenuation!$J:$J,($H62-1+MIN(MAX(IFERROR(MATCH(LN(O$5),INDEX(Attenuation!$J:$J,$H62):INDEX(Attenuation!$J:$J,$H62+$I62-1),1),1),1),$I62-1))):INDEX(Attenuation!$J:$J,($H62-1+MIN(MAX(IFERROR(MATCH(LN(O$5),INDEX(Attenuation!$J:$J,$H62):INDEX(Attenuation!$J:$J,$H62+$I62-1),1),1),1),$I62-1))+1)))))</f>
        <v>0.47140001724221753</v>
      </c>
      <c r="P62" s="12">
        <f>IF($A62="","",IF(P$5&gt;2*$G62,"",EXP(FORECAST(LN(P$5),INDEX(Attenuation!$K:$K,($H62-1+MIN(MAX(IFERROR(MATCH(LN(P$5),INDEX(Attenuation!$J:$J,$H62):INDEX(Attenuation!$J:$J,$H62+$I62-1),1),1),1),$I62-1))):INDEX(Attenuation!$K:$K,($H62-1+MIN(MAX(IFERROR(MATCH(LN(P$5),INDEX(Attenuation!$J:$J,$H62):INDEX(Attenuation!$J:$J,$H62+$I62-1),1),1),1),$I62-1))+1),INDEX(Attenuation!$J:$J,($H62-1+MIN(MAX(IFERROR(MATCH(LN(P$5),INDEX(Attenuation!$J:$J,$H62):INDEX(Attenuation!$J:$J,$H62+$I62-1),1),1),1),$I62-1))):INDEX(Attenuation!$J:$J,($H62-1+MIN(MAX(IFERROR(MATCH(LN(P$5),INDEX(Attenuation!$J:$J,$H62):INDEX(Attenuation!$J:$J,$H62+$I62-1),1),1),1),$I62-1))+1)))))</f>
        <v>0.63976377952755892</v>
      </c>
      <c r="Q62" s="12">
        <f>IF($A62="","",IF(Q$5&gt;2*$G62,"",EXP(FORECAST(LN(Q$5),INDEX(Attenuation!$K:$K,($H62-1+MIN(MAX(IFERROR(MATCH(LN(Q$5),INDEX(Attenuation!$J:$J,$H62):INDEX(Attenuation!$J:$J,$H62+$I62-1),1),1),1),$I62-1))):INDEX(Attenuation!$K:$K,($H62-1+MIN(MAX(IFERROR(MATCH(LN(Q$5),INDEX(Attenuation!$J:$J,$H62):INDEX(Attenuation!$J:$J,$H62+$I62-1),1),1),1),$I62-1))+1),INDEX(Attenuation!$J:$J,($H62-1+MIN(MAX(IFERROR(MATCH(LN(Q$5),INDEX(Attenuation!$J:$J,$H62):INDEX(Attenuation!$J:$J,$H62+$I62-1),1),1),1),$I62-1))):INDEX(Attenuation!$J:$J,($H62-1+MIN(MAX(IFERROR(MATCH(LN(Q$5),INDEX(Attenuation!$J:$J,$H62):INDEX(Attenuation!$J:$J,$H62+$I62-1),1),1),1),$I62-1))+1)))))</f>
        <v>1.1143307382368866</v>
      </c>
      <c r="R62" s="12">
        <f>IF($A62="","",IF(R$5&gt;2*$G62,"",EXP(FORECAST(LN(R$5),INDEX(Attenuation!$K:$K,($H62-1+MIN(MAX(IFERROR(MATCH(LN(R$5),INDEX(Attenuation!$J:$J,$H62):INDEX(Attenuation!$J:$J,$H62+$I62-1),1),1),1),$I62-1))):INDEX(Attenuation!$K:$K,($H62-1+MIN(MAX(IFERROR(MATCH(LN(R$5),INDEX(Attenuation!$J:$J,$H62):INDEX(Attenuation!$J:$J,$H62+$I62-1),1),1),1),$I62-1))+1),INDEX(Attenuation!$J:$J,($H62-1+MIN(MAX(IFERROR(MATCH(LN(R$5),INDEX(Attenuation!$J:$J,$H62):INDEX(Attenuation!$J:$J,$H62+$I62-1),1),1),1),$I62-1))):INDEX(Attenuation!$J:$J,($H62-1+MIN(MAX(IFERROR(MATCH(LN(R$5),INDEX(Attenuation!$J:$J,$H62):INDEX(Attenuation!$J:$J,$H62+$I62-1),1),1),1),$I62-1))+1)))))</f>
        <v>2.0276271555698187</v>
      </c>
      <c r="S62" s="12">
        <f>IF($A62="","",IF(S$5&gt;2*$G62,"",EXP(FORECAST(LN(S$5),INDEX(Attenuation!$K:$K,($H62-1+MIN(MAX(IFERROR(MATCH(LN(S$5),INDEX(Attenuation!$J:$J,$H62):INDEX(Attenuation!$J:$J,$H62+$I62-1),1),1),1),$I62-1))):INDEX(Attenuation!$K:$K,($H62-1+MIN(MAX(IFERROR(MATCH(LN(S$5),INDEX(Attenuation!$J:$J,$H62):INDEX(Attenuation!$J:$J,$H62+$I62-1),1),1),1),$I62-1))+1),INDEX(Attenuation!$J:$J,($H62-1+MIN(MAX(IFERROR(MATCH(LN(S$5),INDEX(Attenuation!$J:$J,$H62):INDEX(Attenuation!$J:$J,$H62+$I62-1),1),1),1),$I62-1))):INDEX(Attenuation!$J:$J,($H62-1+MIN(MAX(IFERROR(MATCH(LN(S$5),INDEX(Attenuation!$J:$J,$H62):INDEX(Attenuation!$J:$J,$H62+$I62-1),1),1),1),$I62-1))+1)))))</f>
        <v>3.7967558351561372</v>
      </c>
      <c r="T62" s="12">
        <f>IF($A62="","",IF(T$5&gt;2*$G62,"",EXP(FORECAST(LN(T$5),INDEX(Attenuation!$K:$K,($H62-1+MIN(MAX(IFERROR(MATCH(LN(T$5),INDEX(Attenuation!$J:$J,$H62):INDEX(Attenuation!$J:$J,$H62+$I62-1),1),1),1),$I62-1))):INDEX(Attenuation!$K:$K,($H62-1+MIN(MAX(IFERROR(MATCH(LN(T$5),INDEX(Attenuation!$J:$J,$H62):INDEX(Attenuation!$J:$J,$H62+$I62-1),1),1),1),$I62-1))+1),INDEX(Attenuation!$J:$J,($H62-1+MIN(MAX(IFERROR(MATCH(LN(T$5),INDEX(Attenuation!$J:$J,$H62):INDEX(Attenuation!$J:$J,$H62+$I62-1),1),1),1),$I62-1))):INDEX(Attenuation!$J:$J,($H62-1+MIN(MAX(IFERROR(MATCH(LN(T$5),INDEX(Attenuation!$J:$J,$H62):INDEX(Attenuation!$J:$J,$H62+$I62-1),1),1),1),$I62-1))+1)))))</f>
        <v>5.4773557047042249</v>
      </c>
      <c r="U62" s="12" t="str">
        <f>IF($A62="","",IF(U$5&gt;2*$G62,"",EXP(FORECAST(LN(U$5),INDEX(Attenuation!$K:$K,($H62-1+MIN(MAX(IFERROR(MATCH(LN(U$5),INDEX(Attenuation!$J:$J,$H62):INDEX(Attenuation!$J:$J,$H62+$I62-1),1),1),1),$I62-1))):INDEX(Attenuation!$K:$K,($H62-1+MIN(MAX(IFERROR(MATCH(LN(U$5),INDEX(Attenuation!$J:$J,$H62):INDEX(Attenuation!$J:$J,$H62+$I62-1),1),1),1),$I62-1))+1),INDEX(Attenuation!$J:$J,($H62-1+MIN(MAX(IFERROR(MATCH(LN(U$5),INDEX(Attenuation!$J:$J,$H62):INDEX(Attenuation!$J:$J,$H62+$I62-1),1),1),1),$I62-1))):INDEX(Attenuation!$J:$J,($H62-1+MIN(MAX(IFERROR(MATCH(LN(U$5),INDEX(Attenuation!$J:$J,$H62):INDEX(Attenuation!$J:$J,$H62+$I62-1),1),1),1),$I62-1))+1)))))</f>
        <v/>
      </c>
      <c r="V62" s="1"/>
      <c r="W62" s="12">
        <f t="shared" si="12"/>
        <v>3.3855964566944133E-2</v>
      </c>
      <c r="X62" s="12">
        <f t="shared" si="13"/>
        <v>4.8055665013960955E-2</v>
      </c>
      <c r="Y62" s="12">
        <f t="shared" si="14"/>
        <v>6.9230570951389694E-2</v>
      </c>
      <c r="Z62" s="12">
        <f t="shared" si="15"/>
        <v>9.9735836614954665E-2</v>
      </c>
      <c r="AA62" s="12">
        <f t="shared" si="16"/>
        <v>0.12348067151091068</v>
      </c>
      <c r="AB62" s="12">
        <f t="shared" si="17"/>
        <v>0.14368272525542791</v>
      </c>
      <c r="AC62" s="12">
        <f t="shared" si="18"/>
        <v>0.19499999999999998</v>
      </c>
      <c r="AD62" s="12">
        <f t="shared" si="19"/>
        <v>0.33964800901460301</v>
      </c>
      <c r="AE62" s="12">
        <f t="shared" si="20"/>
        <v>0.61802075701768078</v>
      </c>
      <c r="AF62" s="12">
        <f t="shared" si="21"/>
        <v>1.1572511785555908</v>
      </c>
      <c r="AG62" s="12">
        <f t="shared" si="22"/>
        <v>1.6694980187938477</v>
      </c>
      <c r="AH62" s="12" t="str">
        <f t="shared" si="23"/>
        <v/>
      </c>
    </row>
    <row r="63" spans="1:34" x14ac:dyDescent="0.25">
      <c r="A63" s="11" t="str">
        <f>IF(ROWS($A$6:A63)&gt;COUNTA(Cables!$A:$A)-1,"",INDEX(Cables!$A:$A,ROWS($A$6:A63)+1))</f>
        <v>CS-LDF6-50</v>
      </c>
      <c r="B63" s="11" t="str">
        <f>IF($A63="","",IF(INDEX(Cables!$B:$B,MATCH($A63,Cables!$A:$A,0))="","",INDEX(Cables!$B:$B,MATCH($A63,Cables!$A:$A,0))))</f>
        <v>CommScope LDF6-50 (1-1/4" HELIAX)</v>
      </c>
      <c r="C63" s="11">
        <f>IF($A63="","",IF(INDEX(Cables!$F:$F,MATCH($A63,Cables!$A:$A,0))="","",INDEX(Cables!$F:$F,MATCH($A63,Cables!$A:$A,0))))</f>
        <v>50</v>
      </c>
      <c r="D63" s="11">
        <f>IF($A63="","",IF(INDEX(Cables!$H:$H,MATCH($A63,Cables!$A:$A,0))="","",INDEX(Cables!$H:$H,MATCH($A63,Cables!$A:$A,0))))</f>
        <v>39.4</v>
      </c>
      <c r="E63" s="12">
        <f>IF($A63="","",IF(INDEX(Cables!$Q:$Q,MATCH($A63,Cables!$A:$A,0))="","",INDEX(Cables!$Q:$Q,MATCH($A63,Cables!$A:$A,0))))</f>
        <v>0.89</v>
      </c>
      <c r="F63" s="11">
        <f>IF($A63="","",IF(INDEX(Cables!$AQ:$AQ,MATCH($A63,Cables!$A:$A,0))="","",INDEX(Cables!$AQ:$AQ,MATCH($A63,Cables!$A:$A,0))))</f>
        <v>0.5</v>
      </c>
      <c r="G63" s="11">
        <f>IF($A63="","",IF(INDEX(Cables!$AR:$AR,MATCH($A63,Cables!$A:$A,0))="","",INDEX(Cables!$AR:$AR,MATCH($A63,Cables!$A:$A,0))))</f>
        <v>3300</v>
      </c>
      <c r="H63" s="11">
        <f>IF($A63="","",IF(INDEX(Cables!$AO:$AO,MATCH($A63,Cables!$A:$A,0))="","",INDEX(Cables!$AO:$AO,MATCH($A63,Cables!$A:$A,0))))</f>
        <v>986</v>
      </c>
      <c r="I63" s="11">
        <f>IF($A63="","",IF(INDEX(Cables!$AP:$AP,MATCH($A63,Cables!$A:$A,0))="","",INDEX(Cables!$AP:$AP,MATCH($A63,Cables!$A:$A,0))))</f>
        <v>33</v>
      </c>
      <c r="J63" s="12">
        <f>IF($A63="","",IF(J$5&gt;2*$G63,"",EXP(FORECAST(LN(J$5),INDEX(Attenuation!$K:$K,($H63-1+MIN(MAX(IFERROR(MATCH(LN(J$5),INDEX(Attenuation!$J:$J,$H63):INDEX(Attenuation!$J:$J,$H63+$I63-1),1),1),1),$I63-1))):INDEX(Attenuation!$K:$K,($H63-1+MIN(MAX(IFERROR(MATCH(LN(J$5),INDEX(Attenuation!$J:$J,$H63):INDEX(Attenuation!$J:$J,$H63+$I63-1),1),1),1),$I63-1))+1),INDEX(Attenuation!$J:$J,($H63-1+MIN(MAX(IFERROR(MATCH(LN(J$5),INDEX(Attenuation!$J:$J,$H63):INDEX(Attenuation!$J:$J,$H63+$I63-1),1),1),1),$I63-1))):INDEX(Attenuation!$J:$J,($H63-1+MIN(MAX(IFERROR(MATCH(LN(J$5),INDEX(Attenuation!$J:$J,$H63):INDEX(Attenuation!$J:$J,$H63+$I63-1),1),1),1),$I63-1))+1)))))</f>
        <v>0.10124182257499004</v>
      </c>
      <c r="K63" s="12">
        <f>IF($A63="","",IF(K$5&gt;2*$G63,"",EXP(FORECAST(LN(K$5),INDEX(Attenuation!$K:$K,($H63-1+MIN(MAX(IFERROR(MATCH(LN(K$5),INDEX(Attenuation!$J:$J,$H63):INDEX(Attenuation!$J:$J,$H63+$I63-1),1),1),1),$I63-1))):INDEX(Attenuation!$K:$K,($H63-1+MIN(MAX(IFERROR(MATCH(LN(K$5),INDEX(Attenuation!$J:$J,$H63):INDEX(Attenuation!$J:$J,$H63+$I63-1),1),1),1),$I63-1))+1),INDEX(Attenuation!$J:$J,($H63-1+MIN(MAX(IFERROR(MATCH(LN(K$5),INDEX(Attenuation!$J:$J,$H63):INDEX(Attenuation!$J:$J,$H63+$I63-1),1),1),1),$I63-1))):INDEX(Attenuation!$J:$J,($H63-1+MIN(MAX(IFERROR(MATCH(LN(K$5),INDEX(Attenuation!$J:$J,$H63):INDEX(Attenuation!$J:$J,$H63+$I63-1),1),1),1),$I63-1))+1)))))</f>
        <v>0.14190492902385812</v>
      </c>
      <c r="L63" s="12">
        <f>IF($A63="","",IF(L$5&gt;2*$G63,"",EXP(FORECAST(LN(L$5),INDEX(Attenuation!$K:$K,($H63-1+MIN(MAX(IFERROR(MATCH(LN(L$5),INDEX(Attenuation!$J:$J,$H63):INDEX(Attenuation!$J:$J,$H63+$I63-1),1),1),1),$I63-1))):INDEX(Attenuation!$K:$K,($H63-1+MIN(MAX(IFERROR(MATCH(LN(L$5),INDEX(Attenuation!$J:$J,$H63):INDEX(Attenuation!$J:$J,$H63+$I63-1),1),1),1),$I63-1))+1),INDEX(Attenuation!$J:$J,($H63-1+MIN(MAX(IFERROR(MATCH(LN(L$5),INDEX(Attenuation!$J:$J,$H63):INDEX(Attenuation!$J:$J,$H63+$I63-1),1),1),1),$I63-1))):INDEX(Attenuation!$J:$J,($H63-1+MIN(MAX(IFERROR(MATCH(LN(L$5),INDEX(Attenuation!$J:$J,$H63):INDEX(Attenuation!$J:$J,$H63+$I63-1),1),1),1),$I63-1))+1)))))</f>
        <v>0.20131139651337096</v>
      </c>
      <c r="M63" s="12">
        <f>IF($A63="","",IF(M$5&gt;2*$G63,"",EXP(FORECAST(LN(M$5),INDEX(Attenuation!$K:$K,($H63-1+MIN(MAX(IFERROR(MATCH(LN(M$5),INDEX(Attenuation!$J:$J,$H63):INDEX(Attenuation!$J:$J,$H63+$I63-1),1),1),1),$I63-1))):INDEX(Attenuation!$K:$K,($H63-1+MIN(MAX(IFERROR(MATCH(LN(M$5),INDEX(Attenuation!$J:$J,$H63):INDEX(Attenuation!$J:$J,$H63+$I63-1),1),1),1),$I63-1))+1),INDEX(Attenuation!$J:$J,($H63-1+MIN(MAX(IFERROR(MATCH(LN(M$5),INDEX(Attenuation!$J:$J,$H63):INDEX(Attenuation!$J:$J,$H63+$I63-1),1),1),1),$I63-1))):INDEX(Attenuation!$J:$J,($H63-1+MIN(MAX(IFERROR(MATCH(LN(M$5),INDEX(Attenuation!$J:$J,$H63):INDEX(Attenuation!$J:$J,$H63+$I63-1),1),1),1),$I63-1))+1)))))</f>
        <v>0.28644126567562794</v>
      </c>
      <c r="N63" s="12">
        <f>IF($A63="","",IF(N$5&gt;2*$G63,"",EXP(FORECAST(LN(N$5),INDEX(Attenuation!$K:$K,($H63-1+MIN(MAX(IFERROR(MATCH(LN(N$5),INDEX(Attenuation!$J:$J,$H63):INDEX(Attenuation!$J:$J,$H63+$I63-1),1),1),1),$I63-1))):INDEX(Attenuation!$K:$K,($H63-1+MIN(MAX(IFERROR(MATCH(LN(N$5),INDEX(Attenuation!$J:$J,$H63):INDEX(Attenuation!$J:$J,$H63+$I63-1),1),1),1),$I63-1))+1),INDEX(Attenuation!$J:$J,($H63-1+MIN(MAX(IFERROR(MATCH(LN(N$5),INDEX(Attenuation!$J:$J,$H63):INDEX(Attenuation!$J:$J,$H63+$I63-1),1),1),1),$I63-1))):INDEX(Attenuation!$J:$J,($H63-1+MIN(MAX(IFERROR(MATCH(LN(N$5),INDEX(Attenuation!$J:$J,$H63):INDEX(Attenuation!$J:$J,$H63+$I63-1),1),1),1),$I63-1))+1)))))</f>
        <v>0.35266472578937702</v>
      </c>
      <c r="O63" s="12">
        <f>IF($A63="","",IF(O$5&gt;2*$G63,"",EXP(FORECAST(LN(O$5),INDEX(Attenuation!$K:$K,($H63-1+MIN(MAX(IFERROR(MATCH(LN(O$5),INDEX(Attenuation!$J:$J,$H63):INDEX(Attenuation!$J:$J,$H63+$I63-1),1),1),1),$I63-1))):INDEX(Attenuation!$K:$K,($H63-1+MIN(MAX(IFERROR(MATCH(LN(O$5),INDEX(Attenuation!$J:$J,$H63):INDEX(Attenuation!$J:$J,$H63+$I63-1),1),1),1),$I63-1))+1),INDEX(Attenuation!$J:$J,($H63-1+MIN(MAX(IFERROR(MATCH(LN(O$5),INDEX(Attenuation!$J:$J,$H63):INDEX(Attenuation!$J:$J,$H63+$I63-1),1),1),1),$I63-1))):INDEX(Attenuation!$J:$J,($H63-1+MIN(MAX(IFERROR(MATCH(LN(O$5),INDEX(Attenuation!$J:$J,$H63):INDEX(Attenuation!$J:$J,$H63+$I63-1),1),1),1),$I63-1))+1)))))</f>
        <v>0.40837891624309175</v>
      </c>
      <c r="P63" s="12">
        <f>IF($A63="","",IF(P$5&gt;2*$G63,"",EXP(FORECAST(LN(P$5),INDEX(Attenuation!$K:$K,($H63-1+MIN(MAX(IFERROR(MATCH(LN(P$5),INDEX(Attenuation!$J:$J,$H63):INDEX(Attenuation!$J:$J,$H63+$I63-1),1),1),1),$I63-1))):INDEX(Attenuation!$K:$K,($H63-1+MIN(MAX(IFERROR(MATCH(LN(P$5),INDEX(Attenuation!$J:$J,$H63):INDEX(Attenuation!$J:$J,$H63+$I63-1),1),1),1),$I63-1))+1),INDEX(Attenuation!$J:$J,($H63-1+MIN(MAX(IFERROR(MATCH(LN(P$5),INDEX(Attenuation!$J:$J,$H63):INDEX(Attenuation!$J:$J,$H63+$I63-1),1),1),1),$I63-1))):INDEX(Attenuation!$J:$J,($H63-1+MIN(MAX(IFERROR(MATCH(LN(P$5),INDEX(Attenuation!$J:$J,$H63):INDEX(Attenuation!$J:$J,$H63+$I63-1),1),1),1),$I63-1))+1)))))</f>
        <v>0.55199999999999994</v>
      </c>
      <c r="Q63" s="12">
        <f>IF($A63="","",IF(Q$5&gt;2*$G63,"",EXP(FORECAST(LN(Q$5),INDEX(Attenuation!$K:$K,($H63-1+MIN(MAX(IFERROR(MATCH(LN(Q$5),INDEX(Attenuation!$J:$J,$H63):INDEX(Attenuation!$J:$J,$H63+$I63-1),1),1),1),$I63-1))):INDEX(Attenuation!$K:$K,($H63-1+MIN(MAX(IFERROR(MATCH(LN(Q$5),INDEX(Attenuation!$J:$J,$H63):INDEX(Attenuation!$J:$J,$H63+$I63-1),1),1),1),$I63-1))+1),INDEX(Attenuation!$J:$J,($H63-1+MIN(MAX(IFERROR(MATCH(LN(Q$5),INDEX(Attenuation!$J:$J,$H63):INDEX(Attenuation!$J:$J,$H63+$I63-1),1),1),1),$I63-1))):INDEX(Attenuation!$J:$J,($H63-1+MIN(MAX(IFERROR(MATCH(LN(Q$5),INDEX(Attenuation!$J:$J,$H63):INDEX(Attenuation!$J:$J,$H63+$I63-1),1),1),1),$I63-1))+1)))))</f>
        <v>0.9619716650951663</v>
      </c>
      <c r="R63" s="12">
        <f>IF($A63="","",IF(R$5&gt;2*$G63,"",EXP(FORECAST(LN(R$5),INDEX(Attenuation!$K:$K,($H63-1+MIN(MAX(IFERROR(MATCH(LN(R$5),INDEX(Attenuation!$J:$J,$H63):INDEX(Attenuation!$J:$J,$H63+$I63-1),1),1),1),$I63-1))):INDEX(Attenuation!$K:$K,($H63-1+MIN(MAX(IFERROR(MATCH(LN(R$5),INDEX(Attenuation!$J:$J,$H63):INDEX(Attenuation!$J:$J,$H63+$I63-1),1),1),1),$I63-1))+1),INDEX(Attenuation!$J:$J,($H63-1+MIN(MAX(IFERROR(MATCH(LN(R$5),INDEX(Attenuation!$J:$J,$H63):INDEX(Attenuation!$J:$J,$H63+$I63-1),1),1),1),$I63-1))):INDEX(Attenuation!$J:$J,($H63-1+MIN(MAX(IFERROR(MATCH(LN(R$5),INDEX(Attenuation!$J:$J,$H63):INDEX(Attenuation!$J:$J,$H63+$I63-1),1),1),1),$I63-1))+1)))))</f>
        <v>1.7474634877135788</v>
      </c>
      <c r="S63" s="12">
        <f>IF($A63="","",IF(S$5&gt;2*$G63,"",EXP(FORECAST(LN(S$5),INDEX(Attenuation!$K:$K,($H63-1+MIN(MAX(IFERROR(MATCH(LN(S$5),INDEX(Attenuation!$J:$J,$H63):INDEX(Attenuation!$J:$J,$H63+$I63-1),1),1),1),$I63-1))):INDEX(Attenuation!$K:$K,($H63-1+MIN(MAX(IFERROR(MATCH(LN(S$5),INDEX(Attenuation!$J:$J,$H63):INDEX(Attenuation!$J:$J,$H63+$I63-1),1),1),1),$I63-1))+1),INDEX(Attenuation!$J:$J,($H63-1+MIN(MAX(IFERROR(MATCH(LN(S$5),INDEX(Attenuation!$J:$J,$H63):INDEX(Attenuation!$J:$J,$H63+$I63-1),1),1),1),$I63-1))):INDEX(Attenuation!$J:$J,($H63-1+MIN(MAX(IFERROR(MATCH(LN(S$5),INDEX(Attenuation!$J:$J,$H63):INDEX(Attenuation!$J:$J,$H63+$I63-1),1),1),1),$I63-1))+1)))))</f>
        <v>3.258332283866276</v>
      </c>
      <c r="T63" s="12">
        <f>IF($A63="","",IF(T$5&gt;2*$G63,"",EXP(FORECAST(LN(T$5),INDEX(Attenuation!$K:$K,($H63-1+MIN(MAX(IFERROR(MATCH(LN(T$5),INDEX(Attenuation!$J:$J,$H63):INDEX(Attenuation!$J:$J,$H63+$I63-1),1),1),1),$I63-1))):INDEX(Attenuation!$K:$K,($H63-1+MIN(MAX(IFERROR(MATCH(LN(T$5),INDEX(Attenuation!$J:$J,$H63):INDEX(Attenuation!$J:$J,$H63+$I63-1),1),1),1),$I63-1))+1),INDEX(Attenuation!$J:$J,($H63-1+MIN(MAX(IFERROR(MATCH(LN(T$5),INDEX(Attenuation!$J:$J,$H63):INDEX(Attenuation!$J:$J,$H63+$I63-1),1),1),1),$I63-1))):INDEX(Attenuation!$J:$J,($H63-1+MIN(MAX(IFERROR(MATCH(LN(T$5),INDEX(Attenuation!$J:$J,$H63):INDEX(Attenuation!$J:$J,$H63+$I63-1),1),1),1),$I63-1))+1)))))</f>
        <v>4.7124512925796376</v>
      </c>
      <c r="U63" s="12">
        <f>IF($A63="","",IF(U$5&gt;2*$G63,"",EXP(FORECAST(LN(U$5),INDEX(Attenuation!$K:$K,($H63-1+MIN(MAX(IFERROR(MATCH(LN(U$5),INDEX(Attenuation!$J:$J,$H63):INDEX(Attenuation!$J:$J,$H63+$I63-1),1),1),1),$I63-1))):INDEX(Attenuation!$K:$K,($H63-1+MIN(MAX(IFERROR(MATCH(LN(U$5),INDEX(Attenuation!$J:$J,$H63):INDEX(Attenuation!$J:$J,$H63+$I63-1),1),1),1),$I63-1))+1),INDEX(Attenuation!$J:$J,($H63-1+MIN(MAX(IFERROR(MATCH(LN(U$5),INDEX(Attenuation!$J:$J,$H63):INDEX(Attenuation!$J:$J,$H63+$I63-1),1),1),1),$I63-1))):INDEX(Attenuation!$J:$J,($H63-1+MIN(MAX(IFERROR(MATCH(LN(U$5),INDEX(Attenuation!$J:$J,$H63):INDEX(Attenuation!$J:$J,$H63+$I63-1),1),1),1),$I63-1))+1)))))</f>
        <v>8.1132376056511859</v>
      </c>
      <c r="V63" s="1"/>
      <c r="W63" s="12">
        <f t="shared" si="12"/>
        <v>3.0858507520856965E-2</v>
      </c>
      <c r="X63" s="12">
        <f t="shared" si="13"/>
        <v>4.3252622366471961E-2</v>
      </c>
      <c r="Y63" s="12">
        <f t="shared" si="14"/>
        <v>6.1359713657275473E-2</v>
      </c>
      <c r="Z63" s="12">
        <f t="shared" si="15"/>
        <v>8.7307297777931406E-2</v>
      </c>
      <c r="AA63" s="12">
        <f t="shared" si="16"/>
        <v>0.10749220842060211</v>
      </c>
      <c r="AB63" s="12">
        <f t="shared" si="17"/>
        <v>0.12447389367089437</v>
      </c>
      <c r="AC63" s="12">
        <f t="shared" si="18"/>
        <v>0.1682496</v>
      </c>
      <c r="AD63" s="12">
        <f t="shared" si="19"/>
        <v>0.29320896352100673</v>
      </c>
      <c r="AE63" s="12">
        <f t="shared" si="20"/>
        <v>0.53262687105509887</v>
      </c>
      <c r="AF63" s="12">
        <f t="shared" si="21"/>
        <v>0.99313968012244103</v>
      </c>
      <c r="AG63" s="12">
        <f t="shared" si="22"/>
        <v>1.4363551539782735</v>
      </c>
      <c r="AH63" s="12">
        <f t="shared" si="23"/>
        <v>2.4729148222024815</v>
      </c>
    </row>
    <row r="64" spans="1:34" x14ac:dyDescent="0.25">
      <c r="A64" s="11" t="str">
        <f>IF(ROWS($A$6:A64)&gt;COUNTA(Cables!$A:$A)-1,"",INDEX(Cables!$A:$A,ROWS($A$6:A64)+1))</f>
        <v>CS-LDF7-50A</v>
      </c>
      <c r="B64" s="11" t="str">
        <f>IF($A64="","",IF(INDEX(Cables!$B:$B,MATCH($A64,Cables!$A:$A,0))="","",INDEX(Cables!$B:$B,MATCH($A64,Cables!$A:$A,0))))</f>
        <v>CommScope LDF7-50A (1-5/8" HELIAX)</v>
      </c>
      <c r="C64" s="11">
        <f>IF($A64="","",IF(INDEX(Cables!$F:$F,MATCH($A64,Cables!$A:$A,0))="","",INDEX(Cables!$F:$F,MATCH($A64,Cables!$A:$A,0))))</f>
        <v>50</v>
      </c>
      <c r="D64" s="11">
        <f>IF($A64="","",IF(INDEX(Cables!$H:$H,MATCH($A64,Cables!$A:$A,0))="","",INDEX(Cables!$H:$H,MATCH($A64,Cables!$A:$A,0))))</f>
        <v>50.3</v>
      </c>
      <c r="E64" s="12">
        <f>IF($A64="","",IF(INDEX(Cables!$Q:$Q,MATCH($A64,Cables!$A:$A,0))="","",INDEX(Cables!$Q:$Q,MATCH($A64,Cables!$A:$A,0))))</f>
        <v>0.88</v>
      </c>
      <c r="F64" s="11">
        <f>IF($A64="","",IF(INDEX(Cables!$AQ:$AQ,MATCH($A64,Cables!$A:$A,0))="","",INDEX(Cables!$AQ:$AQ,MATCH($A64,Cables!$A:$A,0))))</f>
        <v>0.5</v>
      </c>
      <c r="G64" s="11">
        <f>IF($A64="","",IF(INDEX(Cables!$AR:$AR,MATCH($A64,Cables!$A:$A,0))="","",INDEX(Cables!$AR:$AR,MATCH($A64,Cables!$A:$A,0))))</f>
        <v>2500</v>
      </c>
      <c r="H64" s="11">
        <f>IF($A64="","",IF(INDEX(Cables!$AO:$AO,MATCH($A64,Cables!$A:$A,0))="","",INDEX(Cables!$AO:$AO,MATCH($A64,Cables!$A:$A,0))))</f>
        <v>1019</v>
      </c>
      <c r="I64" s="11">
        <f>IF($A64="","",IF(INDEX(Cables!$AP:$AP,MATCH($A64,Cables!$A:$A,0))="","",INDEX(Cables!$AP:$AP,MATCH($A64,Cables!$A:$A,0))))</f>
        <v>37</v>
      </c>
      <c r="J64" s="12">
        <f>IF($A64="","",IF(J$5&gt;2*$G64,"",EXP(FORECAST(LN(J$5),INDEX(Attenuation!$K:$K,($H64-1+MIN(MAX(IFERROR(MATCH(LN(J$5),INDEX(Attenuation!$J:$J,$H64):INDEX(Attenuation!$J:$J,$H64+$I64-1),1),1),1),$I64-1))):INDEX(Attenuation!$K:$K,($H64-1+MIN(MAX(IFERROR(MATCH(LN(J$5),INDEX(Attenuation!$J:$J,$H64):INDEX(Attenuation!$J:$J,$H64+$I64-1),1),1),1),$I64-1))+1),INDEX(Attenuation!$J:$J,($H64-1+MIN(MAX(IFERROR(MATCH(LN(J$5),INDEX(Attenuation!$J:$J,$H64):INDEX(Attenuation!$J:$J,$H64+$I64-1),1),1),1),$I64-1))):INDEX(Attenuation!$J:$J,($H64-1+MIN(MAX(IFERROR(MATCH(LN(J$5),INDEX(Attenuation!$J:$J,$H64):INDEX(Attenuation!$J:$J,$H64+$I64-1),1),1),1),$I64-1))+1)))))</f>
        <v>8.4402208408131674E-2</v>
      </c>
      <c r="K64" s="12">
        <f>IF($A64="","",IF(K$5&gt;2*$G64,"",EXP(FORECAST(LN(K$5),INDEX(Attenuation!$K:$K,($H64-1+MIN(MAX(IFERROR(MATCH(LN(K$5),INDEX(Attenuation!$J:$J,$H64):INDEX(Attenuation!$J:$J,$H64+$I64-1),1),1),1),$I64-1))):INDEX(Attenuation!$K:$K,($H64-1+MIN(MAX(IFERROR(MATCH(LN(K$5),INDEX(Attenuation!$J:$J,$H64):INDEX(Attenuation!$J:$J,$H64+$I64-1),1),1),1),$I64-1))+1),INDEX(Attenuation!$J:$J,($H64-1+MIN(MAX(IFERROR(MATCH(LN(K$5),INDEX(Attenuation!$J:$J,$H64):INDEX(Attenuation!$J:$J,$H64+$I64-1),1),1),1),$I64-1))):INDEX(Attenuation!$J:$J,($H64-1+MIN(MAX(IFERROR(MATCH(LN(K$5),INDEX(Attenuation!$J:$J,$H64):INDEX(Attenuation!$J:$J,$H64+$I64-1),1),1),1),$I64-1))+1)))))</f>
        <v>0.11834799884905432</v>
      </c>
      <c r="L64" s="12">
        <f>IF($A64="","",IF(L$5&gt;2*$G64,"",EXP(FORECAST(LN(L$5),INDEX(Attenuation!$K:$K,($H64-1+MIN(MAX(IFERROR(MATCH(LN(L$5),INDEX(Attenuation!$J:$J,$H64):INDEX(Attenuation!$J:$J,$H64+$I64-1),1),1),1),$I64-1))):INDEX(Attenuation!$K:$K,($H64-1+MIN(MAX(IFERROR(MATCH(LN(L$5),INDEX(Attenuation!$J:$J,$H64):INDEX(Attenuation!$J:$J,$H64+$I64-1),1),1),1),$I64-1))+1),INDEX(Attenuation!$J:$J,($H64-1+MIN(MAX(IFERROR(MATCH(LN(L$5),INDEX(Attenuation!$J:$J,$H64):INDEX(Attenuation!$J:$J,$H64+$I64-1),1),1),1),$I64-1))):INDEX(Attenuation!$J:$J,($H64-1+MIN(MAX(IFERROR(MATCH(LN(L$5),INDEX(Attenuation!$J:$J,$H64):INDEX(Attenuation!$J:$J,$H64+$I64-1),1),1),1),$I64-1))+1)))))</f>
        <v>0.16844771857933222</v>
      </c>
      <c r="M64" s="12">
        <f>IF($A64="","",IF(M$5&gt;2*$G64,"",EXP(FORECAST(LN(M$5),INDEX(Attenuation!$K:$K,($H64-1+MIN(MAX(IFERROR(MATCH(LN(M$5),INDEX(Attenuation!$J:$J,$H64):INDEX(Attenuation!$J:$J,$H64+$I64-1),1),1),1),$I64-1))):INDEX(Attenuation!$K:$K,($H64-1+MIN(MAX(IFERROR(MATCH(LN(M$5),INDEX(Attenuation!$J:$J,$H64):INDEX(Attenuation!$J:$J,$H64+$I64-1),1),1),1),$I64-1))+1),INDEX(Attenuation!$J:$J,($H64-1+MIN(MAX(IFERROR(MATCH(LN(M$5),INDEX(Attenuation!$J:$J,$H64):INDEX(Attenuation!$J:$J,$H64+$I64-1),1),1),1),$I64-1))):INDEX(Attenuation!$J:$J,($H64-1+MIN(MAX(IFERROR(MATCH(LN(M$5),INDEX(Attenuation!$J:$J,$H64):INDEX(Attenuation!$J:$J,$H64+$I64-1),1),1),1),$I64-1))+1)))))</f>
        <v>0.24035756766979985</v>
      </c>
      <c r="N64" s="12">
        <f>IF($A64="","",IF(N$5&gt;2*$G64,"",EXP(FORECAST(LN(N$5),INDEX(Attenuation!$K:$K,($H64-1+MIN(MAX(IFERROR(MATCH(LN(N$5),INDEX(Attenuation!$J:$J,$H64):INDEX(Attenuation!$J:$J,$H64+$I64-1),1),1),1),$I64-1))):INDEX(Attenuation!$K:$K,($H64-1+MIN(MAX(IFERROR(MATCH(LN(N$5),INDEX(Attenuation!$J:$J,$H64):INDEX(Attenuation!$J:$J,$H64+$I64-1),1),1),1),$I64-1))+1),INDEX(Attenuation!$J:$J,($H64-1+MIN(MAX(IFERROR(MATCH(LN(N$5),INDEX(Attenuation!$J:$J,$H64):INDEX(Attenuation!$J:$J,$H64+$I64-1),1),1),1),$I64-1))):INDEX(Attenuation!$J:$J,($H64-1+MIN(MAX(IFERROR(MATCH(LN(N$5),INDEX(Attenuation!$J:$J,$H64):INDEX(Attenuation!$J:$J,$H64+$I64-1),1),1),1),$I64-1))+1)))))</f>
        <v>0.29634261297356701</v>
      </c>
      <c r="O64" s="12">
        <f>IF($A64="","",IF(O$5&gt;2*$G64,"",EXP(FORECAST(LN(O$5),INDEX(Attenuation!$K:$K,($H64-1+MIN(MAX(IFERROR(MATCH(LN(O$5),INDEX(Attenuation!$J:$J,$H64):INDEX(Attenuation!$J:$J,$H64+$I64-1),1),1),1),$I64-1))):INDEX(Attenuation!$K:$K,($H64-1+MIN(MAX(IFERROR(MATCH(LN(O$5),INDEX(Attenuation!$J:$J,$H64):INDEX(Attenuation!$J:$J,$H64+$I64-1),1),1),1),$I64-1))+1),INDEX(Attenuation!$J:$J,($H64-1+MIN(MAX(IFERROR(MATCH(LN(O$5),INDEX(Attenuation!$J:$J,$H64):INDEX(Attenuation!$J:$J,$H64+$I64-1),1),1),1),$I64-1))):INDEX(Attenuation!$J:$J,($H64-1+MIN(MAX(IFERROR(MATCH(LN(O$5),INDEX(Attenuation!$J:$J,$H64):INDEX(Attenuation!$J:$J,$H64+$I64-1),1),1),1),$I64-1))+1)))))</f>
        <v>0.34359108154240253</v>
      </c>
      <c r="P64" s="12">
        <f>IF($A64="","",IF(P$5&gt;2*$G64,"",EXP(FORECAST(LN(P$5),INDEX(Attenuation!$K:$K,($H64-1+MIN(MAX(IFERROR(MATCH(LN(P$5),INDEX(Attenuation!$J:$J,$H64):INDEX(Attenuation!$J:$J,$H64+$I64-1),1),1),1),$I64-1))):INDEX(Attenuation!$K:$K,($H64-1+MIN(MAX(IFERROR(MATCH(LN(P$5),INDEX(Attenuation!$J:$J,$H64):INDEX(Attenuation!$J:$J,$H64+$I64-1),1),1),1),$I64-1))+1),INDEX(Attenuation!$J:$J,($H64-1+MIN(MAX(IFERROR(MATCH(LN(P$5),INDEX(Attenuation!$J:$J,$H64):INDEX(Attenuation!$J:$J,$H64+$I64-1),1),1),1),$I64-1))):INDEX(Attenuation!$J:$J,($H64-1+MIN(MAX(IFERROR(MATCH(LN(P$5),INDEX(Attenuation!$J:$J,$H64):INDEX(Attenuation!$J:$J,$H64+$I64-1),1),1),1),$I64-1))+1)))))</f>
        <v>0.46499999999999991</v>
      </c>
      <c r="Q64" s="12">
        <f>IF($A64="","",IF(Q$5&gt;2*$G64,"",EXP(FORECAST(LN(Q$5),INDEX(Attenuation!$K:$K,($H64-1+MIN(MAX(IFERROR(MATCH(LN(Q$5),INDEX(Attenuation!$J:$J,$H64):INDEX(Attenuation!$J:$J,$H64+$I64-1),1),1),1),$I64-1))):INDEX(Attenuation!$K:$K,($H64-1+MIN(MAX(IFERROR(MATCH(LN(Q$5),INDEX(Attenuation!$J:$J,$H64):INDEX(Attenuation!$J:$J,$H64+$I64-1),1),1),1),$I64-1))+1),INDEX(Attenuation!$J:$J,($H64-1+MIN(MAX(IFERROR(MATCH(LN(Q$5),INDEX(Attenuation!$J:$J,$H64):INDEX(Attenuation!$J:$J,$H64+$I64-1),1),1),1),$I64-1))):INDEX(Attenuation!$J:$J,($H64-1+MIN(MAX(IFERROR(MATCH(LN(Q$5),INDEX(Attenuation!$J:$J,$H64):INDEX(Attenuation!$J:$J,$H64+$I64-1),1),1),1),$I64-1))+1)))))</f>
        <v>0.81589863333198775</v>
      </c>
      <c r="R64" s="12">
        <f>IF($A64="","",IF(R$5&gt;2*$G64,"",EXP(FORECAST(LN(R$5),INDEX(Attenuation!$K:$K,($H64-1+MIN(MAX(IFERROR(MATCH(LN(R$5),INDEX(Attenuation!$J:$J,$H64):INDEX(Attenuation!$J:$J,$H64+$I64-1),1),1),1),$I64-1))):INDEX(Attenuation!$K:$K,($H64-1+MIN(MAX(IFERROR(MATCH(LN(R$5),INDEX(Attenuation!$J:$J,$H64):INDEX(Attenuation!$J:$J,$H64+$I64-1),1),1),1),$I64-1))+1),INDEX(Attenuation!$J:$J,($H64-1+MIN(MAX(IFERROR(MATCH(LN(R$5),INDEX(Attenuation!$J:$J,$H64):INDEX(Attenuation!$J:$J,$H64+$I64-1),1),1),1),$I64-1))):INDEX(Attenuation!$J:$J,($H64-1+MIN(MAX(IFERROR(MATCH(LN(R$5),INDEX(Attenuation!$J:$J,$H64):INDEX(Attenuation!$J:$J,$H64+$I64-1),1),1),1),$I64-1))+1)))))</f>
        <v>1.4969365839836744</v>
      </c>
      <c r="S64" s="12">
        <f>IF($A64="","",IF(S$5&gt;2*$G64,"",EXP(FORECAST(LN(S$5),INDEX(Attenuation!$K:$K,($H64-1+MIN(MAX(IFERROR(MATCH(LN(S$5),INDEX(Attenuation!$J:$J,$H64):INDEX(Attenuation!$J:$J,$H64+$I64-1),1),1),1),$I64-1))):INDEX(Attenuation!$K:$K,($H64-1+MIN(MAX(IFERROR(MATCH(LN(S$5),INDEX(Attenuation!$J:$J,$H64):INDEX(Attenuation!$J:$J,$H64+$I64-1),1),1),1),$I64-1))+1),INDEX(Attenuation!$J:$J,($H64-1+MIN(MAX(IFERROR(MATCH(LN(S$5),INDEX(Attenuation!$J:$J,$H64):INDEX(Attenuation!$J:$J,$H64+$I64-1),1),1),1),$I64-1))):INDEX(Attenuation!$J:$J,($H64-1+MIN(MAX(IFERROR(MATCH(LN(S$5),INDEX(Attenuation!$J:$J,$H64):INDEX(Attenuation!$J:$J,$H64+$I64-1),1),1),1),$I64-1))+1)))))</f>
        <v>2.8425980104274453</v>
      </c>
      <c r="T64" s="12">
        <f>IF($A64="","",IF(T$5&gt;2*$G64,"",EXP(FORECAST(LN(T$5),INDEX(Attenuation!$K:$K,($H64-1+MIN(MAX(IFERROR(MATCH(LN(T$5),INDEX(Attenuation!$J:$J,$H64):INDEX(Attenuation!$J:$J,$H64+$I64-1),1),1),1),$I64-1))):INDEX(Attenuation!$K:$K,($H64-1+MIN(MAX(IFERROR(MATCH(LN(T$5),INDEX(Attenuation!$J:$J,$H64):INDEX(Attenuation!$J:$J,$H64+$I64-1),1),1),1),$I64-1))+1),INDEX(Attenuation!$J:$J,($H64-1+MIN(MAX(IFERROR(MATCH(LN(T$5),INDEX(Attenuation!$J:$J,$H64):INDEX(Attenuation!$J:$J,$H64+$I64-1),1),1),1),$I64-1))):INDEX(Attenuation!$J:$J,($H64-1+MIN(MAX(IFERROR(MATCH(LN(T$5),INDEX(Attenuation!$J:$J,$H64):INDEX(Attenuation!$J:$J,$H64+$I64-1),1),1),1),$I64-1))+1)))))</f>
        <v>4.1583400205484562</v>
      </c>
      <c r="U64" s="12" t="str">
        <f>IF($A64="","",IF(U$5&gt;2*$G64,"",EXP(FORECAST(LN(U$5),INDEX(Attenuation!$K:$K,($H64-1+MIN(MAX(IFERROR(MATCH(LN(U$5),INDEX(Attenuation!$J:$J,$H64):INDEX(Attenuation!$J:$J,$H64+$I64-1),1),1),1),$I64-1))):INDEX(Attenuation!$K:$K,($H64-1+MIN(MAX(IFERROR(MATCH(LN(U$5),INDEX(Attenuation!$J:$J,$H64):INDEX(Attenuation!$J:$J,$H64+$I64-1),1),1),1),$I64-1))+1),INDEX(Attenuation!$J:$J,($H64-1+MIN(MAX(IFERROR(MATCH(LN(U$5),INDEX(Attenuation!$J:$J,$H64):INDEX(Attenuation!$J:$J,$H64+$I64-1),1),1),1),$I64-1))):INDEX(Attenuation!$J:$J,($H64-1+MIN(MAX(IFERROR(MATCH(LN(U$5),INDEX(Attenuation!$J:$J,$H64):INDEX(Attenuation!$J:$J,$H64+$I64-1),1),1),1),$I64-1))+1)))))</f>
        <v/>
      </c>
      <c r="V64" s="1"/>
      <c r="W64" s="12">
        <f t="shared" si="12"/>
        <v>2.5725793122798536E-2</v>
      </c>
      <c r="X64" s="12">
        <f t="shared" si="13"/>
        <v>3.6072470049191757E-2</v>
      </c>
      <c r="Y64" s="12">
        <f t="shared" si="14"/>
        <v>5.1342864622980461E-2</v>
      </c>
      <c r="Z64" s="12">
        <f t="shared" si="15"/>
        <v>7.3260986625755004E-2</v>
      </c>
      <c r="AA64" s="12">
        <f t="shared" si="16"/>
        <v>9.0325228434343235E-2</v>
      </c>
      <c r="AB64" s="12">
        <f t="shared" si="17"/>
        <v>0.10472656165412429</v>
      </c>
      <c r="AC64" s="12">
        <f t="shared" si="18"/>
        <v>0.14173199999999997</v>
      </c>
      <c r="AD64" s="12">
        <f t="shared" si="19"/>
        <v>0.24868590343958988</v>
      </c>
      <c r="AE64" s="12">
        <f t="shared" si="20"/>
        <v>0.45626627079822396</v>
      </c>
      <c r="AF64" s="12">
        <f t="shared" si="21"/>
        <v>0.86642387357828532</v>
      </c>
      <c r="AG64" s="12">
        <f t="shared" si="22"/>
        <v>1.2674620382631696</v>
      </c>
      <c r="AH64" s="12" t="str">
        <f t="shared" si="23"/>
        <v/>
      </c>
    </row>
    <row r="65" spans="1:34" x14ac:dyDescent="0.25">
      <c r="A65" s="11" t="str">
        <f>IF(ROWS($A$6:A65)&gt;COUNTA(Cables!$A:$A)-1,"",INDEX(Cables!$A:$A,ROWS($A$6:A65)+1))</f>
        <v>BEL-83264</v>
      </c>
      <c r="B65" s="11" t="str">
        <f>IF($A65="","",IF(INDEX(Cables!$B:$B,MATCH($A65,Cables!$A:$A,0))="","",INDEX(Cables!$B:$B,MATCH($A65,Cables!$A:$A,0))))</f>
        <v>Belden 83264 (RG-179, 75 Ω)</v>
      </c>
      <c r="C65" s="11">
        <f>IF($A65="","",IF(INDEX(Cables!$F:$F,MATCH($A65,Cables!$A:$A,0))="","",INDEX(Cables!$F:$F,MATCH($A65,Cables!$A:$A,0))))</f>
        <v>75</v>
      </c>
      <c r="D65" s="11">
        <f>IF($A65="","",IF(INDEX(Cables!$H:$H,MATCH($A65,Cables!$A:$A,0))="","",INDEX(Cables!$H:$H,MATCH($A65,Cables!$A:$A,0))))</f>
        <v>2.54</v>
      </c>
      <c r="E65" s="12">
        <f>IF($A65="","",IF(INDEX(Cables!$Q:$Q,MATCH($A65,Cables!$A:$A,0))="","",INDEX(Cables!$Q:$Q,MATCH($A65,Cables!$A:$A,0))))</f>
        <v>0.7</v>
      </c>
      <c r="F65" s="11">
        <f>IF($A65="","",IF(INDEX(Cables!$AQ:$AQ,MATCH($A65,Cables!$A:$A,0))="","",INDEX(Cables!$AQ:$AQ,MATCH($A65,Cables!$A:$A,0))))</f>
        <v>1</v>
      </c>
      <c r="G65" s="11">
        <f>IF($A65="","",IF(INDEX(Cables!$AR:$AR,MATCH($A65,Cables!$A:$A,0))="","",INDEX(Cables!$AR:$AR,MATCH($A65,Cables!$A:$A,0))))</f>
        <v>1000</v>
      </c>
      <c r="H65" s="11">
        <f>IF($A65="","",IF(INDEX(Cables!$AO:$AO,MATCH($A65,Cables!$A:$A,0))="","",INDEX(Cables!$AO:$AO,MATCH($A65,Cables!$A:$A,0))))</f>
        <v>1056</v>
      </c>
      <c r="I65" s="11">
        <f>IF($A65="","",IF(INDEX(Cables!$AP:$AP,MATCH($A65,Cables!$A:$A,0))="","",INDEX(Cables!$AP:$AP,MATCH($A65,Cables!$A:$A,0))))</f>
        <v>9</v>
      </c>
      <c r="J65" s="12">
        <f>IF($A65="","",IF(J$5&gt;2*$G65,"",EXP(FORECAST(LN(J$5),INDEX(Attenuation!$K:$K,($H65-1+MIN(MAX(IFERROR(MATCH(LN(J$5),INDEX(Attenuation!$J:$J,$H65):INDEX(Attenuation!$J:$J,$H65+$I65-1),1),1),1),$I65-1))):INDEX(Attenuation!$K:$K,($H65-1+MIN(MAX(IFERROR(MATCH(LN(J$5),INDEX(Attenuation!$J:$J,$H65):INDEX(Attenuation!$J:$J,$H65+$I65-1),1),1),1),$I65-1))+1),INDEX(Attenuation!$J:$J,($H65-1+MIN(MAX(IFERROR(MATCH(LN(J$5),INDEX(Attenuation!$J:$J,$H65):INDEX(Attenuation!$J:$J,$H65+$I65-1),1),1),1),$I65-1))):INDEX(Attenuation!$J:$J,($H65-1+MIN(MAX(IFERROR(MATCH(LN(J$5),INDEX(Attenuation!$J:$J,$H65):INDEX(Attenuation!$J:$J,$H65+$I65-1),1),1),1),$I65-1))+1)))))</f>
        <v>11.38146244599</v>
      </c>
      <c r="K65" s="12">
        <f>IF($A65="","",IF(K$5&gt;2*$G65,"",EXP(FORECAST(LN(K$5),INDEX(Attenuation!$K:$K,($H65-1+MIN(MAX(IFERROR(MATCH(LN(K$5),INDEX(Attenuation!$J:$J,$H65):INDEX(Attenuation!$J:$J,$H65+$I65-1),1),1),1),$I65-1))):INDEX(Attenuation!$K:$K,($H65-1+MIN(MAX(IFERROR(MATCH(LN(K$5),INDEX(Attenuation!$J:$J,$H65):INDEX(Attenuation!$J:$J,$H65+$I65-1),1),1),1),$I65-1))+1),INDEX(Attenuation!$J:$J,($H65-1+MIN(MAX(IFERROR(MATCH(LN(K$5),INDEX(Attenuation!$J:$J,$H65):INDEX(Attenuation!$J:$J,$H65+$I65-1),1),1),1),$I65-1))):INDEX(Attenuation!$J:$J,($H65-1+MIN(MAX(IFERROR(MATCH(LN(K$5),INDEX(Attenuation!$J:$J,$H65):INDEX(Attenuation!$J:$J,$H65+$I65-1),1),1),1),$I65-1))+1)))))</f>
        <v>13.414522554909162</v>
      </c>
      <c r="L65" s="12">
        <f>IF($A65="","",IF(L$5&gt;2*$G65,"",EXP(FORECAST(LN(L$5),INDEX(Attenuation!$K:$K,($H65-1+MIN(MAX(IFERROR(MATCH(LN(L$5),INDEX(Attenuation!$J:$J,$H65):INDEX(Attenuation!$J:$J,$H65+$I65-1),1),1),1),$I65-1))):INDEX(Attenuation!$K:$K,($H65-1+MIN(MAX(IFERROR(MATCH(LN(L$5),INDEX(Attenuation!$J:$J,$H65):INDEX(Attenuation!$J:$J,$H65+$I65-1),1),1),1),$I65-1))+1),INDEX(Attenuation!$J:$J,($H65-1+MIN(MAX(IFERROR(MATCH(LN(L$5),INDEX(Attenuation!$J:$J,$H65):INDEX(Attenuation!$J:$J,$H65+$I65-1),1),1),1),$I65-1))):INDEX(Attenuation!$J:$J,($H65-1+MIN(MAX(IFERROR(MATCH(LN(L$5),INDEX(Attenuation!$J:$J,$H65):INDEX(Attenuation!$J:$J,$H65+$I65-1),1),1),1),$I65-1))+1)))))</f>
        <v>15.921213737785807</v>
      </c>
      <c r="M65" s="12">
        <f>IF($A65="","",IF(M$5&gt;2*$G65,"",EXP(FORECAST(LN(M$5),INDEX(Attenuation!$K:$K,($H65-1+MIN(MAX(IFERROR(MATCH(LN(M$5),INDEX(Attenuation!$J:$J,$H65):INDEX(Attenuation!$J:$J,$H65+$I65-1),1),1),1),$I65-1))):INDEX(Attenuation!$K:$K,($H65-1+MIN(MAX(IFERROR(MATCH(LN(M$5),INDEX(Attenuation!$J:$J,$H65):INDEX(Attenuation!$J:$J,$H65+$I65-1),1),1),1),$I65-1))+1),INDEX(Attenuation!$J:$J,($H65-1+MIN(MAX(IFERROR(MATCH(LN(M$5),INDEX(Attenuation!$J:$J,$H65):INDEX(Attenuation!$J:$J,$H65+$I65-1),1),1),1),$I65-1))):INDEX(Attenuation!$J:$J,($H65-1+MIN(MAX(IFERROR(MATCH(LN(M$5),INDEX(Attenuation!$J:$J,$H65):INDEX(Attenuation!$J:$J,$H65+$I65-1),1),1),1),$I65-1))+1)))))</f>
        <v>19.193249784295709</v>
      </c>
      <c r="N65" s="12">
        <f>IF($A65="","",IF(N$5&gt;2*$G65,"",EXP(FORECAST(LN(N$5),INDEX(Attenuation!$K:$K,($H65-1+MIN(MAX(IFERROR(MATCH(LN(N$5),INDEX(Attenuation!$J:$J,$H65):INDEX(Attenuation!$J:$J,$H65+$I65-1),1),1),1),$I65-1))):INDEX(Attenuation!$K:$K,($H65-1+MIN(MAX(IFERROR(MATCH(LN(N$5),INDEX(Attenuation!$J:$J,$H65):INDEX(Attenuation!$J:$J,$H65+$I65-1),1),1),1),$I65-1))+1),INDEX(Attenuation!$J:$J,($H65-1+MIN(MAX(IFERROR(MATCH(LN(N$5),INDEX(Attenuation!$J:$J,$H65):INDEX(Attenuation!$J:$J,$H65+$I65-1),1),1),1),$I65-1))):INDEX(Attenuation!$J:$J,($H65-1+MIN(MAX(IFERROR(MATCH(LN(N$5),INDEX(Attenuation!$J:$J,$H65):INDEX(Attenuation!$J:$J,$H65+$I65-1),1),1),1),$I65-1))+1)))))</f>
        <v>21.618727674366699</v>
      </c>
      <c r="O65" s="12">
        <f>IF($A65="","",IF(O$5&gt;2*$G65,"",EXP(FORECAST(LN(O$5),INDEX(Attenuation!$K:$K,($H65-1+MIN(MAX(IFERROR(MATCH(LN(O$5),INDEX(Attenuation!$J:$J,$H65):INDEX(Attenuation!$J:$J,$H65+$I65-1),1),1),1),$I65-1))):INDEX(Attenuation!$K:$K,($H65-1+MIN(MAX(IFERROR(MATCH(LN(O$5),INDEX(Attenuation!$J:$J,$H65):INDEX(Attenuation!$J:$J,$H65+$I65-1),1),1),1),$I65-1))+1),INDEX(Attenuation!$J:$J,($H65-1+MIN(MAX(IFERROR(MATCH(LN(O$5),INDEX(Attenuation!$J:$J,$H65):INDEX(Attenuation!$J:$J,$H65+$I65-1),1),1),1),$I65-1))):INDEX(Attenuation!$J:$J,($H65-1+MIN(MAX(IFERROR(MATCH(LN(O$5),INDEX(Attenuation!$J:$J,$H65):INDEX(Attenuation!$J:$J,$H65+$I65-1),1),1),1),$I65-1))+1)))))</f>
        <v>23.523331054590621</v>
      </c>
      <c r="P65" s="12">
        <f>IF($A65="","",IF(P$5&gt;2*$G65,"",EXP(FORECAST(LN(P$5),INDEX(Attenuation!$K:$K,($H65-1+MIN(MAX(IFERROR(MATCH(LN(P$5),INDEX(Attenuation!$J:$J,$H65):INDEX(Attenuation!$J:$J,$H65+$I65-1),1),1),1),$I65-1))):INDEX(Attenuation!$K:$K,($H65-1+MIN(MAX(IFERROR(MATCH(LN(P$5),INDEX(Attenuation!$J:$J,$H65):INDEX(Attenuation!$J:$J,$H65+$I65-1),1),1),1),$I65-1))+1),INDEX(Attenuation!$J:$J,($H65-1+MIN(MAX(IFERROR(MATCH(LN(P$5),INDEX(Attenuation!$J:$J,$H65):INDEX(Attenuation!$J:$J,$H65+$I65-1),1),1),1),$I65-1))):INDEX(Attenuation!$J:$J,($H65-1+MIN(MAX(IFERROR(MATCH(LN(P$5),INDEX(Attenuation!$J:$J,$H65):INDEX(Attenuation!$J:$J,$H65+$I65-1),1),1),1),$I65-1))+1)))))</f>
        <v>27.887139107611546</v>
      </c>
      <c r="Q65" s="12">
        <f>IF($A65="","",IF(Q$5&gt;2*$G65,"",EXP(FORECAST(LN(Q$5),INDEX(Attenuation!$K:$K,($H65-1+MIN(MAX(IFERROR(MATCH(LN(Q$5),INDEX(Attenuation!$J:$J,$H65):INDEX(Attenuation!$J:$J,$H65+$I65-1),1),1),1),$I65-1))):INDEX(Attenuation!$K:$K,($H65-1+MIN(MAX(IFERROR(MATCH(LN(Q$5),INDEX(Attenuation!$J:$J,$H65):INDEX(Attenuation!$J:$J,$H65+$I65-1),1),1),1),$I65-1))+1),INDEX(Attenuation!$J:$J,($H65-1+MIN(MAX(IFERROR(MATCH(LN(Q$5),INDEX(Attenuation!$J:$J,$H65):INDEX(Attenuation!$J:$J,$H65+$I65-1),1),1),1),$I65-1))):INDEX(Attenuation!$J:$J,($H65-1+MIN(MAX(IFERROR(MATCH(LN(Q$5),INDEX(Attenuation!$J:$J,$H65):INDEX(Attenuation!$J:$J,$H65+$I65-1),1),1),1),$I65-1))+1)))))</f>
        <v>36.894902985629479</v>
      </c>
      <c r="R65" s="12">
        <f>IF($A65="","",IF(R$5&gt;2*$G65,"",EXP(FORECAST(LN(R$5),INDEX(Attenuation!$K:$K,($H65-1+MIN(MAX(IFERROR(MATCH(LN(R$5),INDEX(Attenuation!$J:$J,$H65):INDEX(Attenuation!$J:$J,$H65+$I65-1),1),1),1),$I65-1))):INDEX(Attenuation!$K:$K,($H65-1+MIN(MAX(IFERROR(MATCH(LN(R$5),INDEX(Attenuation!$J:$J,$H65):INDEX(Attenuation!$J:$J,$H65+$I65-1),1),1),1),$I65-1))+1),INDEX(Attenuation!$J:$J,($H65-1+MIN(MAX(IFERROR(MATCH(LN(R$5),INDEX(Attenuation!$J:$J,$H65):INDEX(Attenuation!$J:$J,$H65+$I65-1),1),1),1),$I65-1))):INDEX(Attenuation!$J:$J,($H65-1+MIN(MAX(IFERROR(MATCH(LN(R$5),INDEX(Attenuation!$J:$J,$H65):INDEX(Attenuation!$J:$J,$H65+$I65-1),1),1),1),$I65-1))+1)))))</f>
        <v>54.016926255138841</v>
      </c>
      <c r="S65" s="12">
        <f>IF($A65="","",IF(S$5&gt;2*$G65,"",EXP(FORECAST(LN(S$5),INDEX(Attenuation!$K:$K,($H65-1+MIN(MAX(IFERROR(MATCH(LN(S$5),INDEX(Attenuation!$J:$J,$H65):INDEX(Attenuation!$J:$J,$H65+$I65-1),1),1),1),$I65-1))):INDEX(Attenuation!$K:$K,($H65-1+MIN(MAX(IFERROR(MATCH(LN(S$5),INDEX(Attenuation!$J:$J,$H65):INDEX(Attenuation!$J:$J,$H65+$I65-1),1),1),1),$I65-1))+1),INDEX(Attenuation!$J:$J,($H65-1+MIN(MAX(IFERROR(MATCH(LN(S$5),INDEX(Attenuation!$J:$J,$H65):INDEX(Attenuation!$J:$J,$H65+$I65-1),1),1),1),$I65-1))):INDEX(Attenuation!$J:$J,($H65-1+MIN(MAX(IFERROR(MATCH(LN(S$5),INDEX(Attenuation!$J:$J,$H65):INDEX(Attenuation!$J:$J,$H65+$I65-1),1),1),1),$I65-1))+1)))))</f>
        <v>94.344146592741964</v>
      </c>
      <c r="T65" s="12" t="str">
        <f>IF($A65="","",IF(T$5&gt;2*$G65,"",EXP(FORECAST(LN(T$5),INDEX(Attenuation!$K:$K,($H65-1+MIN(MAX(IFERROR(MATCH(LN(T$5),INDEX(Attenuation!$J:$J,$H65):INDEX(Attenuation!$J:$J,$H65+$I65-1),1),1),1),$I65-1))):INDEX(Attenuation!$K:$K,($H65-1+MIN(MAX(IFERROR(MATCH(LN(T$5),INDEX(Attenuation!$J:$J,$H65):INDEX(Attenuation!$J:$J,$H65+$I65-1),1),1),1),$I65-1))+1),INDEX(Attenuation!$J:$J,($H65-1+MIN(MAX(IFERROR(MATCH(LN(T$5),INDEX(Attenuation!$J:$J,$H65):INDEX(Attenuation!$J:$J,$H65+$I65-1),1),1),1),$I65-1))):INDEX(Attenuation!$J:$J,($H65-1+MIN(MAX(IFERROR(MATCH(LN(T$5),INDEX(Attenuation!$J:$J,$H65):INDEX(Attenuation!$J:$J,$H65+$I65-1),1),1),1),$I65-1))+1)))))</f>
        <v/>
      </c>
      <c r="U65" s="12" t="str">
        <f>IF($A65="","",IF(U$5&gt;2*$G65,"",EXP(FORECAST(LN(U$5),INDEX(Attenuation!$K:$K,($H65-1+MIN(MAX(IFERROR(MATCH(LN(U$5),INDEX(Attenuation!$J:$J,$H65):INDEX(Attenuation!$J:$J,$H65+$I65-1),1),1),1),$I65-1))):INDEX(Attenuation!$K:$K,($H65-1+MIN(MAX(IFERROR(MATCH(LN(U$5),INDEX(Attenuation!$J:$J,$H65):INDEX(Attenuation!$J:$J,$H65+$I65-1),1),1),1),$I65-1))+1),INDEX(Attenuation!$J:$J,($H65-1+MIN(MAX(IFERROR(MATCH(LN(U$5),INDEX(Attenuation!$J:$J,$H65):INDEX(Attenuation!$J:$J,$H65+$I65-1),1),1),1),$I65-1))):INDEX(Attenuation!$J:$J,($H65-1+MIN(MAX(IFERROR(MATCH(LN(U$5),INDEX(Attenuation!$J:$J,$H65):INDEX(Attenuation!$J:$J,$H65+$I65-1),1),1),1),$I65-1))+1)))))</f>
        <v/>
      </c>
      <c r="V65" s="1"/>
      <c r="W65" s="12">
        <f t="shared" si="12"/>
        <v>3.4690697535377519</v>
      </c>
      <c r="X65" s="12">
        <f t="shared" si="13"/>
        <v>4.0887464747363129</v>
      </c>
      <c r="Y65" s="12">
        <f t="shared" si="14"/>
        <v>4.8527859472771144</v>
      </c>
      <c r="Z65" s="12">
        <f t="shared" si="15"/>
        <v>5.8501025342533328</v>
      </c>
      <c r="AA65" s="12">
        <f t="shared" si="16"/>
        <v>6.5893881951469702</v>
      </c>
      <c r="AB65" s="12">
        <f t="shared" si="17"/>
        <v>7.1699113054392214</v>
      </c>
      <c r="AC65" s="12">
        <f t="shared" si="18"/>
        <v>8.5</v>
      </c>
      <c r="AD65" s="12">
        <f t="shared" si="19"/>
        <v>11.245566430019865</v>
      </c>
      <c r="AE65" s="12">
        <f t="shared" si="20"/>
        <v>16.464359122566318</v>
      </c>
      <c r="AF65" s="12">
        <f t="shared" si="21"/>
        <v>28.756095881467751</v>
      </c>
      <c r="AG65" s="12" t="str">
        <f t="shared" si="22"/>
        <v/>
      </c>
      <c r="AH65" s="12" t="str">
        <f t="shared" si="23"/>
        <v/>
      </c>
    </row>
    <row r="66" spans="1:34" x14ac:dyDescent="0.25">
      <c r="A66" s="11" t="str">
        <f>IF(ROWS($A$6:A66)&gt;COUNTA(Cables!$A:$A)-1,"",INDEX(Cables!$A:$A,ROWS($A$6:A66)+1))</f>
        <v>BEL-8263</v>
      </c>
      <c r="B66" s="11" t="str">
        <f>IF($A66="","",IF(INDEX(Cables!$B:$B,MATCH($A66,Cables!$A:$A,0))="","",INDEX(Cables!$B:$B,MATCH($A66,Cables!$A:$A,0))))</f>
        <v>Belden 8263 (RG-59B/U, 75 Ω)</v>
      </c>
      <c r="C66" s="11">
        <f>IF($A66="","",IF(INDEX(Cables!$F:$F,MATCH($A66,Cables!$A:$A,0))="","",INDEX(Cables!$F:$F,MATCH($A66,Cables!$A:$A,0))))</f>
        <v>75</v>
      </c>
      <c r="D66" s="11">
        <f>IF($A66="","",IF(INDEX(Cables!$H:$H,MATCH($A66,Cables!$A:$A,0))="","",INDEX(Cables!$H:$H,MATCH($A66,Cables!$A:$A,0))))</f>
        <v>6.12</v>
      </c>
      <c r="E66" s="12">
        <f>IF($A66="","",IF(INDEX(Cables!$Q:$Q,MATCH($A66,Cables!$A:$A,0))="","",INDEX(Cables!$Q:$Q,MATCH($A66,Cables!$A:$A,0))))</f>
        <v>0.66</v>
      </c>
      <c r="F66" s="11">
        <f>IF($A66="","",IF(INDEX(Cables!$AQ:$AQ,MATCH($A66,Cables!$A:$A,0))="","",INDEX(Cables!$AQ:$AQ,MATCH($A66,Cables!$A:$A,0))))</f>
        <v>1</v>
      </c>
      <c r="G66" s="11">
        <f>IF($A66="","",IF(INDEX(Cables!$AR:$AR,MATCH($A66,Cables!$A:$A,0))="","",INDEX(Cables!$AR:$AR,MATCH($A66,Cables!$A:$A,0))))</f>
        <v>1000</v>
      </c>
      <c r="H66" s="11">
        <f>IF($A66="","",IF(INDEX(Cables!$AO:$AO,MATCH($A66,Cables!$A:$A,0))="","",INDEX(Cables!$AO:$AO,MATCH($A66,Cables!$A:$A,0))))</f>
        <v>1065</v>
      </c>
      <c r="I66" s="11">
        <f>IF($A66="","",IF(INDEX(Cables!$AP:$AP,MATCH($A66,Cables!$A:$A,0))="","",INDEX(Cables!$AP:$AP,MATCH($A66,Cables!$A:$A,0))))</f>
        <v>9</v>
      </c>
      <c r="J66" s="12">
        <f>IF($A66="","",IF(J$5&gt;2*$G66,"",EXP(FORECAST(LN(J$5),INDEX(Attenuation!$K:$K,($H66-1+MIN(MAX(IFERROR(MATCH(LN(J$5),INDEX(Attenuation!$J:$J,$H66):INDEX(Attenuation!$J:$J,$H66+$I66-1),1),1),1),$I66-1))):INDEX(Attenuation!$K:$K,($H66-1+MIN(MAX(IFERROR(MATCH(LN(J$5),INDEX(Attenuation!$J:$J,$H66):INDEX(Attenuation!$J:$J,$H66+$I66-1),1),1),1),$I66-1))+1),INDEX(Attenuation!$J:$J,($H66-1+MIN(MAX(IFERROR(MATCH(LN(J$5),INDEX(Attenuation!$J:$J,$H66):INDEX(Attenuation!$J:$J,$H66+$I66-1),1),1),1),$I66-1))):INDEX(Attenuation!$J:$J,($H66-1+MIN(MAX(IFERROR(MATCH(LN(J$5),INDEX(Attenuation!$J:$J,$H66):INDEX(Attenuation!$J:$J,$H66+$I66-1),1),1),1),$I66-1))+1)))))</f>
        <v>2.2979183236083158</v>
      </c>
      <c r="K66" s="12">
        <f>IF($A66="","",IF(K$5&gt;2*$G66,"",EXP(FORECAST(LN(K$5),INDEX(Attenuation!$K:$K,($H66-1+MIN(MAX(IFERROR(MATCH(LN(K$5),INDEX(Attenuation!$J:$J,$H66):INDEX(Attenuation!$J:$J,$H66+$I66-1),1),1),1),$I66-1))):INDEX(Attenuation!$K:$K,($H66-1+MIN(MAX(IFERROR(MATCH(LN(K$5),INDEX(Attenuation!$J:$J,$H66):INDEX(Attenuation!$J:$J,$H66+$I66-1),1),1),1),$I66-1))+1),INDEX(Attenuation!$J:$J,($H66-1+MIN(MAX(IFERROR(MATCH(LN(K$5),INDEX(Attenuation!$J:$J,$H66):INDEX(Attenuation!$J:$J,$H66+$I66-1),1),1),1),$I66-1))):INDEX(Attenuation!$J:$J,($H66-1+MIN(MAX(IFERROR(MATCH(LN(K$5),INDEX(Attenuation!$J:$J,$H66):INDEX(Attenuation!$J:$J,$H66+$I66-1),1),1),1),$I66-1))+1)))))</f>
        <v>2.7375215100461108</v>
      </c>
      <c r="L66" s="12">
        <f>IF($A66="","",IF(L$5&gt;2*$G66,"",EXP(FORECAST(LN(L$5),INDEX(Attenuation!$K:$K,($H66-1+MIN(MAX(IFERROR(MATCH(LN(L$5),INDEX(Attenuation!$J:$J,$H66):INDEX(Attenuation!$J:$J,$H66+$I66-1),1),1),1),$I66-1))):INDEX(Attenuation!$K:$K,($H66-1+MIN(MAX(IFERROR(MATCH(LN(L$5),INDEX(Attenuation!$J:$J,$H66):INDEX(Attenuation!$J:$J,$H66+$I66-1),1),1),1),$I66-1))+1),INDEX(Attenuation!$J:$J,($H66-1+MIN(MAX(IFERROR(MATCH(LN(L$5),INDEX(Attenuation!$J:$J,$H66):INDEX(Attenuation!$J:$J,$H66+$I66-1),1),1),1),$I66-1))):INDEX(Attenuation!$J:$J,($H66-1+MIN(MAX(IFERROR(MATCH(LN(L$5),INDEX(Attenuation!$J:$J,$H66):INDEX(Attenuation!$J:$J,$H66+$I66-1),1),1),1),$I66-1))+1)))))</f>
        <v>3.2854972520996606</v>
      </c>
      <c r="M66" s="12">
        <f>IF($A66="","",IF(M$5&gt;2*$G66,"",EXP(FORECAST(LN(M$5),INDEX(Attenuation!$K:$K,($H66-1+MIN(MAX(IFERROR(MATCH(LN(M$5),INDEX(Attenuation!$J:$J,$H66):INDEX(Attenuation!$J:$J,$H66+$I66-1),1),1),1),$I66-1))):INDEX(Attenuation!$K:$K,($H66-1+MIN(MAX(IFERROR(MATCH(LN(M$5),INDEX(Attenuation!$J:$J,$H66):INDEX(Attenuation!$J:$J,$H66+$I66-1),1),1),1),$I66-1))+1),INDEX(Attenuation!$J:$J,($H66-1+MIN(MAX(IFERROR(MATCH(LN(M$5),INDEX(Attenuation!$J:$J,$H66):INDEX(Attenuation!$J:$J,$H66+$I66-1),1),1),1),$I66-1))):INDEX(Attenuation!$J:$J,($H66-1+MIN(MAX(IFERROR(MATCH(LN(M$5),INDEX(Attenuation!$J:$J,$H66):INDEX(Attenuation!$J:$J,$H66+$I66-1),1),1),1),$I66-1))+1)))))</f>
        <v>4.248266886353619</v>
      </c>
      <c r="N66" s="12">
        <f>IF($A66="","",IF(N$5&gt;2*$G66,"",EXP(FORECAST(LN(N$5),INDEX(Attenuation!$K:$K,($H66-1+MIN(MAX(IFERROR(MATCH(LN(N$5),INDEX(Attenuation!$J:$J,$H66):INDEX(Attenuation!$J:$J,$H66+$I66-1),1),1),1),$I66-1))):INDEX(Attenuation!$K:$K,($H66-1+MIN(MAX(IFERROR(MATCH(LN(N$5),INDEX(Attenuation!$J:$J,$H66):INDEX(Attenuation!$J:$J,$H66+$I66-1),1),1),1),$I66-1))+1),INDEX(Attenuation!$J:$J,($H66-1+MIN(MAX(IFERROR(MATCH(LN(N$5),INDEX(Attenuation!$J:$J,$H66):INDEX(Attenuation!$J:$J,$H66+$I66-1),1),1),1),$I66-1))):INDEX(Attenuation!$J:$J,($H66-1+MIN(MAX(IFERROR(MATCH(LN(N$5),INDEX(Attenuation!$J:$J,$H66):INDEX(Attenuation!$J:$J,$H66+$I66-1),1),1),1),$I66-1))+1)))))</f>
        <v>5.1709486866330945</v>
      </c>
      <c r="O66" s="12">
        <f>IF($A66="","",IF(O$5&gt;2*$G66,"",EXP(FORECAST(LN(O$5),INDEX(Attenuation!$K:$K,($H66-1+MIN(MAX(IFERROR(MATCH(LN(O$5),INDEX(Attenuation!$J:$J,$H66):INDEX(Attenuation!$J:$J,$H66+$I66-1),1),1),1),$I66-1))):INDEX(Attenuation!$K:$K,($H66-1+MIN(MAX(IFERROR(MATCH(LN(O$5),INDEX(Attenuation!$J:$J,$H66):INDEX(Attenuation!$J:$J,$H66+$I66-1),1),1),1),$I66-1))+1),INDEX(Attenuation!$J:$J,($H66-1+MIN(MAX(IFERROR(MATCH(LN(O$5),INDEX(Attenuation!$J:$J,$H66):INDEX(Attenuation!$J:$J,$H66+$I66-1),1),1),1),$I66-1))):INDEX(Attenuation!$J:$J,($H66-1+MIN(MAX(IFERROR(MATCH(LN(O$5),INDEX(Attenuation!$J:$J,$H66):INDEX(Attenuation!$J:$J,$H66+$I66-1),1),1),1),$I66-1))+1)))))</f>
        <v>5.9447418766453257</v>
      </c>
      <c r="P66" s="12">
        <f>IF($A66="","",IF(P$5&gt;2*$G66,"",EXP(FORECAST(LN(P$5),INDEX(Attenuation!$K:$K,($H66-1+MIN(MAX(IFERROR(MATCH(LN(P$5),INDEX(Attenuation!$J:$J,$H66):INDEX(Attenuation!$J:$J,$H66+$I66-1),1),1),1),$I66-1))):INDEX(Attenuation!$K:$K,($H66-1+MIN(MAX(IFERROR(MATCH(LN(P$5),INDEX(Attenuation!$J:$J,$H66):INDEX(Attenuation!$J:$J,$H66+$I66-1),1),1),1),$I66-1))+1),INDEX(Attenuation!$J:$J,($H66-1+MIN(MAX(IFERROR(MATCH(LN(P$5),INDEX(Attenuation!$J:$J,$H66):INDEX(Attenuation!$J:$J,$H66+$I66-1),1),1),1),$I66-1))):INDEX(Attenuation!$J:$J,($H66-1+MIN(MAX(IFERROR(MATCH(LN(P$5),INDEX(Attenuation!$J:$J,$H66):INDEX(Attenuation!$J:$J,$H66+$I66-1),1),1),1),$I66-1))+1)))))</f>
        <v>7.874015748031491</v>
      </c>
      <c r="Q66" s="12">
        <f>IF($A66="","",IF(Q$5&gt;2*$G66,"",EXP(FORECAST(LN(Q$5),INDEX(Attenuation!$K:$K,($H66-1+MIN(MAX(IFERROR(MATCH(LN(Q$5),INDEX(Attenuation!$J:$J,$H66):INDEX(Attenuation!$J:$J,$H66+$I66-1),1),1),1),$I66-1))):INDEX(Attenuation!$K:$K,($H66-1+MIN(MAX(IFERROR(MATCH(LN(Q$5),INDEX(Attenuation!$J:$J,$H66):INDEX(Attenuation!$J:$J,$H66+$I66-1),1),1),1),$I66-1))+1),INDEX(Attenuation!$J:$J,($H66-1+MIN(MAX(IFERROR(MATCH(LN(Q$5),INDEX(Attenuation!$J:$J,$H66):INDEX(Attenuation!$J:$J,$H66+$I66-1),1),1),1),$I66-1))):INDEX(Attenuation!$J:$J,($H66-1+MIN(MAX(IFERROR(MATCH(LN(Q$5),INDEX(Attenuation!$J:$J,$H66):INDEX(Attenuation!$J:$J,$H66+$I66-1),1),1),1),$I66-1))+1)))))</f>
        <v>13.519483612535433</v>
      </c>
      <c r="R66" s="12">
        <f>IF($A66="","",IF(R$5&gt;2*$G66,"",EXP(FORECAST(LN(R$5),INDEX(Attenuation!$K:$K,($H66-1+MIN(MAX(IFERROR(MATCH(LN(R$5),INDEX(Attenuation!$J:$J,$H66):INDEX(Attenuation!$J:$J,$H66+$I66-1),1),1),1),$I66-1))):INDEX(Attenuation!$K:$K,($H66-1+MIN(MAX(IFERROR(MATCH(LN(R$5),INDEX(Attenuation!$J:$J,$H66):INDEX(Attenuation!$J:$J,$H66+$I66-1),1),1),1),$I66-1))+1),INDEX(Attenuation!$J:$J,($H66-1+MIN(MAX(IFERROR(MATCH(LN(R$5),INDEX(Attenuation!$J:$J,$H66):INDEX(Attenuation!$J:$J,$H66+$I66-1),1),1),1),$I66-1))):INDEX(Attenuation!$J:$J,($H66-1+MIN(MAX(IFERROR(MATCH(LN(R$5),INDEX(Attenuation!$J:$J,$H66):INDEX(Attenuation!$J:$J,$H66+$I66-1),1),1),1),$I66-1))+1)))))</f>
        <v>24.019652594514326</v>
      </c>
      <c r="S66" s="12">
        <f>IF($A66="","",IF(S$5&gt;2*$G66,"",EXP(FORECAST(LN(S$5),INDEX(Attenuation!$K:$K,($H66-1+MIN(MAX(IFERROR(MATCH(LN(S$5),INDEX(Attenuation!$J:$J,$H66):INDEX(Attenuation!$J:$J,$H66+$I66-1),1),1),1),$I66-1))):INDEX(Attenuation!$K:$K,($H66-1+MIN(MAX(IFERROR(MATCH(LN(S$5),INDEX(Attenuation!$J:$J,$H66):INDEX(Attenuation!$J:$J,$H66+$I66-1),1),1),1),$I66-1))+1),INDEX(Attenuation!$J:$J,($H66-1+MIN(MAX(IFERROR(MATCH(LN(S$5),INDEX(Attenuation!$J:$J,$H66):INDEX(Attenuation!$J:$J,$H66+$I66-1),1),1),1),$I66-1))):INDEX(Attenuation!$J:$J,($H66-1+MIN(MAX(IFERROR(MATCH(LN(S$5),INDEX(Attenuation!$J:$J,$H66):INDEX(Attenuation!$J:$J,$H66+$I66-1),1),1),1),$I66-1))+1)))))</f>
        <v>47.696705669498748</v>
      </c>
      <c r="T66" s="12" t="str">
        <f>IF($A66="","",IF(T$5&gt;2*$G66,"",EXP(FORECAST(LN(T$5),INDEX(Attenuation!$K:$K,($H66-1+MIN(MAX(IFERROR(MATCH(LN(T$5),INDEX(Attenuation!$J:$J,$H66):INDEX(Attenuation!$J:$J,$H66+$I66-1),1),1),1),$I66-1))):INDEX(Attenuation!$K:$K,($H66-1+MIN(MAX(IFERROR(MATCH(LN(T$5),INDEX(Attenuation!$J:$J,$H66):INDEX(Attenuation!$J:$J,$H66+$I66-1),1),1),1),$I66-1))+1),INDEX(Attenuation!$J:$J,($H66-1+MIN(MAX(IFERROR(MATCH(LN(T$5),INDEX(Attenuation!$J:$J,$H66):INDEX(Attenuation!$J:$J,$H66+$I66-1),1),1),1),$I66-1))):INDEX(Attenuation!$J:$J,($H66-1+MIN(MAX(IFERROR(MATCH(LN(T$5),INDEX(Attenuation!$J:$J,$H66):INDEX(Attenuation!$J:$J,$H66+$I66-1),1),1),1),$I66-1))+1)))))</f>
        <v/>
      </c>
      <c r="U66" s="12" t="str">
        <f>IF($A66="","",IF(U$5&gt;2*$G66,"",EXP(FORECAST(LN(U$5),INDEX(Attenuation!$K:$K,($H66-1+MIN(MAX(IFERROR(MATCH(LN(U$5),INDEX(Attenuation!$J:$J,$H66):INDEX(Attenuation!$J:$J,$H66+$I66-1),1),1),1),$I66-1))):INDEX(Attenuation!$K:$K,($H66-1+MIN(MAX(IFERROR(MATCH(LN(U$5),INDEX(Attenuation!$J:$J,$H66):INDEX(Attenuation!$J:$J,$H66+$I66-1),1),1),1),$I66-1))+1),INDEX(Attenuation!$J:$J,($H66-1+MIN(MAX(IFERROR(MATCH(LN(U$5),INDEX(Attenuation!$J:$J,$H66):INDEX(Attenuation!$J:$J,$H66+$I66-1),1),1),1),$I66-1))):INDEX(Attenuation!$J:$J,($H66-1+MIN(MAX(IFERROR(MATCH(LN(U$5),INDEX(Attenuation!$J:$J,$H66):INDEX(Attenuation!$J:$J,$H66+$I66-1),1),1),1),$I66-1))+1)))))</f>
        <v/>
      </c>
      <c r="V66" s="1"/>
      <c r="W66" s="12">
        <f t="shared" si="12"/>
        <v>0.70040550503581467</v>
      </c>
      <c r="X66" s="12">
        <f t="shared" si="13"/>
        <v>0.83439655626205456</v>
      </c>
      <c r="Y66" s="12">
        <f t="shared" si="14"/>
        <v>1.0014195624399767</v>
      </c>
      <c r="Z66" s="12">
        <f t="shared" si="15"/>
        <v>1.294871746960583</v>
      </c>
      <c r="AA66" s="12">
        <f t="shared" si="16"/>
        <v>1.5761051596857674</v>
      </c>
      <c r="AB66" s="12">
        <f t="shared" si="17"/>
        <v>1.8119573240014955</v>
      </c>
      <c r="AC66" s="12">
        <f t="shared" si="18"/>
        <v>2.3999999999999986</v>
      </c>
      <c r="AD66" s="12">
        <f t="shared" si="19"/>
        <v>4.1207386051007999</v>
      </c>
      <c r="AE66" s="12">
        <f t="shared" si="20"/>
        <v>7.3211901108079669</v>
      </c>
      <c r="AF66" s="12">
        <f t="shared" si="21"/>
        <v>14.53795588806322</v>
      </c>
      <c r="AG66" s="12" t="str">
        <f t="shared" si="22"/>
        <v/>
      </c>
      <c r="AH66" s="12" t="str">
        <f t="shared" si="23"/>
        <v/>
      </c>
    </row>
    <row r="67" spans="1:34" x14ac:dyDescent="0.25">
      <c r="A67" s="11" t="str">
        <f>IF(ROWS($A$6:A67)&gt;COUNTA(Cables!$A:$A)-1,"",INDEX(Cables!$A:$A,ROWS($A$6:A67)+1))</f>
        <v>BEL-8261</v>
      </c>
      <c r="B67" s="11" t="str">
        <f>IF($A67="","",IF(INDEX(Cables!$B:$B,MATCH($A67,Cables!$A:$A,0))="","",INDEX(Cables!$B:$B,MATCH($A67,Cables!$A:$A,0))))</f>
        <v>Belden 8261 (RG-11/U dolu PE, 75 Ω)</v>
      </c>
      <c r="C67" s="11">
        <f>IF($A67="","",IF(INDEX(Cables!$F:$F,MATCH($A67,Cables!$A:$A,0))="","",INDEX(Cables!$F:$F,MATCH($A67,Cables!$A:$A,0))))</f>
        <v>75</v>
      </c>
      <c r="D67" s="11">
        <f>IF($A67="","",IF(INDEX(Cables!$H:$H,MATCH($A67,Cables!$A:$A,0))="","",INDEX(Cables!$H:$H,MATCH($A67,Cables!$A:$A,0))))</f>
        <v>10.3</v>
      </c>
      <c r="E67" s="12">
        <f>IF($A67="","",IF(INDEX(Cables!$Q:$Q,MATCH($A67,Cables!$A:$A,0))="","",INDEX(Cables!$Q:$Q,MATCH($A67,Cables!$A:$A,0))))</f>
        <v>0.66</v>
      </c>
      <c r="F67" s="11">
        <f>IF($A67="","",IF(INDEX(Cables!$AQ:$AQ,MATCH($A67,Cables!$A:$A,0))="","",INDEX(Cables!$AQ:$AQ,MATCH($A67,Cables!$A:$A,0))))</f>
        <v>1</v>
      </c>
      <c r="G67" s="11">
        <f>IF($A67="","",IF(INDEX(Cables!$AR:$AR,MATCH($A67,Cables!$A:$A,0))="","",INDEX(Cables!$AR:$AR,MATCH($A67,Cables!$A:$A,0))))</f>
        <v>1000</v>
      </c>
      <c r="H67" s="11">
        <f>IF($A67="","",IF(INDEX(Cables!$AO:$AO,MATCH($A67,Cables!$A:$A,0))="","",INDEX(Cables!$AO:$AO,MATCH($A67,Cables!$A:$A,0))))</f>
        <v>1074</v>
      </c>
      <c r="I67" s="11">
        <f>IF($A67="","",IF(INDEX(Cables!$AP:$AP,MATCH($A67,Cables!$A:$A,0))="","",INDEX(Cables!$AP:$AP,MATCH($A67,Cables!$A:$A,0))))</f>
        <v>9</v>
      </c>
      <c r="J67" s="12">
        <f>IF($A67="","",IF(J$5&gt;2*$G67,"",EXP(FORECAST(LN(J$5),INDEX(Attenuation!$K:$K,($H67-1+MIN(MAX(IFERROR(MATCH(LN(J$5),INDEX(Attenuation!$J:$J,$H67):INDEX(Attenuation!$J:$J,$H67+$I67-1),1),1),1),$I67-1))):INDEX(Attenuation!$K:$K,($H67-1+MIN(MAX(IFERROR(MATCH(LN(J$5),INDEX(Attenuation!$J:$J,$H67):INDEX(Attenuation!$J:$J,$H67+$I67-1),1),1),1),$I67-1))+1),INDEX(Attenuation!$J:$J,($H67-1+MIN(MAX(IFERROR(MATCH(LN(J$5),INDEX(Attenuation!$J:$J,$H67):INDEX(Attenuation!$J:$J,$H67+$I67-1),1),1),1),$I67-1))):INDEX(Attenuation!$J:$J,($H67-1+MIN(MAX(IFERROR(MATCH(LN(J$5),INDEX(Attenuation!$J:$J,$H67):INDEX(Attenuation!$J:$J,$H67+$I67-1),1),1),1),$I67-1))+1)))))</f>
        <v>0.90344276775658394</v>
      </c>
      <c r="K67" s="12">
        <f>IF($A67="","",IF(K$5&gt;2*$G67,"",EXP(FORECAST(LN(K$5),INDEX(Attenuation!$K:$K,($H67-1+MIN(MAX(IFERROR(MATCH(LN(K$5),INDEX(Attenuation!$J:$J,$H67):INDEX(Attenuation!$J:$J,$H67+$I67-1),1),1),1),$I67-1))):INDEX(Attenuation!$K:$K,($H67-1+MIN(MAX(IFERROR(MATCH(LN(K$5),INDEX(Attenuation!$J:$J,$H67):INDEX(Attenuation!$J:$J,$H67+$I67-1),1),1),1),$I67-1))+1),INDEX(Attenuation!$J:$J,($H67-1+MIN(MAX(IFERROR(MATCH(LN(K$5),INDEX(Attenuation!$J:$J,$H67):INDEX(Attenuation!$J:$J,$H67+$I67-1),1),1),1),$I67-1))):INDEX(Attenuation!$J:$J,($H67-1+MIN(MAX(IFERROR(MATCH(LN(K$5),INDEX(Attenuation!$J:$J,$H67):INDEX(Attenuation!$J:$J,$H67+$I67-1),1),1),1),$I67-1))+1)))))</f>
        <v>1.2972541535073927</v>
      </c>
      <c r="L67" s="12">
        <f>IF($A67="","",IF(L$5&gt;2*$G67,"",EXP(FORECAST(LN(L$5),INDEX(Attenuation!$K:$K,($H67-1+MIN(MAX(IFERROR(MATCH(LN(L$5),INDEX(Attenuation!$J:$J,$H67):INDEX(Attenuation!$J:$J,$H67+$I67-1),1),1),1),$I67-1))):INDEX(Attenuation!$K:$K,($H67-1+MIN(MAX(IFERROR(MATCH(LN(L$5),INDEX(Attenuation!$J:$J,$H67):INDEX(Attenuation!$J:$J,$H67+$I67-1),1),1),1),$I67-1))+1),INDEX(Attenuation!$J:$J,($H67-1+MIN(MAX(IFERROR(MATCH(LN(L$5),INDEX(Attenuation!$J:$J,$H67):INDEX(Attenuation!$J:$J,$H67+$I67-1),1),1),1),$I67-1))):INDEX(Attenuation!$J:$J,($H67-1+MIN(MAX(IFERROR(MATCH(LN(L$5),INDEX(Attenuation!$J:$J,$H67):INDEX(Attenuation!$J:$J,$H67+$I67-1),1),1),1),$I67-1))+1)))))</f>
        <v>1.8914979324449939</v>
      </c>
      <c r="M67" s="12">
        <f>IF($A67="","",IF(M$5&gt;2*$G67,"",EXP(FORECAST(LN(M$5),INDEX(Attenuation!$K:$K,($H67-1+MIN(MAX(IFERROR(MATCH(LN(M$5),INDEX(Attenuation!$J:$J,$H67):INDEX(Attenuation!$J:$J,$H67+$I67-1),1),1),1),$I67-1))):INDEX(Attenuation!$K:$K,($H67-1+MIN(MAX(IFERROR(MATCH(LN(M$5),INDEX(Attenuation!$J:$J,$H67):INDEX(Attenuation!$J:$J,$H67+$I67-1),1),1),1),$I67-1))+1),INDEX(Attenuation!$J:$J,($H67-1+MIN(MAX(IFERROR(MATCH(LN(M$5),INDEX(Attenuation!$J:$J,$H67):INDEX(Attenuation!$J:$J,$H67+$I67-1),1),1),1),$I67-1))):INDEX(Attenuation!$J:$J,($H67-1+MIN(MAX(IFERROR(MATCH(LN(M$5),INDEX(Attenuation!$J:$J,$H67):INDEX(Attenuation!$J:$J,$H67+$I67-1),1),1),1),$I67-1))+1)))))</f>
        <v>2.6138966006628577</v>
      </c>
      <c r="N67" s="12">
        <f>IF($A67="","",IF(N$5&gt;2*$G67,"",EXP(FORECAST(LN(N$5),INDEX(Attenuation!$K:$K,($H67-1+MIN(MAX(IFERROR(MATCH(LN(N$5),INDEX(Attenuation!$J:$J,$H67):INDEX(Attenuation!$J:$J,$H67+$I67-1),1),1),1),$I67-1))):INDEX(Attenuation!$K:$K,($H67-1+MIN(MAX(IFERROR(MATCH(LN(N$5),INDEX(Attenuation!$J:$J,$H67):INDEX(Attenuation!$J:$J,$H67+$I67-1),1),1),1),$I67-1))+1),INDEX(Attenuation!$J:$J,($H67-1+MIN(MAX(IFERROR(MATCH(LN(N$5),INDEX(Attenuation!$J:$J,$H67):INDEX(Attenuation!$J:$J,$H67+$I67-1),1),1),1),$I67-1))):INDEX(Attenuation!$J:$J,($H67-1+MIN(MAX(IFERROR(MATCH(LN(N$5),INDEX(Attenuation!$J:$J,$H67):INDEX(Attenuation!$J:$J,$H67+$I67-1),1),1),1),$I67-1))+1)))))</f>
        <v>3.0550512893376203</v>
      </c>
      <c r="O67" s="12">
        <f>IF($A67="","",IF(O$5&gt;2*$G67,"",EXP(FORECAST(LN(O$5),INDEX(Attenuation!$K:$K,($H67-1+MIN(MAX(IFERROR(MATCH(LN(O$5),INDEX(Attenuation!$J:$J,$H67):INDEX(Attenuation!$J:$J,$H67+$I67-1),1),1),1),$I67-1))):INDEX(Attenuation!$K:$K,($H67-1+MIN(MAX(IFERROR(MATCH(LN(O$5),INDEX(Attenuation!$J:$J,$H67):INDEX(Attenuation!$J:$J,$H67+$I67-1),1),1),1),$I67-1))+1),INDEX(Attenuation!$J:$J,($H67-1+MIN(MAX(IFERROR(MATCH(LN(O$5),INDEX(Attenuation!$J:$J,$H67):INDEX(Attenuation!$J:$J,$H67+$I67-1),1),1),1),$I67-1))):INDEX(Attenuation!$J:$J,($H67-1+MIN(MAX(IFERROR(MATCH(LN(O$5),INDEX(Attenuation!$J:$J,$H67):INDEX(Attenuation!$J:$J,$H67+$I67-1),1),1),1),$I67-1))+1)))))</f>
        <v>3.412508782132567</v>
      </c>
      <c r="P67" s="12">
        <f>IF($A67="","",IF(P$5&gt;2*$G67,"",EXP(FORECAST(LN(P$5),INDEX(Attenuation!$K:$K,($H67-1+MIN(MAX(IFERROR(MATCH(LN(P$5),INDEX(Attenuation!$J:$J,$H67):INDEX(Attenuation!$J:$J,$H67+$I67-1),1),1),1),$I67-1))):INDEX(Attenuation!$K:$K,($H67-1+MIN(MAX(IFERROR(MATCH(LN(P$5),INDEX(Attenuation!$J:$J,$H67):INDEX(Attenuation!$J:$J,$H67+$I67-1),1),1),1),$I67-1))+1),INDEX(Attenuation!$J:$J,($H67-1+MIN(MAX(IFERROR(MATCH(LN(P$5),INDEX(Attenuation!$J:$J,$H67):INDEX(Attenuation!$J:$J,$H67+$I67-1),1),1),1),$I67-1))):INDEX(Attenuation!$J:$J,($H67-1+MIN(MAX(IFERROR(MATCH(LN(P$5),INDEX(Attenuation!$J:$J,$H67):INDEX(Attenuation!$J:$J,$H67+$I67-1),1),1),1),$I67-1))+1)))))</f>
        <v>4.2650918635170587</v>
      </c>
      <c r="Q67" s="12">
        <f>IF($A67="","",IF(Q$5&gt;2*$G67,"",EXP(FORECAST(LN(Q$5),INDEX(Attenuation!$K:$K,($H67-1+MIN(MAX(IFERROR(MATCH(LN(Q$5),INDEX(Attenuation!$J:$J,$H67):INDEX(Attenuation!$J:$J,$H67+$I67-1),1),1),1),$I67-1))):INDEX(Attenuation!$K:$K,($H67-1+MIN(MAX(IFERROR(MATCH(LN(Q$5),INDEX(Attenuation!$J:$J,$H67):INDEX(Attenuation!$J:$J,$H67+$I67-1),1),1),1),$I67-1))+1),INDEX(Attenuation!$J:$J,($H67-1+MIN(MAX(IFERROR(MATCH(LN(Q$5),INDEX(Attenuation!$J:$J,$H67):INDEX(Attenuation!$J:$J,$H67+$I67-1),1),1),1),$I67-1))):INDEX(Attenuation!$J:$J,($H67-1+MIN(MAX(IFERROR(MATCH(LN(Q$5),INDEX(Attenuation!$J:$J,$H67):INDEX(Attenuation!$J:$J,$H67+$I67-1),1),1),1),$I67-1))+1)))))</f>
        <v>7.978214458206331</v>
      </c>
      <c r="R67" s="12">
        <f>IF($A67="","",IF(R$5&gt;2*$G67,"",EXP(FORECAST(LN(R$5),INDEX(Attenuation!$K:$K,($H67-1+MIN(MAX(IFERROR(MATCH(LN(R$5),INDEX(Attenuation!$J:$J,$H67):INDEX(Attenuation!$J:$J,$H67+$I67-1),1),1),1),$I67-1))):INDEX(Attenuation!$K:$K,($H67-1+MIN(MAX(IFERROR(MATCH(LN(R$5),INDEX(Attenuation!$J:$J,$H67):INDEX(Attenuation!$J:$J,$H67+$I67-1),1),1),1),$I67-1))+1),INDEX(Attenuation!$J:$J,($H67-1+MIN(MAX(IFERROR(MATCH(LN(R$5),INDEX(Attenuation!$J:$J,$H67):INDEX(Attenuation!$J:$J,$H67+$I67-1),1),1),1),$I67-1))):INDEX(Attenuation!$J:$J,($H67-1+MIN(MAX(IFERROR(MATCH(LN(R$5),INDEX(Attenuation!$J:$J,$H67):INDEX(Attenuation!$J:$J,$H67+$I67-1),1),1),1),$I67-1))+1)))))</f>
        <v>14.404970519084735</v>
      </c>
      <c r="S67" s="12">
        <f>IF($A67="","",IF(S$5&gt;2*$G67,"",EXP(FORECAST(LN(S$5),INDEX(Attenuation!$K:$K,($H67-1+MIN(MAX(IFERROR(MATCH(LN(S$5),INDEX(Attenuation!$J:$J,$H67):INDEX(Attenuation!$J:$J,$H67+$I67-1),1),1),1),$I67-1))):INDEX(Attenuation!$K:$K,($H67-1+MIN(MAX(IFERROR(MATCH(LN(S$5),INDEX(Attenuation!$J:$J,$H67):INDEX(Attenuation!$J:$J,$H67+$I67-1),1),1),1),$I67-1))+1),INDEX(Attenuation!$J:$J,($H67-1+MIN(MAX(IFERROR(MATCH(LN(S$5),INDEX(Attenuation!$J:$J,$H67):INDEX(Attenuation!$J:$J,$H67+$I67-1),1),1),1),$I67-1))):INDEX(Attenuation!$J:$J,($H67-1+MIN(MAX(IFERROR(MATCH(LN(S$5),INDEX(Attenuation!$J:$J,$H67):INDEX(Attenuation!$J:$J,$H67+$I67-1),1),1),1),$I67-1))+1)))))</f>
        <v>25.905026099342358</v>
      </c>
      <c r="T67" s="12" t="str">
        <f>IF($A67="","",IF(T$5&gt;2*$G67,"",EXP(FORECAST(LN(T$5),INDEX(Attenuation!$K:$K,($H67-1+MIN(MAX(IFERROR(MATCH(LN(T$5),INDEX(Attenuation!$J:$J,$H67):INDEX(Attenuation!$J:$J,$H67+$I67-1),1),1),1),$I67-1))):INDEX(Attenuation!$K:$K,($H67-1+MIN(MAX(IFERROR(MATCH(LN(T$5),INDEX(Attenuation!$J:$J,$H67):INDEX(Attenuation!$J:$J,$H67+$I67-1),1),1),1),$I67-1))+1),INDEX(Attenuation!$J:$J,($H67-1+MIN(MAX(IFERROR(MATCH(LN(T$5),INDEX(Attenuation!$J:$J,$H67):INDEX(Attenuation!$J:$J,$H67+$I67-1),1),1),1),$I67-1))):INDEX(Attenuation!$J:$J,($H67-1+MIN(MAX(IFERROR(MATCH(LN(T$5),INDEX(Attenuation!$J:$J,$H67):INDEX(Attenuation!$J:$J,$H67+$I67-1),1),1),1),$I67-1))+1)))))</f>
        <v/>
      </c>
      <c r="U67" s="12" t="str">
        <f>IF($A67="","",IF(U$5&gt;2*$G67,"",EXP(FORECAST(LN(U$5),INDEX(Attenuation!$K:$K,($H67-1+MIN(MAX(IFERROR(MATCH(LN(U$5),INDEX(Attenuation!$J:$J,$H67):INDEX(Attenuation!$J:$J,$H67+$I67-1),1),1),1),$I67-1))):INDEX(Attenuation!$K:$K,($H67-1+MIN(MAX(IFERROR(MATCH(LN(U$5),INDEX(Attenuation!$J:$J,$H67):INDEX(Attenuation!$J:$J,$H67+$I67-1),1),1),1),$I67-1))+1),INDEX(Attenuation!$J:$J,($H67-1+MIN(MAX(IFERROR(MATCH(LN(U$5),INDEX(Attenuation!$J:$J,$H67):INDEX(Attenuation!$J:$J,$H67+$I67-1),1),1),1),$I67-1))):INDEX(Attenuation!$J:$J,($H67-1+MIN(MAX(IFERROR(MATCH(LN(U$5),INDEX(Attenuation!$J:$J,$H67):INDEX(Attenuation!$J:$J,$H67+$I67-1),1),1),1),$I67-1))+1)))))</f>
        <v/>
      </c>
      <c r="V67" s="1"/>
      <c r="W67" s="12">
        <f t="shared" si="12"/>
        <v>0.27536935561220682</v>
      </c>
      <c r="X67" s="12">
        <f t="shared" si="13"/>
        <v>0.39540306598905334</v>
      </c>
      <c r="Y67" s="12">
        <f t="shared" si="14"/>
        <v>0.57652856980923417</v>
      </c>
      <c r="Z67" s="12">
        <f t="shared" si="15"/>
        <v>0.79671568388203906</v>
      </c>
      <c r="AA67" s="12">
        <f t="shared" si="16"/>
        <v>0.93117963299010675</v>
      </c>
      <c r="AB67" s="12">
        <f t="shared" si="17"/>
        <v>1.0401326767940064</v>
      </c>
      <c r="AC67" s="12">
        <f t="shared" si="18"/>
        <v>1.2999999999999996</v>
      </c>
      <c r="AD67" s="12">
        <f t="shared" si="19"/>
        <v>2.43175976686129</v>
      </c>
      <c r="AE67" s="12">
        <f t="shared" si="20"/>
        <v>4.3906350142170272</v>
      </c>
      <c r="AF67" s="12">
        <f t="shared" si="21"/>
        <v>7.895851955079551</v>
      </c>
      <c r="AG67" s="12" t="str">
        <f t="shared" si="22"/>
        <v/>
      </c>
      <c r="AH67" s="12" t="str">
        <f t="shared" si="23"/>
        <v/>
      </c>
    </row>
    <row r="68" spans="1:34" x14ac:dyDescent="0.25">
      <c r="A68" s="11" t="str">
        <f>IF(ROWS($A$6:A68)&gt;COUNTA(Cables!$A:$A)-1,"",INDEX(Cables!$A:$A,ROWS($A$6:A68)+1))</f>
        <v>BEL-1694A</v>
      </c>
      <c r="B68" s="11" t="str">
        <f>IF($A68="","",IF(INDEX(Cables!$B:$B,MATCH($A68,Cables!$A:$A,0))="","",INDEX(Cables!$B:$B,MATCH($A68,Cables!$A:$A,0))))</f>
        <v>Belden 1694A (RG-6, 75 Ω)</v>
      </c>
      <c r="C68" s="11">
        <f>IF($A68="","",IF(INDEX(Cables!$F:$F,MATCH($A68,Cables!$A:$A,0))="","",INDEX(Cables!$F:$F,MATCH($A68,Cables!$A:$A,0))))</f>
        <v>75</v>
      </c>
      <c r="D68" s="11">
        <f>IF($A68="","",IF(INDEX(Cables!$H:$H,MATCH($A68,Cables!$A:$A,0))="","",INDEX(Cables!$H:$H,MATCH($A68,Cables!$A:$A,0))))</f>
        <v>6.96</v>
      </c>
      <c r="E68" s="12">
        <f>IF($A68="","",IF(INDEX(Cables!$Q:$Q,MATCH($A68,Cables!$A:$A,0))="","",INDEX(Cables!$Q:$Q,MATCH($A68,Cables!$A:$A,0))))</f>
        <v>0.82</v>
      </c>
      <c r="F68" s="11">
        <f>IF($A68="","",IF(INDEX(Cables!$AQ:$AQ,MATCH($A68,Cables!$A:$A,0))="","",INDEX(Cables!$AQ:$AQ,MATCH($A68,Cables!$A:$A,0))))</f>
        <v>1</v>
      </c>
      <c r="G68" s="11">
        <f>IF($A68="","",IF(INDEX(Cables!$AR:$AR,MATCH($A68,Cables!$A:$A,0))="","",INDEX(Cables!$AR:$AR,MATCH($A68,Cables!$A:$A,0))))</f>
        <v>6000</v>
      </c>
      <c r="H68" s="11">
        <f>IF($A68="","",IF(INDEX(Cables!$AO:$AO,MATCH($A68,Cables!$A:$A,0))="","",INDEX(Cables!$AO:$AO,MATCH($A68,Cables!$A:$A,0))))</f>
        <v>1083</v>
      </c>
      <c r="I68" s="11">
        <f>IF($A68="","",IF(INDEX(Cables!$AP:$AP,MATCH($A68,Cables!$A:$A,0))="","",INDEX(Cables!$AP:$AP,MATCH($A68,Cables!$A:$A,0))))</f>
        <v>27</v>
      </c>
      <c r="J68" s="12">
        <f>IF($A68="","",IF(J$5&gt;2*$G68,"",EXP(FORECAST(LN(J$5),INDEX(Attenuation!$K:$K,($H68-1+MIN(MAX(IFERROR(MATCH(LN(J$5),INDEX(Attenuation!$J:$J,$H68):INDEX(Attenuation!$J:$J,$H68+$I68-1),1),1),1),$I68-1))):INDEX(Attenuation!$K:$K,($H68-1+MIN(MAX(IFERROR(MATCH(LN(J$5),INDEX(Attenuation!$J:$J,$H68):INDEX(Attenuation!$J:$J,$H68+$I68-1),1),1),1),$I68-1))+1),INDEX(Attenuation!$J:$J,($H68-1+MIN(MAX(IFERROR(MATCH(LN(J$5),INDEX(Attenuation!$J:$J,$H68):INDEX(Attenuation!$J:$J,$H68+$I68-1),1),1),1),$I68-1))):INDEX(Attenuation!$J:$J,($H68-1+MIN(MAX(IFERROR(MATCH(LN(J$5),INDEX(Attenuation!$J:$J,$H68):INDEX(Attenuation!$J:$J,$H68+$I68-1),1),1),1),$I68-1))+1)))))</f>
        <v>1.0411623781189641</v>
      </c>
      <c r="K68" s="12">
        <f>IF($A68="","",IF(K$5&gt;2*$G68,"",EXP(FORECAST(LN(K$5),INDEX(Attenuation!$K:$K,($H68-1+MIN(MAX(IFERROR(MATCH(LN(K$5),INDEX(Attenuation!$J:$J,$H68):INDEX(Attenuation!$J:$J,$H68+$I68-1),1),1),1),$I68-1))):INDEX(Attenuation!$K:$K,($H68-1+MIN(MAX(IFERROR(MATCH(LN(K$5),INDEX(Attenuation!$J:$J,$H68):INDEX(Attenuation!$J:$J,$H68+$I68-1),1),1),1),$I68-1))+1),INDEX(Attenuation!$J:$J,($H68-1+MIN(MAX(IFERROR(MATCH(LN(K$5),INDEX(Attenuation!$J:$J,$H68):INDEX(Attenuation!$J:$J,$H68+$I68-1),1),1),1),$I68-1))):INDEX(Attenuation!$J:$J,($H68-1+MIN(MAX(IFERROR(MATCH(LN(K$5),INDEX(Attenuation!$J:$J,$H68):INDEX(Attenuation!$J:$J,$H68+$I68-1),1),1),1),$I68-1))+1)))))</f>
        <v>1.4281472646187694</v>
      </c>
      <c r="L68" s="12">
        <f>IF($A68="","",IF(L$5&gt;2*$G68,"",EXP(FORECAST(LN(L$5),INDEX(Attenuation!$K:$K,($H68-1+MIN(MAX(IFERROR(MATCH(LN(L$5),INDEX(Attenuation!$J:$J,$H68):INDEX(Attenuation!$J:$J,$H68+$I68-1),1),1),1),$I68-1))):INDEX(Attenuation!$K:$K,($H68-1+MIN(MAX(IFERROR(MATCH(LN(L$5),INDEX(Attenuation!$J:$J,$H68):INDEX(Attenuation!$J:$J,$H68+$I68-1),1),1),1),$I68-1))+1),INDEX(Attenuation!$J:$J,($H68-1+MIN(MAX(IFERROR(MATCH(LN(L$5),INDEX(Attenuation!$J:$J,$H68):INDEX(Attenuation!$J:$J,$H68+$I68-1),1),1),1),$I68-1))):INDEX(Attenuation!$J:$J,($H68-1+MIN(MAX(IFERROR(MATCH(LN(L$5),INDEX(Attenuation!$J:$J,$H68):INDEX(Attenuation!$J:$J,$H68+$I68-1),1),1),1),$I68-1))+1)))))</f>
        <v>2.001312335958005</v>
      </c>
      <c r="M68" s="12">
        <f>IF($A68="","",IF(M$5&gt;2*$G68,"",EXP(FORECAST(LN(M$5),INDEX(Attenuation!$K:$K,($H68-1+MIN(MAX(IFERROR(MATCH(LN(M$5),INDEX(Attenuation!$J:$J,$H68):INDEX(Attenuation!$J:$J,$H68+$I68-1),1),1),1),$I68-1))):INDEX(Attenuation!$K:$K,($H68-1+MIN(MAX(IFERROR(MATCH(LN(M$5),INDEX(Attenuation!$J:$J,$H68):INDEX(Attenuation!$J:$J,$H68+$I68-1),1),1),1),$I68-1))+1),INDEX(Attenuation!$J:$J,($H68-1+MIN(MAX(IFERROR(MATCH(LN(M$5),INDEX(Attenuation!$J:$J,$H68):INDEX(Attenuation!$J:$J,$H68+$I68-1),1),1),1),$I68-1))):INDEX(Attenuation!$J:$J,($H68-1+MIN(MAX(IFERROR(MATCH(LN(M$5),INDEX(Attenuation!$J:$J,$H68):INDEX(Attenuation!$J:$J,$H68+$I68-1),1),1),1),$I68-1))+1)))))</f>
        <v>2.7400725692389081</v>
      </c>
      <c r="N68" s="12">
        <f>IF($A68="","",IF(N$5&gt;2*$G68,"",EXP(FORECAST(LN(N$5),INDEX(Attenuation!$K:$K,($H68-1+MIN(MAX(IFERROR(MATCH(LN(N$5),INDEX(Attenuation!$J:$J,$H68):INDEX(Attenuation!$J:$J,$H68+$I68-1),1),1),1),$I68-1))):INDEX(Attenuation!$K:$K,($H68-1+MIN(MAX(IFERROR(MATCH(LN(N$5),INDEX(Attenuation!$J:$J,$H68):INDEX(Attenuation!$J:$J,$H68+$I68-1),1),1),1),$I68-1))+1),INDEX(Attenuation!$J:$J,($H68-1+MIN(MAX(IFERROR(MATCH(LN(N$5),INDEX(Attenuation!$J:$J,$H68):INDEX(Attenuation!$J:$J,$H68+$I68-1),1),1),1),$I68-1))):INDEX(Attenuation!$J:$J,($H68-1+MIN(MAX(IFERROR(MATCH(LN(N$5),INDEX(Attenuation!$J:$J,$H68):INDEX(Attenuation!$J:$J,$H68+$I68-1),1),1),1),$I68-1))+1)))))</f>
        <v>3.2797160358016373</v>
      </c>
      <c r="O68" s="12">
        <f>IF($A68="","",IF(O$5&gt;2*$G68,"",EXP(FORECAST(LN(O$5),INDEX(Attenuation!$K:$K,($H68-1+MIN(MAX(IFERROR(MATCH(LN(O$5),INDEX(Attenuation!$J:$J,$H68):INDEX(Attenuation!$J:$J,$H68+$I68-1),1),1),1),$I68-1))):INDEX(Attenuation!$K:$K,($H68-1+MIN(MAX(IFERROR(MATCH(LN(O$5),INDEX(Attenuation!$J:$J,$H68):INDEX(Attenuation!$J:$J,$H68+$I68-1),1),1),1),$I68-1))+1),INDEX(Attenuation!$J:$J,($H68-1+MIN(MAX(IFERROR(MATCH(LN(O$5),INDEX(Attenuation!$J:$J,$H68):INDEX(Attenuation!$J:$J,$H68+$I68-1),1),1),1),$I68-1))):INDEX(Attenuation!$J:$J,($H68-1+MIN(MAX(IFERROR(MATCH(LN(O$5),INDEX(Attenuation!$J:$J,$H68):INDEX(Attenuation!$J:$J,$H68+$I68-1),1),1),1),$I68-1))+1)))))</f>
        <v>3.7188598495221856</v>
      </c>
      <c r="P68" s="12">
        <f>IF($A68="","",IF(P$5&gt;2*$G68,"",EXP(FORECAST(LN(P$5),INDEX(Attenuation!$K:$K,($H68-1+MIN(MAX(IFERROR(MATCH(LN(P$5),INDEX(Attenuation!$J:$J,$H68):INDEX(Attenuation!$J:$J,$H68+$I68-1),1),1),1),$I68-1))):INDEX(Attenuation!$K:$K,($H68-1+MIN(MAX(IFERROR(MATCH(LN(P$5),INDEX(Attenuation!$J:$J,$H68):INDEX(Attenuation!$J:$J,$H68+$I68-1),1),1),1),$I68-1))+1),INDEX(Attenuation!$J:$J,($H68-1+MIN(MAX(IFERROR(MATCH(LN(P$5),INDEX(Attenuation!$J:$J,$H68):INDEX(Attenuation!$J:$J,$H68+$I68-1),1),1),1),$I68-1))):INDEX(Attenuation!$J:$J,($H68-1+MIN(MAX(IFERROR(MATCH(LN(P$5),INDEX(Attenuation!$J:$J,$H68):INDEX(Attenuation!$J:$J,$H68+$I68-1),1),1),1),$I68-1))+1)))))</f>
        <v>4.7627346633594208</v>
      </c>
      <c r="Q68" s="12">
        <f>IF($A68="","",IF(Q$5&gt;2*$G68,"",EXP(FORECAST(LN(Q$5),INDEX(Attenuation!$K:$K,($H68-1+MIN(MAX(IFERROR(MATCH(LN(Q$5),INDEX(Attenuation!$J:$J,$H68):INDEX(Attenuation!$J:$J,$H68+$I68-1),1),1),1),$I68-1))):INDEX(Attenuation!$K:$K,($H68-1+MIN(MAX(IFERROR(MATCH(LN(Q$5),INDEX(Attenuation!$J:$J,$H68):INDEX(Attenuation!$J:$J,$H68+$I68-1),1),1),1),$I68-1))+1),INDEX(Attenuation!$J:$J,($H68-1+MIN(MAX(IFERROR(MATCH(LN(Q$5),INDEX(Attenuation!$J:$J,$H68):INDEX(Attenuation!$J:$J,$H68+$I68-1),1),1),1),$I68-1))):INDEX(Attenuation!$J:$J,($H68-1+MIN(MAX(IFERROR(MATCH(LN(Q$5),INDEX(Attenuation!$J:$J,$H68):INDEX(Attenuation!$J:$J,$H68+$I68-1),1),1),1),$I68-1))+1)))))</f>
        <v>7.5713393521494243</v>
      </c>
      <c r="R68" s="12">
        <f>IF($A68="","",IF(R$5&gt;2*$G68,"",EXP(FORECAST(LN(R$5),INDEX(Attenuation!$K:$K,($H68-1+MIN(MAX(IFERROR(MATCH(LN(R$5),INDEX(Attenuation!$J:$J,$H68):INDEX(Attenuation!$J:$J,$H68+$I68-1),1),1),1),$I68-1))):INDEX(Attenuation!$K:$K,($H68-1+MIN(MAX(IFERROR(MATCH(LN(R$5),INDEX(Attenuation!$J:$J,$H68):INDEX(Attenuation!$J:$J,$H68+$I68-1),1),1),1),$I68-1))+1),INDEX(Attenuation!$J:$J,($H68-1+MIN(MAX(IFERROR(MATCH(LN(R$5),INDEX(Attenuation!$J:$J,$H68):INDEX(Attenuation!$J:$J,$H68+$I68-1),1),1),1),$I68-1))):INDEX(Attenuation!$J:$J,($H68-1+MIN(MAX(IFERROR(MATCH(LN(R$5),INDEX(Attenuation!$J:$J,$H68):INDEX(Attenuation!$J:$J,$H68+$I68-1),1),1),1),$I68-1))+1)))))</f>
        <v>13.236278345184729</v>
      </c>
      <c r="S68" s="12">
        <f>IF($A68="","",IF(S$5&gt;2*$G68,"",EXP(FORECAST(LN(S$5),INDEX(Attenuation!$K:$K,($H68-1+MIN(MAX(IFERROR(MATCH(LN(S$5),INDEX(Attenuation!$J:$J,$H68):INDEX(Attenuation!$J:$J,$H68+$I68-1),1),1),1),$I68-1))):INDEX(Attenuation!$K:$K,($H68-1+MIN(MAX(IFERROR(MATCH(LN(S$5),INDEX(Attenuation!$J:$J,$H68):INDEX(Attenuation!$J:$J,$H68+$I68-1),1),1),1),$I68-1))+1),INDEX(Attenuation!$J:$J,($H68-1+MIN(MAX(IFERROR(MATCH(LN(S$5),INDEX(Attenuation!$J:$J,$H68):INDEX(Attenuation!$J:$J,$H68+$I68-1),1),1),1),$I68-1))):INDEX(Attenuation!$J:$J,($H68-1+MIN(MAX(IFERROR(MATCH(LN(S$5),INDEX(Attenuation!$J:$J,$H68):INDEX(Attenuation!$J:$J,$H68+$I68-1),1),1),1),$I68-1))+1)))))</f>
        <v>23.694032576989091</v>
      </c>
      <c r="T68" s="12">
        <f>IF($A68="","",IF(T$5&gt;2*$G68,"",EXP(FORECAST(LN(T$5),INDEX(Attenuation!$K:$K,($H68-1+MIN(MAX(IFERROR(MATCH(LN(T$5),INDEX(Attenuation!$J:$J,$H68):INDEX(Attenuation!$J:$J,$H68+$I68-1),1),1),1),$I68-1))):INDEX(Attenuation!$K:$K,($H68-1+MIN(MAX(IFERROR(MATCH(LN(T$5),INDEX(Attenuation!$J:$J,$H68):INDEX(Attenuation!$J:$J,$H68+$I68-1),1),1),1),$I68-1))+1),INDEX(Attenuation!$J:$J,($H68-1+MIN(MAX(IFERROR(MATCH(LN(T$5),INDEX(Attenuation!$J:$J,$H68):INDEX(Attenuation!$J:$J,$H68+$I68-1),1),1),1),$I68-1))):INDEX(Attenuation!$J:$J,($H68-1+MIN(MAX(IFERROR(MATCH(LN(T$5),INDEX(Attenuation!$J:$J,$H68):INDEX(Attenuation!$J:$J,$H68+$I68-1),1),1),1),$I68-1))+1)))))</f>
        <v>33.327012977173524</v>
      </c>
      <c r="U68" s="12">
        <f>IF($A68="","",IF(U$5&gt;2*$G68,"",EXP(FORECAST(LN(U$5),INDEX(Attenuation!$K:$K,($H68-1+MIN(MAX(IFERROR(MATCH(LN(U$5),INDEX(Attenuation!$J:$J,$H68):INDEX(Attenuation!$J:$J,$H68+$I68-1),1),1),1),$I68-1))):INDEX(Attenuation!$K:$K,($H68-1+MIN(MAX(IFERROR(MATCH(LN(U$5),INDEX(Attenuation!$J:$J,$H68):INDEX(Attenuation!$J:$J,$H68+$I68-1),1),1),1),$I68-1))+1),INDEX(Attenuation!$J:$J,($H68-1+MIN(MAX(IFERROR(MATCH(LN(U$5),INDEX(Attenuation!$J:$J,$H68):INDEX(Attenuation!$J:$J,$H68+$I68-1),1),1),1),$I68-1))):INDEX(Attenuation!$J:$J,($H68-1+MIN(MAX(IFERROR(MATCH(LN(U$5),INDEX(Attenuation!$J:$J,$H68):INDEX(Attenuation!$J:$J,$H68+$I68-1),1),1),1),$I68-1))+1)))))</f>
        <v>56.450662648942803</v>
      </c>
      <c r="V68" s="1"/>
      <c r="W68" s="12">
        <f t="shared" si="12"/>
        <v>0.31734629285066024</v>
      </c>
      <c r="X68" s="12">
        <f t="shared" si="13"/>
        <v>0.43529928625580094</v>
      </c>
      <c r="Y68" s="12">
        <f t="shared" si="14"/>
        <v>0.61</v>
      </c>
      <c r="Z68" s="12">
        <f t="shared" si="15"/>
        <v>0.83517411910401917</v>
      </c>
      <c r="AA68" s="12">
        <f t="shared" si="16"/>
        <v>0.99965744771233911</v>
      </c>
      <c r="AB68" s="12">
        <f t="shared" si="17"/>
        <v>1.1335084821343622</v>
      </c>
      <c r="AC68" s="12">
        <f t="shared" si="18"/>
        <v>1.4516815253919515</v>
      </c>
      <c r="AD68" s="12">
        <f t="shared" si="19"/>
        <v>2.3077442345351447</v>
      </c>
      <c r="AE68" s="12">
        <f t="shared" si="20"/>
        <v>4.0344176396123057</v>
      </c>
      <c r="AF68" s="12">
        <f t="shared" si="21"/>
        <v>7.2219411294662752</v>
      </c>
      <c r="AG68" s="12">
        <f t="shared" si="22"/>
        <v>10.15807355544249</v>
      </c>
      <c r="AH68" s="12">
        <f t="shared" si="23"/>
        <v>17.206161975397766</v>
      </c>
    </row>
    <row r="69" spans="1:34" x14ac:dyDescent="0.25">
      <c r="A69" s="11" t="str">
        <f>IF(ROWS($A$6:A69)&gt;COUNTA(Cables!$A:$A)-1,"",INDEX(Cables!$A:$A,ROWS($A$6:A69)+1))</f>
        <v>BEL-9292</v>
      </c>
      <c r="B69" s="11" t="str">
        <f>IF($A69="","",IF(INDEX(Cables!$B:$B,MATCH($A69,Cables!$A:$A,0))="","",INDEX(Cables!$B:$B,MATCH($A69,Cables!$A:$A,0))))</f>
        <v>Belden 9292 (RG-11, 75 Ω)</v>
      </c>
      <c r="C69" s="11">
        <f>IF($A69="","",IF(INDEX(Cables!$F:$F,MATCH($A69,Cables!$A:$A,0))="","",INDEX(Cables!$F:$F,MATCH($A69,Cables!$A:$A,0))))</f>
        <v>75</v>
      </c>
      <c r="D69" s="11">
        <f>IF($A69="","",IF(INDEX(Cables!$H:$H,MATCH($A69,Cables!$A:$A,0))="","",INDEX(Cables!$H:$H,MATCH($A69,Cables!$A:$A,0))))</f>
        <v>10.3</v>
      </c>
      <c r="E69" s="12">
        <f>IF($A69="","",IF(INDEX(Cables!$Q:$Q,MATCH($A69,Cables!$A:$A,0))="","",INDEX(Cables!$Q:$Q,MATCH($A69,Cables!$A:$A,0))))</f>
        <v>0.84</v>
      </c>
      <c r="F69" s="11">
        <f>IF($A69="","",IF(INDEX(Cables!$AQ:$AQ,MATCH($A69,Cables!$A:$A,0))="","",INDEX(Cables!$AQ:$AQ,MATCH($A69,Cables!$A:$A,0))))</f>
        <v>1</v>
      </c>
      <c r="G69" s="11">
        <f>IF($A69="","",IF(INDEX(Cables!$AR:$AR,MATCH($A69,Cables!$A:$A,0))="","",INDEX(Cables!$AR:$AR,MATCH($A69,Cables!$A:$A,0))))</f>
        <v>1000</v>
      </c>
      <c r="H69" s="11">
        <f>IF($A69="","",IF(INDEX(Cables!$AO:$AO,MATCH($A69,Cables!$A:$A,0))="","",INDEX(Cables!$AO:$AO,MATCH($A69,Cables!$A:$A,0))))</f>
        <v>1110</v>
      </c>
      <c r="I69" s="11">
        <f>IF($A69="","",IF(INDEX(Cables!$AP:$AP,MATCH($A69,Cables!$A:$A,0))="","",INDEX(Cables!$AP:$AP,MATCH($A69,Cables!$A:$A,0))))</f>
        <v>9</v>
      </c>
      <c r="J69" s="12">
        <f>IF($A69="","",IF(J$5&gt;2*$G69,"",EXP(FORECAST(LN(J$5),INDEX(Attenuation!$K:$K,($H69-1+MIN(MAX(IFERROR(MATCH(LN(J$5),INDEX(Attenuation!$J:$J,$H69):INDEX(Attenuation!$J:$J,$H69+$I69-1),1),1),1),$I69-1))):INDEX(Attenuation!$K:$K,($H69-1+MIN(MAX(IFERROR(MATCH(LN(J$5),INDEX(Attenuation!$J:$J,$H69):INDEX(Attenuation!$J:$J,$H69+$I69-1),1),1),1),$I69-1))+1),INDEX(Attenuation!$J:$J,($H69-1+MIN(MAX(IFERROR(MATCH(LN(J$5),INDEX(Attenuation!$J:$J,$H69):INDEX(Attenuation!$J:$J,$H69+$I69-1),1),1),1),$I69-1))):INDEX(Attenuation!$J:$J,($H69-1+MIN(MAX(IFERROR(MATCH(LN(J$5),INDEX(Attenuation!$J:$J,$H69):INDEX(Attenuation!$J:$J,$H69+$I69-1),1),1),1),$I69-1))+1)))))</f>
        <v>0.82908331629134357</v>
      </c>
      <c r="K69" s="12">
        <f>IF($A69="","",IF(K$5&gt;2*$G69,"",EXP(FORECAST(LN(K$5),INDEX(Attenuation!$K:$K,($H69-1+MIN(MAX(IFERROR(MATCH(LN(K$5),INDEX(Attenuation!$J:$J,$H69):INDEX(Attenuation!$J:$J,$H69+$I69-1),1),1),1),$I69-1))):INDEX(Attenuation!$K:$K,($H69-1+MIN(MAX(IFERROR(MATCH(LN(K$5),INDEX(Attenuation!$J:$J,$H69):INDEX(Attenuation!$J:$J,$H69+$I69-1),1),1),1),$I69-1))+1),INDEX(Attenuation!$J:$J,($H69-1+MIN(MAX(IFERROR(MATCH(LN(K$5),INDEX(Attenuation!$J:$J,$H69):INDEX(Attenuation!$J:$J,$H69+$I69-1),1),1),1),$I69-1))):INDEX(Attenuation!$J:$J,($H69-1+MIN(MAX(IFERROR(MATCH(LN(K$5),INDEX(Attenuation!$J:$J,$H69):INDEX(Attenuation!$J:$J,$H69+$I69-1),1),1),1),$I69-1))+1)))))</f>
        <v>1.0802430361397195</v>
      </c>
      <c r="L69" s="12">
        <f>IF($A69="","",IF(L$5&gt;2*$G69,"",EXP(FORECAST(LN(L$5),INDEX(Attenuation!$K:$K,($H69-1+MIN(MAX(IFERROR(MATCH(LN(L$5),INDEX(Attenuation!$J:$J,$H69):INDEX(Attenuation!$J:$J,$H69+$I69-1),1),1),1),$I69-1))):INDEX(Attenuation!$K:$K,($H69-1+MIN(MAX(IFERROR(MATCH(LN(L$5),INDEX(Attenuation!$J:$J,$H69):INDEX(Attenuation!$J:$J,$H69+$I69-1),1),1),1),$I69-1))+1),INDEX(Attenuation!$J:$J,($H69-1+MIN(MAX(IFERROR(MATCH(LN(L$5),INDEX(Attenuation!$J:$J,$H69):INDEX(Attenuation!$J:$J,$H69+$I69-1),1),1),1),$I69-1))):INDEX(Attenuation!$J:$J,($H69-1+MIN(MAX(IFERROR(MATCH(LN(L$5),INDEX(Attenuation!$J:$J,$H69):INDEX(Attenuation!$J:$J,$H69+$I69-1),1),1),1),$I69-1))+1)))))</f>
        <v>1.4233554033598261</v>
      </c>
      <c r="M69" s="12">
        <f>IF($A69="","",IF(M$5&gt;2*$G69,"",EXP(FORECAST(LN(M$5),INDEX(Attenuation!$K:$K,($H69-1+MIN(MAX(IFERROR(MATCH(LN(M$5),INDEX(Attenuation!$J:$J,$H69):INDEX(Attenuation!$J:$J,$H69+$I69-1),1),1),1),$I69-1))):INDEX(Attenuation!$K:$K,($H69-1+MIN(MAX(IFERROR(MATCH(LN(M$5),INDEX(Attenuation!$J:$J,$H69):INDEX(Attenuation!$J:$J,$H69+$I69-1),1),1),1),$I69-1))+1),INDEX(Attenuation!$J:$J,($H69-1+MIN(MAX(IFERROR(MATCH(LN(M$5),INDEX(Attenuation!$J:$J,$H69):INDEX(Attenuation!$J:$J,$H69+$I69-1),1),1),1),$I69-1))):INDEX(Attenuation!$J:$J,($H69-1+MIN(MAX(IFERROR(MATCH(LN(M$5),INDEX(Attenuation!$J:$J,$H69):INDEX(Attenuation!$J:$J,$H69+$I69-1),1),1),1),$I69-1))+1)))))</f>
        <v>1.85490986386205</v>
      </c>
      <c r="N69" s="12">
        <f>IF($A69="","",IF(N$5&gt;2*$G69,"",EXP(FORECAST(LN(N$5),INDEX(Attenuation!$K:$K,($H69-1+MIN(MAX(IFERROR(MATCH(LN(N$5),INDEX(Attenuation!$J:$J,$H69):INDEX(Attenuation!$J:$J,$H69+$I69-1),1),1),1),$I69-1))):INDEX(Attenuation!$K:$K,($H69-1+MIN(MAX(IFERROR(MATCH(LN(N$5),INDEX(Attenuation!$J:$J,$H69):INDEX(Attenuation!$J:$J,$H69+$I69-1),1),1),1),$I69-1))+1),INDEX(Attenuation!$J:$J,($H69-1+MIN(MAX(IFERROR(MATCH(LN(N$5),INDEX(Attenuation!$J:$J,$H69):INDEX(Attenuation!$J:$J,$H69+$I69-1),1),1),1),$I69-1))):INDEX(Attenuation!$J:$J,($H69-1+MIN(MAX(IFERROR(MATCH(LN(N$5),INDEX(Attenuation!$J:$J,$H69):INDEX(Attenuation!$J:$J,$H69+$I69-1),1),1),1),$I69-1))+1)))))</f>
        <v>2.1509658734947035</v>
      </c>
      <c r="O69" s="12">
        <f>IF($A69="","",IF(O$5&gt;2*$G69,"",EXP(FORECAST(LN(O$5),INDEX(Attenuation!$K:$K,($H69-1+MIN(MAX(IFERROR(MATCH(LN(O$5),INDEX(Attenuation!$J:$J,$H69):INDEX(Attenuation!$J:$J,$H69+$I69-1),1),1),1),$I69-1))):INDEX(Attenuation!$K:$K,($H69-1+MIN(MAX(IFERROR(MATCH(LN(O$5),INDEX(Attenuation!$J:$J,$H69):INDEX(Attenuation!$J:$J,$H69+$I69-1),1),1),1),$I69-1))+1),INDEX(Attenuation!$J:$J,($H69-1+MIN(MAX(IFERROR(MATCH(LN(O$5),INDEX(Attenuation!$J:$J,$H69):INDEX(Attenuation!$J:$J,$H69+$I69-1),1),1),1),$I69-1))):INDEX(Attenuation!$J:$J,($H69-1+MIN(MAX(IFERROR(MATCH(LN(O$5),INDEX(Attenuation!$J:$J,$H69):INDEX(Attenuation!$J:$J,$H69+$I69-1),1),1),1),$I69-1))+1)))))</f>
        <v>2.3892560508459035</v>
      </c>
      <c r="P69" s="12">
        <f>IF($A69="","",IF(P$5&gt;2*$G69,"",EXP(FORECAST(LN(P$5),INDEX(Attenuation!$K:$K,($H69-1+MIN(MAX(IFERROR(MATCH(LN(P$5),INDEX(Attenuation!$J:$J,$H69):INDEX(Attenuation!$J:$J,$H69+$I69-1),1),1),1),$I69-1))):INDEX(Attenuation!$K:$K,($H69-1+MIN(MAX(IFERROR(MATCH(LN(P$5),INDEX(Attenuation!$J:$J,$H69):INDEX(Attenuation!$J:$J,$H69+$I69-1),1),1),1),$I69-1))+1),INDEX(Attenuation!$J:$J,($H69-1+MIN(MAX(IFERROR(MATCH(LN(P$5),INDEX(Attenuation!$J:$J,$H69):INDEX(Attenuation!$J:$J,$H69+$I69-1),1),1),1),$I69-1))):INDEX(Attenuation!$J:$J,($H69-1+MIN(MAX(IFERROR(MATCH(LN(P$5),INDEX(Attenuation!$J:$J,$H69):INDEX(Attenuation!$J:$J,$H69+$I69-1),1),1),1),$I69-1))+1)))))</f>
        <v>2.9527559055118102</v>
      </c>
      <c r="Q69" s="12">
        <f>IF($A69="","",IF(Q$5&gt;2*$G69,"",EXP(FORECAST(LN(Q$5),INDEX(Attenuation!$K:$K,($H69-1+MIN(MAX(IFERROR(MATCH(LN(Q$5),INDEX(Attenuation!$J:$J,$H69):INDEX(Attenuation!$J:$J,$H69+$I69-1),1),1),1),$I69-1))):INDEX(Attenuation!$K:$K,($H69-1+MIN(MAX(IFERROR(MATCH(LN(Q$5),INDEX(Attenuation!$J:$J,$H69):INDEX(Attenuation!$J:$J,$H69+$I69-1),1),1),1),$I69-1))+1),INDEX(Attenuation!$J:$J,($H69-1+MIN(MAX(IFERROR(MATCH(LN(Q$5),INDEX(Attenuation!$J:$J,$H69):INDEX(Attenuation!$J:$J,$H69+$I69-1),1),1),1),$I69-1))):INDEX(Attenuation!$J:$J,($H69-1+MIN(MAX(IFERROR(MATCH(LN(Q$5),INDEX(Attenuation!$J:$J,$H69):INDEX(Attenuation!$J:$J,$H69+$I69-1),1),1),1),$I69-1))+1)))))</f>
        <v>4.7573762748918949</v>
      </c>
      <c r="R69" s="12">
        <f>IF($A69="","",IF(R$5&gt;2*$G69,"",EXP(FORECAST(LN(R$5),INDEX(Attenuation!$K:$K,($H69-1+MIN(MAX(IFERROR(MATCH(LN(R$5),INDEX(Attenuation!$J:$J,$H69):INDEX(Attenuation!$J:$J,$H69+$I69-1),1),1),1),$I69-1))):INDEX(Attenuation!$K:$K,($H69-1+MIN(MAX(IFERROR(MATCH(LN(R$5),INDEX(Attenuation!$J:$J,$H69):INDEX(Attenuation!$J:$J,$H69+$I69-1),1),1),1),$I69-1))+1),INDEX(Attenuation!$J:$J,($H69-1+MIN(MAX(IFERROR(MATCH(LN(R$5),INDEX(Attenuation!$J:$J,$H69):INDEX(Attenuation!$J:$J,$H69+$I69-1),1),1),1),$I69-1))):INDEX(Attenuation!$J:$J,($H69-1+MIN(MAX(IFERROR(MATCH(LN(R$5),INDEX(Attenuation!$J:$J,$H69):INDEX(Attenuation!$J:$J,$H69+$I69-1),1),1),1),$I69-1))+1)))))</f>
        <v>7.9300303348899366</v>
      </c>
      <c r="S69" s="12">
        <f>IF($A69="","",IF(S$5&gt;2*$G69,"",EXP(FORECAST(LN(S$5),INDEX(Attenuation!$K:$K,($H69-1+MIN(MAX(IFERROR(MATCH(LN(S$5),INDEX(Attenuation!$J:$J,$H69):INDEX(Attenuation!$J:$J,$H69+$I69-1),1),1),1),$I69-1))):INDEX(Attenuation!$K:$K,($H69-1+MIN(MAX(IFERROR(MATCH(LN(S$5),INDEX(Attenuation!$J:$J,$H69):INDEX(Attenuation!$J:$J,$H69+$I69-1),1),1),1),$I69-1))+1),INDEX(Attenuation!$J:$J,($H69-1+MIN(MAX(IFERROR(MATCH(LN(S$5),INDEX(Attenuation!$J:$J,$H69):INDEX(Attenuation!$J:$J,$H69+$I69-1),1),1),1),$I69-1))):INDEX(Attenuation!$J:$J,($H69-1+MIN(MAX(IFERROR(MATCH(LN(S$5),INDEX(Attenuation!$J:$J,$H69):INDEX(Attenuation!$J:$J,$H69+$I69-1),1),1),1),$I69-1))+1)))))</f>
        <v>16.855702302324044</v>
      </c>
      <c r="T69" s="12" t="str">
        <f>IF($A69="","",IF(T$5&gt;2*$G69,"",EXP(FORECAST(LN(T$5),INDEX(Attenuation!$K:$K,($H69-1+MIN(MAX(IFERROR(MATCH(LN(T$5),INDEX(Attenuation!$J:$J,$H69):INDEX(Attenuation!$J:$J,$H69+$I69-1),1),1),1),$I69-1))):INDEX(Attenuation!$K:$K,($H69-1+MIN(MAX(IFERROR(MATCH(LN(T$5),INDEX(Attenuation!$J:$J,$H69):INDEX(Attenuation!$J:$J,$H69+$I69-1),1),1),1),$I69-1))+1),INDEX(Attenuation!$J:$J,($H69-1+MIN(MAX(IFERROR(MATCH(LN(T$5),INDEX(Attenuation!$J:$J,$H69):INDEX(Attenuation!$J:$J,$H69+$I69-1),1),1),1),$I69-1))):INDEX(Attenuation!$J:$J,($H69-1+MIN(MAX(IFERROR(MATCH(LN(T$5),INDEX(Attenuation!$J:$J,$H69):INDEX(Attenuation!$J:$J,$H69+$I69-1),1),1),1),$I69-1))+1)))))</f>
        <v/>
      </c>
      <c r="U69" s="12" t="str">
        <f>IF($A69="","",IF(U$5&gt;2*$G69,"",EXP(FORECAST(LN(U$5),INDEX(Attenuation!$K:$K,($H69-1+MIN(MAX(IFERROR(MATCH(LN(U$5),INDEX(Attenuation!$J:$J,$H69):INDEX(Attenuation!$J:$J,$H69+$I69-1),1),1),1),$I69-1))):INDEX(Attenuation!$K:$K,($H69-1+MIN(MAX(IFERROR(MATCH(LN(U$5),INDEX(Attenuation!$J:$J,$H69):INDEX(Attenuation!$J:$J,$H69+$I69-1),1),1),1),$I69-1))+1),INDEX(Attenuation!$J:$J,($H69-1+MIN(MAX(IFERROR(MATCH(LN(U$5),INDEX(Attenuation!$J:$J,$H69):INDEX(Attenuation!$J:$J,$H69+$I69-1),1),1),1),$I69-1))):INDEX(Attenuation!$J:$J,($H69-1+MIN(MAX(IFERROR(MATCH(LN(U$5),INDEX(Attenuation!$J:$J,$H69):INDEX(Attenuation!$J:$J,$H69+$I69-1),1),1),1),$I69-1))+1)))))</f>
        <v/>
      </c>
      <c r="V69" s="1"/>
      <c r="W69" s="12">
        <f t="shared" si="12"/>
        <v>0.25270459480560153</v>
      </c>
      <c r="X69" s="12">
        <f t="shared" si="13"/>
        <v>0.32925807741538654</v>
      </c>
      <c r="Y69" s="12">
        <f t="shared" si="14"/>
        <v>0.43383872694407505</v>
      </c>
      <c r="Z69" s="12">
        <f t="shared" si="15"/>
        <v>0.56537652650515291</v>
      </c>
      <c r="AA69" s="12">
        <f t="shared" si="16"/>
        <v>0.65561439824118561</v>
      </c>
      <c r="AB69" s="12">
        <f t="shared" si="17"/>
        <v>0.72824524429783144</v>
      </c>
      <c r="AC69" s="12">
        <f t="shared" si="18"/>
        <v>0.8999999999999998</v>
      </c>
      <c r="AD69" s="12">
        <f t="shared" si="19"/>
        <v>1.4500482885870496</v>
      </c>
      <c r="AE69" s="12">
        <f t="shared" si="20"/>
        <v>2.4170732460744526</v>
      </c>
      <c r="AF69" s="12">
        <f t="shared" si="21"/>
        <v>5.1376180617483689</v>
      </c>
      <c r="AG69" s="12" t="str">
        <f t="shared" si="22"/>
        <v/>
      </c>
      <c r="AH69" s="12" t="str">
        <f t="shared" si="23"/>
        <v/>
      </c>
    </row>
    <row r="70" spans="1:34" x14ac:dyDescent="0.25">
      <c r="A70" s="11" t="str">
        <f>IF(ROWS($A$6:A70)&gt;COUNTA(Cables!$A:$A)-1,"",INDEX(Cables!$A:$A,ROWS($A$6:A70)+1))</f>
        <v>BEL-9269</v>
      </c>
      <c r="B70" s="11" t="str">
        <f>IF($A70="","",IF(INDEX(Cables!$B:$B,MATCH($A70,Cables!$A:$A,0))="","",INDEX(Cables!$B:$B,MATCH($A70,Cables!$A:$A,0))))</f>
        <v>Belden 9269 (RG-62A/U, 93 Ω)</v>
      </c>
      <c r="C70" s="11">
        <f>IF($A70="","",IF(INDEX(Cables!$F:$F,MATCH($A70,Cables!$A:$A,0))="","",INDEX(Cables!$F:$F,MATCH($A70,Cables!$A:$A,0))))</f>
        <v>93</v>
      </c>
      <c r="D70" s="11">
        <f>IF($A70="","",IF(INDEX(Cables!$H:$H,MATCH($A70,Cables!$A:$A,0))="","",INDEX(Cables!$H:$H,MATCH($A70,Cables!$A:$A,0))))</f>
        <v>6.07</v>
      </c>
      <c r="E70" s="12">
        <f>IF($A70="","",IF(INDEX(Cables!$Q:$Q,MATCH($A70,Cables!$A:$A,0))="","",INDEX(Cables!$Q:$Q,MATCH($A70,Cables!$A:$A,0))))</f>
        <v>0.84</v>
      </c>
      <c r="F70" s="11">
        <f>IF($A70="","",IF(INDEX(Cables!$AQ:$AQ,MATCH($A70,Cables!$A:$A,0))="","",INDEX(Cables!$AQ:$AQ,MATCH($A70,Cables!$A:$A,0))))</f>
        <v>1</v>
      </c>
      <c r="G70" s="11">
        <f>IF($A70="","",IF(INDEX(Cables!$AR:$AR,MATCH($A70,Cables!$A:$A,0))="","",INDEX(Cables!$AR:$AR,MATCH($A70,Cables!$A:$A,0))))</f>
        <v>1000</v>
      </c>
      <c r="H70" s="11">
        <f>IF($A70="","",IF(INDEX(Cables!$AO:$AO,MATCH($A70,Cables!$A:$A,0))="","",INDEX(Cables!$AO:$AO,MATCH($A70,Cables!$A:$A,0))))</f>
        <v>1119</v>
      </c>
      <c r="I70" s="11">
        <f>IF($A70="","",IF(INDEX(Cables!$AP:$AP,MATCH($A70,Cables!$A:$A,0))="","",INDEX(Cables!$AP:$AP,MATCH($A70,Cables!$A:$A,0))))</f>
        <v>9</v>
      </c>
      <c r="J70" s="12">
        <f>IF($A70="","",IF(J$5&gt;2*$G70,"",EXP(FORECAST(LN(J$5),INDEX(Attenuation!$K:$K,($H70-1+MIN(MAX(IFERROR(MATCH(LN(J$5),INDEX(Attenuation!$J:$J,$H70):INDEX(Attenuation!$J:$J,$H70+$I70-1),1),1),1),$I70-1))):INDEX(Attenuation!$K:$K,($H70-1+MIN(MAX(IFERROR(MATCH(LN(J$5),INDEX(Attenuation!$J:$J,$H70):INDEX(Attenuation!$J:$J,$H70+$I70-1),1),1),1),$I70-1))+1),INDEX(Attenuation!$J:$J,($H70-1+MIN(MAX(IFERROR(MATCH(LN(J$5),INDEX(Attenuation!$J:$J,$H70):INDEX(Attenuation!$J:$J,$H70+$I70-1),1),1),1),$I70-1))):INDEX(Attenuation!$J:$J,($H70-1+MIN(MAX(IFERROR(MATCH(LN(J$5),INDEX(Attenuation!$J:$J,$H70):INDEX(Attenuation!$J:$J,$H70+$I70-1),1),1),1),$I70-1))+1)))))</f>
        <v>1.3028734376348576</v>
      </c>
      <c r="K70" s="12">
        <f>IF($A70="","",IF(K$5&gt;2*$G70,"",EXP(FORECAST(LN(K$5),INDEX(Attenuation!$K:$K,($H70-1+MIN(MAX(IFERROR(MATCH(LN(K$5),INDEX(Attenuation!$J:$J,$H70):INDEX(Attenuation!$J:$J,$H70+$I70-1),1),1),1),$I70-1))):INDEX(Attenuation!$K:$K,($H70-1+MIN(MAX(IFERROR(MATCH(LN(K$5),INDEX(Attenuation!$J:$J,$H70):INDEX(Attenuation!$J:$J,$H70+$I70-1),1),1),1),$I70-1))+1),INDEX(Attenuation!$J:$J,($H70-1+MIN(MAX(IFERROR(MATCH(LN(K$5),INDEX(Attenuation!$J:$J,$H70):INDEX(Attenuation!$J:$J,$H70+$I70-1),1),1),1),$I70-1))):INDEX(Attenuation!$J:$J,($H70-1+MIN(MAX(IFERROR(MATCH(LN(K$5),INDEX(Attenuation!$J:$J,$H70):INDEX(Attenuation!$J:$J,$H70+$I70-1),1),1),1),$I70-1))+1)))))</f>
        <v>1.7893393799254522</v>
      </c>
      <c r="L70" s="12">
        <f>IF($A70="","",IF(L$5&gt;2*$G70,"",EXP(FORECAST(LN(L$5),INDEX(Attenuation!$K:$K,($H70-1+MIN(MAX(IFERROR(MATCH(LN(L$5),INDEX(Attenuation!$J:$J,$H70):INDEX(Attenuation!$J:$J,$H70+$I70-1),1),1),1),$I70-1))):INDEX(Attenuation!$K:$K,($H70-1+MIN(MAX(IFERROR(MATCH(LN(L$5),INDEX(Attenuation!$J:$J,$H70):INDEX(Attenuation!$J:$J,$H70+$I70-1),1),1),1),$I70-1))+1),INDEX(Attenuation!$J:$J,($H70-1+MIN(MAX(IFERROR(MATCH(LN(L$5),INDEX(Attenuation!$J:$J,$H70):INDEX(Attenuation!$J:$J,$H70+$I70-1),1),1),1),$I70-1))):INDEX(Attenuation!$J:$J,($H70-1+MIN(MAX(IFERROR(MATCH(LN(L$5),INDEX(Attenuation!$J:$J,$H70):INDEX(Attenuation!$J:$J,$H70+$I70-1),1),1),1),$I70-1))+1)))))</f>
        <v>2.4906948872611356</v>
      </c>
      <c r="M70" s="12">
        <f>IF($A70="","",IF(M$5&gt;2*$G70,"",EXP(FORECAST(LN(M$5),INDEX(Attenuation!$K:$K,($H70-1+MIN(MAX(IFERROR(MATCH(LN(M$5),INDEX(Attenuation!$J:$J,$H70):INDEX(Attenuation!$J:$J,$H70+$I70-1),1),1),1),$I70-1))):INDEX(Attenuation!$K:$K,($H70-1+MIN(MAX(IFERROR(MATCH(LN(M$5),INDEX(Attenuation!$J:$J,$H70):INDEX(Attenuation!$J:$J,$H70+$I70-1),1),1),1),$I70-1))+1),INDEX(Attenuation!$J:$J,($H70-1+MIN(MAX(IFERROR(MATCH(LN(M$5),INDEX(Attenuation!$J:$J,$H70):INDEX(Attenuation!$J:$J,$H70+$I70-1),1),1),1),$I70-1))):INDEX(Attenuation!$J:$J,($H70-1+MIN(MAX(IFERROR(MATCH(LN(M$5),INDEX(Attenuation!$J:$J,$H70):INDEX(Attenuation!$J:$J,$H70+$I70-1),1),1),1),$I70-1))+1)))))</f>
        <v>3.4519974801538171</v>
      </c>
      <c r="N70" s="12">
        <f>IF($A70="","",IF(N$5&gt;2*$G70,"",EXP(FORECAST(LN(N$5),INDEX(Attenuation!$K:$K,($H70-1+MIN(MAX(IFERROR(MATCH(LN(N$5),INDEX(Attenuation!$J:$J,$H70):INDEX(Attenuation!$J:$J,$H70+$I70-1),1),1),1),$I70-1))):INDEX(Attenuation!$K:$K,($H70-1+MIN(MAX(IFERROR(MATCH(LN(N$5),INDEX(Attenuation!$J:$J,$H70):INDEX(Attenuation!$J:$J,$H70+$I70-1),1),1),1),$I70-1))+1),INDEX(Attenuation!$J:$J,($H70-1+MIN(MAX(IFERROR(MATCH(LN(N$5),INDEX(Attenuation!$J:$J,$H70):INDEX(Attenuation!$J:$J,$H70+$I70-1),1),1),1),$I70-1))):INDEX(Attenuation!$J:$J,($H70-1+MIN(MAX(IFERROR(MATCH(LN(N$5),INDEX(Attenuation!$J:$J,$H70):INDEX(Attenuation!$J:$J,$H70+$I70-1),1),1),1),$I70-1))+1)))))</f>
        <v>4.1670089315111616</v>
      </c>
      <c r="O70" s="12">
        <f>IF($A70="","",IF(O$5&gt;2*$G70,"",EXP(FORECAST(LN(O$5),INDEX(Attenuation!$K:$K,($H70-1+MIN(MAX(IFERROR(MATCH(LN(O$5),INDEX(Attenuation!$J:$J,$H70):INDEX(Attenuation!$J:$J,$H70+$I70-1),1),1),1),$I70-1))):INDEX(Attenuation!$K:$K,($H70-1+MIN(MAX(IFERROR(MATCH(LN(O$5),INDEX(Attenuation!$J:$J,$H70):INDEX(Attenuation!$J:$J,$H70+$I70-1),1),1),1),$I70-1))+1),INDEX(Attenuation!$J:$J,($H70-1+MIN(MAX(IFERROR(MATCH(LN(O$5),INDEX(Attenuation!$J:$J,$H70):INDEX(Attenuation!$J:$J,$H70+$I70-1),1),1),1),$I70-1))):INDEX(Attenuation!$J:$J,($H70-1+MIN(MAX(IFERROR(MATCH(LN(O$5),INDEX(Attenuation!$J:$J,$H70):INDEX(Attenuation!$J:$J,$H70+$I70-1),1),1),1),$I70-1))+1)))))</f>
        <v>4.7624429909501016</v>
      </c>
      <c r="P70" s="12">
        <f>IF($A70="","",IF(P$5&gt;2*$G70,"",EXP(FORECAST(LN(P$5),INDEX(Attenuation!$K:$K,($H70-1+MIN(MAX(IFERROR(MATCH(LN(P$5),INDEX(Attenuation!$J:$J,$H70):INDEX(Attenuation!$J:$J,$H70+$I70-1),1),1),1),$I70-1))):INDEX(Attenuation!$K:$K,($H70-1+MIN(MAX(IFERROR(MATCH(LN(P$5),INDEX(Attenuation!$J:$J,$H70):INDEX(Attenuation!$J:$J,$H70+$I70-1),1),1),1),$I70-1))+1),INDEX(Attenuation!$J:$J,($H70-1+MIN(MAX(IFERROR(MATCH(LN(P$5),INDEX(Attenuation!$J:$J,$H70):INDEX(Attenuation!$J:$J,$H70+$I70-1),1),1),1),$I70-1))):INDEX(Attenuation!$J:$J,($H70-1+MIN(MAX(IFERROR(MATCH(LN(P$5),INDEX(Attenuation!$J:$J,$H70):INDEX(Attenuation!$J:$J,$H70+$I70-1),1),1),1),$I70-1))+1)))))</f>
        <v>6.2335958005249337</v>
      </c>
      <c r="Q70" s="12">
        <f>IF($A70="","",IF(Q$5&gt;2*$G70,"",EXP(FORECAST(LN(Q$5),INDEX(Attenuation!$K:$K,($H70-1+MIN(MAX(IFERROR(MATCH(LN(Q$5),INDEX(Attenuation!$J:$J,$H70):INDEX(Attenuation!$J:$J,$H70+$I70-1),1),1),1),$I70-1))):INDEX(Attenuation!$K:$K,($H70-1+MIN(MAX(IFERROR(MATCH(LN(Q$5),INDEX(Attenuation!$J:$J,$H70):INDEX(Attenuation!$J:$J,$H70+$I70-1),1),1),1),$I70-1))+1),INDEX(Attenuation!$J:$J,($H70-1+MIN(MAX(IFERROR(MATCH(LN(Q$5),INDEX(Attenuation!$J:$J,$H70):INDEX(Attenuation!$J:$J,$H70+$I70-1),1),1),1),$I70-1))):INDEX(Attenuation!$J:$J,($H70-1+MIN(MAX(IFERROR(MATCH(LN(Q$5),INDEX(Attenuation!$J:$J,$H70):INDEX(Attenuation!$J:$J,$H70+$I70-1),1),1),1),$I70-1))+1)))))</f>
        <v>10.602977660275158</v>
      </c>
      <c r="R70" s="12">
        <f>IF($A70="","",IF(R$5&gt;2*$G70,"",EXP(FORECAST(LN(R$5),INDEX(Attenuation!$K:$K,($H70-1+MIN(MAX(IFERROR(MATCH(LN(R$5),INDEX(Attenuation!$J:$J,$H70):INDEX(Attenuation!$J:$J,$H70+$I70-1),1),1),1),$I70-1))):INDEX(Attenuation!$K:$K,($H70-1+MIN(MAX(IFERROR(MATCH(LN(R$5),INDEX(Attenuation!$J:$J,$H70):INDEX(Attenuation!$J:$J,$H70+$I70-1),1),1),1),$I70-1))+1),INDEX(Attenuation!$J:$J,($H70-1+MIN(MAX(IFERROR(MATCH(LN(R$5),INDEX(Attenuation!$J:$J,$H70):INDEX(Attenuation!$J:$J,$H70+$I70-1),1),1),1),$I70-1))):INDEX(Attenuation!$J:$J,($H70-1+MIN(MAX(IFERROR(MATCH(LN(R$5),INDEX(Attenuation!$J:$J,$H70):INDEX(Attenuation!$J:$J,$H70+$I70-1),1),1),1),$I70-1))+1)))))</f>
        <v>18.171187699804189</v>
      </c>
      <c r="S70" s="12">
        <f>IF($A70="","",IF(S$5&gt;2*$G70,"",EXP(FORECAST(LN(S$5),INDEX(Attenuation!$K:$K,($H70-1+MIN(MAX(IFERROR(MATCH(LN(S$5),INDEX(Attenuation!$J:$J,$H70):INDEX(Attenuation!$J:$J,$H70+$I70-1),1),1),1),$I70-1))):INDEX(Attenuation!$K:$K,($H70-1+MIN(MAX(IFERROR(MATCH(LN(S$5),INDEX(Attenuation!$J:$J,$H70):INDEX(Attenuation!$J:$J,$H70+$I70-1),1),1),1),$I70-1))+1),INDEX(Attenuation!$J:$J,($H70-1+MIN(MAX(IFERROR(MATCH(LN(S$5),INDEX(Attenuation!$J:$J,$H70):INDEX(Attenuation!$J:$J,$H70+$I70-1),1),1),1),$I70-1))):INDEX(Attenuation!$J:$J,($H70-1+MIN(MAX(IFERROR(MATCH(LN(S$5),INDEX(Attenuation!$J:$J,$H70):INDEX(Attenuation!$J:$J,$H70+$I70-1),1),1),1),$I70-1))+1)))))</f>
        <v>33.018925028925047</v>
      </c>
      <c r="T70" s="12" t="str">
        <f>IF($A70="","",IF(T$5&gt;2*$G70,"",EXP(FORECAST(LN(T$5),INDEX(Attenuation!$K:$K,($H70-1+MIN(MAX(IFERROR(MATCH(LN(T$5),INDEX(Attenuation!$J:$J,$H70):INDEX(Attenuation!$J:$J,$H70+$I70-1),1),1),1),$I70-1))):INDEX(Attenuation!$K:$K,($H70-1+MIN(MAX(IFERROR(MATCH(LN(T$5),INDEX(Attenuation!$J:$J,$H70):INDEX(Attenuation!$J:$J,$H70+$I70-1),1),1),1),$I70-1))+1),INDEX(Attenuation!$J:$J,($H70-1+MIN(MAX(IFERROR(MATCH(LN(T$5),INDEX(Attenuation!$J:$J,$H70):INDEX(Attenuation!$J:$J,$H70+$I70-1),1),1),1),$I70-1))):INDEX(Attenuation!$J:$J,($H70-1+MIN(MAX(IFERROR(MATCH(LN(T$5),INDEX(Attenuation!$J:$J,$H70):INDEX(Attenuation!$J:$J,$H70+$I70-1),1),1),1),$I70-1))+1)))))</f>
        <v/>
      </c>
      <c r="U70" s="12" t="str">
        <f>IF($A70="","",IF(U$5&gt;2*$G70,"",EXP(FORECAST(LN(U$5),INDEX(Attenuation!$K:$K,($H70-1+MIN(MAX(IFERROR(MATCH(LN(U$5),INDEX(Attenuation!$J:$J,$H70):INDEX(Attenuation!$J:$J,$H70+$I70-1),1),1),1),$I70-1))):INDEX(Attenuation!$K:$K,($H70-1+MIN(MAX(IFERROR(MATCH(LN(U$5),INDEX(Attenuation!$J:$J,$H70):INDEX(Attenuation!$J:$J,$H70+$I70-1),1),1),1),$I70-1))+1),INDEX(Attenuation!$J:$J,($H70-1+MIN(MAX(IFERROR(MATCH(LN(U$5),INDEX(Attenuation!$J:$J,$H70):INDEX(Attenuation!$J:$J,$H70+$I70-1),1),1),1),$I70-1))):INDEX(Attenuation!$J:$J,($H70-1+MIN(MAX(IFERROR(MATCH(LN(U$5),INDEX(Attenuation!$J:$J,$H70):INDEX(Attenuation!$J:$J,$H70+$I70-1),1),1),1),$I70-1))+1)))))</f>
        <v/>
      </c>
      <c r="V70" s="1"/>
      <c r="W70" s="12">
        <f t="shared" ref="W70:W105" si="24">IF(J70="","",J70*0.3048)</f>
        <v>0.39711582379110461</v>
      </c>
      <c r="X70" s="12">
        <f t="shared" ref="X70:X105" si="25">IF(K70="","",K70*0.3048)</f>
        <v>0.54539064300127782</v>
      </c>
      <c r="Y70" s="12">
        <f t="shared" ref="Y70:Y105" si="26">IF(L70="","",L70*0.3048)</f>
        <v>0.75916380163719421</v>
      </c>
      <c r="Z70" s="12">
        <f t="shared" ref="Z70:Z105" si="27">IF(M70="","",M70*0.3048)</f>
        <v>1.0521688319508835</v>
      </c>
      <c r="AA70" s="12">
        <f t="shared" ref="AA70:AA105" si="28">IF(N70="","",N70*0.3048)</f>
        <v>1.270104322324602</v>
      </c>
      <c r="AB70" s="12">
        <f t="shared" ref="AB70:AB105" si="29">IF(O70="","",O70*0.3048)</f>
        <v>1.451592623641591</v>
      </c>
      <c r="AC70" s="12">
        <f t="shared" ref="AC70:AC105" si="30">IF(P70="","",P70*0.3048)</f>
        <v>1.9</v>
      </c>
      <c r="AD70" s="12">
        <f t="shared" ref="AD70:AD105" si="31">IF(Q70="","",Q70*0.3048)</f>
        <v>3.2317875908518685</v>
      </c>
      <c r="AE70" s="12">
        <f t="shared" ref="AE70:AE105" si="32">IF(R70="","",R70*0.3048)</f>
        <v>5.5385780109003173</v>
      </c>
      <c r="AF70" s="12">
        <f t="shared" ref="AF70:AF105" si="33">IF(S70="","",S70*0.3048)</f>
        <v>10.064168348816354</v>
      </c>
      <c r="AG70" s="12" t="str">
        <f t="shared" ref="AG70:AG105" si="34">IF(T70="","",T70*0.3048)</f>
        <v/>
      </c>
      <c r="AH70" s="12" t="str">
        <f t="shared" ref="AH70:AH105" si="35">IF(U70="","",U70*0.3048)</f>
        <v/>
      </c>
    </row>
    <row r="71" spans="1:34" x14ac:dyDescent="0.25">
      <c r="A71" s="11" t="str">
        <f>IF(ROWS($A$6:A71)&gt;COUNTA(Cables!$A:$A)-1,"",INDEX(Cables!$A:$A,ROWS($A$6:A71)+1))</f>
        <v/>
      </c>
      <c r="B71" s="11" t="str">
        <f>IF($A71="","",IF(INDEX(Cables!$B:$B,MATCH($A71,Cables!$A:$A,0))="","",INDEX(Cables!$B:$B,MATCH($A71,Cables!$A:$A,0))))</f>
        <v/>
      </c>
      <c r="C71" s="11" t="str">
        <f>IF($A71="","",IF(INDEX(Cables!$F:$F,MATCH($A71,Cables!$A:$A,0))="","",INDEX(Cables!$F:$F,MATCH($A71,Cables!$A:$A,0))))</f>
        <v/>
      </c>
      <c r="D71" s="11" t="str">
        <f>IF($A71="","",IF(INDEX(Cables!$H:$H,MATCH($A71,Cables!$A:$A,0))="","",INDEX(Cables!$H:$H,MATCH($A71,Cables!$A:$A,0))))</f>
        <v/>
      </c>
      <c r="E71" s="12" t="str">
        <f>IF($A71="","",IF(INDEX(Cables!$Q:$Q,MATCH($A71,Cables!$A:$A,0))="","",INDEX(Cables!$Q:$Q,MATCH($A71,Cables!$A:$A,0))))</f>
        <v/>
      </c>
      <c r="F71" s="11" t="str">
        <f>IF($A71="","",IF(INDEX(Cables!$AQ:$AQ,MATCH($A71,Cables!$A:$A,0))="","",INDEX(Cables!$AQ:$AQ,MATCH($A71,Cables!$A:$A,0))))</f>
        <v/>
      </c>
      <c r="G71" s="11" t="str">
        <f>IF($A71="","",IF(INDEX(Cables!$AR:$AR,MATCH($A71,Cables!$A:$A,0))="","",INDEX(Cables!$AR:$AR,MATCH($A71,Cables!$A:$A,0))))</f>
        <v/>
      </c>
      <c r="H71" s="11" t="str">
        <f>IF($A71="","",IF(INDEX(Cables!$AO:$AO,MATCH($A71,Cables!$A:$A,0))="","",INDEX(Cables!$AO:$AO,MATCH($A71,Cables!$A:$A,0))))</f>
        <v/>
      </c>
      <c r="I71" s="11" t="str">
        <f>IF($A71="","",IF(INDEX(Cables!$AP:$AP,MATCH($A71,Cables!$A:$A,0))="","",INDEX(Cables!$AP:$AP,MATCH($A71,Cables!$A:$A,0))))</f>
        <v/>
      </c>
      <c r="J71" s="12" t="str">
        <f>IF($A71="","",IF(J$5&gt;2*$G71,"",EXP(FORECAST(LN(J$5),INDEX(Attenuation!$K:$K,($H71-1+MIN(MAX(IFERROR(MATCH(LN(J$5),INDEX(Attenuation!$J:$J,$H71):INDEX(Attenuation!$J:$J,$H71+$I71-1),1),1),1),$I71-1))):INDEX(Attenuation!$K:$K,($H71-1+MIN(MAX(IFERROR(MATCH(LN(J$5),INDEX(Attenuation!$J:$J,$H71):INDEX(Attenuation!$J:$J,$H71+$I71-1),1),1),1),$I71-1))+1),INDEX(Attenuation!$J:$J,($H71-1+MIN(MAX(IFERROR(MATCH(LN(J$5),INDEX(Attenuation!$J:$J,$H71):INDEX(Attenuation!$J:$J,$H71+$I71-1),1),1),1),$I71-1))):INDEX(Attenuation!$J:$J,($H71-1+MIN(MAX(IFERROR(MATCH(LN(J$5),INDEX(Attenuation!$J:$J,$H71):INDEX(Attenuation!$J:$J,$H71+$I71-1),1),1),1),$I71-1))+1)))))</f>
        <v/>
      </c>
      <c r="K71" s="12" t="str">
        <f>IF($A71="","",IF(K$5&gt;2*$G71,"",EXP(FORECAST(LN(K$5),INDEX(Attenuation!$K:$K,($H71-1+MIN(MAX(IFERROR(MATCH(LN(K$5),INDEX(Attenuation!$J:$J,$H71):INDEX(Attenuation!$J:$J,$H71+$I71-1),1),1),1),$I71-1))):INDEX(Attenuation!$K:$K,($H71-1+MIN(MAX(IFERROR(MATCH(LN(K$5),INDEX(Attenuation!$J:$J,$H71):INDEX(Attenuation!$J:$J,$H71+$I71-1),1),1),1),$I71-1))+1),INDEX(Attenuation!$J:$J,($H71-1+MIN(MAX(IFERROR(MATCH(LN(K$5),INDEX(Attenuation!$J:$J,$H71):INDEX(Attenuation!$J:$J,$H71+$I71-1),1),1),1),$I71-1))):INDEX(Attenuation!$J:$J,($H71-1+MIN(MAX(IFERROR(MATCH(LN(K$5),INDEX(Attenuation!$J:$J,$H71):INDEX(Attenuation!$J:$J,$H71+$I71-1),1),1),1),$I71-1))+1)))))</f>
        <v/>
      </c>
      <c r="L71" s="12" t="str">
        <f>IF($A71="","",IF(L$5&gt;2*$G71,"",EXP(FORECAST(LN(L$5),INDEX(Attenuation!$K:$K,($H71-1+MIN(MAX(IFERROR(MATCH(LN(L$5),INDEX(Attenuation!$J:$J,$H71):INDEX(Attenuation!$J:$J,$H71+$I71-1),1),1),1),$I71-1))):INDEX(Attenuation!$K:$K,($H71-1+MIN(MAX(IFERROR(MATCH(LN(L$5),INDEX(Attenuation!$J:$J,$H71):INDEX(Attenuation!$J:$J,$H71+$I71-1),1),1),1),$I71-1))+1),INDEX(Attenuation!$J:$J,($H71-1+MIN(MAX(IFERROR(MATCH(LN(L$5),INDEX(Attenuation!$J:$J,$H71):INDEX(Attenuation!$J:$J,$H71+$I71-1),1),1),1),$I71-1))):INDEX(Attenuation!$J:$J,($H71-1+MIN(MAX(IFERROR(MATCH(LN(L$5),INDEX(Attenuation!$J:$J,$H71):INDEX(Attenuation!$J:$J,$H71+$I71-1),1),1),1),$I71-1))+1)))))</f>
        <v/>
      </c>
      <c r="M71" s="12" t="str">
        <f>IF($A71="","",IF(M$5&gt;2*$G71,"",EXP(FORECAST(LN(M$5),INDEX(Attenuation!$K:$K,($H71-1+MIN(MAX(IFERROR(MATCH(LN(M$5),INDEX(Attenuation!$J:$J,$H71):INDEX(Attenuation!$J:$J,$H71+$I71-1),1),1),1),$I71-1))):INDEX(Attenuation!$K:$K,($H71-1+MIN(MAX(IFERROR(MATCH(LN(M$5),INDEX(Attenuation!$J:$J,$H71):INDEX(Attenuation!$J:$J,$H71+$I71-1),1),1),1),$I71-1))+1),INDEX(Attenuation!$J:$J,($H71-1+MIN(MAX(IFERROR(MATCH(LN(M$5),INDEX(Attenuation!$J:$J,$H71):INDEX(Attenuation!$J:$J,$H71+$I71-1),1),1),1),$I71-1))):INDEX(Attenuation!$J:$J,($H71-1+MIN(MAX(IFERROR(MATCH(LN(M$5),INDEX(Attenuation!$J:$J,$H71):INDEX(Attenuation!$J:$J,$H71+$I71-1),1),1),1),$I71-1))+1)))))</f>
        <v/>
      </c>
      <c r="N71" s="12" t="str">
        <f>IF($A71="","",IF(N$5&gt;2*$G71,"",EXP(FORECAST(LN(N$5),INDEX(Attenuation!$K:$K,($H71-1+MIN(MAX(IFERROR(MATCH(LN(N$5),INDEX(Attenuation!$J:$J,$H71):INDEX(Attenuation!$J:$J,$H71+$I71-1),1),1),1),$I71-1))):INDEX(Attenuation!$K:$K,($H71-1+MIN(MAX(IFERROR(MATCH(LN(N$5),INDEX(Attenuation!$J:$J,$H71):INDEX(Attenuation!$J:$J,$H71+$I71-1),1),1),1),$I71-1))+1),INDEX(Attenuation!$J:$J,($H71-1+MIN(MAX(IFERROR(MATCH(LN(N$5),INDEX(Attenuation!$J:$J,$H71):INDEX(Attenuation!$J:$J,$H71+$I71-1),1),1),1),$I71-1))):INDEX(Attenuation!$J:$J,($H71-1+MIN(MAX(IFERROR(MATCH(LN(N$5),INDEX(Attenuation!$J:$J,$H71):INDEX(Attenuation!$J:$J,$H71+$I71-1),1),1),1),$I71-1))+1)))))</f>
        <v/>
      </c>
      <c r="O71" s="12" t="str">
        <f>IF($A71="","",IF(O$5&gt;2*$G71,"",EXP(FORECAST(LN(O$5),INDEX(Attenuation!$K:$K,($H71-1+MIN(MAX(IFERROR(MATCH(LN(O$5),INDEX(Attenuation!$J:$J,$H71):INDEX(Attenuation!$J:$J,$H71+$I71-1),1),1),1),$I71-1))):INDEX(Attenuation!$K:$K,($H71-1+MIN(MAX(IFERROR(MATCH(LN(O$5),INDEX(Attenuation!$J:$J,$H71):INDEX(Attenuation!$J:$J,$H71+$I71-1),1),1),1),$I71-1))+1),INDEX(Attenuation!$J:$J,($H71-1+MIN(MAX(IFERROR(MATCH(LN(O$5),INDEX(Attenuation!$J:$J,$H71):INDEX(Attenuation!$J:$J,$H71+$I71-1),1),1),1),$I71-1))):INDEX(Attenuation!$J:$J,($H71-1+MIN(MAX(IFERROR(MATCH(LN(O$5),INDEX(Attenuation!$J:$J,$H71):INDEX(Attenuation!$J:$J,$H71+$I71-1),1),1),1),$I71-1))+1)))))</f>
        <v/>
      </c>
      <c r="P71" s="12" t="str">
        <f>IF($A71="","",IF(P$5&gt;2*$G71,"",EXP(FORECAST(LN(P$5),INDEX(Attenuation!$K:$K,($H71-1+MIN(MAX(IFERROR(MATCH(LN(P$5),INDEX(Attenuation!$J:$J,$H71):INDEX(Attenuation!$J:$J,$H71+$I71-1),1),1),1),$I71-1))):INDEX(Attenuation!$K:$K,($H71-1+MIN(MAX(IFERROR(MATCH(LN(P$5),INDEX(Attenuation!$J:$J,$H71):INDEX(Attenuation!$J:$J,$H71+$I71-1),1),1),1),$I71-1))+1),INDEX(Attenuation!$J:$J,($H71-1+MIN(MAX(IFERROR(MATCH(LN(P$5),INDEX(Attenuation!$J:$J,$H71):INDEX(Attenuation!$J:$J,$H71+$I71-1),1),1),1),$I71-1))):INDEX(Attenuation!$J:$J,($H71-1+MIN(MAX(IFERROR(MATCH(LN(P$5),INDEX(Attenuation!$J:$J,$H71):INDEX(Attenuation!$J:$J,$H71+$I71-1),1),1),1),$I71-1))+1)))))</f>
        <v/>
      </c>
      <c r="Q71" s="12" t="str">
        <f>IF($A71="","",IF(Q$5&gt;2*$G71,"",EXP(FORECAST(LN(Q$5),INDEX(Attenuation!$K:$K,($H71-1+MIN(MAX(IFERROR(MATCH(LN(Q$5),INDEX(Attenuation!$J:$J,$H71):INDEX(Attenuation!$J:$J,$H71+$I71-1),1),1),1),$I71-1))):INDEX(Attenuation!$K:$K,($H71-1+MIN(MAX(IFERROR(MATCH(LN(Q$5),INDEX(Attenuation!$J:$J,$H71):INDEX(Attenuation!$J:$J,$H71+$I71-1),1),1),1),$I71-1))+1),INDEX(Attenuation!$J:$J,($H71-1+MIN(MAX(IFERROR(MATCH(LN(Q$5),INDEX(Attenuation!$J:$J,$H71):INDEX(Attenuation!$J:$J,$H71+$I71-1),1),1),1),$I71-1))):INDEX(Attenuation!$J:$J,($H71-1+MIN(MAX(IFERROR(MATCH(LN(Q$5),INDEX(Attenuation!$J:$J,$H71):INDEX(Attenuation!$J:$J,$H71+$I71-1),1),1),1),$I71-1))+1)))))</f>
        <v/>
      </c>
      <c r="R71" s="12" t="str">
        <f>IF($A71="","",IF(R$5&gt;2*$G71,"",EXP(FORECAST(LN(R$5),INDEX(Attenuation!$K:$K,($H71-1+MIN(MAX(IFERROR(MATCH(LN(R$5),INDEX(Attenuation!$J:$J,$H71):INDEX(Attenuation!$J:$J,$H71+$I71-1),1),1),1),$I71-1))):INDEX(Attenuation!$K:$K,($H71-1+MIN(MAX(IFERROR(MATCH(LN(R$5),INDEX(Attenuation!$J:$J,$H71):INDEX(Attenuation!$J:$J,$H71+$I71-1),1),1),1),$I71-1))+1),INDEX(Attenuation!$J:$J,($H71-1+MIN(MAX(IFERROR(MATCH(LN(R$5),INDEX(Attenuation!$J:$J,$H71):INDEX(Attenuation!$J:$J,$H71+$I71-1),1),1),1),$I71-1))):INDEX(Attenuation!$J:$J,($H71-1+MIN(MAX(IFERROR(MATCH(LN(R$5),INDEX(Attenuation!$J:$J,$H71):INDEX(Attenuation!$J:$J,$H71+$I71-1),1),1),1),$I71-1))+1)))))</f>
        <v/>
      </c>
      <c r="S71" s="12" t="str">
        <f>IF($A71="","",IF(S$5&gt;2*$G71,"",EXP(FORECAST(LN(S$5),INDEX(Attenuation!$K:$K,($H71-1+MIN(MAX(IFERROR(MATCH(LN(S$5),INDEX(Attenuation!$J:$J,$H71):INDEX(Attenuation!$J:$J,$H71+$I71-1),1),1),1),$I71-1))):INDEX(Attenuation!$K:$K,($H71-1+MIN(MAX(IFERROR(MATCH(LN(S$5),INDEX(Attenuation!$J:$J,$H71):INDEX(Attenuation!$J:$J,$H71+$I71-1),1),1),1),$I71-1))+1),INDEX(Attenuation!$J:$J,($H71-1+MIN(MAX(IFERROR(MATCH(LN(S$5),INDEX(Attenuation!$J:$J,$H71):INDEX(Attenuation!$J:$J,$H71+$I71-1),1),1),1),$I71-1))):INDEX(Attenuation!$J:$J,($H71-1+MIN(MAX(IFERROR(MATCH(LN(S$5),INDEX(Attenuation!$J:$J,$H71):INDEX(Attenuation!$J:$J,$H71+$I71-1),1),1),1),$I71-1))+1)))))</f>
        <v/>
      </c>
      <c r="T71" s="12" t="str">
        <f>IF($A71="","",IF(T$5&gt;2*$G71,"",EXP(FORECAST(LN(T$5),INDEX(Attenuation!$K:$K,($H71-1+MIN(MAX(IFERROR(MATCH(LN(T$5),INDEX(Attenuation!$J:$J,$H71):INDEX(Attenuation!$J:$J,$H71+$I71-1),1),1),1),$I71-1))):INDEX(Attenuation!$K:$K,($H71-1+MIN(MAX(IFERROR(MATCH(LN(T$5),INDEX(Attenuation!$J:$J,$H71):INDEX(Attenuation!$J:$J,$H71+$I71-1),1),1),1),$I71-1))+1),INDEX(Attenuation!$J:$J,($H71-1+MIN(MAX(IFERROR(MATCH(LN(T$5),INDEX(Attenuation!$J:$J,$H71):INDEX(Attenuation!$J:$J,$H71+$I71-1),1),1),1),$I71-1))):INDEX(Attenuation!$J:$J,($H71-1+MIN(MAX(IFERROR(MATCH(LN(T$5),INDEX(Attenuation!$J:$J,$H71):INDEX(Attenuation!$J:$J,$H71+$I71-1),1),1),1),$I71-1))+1)))))</f>
        <v/>
      </c>
      <c r="U71" s="12" t="str">
        <f>IF($A71="","",IF(U$5&gt;2*$G71,"",EXP(FORECAST(LN(U$5),INDEX(Attenuation!$K:$K,($H71-1+MIN(MAX(IFERROR(MATCH(LN(U$5),INDEX(Attenuation!$J:$J,$H71):INDEX(Attenuation!$J:$J,$H71+$I71-1),1),1),1),$I71-1))):INDEX(Attenuation!$K:$K,($H71-1+MIN(MAX(IFERROR(MATCH(LN(U$5),INDEX(Attenuation!$J:$J,$H71):INDEX(Attenuation!$J:$J,$H71+$I71-1),1),1),1),$I71-1))+1),INDEX(Attenuation!$J:$J,($H71-1+MIN(MAX(IFERROR(MATCH(LN(U$5),INDEX(Attenuation!$J:$J,$H71):INDEX(Attenuation!$J:$J,$H71+$I71-1),1),1),1),$I71-1))):INDEX(Attenuation!$J:$J,($H71-1+MIN(MAX(IFERROR(MATCH(LN(U$5),INDEX(Attenuation!$J:$J,$H71):INDEX(Attenuation!$J:$J,$H71+$I71-1),1),1),1),$I71-1))+1)))))</f>
        <v/>
      </c>
      <c r="V71" s="1"/>
      <c r="W71" s="12" t="str">
        <f t="shared" si="24"/>
        <v/>
      </c>
      <c r="X71" s="12" t="str">
        <f t="shared" si="25"/>
        <v/>
      </c>
      <c r="Y71" s="12" t="str">
        <f t="shared" si="26"/>
        <v/>
      </c>
      <c r="Z71" s="12" t="str">
        <f t="shared" si="27"/>
        <v/>
      </c>
      <c r="AA71" s="12" t="str">
        <f t="shared" si="28"/>
        <v/>
      </c>
      <c r="AB71" s="12" t="str">
        <f t="shared" si="29"/>
        <v/>
      </c>
      <c r="AC71" s="12" t="str">
        <f t="shared" si="30"/>
        <v/>
      </c>
      <c r="AD71" s="12" t="str">
        <f t="shared" si="31"/>
        <v/>
      </c>
      <c r="AE71" s="12" t="str">
        <f t="shared" si="32"/>
        <v/>
      </c>
      <c r="AF71" s="12" t="str">
        <f t="shared" si="33"/>
        <v/>
      </c>
      <c r="AG71" s="12" t="str">
        <f t="shared" si="34"/>
        <v/>
      </c>
      <c r="AH71" s="12" t="str">
        <f t="shared" si="35"/>
        <v/>
      </c>
    </row>
    <row r="72" spans="1:34" x14ac:dyDescent="0.25">
      <c r="A72" s="11" t="str">
        <f>IF(ROWS($A$6:A72)&gt;COUNTA(Cables!$A:$A)-1,"",INDEX(Cables!$A:$A,ROWS($A$6:A72)+1))</f>
        <v/>
      </c>
      <c r="B72" s="11" t="str">
        <f>IF($A72="","",IF(INDEX(Cables!$B:$B,MATCH($A72,Cables!$A:$A,0))="","",INDEX(Cables!$B:$B,MATCH($A72,Cables!$A:$A,0))))</f>
        <v/>
      </c>
      <c r="C72" s="11" t="str">
        <f>IF($A72="","",IF(INDEX(Cables!$F:$F,MATCH($A72,Cables!$A:$A,0))="","",INDEX(Cables!$F:$F,MATCH($A72,Cables!$A:$A,0))))</f>
        <v/>
      </c>
      <c r="D72" s="11" t="str">
        <f>IF($A72="","",IF(INDEX(Cables!$H:$H,MATCH($A72,Cables!$A:$A,0))="","",INDEX(Cables!$H:$H,MATCH($A72,Cables!$A:$A,0))))</f>
        <v/>
      </c>
      <c r="E72" s="12" t="str">
        <f>IF($A72="","",IF(INDEX(Cables!$Q:$Q,MATCH($A72,Cables!$A:$A,0))="","",INDEX(Cables!$Q:$Q,MATCH($A72,Cables!$A:$A,0))))</f>
        <v/>
      </c>
      <c r="F72" s="11" t="str">
        <f>IF($A72="","",IF(INDEX(Cables!$AQ:$AQ,MATCH($A72,Cables!$A:$A,0))="","",INDEX(Cables!$AQ:$AQ,MATCH($A72,Cables!$A:$A,0))))</f>
        <v/>
      </c>
      <c r="G72" s="11" t="str">
        <f>IF($A72="","",IF(INDEX(Cables!$AR:$AR,MATCH($A72,Cables!$A:$A,0))="","",INDEX(Cables!$AR:$AR,MATCH($A72,Cables!$A:$A,0))))</f>
        <v/>
      </c>
      <c r="H72" s="11" t="str">
        <f>IF($A72="","",IF(INDEX(Cables!$AO:$AO,MATCH($A72,Cables!$A:$A,0))="","",INDEX(Cables!$AO:$AO,MATCH($A72,Cables!$A:$A,0))))</f>
        <v/>
      </c>
      <c r="I72" s="11" t="str">
        <f>IF($A72="","",IF(INDEX(Cables!$AP:$AP,MATCH($A72,Cables!$A:$A,0))="","",INDEX(Cables!$AP:$AP,MATCH($A72,Cables!$A:$A,0))))</f>
        <v/>
      </c>
      <c r="J72" s="12" t="str">
        <f>IF($A72="","",IF(J$5&gt;2*$G72,"",EXP(FORECAST(LN(J$5),INDEX(Attenuation!$K:$K,($H72-1+MIN(MAX(IFERROR(MATCH(LN(J$5),INDEX(Attenuation!$J:$J,$H72):INDEX(Attenuation!$J:$J,$H72+$I72-1),1),1),1),$I72-1))):INDEX(Attenuation!$K:$K,($H72-1+MIN(MAX(IFERROR(MATCH(LN(J$5),INDEX(Attenuation!$J:$J,$H72):INDEX(Attenuation!$J:$J,$H72+$I72-1),1),1),1),$I72-1))+1),INDEX(Attenuation!$J:$J,($H72-1+MIN(MAX(IFERROR(MATCH(LN(J$5),INDEX(Attenuation!$J:$J,$H72):INDEX(Attenuation!$J:$J,$H72+$I72-1),1),1),1),$I72-1))):INDEX(Attenuation!$J:$J,($H72-1+MIN(MAX(IFERROR(MATCH(LN(J$5),INDEX(Attenuation!$J:$J,$H72):INDEX(Attenuation!$J:$J,$H72+$I72-1),1),1),1),$I72-1))+1)))))</f>
        <v/>
      </c>
      <c r="K72" s="12" t="str">
        <f>IF($A72="","",IF(K$5&gt;2*$G72,"",EXP(FORECAST(LN(K$5),INDEX(Attenuation!$K:$K,($H72-1+MIN(MAX(IFERROR(MATCH(LN(K$5),INDEX(Attenuation!$J:$J,$H72):INDEX(Attenuation!$J:$J,$H72+$I72-1),1),1),1),$I72-1))):INDEX(Attenuation!$K:$K,($H72-1+MIN(MAX(IFERROR(MATCH(LN(K$5),INDEX(Attenuation!$J:$J,$H72):INDEX(Attenuation!$J:$J,$H72+$I72-1),1),1),1),$I72-1))+1),INDEX(Attenuation!$J:$J,($H72-1+MIN(MAX(IFERROR(MATCH(LN(K$5),INDEX(Attenuation!$J:$J,$H72):INDEX(Attenuation!$J:$J,$H72+$I72-1),1),1),1),$I72-1))):INDEX(Attenuation!$J:$J,($H72-1+MIN(MAX(IFERROR(MATCH(LN(K$5),INDEX(Attenuation!$J:$J,$H72):INDEX(Attenuation!$J:$J,$H72+$I72-1),1),1),1),$I72-1))+1)))))</f>
        <v/>
      </c>
      <c r="L72" s="12" t="str">
        <f>IF($A72="","",IF(L$5&gt;2*$G72,"",EXP(FORECAST(LN(L$5),INDEX(Attenuation!$K:$K,($H72-1+MIN(MAX(IFERROR(MATCH(LN(L$5),INDEX(Attenuation!$J:$J,$H72):INDEX(Attenuation!$J:$J,$H72+$I72-1),1),1),1),$I72-1))):INDEX(Attenuation!$K:$K,($H72-1+MIN(MAX(IFERROR(MATCH(LN(L$5),INDEX(Attenuation!$J:$J,$H72):INDEX(Attenuation!$J:$J,$H72+$I72-1),1),1),1),$I72-1))+1),INDEX(Attenuation!$J:$J,($H72-1+MIN(MAX(IFERROR(MATCH(LN(L$5),INDEX(Attenuation!$J:$J,$H72):INDEX(Attenuation!$J:$J,$H72+$I72-1),1),1),1),$I72-1))):INDEX(Attenuation!$J:$J,($H72-1+MIN(MAX(IFERROR(MATCH(LN(L$5),INDEX(Attenuation!$J:$J,$H72):INDEX(Attenuation!$J:$J,$H72+$I72-1),1),1),1),$I72-1))+1)))))</f>
        <v/>
      </c>
      <c r="M72" s="12" t="str">
        <f>IF($A72="","",IF(M$5&gt;2*$G72,"",EXP(FORECAST(LN(M$5),INDEX(Attenuation!$K:$K,($H72-1+MIN(MAX(IFERROR(MATCH(LN(M$5),INDEX(Attenuation!$J:$J,$H72):INDEX(Attenuation!$J:$J,$H72+$I72-1),1),1),1),$I72-1))):INDEX(Attenuation!$K:$K,($H72-1+MIN(MAX(IFERROR(MATCH(LN(M$5),INDEX(Attenuation!$J:$J,$H72):INDEX(Attenuation!$J:$J,$H72+$I72-1),1),1),1),$I72-1))+1),INDEX(Attenuation!$J:$J,($H72-1+MIN(MAX(IFERROR(MATCH(LN(M$5),INDEX(Attenuation!$J:$J,$H72):INDEX(Attenuation!$J:$J,$H72+$I72-1),1),1),1),$I72-1))):INDEX(Attenuation!$J:$J,($H72-1+MIN(MAX(IFERROR(MATCH(LN(M$5),INDEX(Attenuation!$J:$J,$H72):INDEX(Attenuation!$J:$J,$H72+$I72-1),1),1),1),$I72-1))+1)))))</f>
        <v/>
      </c>
      <c r="N72" s="12" t="str">
        <f>IF($A72="","",IF(N$5&gt;2*$G72,"",EXP(FORECAST(LN(N$5),INDEX(Attenuation!$K:$K,($H72-1+MIN(MAX(IFERROR(MATCH(LN(N$5),INDEX(Attenuation!$J:$J,$H72):INDEX(Attenuation!$J:$J,$H72+$I72-1),1),1),1),$I72-1))):INDEX(Attenuation!$K:$K,($H72-1+MIN(MAX(IFERROR(MATCH(LN(N$5),INDEX(Attenuation!$J:$J,$H72):INDEX(Attenuation!$J:$J,$H72+$I72-1),1),1),1),$I72-1))+1),INDEX(Attenuation!$J:$J,($H72-1+MIN(MAX(IFERROR(MATCH(LN(N$5),INDEX(Attenuation!$J:$J,$H72):INDEX(Attenuation!$J:$J,$H72+$I72-1),1),1),1),$I72-1))):INDEX(Attenuation!$J:$J,($H72-1+MIN(MAX(IFERROR(MATCH(LN(N$5),INDEX(Attenuation!$J:$J,$H72):INDEX(Attenuation!$J:$J,$H72+$I72-1),1),1),1),$I72-1))+1)))))</f>
        <v/>
      </c>
      <c r="O72" s="12" t="str">
        <f>IF($A72="","",IF(O$5&gt;2*$G72,"",EXP(FORECAST(LN(O$5),INDEX(Attenuation!$K:$K,($H72-1+MIN(MAX(IFERROR(MATCH(LN(O$5),INDEX(Attenuation!$J:$J,$H72):INDEX(Attenuation!$J:$J,$H72+$I72-1),1),1),1),$I72-1))):INDEX(Attenuation!$K:$K,($H72-1+MIN(MAX(IFERROR(MATCH(LN(O$5),INDEX(Attenuation!$J:$J,$H72):INDEX(Attenuation!$J:$J,$H72+$I72-1),1),1),1),$I72-1))+1),INDEX(Attenuation!$J:$J,($H72-1+MIN(MAX(IFERROR(MATCH(LN(O$5),INDEX(Attenuation!$J:$J,$H72):INDEX(Attenuation!$J:$J,$H72+$I72-1),1),1),1),$I72-1))):INDEX(Attenuation!$J:$J,($H72-1+MIN(MAX(IFERROR(MATCH(LN(O$5),INDEX(Attenuation!$J:$J,$H72):INDEX(Attenuation!$J:$J,$H72+$I72-1),1),1),1),$I72-1))+1)))))</f>
        <v/>
      </c>
      <c r="P72" s="12" t="str">
        <f>IF($A72="","",IF(P$5&gt;2*$G72,"",EXP(FORECAST(LN(P$5),INDEX(Attenuation!$K:$K,($H72-1+MIN(MAX(IFERROR(MATCH(LN(P$5),INDEX(Attenuation!$J:$J,$H72):INDEX(Attenuation!$J:$J,$H72+$I72-1),1),1),1),$I72-1))):INDEX(Attenuation!$K:$K,($H72-1+MIN(MAX(IFERROR(MATCH(LN(P$5),INDEX(Attenuation!$J:$J,$H72):INDEX(Attenuation!$J:$J,$H72+$I72-1),1),1),1),$I72-1))+1),INDEX(Attenuation!$J:$J,($H72-1+MIN(MAX(IFERROR(MATCH(LN(P$5),INDEX(Attenuation!$J:$J,$H72):INDEX(Attenuation!$J:$J,$H72+$I72-1),1),1),1),$I72-1))):INDEX(Attenuation!$J:$J,($H72-1+MIN(MAX(IFERROR(MATCH(LN(P$5),INDEX(Attenuation!$J:$J,$H72):INDEX(Attenuation!$J:$J,$H72+$I72-1),1),1),1),$I72-1))+1)))))</f>
        <v/>
      </c>
      <c r="Q72" s="12" t="str">
        <f>IF($A72="","",IF(Q$5&gt;2*$G72,"",EXP(FORECAST(LN(Q$5),INDEX(Attenuation!$K:$K,($H72-1+MIN(MAX(IFERROR(MATCH(LN(Q$5),INDEX(Attenuation!$J:$J,$H72):INDEX(Attenuation!$J:$J,$H72+$I72-1),1),1),1),$I72-1))):INDEX(Attenuation!$K:$K,($H72-1+MIN(MAX(IFERROR(MATCH(LN(Q$5),INDEX(Attenuation!$J:$J,$H72):INDEX(Attenuation!$J:$J,$H72+$I72-1),1),1),1),$I72-1))+1),INDEX(Attenuation!$J:$J,($H72-1+MIN(MAX(IFERROR(MATCH(LN(Q$5),INDEX(Attenuation!$J:$J,$H72):INDEX(Attenuation!$J:$J,$H72+$I72-1),1),1),1),$I72-1))):INDEX(Attenuation!$J:$J,($H72-1+MIN(MAX(IFERROR(MATCH(LN(Q$5),INDEX(Attenuation!$J:$J,$H72):INDEX(Attenuation!$J:$J,$H72+$I72-1),1),1),1),$I72-1))+1)))))</f>
        <v/>
      </c>
      <c r="R72" s="12" t="str">
        <f>IF($A72="","",IF(R$5&gt;2*$G72,"",EXP(FORECAST(LN(R$5),INDEX(Attenuation!$K:$K,($H72-1+MIN(MAX(IFERROR(MATCH(LN(R$5),INDEX(Attenuation!$J:$J,$H72):INDEX(Attenuation!$J:$J,$H72+$I72-1),1),1),1),$I72-1))):INDEX(Attenuation!$K:$K,($H72-1+MIN(MAX(IFERROR(MATCH(LN(R$5),INDEX(Attenuation!$J:$J,$H72):INDEX(Attenuation!$J:$J,$H72+$I72-1),1),1),1),$I72-1))+1),INDEX(Attenuation!$J:$J,($H72-1+MIN(MAX(IFERROR(MATCH(LN(R$5),INDEX(Attenuation!$J:$J,$H72):INDEX(Attenuation!$J:$J,$H72+$I72-1),1),1),1),$I72-1))):INDEX(Attenuation!$J:$J,($H72-1+MIN(MAX(IFERROR(MATCH(LN(R$5),INDEX(Attenuation!$J:$J,$H72):INDEX(Attenuation!$J:$J,$H72+$I72-1),1),1),1),$I72-1))+1)))))</f>
        <v/>
      </c>
      <c r="S72" s="12" t="str">
        <f>IF($A72="","",IF(S$5&gt;2*$G72,"",EXP(FORECAST(LN(S$5),INDEX(Attenuation!$K:$K,($H72-1+MIN(MAX(IFERROR(MATCH(LN(S$5),INDEX(Attenuation!$J:$J,$H72):INDEX(Attenuation!$J:$J,$H72+$I72-1),1),1),1),$I72-1))):INDEX(Attenuation!$K:$K,($H72-1+MIN(MAX(IFERROR(MATCH(LN(S$5),INDEX(Attenuation!$J:$J,$H72):INDEX(Attenuation!$J:$J,$H72+$I72-1),1),1),1),$I72-1))+1),INDEX(Attenuation!$J:$J,($H72-1+MIN(MAX(IFERROR(MATCH(LN(S$5),INDEX(Attenuation!$J:$J,$H72):INDEX(Attenuation!$J:$J,$H72+$I72-1),1),1),1),$I72-1))):INDEX(Attenuation!$J:$J,($H72-1+MIN(MAX(IFERROR(MATCH(LN(S$5),INDEX(Attenuation!$J:$J,$H72):INDEX(Attenuation!$J:$J,$H72+$I72-1),1),1),1),$I72-1))+1)))))</f>
        <v/>
      </c>
      <c r="T72" s="12" t="str">
        <f>IF($A72="","",IF(T$5&gt;2*$G72,"",EXP(FORECAST(LN(T$5),INDEX(Attenuation!$K:$K,($H72-1+MIN(MAX(IFERROR(MATCH(LN(T$5),INDEX(Attenuation!$J:$J,$H72):INDEX(Attenuation!$J:$J,$H72+$I72-1),1),1),1),$I72-1))):INDEX(Attenuation!$K:$K,($H72-1+MIN(MAX(IFERROR(MATCH(LN(T$5),INDEX(Attenuation!$J:$J,$H72):INDEX(Attenuation!$J:$J,$H72+$I72-1),1),1),1),$I72-1))+1),INDEX(Attenuation!$J:$J,($H72-1+MIN(MAX(IFERROR(MATCH(LN(T$5),INDEX(Attenuation!$J:$J,$H72):INDEX(Attenuation!$J:$J,$H72+$I72-1),1),1),1),$I72-1))):INDEX(Attenuation!$J:$J,($H72-1+MIN(MAX(IFERROR(MATCH(LN(T$5),INDEX(Attenuation!$J:$J,$H72):INDEX(Attenuation!$J:$J,$H72+$I72-1),1),1),1),$I72-1))+1)))))</f>
        <v/>
      </c>
      <c r="U72" s="12" t="str">
        <f>IF($A72="","",IF(U$5&gt;2*$G72,"",EXP(FORECAST(LN(U$5),INDEX(Attenuation!$K:$K,($H72-1+MIN(MAX(IFERROR(MATCH(LN(U$5),INDEX(Attenuation!$J:$J,$H72):INDEX(Attenuation!$J:$J,$H72+$I72-1),1),1),1),$I72-1))):INDEX(Attenuation!$K:$K,($H72-1+MIN(MAX(IFERROR(MATCH(LN(U$5),INDEX(Attenuation!$J:$J,$H72):INDEX(Attenuation!$J:$J,$H72+$I72-1),1),1),1),$I72-1))+1),INDEX(Attenuation!$J:$J,($H72-1+MIN(MAX(IFERROR(MATCH(LN(U$5),INDEX(Attenuation!$J:$J,$H72):INDEX(Attenuation!$J:$J,$H72+$I72-1),1),1),1),$I72-1))):INDEX(Attenuation!$J:$J,($H72-1+MIN(MAX(IFERROR(MATCH(LN(U$5),INDEX(Attenuation!$J:$J,$H72):INDEX(Attenuation!$J:$J,$H72+$I72-1),1),1),1),$I72-1))+1)))))</f>
        <v/>
      </c>
      <c r="V72" s="1"/>
      <c r="W72" s="12" t="str">
        <f t="shared" si="24"/>
        <v/>
      </c>
      <c r="X72" s="12" t="str">
        <f t="shared" si="25"/>
        <v/>
      </c>
      <c r="Y72" s="12" t="str">
        <f t="shared" si="26"/>
        <v/>
      </c>
      <c r="Z72" s="12" t="str">
        <f t="shared" si="27"/>
        <v/>
      </c>
      <c r="AA72" s="12" t="str">
        <f t="shared" si="28"/>
        <v/>
      </c>
      <c r="AB72" s="12" t="str">
        <f t="shared" si="29"/>
        <v/>
      </c>
      <c r="AC72" s="12" t="str">
        <f t="shared" si="30"/>
        <v/>
      </c>
      <c r="AD72" s="12" t="str">
        <f t="shared" si="31"/>
        <v/>
      </c>
      <c r="AE72" s="12" t="str">
        <f t="shared" si="32"/>
        <v/>
      </c>
      <c r="AF72" s="12" t="str">
        <f t="shared" si="33"/>
        <v/>
      </c>
      <c r="AG72" s="12" t="str">
        <f t="shared" si="34"/>
        <v/>
      </c>
      <c r="AH72" s="12" t="str">
        <f t="shared" si="35"/>
        <v/>
      </c>
    </row>
    <row r="73" spans="1:34" x14ac:dyDescent="0.25">
      <c r="A73" s="11" t="str">
        <f>IF(ROWS($A$6:A73)&gt;COUNTA(Cables!$A:$A)-1,"",INDEX(Cables!$A:$A,ROWS($A$6:A73)+1))</f>
        <v/>
      </c>
      <c r="B73" s="11" t="str">
        <f>IF($A73="","",IF(INDEX(Cables!$B:$B,MATCH($A73,Cables!$A:$A,0))="","",INDEX(Cables!$B:$B,MATCH($A73,Cables!$A:$A,0))))</f>
        <v/>
      </c>
      <c r="C73" s="11" t="str">
        <f>IF($A73="","",IF(INDEX(Cables!$F:$F,MATCH($A73,Cables!$A:$A,0))="","",INDEX(Cables!$F:$F,MATCH($A73,Cables!$A:$A,0))))</f>
        <v/>
      </c>
      <c r="D73" s="11" t="str">
        <f>IF($A73="","",IF(INDEX(Cables!$H:$H,MATCH($A73,Cables!$A:$A,0))="","",INDEX(Cables!$H:$H,MATCH($A73,Cables!$A:$A,0))))</f>
        <v/>
      </c>
      <c r="E73" s="12" t="str">
        <f>IF($A73="","",IF(INDEX(Cables!$Q:$Q,MATCH($A73,Cables!$A:$A,0))="","",INDEX(Cables!$Q:$Q,MATCH($A73,Cables!$A:$A,0))))</f>
        <v/>
      </c>
      <c r="F73" s="11" t="str">
        <f>IF($A73="","",IF(INDEX(Cables!$AQ:$AQ,MATCH($A73,Cables!$A:$A,0))="","",INDEX(Cables!$AQ:$AQ,MATCH($A73,Cables!$A:$A,0))))</f>
        <v/>
      </c>
      <c r="G73" s="11" t="str">
        <f>IF($A73="","",IF(INDEX(Cables!$AR:$AR,MATCH($A73,Cables!$A:$A,0))="","",INDEX(Cables!$AR:$AR,MATCH($A73,Cables!$A:$A,0))))</f>
        <v/>
      </c>
      <c r="H73" s="11" t="str">
        <f>IF($A73="","",IF(INDEX(Cables!$AO:$AO,MATCH($A73,Cables!$A:$A,0))="","",INDEX(Cables!$AO:$AO,MATCH($A73,Cables!$A:$A,0))))</f>
        <v/>
      </c>
      <c r="I73" s="11" t="str">
        <f>IF($A73="","",IF(INDEX(Cables!$AP:$AP,MATCH($A73,Cables!$A:$A,0))="","",INDEX(Cables!$AP:$AP,MATCH($A73,Cables!$A:$A,0))))</f>
        <v/>
      </c>
      <c r="J73" s="12" t="str">
        <f>IF($A73="","",IF(J$5&gt;2*$G73,"",EXP(FORECAST(LN(J$5),INDEX(Attenuation!$K:$K,($H73-1+MIN(MAX(IFERROR(MATCH(LN(J$5),INDEX(Attenuation!$J:$J,$H73):INDEX(Attenuation!$J:$J,$H73+$I73-1),1),1),1),$I73-1))):INDEX(Attenuation!$K:$K,($H73-1+MIN(MAX(IFERROR(MATCH(LN(J$5),INDEX(Attenuation!$J:$J,$H73):INDEX(Attenuation!$J:$J,$H73+$I73-1),1),1),1),$I73-1))+1),INDEX(Attenuation!$J:$J,($H73-1+MIN(MAX(IFERROR(MATCH(LN(J$5),INDEX(Attenuation!$J:$J,$H73):INDEX(Attenuation!$J:$J,$H73+$I73-1),1),1),1),$I73-1))):INDEX(Attenuation!$J:$J,($H73-1+MIN(MAX(IFERROR(MATCH(LN(J$5),INDEX(Attenuation!$J:$J,$H73):INDEX(Attenuation!$J:$J,$H73+$I73-1),1),1),1),$I73-1))+1)))))</f>
        <v/>
      </c>
      <c r="K73" s="12" t="str">
        <f>IF($A73="","",IF(K$5&gt;2*$G73,"",EXP(FORECAST(LN(K$5),INDEX(Attenuation!$K:$K,($H73-1+MIN(MAX(IFERROR(MATCH(LN(K$5),INDEX(Attenuation!$J:$J,$H73):INDEX(Attenuation!$J:$J,$H73+$I73-1),1),1),1),$I73-1))):INDEX(Attenuation!$K:$K,($H73-1+MIN(MAX(IFERROR(MATCH(LN(K$5),INDEX(Attenuation!$J:$J,$H73):INDEX(Attenuation!$J:$J,$H73+$I73-1),1),1),1),$I73-1))+1),INDEX(Attenuation!$J:$J,($H73-1+MIN(MAX(IFERROR(MATCH(LN(K$5),INDEX(Attenuation!$J:$J,$H73):INDEX(Attenuation!$J:$J,$H73+$I73-1),1),1),1),$I73-1))):INDEX(Attenuation!$J:$J,($H73-1+MIN(MAX(IFERROR(MATCH(LN(K$5),INDEX(Attenuation!$J:$J,$H73):INDEX(Attenuation!$J:$J,$H73+$I73-1),1),1),1),$I73-1))+1)))))</f>
        <v/>
      </c>
      <c r="L73" s="12" t="str">
        <f>IF($A73="","",IF(L$5&gt;2*$G73,"",EXP(FORECAST(LN(L$5),INDEX(Attenuation!$K:$K,($H73-1+MIN(MAX(IFERROR(MATCH(LN(L$5),INDEX(Attenuation!$J:$J,$H73):INDEX(Attenuation!$J:$J,$H73+$I73-1),1),1),1),$I73-1))):INDEX(Attenuation!$K:$K,($H73-1+MIN(MAX(IFERROR(MATCH(LN(L$5),INDEX(Attenuation!$J:$J,$H73):INDEX(Attenuation!$J:$J,$H73+$I73-1),1),1),1),$I73-1))+1),INDEX(Attenuation!$J:$J,($H73-1+MIN(MAX(IFERROR(MATCH(LN(L$5),INDEX(Attenuation!$J:$J,$H73):INDEX(Attenuation!$J:$J,$H73+$I73-1),1),1),1),$I73-1))):INDEX(Attenuation!$J:$J,($H73-1+MIN(MAX(IFERROR(MATCH(LN(L$5),INDEX(Attenuation!$J:$J,$H73):INDEX(Attenuation!$J:$J,$H73+$I73-1),1),1),1),$I73-1))+1)))))</f>
        <v/>
      </c>
      <c r="M73" s="12" t="str">
        <f>IF($A73="","",IF(M$5&gt;2*$G73,"",EXP(FORECAST(LN(M$5),INDEX(Attenuation!$K:$K,($H73-1+MIN(MAX(IFERROR(MATCH(LN(M$5),INDEX(Attenuation!$J:$J,$H73):INDEX(Attenuation!$J:$J,$H73+$I73-1),1),1),1),$I73-1))):INDEX(Attenuation!$K:$K,($H73-1+MIN(MAX(IFERROR(MATCH(LN(M$5),INDEX(Attenuation!$J:$J,$H73):INDEX(Attenuation!$J:$J,$H73+$I73-1),1),1),1),$I73-1))+1),INDEX(Attenuation!$J:$J,($H73-1+MIN(MAX(IFERROR(MATCH(LN(M$5),INDEX(Attenuation!$J:$J,$H73):INDEX(Attenuation!$J:$J,$H73+$I73-1),1),1),1),$I73-1))):INDEX(Attenuation!$J:$J,($H73-1+MIN(MAX(IFERROR(MATCH(LN(M$5),INDEX(Attenuation!$J:$J,$H73):INDEX(Attenuation!$J:$J,$H73+$I73-1),1),1),1),$I73-1))+1)))))</f>
        <v/>
      </c>
      <c r="N73" s="12" t="str">
        <f>IF($A73="","",IF(N$5&gt;2*$G73,"",EXP(FORECAST(LN(N$5),INDEX(Attenuation!$K:$K,($H73-1+MIN(MAX(IFERROR(MATCH(LN(N$5),INDEX(Attenuation!$J:$J,$H73):INDEX(Attenuation!$J:$J,$H73+$I73-1),1),1),1),$I73-1))):INDEX(Attenuation!$K:$K,($H73-1+MIN(MAX(IFERROR(MATCH(LN(N$5),INDEX(Attenuation!$J:$J,$H73):INDEX(Attenuation!$J:$J,$H73+$I73-1),1),1),1),$I73-1))+1),INDEX(Attenuation!$J:$J,($H73-1+MIN(MAX(IFERROR(MATCH(LN(N$5),INDEX(Attenuation!$J:$J,$H73):INDEX(Attenuation!$J:$J,$H73+$I73-1),1),1),1),$I73-1))):INDEX(Attenuation!$J:$J,($H73-1+MIN(MAX(IFERROR(MATCH(LN(N$5),INDEX(Attenuation!$J:$J,$H73):INDEX(Attenuation!$J:$J,$H73+$I73-1),1),1),1),$I73-1))+1)))))</f>
        <v/>
      </c>
      <c r="O73" s="12" t="str">
        <f>IF($A73="","",IF(O$5&gt;2*$G73,"",EXP(FORECAST(LN(O$5),INDEX(Attenuation!$K:$K,($H73-1+MIN(MAX(IFERROR(MATCH(LN(O$5),INDEX(Attenuation!$J:$J,$H73):INDEX(Attenuation!$J:$J,$H73+$I73-1),1),1),1),$I73-1))):INDEX(Attenuation!$K:$K,($H73-1+MIN(MAX(IFERROR(MATCH(LN(O$5),INDEX(Attenuation!$J:$J,$H73):INDEX(Attenuation!$J:$J,$H73+$I73-1),1),1),1),$I73-1))+1),INDEX(Attenuation!$J:$J,($H73-1+MIN(MAX(IFERROR(MATCH(LN(O$5),INDEX(Attenuation!$J:$J,$H73):INDEX(Attenuation!$J:$J,$H73+$I73-1),1),1),1),$I73-1))):INDEX(Attenuation!$J:$J,($H73-1+MIN(MAX(IFERROR(MATCH(LN(O$5),INDEX(Attenuation!$J:$J,$H73):INDEX(Attenuation!$J:$J,$H73+$I73-1),1),1),1),$I73-1))+1)))))</f>
        <v/>
      </c>
      <c r="P73" s="12" t="str">
        <f>IF($A73="","",IF(P$5&gt;2*$G73,"",EXP(FORECAST(LN(P$5),INDEX(Attenuation!$K:$K,($H73-1+MIN(MAX(IFERROR(MATCH(LN(P$5),INDEX(Attenuation!$J:$J,$H73):INDEX(Attenuation!$J:$J,$H73+$I73-1),1),1),1),$I73-1))):INDEX(Attenuation!$K:$K,($H73-1+MIN(MAX(IFERROR(MATCH(LN(P$5),INDEX(Attenuation!$J:$J,$H73):INDEX(Attenuation!$J:$J,$H73+$I73-1),1),1),1),$I73-1))+1),INDEX(Attenuation!$J:$J,($H73-1+MIN(MAX(IFERROR(MATCH(LN(P$5),INDEX(Attenuation!$J:$J,$H73):INDEX(Attenuation!$J:$J,$H73+$I73-1),1),1),1),$I73-1))):INDEX(Attenuation!$J:$J,($H73-1+MIN(MAX(IFERROR(MATCH(LN(P$5),INDEX(Attenuation!$J:$J,$H73):INDEX(Attenuation!$J:$J,$H73+$I73-1),1),1),1),$I73-1))+1)))))</f>
        <v/>
      </c>
      <c r="Q73" s="12" t="str">
        <f>IF($A73="","",IF(Q$5&gt;2*$G73,"",EXP(FORECAST(LN(Q$5),INDEX(Attenuation!$K:$K,($H73-1+MIN(MAX(IFERROR(MATCH(LN(Q$5),INDEX(Attenuation!$J:$J,$H73):INDEX(Attenuation!$J:$J,$H73+$I73-1),1),1),1),$I73-1))):INDEX(Attenuation!$K:$K,($H73-1+MIN(MAX(IFERROR(MATCH(LN(Q$5),INDEX(Attenuation!$J:$J,$H73):INDEX(Attenuation!$J:$J,$H73+$I73-1),1),1),1),$I73-1))+1),INDEX(Attenuation!$J:$J,($H73-1+MIN(MAX(IFERROR(MATCH(LN(Q$5),INDEX(Attenuation!$J:$J,$H73):INDEX(Attenuation!$J:$J,$H73+$I73-1),1),1),1),$I73-1))):INDEX(Attenuation!$J:$J,($H73-1+MIN(MAX(IFERROR(MATCH(LN(Q$5),INDEX(Attenuation!$J:$J,$H73):INDEX(Attenuation!$J:$J,$H73+$I73-1),1),1),1),$I73-1))+1)))))</f>
        <v/>
      </c>
      <c r="R73" s="12" t="str">
        <f>IF($A73="","",IF(R$5&gt;2*$G73,"",EXP(FORECAST(LN(R$5),INDEX(Attenuation!$K:$K,($H73-1+MIN(MAX(IFERROR(MATCH(LN(R$5),INDEX(Attenuation!$J:$J,$H73):INDEX(Attenuation!$J:$J,$H73+$I73-1),1),1),1),$I73-1))):INDEX(Attenuation!$K:$K,($H73-1+MIN(MAX(IFERROR(MATCH(LN(R$5),INDEX(Attenuation!$J:$J,$H73):INDEX(Attenuation!$J:$J,$H73+$I73-1),1),1),1),$I73-1))+1),INDEX(Attenuation!$J:$J,($H73-1+MIN(MAX(IFERROR(MATCH(LN(R$5),INDEX(Attenuation!$J:$J,$H73):INDEX(Attenuation!$J:$J,$H73+$I73-1),1),1),1),$I73-1))):INDEX(Attenuation!$J:$J,($H73-1+MIN(MAX(IFERROR(MATCH(LN(R$5),INDEX(Attenuation!$J:$J,$H73):INDEX(Attenuation!$J:$J,$H73+$I73-1),1),1),1),$I73-1))+1)))))</f>
        <v/>
      </c>
      <c r="S73" s="12" t="str">
        <f>IF($A73="","",IF(S$5&gt;2*$G73,"",EXP(FORECAST(LN(S$5),INDEX(Attenuation!$K:$K,($H73-1+MIN(MAX(IFERROR(MATCH(LN(S$5),INDEX(Attenuation!$J:$J,$H73):INDEX(Attenuation!$J:$J,$H73+$I73-1),1),1),1),$I73-1))):INDEX(Attenuation!$K:$K,($H73-1+MIN(MAX(IFERROR(MATCH(LN(S$5),INDEX(Attenuation!$J:$J,$H73):INDEX(Attenuation!$J:$J,$H73+$I73-1),1),1),1),$I73-1))+1),INDEX(Attenuation!$J:$J,($H73-1+MIN(MAX(IFERROR(MATCH(LN(S$5),INDEX(Attenuation!$J:$J,$H73):INDEX(Attenuation!$J:$J,$H73+$I73-1),1),1),1),$I73-1))):INDEX(Attenuation!$J:$J,($H73-1+MIN(MAX(IFERROR(MATCH(LN(S$5),INDEX(Attenuation!$J:$J,$H73):INDEX(Attenuation!$J:$J,$H73+$I73-1),1),1),1),$I73-1))+1)))))</f>
        <v/>
      </c>
      <c r="T73" s="12" t="str">
        <f>IF($A73="","",IF(T$5&gt;2*$G73,"",EXP(FORECAST(LN(T$5),INDEX(Attenuation!$K:$K,($H73-1+MIN(MAX(IFERROR(MATCH(LN(T$5),INDEX(Attenuation!$J:$J,$H73):INDEX(Attenuation!$J:$J,$H73+$I73-1),1),1),1),$I73-1))):INDEX(Attenuation!$K:$K,($H73-1+MIN(MAX(IFERROR(MATCH(LN(T$5),INDEX(Attenuation!$J:$J,$H73):INDEX(Attenuation!$J:$J,$H73+$I73-1),1),1),1),$I73-1))+1),INDEX(Attenuation!$J:$J,($H73-1+MIN(MAX(IFERROR(MATCH(LN(T$5),INDEX(Attenuation!$J:$J,$H73):INDEX(Attenuation!$J:$J,$H73+$I73-1),1),1),1),$I73-1))):INDEX(Attenuation!$J:$J,($H73-1+MIN(MAX(IFERROR(MATCH(LN(T$5),INDEX(Attenuation!$J:$J,$H73):INDEX(Attenuation!$J:$J,$H73+$I73-1),1),1),1),$I73-1))+1)))))</f>
        <v/>
      </c>
      <c r="U73" s="12" t="str">
        <f>IF($A73="","",IF(U$5&gt;2*$G73,"",EXP(FORECAST(LN(U$5),INDEX(Attenuation!$K:$K,($H73-1+MIN(MAX(IFERROR(MATCH(LN(U$5),INDEX(Attenuation!$J:$J,$H73):INDEX(Attenuation!$J:$J,$H73+$I73-1),1),1),1),$I73-1))):INDEX(Attenuation!$K:$K,($H73-1+MIN(MAX(IFERROR(MATCH(LN(U$5),INDEX(Attenuation!$J:$J,$H73):INDEX(Attenuation!$J:$J,$H73+$I73-1),1),1),1),$I73-1))+1),INDEX(Attenuation!$J:$J,($H73-1+MIN(MAX(IFERROR(MATCH(LN(U$5),INDEX(Attenuation!$J:$J,$H73):INDEX(Attenuation!$J:$J,$H73+$I73-1),1),1),1),$I73-1))):INDEX(Attenuation!$J:$J,($H73-1+MIN(MAX(IFERROR(MATCH(LN(U$5),INDEX(Attenuation!$J:$J,$H73):INDEX(Attenuation!$J:$J,$H73+$I73-1),1),1),1),$I73-1))+1)))))</f>
        <v/>
      </c>
      <c r="V73" s="1"/>
      <c r="W73" s="12" t="str">
        <f t="shared" si="24"/>
        <v/>
      </c>
      <c r="X73" s="12" t="str">
        <f t="shared" si="25"/>
        <v/>
      </c>
      <c r="Y73" s="12" t="str">
        <f t="shared" si="26"/>
        <v/>
      </c>
      <c r="Z73" s="12" t="str">
        <f t="shared" si="27"/>
        <v/>
      </c>
      <c r="AA73" s="12" t="str">
        <f t="shared" si="28"/>
        <v/>
      </c>
      <c r="AB73" s="12" t="str">
        <f t="shared" si="29"/>
        <v/>
      </c>
      <c r="AC73" s="12" t="str">
        <f t="shared" si="30"/>
        <v/>
      </c>
      <c r="AD73" s="12" t="str">
        <f t="shared" si="31"/>
        <v/>
      </c>
      <c r="AE73" s="12" t="str">
        <f t="shared" si="32"/>
        <v/>
      </c>
      <c r="AF73" s="12" t="str">
        <f t="shared" si="33"/>
        <v/>
      </c>
      <c r="AG73" s="12" t="str">
        <f t="shared" si="34"/>
        <v/>
      </c>
      <c r="AH73" s="12" t="str">
        <f t="shared" si="35"/>
        <v/>
      </c>
    </row>
    <row r="74" spans="1:34" x14ac:dyDescent="0.25">
      <c r="A74" s="11" t="str">
        <f>IF(ROWS($A$6:A74)&gt;COUNTA(Cables!$A:$A)-1,"",INDEX(Cables!$A:$A,ROWS($A$6:A74)+1))</f>
        <v/>
      </c>
      <c r="B74" s="11" t="str">
        <f>IF($A74="","",IF(INDEX(Cables!$B:$B,MATCH($A74,Cables!$A:$A,0))="","",INDEX(Cables!$B:$B,MATCH($A74,Cables!$A:$A,0))))</f>
        <v/>
      </c>
      <c r="C74" s="11" t="str">
        <f>IF($A74="","",IF(INDEX(Cables!$F:$F,MATCH($A74,Cables!$A:$A,0))="","",INDEX(Cables!$F:$F,MATCH($A74,Cables!$A:$A,0))))</f>
        <v/>
      </c>
      <c r="D74" s="11" t="str">
        <f>IF($A74="","",IF(INDEX(Cables!$H:$H,MATCH($A74,Cables!$A:$A,0))="","",INDEX(Cables!$H:$H,MATCH($A74,Cables!$A:$A,0))))</f>
        <v/>
      </c>
      <c r="E74" s="12" t="str">
        <f>IF($A74="","",IF(INDEX(Cables!$Q:$Q,MATCH($A74,Cables!$A:$A,0))="","",INDEX(Cables!$Q:$Q,MATCH($A74,Cables!$A:$A,0))))</f>
        <v/>
      </c>
      <c r="F74" s="11" t="str">
        <f>IF($A74="","",IF(INDEX(Cables!$AQ:$AQ,MATCH($A74,Cables!$A:$A,0))="","",INDEX(Cables!$AQ:$AQ,MATCH($A74,Cables!$A:$A,0))))</f>
        <v/>
      </c>
      <c r="G74" s="11" t="str">
        <f>IF($A74="","",IF(INDEX(Cables!$AR:$AR,MATCH($A74,Cables!$A:$A,0))="","",INDEX(Cables!$AR:$AR,MATCH($A74,Cables!$A:$A,0))))</f>
        <v/>
      </c>
      <c r="H74" s="11" t="str">
        <f>IF($A74="","",IF(INDEX(Cables!$AO:$AO,MATCH($A74,Cables!$A:$A,0))="","",INDEX(Cables!$AO:$AO,MATCH($A74,Cables!$A:$A,0))))</f>
        <v/>
      </c>
      <c r="I74" s="11" t="str">
        <f>IF($A74="","",IF(INDEX(Cables!$AP:$AP,MATCH($A74,Cables!$A:$A,0))="","",INDEX(Cables!$AP:$AP,MATCH($A74,Cables!$A:$A,0))))</f>
        <v/>
      </c>
      <c r="J74" s="12" t="str">
        <f>IF($A74="","",IF(J$5&gt;2*$G74,"",EXP(FORECAST(LN(J$5),INDEX(Attenuation!$K:$K,($H74-1+MIN(MAX(IFERROR(MATCH(LN(J$5),INDEX(Attenuation!$J:$J,$H74):INDEX(Attenuation!$J:$J,$H74+$I74-1),1),1),1),$I74-1))):INDEX(Attenuation!$K:$K,($H74-1+MIN(MAX(IFERROR(MATCH(LN(J$5),INDEX(Attenuation!$J:$J,$H74):INDEX(Attenuation!$J:$J,$H74+$I74-1),1),1),1),$I74-1))+1),INDEX(Attenuation!$J:$J,($H74-1+MIN(MAX(IFERROR(MATCH(LN(J$5),INDEX(Attenuation!$J:$J,$H74):INDEX(Attenuation!$J:$J,$H74+$I74-1),1),1),1),$I74-1))):INDEX(Attenuation!$J:$J,($H74-1+MIN(MAX(IFERROR(MATCH(LN(J$5),INDEX(Attenuation!$J:$J,$H74):INDEX(Attenuation!$J:$J,$H74+$I74-1),1),1),1),$I74-1))+1)))))</f>
        <v/>
      </c>
      <c r="K74" s="12" t="str">
        <f>IF($A74="","",IF(K$5&gt;2*$G74,"",EXP(FORECAST(LN(K$5),INDEX(Attenuation!$K:$K,($H74-1+MIN(MAX(IFERROR(MATCH(LN(K$5),INDEX(Attenuation!$J:$J,$H74):INDEX(Attenuation!$J:$J,$H74+$I74-1),1),1),1),$I74-1))):INDEX(Attenuation!$K:$K,($H74-1+MIN(MAX(IFERROR(MATCH(LN(K$5),INDEX(Attenuation!$J:$J,$H74):INDEX(Attenuation!$J:$J,$H74+$I74-1),1),1),1),$I74-1))+1),INDEX(Attenuation!$J:$J,($H74-1+MIN(MAX(IFERROR(MATCH(LN(K$5),INDEX(Attenuation!$J:$J,$H74):INDEX(Attenuation!$J:$J,$H74+$I74-1),1),1),1),$I74-1))):INDEX(Attenuation!$J:$J,($H74-1+MIN(MAX(IFERROR(MATCH(LN(K$5),INDEX(Attenuation!$J:$J,$H74):INDEX(Attenuation!$J:$J,$H74+$I74-1),1),1),1),$I74-1))+1)))))</f>
        <v/>
      </c>
      <c r="L74" s="12" t="str">
        <f>IF($A74="","",IF(L$5&gt;2*$G74,"",EXP(FORECAST(LN(L$5),INDEX(Attenuation!$K:$K,($H74-1+MIN(MAX(IFERROR(MATCH(LN(L$5),INDEX(Attenuation!$J:$J,$H74):INDEX(Attenuation!$J:$J,$H74+$I74-1),1),1),1),$I74-1))):INDEX(Attenuation!$K:$K,($H74-1+MIN(MAX(IFERROR(MATCH(LN(L$5),INDEX(Attenuation!$J:$J,$H74):INDEX(Attenuation!$J:$J,$H74+$I74-1),1),1),1),$I74-1))+1),INDEX(Attenuation!$J:$J,($H74-1+MIN(MAX(IFERROR(MATCH(LN(L$5),INDEX(Attenuation!$J:$J,$H74):INDEX(Attenuation!$J:$J,$H74+$I74-1),1),1),1),$I74-1))):INDEX(Attenuation!$J:$J,($H74-1+MIN(MAX(IFERROR(MATCH(LN(L$5),INDEX(Attenuation!$J:$J,$H74):INDEX(Attenuation!$J:$J,$H74+$I74-1),1),1),1),$I74-1))+1)))))</f>
        <v/>
      </c>
      <c r="M74" s="12" t="str">
        <f>IF($A74="","",IF(M$5&gt;2*$G74,"",EXP(FORECAST(LN(M$5),INDEX(Attenuation!$K:$K,($H74-1+MIN(MAX(IFERROR(MATCH(LN(M$5),INDEX(Attenuation!$J:$J,$H74):INDEX(Attenuation!$J:$J,$H74+$I74-1),1),1),1),$I74-1))):INDEX(Attenuation!$K:$K,($H74-1+MIN(MAX(IFERROR(MATCH(LN(M$5),INDEX(Attenuation!$J:$J,$H74):INDEX(Attenuation!$J:$J,$H74+$I74-1),1),1),1),$I74-1))+1),INDEX(Attenuation!$J:$J,($H74-1+MIN(MAX(IFERROR(MATCH(LN(M$5),INDEX(Attenuation!$J:$J,$H74):INDEX(Attenuation!$J:$J,$H74+$I74-1),1),1),1),$I74-1))):INDEX(Attenuation!$J:$J,($H74-1+MIN(MAX(IFERROR(MATCH(LN(M$5),INDEX(Attenuation!$J:$J,$H74):INDEX(Attenuation!$J:$J,$H74+$I74-1),1),1),1),$I74-1))+1)))))</f>
        <v/>
      </c>
      <c r="N74" s="12" t="str">
        <f>IF($A74="","",IF(N$5&gt;2*$G74,"",EXP(FORECAST(LN(N$5),INDEX(Attenuation!$K:$K,($H74-1+MIN(MAX(IFERROR(MATCH(LN(N$5),INDEX(Attenuation!$J:$J,$H74):INDEX(Attenuation!$J:$J,$H74+$I74-1),1),1),1),$I74-1))):INDEX(Attenuation!$K:$K,($H74-1+MIN(MAX(IFERROR(MATCH(LN(N$5),INDEX(Attenuation!$J:$J,$H74):INDEX(Attenuation!$J:$J,$H74+$I74-1),1),1),1),$I74-1))+1),INDEX(Attenuation!$J:$J,($H74-1+MIN(MAX(IFERROR(MATCH(LN(N$5),INDEX(Attenuation!$J:$J,$H74):INDEX(Attenuation!$J:$J,$H74+$I74-1),1),1),1),$I74-1))):INDEX(Attenuation!$J:$J,($H74-1+MIN(MAX(IFERROR(MATCH(LN(N$5),INDEX(Attenuation!$J:$J,$H74):INDEX(Attenuation!$J:$J,$H74+$I74-1),1),1),1),$I74-1))+1)))))</f>
        <v/>
      </c>
      <c r="O74" s="12" t="str">
        <f>IF($A74="","",IF(O$5&gt;2*$G74,"",EXP(FORECAST(LN(O$5),INDEX(Attenuation!$K:$K,($H74-1+MIN(MAX(IFERROR(MATCH(LN(O$5),INDEX(Attenuation!$J:$J,$H74):INDEX(Attenuation!$J:$J,$H74+$I74-1),1),1),1),$I74-1))):INDEX(Attenuation!$K:$K,($H74-1+MIN(MAX(IFERROR(MATCH(LN(O$5),INDEX(Attenuation!$J:$J,$H74):INDEX(Attenuation!$J:$J,$H74+$I74-1),1),1),1),$I74-1))+1),INDEX(Attenuation!$J:$J,($H74-1+MIN(MAX(IFERROR(MATCH(LN(O$5),INDEX(Attenuation!$J:$J,$H74):INDEX(Attenuation!$J:$J,$H74+$I74-1),1),1),1),$I74-1))):INDEX(Attenuation!$J:$J,($H74-1+MIN(MAX(IFERROR(MATCH(LN(O$5),INDEX(Attenuation!$J:$J,$H74):INDEX(Attenuation!$J:$J,$H74+$I74-1),1),1),1),$I74-1))+1)))))</f>
        <v/>
      </c>
      <c r="P74" s="12" t="str">
        <f>IF($A74="","",IF(P$5&gt;2*$G74,"",EXP(FORECAST(LN(P$5),INDEX(Attenuation!$K:$K,($H74-1+MIN(MAX(IFERROR(MATCH(LN(P$5),INDEX(Attenuation!$J:$J,$H74):INDEX(Attenuation!$J:$J,$H74+$I74-1),1),1),1),$I74-1))):INDEX(Attenuation!$K:$K,($H74-1+MIN(MAX(IFERROR(MATCH(LN(P$5),INDEX(Attenuation!$J:$J,$H74):INDEX(Attenuation!$J:$J,$H74+$I74-1),1),1),1),$I74-1))+1),INDEX(Attenuation!$J:$J,($H74-1+MIN(MAX(IFERROR(MATCH(LN(P$5),INDEX(Attenuation!$J:$J,$H74):INDEX(Attenuation!$J:$J,$H74+$I74-1),1),1),1),$I74-1))):INDEX(Attenuation!$J:$J,($H74-1+MIN(MAX(IFERROR(MATCH(LN(P$5),INDEX(Attenuation!$J:$J,$H74):INDEX(Attenuation!$J:$J,$H74+$I74-1),1),1),1),$I74-1))+1)))))</f>
        <v/>
      </c>
      <c r="Q74" s="12" t="str">
        <f>IF($A74="","",IF(Q$5&gt;2*$G74,"",EXP(FORECAST(LN(Q$5),INDEX(Attenuation!$K:$K,($H74-1+MIN(MAX(IFERROR(MATCH(LN(Q$5),INDEX(Attenuation!$J:$J,$H74):INDEX(Attenuation!$J:$J,$H74+$I74-1),1),1),1),$I74-1))):INDEX(Attenuation!$K:$K,($H74-1+MIN(MAX(IFERROR(MATCH(LN(Q$5),INDEX(Attenuation!$J:$J,$H74):INDEX(Attenuation!$J:$J,$H74+$I74-1),1),1),1),$I74-1))+1),INDEX(Attenuation!$J:$J,($H74-1+MIN(MAX(IFERROR(MATCH(LN(Q$5),INDEX(Attenuation!$J:$J,$H74):INDEX(Attenuation!$J:$J,$H74+$I74-1),1),1),1),$I74-1))):INDEX(Attenuation!$J:$J,($H74-1+MIN(MAX(IFERROR(MATCH(LN(Q$5),INDEX(Attenuation!$J:$J,$H74):INDEX(Attenuation!$J:$J,$H74+$I74-1),1),1),1),$I74-1))+1)))))</f>
        <v/>
      </c>
      <c r="R74" s="12" t="str">
        <f>IF($A74="","",IF(R$5&gt;2*$G74,"",EXP(FORECAST(LN(R$5),INDEX(Attenuation!$K:$K,($H74-1+MIN(MAX(IFERROR(MATCH(LN(R$5),INDEX(Attenuation!$J:$J,$H74):INDEX(Attenuation!$J:$J,$H74+$I74-1),1),1),1),$I74-1))):INDEX(Attenuation!$K:$K,($H74-1+MIN(MAX(IFERROR(MATCH(LN(R$5),INDEX(Attenuation!$J:$J,$H74):INDEX(Attenuation!$J:$J,$H74+$I74-1),1),1),1),$I74-1))+1),INDEX(Attenuation!$J:$J,($H74-1+MIN(MAX(IFERROR(MATCH(LN(R$5),INDEX(Attenuation!$J:$J,$H74):INDEX(Attenuation!$J:$J,$H74+$I74-1),1),1),1),$I74-1))):INDEX(Attenuation!$J:$J,($H74-1+MIN(MAX(IFERROR(MATCH(LN(R$5),INDEX(Attenuation!$J:$J,$H74):INDEX(Attenuation!$J:$J,$H74+$I74-1),1),1),1),$I74-1))+1)))))</f>
        <v/>
      </c>
      <c r="S74" s="12" t="str">
        <f>IF($A74="","",IF(S$5&gt;2*$G74,"",EXP(FORECAST(LN(S$5),INDEX(Attenuation!$K:$K,($H74-1+MIN(MAX(IFERROR(MATCH(LN(S$5),INDEX(Attenuation!$J:$J,$H74):INDEX(Attenuation!$J:$J,$H74+$I74-1),1),1),1),$I74-1))):INDEX(Attenuation!$K:$K,($H74-1+MIN(MAX(IFERROR(MATCH(LN(S$5),INDEX(Attenuation!$J:$J,$H74):INDEX(Attenuation!$J:$J,$H74+$I74-1),1),1),1),$I74-1))+1),INDEX(Attenuation!$J:$J,($H74-1+MIN(MAX(IFERROR(MATCH(LN(S$5),INDEX(Attenuation!$J:$J,$H74):INDEX(Attenuation!$J:$J,$H74+$I74-1),1),1),1),$I74-1))):INDEX(Attenuation!$J:$J,($H74-1+MIN(MAX(IFERROR(MATCH(LN(S$5),INDEX(Attenuation!$J:$J,$H74):INDEX(Attenuation!$J:$J,$H74+$I74-1),1),1),1),$I74-1))+1)))))</f>
        <v/>
      </c>
      <c r="T74" s="12" t="str">
        <f>IF($A74="","",IF(T$5&gt;2*$G74,"",EXP(FORECAST(LN(T$5),INDEX(Attenuation!$K:$K,($H74-1+MIN(MAX(IFERROR(MATCH(LN(T$5),INDEX(Attenuation!$J:$J,$H74):INDEX(Attenuation!$J:$J,$H74+$I74-1),1),1),1),$I74-1))):INDEX(Attenuation!$K:$K,($H74-1+MIN(MAX(IFERROR(MATCH(LN(T$5),INDEX(Attenuation!$J:$J,$H74):INDEX(Attenuation!$J:$J,$H74+$I74-1),1),1),1),$I74-1))+1),INDEX(Attenuation!$J:$J,($H74-1+MIN(MAX(IFERROR(MATCH(LN(T$5),INDEX(Attenuation!$J:$J,$H74):INDEX(Attenuation!$J:$J,$H74+$I74-1),1),1),1),$I74-1))):INDEX(Attenuation!$J:$J,($H74-1+MIN(MAX(IFERROR(MATCH(LN(T$5),INDEX(Attenuation!$J:$J,$H74):INDEX(Attenuation!$J:$J,$H74+$I74-1),1),1),1),$I74-1))+1)))))</f>
        <v/>
      </c>
      <c r="U74" s="12" t="str">
        <f>IF($A74="","",IF(U$5&gt;2*$G74,"",EXP(FORECAST(LN(U$5),INDEX(Attenuation!$K:$K,($H74-1+MIN(MAX(IFERROR(MATCH(LN(U$5),INDEX(Attenuation!$J:$J,$H74):INDEX(Attenuation!$J:$J,$H74+$I74-1),1),1),1),$I74-1))):INDEX(Attenuation!$K:$K,($H74-1+MIN(MAX(IFERROR(MATCH(LN(U$5),INDEX(Attenuation!$J:$J,$H74):INDEX(Attenuation!$J:$J,$H74+$I74-1),1),1),1),$I74-1))+1),INDEX(Attenuation!$J:$J,($H74-1+MIN(MAX(IFERROR(MATCH(LN(U$5),INDEX(Attenuation!$J:$J,$H74):INDEX(Attenuation!$J:$J,$H74+$I74-1),1),1),1),$I74-1))):INDEX(Attenuation!$J:$J,($H74-1+MIN(MAX(IFERROR(MATCH(LN(U$5),INDEX(Attenuation!$J:$J,$H74):INDEX(Attenuation!$J:$J,$H74+$I74-1),1),1),1),$I74-1))+1)))))</f>
        <v/>
      </c>
      <c r="V74" s="1"/>
      <c r="W74" s="12" t="str">
        <f t="shared" si="24"/>
        <v/>
      </c>
      <c r="X74" s="12" t="str">
        <f t="shared" si="25"/>
        <v/>
      </c>
      <c r="Y74" s="12" t="str">
        <f t="shared" si="26"/>
        <v/>
      </c>
      <c r="Z74" s="12" t="str">
        <f t="shared" si="27"/>
        <v/>
      </c>
      <c r="AA74" s="12" t="str">
        <f t="shared" si="28"/>
        <v/>
      </c>
      <c r="AB74" s="12" t="str">
        <f t="shared" si="29"/>
        <v/>
      </c>
      <c r="AC74" s="12" t="str">
        <f t="shared" si="30"/>
        <v/>
      </c>
      <c r="AD74" s="12" t="str">
        <f t="shared" si="31"/>
        <v/>
      </c>
      <c r="AE74" s="12" t="str">
        <f t="shared" si="32"/>
        <v/>
      </c>
      <c r="AF74" s="12" t="str">
        <f t="shared" si="33"/>
        <v/>
      </c>
      <c r="AG74" s="12" t="str">
        <f t="shared" si="34"/>
        <v/>
      </c>
      <c r="AH74" s="12" t="str">
        <f t="shared" si="35"/>
        <v/>
      </c>
    </row>
    <row r="75" spans="1:34" x14ac:dyDescent="0.25">
      <c r="A75" s="11" t="str">
        <f>IF(ROWS($A$6:A75)&gt;COUNTA(Cables!$A:$A)-1,"",INDEX(Cables!$A:$A,ROWS($A$6:A75)+1))</f>
        <v/>
      </c>
      <c r="B75" s="11" t="str">
        <f>IF($A75="","",IF(INDEX(Cables!$B:$B,MATCH($A75,Cables!$A:$A,0))="","",INDEX(Cables!$B:$B,MATCH($A75,Cables!$A:$A,0))))</f>
        <v/>
      </c>
      <c r="C75" s="11" t="str">
        <f>IF($A75="","",IF(INDEX(Cables!$F:$F,MATCH($A75,Cables!$A:$A,0))="","",INDEX(Cables!$F:$F,MATCH($A75,Cables!$A:$A,0))))</f>
        <v/>
      </c>
      <c r="D75" s="11" t="str">
        <f>IF($A75="","",IF(INDEX(Cables!$H:$H,MATCH($A75,Cables!$A:$A,0))="","",INDEX(Cables!$H:$H,MATCH($A75,Cables!$A:$A,0))))</f>
        <v/>
      </c>
      <c r="E75" s="12" t="str">
        <f>IF($A75="","",IF(INDEX(Cables!$Q:$Q,MATCH($A75,Cables!$A:$A,0))="","",INDEX(Cables!$Q:$Q,MATCH($A75,Cables!$A:$A,0))))</f>
        <v/>
      </c>
      <c r="F75" s="11" t="str">
        <f>IF($A75="","",IF(INDEX(Cables!$AQ:$AQ,MATCH($A75,Cables!$A:$A,0))="","",INDEX(Cables!$AQ:$AQ,MATCH($A75,Cables!$A:$A,0))))</f>
        <v/>
      </c>
      <c r="G75" s="11" t="str">
        <f>IF($A75="","",IF(INDEX(Cables!$AR:$AR,MATCH($A75,Cables!$A:$A,0))="","",INDEX(Cables!$AR:$AR,MATCH($A75,Cables!$A:$A,0))))</f>
        <v/>
      </c>
      <c r="H75" s="11" t="str">
        <f>IF($A75="","",IF(INDEX(Cables!$AO:$AO,MATCH($A75,Cables!$A:$A,0))="","",INDEX(Cables!$AO:$AO,MATCH($A75,Cables!$A:$A,0))))</f>
        <v/>
      </c>
      <c r="I75" s="11" t="str">
        <f>IF($A75="","",IF(INDEX(Cables!$AP:$AP,MATCH($A75,Cables!$A:$A,0))="","",INDEX(Cables!$AP:$AP,MATCH($A75,Cables!$A:$A,0))))</f>
        <v/>
      </c>
      <c r="J75" s="12" t="str">
        <f>IF($A75="","",IF(J$5&gt;2*$G75,"",EXP(FORECAST(LN(J$5),INDEX(Attenuation!$K:$K,($H75-1+MIN(MAX(IFERROR(MATCH(LN(J$5),INDEX(Attenuation!$J:$J,$H75):INDEX(Attenuation!$J:$J,$H75+$I75-1),1),1),1),$I75-1))):INDEX(Attenuation!$K:$K,($H75-1+MIN(MAX(IFERROR(MATCH(LN(J$5),INDEX(Attenuation!$J:$J,$H75):INDEX(Attenuation!$J:$J,$H75+$I75-1),1),1),1),$I75-1))+1),INDEX(Attenuation!$J:$J,($H75-1+MIN(MAX(IFERROR(MATCH(LN(J$5),INDEX(Attenuation!$J:$J,$H75):INDEX(Attenuation!$J:$J,$H75+$I75-1),1),1),1),$I75-1))):INDEX(Attenuation!$J:$J,($H75-1+MIN(MAX(IFERROR(MATCH(LN(J$5),INDEX(Attenuation!$J:$J,$H75):INDEX(Attenuation!$J:$J,$H75+$I75-1),1),1),1),$I75-1))+1)))))</f>
        <v/>
      </c>
      <c r="K75" s="12" t="str">
        <f>IF($A75="","",IF(K$5&gt;2*$G75,"",EXP(FORECAST(LN(K$5),INDEX(Attenuation!$K:$K,($H75-1+MIN(MAX(IFERROR(MATCH(LN(K$5),INDEX(Attenuation!$J:$J,$H75):INDEX(Attenuation!$J:$J,$H75+$I75-1),1),1),1),$I75-1))):INDEX(Attenuation!$K:$K,($H75-1+MIN(MAX(IFERROR(MATCH(LN(K$5),INDEX(Attenuation!$J:$J,$H75):INDEX(Attenuation!$J:$J,$H75+$I75-1),1),1),1),$I75-1))+1),INDEX(Attenuation!$J:$J,($H75-1+MIN(MAX(IFERROR(MATCH(LN(K$5),INDEX(Attenuation!$J:$J,$H75):INDEX(Attenuation!$J:$J,$H75+$I75-1),1),1),1),$I75-1))):INDEX(Attenuation!$J:$J,($H75-1+MIN(MAX(IFERROR(MATCH(LN(K$5),INDEX(Attenuation!$J:$J,$H75):INDEX(Attenuation!$J:$J,$H75+$I75-1),1),1),1),$I75-1))+1)))))</f>
        <v/>
      </c>
      <c r="L75" s="12" t="str">
        <f>IF($A75="","",IF(L$5&gt;2*$G75,"",EXP(FORECAST(LN(L$5),INDEX(Attenuation!$K:$K,($H75-1+MIN(MAX(IFERROR(MATCH(LN(L$5),INDEX(Attenuation!$J:$J,$H75):INDEX(Attenuation!$J:$J,$H75+$I75-1),1),1),1),$I75-1))):INDEX(Attenuation!$K:$K,($H75-1+MIN(MAX(IFERROR(MATCH(LN(L$5),INDEX(Attenuation!$J:$J,$H75):INDEX(Attenuation!$J:$J,$H75+$I75-1),1),1),1),$I75-1))+1),INDEX(Attenuation!$J:$J,($H75-1+MIN(MAX(IFERROR(MATCH(LN(L$5),INDEX(Attenuation!$J:$J,$H75):INDEX(Attenuation!$J:$J,$H75+$I75-1),1),1),1),$I75-1))):INDEX(Attenuation!$J:$J,($H75-1+MIN(MAX(IFERROR(MATCH(LN(L$5),INDEX(Attenuation!$J:$J,$H75):INDEX(Attenuation!$J:$J,$H75+$I75-1),1),1),1),$I75-1))+1)))))</f>
        <v/>
      </c>
      <c r="M75" s="12" t="str">
        <f>IF($A75="","",IF(M$5&gt;2*$G75,"",EXP(FORECAST(LN(M$5),INDEX(Attenuation!$K:$K,($H75-1+MIN(MAX(IFERROR(MATCH(LN(M$5),INDEX(Attenuation!$J:$J,$H75):INDEX(Attenuation!$J:$J,$H75+$I75-1),1),1),1),$I75-1))):INDEX(Attenuation!$K:$K,($H75-1+MIN(MAX(IFERROR(MATCH(LN(M$5),INDEX(Attenuation!$J:$J,$H75):INDEX(Attenuation!$J:$J,$H75+$I75-1),1),1),1),$I75-1))+1),INDEX(Attenuation!$J:$J,($H75-1+MIN(MAX(IFERROR(MATCH(LN(M$5),INDEX(Attenuation!$J:$J,$H75):INDEX(Attenuation!$J:$J,$H75+$I75-1),1),1),1),$I75-1))):INDEX(Attenuation!$J:$J,($H75-1+MIN(MAX(IFERROR(MATCH(LN(M$5),INDEX(Attenuation!$J:$J,$H75):INDEX(Attenuation!$J:$J,$H75+$I75-1),1),1),1),$I75-1))+1)))))</f>
        <v/>
      </c>
      <c r="N75" s="12" t="str">
        <f>IF($A75="","",IF(N$5&gt;2*$G75,"",EXP(FORECAST(LN(N$5),INDEX(Attenuation!$K:$K,($H75-1+MIN(MAX(IFERROR(MATCH(LN(N$5),INDEX(Attenuation!$J:$J,$H75):INDEX(Attenuation!$J:$J,$H75+$I75-1),1),1),1),$I75-1))):INDEX(Attenuation!$K:$K,($H75-1+MIN(MAX(IFERROR(MATCH(LN(N$5),INDEX(Attenuation!$J:$J,$H75):INDEX(Attenuation!$J:$J,$H75+$I75-1),1),1),1),$I75-1))+1),INDEX(Attenuation!$J:$J,($H75-1+MIN(MAX(IFERROR(MATCH(LN(N$5),INDEX(Attenuation!$J:$J,$H75):INDEX(Attenuation!$J:$J,$H75+$I75-1),1),1),1),$I75-1))):INDEX(Attenuation!$J:$J,($H75-1+MIN(MAX(IFERROR(MATCH(LN(N$5),INDEX(Attenuation!$J:$J,$H75):INDEX(Attenuation!$J:$J,$H75+$I75-1),1),1),1),$I75-1))+1)))))</f>
        <v/>
      </c>
      <c r="O75" s="12" t="str">
        <f>IF($A75="","",IF(O$5&gt;2*$G75,"",EXP(FORECAST(LN(O$5),INDEX(Attenuation!$K:$K,($H75-1+MIN(MAX(IFERROR(MATCH(LN(O$5),INDEX(Attenuation!$J:$J,$H75):INDEX(Attenuation!$J:$J,$H75+$I75-1),1),1),1),$I75-1))):INDEX(Attenuation!$K:$K,($H75-1+MIN(MAX(IFERROR(MATCH(LN(O$5),INDEX(Attenuation!$J:$J,$H75):INDEX(Attenuation!$J:$J,$H75+$I75-1),1),1),1),$I75-1))+1),INDEX(Attenuation!$J:$J,($H75-1+MIN(MAX(IFERROR(MATCH(LN(O$5),INDEX(Attenuation!$J:$J,$H75):INDEX(Attenuation!$J:$J,$H75+$I75-1),1),1),1),$I75-1))):INDEX(Attenuation!$J:$J,($H75-1+MIN(MAX(IFERROR(MATCH(LN(O$5),INDEX(Attenuation!$J:$J,$H75):INDEX(Attenuation!$J:$J,$H75+$I75-1),1),1),1),$I75-1))+1)))))</f>
        <v/>
      </c>
      <c r="P75" s="12" t="str">
        <f>IF($A75="","",IF(P$5&gt;2*$G75,"",EXP(FORECAST(LN(P$5),INDEX(Attenuation!$K:$K,($H75-1+MIN(MAX(IFERROR(MATCH(LN(P$5),INDEX(Attenuation!$J:$J,$H75):INDEX(Attenuation!$J:$J,$H75+$I75-1),1),1),1),$I75-1))):INDEX(Attenuation!$K:$K,($H75-1+MIN(MAX(IFERROR(MATCH(LN(P$5),INDEX(Attenuation!$J:$J,$H75):INDEX(Attenuation!$J:$J,$H75+$I75-1),1),1),1),$I75-1))+1),INDEX(Attenuation!$J:$J,($H75-1+MIN(MAX(IFERROR(MATCH(LN(P$5),INDEX(Attenuation!$J:$J,$H75):INDEX(Attenuation!$J:$J,$H75+$I75-1),1),1),1),$I75-1))):INDEX(Attenuation!$J:$J,($H75-1+MIN(MAX(IFERROR(MATCH(LN(P$5),INDEX(Attenuation!$J:$J,$H75):INDEX(Attenuation!$J:$J,$H75+$I75-1),1),1),1),$I75-1))+1)))))</f>
        <v/>
      </c>
      <c r="Q75" s="12" t="str">
        <f>IF($A75="","",IF(Q$5&gt;2*$G75,"",EXP(FORECAST(LN(Q$5),INDEX(Attenuation!$K:$K,($H75-1+MIN(MAX(IFERROR(MATCH(LN(Q$5),INDEX(Attenuation!$J:$J,$H75):INDEX(Attenuation!$J:$J,$H75+$I75-1),1),1),1),$I75-1))):INDEX(Attenuation!$K:$K,($H75-1+MIN(MAX(IFERROR(MATCH(LN(Q$5),INDEX(Attenuation!$J:$J,$H75):INDEX(Attenuation!$J:$J,$H75+$I75-1),1),1),1),$I75-1))+1),INDEX(Attenuation!$J:$J,($H75-1+MIN(MAX(IFERROR(MATCH(LN(Q$5),INDEX(Attenuation!$J:$J,$H75):INDEX(Attenuation!$J:$J,$H75+$I75-1),1),1),1),$I75-1))):INDEX(Attenuation!$J:$J,($H75-1+MIN(MAX(IFERROR(MATCH(LN(Q$5),INDEX(Attenuation!$J:$J,$H75):INDEX(Attenuation!$J:$J,$H75+$I75-1),1),1),1),$I75-1))+1)))))</f>
        <v/>
      </c>
      <c r="R75" s="12" t="str">
        <f>IF($A75="","",IF(R$5&gt;2*$G75,"",EXP(FORECAST(LN(R$5),INDEX(Attenuation!$K:$K,($H75-1+MIN(MAX(IFERROR(MATCH(LN(R$5),INDEX(Attenuation!$J:$J,$H75):INDEX(Attenuation!$J:$J,$H75+$I75-1),1),1),1),$I75-1))):INDEX(Attenuation!$K:$K,($H75-1+MIN(MAX(IFERROR(MATCH(LN(R$5),INDEX(Attenuation!$J:$J,$H75):INDEX(Attenuation!$J:$J,$H75+$I75-1),1),1),1),$I75-1))+1),INDEX(Attenuation!$J:$J,($H75-1+MIN(MAX(IFERROR(MATCH(LN(R$5),INDEX(Attenuation!$J:$J,$H75):INDEX(Attenuation!$J:$J,$H75+$I75-1),1),1),1),$I75-1))):INDEX(Attenuation!$J:$J,($H75-1+MIN(MAX(IFERROR(MATCH(LN(R$5),INDEX(Attenuation!$J:$J,$H75):INDEX(Attenuation!$J:$J,$H75+$I75-1),1),1),1),$I75-1))+1)))))</f>
        <v/>
      </c>
      <c r="S75" s="12" t="str">
        <f>IF($A75="","",IF(S$5&gt;2*$G75,"",EXP(FORECAST(LN(S$5),INDEX(Attenuation!$K:$K,($H75-1+MIN(MAX(IFERROR(MATCH(LN(S$5),INDEX(Attenuation!$J:$J,$H75):INDEX(Attenuation!$J:$J,$H75+$I75-1),1),1),1),$I75-1))):INDEX(Attenuation!$K:$K,($H75-1+MIN(MAX(IFERROR(MATCH(LN(S$5),INDEX(Attenuation!$J:$J,$H75):INDEX(Attenuation!$J:$J,$H75+$I75-1),1),1),1),$I75-1))+1),INDEX(Attenuation!$J:$J,($H75-1+MIN(MAX(IFERROR(MATCH(LN(S$5),INDEX(Attenuation!$J:$J,$H75):INDEX(Attenuation!$J:$J,$H75+$I75-1),1),1),1),$I75-1))):INDEX(Attenuation!$J:$J,($H75-1+MIN(MAX(IFERROR(MATCH(LN(S$5),INDEX(Attenuation!$J:$J,$H75):INDEX(Attenuation!$J:$J,$H75+$I75-1),1),1),1),$I75-1))+1)))))</f>
        <v/>
      </c>
      <c r="T75" s="12" t="str">
        <f>IF($A75="","",IF(T$5&gt;2*$G75,"",EXP(FORECAST(LN(T$5),INDEX(Attenuation!$K:$K,($H75-1+MIN(MAX(IFERROR(MATCH(LN(T$5),INDEX(Attenuation!$J:$J,$H75):INDEX(Attenuation!$J:$J,$H75+$I75-1),1),1),1),$I75-1))):INDEX(Attenuation!$K:$K,($H75-1+MIN(MAX(IFERROR(MATCH(LN(T$5),INDEX(Attenuation!$J:$J,$H75):INDEX(Attenuation!$J:$J,$H75+$I75-1),1),1),1),$I75-1))+1),INDEX(Attenuation!$J:$J,($H75-1+MIN(MAX(IFERROR(MATCH(LN(T$5),INDEX(Attenuation!$J:$J,$H75):INDEX(Attenuation!$J:$J,$H75+$I75-1),1),1),1),$I75-1))):INDEX(Attenuation!$J:$J,($H75-1+MIN(MAX(IFERROR(MATCH(LN(T$5),INDEX(Attenuation!$J:$J,$H75):INDEX(Attenuation!$J:$J,$H75+$I75-1),1),1),1),$I75-1))+1)))))</f>
        <v/>
      </c>
      <c r="U75" s="12" t="str">
        <f>IF($A75="","",IF(U$5&gt;2*$G75,"",EXP(FORECAST(LN(U$5),INDEX(Attenuation!$K:$K,($H75-1+MIN(MAX(IFERROR(MATCH(LN(U$5),INDEX(Attenuation!$J:$J,$H75):INDEX(Attenuation!$J:$J,$H75+$I75-1),1),1),1),$I75-1))):INDEX(Attenuation!$K:$K,($H75-1+MIN(MAX(IFERROR(MATCH(LN(U$5),INDEX(Attenuation!$J:$J,$H75):INDEX(Attenuation!$J:$J,$H75+$I75-1),1),1),1),$I75-1))+1),INDEX(Attenuation!$J:$J,($H75-1+MIN(MAX(IFERROR(MATCH(LN(U$5),INDEX(Attenuation!$J:$J,$H75):INDEX(Attenuation!$J:$J,$H75+$I75-1),1),1),1),$I75-1))):INDEX(Attenuation!$J:$J,($H75-1+MIN(MAX(IFERROR(MATCH(LN(U$5),INDEX(Attenuation!$J:$J,$H75):INDEX(Attenuation!$J:$J,$H75+$I75-1),1),1),1),$I75-1))+1)))))</f>
        <v/>
      </c>
      <c r="V75" s="1"/>
      <c r="W75" s="12" t="str">
        <f t="shared" si="24"/>
        <v/>
      </c>
      <c r="X75" s="12" t="str">
        <f t="shared" si="25"/>
        <v/>
      </c>
      <c r="Y75" s="12" t="str">
        <f t="shared" si="26"/>
        <v/>
      </c>
      <c r="Z75" s="12" t="str">
        <f t="shared" si="27"/>
        <v/>
      </c>
      <c r="AA75" s="12" t="str">
        <f t="shared" si="28"/>
        <v/>
      </c>
      <c r="AB75" s="12" t="str">
        <f t="shared" si="29"/>
        <v/>
      </c>
      <c r="AC75" s="12" t="str">
        <f t="shared" si="30"/>
        <v/>
      </c>
      <c r="AD75" s="12" t="str">
        <f t="shared" si="31"/>
        <v/>
      </c>
      <c r="AE75" s="12" t="str">
        <f t="shared" si="32"/>
        <v/>
      </c>
      <c r="AF75" s="12" t="str">
        <f t="shared" si="33"/>
        <v/>
      </c>
      <c r="AG75" s="12" t="str">
        <f t="shared" si="34"/>
        <v/>
      </c>
      <c r="AH75" s="12" t="str">
        <f t="shared" si="35"/>
        <v/>
      </c>
    </row>
    <row r="76" spans="1:34" x14ac:dyDescent="0.25">
      <c r="A76" s="11" t="str">
        <f>IF(ROWS($A$6:A76)&gt;COUNTA(Cables!$A:$A)-1,"",INDEX(Cables!$A:$A,ROWS($A$6:A76)+1))</f>
        <v/>
      </c>
      <c r="B76" s="11" t="str">
        <f>IF($A76="","",IF(INDEX(Cables!$B:$B,MATCH($A76,Cables!$A:$A,0))="","",INDEX(Cables!$B:$B,MATCH($A76,Cables!$A:$A,0))))</f>
        <v/>
      </c>
      <c r="C76" s="11" t="str">
        <f>IF($A76="","",IF(INDEX(Cables!$F:$F,MATCH($A76,Cables!$A:$A,0))="","",INDEX(Cables!$F:$F,MATCH($A76,Cables!$A:$A,0))))</f>
        <v/>
      </c>
      <c r="D76" s="11" t="str">
        <f>IF($A76="","",IF(INDEX(Cables!$H:$H,MATCH($A76,Cables!$A:$A,0))="","",INDEX(Cables!$H:$H,MATCH($A76,Cables!$A:$A,0))))</f>
        <v/>
      </c>
      <c r="E76" s="12" t="str">
        <f>IF($A76="","",IF(INDEX(Cables!$Q:$Q,MATCH($A76,Cables!$A:$A,0))="","",INDEX(Cables!$Q:$Q,MATCH($A76,Cables!$A:$A,0))))</f>
        <v/>
      </c>
      <c r="F76" s="11" t="str">
        <f>IF($A76="","",IF(INDEX(Cables!$AQ:$AQ,MATCH($A76,Cables!$A:$A,0))="","",INDEX(Cables!$AQ:$AQ,MATCH($A76,Cables!$A:$A,0))))</f>
        <v/>
      </c>
      <c r="G76" s="11" t="str">
        <f>IF($A76="","",IF(INDEX(Cables!$AR:$AR,MATCH($A76,Cables!$A:$A,0))="","",INDEX(Cables!$AR:$AR,MATCH($A76,Cables!$A:$A,0))))</f>
        <v/>
      </c>
      <c r="H76" s="11" t="str">
        <f>IF($A76="","",IF(INDEX(Cables!$AO:$AO,MATCH($A76,Cables!$A:$A,0))="","",INDEX(Cables!$AO:$AO,MATCH($A76,Cables!$A:$A,0))))</f>
        <v/>
      </c>
      <c r="I76" s="11" t="str">
        <f>IF($A76="","",IF(INDEX(Cables!$AP:$AP,MATCH($A76,Cables!$A:$A,0))="","",INDEX(Cables!$AP:$AP,MATCH($A76,Cables!$A:$A,0))))</f>
        <v/>
      </c>
      <c r="J76" s="12" t="str">
        <f>IF($A76="","",IF(J$5&gt;2*$G76,"",EXP(FORECAST(LN(J$5),INDEX(Attenuation!$K:$K,($H76-1+MIN(MAX(IFERROR(MATCH(LN(J$5),INDEX(Attenuation!$J:$J,$H76):INDEX(Attenuation!$J:$J,$H76+$I76-1),1),1),1),$I76-1))):INDEX(Attenuation!$K:$K,($H76-1+MIN(MAX(IFERROR(MATCH(LN(J$5),INDEX(Attenuation!$J:$J,$H76):INDEX(Attenuation!$J:$J,$H76+$I76-1),1),1),1),$I76-1))+1),INDEX(Attenuation!$J:$J,($H76-1+MIN(MAX(IFERROR(MATCH(LN(J$5),INDEX(Attenuation!$J:$J,$H76):INDEX(Attenuation!$J:$J,$H76+$I76-1),1),1),1),$I76-1))):INDEX(Attenuation!$J:$J,($H76-1+MIN(MAX(IFERROR(MATCH(LN(J$5),INDEX(Attenuation!$J:$J,$H76):INDEX(Attenuation!$J:$J,$H76+$I76-1),1),1),1),$I76-1))+1)))))</f>
        <v/>
      </c>
      <c r="K76" s="12" t="str">
        <f>IF($A76="","",IF(K$5&gt;2*$G76,"",EXP(FORECAST(LN(K$5),INDEX(Attenuation!$K:$K,($H76-1+MIN(MAX(IFERROR(MATCH(LN(K$5),INDEX(Attenuation!$J:$J,$H76):INDEX(Attenuation!$J:$J,$H76+$I76-1),1),1),1),$I76-1))):INDEX(Attenuation!$K:$K,($H76-1+MIN(MAX(IFERROR(MATCH(LN(K$5),INDEX(Attenuation!$J:$J,$H76):INDEX(Attenuation!$J:$J,$H76+$I76-1),1),1),1),$I76-1))+1),INDEX(Attenuation!$J:$J,($H76-1+MIN(MAX(IFERROR(MATCH(LN(K$5),INDEX(Attenuation!$J:$J,$H76):INDEX(Attenuation!$J:$J,$H76+$I76-1),1),1),1),$I76-1))):INDEX(Attenuation!$J:$J,($H76-1+MIN(MAX(IFERROR(MATCH(LN(K$5),INDEX(Attenuation!$J:$J,$H76):INDEX(Attenuation!$J:$J,$H76+$I76-1),1),1),1),$I76-1))+1)))))</f>
        <v/>
      </c>
      <c r="L76" s="12" t="str">
        <f>IF($A76="","",IF(L$5&gt;2*$G76,"",EXP(FORECAST(LN(L$5),INDEX(Attenuation!$K:$K,($H76-1+MIN(MAX(IFERROR(MATCH(LN(L$5),INDEX(Attenuation!$J:$J,$H76):INDEX(Attenuation!$J:$J,$H76+$I76-1),1),1),1),$I76-1))):INDEX(Attenuation!$K:$K,($H76-1+MIN(MAX(IFERROR(MATCH(LN(L$5),INDEX(Attenuation!$J:$J,$H76):INDEX(Attenuation!$J:$J,$H76+$I76-1),1),1),1),$I76-1))+1),INDEX(Attenuation!$J:$J,($H76-1+MIN(MAX(IFERROR(MATCH(LN(L$5),INDEX(Attenuation!$J:$J,$H76):INDEX(Attenuation!$J:$J,$H76+$I76-1),1),1),1),$I76-1))):INDEX(Attenuation!$J:$J,($H76-1+MIN(MAX(IFERROR(MATCH(LN(L$5),INDEX(Attenuation!$J:$J,$H76):INDEX(Attenuation!$J:$J,$H76+$I76-1),1),1),1),$I76-1))+1)))))</f>
        <v/>
      </c>
      <c r="M76" s="12" t="str">
        <f>IF($A76="","",IF(M$5&gt;2*$G76,"",EXP(FORECAST(LN(M$5),INDEX(Attenuation!$K:$K,($H76-1+MIN(MAX(IFERROR(MATCH(LN(M$5),INDEX(Attenuation!$J:$J,$H76):INDEX(Attenuation!$J:$J,$H76+$I76-1),1),1),1),$I76-1))):INDEX(Attenuation!$K:$K,($H76-1+MIN(MAX(IFERROR(MATCH(LN(M$5),INDEX(Attenuation!$J:$J,$H76):INDEX(Attenuation!$J:$J,$H76+$I76-1),1),1),1),$I76-1))+1),INDEX(Attenuation!$J:$J,($H76-1+MIN(MAX(IFERROR(MATCH(LN(M$5),INDEX(Attenuation!$J:$J,$H76):INDEX(Attenuation!$J:$J,$H76+$I76-1),1),1),1),$I76-1))):INDEX(Attenuation!$J:$J,($H76-1+MIN(MAX(IFERROR(MATCH(LN(M$5),INDEX(Attenuation!$J:$J,$H76):INDEX(Attenuation!$J:$J,$H76+$I76-1),1),1),1),$I76-1))+1)))))</f>
        <v/>
      </c>
      <c r="N76" s="12" t="str">
        <f>IF($A76="","",IF(N$5&gt;2*$G76,"",EXP(FORECAST(LN(N$5),INDEX(Attenuation!$K:$K,($H76-1+MIN(MAX(IFERROR(MATCH(LN(N$5),INDEX(Attenuation!$J:$J,$H76):INDEX(Attenuation!$J:$J,$H76+$I76-1),1),1),1),$I76-1))):INDEX(Attenuation!$K:$K,($H76-1+MIN(MAX(IFERROR(MATCH(LN(N$5),INDEX(Attenuation!$J:$J,$H76):INDEX(Attenuation!$J:$J,$H76+$I76-1),1),1),1),$I76-1))+1),INDEX(Attenuation!$J:$J,($H76-1+MIN(MAX(IFERROR(MATCH(LN(N$5),INDEX(Attenuation!$J:$J,$H76):INDEX(Attenuation!$J:$J,$H76+$I76-1),1),1),1),$I76-1))):INDEX(Attenuation!$J:$J,($H76-1+MIN(MAX(IFERROR(MATCH(LN(N$5),INDEX(Attenuation!$J:$J,$H76):INDEX(Attenuation!$J:$J,$H76+$I76-1),1),1),1),$I76-1))+1)))))</f>
        <v/>
      </c>
      <c r="O76" s="12" t="str">
        <f>IF($A76="","",IF(O$5&gt;2*$G76,"",EXP(FORECAST(LN(O$5),INDEX(Attenuation!$K:$K,($H76-1+MIN(MAX(IFERROR(MATCH(LN(O$5),INDEX(Attenuation!$J:$J,$H76):INDEX(Attenuation!$J:$J,$H76+$I76-1),1),1),1),$I76-1))):INDEX(Attenuation!$K:$K,($H76-1+MIN(MAX(IFERROR(MATCH(LN(O$5),INDEX(Attenuation!$J:$J,$H76):INDEX(Attenuation!$J:$J,$H76+$I76-1),1),1),1),$I76-1))+1),INDEX(Attenuation!$J:$J,($H76-1+MIN(MAX(IFERROR(MATCH(LN(O$5),INDEX(Attenuation!$J:$J,$H76):INDEX(Attenuation!$J:$J,$H76+$I76-1),1),1),1),$I76-1))):INDEX(Attenuation!$J:$J,($H76-1+MIN(MAX(IFERROR(MATCH(LN(O$5),INDEX(Attenuation!$J:$J,$H76):INDEX(Attenuation!$J:$J,$H76+$I76-1),1),1),1),$I76-1))+1)))))</f>
        <v/>
      </c>
      <c r="P76" s="12" t="str">
        <f>IF($A76="","",IF(P$5&gt;2*$G76,"",EXP(FORECAST(LN(P$5),INDEX(Attenuation!$K:$K,($H76-1+MIN(MAX(IFERROR(MATCH(LN(P$5),INDEX(Attenuation!$J:$J,$H76):INDEX(Attenuation!$J:$J,$H76+$I76-1),1),1),1),$I76-1))):INDEX(Attenuation!$K:$K,($H76-1+MIN(MAX(IFERROR(MATCH(LN(P$5),INDEX(Attenuation!$J:$J,$H76):INDEX(Attenuation!$J:$J,$H76+$I76-1),1),1),1),$I76-1))+1),INDEX(Attenuation!$J:$J,($H76-1+MIN(MAX(IFERROR(MATCH(LN(P$5),INDEX(Attenuation!$J:$J,$H76):INDEX(Attenuation!$J:$J,$H76+$I76-1),1),1),1),$I76-1))):INDEX(Attenuation!$J:$J,($H76-1+MIN(MAX(IFERROR(MATCH(LN(P$5),INDEX(Attenuation!$J:$J,$H76):INDEX(Attenuation!$J:$J,$H76+$I76-1),1),1),1),$I76-1))+1)))))</f>
        <v/>
      </c>
      <c r="Q76" s="12" t="str">
        <f>IF($A76="","",IF(Q$5&gt;2*$G76,"",EXP(FORECAST(LN(Q$5),INDEX(Attenuation!$K:$K,($H76-1+MIN(MAX(IFERROR(MATCH(LN(Q$5),INDEX(Attenuation!$J:$J,$H76):INDEX(Attenuation!$J:$J,$H76+$I76-1),1),1),1),$I76-1))):INDEX(Attenuation!$K:$K,($H76-1+MIN(MAX(IFERROR(MATCH(LN(Q$5),INDEX(Attenuation!$J:$J,$H76):INDEX(Attenuation!$J:$J,$H76+$I76-1),1),1),1),$I76-1))+1),INDEX(Attenuation!$J:$J,($H76-1+MIN(MAX(IFERROR(MATCH(LN(Q$5),INDEX(Attenuation!$J:$J,$H76):INDEX(Attenuation!$J:$J,$H76+$I76-1),1),1),1),$I76-1))):INDEX(Attenuation!$J:$J,($H76-1+MIN(MAX(IFERROR(MATCH(LN(Q$5),INDEX(Attenuation!$J:$J,$H76):INDEX(Attenuation!$J:$J,$H76+$I76-1),1),1),1),$I76-1))+1)))))</f>
        <v/>
      </c>
      <c r="R76" s="12" t="str">
        <f>IF($A76="","",IF(R$5&gt;2*$G76,"",EXP(FORECAST(LN(R$5),INDEX(Attenuation!$K:$K,($H76-1+MIN(MAX(IFERROR(MATCH(LN(R$5),INDEX(Attenuation!$J:$J,$H76):INDEX(Attenuation!$J:$J,$H76+$I76-1),1),1),1),$I76-1))):INDEX(Attenuation!$K:$K,($H76-1+MIN(MAX(IFERROR(MATCH(LN(R$5),INDEX(Attenuation!$J:$J,$H76):INDEX(Attenuation!$J:$J,$H76+$I76-1),1),1),1),$I76-1))+1),INDEX(Attenuation!$J:$J,($H76-1+MIN(MAX(IFERROR(MATCH(LN(R$5),INDEX(Attenuation!$J:$J,$H76):INDEX(Attenuation!$J:$J,$H76+$I76-1),1),1),1),$I76-1))):INDEX(Attenuation!$J:$J,($H76-1+MIN(MAX(IFERROR(MATCH(LN(R$5),INDEX(Attenuation!$J:$J,$H76):INDEX(Attenuation!$J:$J,$H76+$I76-1),1),1),1),$I76-1))+1)))))</f>
        <v/>
      </c>
      <c r="S76" s="12" t="str">
        <f>IF($A76="","",IF(S$5&gt;2*$G76,"",EXP(FORECAST(LN(S$5),INDEX(Attenuation!$K:$K,($H76-1+MIN(MAX(IFERROR(MATCH(LN(S$5),INDEX(Attenuation!$J:$J,$H76):INDEX(Attenuation!$J:$J,$H76+$I76-1),1),1),1),$I76-1))):INDEX(Attenuation!$K:$K,($H76-1+MIN(MAX(IFERROR(MATCH(LN(S$5),INDEX(Attenuation!$J:$J,$H76):INDEX(Attenuation!$J:$J,$H76+$I76-1),1),1),1),$I76-1))+1),INDEX(Attenuation!$J:$J,($H76-1+MIN(MAX(IFERROR(MATCH(LN(S$5),INDEX(Attenuation!$J:$J,$H76):INDEX(Attenuation!$J:$J,$H76+$I76-1),1),1),1),$I76-1))):INDEX(Attenuation!$J:$J,($H76-1+MIN(MAX(IFERROR(MATCH(LN(S$5),INDEX(Attenuation!$J:$J,$H76):INDEX(Attenuation!$J:$J,$H76+$I76-1),1),1),1),$I76-1))+1)))))</f>
        <v/>
      </c>
      <c r="T76" s="12" t="str">
        <f>IF($A76="","",IF(T$5&gt;2*$G76,"",EXP(FORECAST(LN(T$5),INDEX(Attenuation!$K:$K,($H76-1+MIN(MAX(IFERROR(MATCH(LN(T$5),INDEX(Attenuation!$J:$J,$H76):INDEX(Attenuation!$J:$J,$H76+$I76-1),1),1),1),$I76-1))):INDEX(Attenuation!$K:$K,($H76-1+MIN(MAX(IFERROR(MATCH(LN(T$5),INDEX(Attenuation!$J:$J,$H76):INDEX(Attenuation!$J:$J,$H76+$I76-1),1),1),1),$I76-1))+1),INDEX(Attenuation!$J:$J,($H76-1+MIN(MAX(IFERROR(MATCH(LN(T$5),INDEX(Attenuation!$J:$J,$H76):INDEX(Attenuation!$J:$J,$H76+$I76-1),1),1),1),$I76-1))):INDEX(Attenuation!$J:$J,($H76-1+MIN(MAX(IFERROR(MATCH(LN(T$5),INDEX(Attenuation!$J:$J,$H76):INDEX(Attenuation!$J:$J,$H76+$I76-1),1),1),1),$I76-1))+1)))))</f>
        <v/>
      </c>
      <c r="U76" s="12" t="str">
        <f>IF($A76="","",IF(U$5&gt;2*$G76,"",EXP(FORECAST(LN(U$5),INDEX(Attenuation!$K:$K,($H76-1+MIN(MAX(IFERROR(MATCH(LN(U$5),INDEX(Attenuation!$J:$J,$H76):INDEX(Attenuation!$J:$J,$H76+$I76-1),1),1),1),$I76-1))):INDEX(Attenuation!$K:$K,($H76-1+MIN(MAX(IFERROR(MATCH(LN(U$5),INDEX(Attenuation!$J:$J,$H76):INDEX(Attenuation!$J:$J,$H76+$I76-1),1),1),1),$I76-1))+1),INDEX(Attenuation!$J:$J,($H76-1+MIN(MAX(IFERROR(MATCH(LN(U$5),INDEX(Attenuation!$J:$J,$H76):INDEX(Attenuation!$J:$J,$H76+$I76-1),1),1),1),$I76-1))):INDEX(Attenuation!$J:$J,($H76-1+MIN(MAX(IFERROR(MATCH(LN(U$5),INDEX(Attenuation!$J:$J,$H76):INDEX(Attenuation!$J:$J,$H76+$I76-1),1),1),1),$I76-1))+1)))))</f>
        <v/>
      </c>
      <c r="V76" s="1"/>
      <c r="W76" s="12" t="str">
        <f t="shared" si="24"/>
        <v/>
      </c>
      <c r="X76" s="12" t="str">
        <f t="shared" si="25"/>
        <v/>
      </c>
      <c r="Y76" s="12" t="str">
        <f t="shared" si="26"/>
        <v/>
      </c>
      <c r="Z76" s="12" t="str">
        <f t="shared" si="27"/>
        <v/>
      </c>
      <c r="AA76" s="12" t="str">
        <f t="shared" si="28"/>
        <v/>
      </c>
      <c r="AB76" s="12" t="str">
        <f t="shared" si="29"/>
        <v/>
      </c>
      <c r="AC76" s="12" t="str">
        <f t="shared" si="30"/>
        <v/>
      </c>
      <c r="AD76" s="12" t="str">
        <f t="shared" si="31"/>
        <v/>
      </c>
      <c r="AE76" s="12" t="str">
        <f t="shared" si="32"/>
        <v/>
      </c>
      <c r="AF76" s="12" t="str">
        <f t="shared" si="33"/>
        <v/>
      </c>
      <c r="AG76" s="12" t="str">
        <f t="shared" si="34"/>
        <v/>
      </c>
      <c r="AH76" s="12" t="str">
        <f t="shared" si="35"/>
        <v/>
      </c>
    </row>
    <row r="77" spans="1:34" x14ac:dyDescent="0.25">
      <c r="A77" s="11" t="str">
        <f>IF(ROWS($A$6:A77)&gt;COUNTA(Cables!$A:$A)-1,"",INDEX(Cables!$A:$A,ROWS($A$6:A77)+1))</f>
        <v/>
      </c>
      <c r="B77" s="11" t="str">
        <f>IF($A77="","",IF(INDEX(Cables!$B:$B,MATCH($A77,Cables!$A:$A,0))="","",INDEX(Cables!$B:$B,MATCH($A77,Cables!$A:$A,0))))</f>
        <v/>
      </c>
      <c r="C77" s="11" t="str">
        <f>IF($A77="","",IF(INDEX(Cables!$F:$F,MATCH($A77,Cables!$A:$A,0))="","",INDEX(Cables!$F:$F,MATCH($A77,Cables!$A:$A,0))))</f>
        <v/>
      </c>
      <c r="D77" s="11" t="str">
        <f>IF($A77="","",IF(INDEX(Cables!$H:$H,MATCH($A77,Cables!$A:$A,0))="","",INDEX(Cables!$H:$H,MATCH($A77,Cables!$A:$A,0))))</f>
        <v/>
      </c>
      <c r="E77" s="12" t="str">
        <f>IF($A77="","",IF(INDEX(Cables!$Q:$Q,MATCH($A77,Cables!$A:$A,0))="","",INDEX(Cables!$Q:$Q,MATCH($A77,Cables!$A:$A,0))))</f>
        <v/>
      </c>
      <c r="F77" s="11" t="str">
        <f>IF($A77="","",IF(INDEX(Cables!$AQ:$AQ,MATCH($A77,Cables!$A:$A,0))="","",INDEX(Cables!$AQ:$AQ,MATCH($A77,Cables!$A:$A,0))))</f>
        <v/>
      </c>
      <c r="G77" s="11" t="str">
        <f>IF($A77="","",IF(INDEX(Cables!$AR:$AR,MATCH($A77,Cables!$A:$A,0))="","",INDEX(Cables!$AR:$AR,MATCH($A77,Cables!$A:$A,0))))</f>
        <v/>
      </c>
      <c r="H77" s="11" t="str">
        <f>IF($A77="","",IF(INDEX(Cables!$AO:$AO,MATCH($A77,Cables!$A:$A,0))="","",INDEX(Cables!$AO:$AO,MATCH($A77,Cables!$A:$A,0))))</f>
        <v/>
      </c>
      <c r="I77" s="11" t="str">
        <f>IF($A77="","",IF(INDEX(Cables!$AP:$AP,MATCH($A77,Cables!$A:$A,0))="","",INDEX(Cables!$AP:$AP,MATCH($A77,Cables!$A:$A,0))))</f>
        <v/>
      </c>
      <c r="J77" s="12" t="str">
        <f>IF($A77="","",IF(J$5&gt;2*$G77,"",EXP(FORECAST(LN(J$5),INDEX(Attenuation!$K:$K,($H77-1+MIN(MAX(IFERROR(MATCH(LN(J$5),INDEX(Attenuation!$J:$J,$H77):INDEX(Attenuation!$J:$J,$H77+$I77-1),1),1),1),$I77-1))):INDEX(Attenuation!$K:$K,($H77-1+MIN(MAX(IFERROR(MATCH(LN(J$5),INDEX(Attenuation!$J:$J,$H77):INDEX(Attenuation!$J:$J,$H77+$I77-1),1),1),1),$I77-1))+1),INDEX(Attenuation!$J:$J,($H77-1+MIN(MAX(IFERROR(MATCH(LN(J$5),INDEX(Attenuation!$J:$J,$H77):INDEX(Attenuation!$J:$J,$H77+$I77-1),1),1),1),$I77-1))):INDEX(Attenuation!$J:$J,($H77-1+MIN(MAX(IFERROR(MATCH(LN(J$5),INDEX(Attenuation!$J:$J,$H77):INDEX(Attenuation!$J:$J,$H77+$I77-1),1),1),1),$I77-1))+1)))))</f>
        <v/>
      </c>
      <c r="K77" s="12" t="str">
        <f>IF($A77="","",IF(K$5&gt;2*$G77,"",EXP(FORECAST(LN(K$5),INDEX(Attenuation!$K:$K,($H77-1+MIN(MAX(IFERROR(MATCH(LN(K$5),INDEX(Attenuation!$J:$J,$H77):INDEX(Attenuation!$J:$J,$H77+$I77-1),1),1),1),$I77-1))):INDEX(Attenuation!$K:$K,($H77-1+MIN(MAX(IFERROR(MATCH(LN(K$5),INDEX(Attenuation!$J:$J,$H77):INDEX(Attenuation!$J:$J,$H77+$I77-1),1),1),1),$I77-1))+1),INDEX(Attenuation!$J:$J,($H77-1+MIN(MAX(IFERROR(MATCH(LN(K$5),INDEX(Attenuation!$J:$J,$H77):INDEX(Attenuation!$J:$J,$H77+$I77-1),1),1),1),$I77-1))):INDEX(Attenuation!$J:$J,($H77-1+MIN(MAX(IFERROR(MATCH(LN(K$5),INDEX(Attenuation!$J:$J,$H77):INDEX(Attenuation!$J:$J,$H77+$I77-1),1),1),1),$I77-1))+1)))))</f>
        <v/>
      </c>
      <c r="L77" s="12" t="str">
        <f>IF($A77="","",IF(L$5&gt;2*$G77,"",EXP(FORECAST(LN(L$5),INDEX(Attenuation!$K:$K,($H77-1+MIN(MAX(IFERROR(MATCH(LN(L$5),INDEX(Attenuation!$J:$J,$H77):INDEX(Attenuation!$J:$J,$H77+$I77-1),1),1),1),$I77-1))):INDEX(Attenuation!$K:$K,($H77-1+MIN(MAX(IFERROR(MATCH(LN(L$5),INDEX(Attenuation!$J:$J,$H77):INDEX(Attenuation!$J:$J,$H77+$I77-1),1),1),1),$I77-1))+1),INDEX(Attenuation!$J:$J,($H77-1+MIN(MAX(IFERROR(MATCH(LN(L$5),INDEX(Attenuation!$J:$J,$H77):INDEX(Attenuation!$J:$J,$H77+$I77-1),1),1),1),$I77-1))):INDEX(Attenuation!$J:$J,($H77-1+MIN(MAX(IFERROR(MATCH(LN(L$5),INDEX(Attenuation!$J:$J,$H77):INDEX(Attenuation!$J:$J,$H77+$I77-1),1),1),1),$I77-1))+1)))))</f>
        <v/>
      </c>
      <c r="M77" s="12" t="str">
        <f>IF($A77="","",IF(M$5&gt;2*$G77,"",EXP(FORECAST(LN(M$5),INDEX(Attenuation!$K:$K,($H77-1+MIN(MAX(IFERROR(MATCH(LN(M$5),INDEX(Attenuation!$J:$J,$H77):INDEX(Attenuation!$J:$J,$H77+$I77-1),1),1),1),$I77-1))):INDEX(Attenuation!$K:$K,($H77-1+MIN(MAX(IFERROR(MATCH(LN(M$5),INDEX(Attenuation!$J:$J,$H77):INDEX(Attenuation!$J:$J,$H77+$I77-1),1),1),1),$I77-1))+1),INDEX(Attenuation!$J:$J,($H77-1+MIN(MAX(IFERROR(MATCH(LN(M$5),INDEX(Attenuation!$J:$J,$H77):INDEX(Attenuation!$J:$J,$H77+$I77-1),1),1),1),$I77-1))):INDEX(Attenuation!$J:$J,($H77-1+MIN(MAX(IFERROR(MATCH(LN(M$5),INDEX(Attenuation!$J:$J,$H77):INDEX(Attenuation!$J:$J,$H77+$I77-1),1),1),1),$I77-1))+1)))))</f>
        <v/>
      </c>
      <c r="N77" s="12" t="str">
        <f>IF($A77="","",IF(N$5&gt;2*$G77,"",EXP(FORECAST(LN(N$5),INDEX(Attenuation!$K:$K,($H77-1+MIN(MAX(IFERROR(MATCH(LN(N$5),INDEX(Attenuation!$J:$J,$H77):INDEX(Attenuation!$J:$J,$H77+$I77-1),1),1),1),$I77-1))):INDEX(Attenuation!$K:$K,($H77-1+MIN(MAX(IFERROR(MATCH(LN(N$5),INDEX(Attenuation!$J:$J,$H77):INDEX(Attenuation!$J:$J,$H77+$I77-1),1),1),1),$I77-1))+1),INDEX(Attenuation!$J:$J,($H77-1+MIN(MAX(IFERROR(MATCH(LN(N$5),INDEX(Attenuation!$J:$J,$H77):INDEX(Attenuation!$J:$J,$H77+$I77-1),1),1),1),$I77-1))):INDEX(Attenuation!$J:$J,($H77-1+MIN(MAX(IFERROR(MATCH(LN(N$5),INDEX(Attenuation!$J:$J,$H77):INDEX(Attenuation!$J:$J,$H77+$I77-1),1),1),1),$I77-1))+1)))))</f>
        <v/>
      </c>
      <c r="O77" s="12" t="str">
        <f>IF($A77="","",IF(O$5&gt;2*$G77,"",EXP(FORECAST(LN(O$5),INDEX(Attenuation!$K:$K,($H77-1+MIN(MAX(IFERROR(MATCH(LN(O$5),INDEX(Attenuation!$J:$J,$H77):INDEX(Attenuation!$J:$J,$H77+$I77-1),1),1),1),$I77-1))):INDEX(Attenuation!$K:$K,($H77-1+MIN(MAX(IFERROR(MATCH(LN(O$5),INDEX(Attenuation!$J:$J,$H77):INDEX(Attenuation!$J:$J,$H77+$I77-1),1),1),1),$I77-1))+1),INDEX(Attenuation!$J:$J,($H77-1+MIN(MAX(IFERROR(MATCH(LN(O$5),INDEX(Attenuation!$J:$J,$H77):INDEX(Attenuation!$J:$J,$H77+$I77-1),1),1),1),$I77-1))):INDEX(Attenuation!$J:$J,($H77-1+MIN(MAX(IFERROR(MATCH(LN(O$5),INDEX(Attenuation!$J:$J,$H77):INDEX(Attenuation!$J:$J,$H77+$I77-1),1),1),1),$I77-1))+1)))))</f>
        <v/>
      </c>
      <c r="P77" s="12" t="str">
        <f>IF($A77="","",IF(P$5&gt;2*$G77,"",EXP(FORECAST(LN(P$5),INDEX(Attenuation!$K:$K,($H77-1+MIN(MAX(IFERROR(MATCH(LN(P$5),INDEX(Attenuation!$J:$J,$H77):INDEX(Attenuation!$J:$J,$H77+$I77-1),1),1),1),$I77-1))):INDEX(Attenuation!$K:$K,($H77-1+MIN(MAX(IFERROR(MATCH(LN(P$5),INDEX(Attenuation!$J:$J,$H77):INDEX(Attenuation!$J:$J,$H77+$I77-1),1),1),1),$I77-1))+1),INDEX(Attenuation!$J:$J,($H77-1+MIN(MAX(IFERROR(MATCH(LN(P$5),INDEX(Attenuation!$J:$J,$H77):INDEX(Attenuation!$J:$J,$H77+$I77-1),1),1),1),$I77-1))):INDEX(Attenuation!$J:$J,($H77-1+MIN(MAX(IFERROR(MATCH(LN(P$5),INDEX(Attenuation!$J:$J,$H77):INDEX(Attenuation!$J:$J,$H77+$I77-1),1),1),1),$I77-1))+1)))))</f>
        <v/>
      </c>
      <c r="Q77" s="12" t="str">
        <f>IF($A77="","",IF(Q$5&gt;2*$G77,"",EXP(FORECAST(LN(Q$5),INDEX(Attenuation!$K:$K,($H77-1+MIN(MAX(IFERROR(MATCH(LN(Q$5),INDEX(Attenuation!$J:$J,$H77):INDEX(Attenuation!$J:$J,$H77+$I77-1),1),1),1),$I77-1))):INDEX(Attenuation!$K:$K,($H77-1+MIN(MAX(IFERROR(MATCH(LN(Q$5),INDEX(Attenuation!$J:$J,$H77):INDEX(Attenuation!$J:$J,$H77+$I77-1),1),1),1),$I77-1))+1),INDEX(Attenuation!$J:$J,($H77-1+MIN(MAX(IFERROR(MATCH(LN(Q$5),INDEX(Attenuation!$J:$J,$H77):INDEX(Attenuation!$J:$J,$H77+$I77-1),1),1),1),$I77-1))):INDEX(Attenuation!$J:$J,($H77-1+MIN(MAX(IFERROR(MATCH(LN(Q$5),INDEX(Attenuation!$J:$J,$H77):INDEX(Attenuation!$J:$J,$H77+$I77-1),1),1),1),$I77-1))+1)))))</f>
        <v/>
      </c>
      <c r="R77" s="12" t="str">
        <f>IF($A77="","",IF(R$5&gt;2*$G77,"",EXP(FORECAST(LN(R$5),INDEX(Attenuation!$K:$K,($H77-1+MIN(MAX(IFERROR(MATCH(LN(R$5),INDEX(Attenuation!$J:$J,$H77):INDEX(Attenuation!$J:$J,$H77+$I77-1),1),1),1),$I77-1))):INDEX(Attenuation!$K:$K,($H77-1+MIN(MAX(IFERROR(MATCH(LN(R$5),INDEX(Attenuation!$J:$J,$H77):INDEX(Attenuation!$J:$J,$H77+$I77-1),1),1),1),$I77-1))+1),INDEX(Attenuation!$J:$J,($H77-1+MIN(MAX(IFERROR(MATCH(LN(R$5),INDEX(Attenuation!$J:$J,$H77):INDEX(Attenuation!$J:$J,$H77+$I77-1),1),1),1),$I77-1))):INDEX(Attenuation!$J:$J,($H77-1+MIN(MAX(IFERROR(MATCH(LN(R$5),INDEX(Attenuation!$J:$J,$H77):INDEX(Attenuation!$J:$J,$H77+$I77-1),1),1),1),$I77-1))+1)))))</f>
        <v/>
      </c>
      <c r="S77" s="12" t="str">
        <f>IF($A77="","",IF(S$5&gt;2*$G77,"",EXP(FORECAST(LN(S$5),INDEX(Attenuation!$K:$K,($H77-1+MIN(MAX(IFERROR(MATCH(LN(S$5),INDEX(Attenuation!$J:$J,$H77):INDEX(Attenuation!$J:$J,$H77+$I77-1),1),1),1),$I77-1))):INDEX(Attenuation!$K:$K,($H77-1+MIN(MAX(IFERROR(MATCH(LN(S$5),INDEX(Attenuation!$J:$J,$H77):INDEX(Attenuation!$J:$J,$H77+$I77-1),1),1),1),$I77-1))+1),INDEX(Attenuation!$J:$J,($H77-1+MIN(MAX(IFERROR(MATCH(LN(S$5),INDEX(Attenuation!$J:$J,$H77):INDEX(Attenuation!$J:$J,$H77+$I77-1),1),1),1),$I77-1))):INDEX(Attenuation!$J:$J,($H77-1+MIN(MAX(IFERROR(MATCH(LN(S$5),INDEX(Attenuation!$J:$J,$H77):INDEX(Attenuation!$J:$J,$H77+$I77-1),1),1),1),$I77-1))+1)))))</f>
        <v/>
      </c>
      <c r="T77" s="12" t="str">
        <f>IF($A77="","",IF(T$5&gt;2*$G77,"",EXP(FORECAST(LN(T$5),INDEX(Attenuation!$K:$K,($H77-1+MIN(MAX(IFERROR(MATCH(LN(T$5),INDEX(Attenuation!$J:$J,$H77):INDEX(Attenuation!$J:$J,$H77+$I77-1),1),1),1),$I77-1))):INDEX(Attenuation!$K:$K,($H77-1+MIN(MAX(IFERROR(MATCH(LN(T$5),INDEX(Attenuation!$J:$J,$H77):INDEX(Attenuation!$J:$J,$H77+$I77-1),1),1),1),$I77-1))+1),INDEX(Attenuation!$J:$J,($H77-1+MIN(MAX(IFERROR(MATCH(LN(T$5),INDEX(Attenuation!$J:$J,$H77):INDEX(Attenuation!$J:$J,$H77+$I77-1),1),1),1),$I77-1))):INDEX(Attenuation!$J:$J,($H77-1+MIN(MAX(IFERROR(MATCH(LN(T$5),INDEX(Attenuation!$J:$J,$H77):INDEX(Attenuation!$J:$J,$H77+$I77-1),1),1),1),$I77-1))+1)))))</f>
        <v/>
      </c>
      <c r="U77" s="12" t="str">
        <f>IF($A77="","",IF(U$5&gt;2*$G77,"",EXP(FORECAST(LN(U$5),INDEX(Attenuation!$K:$K,($H77-1+MIN(MAX(IFERROR(MATCH(LN(U$5),INDEX(Attenuation!$J:$J,$H77):INDEX(Attenuation!$J:$J,$H77+$I77-1),1),1),1),$I77-1))):INDEX(Attenuation!$K:$K,($H77-1+MIN(MAX(IFERROR(MATCH(LN(U$5),INDEX(Attenuation!$J:$J,$H77):INDEX(Attenuation!$J:$J,$H77+$I77-1),1),1),1),$I77-1))+1),INDEX(Attenuation!$J:$J,($H77-1+MIN(MAX(IFERROR(MATCH(LN(U$5),INDEX(Attenuation!$J:$J,$H77):INDEX(Attenuation!$J:$J,$H77+$I77-1),1),1),1),$I77-1))):INDEX(Attenuation!$J:$J,($H77-1+MIN(MAX(IFERROR(MATCH(LN(U$5),INDEX(Attenuation!$J:$J,$H77):INDEX(Attenuation!$J:$J,$H77+$I77-1),1),1),1),$I77-1))+1)))))</f>
        <v/>
      </c>
      <c r="V77" s="1"/>
      <c r="W77" s="12" t="str">
        <f t="shared" si="24"/>
        <v/>
      </c>
      <c r="X77" s="12" t="str">
        <f t="shared" si="25"/>
        <v/>
      </c>
      <c r="Y77" s="12" t="str">
        <f t="shared" si="26"/>
        <v/>
      </c>
      <c r="Z77" s="12" t="str">
        <f t="shared" si="27"/>
        <v/>
      </c>
      <c r="AA77" s="12" t="str">
        <f t="shared" si="28"/>
        <v/>
      </c>
      <c r="AB77" s="12" t="str">
        <f t="shared" si="29"/>
        <v/>
      </c>
      <c r="AC77" s="12" t="str">
        <f t="shared" si="30"/>
        <v/>
      </c>
      <c r="AD77" s="12" t="str">
        <f t="shared" si="31"/>
        <v/>
      </c>
      <c r="AE77" s="12" t="str">
        <f t="shared" si="32"/>
        <v/>
      </c>
      <c r="AF77" s="12" t="str">
        <f t="shared" si="33"/>
        <v/>
      </c>
      <c r="AG77" s="12" t="str">
        <f t="shared" si="34"/>
        <v/>
      </c>
      <c r="AH77" s="12" t="str">
        <f t="shared" si="35"/>
        <v/>
      </c>
    </row>
    <row r="78" spans="1:34" x14ac:dyDescent="0.25">
      <c r="A78" s="11" t="str">
        <f>IF(ROWS($A$6:A78)&gt;COUNTA(Cables!$A:$A)-1,"",INDEX(Cables!$A:$A,ROWS($A$6:A78)+1))</f>
        <v/>
      </c>
      <c r="B78" s="11" t="str">
        <f>IF($A78="","",IF(INDEX(Cables!$B:$B,MATCH($A78,Cables!$A:$A,0))="","",INDEX(Cables!$B:$B,MATCH($A78,Cables!$A:$A,0))))</f>
        <v/>
      </c>
      <c r="C78" s="11" t="str">
        <f>IF($A78="","",IF(INDEX(Cables!$F:$F,MATCH($A78,Cables!$A:$A,0))="","",INDEX(Cables!$F:$F,MATCH($A78,Cables!$A:$A,0))))</f>
        <v/>
      </c>
      <c r="D78" s="11" t="str">
        <f>IF($A78="","",IF(INDEX(Cables!$H:$H,MATCH($A78,Cables!$A:$A,0))="","",INDEX(Cables!$H:$H,MATCH($A78,Cables!$A:$A,0))))</f>
        <v/>
      </c>
      <c r="E78" s="12" t="str">
        <f>IF($A78="","",IF(INDEX(Cables!$Q:$Q,MATCH($A78,Cables!$A:$A,0))="","",INDEX(Cables!$Q:$Q,MATCH($A78,Cables!$A:$A,0))))</f>
        <v/>
      </c>
      <c r="F78" s="11" t="str">
        <f>IF($A78="","",IF(INDEX(Cables!$AQ:$AQ,MATCH($A78,Cables!$A:$A,0))="","",INDEX(Cables!$AQ:$AQ,MATCH($A78,Cables!$A:$A,0))))</f>
        <v/>
      </c>
      <c r="G78" s="11" t="str">
        <f>IF($A78="","",IF(INDEX(Cables!$AR:$AR,MATCH($A78,Cables!$A:$A,0))="","",INDEX(Cables!$AR:$AR,MATCH($A78,Cables!$A:$A,0))))</f>
        <v/>
      </c>
      <c r="H78" s="11" t="str">
        <f>IF($A78="","",IF(INDEX(Cables!$AO:$AO,MATCH($A78,Cables!$A:$A,0))="","",INDEX(Cables!$AO:$AO,MATCH($A78,Cables!$A:$A,0))))</f>
        <v/>
      </c>
      <c r="I78" s="11" t="str">
        <f>IF($A78="","",IF(INDEX(Cables!$AP:$AP,MATCH($A78,Cables!$A:$A,0))="","",INDEX(Cables!$AP:$AP,MATCH($A78,Cables!$A:$A,0))))</f>
        <v/>
      </c>
      <c r="J78" s="12" t="str">
        <f>IF($A78="","",IF(J$5&gt;2*$G78,"",EXP(FORECAST(LN(J$5),INDEX(Attenuation!$K:$K,($H78-1+MIN(MAX(IFERROR(MATCH(LN(J$5),INDEX(Attenuation!$J:$J,$H78):INDEX(Attenuation!$J:$J,$H78+$I78-1),1),1),1),$I78-1))):INDEX(Attenuation!$K:$K,($H78-1+MIN(MAX(IFERROR(MATCH(LN(J$5),INDEX(Attenuation!$J:$J,$H78):INDEX(Attenuation!$J:$J,$H78+$I78-1),1),1),1),$I78-1))+1),INDEX(Attenuation!$J:$J,($H78-1+MIN(MAX(IFERROR(MATCH(LN(J$5),INDEX(Attenuation!$J:$J,$H78):INDEX(Attenuation!$J:$J,$H78+$I78-1),1),1),1),$I78-1))):INDEX(Attenuation!$J:$J,($H78-1+MIN(MAX(IFERROR(MATCH(LN(J$5),INDEX(Attenuation!$J:$J,$H78):INDEX(Attenuation!$J:$J,$H78+$I78-1),1),1),1),$I78-1))+1)))))</f>
        <v/>
      </c>
      <c r="K78" s="12" t="str">
        <f>IF($A78="","",IF(K$5&gt;2*$G78,"",EXP(FORECAST(LN(K$5),INDEX(Attenuation!$K:$K,($H78-1+MIN(MAX(IFERROR(MATCH(LN(K$5),INDEX(Attenuation!$J:$J,$H78):INDEX(Attenuation!$J:$J,$H78+$I78-1),1),1),1),$I78-1))):INDEX(Attenuation!$K:$K,($H78-1+MIN(MAX(IFERROR(MATCH(LN(K$5),INDEX(Attenuation!$J:$J,$H78):INDEX(Attenuation!$J:$J,$H78+$I78-1),1),1),1),$I78-1))+1),INDEX(Attenuation!$J:$J,($H78-1+MIN(MAX(IFERROR(MATCH(LN(K$5),INDEX(Attenuation!$J:$J,$H78):INDEX(Attenuation!$J:$J,$H78+$I78-1),1),1),1),$I78-1))):INDEX(Attenuation!$J:$J,($H78-1+MIN(MAX(IFERROR(MATCH(LN(K$5),INDEX(Attenuation!$J:$J,$H78):INDEX(Attenuation!$J:$J,$H78+$I78-1),1),1),1),$I78-1))+1)))))</f>
        <v/>
      </c>
      <c r="L78" s="12" t="str">
        <f>IF($A78="","",IF(L$5&gt;2*$G78,"",EXP(FORECAST(LN(L$5),INDEX(Attenuation!$K:$K,($H78-1+MIN(MAX(IFERROR(MATCH(LN(L$5),INDEX(Attenuation!$J:$J,$H78):INDEX(Attenuation!$J:$J,$H78+$I78-1),1),1),1),$I78-1))):INDEX(Attenuation!$K:$K,($H78-1+MIN(MAX(IFERROR(MATCH(LN(L$5),INDEX(Attenuation!$J:$J,$H78):INDEX(Attenuation!$J:$J,$H78+$I78-1),1),1),1),$I78-1))+1),INDEX(Attenuation!$J:$J,($H78-1+MIN(MAX(IFERROR(MATCH(LN(L$5),INDEX(Attenuation!$J:$J,$H78):INDEX(Attenuation!$J:$J,$H78+$I78-1),1),1),1),$I78-1))):INDEX(Attenuation!$J:$J,($H78-1+MIN(MAX(IFERROR(MATCH(LN(L$5),INDEX(Attenuation!$J:$J,$H78):INDEX(Attenuation!$J:$J,$H78+$I78-1),1),1),1),$I78-1))+1)))))</f>
        <v/>
      </c>
      <c r="M78" s="12" t="str">
        <f>IF($A78="","",IF(M$5&gt;2*$G78,"",EXP(FORECAST(LN(M$5),INDEX(Attenuation!$K:$K,($H78-1+MIN(MAX(IFERROR(MATCH(LN(M$5),INDEX(Attenuation!$J:$J,$H78):INDEX(Attenuation!$J:$J,$H78+$I78-1),1),1),1),$I78-1))):INDEX(Attenuation!$K:$K,($H78-1+MIN(MAX(IFERROR(MATCH(LN(M$5),INDEX(Attenuation!$J:$J,$H78):INDEX(Attenuation!$J:$J,$H78+$I78-1),1),1),1),$I78-1))+1),INDEX(Attenuation!$J:$J,($H78-1+MIN(MAX(IFERROR(MATCH(LN(M$5),INDEX(Attenuation!$J:$J,$H78):INDEX(Attenuation!$J:$J,$H78+$I78-1),1),1),1),$I78-1))):INDEX(Attenuation!$J:$J,($H78-1+MIN(MAX(IFERROR(MATCH(LN(M$5),INDEX(Attenuation!$J:$J,$H78):INDEX(Attenuation!$J:$J,$H78+$I78-1),1),1),1),$I78-1))+1)))))</f>
        <v/>
      </c>
      <c r="N78" s="12" t="str">
        <f>IF($A78="","",IF(N$5&gt;2*$G78,"",EXP(FORECAST(LN(N$5),INDEX(Attenuation!$K:$K,($H78-1+MIN(MAX(IFERROR(MATCH(LN(N$5),INDEX(Attenuation!$J:$J,$H78):INDEX(Attenuation!$J:$J,$H78+$I78-1),1),1),1),$I78-1))):INDEX(Attenuation!$K:$K,($H78-1+MIN(MAX(IFERROR(MATCH(LN(N$5),INDEX(Attenuation!$J:$J,$H78):INDEX(Attenuation!$J:$J,$H78+$I78-1),1),1),1),$I78-1))+1),INDEX(Attenuation!$J:$J,($H78-1+MIN(MAX(IFERROR(MATCH(LN(N$5),INDEX(Attenuation!$J:$J,$H78):INDEX(Attenuation!$J:$J,$H78+$I78-1),1),1),1),$I78-1))):INDEX(Attenuation!$J:$J,($H78-1+MIN(MAX(IFERROR(MATCH(LN(N$5),INDEX(Attenuation!$J:$J,$H78):INDEX(Attenuation!$J:$J,$H78+$I78-1),1),1),1),$I78-1))+1)))))</f>
        <v/>
      </c>
      <c r="O78" s="12" t="str">
        <f>IF($A78="","",IF(O$5&gt;2*$G78,"",EXP(FORECAST(LN(O$5),INDEX(Attenuation!$K:$K,($H78-1+MIN(MAX(IFERROR(MATCH(LN(O$5),INDEX(Attenuation!$J:$J,$H78):INDEX(Attenuation!$J:$J,$H78+$I78-1),1),1),1),$I78-1))):INDEX(Attenuation!$K:$K,($H78-1+MIN(MAX(IFERROR(MATCH(LN(O$5),INDEX(Attenuation!$J:$J,$H78):INDEX(Attenuation!$J:$J,$H78+$I78-1),1),1),1),$I78-1))+1),INDEX(Attenuation!$J:$J,($H78-1+MIN(MAX(IFERROR(MATCH(LN(O$5),INDEX(Attenuation!$J:$J,$H78):INDEX(Attenuation!$J:$J,$H78+$I78-1),1),1),1),$I78-1))):INDEX(Attenuation!$J:$J,($H78-1+MIN(MAX(IFERROR(MATCH(LN(O$5),INDEX(Attenuation!$J:$J,$H78):INDEX(Attenuation!$J:$J,$H78+$I78-1),1),1),1),$I78-1))+1)))))</f>
        <v/>
      </c>
      <c r="P78" s="12" t="str">
        <f>IF($A78="","",IF(P$5&gt;2*$G78,"",EXP(FORECAST(LN(P$5),INDEX(Attenuation!$K:$K,($H78-1+MIN(MAX(IFERROR(MATCH(LN(P$5),INDEX(Attenuation!$J:$J,$H78):INDEX(Attenuation!$J:$J,$H78+$I78-1),1),1),1),$I78-1))):INDEX(Attenuation!$K:$K,($H78-1+MIN(MAX(IFERROR(MATCH(LN(P$5),INDEX(Attenuation!$J:$J,$H78):INDEX(Attenuation!$J:$J,$H78+$I78-1),1),1),1),$I78-1))+1),INDEX(Attenuation!$J:$J,($H78-1+MIN(MAX(IFERROR(MATCH(LN(P$5),INDEX(Attenuation!$J:$J,$H78):INDEX(Attenuation!$J:$J,$H78+$I78-1),1),1),1),$I78-1))):INDEX(Attenuation!$J:$J,($H78-1+MIN(MAX(IFERROR(MATCH(LN(P$5),INDEX(Attenuation!$J:$J,$H78):INDEX(Attenuation!$J:$J,$H78+$I78-1),1),1),1),$I78-1))+1)))))</f>
        <v/>
      </c>
      <c r="Q78" s="12" t="str">
        <f>IF($A78="","",IF(Q$5&gt;2*$G78,"",EXP(FORECAST(LN(Q$5),INDEX(Attenuation!$K:$K,($H78-1+MIN(MAX(IFERROR(MATCH(LN(Q$5),INDEX(Attenuation!$J:$J,$H78):INDEX(Attenuation!$J:$J,$H78+$I78-1),1),1),1),$I78-1))):INDEX(Attenuation!$K:$K,($H78-1+MIN(MAX(IFERROR(MATCH(LN(Q$5),INDEX(Attenuation!$J:$J,$H78):INDEX(Attenuation!$J:$J,$H78+$I78-1),1),1),1),$I78-1))+1),INDEX(Attenuation!$J:$J,($H78-1+MIN(MAX(IFERROR(MATCH(LN(Q$5),INDEX(Attenuation!$J:$J,$H78):INDEX(Attenuation!$J:$J,$H78+$I78-1),1),1),1),$I78-1))):INDEX(Attenuation!$J:$J,($H78-1+MIN(MAX(IFERROR(MATCH(LN(Q$5),INDEX(Attenuation!$J:$J,$H78):INDEX(Attenuation!$J:$J,$H78+$I78-1),1),1),1),$I78-1))+1)))))</f>
        <v/>
      </c>
      <c r="R78" s="12" t="str">
        <f>IF($A78="","",IF(R$5&gt;2*$G78,"",EXP(FORECAST(LN(R$5),INDEX(Attenuation!$K:$K,($H78-1+MIN(MAX(IFERROR(MATCH(LN(R$5),INDEX(Attenuation!$J:$J,$H78):INDEX(Attenuation!$J:$J,$H78+$I78-1),1),1),1),$I78-1))):INDEX(Attenuation!$K:$K,($H78-1+MIN(MAX(IFERROR(MATCH(LN(R$5),INDEX(Attenuation!$J:$J,$H78):INDEX(Attenuation!$J:$J,$H78+$I78-1),1),1),1),$I78-1))+1),INDEX(Attenuation!$J:$J,($H78-1+MIN(MAX(IFERROR(MATCH(LN(R$5),INDEX(Attenuation!$J:$J,$H78):INDEX(Attenuation!$J:$J,$H78+$I78-1),1),1),1),$I78-1))):INDEX(Attenuation!$J:$J,($H78-1+MIN(MAX(IFERROR(MATCH(LN(R$5),INDEX(Attenuation!$J:$J,$H78):INDEX(Attenuation!$J:$J,$H78+$I78-1),1),1),1),$I78-1))+1)))))</f>
        <v/>
      </c>
      <c r="S78" s="12" t="str">
        <f>IF($A78="","",IF(S$5&gt;2*$G78,"",EXP(FORECAST(LN(S$5),INDEX(Attenuation!$K:$K,($H78-1+MIN(MAX(IFERROR(MATCH(LN(S$5),INDEX(Attenuation!$J:$J,$H78):INDEX(Attenuation!$J:$J,$H78+$I78-1),1),1),1),$I78-1))):INDEX(Attenuation!$K:$K,($H78-1+MIN(MAX(IFERROR(MATCH(LN(S$5),INDEX(Attenuation!$J:$J,$H78):INDEX(Attenuation!$J:$J,$H78+$I78-1),1),1),1),$I78-1))+1),INDEX(Attenuation!$J:$J,($H78-1+MIN(MAX(IFERROR(MATCH(LN(S$5),INDEX(Attenuation!$J:$J,$H78):INDEX(Attenuation!$J:$J,$H78+$I78-1),1),1),1),$I78-1))):INDEX(Attenuation!$J:$J,($H78-1+MIN(MAX(IFERROR(MATCH(LN(S$5),INDEX(Attenuation!$J:$J,$H78):INDEX(Attenuation!$J:$J,$H78+$I78-1),1),1),1),$I78-1))+1)))))</f>
        <v/>
      </c>
      <c r="T78" s="12" t="str">
        <f>IF($A78="","",IF(T$5&gt;2*$G78,"",EXP(FORECAST(LN(T$5),INDEX(Attenuation!$K:$K,($H78-1+MIN(MAX(IFERROR(MATCH(LN(T$5),INDEX(Attenuation!$J:$J,$H78):INDEX(Attenuation!$J:$J,$H78+$I78-1),1),1),1),$I78-1))):INDEX(Attenuation!$K:$K,($H78-1+MIN(MAX(IFERROR(MATCH(LN(T$5),INDEX(Attenuation!$J:$J,$H78):INDEX(Attenuation!$J:$J,$H78+$I78-1),1),1),1),$I78-1))+1),INDEX(Attenuation!$J:$J,($H78-1+MIN(MAX(IFERROR(MATCH(LN(T$5),INDEX(Attenuation!$J:$J,$H78):INDEX(Attenuation!$J:$J,$H78+$I78-1),1),1),1),$I78-1))):INDEX(Attenuation!$J:$J,($H78-1+MIN(MAX(IFERROR(MATCH(LN(T$5),INDEX(Attenuation!$J:$J,$H78):INDEX(Attenuation!$J:$J,$H78+$I78-1),1),1),1),$I78-1))+1)))))</f>
        <v/>
      </c>
      <c r="U78" s="12" t="str">
        <f>IF($A78="","",IF(U$5&gt;2*$G78,"",EXP(FORECAST(LN(U$5),INDEX(Attenuation!$K:$K,($H78-1+MIN(MAX(IFERROR(MATCH(LN(U$5),INDEX(Attenuation!$J:$J,$H78):INDEX(Attenuation!$J:$J,$H78+$I78-1),1),1),1),$I78-1))):INDEX(Attenuation!$K:$K,($H78-1+MIN(MAX(IFERROR(MATCH(LN(U$5),INDEX(Attenuation!$J:$J,$H78):INDEX(Attenuation!$J:$J,$H78+$I78-1),1),1),1),$I78-1))+1),INDEX(Attenuation!$J:$J,($H78-1+MIN(MAX(IFERROR(MATCH(LN(U$5),INDEX(Attenuation!$J:$J,$H78):INDEX(Attenuation!$J:$J,$H78+$I78-1),1),1),1),$I78-1))):INDEX(Attenuation!$J:$J,($H78-1+MIN(MAX(IFERROR(MATCH(LN(U$5),INDEX(Attenuation!$J:$J,$H78):INDEX(Attenuation!$J:$J,$H78+$I78-1),1),1),1),$I78-1))+1)))))</f>
        <v/>
      </c>
      <c r="V78" s="1"/>
      <c r="W78" s="12" t="str">
        <f t="shared" si="24"/>
        <v/>
      </c>
      <c r="X78" s="12" t="str">
        <f t="shared" si="25"/>
        <v/>
      </c>
      <c r="Y78" s="12" t="str">
        <f t="shared" si="26"/>
        <v/>
      </c>
      <c r="Z78" s="12" t="str">
        <f t="shared" si="27"/>
        <v/>
      </c>
      <c r="AA78" s="12" t="str">
        <f t="shared" si="28"/>
        <v/>
      </c>
      <c r="AB78" s="12" t="str">
        <f t="shared" si="29"/>
        <v/>
      </c>
      <c r="AC78" s="12" t="str">
        <f t="shared" si="30"/>
        <v/>
      </c>
      <c r="AD78" s="12" t="str">
        <f t="shared" si="31"/>
        <v/>
      </c>
      <c r="AE78" s="12" t="str">
        <f t="shared" si="32"/>
        <v/>
      </c>
      <c r="AF78" s="12" t="str">
        <f t="shared" si="33"/>
        <v/>
      </c>
      <c r="AG78" s="12" t="str">
        <f t="shared" si="34"/>
        <v/>
      </c>
      <c r="AH78" s="12" t="str">
        <f t="shared" si="35"/>
        <v/>
      </c>
    </row>
    <row r="79" spans="1:34" x14ac:dyDescent="0.25">
      <c r="A79" s="11" t="str">
        <f>IF(ROWS($A$6:A79)&gt;COUNTA(Cables!$A:$A)-1,"",INDEX(Cables!$A:$A,ROWS($A$6:A79)+1))</f>
        <v/>
      </c>
      <c r="B79" s="11" t="str">
        <f>IF($A79="","",IF(INDEX(Cables!$B:$B,MATCH($A79,Cables!$A:$A,0))="","",INDEX(Cables!$B:$B,MATCH($A79,Cables!$A:$A,0))))</f>
        <v/>
      </c>
      <c r="C79" s="11" t="str">
        <f>IF($A79="","",IF(INDEX(Cables!$F:$F,MATCH($A79,Cables!$A:$A,0))="","",INDEX(Cables!$F:$F,MATCH($A79,Cables!$A:$A,0))))</f>
        <v/>
      </c>
      <c r="D79" s="11" t="str">
        <f>IF($A79="","",IF(INDEX(Cables!$H:$H,MATCH($A79,Cables!$A:$A,0))="","",INDEX(Cables!$H:$H,MATCH($A79,Cables!$A:$A,0))))</f>
        <v/>
      </c>
      <c r="E79" s="12" t="str">
        <f>IF($A79="","",IF(INDEX(Cables!$Q:$Q,MATCH($A79,Cables!$A:$A,0))="","",INDEX(Cables!$Q:$Q,MATCH($A79,Cables!$A:$A,0))))</f>
        <v/>
      </c>
      <c r="F79" s="11" t="str">
        <f>IF($A79="","",IF(INDEX(Cables!$AQ:$AQ,MATCH($A79,Cables!$A:$A,0))="","",INDEX(Cables!$AQ:$AQ,MATCH($A79,Cables!$A:$A,0))))</f>
        <v/>
      </c>
      <c r="G79" s="11" t="str">
        <f>IF($A79="","",IF(INDEX(Cables!$AR:$AR,MATCH($A79,Cables!$A:$A,0))="","",INDEX(Cables!$AR:$AR,MATCH($A79,Cables!$A:$A,0))))</f>
        <v/>
      </c>
      <c r="H79" s="11" t="str">
        <f>IF($A79="","",IF(INDEX(Cables!$AO:$AO,MATCH($A79,Cables!$A:$A,0))="","",INDEX(Cables!$AO:$AO,MATCH($A79,Cables!$A:$A,0))))</f>
        <v/>
      </c>
      <c r="I79" s="11" t="str">
        <f>IF($A79="","",IF(INDEX(Cables!$AP:$AP,MATCH($A79,Cables!$A:$A,0))="","",INDEX(Cables!$AP:$AP,MATCH($A79,Cables!$A:$A,0))))</f>
        <v/>
      </c>
      <c r="J79" s="12" t="str">
        <f>IF($A79="","",IF(J$5&gt;2*$G79,"",EXP(FORECAST(LN(J$5),INDEX(Attenuation!$K:$K,($H79-1+MIN(MAX(IFERROR(MATCH(LN(J$5),INDEX(Attenuation!$J:$J,$H79):INDEX(Attenuation!$J:$J,$H79+$I79-1),1),1),1),$I79-1))):INDEX(Attenuation!$K:$K,($H79-1+MIN(MAX(IFERROR(MATCH(LN(J$5),INDEX(Attenuation!$J:$J,$H79):INDEX(Attenuation!$J:$J,$H79+$I79-1),1),1),1),$I79-1))+1),INDEX(Attenuation!$J:$J,($H79-1+MIN(MAX(IFERROR(MATCH(LN(J$5),INDEX(Attenuation!$J:$J,$H79):INDEX(Attenuation!$J:$J,$H79+$I79-1),1),1),1),$I79-1))):INDEX(Attenuation!$J:$J,($H79-1+MIN(MAX(IFERROR(MATCH(LN(J$5),INDEX(Attenuation!$J:$J,$H79):INDEX(Attenuation!$J:$J,$H79+$I79-1),1),1),1),$I79-1))+1)))))</f>
        <v/>
      </c>
      <c r="K79" s="12" t="str">
        <f>IF($A79="","",IF(K$5&gt;2*$G79,"",EXP(FORECAST(LN(K$5),INDEX(Attenuation!$K:$K,($H79-1+MIN(MAX(IFERROR(MATCH(LN(K$5),INDEX(Attenuation!$J:$J,$H79):INDEX(Attenuation!$J:$J,$H79+$I79-1),1),1),1),$I79-1))):INDEX(Attenuation!$K:$K,($H79-1+MIN(MAX(IFERROR(MATCH(LN(K$5),INDEX(Attenuation!$J:$J,$H79):INDEX(Attenuation!$J:$J,$H79+$I79-1),1),1),1),$I79-1))+1),INDEX(Attenuation!$J:$J,($H79-1+MIN(MAX(IFERROR(MATCH(LN(K$5),INDEX(Attenuation!$J:$J,$H79):INDEX(Attenuation!$J:$J,$H79+$I79-1),1),1),1),$I79-1))):INDEX(Attenuation!$J:$J,($H79-1+MIN(MAX(IFERROR(MATCH(LN(K$5),INDEX(Attenuation!$J:$J,$H79):INDEX(Attenuation!$J:$J,$H79+$I79-1),1),1),1),$I79-1))+1)))))</f>
        <v/>
      </c>
      <c r="L79" s="12" t="str">
        <f>IF($A79="","",IF(L$5&gt;2*$G79,"",EXP(FORECAST(LN(L$5),INDEX(Attenuation!$K:$K,($H79-1+MIN(MAX(IFERROR(MATCH(LN(L$5),INDEX(Attenuation!$J:$J,$H79):INDEX(Attenuation!$J:$J,$H79+$I79-1),1),1),1),$I79-1))):INDEX(Attenuation!$K:$K,($H79-1+MIN(MAX(IFERROR(MATCH(LN(L$5),INDEX(Attenuation!$J:$J,$H79):INDEX(Attenuation!$J:$J,$H79+$I79-1),1),1),1),$I79-1))+1),INDEX(Attenuation!$J:$J,($H79-1+MIN(MAX(IFERROR(MATCH(LN(L$5),INDEX(Attenuation!$J:$J,$H79):INDEX(Attenuation!$J:$J,$H79+$I79-1),1),1),1),$I79-1))):INDEX(Attenuation!$J:$J,($H79-1+MIN(MAX(IFERROR(MATCH(LN(L$5),INDEX(Attenuation!$J:$J,$H79):INDEX(Attenuation!$J:$J,$H79+$I79-1),1),1),1),$I79-1))+1)))))</f>
        <v/>
      </c>
      <c r="M79" s="12" t="str">
        <f>IF($A79="","",IF(M$5&gt;2*$G79,"",EXP(FORECAST(LN(M$5),INDEX(Attenuation!$K:$K,($H79-1+MIN(MAX(IFERROR(MATCH(LN(M$5),INDEX(Attenuation!$J:$J,$H79):INDEX(Attenuation!$J:$J,$H79+$I79-1),1),1),1),$I79-1))):INDEX(Attenuation!$K:$K,($H79-1+MIN(MAX(IFERROR(MATCH(LN(M$5),INDEX(Attenuation!$J:$J,$H79):INDEX(Attenuation!$J:$J,$H79+$I79-1),1),1),1),$I79-1))+1),INDEX(Attenuation!$J:$J,($H79-1+MIN(MAX(IFERROR(MATCH(LN(M$5),INDEX(Attenuation!$J:$J,$H79):INDEX(Attenuation!$J:$J,$H79+$I79-1),1),1),1),$I79-1))):INDEX(Attenuation!$J:$J,($H79-1+MIN(MAX(IFERROR(MATCH(LN(M$5),INDEX(Attenuation!$J:$J,$H79):INDEX(Attenuation!$J:$J,$H79+$I79-1),1),1),1),$I79-1))+1)))))</f>
        <v/>
      </c>
      <c r="N79" s="12" t="str">
        <f>IF($A79="","",IF(N$5&gt;2*$G79,"",EXP(FORECAST(LN(N$5),INDEX(Attenuation!$K:$K,($H79-1+MIN(MAX(IFERROR(MATCH(LN(N$5),INDEX(Attenuation!$J:$J,$H79):INDEX(Attenuation!$J:$J,$H79+$I79-1),1),1),1),$I79-1))):INDEX(Attenuation!$K:$K,($H79-1+MIN(MAX(IFERROR(MATCH(LN(N$5),INDEX(Attenuation!$J:$J,$H79):INDEX(Attenuation!$J:$J,$H79+$I79-1),1),1),1),$I79-1))+1),INDEX(Attenuation!$J:$J,($H79-1+MIN(MAX(IFERROR(MATCH(LN(N$5),INDEX(Attenuation!$J:$J,$H79):INDEX(Attenuation!$J:$J,$H79+$I79-1),1),1),1),$I79-1))):INDEX(Attenuation!$J:$J,($H79-1+MIN(MAX(IFERROR(MATCH(LN(N$5),INDEX(Attenuation!$J:$J,$H79):INDEX(Attenuation!$J:$J,$H79+$I79-1),1),1),1),$I79-1))+1)))))</f>
        <v/>
      </c>
      <c r="O79" s="12" t="str">
        <f>IF($A79="","",IF(O$5&gt;2*$G79,"",EXP(FORECAST(LN(O$5),INDEX(Attenuation!$K:$K,($H79-1+MIN(MAX(IFERROR(MATCH(LN(O$5),INDEX(Attenuation!$J:$J,$H79):INDEX(Attenuation!$J:$J,$H79+$I79-1),1),1),1),$I79-1))):INDEX(Attenuation!$K:$K,($H79-1+MIN(MAX(IFERROR(MATCH(LN(O$5),INDEX(Attenuation!$J:$J,$H79):INDEX(Attenuation!$J:$J,$H79+$I79-1),1),1),1),$I79-1))+1),INDEX(Attenuation!$J:$J,($H79-1+MIN(MAX(IFERROR(MATCH(LN(O$5),INDEX(Attenuation!$J:$J,$H79):INDEX(Attenuation!$J:$J,$H79+$I79-1),1),1),1),$I79-1))):INDEX(Attenuation!$J:$J,($H79-1+MIN(MAX(IFERROR(MATCH(LN(O$5),INDEX(Attenuation!$J:$J,$H79):INDEX(Attenuation!$J:$J,$H79+$I79-1),1),1),1),$I79-1))+1)))))</f>
        <v/>
      </c>
      <c r="P79" s="12" t="str">
        <f>IF($A79="","",IF(P$5&gt;2*$G79,"",EXP(FORECAST(LN(P$5),INDEX(Attenuation!$K:$K,($H79-1+MIN(MAX(IFERROR(MATCH(LN(P$5),INDEX(Attenuation!$J:$J,$H79):INDEX(Attenuation!$J:$J,$H79+$I79-1),1),1),1),$I79-1))):INDEX(Attenuation!$K:$K,($H79-1+MIN(MAX(IFERROR(MATCH(LN(P$5),INDEX(Attenuation!$J:$J,$H79):INDEX(Attenuation!$J:$J,$H79+$I79-1),1),1),1),$I79-1))+1),INDEX(Attenuation!$J:$J,($H79-1+MIN(MAX(IFERROR(MATCH(LN(P$5),INDEX(Attenuation!$J:$J,$H79):INDEX(Attenuation!$J:$J,$H79+$I79-1),1),1),1),$I79-1))):INDEX(Attenuation!$J:$J,($H79-1+MIN(MAX(IFERROR(MATCH(LN(P$5),INDEX(Attenuation!$J:$J,$H79):INDEX(Attenuation!$J:$J,$H79+$I79-1),1),1),1),$I79-1))+1)))))</f>
        <v/>
      </c>
      <c r="Q79" s="12" t="str">
        <f>IF($A79="","",IF(Q$5&gt;2*$G79,"",EXP(FORECAST(LN(Q$5),INDEX(Attenuation!$K:$K,($H79-1+MIN(MAX(IFERROR(MATCH(LN(Q$5),INDEX(Attenuation!$J:$J,$H79):INDEX(Attenuation!$J:$J,$H79+$I79-1),1),1),1),$I79-1))):INDEX(Attenuation!$K:$K,($H79-1+MIN(MAX(IFERROR(MATCH(LN(Q$5),INDEX(Attenuation!$J:$J,$H79):INDEX(Attenuation!$J:$J,$H79+$I79-1),1),1),1),$I79-1))+1),INDEX(Attenuation!$J:$J,($H79-1+MIN(MAX(IFERROR(MATCH(LN(Q$5),INDEX(Attenuation!$J:$J,$H79):INDEX(Attenuation!$J:$J,$H79+$I79-1),1),1),1),$I79-1))):INDEX(Attenuation!$J:$J,($H79-1+MIN(MAX(IFERROR(MATCH(LN(Q$5),INDEX(Attenuation!$J:$J,$H79):INDEX(Attenuation!$J:$J,$H79+$I79-1),1),1),1),$I79-1))+1)))))</f>
        <v/>
      </c>
      <c r="R79" s="12" t="str">
        <f>IF($A79="","",IF(R$5&gt;2*$G79,"",EXP(FORECAST(LN(R$5),INDEX(Attenuation!$K:$K,($H79-1+MIN(MAX(IFERROR(MATCH(LN(R$5),INDEX(Attenuation!$J:$J,$H79):INDEX(Attenuation!$J:$J,$H79+$I79-1),1),1),1),$I79-1))):INDEX(Attenuation!$K:$K,($H79-1+MIN(MAX(IFERROR(MATCH(LN(R$5),INDEX(Attenuation!$J:$J,$H79):INDEX(Attenuation!$J:$J,$H79+$I79-1),1),1),1),$I79-1))+1),INDEX(Attenuation!$J:$J,($H79-1+MIN(MAX(IFERROR(MATCH(LN(R$5),INDEX(Attenuation!$J:$J,$H79):INDEX(Attenuation!$J:$J,$H79+$I79-1),1),1),1),$I79-1))):INDEX(Attenuation!$J:$J,($H79-1+MIN(MAX(IFERROR(MATCH(LN(R$5),INDEX(Attenuation!$J:$J,$H79):INDEX(Attenuation!$J:$J,$H79+$I79-1),1),1),1),$I79-1))+1)))))</f>
        <v/>
      </c>
      <c r="S79" s="12" t="str">
        <f>IF($A79="","",IF(S$5&gt;2*$G79,"",EXP(FORECAST(LN(S$5),INDEX(Attenuation!$K:$K,($H79-1+MIN(MAX(IFERROR(MATCH(LN(S$5),INDEX(Attenuation!$J:$J,$H79):INDEX(Attenuation!$J:$J,$H79+$I79-1),1),1),1),$I79-1))):INDEX(Attenuation!$K:$K,($H79-1+MIN(MAX(IFERROR(MATCH(LN(S$5),INDEX(Attenuation!$J:$J,$H79):INDEX(Attenuation!$J:$J,$H79+$I79-1),1),1),1),$I79-1))+1),INDEX(Attenuation!$J:$J,($H79-1+MIN(MAX(IFERROR(MATCH(LN(S$5),INDEX(Attenuation!$J:$J,$H79):INDEX(Attenuation!$J:$J,$H79+$I79-1),1),1),1),$I79-1))):INDEX(Attenuation!$J:$J,($H79-1+MIN(MAX(IFERROR(MATCH(LN(S$5),INDEX(Attenuation!$J:$J,$H79):INDEX(Attenuation!$J:$J,$H79+$I79-1),1),1),1),$I79-1))+1)))))</f>
        <v/>
      </c>
      <c r="T79" s="12" t="str">
        <f>IF($A79="","",IF(T$5&gt;2*$G79,"",EXP(FORECAST(LN(T$5),INDEX(Attenuation!$K:$K,($H79-1+MIN(MAX(IFERROR(MATCH(LN(T$5),INDEX(Attenuation!$J:$J,$H79):INDEX(Attenuation!$J:$J,$H79+$I79-1),1),1),1),$I79-1))):INDEX(Attenuation!$K:$K,($H79-1+MIN(MAX(IFERROR(MATCH(LN(T$5),INDEX(Attenuation!$J:$J,$H79):INDEX(Attenuation!$J:$J,$H79+$I79-1),1),1),1),$I79-1))+1),INDEX(Attenuation!$J:$J,($H79-1+MIN(MAX(IFERROR(MATCH(LN(T$5),INDEX(Attenuation!$J:$J,$H79):INDEX(Attenuation!$J:$J,$H79+$I79-1),1),1),1),$I79-1))):INDEX(Attenuation!$J:$J,($H79-1+MIN(MAX(IFERROR(MATCH(LN(T$5),INDEX(Attenuation!$J:$J,$H79):INDEX(Attenuation!$J:$J,$H79+$I79-1),1),1),1),$I79-1))+1)))))</f>
        <v/>
      </c>
      <c r="U79" s="12" t="str">
        <f>IF($A79="","",IF(U$5&gt;2*$G79,"",EXP(FORECAST(LN(U$5),INDEX(Attenuation!$K:$K,($H79-1+MIN(MAX(IFERROR(MATCH(LN(U$5),INDEX(Attenuation!$J:$J,$H79):INDEX(Attenuation!$J:$J,$H79+$I79-1),1),1),1),$I79-1))):INDEX(Attenuation!$K:$K,($H79-1+MIN(MAX(IFERROR(MATCH(LN(U$5),INDEX(Attenuation!$J:$J,$H79):INDEX(Attenuation!$J:$J,$H79+$I79-1),1),1),1),$I79-1))+1),INDEX(Attenuation!$J:$J,($H79-1+MIN(MAX(IFERROR(MATCH(LN(U$5),INDEX(Attenuation!$J:$J,$H79):INDEX(Attenuation!$J:$J,$H79+$I79-1),1),1),1),$I79-1))):INDEX(Attenuation!$J:$J,($H79-1+MIN(MAX(IFERROR(MATCH(LN(U$5),INDEX(Attenuation!$J:$J,$H79):INDEX(Attenuation!$J:$J,$H79+$I79-1),1),1),1),$I79-1))+1)))))</f>
        <v/>
      </c>
      <c r="V79" s="1"/>
      <c r="W79" s="12" t="str">
        <f t="shared" si="24"/>
        <v/>
      </c>
      <c r="X79" s="12" t="str">
        <f t="shared" si="25"/>
        <v/>
      </c>
      <c r="Y79" s="12" t="str">
        <f t="shared" si="26"/>
        <v/>
      </c>
      <c r="Z79" s="12" t="str">
        <f t="shared" si="27"/>
        <v/>
      </c>
      <c r="AA79" s="12" t="str">
        <f t="shared" si="28"/>
        <v/>
      </c>
      <c r="AB79" s="12" t="str">
        <f t="shared" si="29"/>
        <v/>
      </c>
      <c r="AC79" s="12" t="str">
        <f t="shared" si="30"/>
        <v/>
      </c>
      <c r="AD79" s="12" t="str">
        <f t="shared" si="31"/>
        <v/>
      </c>
      <c r="AE79" s="12" t="str">
        <f t="shared" si="32"/>
        <v/>
      </c>
      <c r="AF79" s="12" t="str">
        <f t="shared" si="33"/>
        <v/>
      </c>
      <c r="AG79" s="12" t="str">
        <f t="shared" si="34"/>
        <v/>
      </c>
      <c r="AH79" s="12" t="str">
        <f t="shared" si="35"/>
        <v/>
      </c>
    </row>
    <row r="80" spans="1:34" x14ac:dyDescent="0.25">
      <c r="A80" s="11" t="str">
        <f>IF(ROWS($A$6:A80)&gt;COUNTA(Cables!$A:$A)-1,"",INDEX(Cables!$A:$A,ROWS($A$6:A80)+1))</f>
        <v/>
      </c>
      <c r="B80" s="11" t="str">
        <f>IF($A80="","",IF(INDEX(Cables!$B:$B,MATCH($A80,Cables!$A:$A,0))="","",INDEX(Cables!$B:$B,MATCH($A80,Cables!$A:$A,0))))</f>
        <v/>
      </c>
      <c r="C80" s="11" t="str">
        <f>IF($A80="","",IF(INDEX(Cables!$F:$F,MATCH($A80,Cables!$A:$A,0))="","",INDEX(Cables!$F:$F,MATCH($A80,Cables!$A:$A,0))))</f>
        <v/>
      </c>
      <c r="D80" s="11" t="str">
        <f>IF($A80="","",IF(INDEX(Cables!$H:$H,MATCH($A80,Cables!$A:$A,0))="","",INDEX(Cables!$H:$H,MATCH($A80,Cables!$A:$A,0))))</f>
        <v/>
      </c>
      <c r="E80" s="12" t="str">
        <f>IF($A80="","",IF(INDEX(Cables!$Q:$Q,MATCH($A80,Cables!$A:$A,0))="","",INDEX(Cables!$Q:$Q,MATCH($A80,Cables!$A:$A,0))))</f>
        <v/>
      </c>
      <c r="F80" s="11" t="str">
        <f>IF($A80="","",IF(INDEX(Cables!$AQ:$AQ,MATCH($A80,Cables!$A:$A,0))="","",INDEX(Cables!$AQ:$AQ,MATCH($A80,Cables!$A:$A,0))))</f>
        <v/>
      </c>
      <c r="G80" s="11" t="str">
        <f>IF($A80="","",IF(INDEX(Cables!$AR:$AR,MATCH($A80,Cables!$A:$A,0))="","",INDEX(Cables!$AR:$AR,MATCH($A80,Cables!$A:$A,0))))</f>
        <v/>
      </c>
      <c r="H80" s="11" t="str">
        <f>IF($A80="","",IF(INDEX(Cables!$AO:$AO,MATCH($A80,Cables!$A:$A,0))="","",INDEX(Cables!$AO:$AO,MATCH($A80,Cables!$A:$A,0))))</f>
        <v/>
      </c>
      <c r="I80" s="11" t="str">
        <f>IF($A80="","",IF(INDEX(Cables!$AP:$AP,MATCH($A80,Cables!$A:$A,0))="","",INDEX(Cables!$AP:$AP,MATCH($A80,Cables!$A:$A,0))))</f>
        <v/>
      </c>
      <c r="J80" s="12" t="str">
        <f>IF($A80="","",IF(J$5&gt;2*$G80,"",EXP(FORECAST(LN(J$5),INDEX(Attenuation!$K:$K,($H80-1+MIN(MAX(IFERROR(MATCH(LN(J$5),INDEX(Attenuation!$J:$J,$H80):INDEX(Attenuation!$J:$J,$H80+$I80-1),1),1),1),$I80-1))):INDEX(Attenuation!$K:$K,($H80-1+MIN(MAX(IFERROR(MATCH(LN(J$5),INDEX(Attenuation!$J:$J,$H80):INDEX(Attenuation!$J:$J,$H80+$I80-1),1),1),1),$I80-1))+1),INDEX(Attenuation!$J:$J,($H80-1+MIN(MAX(IFERROR(MATCH(LN(J$5),INDEX(Attenuation!$J:$J,$H80):INDEX(Attenuation!$J:$J,$H80+$I80-1),1),1),1),$I80-1))):INDEX(Attenuation!$J:$J,($H80-1+MIN(MAX(IFERROR(MATCH(LN(J$5),INDEX(Attenuation!$J:$J,$H80):INDEX(Attenuation!$J:$J,$H80+$I80-1),1),1),1),$I80-1))+1)))))</f>
        <v/>
      </c>
      <c r="K80" s="12" t="str">
        <f>IF($A80="","",IF(K$5&gt;2*$G80,"",EXP(FORECAST(LN(K$5),INDEX(Attenuation!$K:$K,($H80-1+MIN(MAX(IFERROR(MATCH(LN(K$5),INDEX(Attenuation!$J:$J,$H80):INDEX(Attenuation!$J:$J,$H80+$I80-1),1),1),1),$I80-1))):INDEX(Attenuation!$K:$K,($H80-1+MIN(MAX(IFERROR(MATCH(LN(K$5),INDEX(Attenuation!$J:$J,$H80):INDEX(Attenuation!$J:$J,$H80+$I80-1),1),1),1),$I80-1))+1),INDEX(Attenuation!$J:$J,($H80-1+MIN(MAX(IFERROR(MATCH(LN(K$5),INDEX(Attenuation!$J:$J,$H80):INDEX(Attenuation!$J:$J,$H80+$I80-1),1),1),1),$I80-1))):INDEX(Attenuation!$J:$J,($H80-1+MIN(MAX(IFERROR(MATCH(LN(K$5),INDEX(Attenuation!$J:$J,$H80):INDEX(Attenuation!$J:$J,$H80+$I80-1),1),1),1),$I80-1))+1)))))</f>
        <v/>
      </c>
      <c r="L80" s="12" t="str">
        <f>IF($A80="","",IF(L$5&gt;2*$G80,"",EXP(FORECAST(LN(L$5),INDEX(Attenuation!$K:$K,($H80-1+MIN(MAX(IFERROR(MATCH(LN(L$5),INDEX(Attenuation!$J:$J,$H80):INDEX(Attenuation!$J:$J,$H80+$I80-1),1),1),1),$I80-1))):INDEX(Attenuation!$K:$K,($H80-1+MIN(MAX(IFERROR(MATCH(LN(L$5),INDEX(Attenuation!$J:$J,$H80):INDEX(Attenuation!$J:$J,$H80+$I80-1),1),1),1),$I80-1))+1),INDEX(Attenuation!$J:$J,($H80-1+MIN(MAX(IFERROR(MATCH(LN(L$5),INDEX(Attenuation!$J:$J,$H80):INDEX(Attenuation!$J:$J,$H80+$I80-1),1),1),1),$I80-1))):INDEX(Attenuation!$J:$J,($H80-1+MIN(MAX(IFERROR(MATCH(LN(L$5),INDEX(Attenuation!$J:$J,$H80):INDEX(Attenuation!$J:$J,$H80+$I80-1),1),1),1),$I80-1))+1)))))</f>
        <v/>
      </c>
      <c r="M80" s="12" t="str">
        <f>IF($A80="","",IF(M$5&gt;2*$G80,"",EXP(FORECAST(LN(M$5),INDEX(Attenuation!$K:$K,($H80-1+MIN(MAX(IFERROR(MATCH(LN(M$5),INDEX(Attenuation!$J:$J,$H80):INDEX(Attenuation!$J:$J,$H80+$I80-1),1),1),1),$I80-1))):INDEX(Attenuation!$K:$K,($H80-1+MIN(MAX(IFERROR(MATCH(LN(M$5),INDEX(Attenuation!$J:$J,$H80):INDEX(Attenuation!$J:$J,$H80+$I80-1),1),1),1),$I80-1))+1),INDEX(Attenuation!$J:$J,($H80-1+MIN(MAX(IFERROR(MATCH(LN(M$5),INDEX(Attenuation!$J:$J,$H80):INDEX(Attenuation!$J:$J,$H80+$I80-1),1),1),1),$I80-1))):INDEX(Attenuation!$J:$J,($H80-1+MIN(MAX(IFERROR(MATCH(LN(M$5),INDEX(Attenuation!$J:$J,$H80):INDEX(Attenuation!$J:$J,$H80+$I80-1),1),1),1),$I80-1))+1)))))</f>
        <v/>
      </c>
      <c r="N80" s="12" t="str">
        <f>IF($A80="","",IF(N$5&gt;2*$G80,"",EXP(FORECAST(LN(N$5),INDEX(Attenuation!$K:$K,($H80-1+MIN(MAX(IFERROR(MATCH(LN(N$5),INDEX(Attenuation!$J:$J,$H80):INDEX(Attenuation!$J:$J,$H80+$I80-1),1),1),1),$I80-1))):INDEX(Attenuation!$K:$K,($H80-1+MIN(MAX(IFERROR(MATCH(LN(N$5),INDEX(Attenuation!$J:$J,$H80):INDEX(Attenuation!$J:$J,$H80+$I80-1),1),1),1),$I80-1))+1),INDEX(Attenuation!$J:$J,($H80-1+MIN(MAX(IFERROR(MATCH(LN(N$5),INDEX(Attenuation!$J:$J,$H80):INDEX(Attenuation!$J:$J,$H80+$I80-1),1),1),1),$I80-1))):INDEX(Attenuation!$J:$J,($H80-1+MIN(MAX(IFERROR(MATCH(LN(N$5),INDEX(Attenuation!$J:$J,$H80):INDEX(Attenuation!$J:$J,$H80+$I80-1),1),1),1),$I80-1))+1)))))</f>
        <v/>
      </c>
      <c r="O80" s="12" t="str">
        <f>IF($A80="","",IF(O$5&gt;2*$G80,"",EXP(FORECAST(LN(O$5),INDEX(Attenuation!$K:$K,($H80-1+MIN(MAX(IFERROR(MATCH(LN(O$5),INDEX(Attenuation!$J:$J,$H80):INDEX(Attenuation!$J:$J,$H80+$I80-1),1),1),1),$I80-1))):INDEX(Attenuation!$K:$K,($H80-1+MIN(MAX(IFERROR(MATCH(LN(O$5),INDEX(Attenuation!$J:$J,$H80):INDEX(Attenuation!$J:$J,$H80+$I80-1),1),1),1),$I80-1))+1),INDEX(Attenuation!$J:$J,($H80-1+MIN(MAX(IFERROR(MATCH(LN(O$5),INDEX(Attenuation!$J:$J,$H80):INDEX(Attenuation!$J:$J,$H80+$I80-1),1),1),1),$I80-1))):INDEX(Attenuation!$J:$J,($H80-1+MIN(MAX(IFERROR(MATCH(LN(O$5),INDEX(Attenuation!$J:$J,$H80):INDEX(Attenuation!$J:$J,$H80+$I80-1),1),1),1),$I80-1))+1)))))</f>
        <v/>
      </c>
      <c r="P80" s="12" t="str">
        <f>IF($A80="","",IF(P$5&gt;2*$G80,"",EXP(FORECAST(LN(P$5),INDEX(Attenuation!$K:$K,($H80-1+MIN(MAX(IFERROR(MATCH(LN(P$5),INDEX(Attenuation!$J:$J,$H80):INDEX(Attenuation!$J:$J,$H80+$I80-1),1),1),1),$I80-1))):INDEX(Attenuation!$K:$K,($H80-1+MIN(MAX(IFERROR(MATCH(LN(P$5),INDEX(Attenuation!$J:$J,$H80):INDEX(Attenuation!$J:$J,$H80+$I80-1),1),1),1),$I80-1))+1),INDEX(Attenuation!$J:$J,($H80-1+MIN(MAX(IFERROR(MATCH(LN(P$5),INDEX(Attenuation!$J:$J,$H80):INDEX(Attenuation!$J:$J,$H80+$I80-1),1),1),1),$I80-1))):INDEX(Attenuation!$J:$J,($H80-1+MIN(MAX(IFERROR(MATCH(LN(P$5),INDEX(Attenuation!$J:$J,$H80):INDEX(Attenuation!$J:$J,$H80+$I80-1),1),1),1),$I80-1))+1)))))</f>
        <v/>
      </c>
      <c r="Q80" s="12" t="str">
        <f>IF($A80="","",IF(Q$5&gt;2*$G80,"",EXP(FORECAST(LN(Q$5),INDEX(Attenuation!$K:$K,($H80-1+MIN(MAX(IFERROR(MATCH(LN(Q$5),INDEX(Attenuation!$J:$J,$H80):INDEX(Attenuation!$J:$J,$H80+$I80-1),1),1),1),$I80-1))):INDEX(Attenuation!$K:$K,($H80-1+MIN(MAX(IFERROR(MATCH(LN(Q$5),INDEX(Attenuation!$J:$J,$H80):INDEX(Attenuation!$J:$J,$H80+$I80-1),1),1),1),$I80-1))+1),INDEX(Attenuation!$J:$J,($H80-1+MIN(MAX(IFERROR(MATCH(LN(Q$5),INDEX(Attenuation!$J:$J,$H80):INDEX(Attenuation!$J:$J,$H80+$I80-1),1),1),1),$I80-1))):INDEX(Attenuation!$J:$J,($H80-1+MIN(MAX(IFERROR(MATCH(LN(Q$5),INDEX(Attenuation!$J:$J,$H80):INDEX(Attenuation!$J:$J,$H80+$I80-1),1),1),1),$I80-1))+1)))))</f>
        <v/>
      </c>
      <c r="R80" s="12" t="str">
        <f>IF($A80="","",IF(R$5&gt;2*$G80,"",EXP(FORECAST(LN(R$5),INDEX(Attenuation!$K:$K,($H80-1+MIN(MAX(IFERROR(MATCH(LN(R$5),INDEX(Attenuation!$J:$J,$H80):INDEX(Attenuation!$J:$J,$H80+$I80-1),1),1),1),$I80-1))):INDEX(Attenuation!$K:$K,($H80-1+MIN(MAX(IFERROR(MATCH(LN(R$5),INDEX(Attenuation!$J:$J,$H80):INDEX(Attenuation!$J:$J,$H80+$I80-1),1),1),1),$I80-1))+1),INDEX(Attenuation!$J:$J,($H80-1+MIN(MAX(IFERROR(MATCH(LN(R$5),INDEX(Attenuation!$J:$J,$H80):INDEX(Attenuation!$J:$J,$H80+$I80-1),1),1),1),$I80-1))):INDEX(Attenuation!$J:$J,($H80-1+MIN(MAX(IFERROR(MATCH(LN(R$5),INDEX(Attenuation!$J:$J,$H80):INDEX(Attenuation!$J:$J,$H80+$I80-1),1),1),1),$I80-1))+1)))))</f>
        <v/>
      </c>
      <c r="S80" s="12" t="str">
        <f>IF($A80="","",IF(S$5&gt;2*$G80,"",EXP(FORECAST(LN(S$5),INDEX(Attenuation!$K:$K,($H80-1+MIN(MAX(IFERROR(MATCH(LN(S$5),INDEX(Attenuation!$J:$J,$H80):INDEX(Attenuation!$J:$J,$H80+$I80-1),1),1),1),$I80-1))):INDEX(Attenuation!$K:$K,($H80-1+MIN(MAX(IFERROR(MATCH(LN(S$5),INDEX(Attenuation!$J:$J,$H80):INDEX(Attenuation!$J:$J,$H80+$I80-1),1),1),1),$I80-1))+1),INDEX(Attenuation!$J:$J,($H80-1+MIN(MAX(IFERROR(MATCH(LN(S$5),INDEX(Attenuation!$J:$J,$H80):INDEX(Attenuation!$J:$J,$H80+$I80-1),1),1),1),$I80-1))):INDEX(Attenuation!$J:$J,($H80-1+MIN(MAX(IFERROR(MATCH(LN(S$5),INDEX(Attenuation!$J:$J,$H80):INDEX(Attenuation!$J:$J,$H80+$I80-1),1),1),1),$I80-1))+1)))))</f>
        <v/>
      </c>
      <c r="T80" s="12" t="str">
        <f>IF($A80="","",IF(T$5&gt;2*$G80,"",EXP(FORECAST(LN(T$5),INDEX(Attenuation!$K:$K,($H80-1+MIN(MAX(IFERROR(MATCH(LN(T$5),INDEX(Attenuation!$J:$J,$H80):INDEX(Attenuation!$J:$J,$H80+$I80-1),1),1),1),$I80-1))):INDEX(Attenuation!$K:$K,($H80-1+MIN(MAX(IFERROR(MATCH(LN(T$5),INDEX(Attenuation!$J:$J,$H80):INDEX(Attenuation!$J:$J,$H80+$I80-1),1),1),1),$I80-1))+1),INDEX(Attenuation!$J:$J,($H80-1+MIN(MAX(IFERROR(MATCH(LN(T$5),INDEX(Attenuation!$J:$J,$H80):INDEX(Attenuation!$J:$J,$H80+$I80-1),1),1),1),$I80-1))):INDEX(Attenuation!$J:$J,($H80-1+MIN(MAX(IFERROR(MATCH(LN(T$5),INDEX(Attenuation!$J:$J,$H80):INDEX(Attenuation!$J:$J,$H80+$I80-1),1),1),1),$I80-1))+1)))))</f>
        <v/>
      </c>
      <c r="U80" s="12" t="str">
        <f>IF($A80="","",IF(U$5&gt;2*$G80,"",EXP(FORECAST(LN(U$5),INDEX(Attenuation!$K:$K,($H80-1+MIN(MAX(IFERROR(MATCH(LN(U$5),INDEX(Attenuation!$J:$J,$H80):INDEX(Attenuation!$J:$J,$H80+$I80-1),1),1),1),$I80-1))):INDEX(Attenuation!$K:$K,($H80-1+MIN(MAX(IFERROR(MATCH(LN(U$5),INDEX(Attenuation!$J:$J,$H80):INDEX(Attenuation!$J:$J,$H80+$I80-1),1),1),1),$I80-1))+1),INDEX(Attenuation!$J:$J,($H80-1+MIN(MAX(IFERROR(MATCH(LN(U$5),INDEX(Attenuation!$J:$J,$H80):INDEX(Attenuation!$J:$J,$H80+$I80-1),1),1),1),$I80-1))):INDEX(Attenuation!$J:$J,($H80-1+MIN(MAX(IFERROR(MATCH(LN(U$5),INDEX(Attenuation!$J:$J,$H80):INDEX(Attenuation!$J:$J,$H80+$I80-1),1),1),1),$I80-1))+1)))))</f>
        <v/>
      </c>
      <c r="V80" s="1"/>
      <c r="W80" s="12" t="str">
        <f t="shared" si="24"/>
        <v/>
      </c>
      <c r="X80" s="12" t="str">
        <f t="shared" si="25"/>
        <v/>
      </c>
      <c r="Y80" s="12" t="str">
        <f t="shared" si="26"/>
        <v/>
      </c>
      <c r="Z80" s="12" t="str">
        <f t="shared" si="27"/>
        <v/>
      </c>
      <c r="AA80" s="12" t="str">
        <f t="shared" si="28"/>
        <v/>
      </c>
      <c r="AB80" s="12" t="str">
        <f t="shared" si="29"/>
        <v/>
      </c>
      <c r="AC80" s="12" t="str">
        <f t="shared" si="30"/>
        <v/>
      </c>
      <c r="AD80" s="12" t="str">
        <f t="shared" si="31"/>
        <v/>
      </c>
      <c r="AE80" s="12" t="str">
        <f t="shared" si="32"/>
        <v/>
      </c>
      <c r="AF80" s="12" t="str">
        <f t="shared" si="33"/>
        <v/>
      </c>
      <c r="AG80" s="12" t="str">
        <f t="shared" si="34"/>
        <v/>
      </c>
      <c r="AH80" s="12" t="str">
        <f t="shared" si="35"/>
        <v/>
      </c>
    </row>
    <row r="81" spans="1:34" x14ac:dyDescent="0.25">
      <c r="A81" s="11" t="str">
        <f>IF(ROWS($A$6:A81)&gt;COUNTA(Cables!$A:$A)-1,"",INDEX(Cables!$A:$A,ROWS($A$6:A81)+1))</f>
        <v/>
      </c>
      <c r="B81" s="11" t="str">
        <f>IF($A81="","",IF(INDEX(Cables!$B:$B,MATCH($A81,Cables!$A:$A,0))="","",INDEX(Cables!$B:$B,MATCH($A81,Cables!$A:$A,0))))</f>
        <v/>
      </c>
      <c r="C81" s="11" t="str">
        <f>IF($A81="","",IF(INDEX(Cables!$F:$F,MATCH($A81,Cables!$A:$A,0))="","",INDEX(Cables!$F:$F,MATCH($A81,Cables!$A:$A,0))))</f>
        <v/>
      </c>
      <c r="D81" s="11" t="str">
        <f>IF($A81="","",IF(INDEX(Cables!$H:$H,MATCH($A81,Cables!$A:$A,0))="","",INDEX(Cables!$H:$H,MATCH($A81,Cables!$A:$A,0))))</f>
        <v/>
      </c>
      <c r="E81" s="12" t="str">
        <f>IF($A81="","",IF(INDEX(Cables!$Q:$Q,MATCH($A81,Cables!$A:$A,0))="","",INDEX(Cables!$Q:$Q,MATCH($A81,Cables!$A:$A,0))))</f>
        <v/>
      </c>
      <c r="F81" s="11" t="str">
        <f>IF($A81="","",IF(INDEX(Cables!$AQ:$AQ,MATCH($A81,Cables!$A:$A,0))="","",INDEX(Cables!$AQ:$AQ,MATCH($A81,Cables!$A:$A,0))))</f>
        <v/>
      </c>
      <c r="G81" s="11" t="str">
        <f>IF($A81="","",IF(INDEX(Cables!$AR:$AR,MATCH($A81,Cables!$A:$A,0))="","",INDEX(Cables!$AR:$AR,MATCH($A81,Cables!$A:$A,0))))</f>
        <v/>
      </c>
      <c r="H81" s="11" t="str">
        <f>IF($A81="","",IF(INDEX(Cables!$AO:$AO,MATCH($A81,Cables!$A:$A,0))="","",INDEX(Cables!$AO:$AO,MATCH($A81,Cables!$A:$A,0))))</f>
        <v/>
      </c>
      <c r="I81" s="11" t="str">
        <f>IF($A81="","",IF(INDEX(Cables!$AP:$AP,MATCH($A81,Cables!$A:$A,0))="","",INDEX(Cables!$AP:$AP,MATCH($A81,Cables!$A:$A,0))))</f>
        <v/>
      </c>
      <c r="J81" s="12" t="str">
        <f>IF($A81="","",IF(J$5&gt;2*$G81,"",EXP(FORECAST(LN(J$5),INDEX(Attenuation!$K:$K,($H81-1+MIN(MAX(IFERROR(MATCH(LN(J$5),INDEX(Attenuation!$J:$J,$H81):INDEX(Attenuation!$J:$J,$H81+$I81-1),1),1),1),$I81-1))):INDEX(Attenuation!$K:$K,($H81-1+MIN(MAX(IFERROR(MATCH(LN(J$5),INDEX(Attenuation!$J:$J,$H81):INDEX(Attenuation!$J:$J,$H81+$I81-1),1),1),1),$I81-1))+1),INDEX(Attenuation!$J:$J,($H81-1+MIN(MAX(IFERROR(MATCH(LN(J$5),INDEX(Attenuation!$J:$J,$H81):INDEX(Attenuation!$J:$J,$H81+$I81-1),1),1),1),$I81-1))):INDEX(Attenuation!$J:$J,($H81-1+MIN(MAX(IFERROR(MATCH(LN(J$5),INDEX(Attenuation!$J:$J,$H81):INDEX(Attenuation!$J:$J,$H81+$I81-1),1),1),1),$I81-1))+1)))))</f>
        <v/>
      </c>
      <c r="K81" s="12" t="str">
        <f>IF($A81="","",IF(K$5&gt;2*$G81,"",EXP(FORECAST(LN(K$5),INDEX(Attenuation!$K:$K,($H81-1+MIN(MAX(IFERROR(MATCH(LN(K$5),INDEX(Attenuation!$J:$J,$H81):INDEX(Attenuation!$J:$J,$H81+$I81-1),1),1),1),$I81-1))):INDEX(Attenuation!$K:$K,($H81-1+MIN(MAX(IFERROR(MATCH(LN(K$5),INDEX(Attenuation!$J:$J,$H81):INDEX(Attenuation!$J:$J,$H81+$I81-1),1),1),1),$I81-1))+1),INDEX(Attenuation!$J:$J,($H81-1+MIN(MAX(IFERROR(MATCH(LN(K$5),INDEX(Attenuation!$J:$J,$H81):INDEX(Attenuation!$J:$J,$H81+$I81-1),1),1),1),$I81-1))):INDEX(Attenuation!$J:$J,($H81-1+MIN(MAX(IFERROR(MATCH(LN(K$5),INDEX(Attenuation!$J:$J,$H81):INDEX(Attenuation!$J:$J,$H81+$I81-1),1),1),1),$I81-1))+1)))))</f>
        <v/>
      </c>
      <c r="L81" s="12" t="str">
        <f>IF($A81="","",IF(L$5&gt;2*$G81,"",EXP(FORECAST(LN(L$5),INDEX(Attenuation!$K:$K,($H81-1+MIN(MAX(IFERROR(MATCH(LN(L$5),INDEX(Attenuation!$J:$J,$H81):INDEX(Attenuation!$J:$J,$H81+$I81-1),1),1),1),$I81-1))):INDEX(Attenuation!$K:$K,($H81-1+MIN(MAX(IFERROR(MATCH(LN(L$5),INDEX(Attenuation!$J:$J,$H81):INDEX(Attenuation!$J:$J,$H81+$I81-1),1),1),1),$I81-1))+1),INDEX(Attenuation!$J:$J,($H81-1+MIN(MAX(IFERROR(MATCH(LN(L$5),INDEX(Attenuation!$J:$J,$H81):INDEX(Attenuation!$J:$J,$H81+$I81-1),1),1),1),$I81-1))):INDEX(Attenuation!$J:$J,($H81-1+MIN(MAX(IFERROR(MATCH(LN(L$5),INDEX(Attenuation!$J:$J,$H81):INDEX(Attenuation!$J:$J,$H81+$I81-1),1),1),1),$I81-1))+1)))))</f>
        <v/>
      </c>
      <c r="M81" s="12" t="str">
        <f>IF($A81="","",IF(M$5&gt;2*$G81,"",EXP(FORECAST(LN(M$5),INDEX(Attenuation!$K:$K,($H81-1+MIN(MAX(IFERROR(MATCH(LN(M$5),INDEX(Attenuation!$J:$J,$H81):INDEX(Attenuation!$J:$J,$H81+$I81-1),1),1),1),$I81-1))):INDEX(Attenuation!$K:$K,($H81-1+MIN(MAX(IFERROR(MATCH(LN(M$5),INDEX(Attenuation!$J:$J,$H81):INDEX(Attenuation!$J:$J,$H81+$I81-1),1),1),1),$I81-1))+1),INDEX(Attenuation!$J:$J,($H81-1+MIN(MAX(IFERROR(MATCH(LN(M$5),INDEX(Attenuation!$J:$J,$H81):INDEX(Attenuation!$J:$J,$H81+$I81-1),1),1),1),$I81-1))):INDEX(Attenuation!$J:$J,($H81-1+MIN(MAX(IFERROR(MATCH(LN(M$5),INDEX(Attenuation!$J:$J,$H81):INDEX(Attenuation!$J:$J,$H81+$I81-1),1),1),1),$I81-1))+1)))))</f>
        <v/>
      </c>
      <c r="N81" s="12" t="str">
        <f>IF($A81="","",IF(N$5&gt;2*$G81,"",EXP(FORECAST(LN(N$5),INDEX(Attenuation!$K:$K,($H81-1+MIN(MAX(IFERROR(MATCH(LN(N$5),INDEX(Attenuation!$J:$J,$H81):INDEX(Attenuation!$J:$J,$H81+$I81-1),1),1),1),$I81-1))):INDEX(Attenuation!$K:$K,($H81-1+MIN(MAX(IFERROR(MATCH(LN(N$5),INDEX(Attenuation!$J:$J,$H81):INDEX(Attenuation!$J:$J,$H81+$I81-1),1),1),1),$I81-1))+1),INDEX(Attenuation!$J:$J,($H81-1+MIN(MAX(IFERROR(MATCH(LN(N$5),INDEX(Attenuation!$J:$J,$H81):INDEX(Attenuation!$J:$J,$H81+$I81-1),1),1),1),$I81-1))):INDEX(Attenuation!$J:$J,($H81-1+MIN(MAX(IFERROR(MATCH(LN(N$5),INDEX(Attenuation!$J:$J,$H81):INDEX(Attenuation!$J:$J,$H81+$I81-1),1),1),1),$I81-1))+1)))))</f>
        <v/>
      </c>
      <c r="O81" s="12" t="str">
        <f>IF($A81="","",IF(O$5&gt;2*$G81,"",EXP(FORECAST(LN(O$5),INDEX(Attenuation!$K:$K,($H81-1+MIN(MAX(IFERROR(MATCH(LN(O$5),INDEX(Attenuation!$J:$J,$H81):INDEX(Attenuation!$J:$J,$H81+$I81-1),1),1),1),$I81-1))):INDEX(Attenuation!$K:$K,($H81-1+MIN(MAX(IFERROR(MATCH(LN(O$5),INDEX(Attenuation!$J:$J,$H81):INDEX(Attenuation!$J:$J,$H81+$I81-1),1),1),1),$I81-1))+1),INDEX(Attenuation!$J:$J,($H81-1+MIN(MAX(IFERROR(MATCH(LN(O$5),INDEX(Attenuation!$J:$J,$H81):INDEX(Attenuation!$J:$J,$H81+$I81-1),1),1),1),$I81-1))):INDEX(Attenuation!$J:$J,($H81-1+MIN(MAX(IFERROR(MATCH(LN(O$5),INDEX(Attenuation!$J:$J,$H81):INDEX(Attenuation!$J:$J,$H81+$I81-1),1),1),1),$I81-1))+1)))))</f>
        <v/>
      </c>
      <c r="P81" s="12" t="str">
        <f>IF($A81="","",IF(P$5&gt;2*$G81,"",EXP(FORECAST(LN(P$5),INDEX(Attenuation!$K:$K,($H81-1+MIN(MAX(IFERROR(MATCH(LN(P$5),INDEX(Attenuation!$J:$J,$H81):INDEX(Attenuation!$J:$J,$H81+$I81-1),1),1),1),$I81-1))):INDEX(Attenuation!$K:$K,($H81-1+MIN(MAX(IFERROR(MATCH(LN(P$5),INDEX(Attenuation!$J:$J,$H81):INDEX(Attenuation!$J:$J,$H81+$I81-1),1),1),1),$I81-1))+1),INDEX(Attenuation!$J:$J,($H81-1+MIN(MAX(IFERROR(MATCH(LN(P$5),INDEX(Attenuation!$J:$J,$H81):INDEX(Attenuation!$J:$J,$H81+$I81-1),1),1),1),$I81-1))):INDEX(Attenuation!$J:$J,($H81-1+MIN(MAX(IFERROR(MATCH(LN(P$5),INDEX(Attenuation!$J:$J,$H81):INDEX(Attenuation!$J:$J,$H81+$I81-1),1),1),1),$I81-1))+1)))))</f>
        <v/>
      </c>
      <c r="Q81" s="12" t="str">
        <f>IF($A81="","",IF(Q$5&gt;2*$G81,"",EXP(FORECAST(LN(Q$5),INDEX(Attenuation!$K:$K,($H81-1+MIN(MAX(IFERROR(MATCH(LN(Q$5),INDEX(Attenuation!$J:$J,$H81):INDEX(Attenuation!$J:$J,$H81+$I81-1),1),1),1),$I81-1))):INDEX(Attenuation!$K:$K,($H81-1+MIN(MAX(IFERROR(MATCH(LN(Q$5),INDEX(Attenuation!$J:$J,$H81):INDEX(Attenuation!$J:$J,$H81+$I81-1),1),1),1),$I81-1))+1),INDEX(Attenuation!$J:$J,($H81-1+MIN(MAX(IFERROR(MATCH(LN(Q$5),INDEX(Attenuation!$J:$J,$H81):INDEX(Attenuation!$J:$J,$H81+$I81-1),1),1),1),$I81-1))):INDEX(Attenuation!$J:$J,($H81-1+MIN(MAX(IFERROR(MATCH(LN(Q$5),INDEX(Attenuation!$J:$J,$H81):INDEX(Attenuation!$J:$J,$H81+$I81-1),1),1),1),$I81-1))+1)))))</f>
        <v/>
      </c>
      <c r="R81" s="12" t="str">
        <f>IF($A81="","",IF(R$5&gt;2*$G81,"",EXP(FORECAST(LN(R$5),INDEX(Attenuation!$K:$K,($H81-1+MIN(MAX(IFERROR(MATCH(LN(R$5),INDEX(Attenuation!$J:$J,$H81):INDEX(Attenuation!$J:$J,$H81+$I81-1),1),1),1),$I81-1))):INDEX(Attenuation!$K:$K,($H81-1+MIN(MAX(IFERROR(MATCH(LN(R$5),INDEX(Attenuation!$J:$J,$H81):INDEX(Attenuation!$J:$J,$H81+$I81-1),1),1),1),$I81-1))+1),INDEX(Attenuation!$J:$J,($H81-1+MIN(MAX(IFERROR(MATCH(LN(R$5),INDEX(Attenuation!$J:$J,$H81):INDEX(Attenuation!$J:$J,$H81+$I81-1),1),1),1),$I81-1))):INDEX(Attenuation!$J:$J,($H81-1+MIN(MAX(IFERROR(MATCH(LN(R$5),INDEX(Attenuation!$J:$J,$H81):INDEX(Attenuation!$J:$J,$H81+$I81-1),1),1),1),$I81-1))+1)))))</f>
        <v/>
      </c>
      <c r="S81" s="12" t="str">
        <f>IF($A81="","",IF(S$5&gt;2*$G81,"",EXP(FORECAST(LN(S$5),INDEX(Attenuation!$K:$K,($H81-1+MIN(MAX(IFERROR(MATCH(LN(S$5),INDEX(Attenuation!$J:$J,$H81):INDEX(Attenuation!$J:$J,$H81+$I81-1),1),1),1),$I81-1))):INDEX(Attenuation!$K:$K,($H81-1+MIN(MAX(IFERROR(MATCH(LN(S$5),INDEX(Attenuation!$J:$J,$H81):INDEX(Attenuation!$J:$J,$H81+$I81-1),1),1),1),$I81-1))+1),INDEX(Attenuation!$J:$J,($H81-1+MIN(MAX(IFERROR(MATCH(LN(S$5),INDEX(Attenuation!$J:$J,$H81):INDEX(Attenuation!$J:$J,$H81+$I81-1),1),1),1),$I81-1))):INDEX(Attenuation!$J:$J,($H81-1+MIN(MAX(IFERROR(MATCH(LN(S$5),INDEX(Attenuation!$J:$J,$H81):INDEX(Attenuation!$J:$J,$H81+$I81-1),1),1),1),$I81-1))+1)))))</f>
        <v/>
      </c>
      <c r="T81" s="12" t="str">
        <f>IF($A81="","",IF(T$5&gt;2*$G81,"",EXP(FORECAST(LN(T$5),INDEX(Attenuation!$K:$K,($H81-1+MIN(MAX(IFERROR(MATCH(LN(T$5),INDEX(Attenuation!$J:$J,$H81):INDEX(Attenuation!$J:$J,$H81+$I81-1),1),1),1),$I81-1))):INDEX(Attenuation!$K:$K,($H81-1+MIN(MAX(IFERROR(MATCH(LN(T$5),INDEX(Attenuation!$J:$J,$H81):INDEX(Attenuation!$J:$J,$H81+$I81-1),1),1),1),$I81-1))+1),INDEX(Attenuation!$J:$J,($H81-1+MIN(MAX(IFERROR(MATCH(LN(T$5),INDEX(Attenuation!$J:$J,$H81):INDEX(Attenuation!$J:$J,$H81+$I81-1),1),1),1),$I81-1))):INDEX(Attenuation!$J:$J,($H81-1+MIN(MAX(IFERROR(MATCH(LN(T$5),INDEX(Attenuation!$J:$J,$H81):INDEX(Attenuation!$J:$J,$H81+$I81-1),1),1),1),$I81-1))+1)))))</f>
        <v/>
      </c>
      <c r="U81" s="12" t="str">
        <f>IF($A81="","",IF(U$5&gt;2*$G81,"",EXP(FORECAST(LN(U$5),INDEX(Attenuation!$K:$K,($H81-1+MIN(MAX(IFERROR(MATCH(LN(U$5),INDEX(Attenuation!$J:$J,$H81):INDEX(Attenuation!$J:$J,$H81+$I81-1),1),1),1),$I81-1))):INDEX(Attenuation!$K:$K,($H81-1+MIN(MAX(IFERROR(MATCH(LN(U$5),INDEX(Attenuation!$J:$J,$H81):INDEX(Attenuation!$J:$J,$H81+$I81-1),1),1),1),$I81-1))+1),INDEX(Attenuation!$J:$J,($H81-1+MIN(MAX(IFERROR(MATCH(LN(U$5),INDEX(Attenuation!$J:$J,$H81):INDEX(Attenuation!$J:$J,$H81+$I81-1),1),1),1),$I81-1))):INDEX(Attenuation!$J:$J,($H81-1+MIN(MAX(IFERROR(MATCH(LN(U$5),INDEX(Attenuation!$J:$J,$H81):INDEX(Attenuation!$J:$J,$H81+$I81-1),1),1),1),$I81-1))+1)))))</f>
        <v/>
      </c>
      <c r="V81" s="1"/>
      <c r="W81" s="12" t="str">
        <f t="shared" si="24"/>
        <v/>
      </c>
      <c r="X81" s="12" t="str">
        <f t="shared" si="25"/>
        <v/>
      </c>
      <c r="Y81" s="12" t="str">
        <f t="shared" si="26"/>
        <v/>
      </c>
      <c r="Z81" s="12" t="str">
        <f t="shared" si="27"/>
        <v/>
      </c>
      <c r="AA81" s="12" t="str">
        <f t="shared" si="28"/>
        <v/>
      </c>
      <c r="AB81" s="12" t="str">
        <f t="shared" si="29"/>
        <v/>
      </c>
      <c r="AC81" s="12" t="str">
        <f t="shared" si="30"/>
        <v/>
      </c>
      <c r="AD81" s="12" t="str">
        <f t="shared" si="31"/>
        <v/>
      </c>
      <c r="AE81" s="12" t="str">
        <f t="shared" si="32"/>
        <v/>
      </c>
      <c r="AF81" s="12" t="str">
        <f t="shared" si="33"/>
        <v/>
      </c>
      <c r="AG81" s="12" t="str">
        <f t="shared" si="34"/>
        <v/>
      </c>
      <c r="AH81" s="12" t="str">
        <f t="shared" si="35"/>
        <v/>
      </c>
    </row>
    <row r="82" spans="1:34" x14ac:dyDescent="0.25">
      <c r="A82" s="11" t="str">
        <f>IF(ROWS($A$6:A82)&gt;COUNTA(Cables!$A:$A)-1,"",INDEX(Cables!$A:$A,ROWS($A$6:A82)+1))</f>
        <v/>
      </c>
      <c r="B82" s="11" t="str">
        <f>IF($A82="","",IF(INDEX(Cables!$B:$B,MATCH($A82,Cables!$A:$A,0))="","",INDEX(Cables!$B:$B,MATCH($A82,Cables!$A:$A,0))))</f>
        <v/>
      </c>
      <c r="C82" s="11" t="str">
        <f>IF($A82="","",IF(INDEX(Cables!$F:$F,MATCH($A82,Cables!$A:$A,0))="","",INDEX(Cables!$F:$F,MATCH($A82,Cables!$A:$A,0))))</f>
        <v/>
      </c>
      <c r="D82" s="11" t="str">
        <f>IF($A82="","",IF(INDEX(Cables!$H:$H,MATCH($A82,Cables!$A:$A,0))="","",INDEX(Cables!$H:$H,MATCH($A82,Cables!$A:$A,0))))</f>
        <v/>
      </c>
      <c r="E82" s="12" t="str">
        <f>IF($A82="","",IF(INDEX(Cables!$Q:$Q,MATCH($A82,Cables!$A:$A,0))="","",INDEX(Cables!$Q:$Q,MATCH($A82,Cables!$A:$A,0))))</f>
        <v/>
      </c>
      <c r="F82" s="11" t="str">
        <f>IF($A82="","",IF(INDEX(Cables!$AQ:$AQ,MATCH($A82,Cables!$A:$A,0))="","",INDEX(Cables!$AQ:$AQ,MATCH($A82,Cables!$A:$A,0))))</f>
        <v/>
      </c>
      <c r="G82" s="11" t="str">
        <f>IF($A82="","",IF(INDEX(Cables!$AR:$AR,MATCH($A82,Cables!$A:$A,0))="","",INDEX(Cables!$AR:$AR,MATCH($A82,Cables!$A:$A,0))))</f>
        <v/>
      </c>
      <c r="H82" s="11" t="str">
        <f>IF($A82="","",IF(INDEX(Cables!$AO:$AO,MATCH($A82,Cables!$A:$A,0))="","",INDEX(Cables!$AO:$AO,MATCH($A82,Cables!$A:$A,0))))</f>
        <v/>
      </c>
      <c r="I82" s="11" t="str">
        <f>IF($A82="","",IF(INDEX(Cables!$AP:$AP,MATCH($A82,Cables!$A:$A,0))="","",INDEX(Cables!$AP:$AP,MATCH($A82,Cables!$A:$A,0))))</f>
        <v/>
      </c>
      <c r="J82" s="12" t="str">
        <f>IF($A82="","",IF(J$5&gt;2*$G82,"",EXP(FORECAST(LN(J$5),INDEX(Attenuation!$K:$K,($H82-1+MIN(MAX(IFERROR(MATCH(LN(J$5),INDEX(Attenuation!$J:$J,$H82):INDEX(Attenuation!$J:$J,$H82+$I82-1),1),1),1),$I82-1))):INDEX(Attenuation!$K:$K,($H82-1+MIN(MAX(IFERROR(MATCH(LN(J$5),INDEX(Attenuation!$J:$J,$H82):INDEX(Attenuation!$J:$J,$H82+$I82-1),1),1),1),$I82-1))+1),INDEX(Attenuation!$J:$J,($H82-1+MIN(MAX(IFERROR(MATCH(LN(J$5),INDEX(Attenuation!$J:$J,$H82):INDEX(Attenuation!$J:$J,$H82+$I82-1),1),1),1),$I82-1))):INDEX(Attenuation!$J:$J,($H82-1+MIN(MAX(IFERROR(MATCH(LN(J$5),INDEX(Attenuation!$J:$J,$H82):INDEX(Attenuation!$J:$J,$H82+$I82-1),1),1),1),$I82-1))+1)))))</f>
        <v/>
      </c>
      <c r="K82" s="12" t="str">
        <f>IF($A82="","",IF(K$5&gt;2*$G82,"",EXP(FORECAST(LN(K$5),INDEX(Attenuation!$K:$K,($H82-1+MIN(MAX(IFERROR(MATCH(LN(K$5),INDEX(Attenuation!$J:$J,$H82):INDEX(Attenuation!$J:$J,$H82+$I82-1),1),1),1),$I82-1))):INDEX(Attenuation!$K:$K,($H82-1+MIN(MAX(IFERROR(MATCH(LN(K$5),INDEX(Attenuation!$J:$J,$H82):INDEX(Attenuation!$J:$J,$H82+$I82-1),1),1),1),$I82-1))+1),INDEX(Attenuation!$J:$J,($H82-1+MIN(MAX(IFERROR(MATCH(LN(K$5),INDEX(Attenuation!$J:$J,$H82):INDEX(Attenuation!$J:$J,$H82+$I82-1),1),1),1),$I82-1))):INDEX(Attenuation!$J:$J,($H82-1+MIN(MAX(IFERROR(MATCH(LN(K$5),INDEX(Attenuation!$J:$J,$H82):INDEX(Attenuation!$J:$J,$H82+$I82-1),1),1),1),$I82-1))+1)))))</f>
        <v/>
      </c>
      <c r="L82" s="12" t="str">
        <f>IF($A82="","",IF(L$5&gt;2*$G82,"",EXP(FORECAST(LN(L$5),INDEX(Attenuation!$K:$K,($H82-1+MIN(MAX(IFERROR(MATCH(LN(L$5),INDEX(Attenuation!$J:$J,$H82):INDEX(Attenuation!$J:$J,$H82+$I82-1),1),1),1),$I82-1))):INDEX(Attenuation!$K:$K,($H82-1+MIN(MAX(IFERROR(MATCH(LN(L$5),INDEX(Attenuation!$J:$J,$H82):INDEX(Attenuation!$J:$J,$H82+$I82-1),1),1),1),$I82-1))+1),INDEX(Attenuation!$J:$J,($H82-1+MIN(MAX(IFERROR(MATCH(LN(L$5),INDEX(Attenuation!$J:$J,$H82):INDEX(Attenuation!$J:$J,$H82+$I82-1),1),1),1),$I82-1))):INDEX(Attenuation!$J:$J,($H82-1+MIN(MAX(IFERROR(MATCH(LN(L$5),INDEX(Attenuation!$J:$J,$H82):INDEX(Attenuation!$J:$J,$H82+$I82-1),1),1),1),$I82-1))+1)))))</f>
        <v/>
      </c>
      <c r="M82" s="12" t="str">
        <f>IF($A82="","",IF(M$5&gt;2*$G82,"",EXP(FORECAST(LN(M$5),INDEX(Attenuation!$K:$K,($H82-1+MIN(MAX(IFERROR(MATCH(LN(M$5),INDEX(Attenuation!$J:$J,$H82):INDEX(Attenuation!$J:$J,$H82+$I82-1),1),1),1),$I82-1))):INDEX(Attenuation!$K:$K,($H82-1+MIN(MAX(IFERROR(MATCH(LN(M$5),INDEX(Attenuation!$J:$J,$H82):INDEX(Attenuation!$J:$J,$H82+$I82-1),1),1),1),$I82-1))+1),INDEX(Attenuation!$J:$J,($H82-1+MIN(MAX(IFERROR(MATCH(LN(M$5),INDEX(Attenuation!$J:$J,$H82):INDEX(Attenuation!$J:$J,$H82+$I82-1),1),1),1),$I82-1))):INDEX(Attenuation!$J:$J,($H82-1+MIN(MAX(IFERROR(MATCH(LN(M$5),INDEX(Attenuation!$J:$J,$H82):INDEX(Attenuation!$J:$J,$H82+$I82-1),1),1),1),$I82-1))+1)))))</f>
        <v/>
      </c>
      <c r="N82" s="12" t="str">
        <f>IF($A82="","",IF(N$5&gt;2*$G82,"",EXP(FORECAST(LN(N$5),INDEX(Attenuation!$K:$K,($H82-1+MIN(MAX(IFERROR(MATCH(LN(N$5),INDEX(Attenuation!$J:$J,$H82):INDEX(Attenuation!$J:$J,$H82+$I82-1),1),1),1),$I82-1))):INDEX(Attenuation!$K:$K,($H82-1+MIN(MAX(IFERROR(MATCH(LN(N$5),INDEX(Attenuation!$J:$J,$H82):INDEX(Attenuation!$J:$J,$H82+$I82-1),1),1),1),$I82-1))+1),INDEX(Attenuation!$J:$J,($H82-1+MIN(MAX(IFERROR(MATCH(LN(N$5),INDEX(Attenuation!$J:$J,$H82):INDEX(Attenuation!$J:$J,$H82+$I82-1),1),1),1),$I82-1))):INDEX(Attenuation!$J:$J,($H82-1+MIN(MAX(IFERROR(MATCH(LN(N$5),INDEX(Attenuation!$J:$J,$H82):INDEX(Attenuation!$J:$J,$H82+$I82-1),1),1),1),$I82-1))+1)))))</f>
        <v/>
      </c>
      <c r="O82" s="12" t="str">
        <f>IF($A82="","",IF(O$5&gt;2*$G82,"",EXP(FORECAST(LN(O$5),INDEX(Attenuation!$K:$K,($H82-1+MIN(MAX(IFERROR(MATCH(LN(O$5),INDEX(Attenuation!$J:$J,$H82):INDEX(Attenuation!$J:$J,$H82+$I82-1),1),1),1),$I82-1))):INDEX(Attenuation!$K:$K,($H82-1+MIN(MAX(IFERROR(MATCH(LN(O$5),INDEX(Attenuation!$J:$J,$H82):INDEX(Attenuation!$J:$J,$H82+$I82-1),1),1),1),$I82-1))+1),INDEX(Attenuation!$J:$J,($H82-1+MIN(MAX(IFERROR(MATCH(LN(O$5),INDEX(Attenuation!$J:$J,$H82):INDEX(Attenuation!$J:$J,$H82+$I82-1),1),1),1),$I82-1))):INDEX(Attenuation!$J:$J,($H82-1+MIN(MAX(IFERROR(MATCH(LN(O$5),INDEX(Attenuation!$J:$J,$H82):INDEX(Attenuation!$J:$J,$H82+$I82-1),1),1),1),$I82-1))+1)))))</f>
        <v/>
      </c>
      <c r="P82" s="12" t="str">
        <f>IF($A82="","",IF(P$5&gt;2*$G82,"",EXP(FORECAST(LN(P$5),INDEX(Attenuation!$K:$K,($H82-1+MIN(MAX(IFERROR(MATCH(LN(P$5),INDEX(Attenuation!$J:$J,$H82):INDEX(Attenuation!$J:$J,$H82+$I82-1),1),1),1),$I82-1))):INDEX(Attenuation!$K:$K,($H82-1+MIN(MAX(IFERROR(MATCH(LN(P$5),INDEX(Attenuation!$J:$J,$H82):INDEX(Attenuation!$J:$J,$H82+$I82-1),1),1),1),$I82-1))+1),INDEX(Attenuation!$J:$J,($H82-1+MIN(MAX(IFERROR(MATCH(LN(P$5),INDEX(Attenuation!$J:$J,$H82):INDEX(Attenuation!$J:$J,$H82+$I82-1),1),1),1),$I82-1))):INDEX(Attenuation!$J:$J,($H82-1+MIN(MAX(IFERROR(MATCH(LN(P$5),INDEX(Attenuation!$J:$J,$H82):INDEX(Attenuation!$J:$J,$H82+$I82-1),1),1),1),$I82-1))+1)))))</f>
        <v/>
      </c>
      <c r="Q82" s="12" t="str">
        <f>IF($A82="","",IF(Q$5&gt;2*$G82,"",EXP(FORECAST(LN(Q$5),INDEX(Attenuation!$K:$K,($H82-1+MIN(MAX(IFERROR(MATCH(LN(Q$5),INDEX(Attenuation!$J:$J,$H82):INDEX(Attenuation!$J:$J,$H82+$I82-1),1),1),1),$I82-1))):INDEX(Attenuation!$K:$K,($H82-1+MIN(MAX(IFERROR(MATCH(LN(Q$5),INDEX(Attenuation!$J:$J,$H82):INDEX(Attenuation!$J:$J,$H82+$I82-1),1),1),1),$I82-1))+1),INDEX(Attenuation!$J:$J,($H82-1+MIN(MAX(IFERROR(MATCH(LN(Q$5),INDEX(Attenuation!$J:$J,$H82):INDEX(Attenuation!$J:$J,$H82+$I82-1),1),1),1),$I82-1))):INDEX(Attenuation!$J:$J,($H82-1+MIN(MAX(IFERROR(MATCH(LN(Q$5),INDEX(Attenuation!$J:$J,$H82):INDEX(Attenuation!$J:$J,$H82+$I82-1),1),1),1),$I82-1))+1)))))</f>
        <v/>
      </c>
      <c r="R82" s="12" t="str">
        <f>IF($A82="","",IF(R$5&gt;2*$G82,"",EXP(FORECAST(LN(R$5),INDEX(Attenuation!$K:$K,($H82-1+MIN(MAX(IFERROR(MATCH(LN(R$5),INDEX(Attenuation!$J:$J,$H82):INDEX(Attenuation!$J:$J,$H82+$I82-1),1),1),1),$I82-1))):INDEX(Attenuation!$K:$K,($H82-1+MIN(MAX(IFERROR(MATCH(LN(R$5),INDEX(Attenuation!$J:$J,$H82):INDEX(Attenuation!$J:$J,$H82+$I82-1),1),1),1),$I82-1))+1),INDEX(Attenuation!$J:$J,($H82-1+MIN(MAX(IFERROR(MATCH(LN(R$5),INDEX(Attenuation!$J:$J,$H82):INDEX(Attenuation!$J:$J,$H82+$I82-1),1),1),1),$I82-1))):INDEX(Attenuation!$J:$J,($H82-1+MIN(MAX(IFERROR(MATCH(LN(R$5),INDEX(Attenuation!$J:$J,$H82):INDEX(Attenuation!$J:$J,$H82+$I82-1),1),1),1),$I82-1))+1)))))</f>
        <v/>
      </c>
      <c r="S82" s="12" t="str">
        <f>IF($A82="","",IF(S$5&gt;2*$G82,"",EXP(FORECAST(LN(S$5),INDEX(Attenuation!$K:$K,($H82-1+MIN(MAX(IFERROR(MATCH(LN(S$5),INDEX(Attenuation!$J:$J,$H82):INDEX(Attenuation!$J:$J,$H82+$I82-1),1),1),1),$I82-1))):INDEX(Attenuation!$K:$K,($H82-1+MIN(MAX(IFERROR(MATCH(LN(S$5),INDEX(Attenuation!$J:$J,$H82):INDEX(Attenuation!$J:$J,$H82+$I82-1),1),1),1),$I82-1))+1),INDEX(Attenuation!$J:$J,($H82-1+MIN(MAX(IFERROR(MATCH(LN(S$5),INDEX(Attenuation!$J:$J,$H82):INDEX(Attenuation!$J:$J,$H82+$I82-1),1),1),1),$I82-1))):INDEX(Attenuation!$J:$J,($H82-1+MIN(MAX(IFERROR(MATCH(LN(S$5),INDEX(Attenuation!$J:$J,$H82):INDEX(Attenuation!$J:$J,$H82+$I82-1),1),1),1),$I82-1))+1)))))</f>
        <v/>
      </c>
      <c r="T82" s="12" t="str">
        <f>IF($A82="","",IF(T$5&gt;2*$G82,"",EXP(FORECAST(LN(T$5),INDEX(Attenuation!$K:$K,($H82-1+MIN(MAX(IFERROR(MATCH(LN(T$5),INDEX(Attenuation!$J:$J,$H82):INDEX(Attenuation!$J:$J,$H82+$I82-1),1),1),1),$I82-1))):INDEX(Attenuation!$K:$K,($H82-1+MIN(MAX(IFERROR(MATCH(LN(T$5),INDEX(Attenuation!$J:$J,$H82):INDEX(Attenuation!$J:$J,$H82+$I82-1),1),1),1),$I82-1))+1),INDEX(Attenuation!$J:$J,($H82-1+MIN(MAX(IFERROR(MATCH(LN(T$5),INDEX(Attenuation!$J:$J,$H82):INDEX(Attenuation!$J:$J,$H82+$I82-1),1),1),1),$I82-1))):INDEX(Attenuation!$J:$J,($H82-1+MIN(MAX(IFERROR(MATCH(LN(T$5),INDEX(Attenuation!$J:$J,$H82):INDEX(Attenuation!$J:$J,$H82+$I82-1),1),1),1),$I82-1))+1)))))</f>
        <v/>
      </c>
      <c r="U82" s="12" t="str">
        <f>IF($A82="","",IF(U$5&gt;2*$G82,"",EXP(FORECAST(LN(U$5),INDEX(Attenuation!$K:$K,($H82-1+MIN(MAX(IFERROR(MATCH(LN(U$5),INDEX(Attenuation!$J:$J,$H82):INDEX(Attenuation!$J:$J,$H82+$I82-1),1),1),1),$I82-1))):INDEX(Attenuation!$K:$K,($H82-1+MIN(MAX(IFERROR(MATCH(LN(U$5),INDEX(Attenuation!$J:$J,$H82):INDEX(Attenuation!$J:$J,$H82+$I82-1),1),1),1),$I82-1))+1),INDEX(Attenuation!$J:$J,($H82-1+MIN(MAX(IFERROR(MATCH(LN(U$5),INDEX(Attenuation!$J:$J,$H82):INDEX(Attenuation!$J:$J,$H82+$I82-1),1),1),1),$I82-1))):INDEX(Attenuation!$J:$J,($H82-1+MIN(MAX(IFERROR(MATCH(LN(U$5),INDEX(Attenuation!$J:$J,$H82):INDEX(Attenuation!$J:$J,$H82+$I82-1),1),1),1),$I82-1))+1)))))</f>
        <v/>
      </c>
      <c r="V82" s="1"/>
      <c r="W82" s="12" t="str">
        <f t="shared" si="24"/>
        <v/>
      </c>
      <c r="X82" s="12" t="str">
        <f t="shared" si="25"/>
        <v/>
      </c>
      <c r="Y82" s="12" t="str">
        <f t="shared" si="26"/>
        <v/>
      </c>
      <c r="Z82" s="12" t="str">
        <f t="shared" si="27"/>
        <v/>
      </c>
      <c r="AA82" s="12" t="str">
        <f t="shared" si="28"/>
        <v/>
      </c>
      <c r="AB82" s="12" t="str">
        <f t="shared" si="29"/>
        <v/>
      </c>
      <c r="AC82" s="12" t="str">
        <f t="shared" si="30"/>
        <v/>
      </c>
      <c r="AD82" s="12" t="str">
        <f t="shared" si="31"/>
        <v/>
      </c>
      <c r="AE82" s="12" t="str">
        <f t="shared" si="32"/>
        <v/>
      </c>
      <c r="AF82" s="12" t="str">
        <f t="shared" si="33"/>
        <v/>
      </c>
      <c r="AG82" s="12" t="str">
        <f t="shared" si="34"/>
        <v/>
      </c>
      <c r="AH82" s="12" t="str">
        <f t="shared" si="35"/>
        <v/>
      </c>
    </row>
    <row r="83" spans="1:34" x14ac:dyDescent="0.25">
      <c r="A83" s="11" t="str">
        <f>IF(ROWS($A$6:A83)&gt;COUNTA(Cables!$A:$A)-1,"",INDEX(Cables!$A:$A,ROWS($A$6:A83)+1))</f>
        <v/>
      </c>
      <c r="B83" s="11" t="str">
        <f>IF($A83="","",IF(INDEX(Cables!$B:$B,MATCH($A83,Cables!$A:$A,0))="","",INDEX(Cables!$B:$B,MATCH($A83,Cables!$A:$A,0))))</f>
        <v/>
      </c>
      <c r="C83" s="11" t="str">
        <f>IF($A83="","",IF(INDEX(Cables!$F:$F,MATCH($A83,Cables!$A:$A,0))="","",INDEX(Cables!$F:$F,MATCH($A83,Cables!$A:$A,0))))</f>
        <v/>
      </c>
      <c r="D83" s="11" t="str">
        <f>IF($A83="","",IF(INDEX(Cables!$H:$H,MATCH($A83,Cables!$A:$A,0))="","",INDEX(Cables!$H:$H,MATCH($A83,Cables!$A:$A,0))))</f>
        <v/>
      </c>
      <c r="E83" s="12" t="str">
        <f>IF($A83="","",IF(INDEX(Cables!$Q:$Q,MATCH($A83,Cables!$A:$A,0))="","",INDEX(Cables!$Q:$Q,MATCH($A83,Cables!$A:$A,0))))</f>
        <v/>
      </c>
      <c r="F83" s="11" t="str">
        <f>IF($A83="","",IF(INDEX(Cables!$AQ:$AQ,MATCH($A83,Cables!$A:$A,0))="","",INDEX(Cables!$AQ:$AQ,MATCH($A83,Cables!$A:$A,0))))</f>
        <v/>
      </c>
      <c r="G83" s="11" t="str">
        <f>IF($A83="","",IF(INDEX(Cables!$AR:$AR,MATCH($A83,Cables!$A:$A,0))="","",INDEX(Cables!$AR:$AR,MATCH($A83,Cables!$A:$A,0))))</f>
        <v/>
      </c>
      <c r="H83" s="11" t="str">
        <f>IF($A83="","",IF(INDEX(Cables!$AO:$AO,MATCH($A83,Cables!$A:$A,0))="","",INDEX(Cables!$AO:$AO,MATCH($A83,Cables!$A:$A,0))))</f>
        <v/>
      </c>
      <c r="I83" s="11" t="str">
        <f>IF($A83="","",IF(INDEX(Cables!$AP:$AP,MATCH($A83,Cables!$A:$A,0))="","",INDEX(Cables!$AP:$AP,MATCH($A83,Cables!$A:$A,0))))</f>
        <v/>
      </c>
      <c r="J83" s="12" t="str">
        <f>IF($A83="","",IF(J$5&gt;2*$G83,"",EXP(FORECAST(LN(J$5),INDEX(Attenuation!$K:$K,($H83-1+MIN(MAX(IFERROR(MATCH(LN(J$5),INDEX(Attenuation!$J:$J,$H83):INDEX(Attenuation!$J:$J,$H83+$I83-1),1),1),1),$I83-1))):INDEX(Attenuation!$K:$K,($H83-1+MIN(MAX(IFERROR(MATCH(LN(J$5),INDEX(Attenuation!$J:$J,$H83):INDEX(Attenuation!$J:$J,$H83+$I83-1),1),1),1),$I83-1))+1),INDEX(Attenuation!$J:$J,($H83-1+MIN(MAX(IFERROR(MATCH(LN(J$5),INDEX(Attenuation!$J:$J,$H83):INDEX(Attenuation!$J:$J,$H83+$I83-1),1),1),1),$I83-1))):INDEX(Attenuation!$J:$J,($H83-1+MIN(MAX(IFERROR(MATCH(LN(J$5),INDEX(Attenuation!$J:$J,$H83):INDEX(Attenuation!$J:$J,$H83+$I83-1),1),1),1),$I83-1))+1)))))</f>
        <v/>
      </c>
      <c r="K83" s="12" t="str">
        <f>IF($A83="","",IF(K$5&gt;2*$G83,"",EXP(FORECAST(LN(K$5),INDEX(Attenuation!$K:$K,($H83-1+MIN(MAX(IFERROR(MATCH(LN(K$5),INDEX(Attenuation!$J:$J,$H83):INDEX(Attenuation!$J:$J,$H83+$I83-1),1),1),1),$I83-1))):INDEX(Attenuation!$K:$K,($H83-1+MIN(MAX(IFERROR(MATCH(LN(K$5),INDEX(Attenuation!$J:$J,$H83):INDEX(Attenuation!$J:$J,$H83+$I83-1),1),1),1),$I83-1))+1),INDEX(Attenuation!$J:$J,($H83-1+MIN(MAX(IFERROR(MATCH(LN(K$5),INDEX(Attenuation!$J:$J,$H83):INDEX(Attenuation!$J:$J,$H83+$I83-1),1),1),1),$I83-1))):INDEX(Attenuation!$J:$J,($H83-1+MIN(MAX(IFERROR(MATCH(LN(K$5),INDEX(Attenuation!$J:$J,$H83):INDEX(Attenuation!$J:$J,$H83+$I83-1),1),1),1),$I83-1))+1)))))</f>
        <v/>
      </c>
      <c r="L83" s="12" t="str">
        <f>IF($A83="","",IF(L$5&gt;2*$G83,"",EXP(FORECAST(LN(L$5),INDEX(Attenuation!$K:$K,($H83-1+MIN(MAX(IFERROR(MATCH(LN(L$5),INDEX(Attenuation!$J:$J,$H83):INDEX(Attenuation!$J:$J,$H83+$I83-1),1),1),1),$I83-1))):INDEX(Attenuation!$K:$K,($H83-1+MIN(MAX(IFERROR(MATCH(LN(L$5),INDEX(Attenuation!$J:$J,$H83):INDEX(Attenuation!$J:$J,$H83+$I83-1),1),1),1),$I83-1))+1),INDEX(Attenuation!$J:$J,($H83-1+MIN(MAX(IFERROR(MATCH(LN(L$5),INDEX(Attenuation!$J:$J,$H83):INDEX(Attenuation!$J:$J,$H83+$I83-1),1),1),1),$I83-1))):INDEX(Attenuation!$J:$J,($H83-1+MIN(MAX(IFERROR(MATCH(LN(L$5),INDEX(Attenuation!$J:$J,$H83):INDEX(Attenuation!$J:$J,$H83+$I83-1),1),1),1),$I83-1))+1)))))</f>
        <v/>
      </c>
      <c r="M83" s="12" t="str">
        <f>IF($A83="","",IF(M$5&gt;2*$G83,"",EXP(FORECAST(LN(M$5),INDEX(Attenuation!$K:$K,($H83-1+MIN(MAX(IFERROR(MATCH(LN(M$5),INDEX(Attenuation!$J:$J,$H83):INDEX(Attenuation!$J:$J,$H83+$I83-1),1),1),1),$I83-1))):INDEX(Attenuation!$K:$K,($H83-1+MIN(MAX(IFERROR(MATCH(LN(M$5),INDEX(Attenuation!$J:$J,$H83):INDEX(Attenuation!$J:$J,$H83+$I83-1),1),1),1),$I83-1))+1),INDEX(Attenuation!$J:$J,($H83-1+MIN(MAX(IFERROR(MATCH(LN(M$5),INDEX(Attenuation!$J:$J,$H83):INDEX(Attenuation!$J:$J,$H83+$I83-1),1),1),1),$I83-1))):INDEX(Attenuation!$J:$J,($H83-1+MIN(MAX(IFERROR(MATCH(LN(M$5),INDEX(Attenuation!$J:$J,$H83):INDEX(Attenuation!$J:$J,$H83+$I83-1),1),1),1),$I83-1))+1)))))</f>
        <v/>
      </c>
      <c r="N83" s="12" t="str">
        <f>IF($A83="","",IF(N$5&gt;2*$G83,"",EXP(FORECAST(LN(N$5),INDEX(Attenuation!$K:$K,($H83-1+MIN(MAX(IFERROR(MATCH(LN(N$5),INDEX(Attenuation!$J:$J,$H83):INDEX(Attenuation!$J:$J,$H83+$I83-1),1),1),1),$I83-1))):INDEX(Attenuation!$K:$K,($H83-1+MIN(MAX(IFERROR(MATCH(LN(N$5),INDEX(Attenuation!$J:$J,$H83):INDEX(Attenuation!$J:$J,$H83+$I83-1),1),1),1),$I83-1))+1),INDEX(Attenuation!$J:$J,($H83-1+MIN(MAX(IFERROR(MATCH(LN(N$5),INDEX(Attenuation!$J:$J,$H83):INDEX(Attenuation!$J:$J,$H83+$I83-1),1),1),1),$I83-1))):INDEX(Attenuation!$J:$J,($H83-1+MIN(MAX(IFERROR(MATCH(LN(N$5),INDEX(Attenuation!$J:$J,$H83):INDEX(Attenuation!$J:$J,$H83+$I83-1),1),1),1),$I83-1))+1)))))</f>
        <v/>
      </c>
      <c r="O83" s="12" t="str">
        <f>IF($A83="","",IF(O$5&gt;2*$G83,"",EXP(FORECAST(LN(O$5),INDEX(Attenuation!$K:$K,($H83-1+MIN(MAX(IFERROR(MATCH(LN(O$5),INDEX(Attenuation!$J:$J,$H83):INDEX(Attenuation!$J:$J,$H83+$I83-1),1),1),1),$I83-1))):INDEX(Attenuation!$K:$K,($H83-1+MIN(MAX(IFERROR(MATCH(LN(O$5),INDEX(Attenuation!$J:$J,$H83):INDEX(Attenuation!$J:$J,$H83+$I83-1),1),1),1),$I83-1))+1),INDEX(Attenuation!$J:$J,($H83-1+MIN(MAX(IFERROR(MATCH(LN(O$5),INDEX(Attenuation!$J:$J,$H83):INDEX(Attenuation!$J:$J,$H83+$I83-1),1),1),1),$I83-1))):INDEX(Attenuation!$J:$J,($H83-1+MIN(MAX(IFERROR(MATCH(LN(O$5),INDEX(Attenuation!$J:$J,$H83):INDEX(Attenuation!$J:$J,$H83+$I83-1),1),1),1),$I83-1))+1)))))</f>
        <v/>
      </c>
      <c r="P83" s="12" t="str">
        <f>IF($A83="","",IF(P$5&gt;2*$G83,"",EXP(FORECAST(LN(P$5),INDEX(Attenuation!$K:$K,($H83-1+MIN(MAX(IFERROR(MATCH(LN(P$5),INDEX(Attenuation!$J:$J,$H83):INDEX(Attenuation!$J:$J,$H83+$I83-1),1),1),1),$I83-1))):INDEX(Attenuation!$K:$K,($H83-1+MIN(MAX(IFERROR(MATCH(LN(P$5),INDEX(Attenuation!$J:$J,$H83):INDEX(Attenuation!$J:$J,$H83+$I83-1),1),1),1),$I83-1))+1),INDEX(Attenuation!$J:$J,($H83-1+MIN(MAX(IFERROR(MATCH(LN(P$5),INDEX(Attenuation!$J:$J,$H83):INDEX(Attenuation!$J:$J,$H83+$I83-1),1),1),1),$I83-1))):INDEX(Attenuation!$J:$J,($H83-1+MIN(MAX(IFERROR(MATCH(LN(P$5),INDEX(Attenuation!$J:$J,$H83):INDEX(Attenuation!$J:$J,$H83+$I83-1),1),1),1),$I83-1))+1)))))</f>
        <v/>
      </c>
      <c r="Q83" s="12" t="str">
        <f>IF($A83="","",IF(Q$5&gt;2*$G83,"",EXP(FORECAST(LN(Q$5),INDEX(Attenuation!$K:$K,($H83-1+MIN(MAX(IFERROR(MATCH(LN(Q$5),INDEX(Attenuation!$J:$J,$H83):INDEX(Attenuation!$J:$J,$H83+$I83-1),1),1),1),$I83-1))):INDEX(Attenuation!$K:$K,($H83-1+MIN(MAX(IFERROR(MATCH(LN(Q$5),INDEX(Attenuation!$J:$J,$H83):INDEX(Attenuation!$J:$J,$H83+$I83-1),1),1),1),$I83-1))+1),INDEX(Attenuation!$J:$J,($H83-1+MIN(MAX(IFERROR(MATCH(LN(Q$5),INDEX(Attenuation!$J:$J,$H83):INDEX(Attenuation!$J:$J,$H83+$I83-1),1),1),1),$I83-1))):INDEX(Attenuation!$J:$J,($H83-1+MIN(MAX(IFERROR(MATCH(LN(Q$5),INDEX(Attenuation!$J:$J,$H83):INDEX(Attenuation!$J:$J,$H83+$I83-1),1),1),1),$I83-1))+1)))))</f>
        <v/>
      </c>
      <c r="R83" s="12" t="str">
        <f>IF($A83="","",IF(R$5&gt;2*$G83,"",EXP(FORECAST(LN(R$5),INDEX(Attenuation!$K:$K,($H83-1+MIN(MAX(IFERROR(MATCH(LN(R$5),INDEX(Attenuation!$J:$J,$H83):INDEX(Attenuation!$J:$J,$H83+$I83-1),1),1),1),$I83-1))):INDEX(Attenuation!$K:$K,($H83-1+MIN(MAX(IFERROR(MATCH(LN(R$5),INDEX(Attenuation!$J:$J,$H83):INDEX(Attenuation!$J:$J,$H83+$I83-1),1),1),1),$I83-1))+1),INDEX(Attenuation!$J:$J,($H83-1+MIN(MAX(IFERROR(MATCH(LN(R$5),INDEX(Attenuation!$J:$J,$H83):INDEX(Attenuation!$J:$J,$H83+$I83-1),1),1),1),$I83-1))):INDEX(Attenuation!$J:$J,($H83-1+MIN(MAX(IFERROR(MATCH(LN(R$5),INDEX(Attenuation!$J:$J,$H83):INDEX(Attenuation!$J:$J,$H83+$I83-1),1),1),1),$I83-1))+1)))))</f>
        <v/>
      </c>
      <c r="S83" s="12" t="str">
        <f>IF($A83="","",IF(S$5&gt;2*$G83,"",EXP(FORECAST(LN(S$5),INDEX(Attenuation!$K:$K,($H83-1+MIN(MAX(IFERROR(MATCH(LN(S$5),INDEX(Attenuation!$J:$J,$H83):INDEX(Attenuation!$J:$J,$H83+$I83-1),1),1),1),$I83-1))):INDEX(Attenuation!$K:$K,($H83-1+MIN(MAX(IFERROR(MATCH(LN(S$5),INDEX(Attenuation!$J:$J,$H83):INDEX(Attenuation!$J:$J,$H83+$I83-1),1),1),1),$I83-1))+1),INDEX(Attenuation!$J:$J,($H83-1+MIN(MAX(IFERROR(MATCH(LN(S$5),INDEX(Attenuation!$J:$J,$H83):INDEX(Attenuation!$J:$J,$H83+$I83-1),1),1),1),$I83-1))):INDEX(Attenuation!$J:$J,($H83-1+MIN(MAX(IFERROR(MATCH(LN(S$5),INDEX(Attenuation!$J:$J,$H83):INDEX(Attenuation!$J:$J,$H83+$I83-1),1),1),1),$I83-1))+1)))))</f>
        <v/>
      </c>
      <c r="T83" s="12" t="str">
        <f>IF($A83="","",IF(T$5&gt;2*$G83,"",EXP(FORECAST(LN(T$5),INDEX(Attenuation!$K:$K,($H83-1+MIN(MAX(IFERROR(MATCH(LN(T$5),INDEX(Attenuation!$J:$J,$H83):INDEX(Attenuation!$J:$J,$H83+$I83-1),1),1),1),$I83-1))):INDEX(Attenuation!$K:$K,($H83-1+MIN(MAX(IFERROR(MATCH(LN(T$5),INDEX(Attenuation!$J:$J,$H83):INDEX(Attenuation!$J:$J,$H83+$I83-1),1),1),1),$I83-1))+1),INDEX(Attenuation!$J:$J,($H83-1+MIN(MAX(IFERROR(MATCH(LN(T$5),INDEX(Attenuation!$J:$J,$H83):INDEX(Attenuation!$J:$J,$H83+$I83-1),1),1),1),$I83-1))):INDEX(Attenuation!$J:$J,($H83-1+MIN(MAX(IFERROR(MATCH(LN(T$5),INDEX(Attenuation!$J:$J,$H83):INDEX(Attenuation!$J:$J,$H83+$I83-1),1),1),1),$I83-1))+1)))))</f>
        <v/>
      </c>
      <c r="U83" s="12" t="str">
        <f>IF($A83="","",IF(U$5&gt;2*$G83,"",EXP(FORECAST(LN(U$5),INDEX(Attenuation!$K:$K,($H83-1+MIN(MAX(IFERROR(MATCH(LN(U$5),INDEX(Attenuation!$J:$J,$H83):INDEX(Attenuation!$J:$J,$H83+$I83-1),1),1),1),$I83-1))):INDEX(Attenuation!$K:$K,($H83-1+MIN(MAX(IFERROR(MATCH(LN(U$5),INDEX(Attenuation!$J:$J,$H83):INDEX(Attenuation!$J:$J,$H83+$I83-1),1),1),1),$I83-1))+1),INDEX(Attenuation!$J:$J,($H83-1+MIN(MAX(IFERROR(MATCH(LN(U$5),INDEX(Attenuation!$J:$J,$H83):INDEX(Attenuation!$J:$J,$H83+$I83-1),1),1),1),$I83-1))):INDEX(Attenuation!$J:$J,($H83-1+MIN(MAX(IFERROR(MATCH(LN(U$5),INDEX(Attenuation!$J:$J,$H83):INDEX(Attenuation!$J:$J,$H83+$I83-1),1),1),1),$I83-1))+1)))))</f>
        <v/>
      </c>
      <c r="V83" s="1"/>
      <c r="W83" s="12" t="str">
        <f t="shared" si="24"/>
        <v/>
      </c>
      <c r="X83" s="12" t="str">
        <f t="shared" si="25"/>
        <v/>
      </c>
      <c r="Y83" s="12" t="str">
        <f t="shared" si="26"/>
        <v/>
      </c>
      <c r="Z83" s="12" t="str">
        <f t="shared" si="27"/>
        <v/>
      </c>
      <c r="AA83" s="12" t="str">
        <f t="shared" si="28"/>
        <v/>
      </c>
      <c r="AB83" s="12" t="str">
        <f t="shared" si="29"/>
        <v/>
      </c>
      <c r="AC83" s="12" t="str">
        <f t="shared" si="30"/>
        <v/>
      </c>
      <c r="AD83" s="12" t="str">
        <f t="shared" si="31"/>
        <v/>
      </c>
      <c r="AE83" s="12" t="str">
        <f t="shared" si="32"/>
        <v/>
      </c>
      <c r="AF83" s="12" t="str">
        <f t="shared" si="33"/>
        <v/>
      </c>
      <c r="AG83" s="12" t="str">
        <f t="shared" si="34"/>
        <v/>
      </c>
      <c r="AH83" s="12" t="str">
        <f t="shared" si="35"/>
        <v/>
      </c>
    </row>
    <row r="84" spans="1:34" x14ac:dyDescent="0.25">
      <c r="A84" s="11" t="str">
        <f>IF(ROWS($A$6:A84)&gt;COUNTA(Cables!$A:$A)-1,"",INDEX(Cables!$A:$A,ROWS($A$6:A84)+1))</f>
        <v/>
      </c>
      <c r="B84" s="11" t="str">
        <f>IF($A84="","",IF(INDEX(Cables!$B:$B,MATCH($A84,Cables!$A:$A,0))="","",INDEX(Cables!$B:$B,MATCH($A84,Cables!$A:$A,0))))</f>
        <v/>
      </c>
      <c r="C84" s="11" t="str">
        <f>IF($A84="","",IF(INDEX(Cables!$F:$F,MATCH($A84,Cables!$A:$A,0))="","",INDEX(Cables!$F:$F,MATCH($A84,Cables!$A:$A,0))))</f>
        <v/>
      </c>
      <c r="D84" s="11" t="str">
        <f>IF($A84="","",IF(INDEX(Cables!$H:$H,MATCH($A84,Cables!$A:$A,0))="","",INDEX(Cables!$H:$H,MATCH($A84,Cables!$A:$A,0))))</f>
        <v/>
      </c>
      <c r="E84" s="12" t="str">
        <f>IF($A84="","",IF(INDEX(Cables!$Q:$Q,MATCH($A84,Cables!$A:$A,0))="","",INDEX(Cables!$Q:$Q,MATCH($A84,Cables!$A:$A,0))))</f>
        <v/>
      </c>
      <c r="F84" s="11" t="str">
        <f>IF($A84="","",IF(INDEX(Cables!$AQ:$AQ,MATCH($A84,Cables!$A:$A,0))="","",INDEX(Cables!$AQ:$AQ,MATCH($A84,Cables!$A:$A,0))))</f>
        <v/>
      </c>
      <c r="G84" s="11" t="str">
        <f>IF($A84="","",IF(INDEX(Cables!$AR:$AR,MATCH($A84,Cables!$A:$A,0))="","",INDEX(Cables!$AR:$AR,MATCH($A84,Cables!$A:$A,0))))</f>
        <v/>
      </c>
      <c r="H84" s="11" t="str">
        <f>IF($A84="","",IF(INDEX(Cables!$AO:$AO,MATCH($A84,Cables!$A:$A,0))="","",INDEX(Cables!$AO:$AO,MATCH($A84,Cables!$A:$A,0))))</f>
        <v/>
      </c>
      <c r="I84" s="11" t="str">
        <f>IF($A84="","",IF(INDEX(Cables!$AP:$AP,MATCH($A84,Cables!$A:$A,0))="","",INDEX(Cables!$AP:$AP,MATCH($A84,Cables!$A:$A,0))))</f>
        <v/>
      </c>
      <c r="J84" s="12" t="str">
        <f>IF($A84="","",IF(J$5&gt;2*$G84,"",EXP(FORECAST(LN(J$5),INDEX(Attenuation!$K:$K,($H84-1+MIN(MAX(IFERROR(MATCH(LN(J$5),INDEX(Attenuation!$J:$J,$H84):INDEX(Attenuation!$J:$J,$H84+$I84-1),1),1),1),$I84-1))):INDEX(Attenuation!$K:$K,($H84-1+MIN(MAX(IFERROR(MATCH(LN(J$5),INDEX(Attenuation!$J:$J,$H84):INDEX(Attenuation!$J:$J,$H84+$I84-1),1),1),1),$I84-1))+1),INDEX(Attenuation!$J:$J,($H84-1+MIN(MAX(IFERROR(MATCH(LN(J$5),INDEX(Attenuation!$J:$J,$H84):INDEX(Attenuation!$J:$J,$H84+$I84-1),1),1),1),$I84-1))):INDEX(Attenuation!$J:$J,($H84-1+MIN(MAX(IFERROR(MATCH(LN(J$5),INDEX(Attenuation!$J:$J,$H84):INDEX(Attenuation!$J:$J,$H84+$I84-1),1),1),1),$I84-1))+1)))))</f>
        <v/>
      </c>
      <c r="K84" s="12" t="str">
        <f>IF($A84="","",IF(K$5&gt;2*$G84,"",EXP(FORECAST(LN(K$5),INDEX(Attenuation!$K:$K,($H84-1+MIN(MAX(IFERROR(MATCH(LN(K$5),INDEX(Attenuation!$J:$J,$H84):INDEX(Attenuation!$J:$J,$H84+$I84-1),1),1),1),$I84-1))):INDEX(Attenuation!$K:$K,($H84-1+MIN(MAX(IFERROR(MATCH(LN(K$5),INDEX(Attenuation!$J:$J,$H84):INDEX(Attenuation!$J:$J,$H84+$I84-1),1),1),1),$I84-1))+1),INDEX(Attenuation!$J:$J,($H84-1+MIN(MAX(IFERROR(MATCH(LN(K$5),INDEX(Attenuation!$J:$J,$H84):INDEX(Attenuation!$J:$J,$H84+$I84-1),1),1),1),$I84-1))):INDEX(Attenuation!$J:$J,($H84-1+MIN(MAX(IFERROR(MATCH(LN(K$5),INDEX(Attenuation!$J:$J,$H84):INDEX(Attenuation!$J:$J,$H84+$I84-1),1),1),1),$I84-1))+1)))))</f>
        <v/>
      </c>
      <c r="L84" s="12" t="str">
        <f>IF($A84="","",IF(L$5&gt;2*$G84,"",EXP(FORECAST(LN(L$5),INDEX(Attenuation!$K:$K,($H84-1+MIN(MAX(IFERROR(MATCH(LN(L$5),INDEX(Attenuation!$J:$J,$H84):INDEX(Attenuation!$J:$J,$H84+$I84-1),1),1),1),$I84-1))):INDEX(Attenuation!$K:$K,($H84-1+MIN(MAX(IFERROR(MATCH(LN(L$5),INDEX(Attenuation!$J:$J,$H84):INDEX(Attenuation!$J:$J,$H84+$I84-1),1),1),1),$I84-1))+1),INDEX(Attenuation!$J:$J,($H84-1+MIN(MAX(IFERROR(MATCH(LN(L$5),INDEX(Attenuation!$J:$J,$H84):INDEX(Attenuation!$J:$J,$H84+$I84-1),1),1),1),$I84-1))):INDEX(Attenuation!$J:$J,($H84-1+MIN(MAX(IFERROR(MATCH(LN(L$5),INDEX(Attenuation!$J:$J,$H84):INDEX(Attenuation!$J:$J,$H84+$I84-1),1),1),1),$I84-1))+1)))))</f>
        <v/>
      </c>
      <c r="M84" s="12" t="str">
        <f>IF($A84="","",IF(M$5&gt;2*$G84,"",EXP(FORECAST(LN(M$5),INDEX(Attenuation!$K:$K,($H84-1+MIN(MAX(IFERROR(MATCH(LN(M$5),INDEX(Attenuation!$J:$J,$H84):INDEX(Attenuation!$J:$J,$H84+$I84-1),1),1),1),$I84-1))):INDEX(Attenuation!$K:$K,($H84-1+MIN(MAX(IFERROR(MATCH(LN(M$5),INDEX(Attenuation!$J:$J,$H84):INDEX(Attenuation!$J:$J,$H84+$I84-1),1),1),1),$I84-1))+1),INDEX(Attenuation!$J:$J,($H84-1+MIN(MAX(IFERROR(MATCH(LN(M$5),INDEX(Attenuation!$J:$J,$H84):INDEX(Attenuation!$J:$J,$H84+$I84-1),1),1),1),$I84-1))):INDEX(Attenuation!$J:$J,($H84-1+MIN(MAX(IFERROR(MATCH(LN(M$5),INDEX(Attenuation!$J:$J,$H84):INDEX(Attenuation!$J:$J,$H84+$I84-1),1),1),1),$I84-1))+1)))))</f>
        <v/>
      </c>
      <c r="N84" s="12" t="str">
        <f>IF($A84="","",IF(N$5&gt;2*$G84,"",EXP(FORECAST(LN(N$5),INDEX(Attenuation!$K:$K,($H84-1+MIN(MAX(IFERROR(MATCH(LN(N$5),INDEX(Attenuation!$J:$J,$H84):INDEX(Attenuation!$J:$J,$H84+$I84-1),1),1),1),$I84-1))):INDEX(Attenuation!$K:$K,($H84-1+MIN(MAX(IFERROR(MATCH(LN(N$5),INDEX(Attenuation!$J:$J,$H84):INDEX(Attenuation!$J:$J,$H84+$I84-1),1),1),1),$I84-1))+1),INDEX(Attenuation!$J:$J,($H84-1+MIN(MAX(IFERROR(MATCH(LN(N$5),INDEX(Attenuation!$J:$J,$H84):INDEX(Attenuation!$J:$J,$H84+$I84-1),1),1),1),$I84-1))):INDEX(Attenuation!$J:$J,($H84-1+MIN(MAX(IFERROR(MATCH(LN(N$5),INDEX(Attenuation!$J:$J,$H84):INDEX(Attenuation!$J:$J,$H84+$I84-1),1),1),1),$I84-1))+1)))))</f>
        <v/>
      </c>
      <c r="O84" s="12" t="str">
        <f>IF($A84="","",IF(O$5&gt;2*$G84,"",EXP(FORECAST(LN(O$5),INDEX(Attenuation!$K:$K,($H84-1+MIN(MAX(IFERROR(MATCH(LN(O$5),INDEX(Attenuation!$J:$J,$H84):INDEX(Attenuation!$J:$J,$H84+$I84-1),1),1),1),$I84-1))):INDEX(Attenuation!$K:$K,($H84-1+MIN(MAX(IFERROR(MATCH(LN(O$5),INDEX(Attenuation!$J:$J,$H84):INDEX(Attenuation!$J:$J,$H84+$I84-1),1),1),1),$I84-1))+1),INDEX(Attenuation!$J:$J,($H84-1+MIN(MAX(IFERROR(MATCH(LN(O$5),INDEX(Attenuation!$J:$J,$H84):INDEX(Attenuation!$J:$J,$H84+$I84-1),1),1),1),$I84-1))):INDEX(Attenuation!$J:$J,($H84-1+MIN(MAX(IFERROR(MATCH(LN(O$5),INDEX(Attenuation!$J:$J,$H84):INDEX(Attenuation!$J:$J,$H84+$I84-1),1),1),1),$I84-1))+1)))))</f>
        <v/>
      </c>
      <c r="P84" s="12" t="str">
        <f>IF($A84="","",IF(P$5&gt;2*$G84,"",EXP(FORECAST(LN(P$5),INDEX(Attenuation!$K:$K,($H84-1+MIN(MAX(IFERROR(MATCH(LN(P$5),INDEX(Attenuation!$J:$J,$H84):INDEX(Attenuation!$J:$J,$H84+$I84-1),1),1),1),$I84-1))):INDEX(Attenuation!$K:$K,($H84-1+MIN(MAX(IFERROR(MATCH(LN(P$5),INDEX(Attenuation!$J:$J,$H84):INDEX(Attenuation!$J:$J,$H84+$I84-1),1),1),1),$I84-1))+1),INDEX(Attenuation!$J:$J,($H84-1+MIN(MAX(IFERROR(MATCH(LN(P$5),INDEX(Attenuation!$J:$J,$H84):INDEX(Attenuation!$J:$J,$H84+$I84-1),1),1),1),$I84-1))):INDEX(Attenuation!$J:$J,($H84-1+MIN(MAX(IFERROR(MATCH(LN(P$5),INDEX(Attenuation!$J:$J,$H84):INDEX(Attenuation!$J:$J,$H84+$I84-1),1),1),1),$I84-1))+1)))))</f>
        <v/>
      </c>
      <c r="Q84" s="12" t="str">
        <f>IF($A84="","",IF(Q$5&gt;2*$G84,"",EXP(FORECAST(LN(Q$5),INDEX(Attenuation!$K:$K,($H84-1+MIN(MAX(IFERROR(MATCH(LN(Q$5),INDEX(Attenuation!$J:$J,$H84):INDEX(Attenuation!$J:$J,$H84+$I84-1),1),1),1),$I84-1))):INDEX(Attenuation!$K:$K,($H84-1+MIN(MAX(IFERROR(MATCH(LN(Q$5),INDEX(Attenuation!$J:$J,$H84):INDEX(Attenuation!$J:$J,$H84+$I84-1),1),1),1),$I84-1))+1),INDEX(Attenuation!$J:$J,($H84-1+MIN(MAX(IFERROR(MATCH(LN(Q$5),INDEX(Attenuation!$J:$J,$H84):INDEX(Attenuation!$J:$J,$H84+$I84-1),1),1),1),$I84-1))):INDEX(Attenuation!$J:$J,($H84-1+MIN(MAX(IFERROR(MATCH(LN(Q$5),INDEX(Attenuation!$J:$J,$H84):INDEX(Attenuation!$J:$J,$H84+$I84-1),1),1),1),$I84-1))+1)))))</f>
        <v/>
      </c>
      <c r="R84" s="12" t="str">
        <f>IF($A84="","",IF(R$5&gt;2*$G84,"",EXP(FORECAST(LN(R$5),INDEX(Attenuation!$K:$K,($H84-1+MIN(MAX(IFERROR(MATCH(LN(R$5),INDEX(Attenuation!$J:$J,$H84):INDEX(Attenuation!$J:$J,$H84+$I84-1),1),1),1),$I84-1))):INDEX(Attenuation!$K:$K,($H84-1+MIN(MAX(IFERROR(MATCH(LN(R$5),INDEX(Attenuation!$J:$J,$H84):INDEX(Attenuation!$J:$J,$H84+$I84-1),1),1),1),$I84-1))+1),INDEX(Attenuation!$J:$J,($H84-1+MIN(MAX(IFERROR(MATCH(LN(R$5),INDEX(Attenuation!$J:$J,$H84):INDEX(Attenuation!$J:$J,$H84+$I84-1),1),1),1),$I84-1))):INDEX(Attenuation!$J:$J,($H84-1+MIN(MAX(IFERROR(MATCH(LN(R$5),INDEX(Attenuation!$J:$J,$H84):INDEX(Attenuation!$J:$J,$H84+$I84-1),1),1),1),$I84-1))+1)))))</f>
        <v/>
      </c>
      <c r="S84" s="12" t="str">
        <f>IF($A84="","",IF(S$5&gt;2*$G84,"",EXP(FORECAST(LN(S$5),INDEX(Attenuation!$K:$K,($H84-1+MIN(MAX(IFERROR(MATCH(LN(S$5),INDEX(Attenuation!$J:$J,$H84):INDEX(Attenuation!$J:$J,$H84+$I84-1),1),1),1),$I84-1))):INDEX(Attenuation!$K:$K,($H84-1+MIN(MAX(IFERROR(MATCH(LN(S$5),INDEX(Attenuation!$J:$J,$H84):INDEX(Attenuation!$J:$J,$H84+$I84-1),1),1),1),$I84-1))+1),INDEX(Attenuation!$J:$J,($H84-1+MIN(MAX(IFERROR(MATCH(LN(S$5),INDEX(Attenuation!$J:$J,$H84):INDEX(Attenuation!$J:$J,$H84+$I84-1),1),1),1),$I84-1))):INDEX(Attenuation!$J:$J,($H84-1+MIN(MAX(IFERROR(MATCH(LN(S$5),INDEX(Attenuation!$J:$J,$H84):INDEX(Attenuation!$J:$J,$H84+$I84-1),1),1),1),$I84-1))+1)))))</f>
        <v/>
      </c>
      <c r="T84" s="12" t="str">
        <f>IF($A84="","",IF(T$5&gt;2*$G84,"",EXP(FORECAST(LN(T$5),INDEX(Attenuation!$K:$K,($H84-1+MIN(MAX(IFERROR(MATCH(LN(T$5),INDEX(Attenuation!$J:$J,$H84):INDEX(Attenuation!$J:$J,$H84+$I84-1),1),1),1),$I84-1))):INDEX(Attenuation!$K:$K,($H84-1+MIN(MAX(IFERROR(MATCH(LN(T$5),INDEX(Attenuation!$J:$J,$H84):INDEX(Attenuation!$J:$J,$H84+$I84-1),1),1),1),$I84-1))+1),INDEX(Attenuation!$J:$J,($H84-1+MIN(MAX(IFERROR(MATCH(LN(T$5),INDEX(Attenuation!$J:$J,$H84):INDEX(Attenuation!$J:$J,$H84+$I84-1),1),1),1),$I84-1))):INDEX(Attenuation!$J:$J,($H84-1+MIN(MAX(IFERROR(MATCH(LN(T$5),INDEX(Attenuation!$J:$J,$H84):INDEX(Attenuation!$J:$J,$H84+$I84-1),1),1),1),$I84-1))+1)))))</f>
        <v/>
      </c>
      <c r="U84" s="12" t="str">
        <f>IF($A84="","",IF(U$5&gt;2*$G84,"",EXP(FORECAST(LN(U$5),INDEX(Attenuation!$K:$K,($H84-1+MIN(MAX(IFERROR(MATCH(LN(U$5),INDEX(Attenuation!$J:$J,$H84):INDEX(Attenuation!$J:$J,$H84+$I84-1),1),1),1),$I84-1))):INDEX(Attenuation!$K:$K,($H84-1+MIN(MAX(IFERROR(MATCH(LN(U$5),INDEX(Attenuation!$J:$J,$H84):INDEX(Attenuation!$J:$J,$H84+$I84-1),1),1),1),$I84-1))+1),INDEX(Attenuation!$J:$J,($H84-1+MIN(MAX(IFERROR(MATCH(LN(U$5),INDEX(Attenuation!$J:$J,$H84):INDEX(Attenuation!$J:$J,$H84+$I84-1),1),1),1),$I84-1))):INDEX(Attenuation!$J:$J,($H84-1+MIN(MAX(IFERROR(MATCH(LN(U$5),INDEX(Attenuation!$J:$J,$H84):INDEX(Attenuation!$J:$J,$H84+$I84-1),1),1),1),$I84-1))+1)))))</f>
        <v/>
      </c>
      <c r="V84" s="1"/>
      <c r="W84" s="12" t="str">
        <f t="shared" si="24"/>
        <v/>
      </c>
      <c r="X84" s="12" t="str">
        <f t="shared" si="25"/>
        <v/>
      </c>
      <c r="Y84" s="12" t="str">
        <f t="shared" si="26"/>
        <v/>
      </c>
      <c r="Z84" s="12" t="str">
        <f t="shared" si="27"/>
        <v/>
      </c>
      <c r="AA84" s="12" t="str">
        <f t="shared" si="28"/>
        <v/>
      </c>
      <c r="AB84" s="12" t="str">
        <f t="shared" si="29"/>
        <v/>
      </c>
      <c r="AC84" s="12" t="str">
        <f t="shared" si="30"/>
        <v/>
      </c>
      <c r="AD84" s="12" t="str">
        <f t="shared" si="31"/>
        <v/>
      </c>
      <c r="AE84" s="12" t="str">
        <f t="shared" si="32"/>
        <v/>
      </c>
      <c r="AF84" s="12" t="str">
        <f t="shared" si="33"/>
        <v/>
      </c>
      <c r="AG84" s="12" t="str">
        <f t="shared" si="34"/>
        <v/>
      </c>
      <c r="AH84" s="12" t="str">
        <f t="shared" si="35"/>
        <v/>
      </c>
    </row>
    <row r="85" spans="1:34" x14ac:dyDescent="0.25">
      <c r="A85" s="11" t="str">
        <f>IF(ROWS($A$6:A85)&gt;COUNTA(Cables!$A:$A)-1,"",INDEX(Cables!$A:$A,ROWS($A$6:A85)+1))</f>
        <v/>
      </c>
      <c r="B85" s="11" t="str">
        <f>IF($A85="","",IF(INDEX(Cables!$B:$B,MATCH($A85,Cables!$A:$A,0))="","",INDEX(Cables!$B:$B,MATCH($A85,Cables!$A:$A,0))))</f>
        <v/>
      </c>
      <c r="C85" s="11" t="str">
        <f>IF($A85="","",IF(INDEX(Cables!$F:$F,MATCH($A85,Cables!$A:$A,0))="","",INDEX(Cables!$F:$F,MATCH($A85,Cables!$A:$A,0))))</f>
        <v/>
      </c>
      <c r="D85" s="11" t="str">
        <f>IF($A85="","",IF(INDEX(Cables!$H:$H,MATCH($A85,Cables!$A:$A,0))="","",INDEX(Cables!$H:$H,MATCH($A85,Cables!$A:$A,0))))</f>
        <v/>
      </c>
      <c r="E85" s="12" t="str">
        <f>IF($A85="","",IF(INDEX(Cables!$Q:$Q,MATCH($A85,Cables!$A:$A,0))="","",INDEX(Cables!$Q:$Q,MATCH($A85,Cables!$A:$A,0))))</f>
        <v/>
      </c>
      <c r="F85" s="11" t="str">
        <f>IF($A85="","",IF(INDEX(Cables!$AQ:$AQ,MATCH($A85,Cables!$A:$A,0))="","",INDEX(Cables!$AQ:$AQ,MATCH($A85,Cables!$A:$A,0))))</f>
        <v/>
      </c>
      <c r="G85" s="11" t="str">
        <f>IF($A85="","",IF(INDEX(Cables!$AR:$AR,MATCH($A85,Cables!$A:$A,0))="","",INDEX(Cables!$AR:$AR,MATCH($A85,Cables!$A:$A,0))))</f>
        <v/>
      </c>
      <c r="H85" s="11" t="str">
        <f>IF($A85="","",IF(INDEX(Cables!$AO:$AO,MATCH($A85,Cables!$A:$A,0))="","",INDEX(Cables!$AO:$AO,MATCH($A85,Cables!$A:$A,0))))</f>
        <v/>
      </c>
      <c r="I85" s="11" t="str">
        <f>IF($A85="","",IF(INDEX(Cables!$AP:$AP,MATCH($A85,Cables!$A:$A,0))="","",INDEX(Cables!$AP:$AP,MATCH($A85,Cables!$A:$A,0))))</f>
        <v/>
      </c>
      <c r="J85" s="12" t="str">
        <f>IF($A85="","",IF(J$5&gt;2*$G85,"",EXP(FORECAST(LN(J$5),INDEX(Attenuation!$K:$K,($H85-1+MIN(MAX(IFERROR(MATCH(LN(J$5),INDEX(Attenuation!$J:$J,$H85):INDEX(Attenuation!$J:$J,$H85+$I85-1),1),1),1),$I85-1))):INDEX(Attenuation!$K:$K,($H85-1+MIN(MAX(IFERROR(MATCH(LN(J$5),INDEX(Attenuation!$J:$J,$H85):INDEX(Attenuation!$J:$J,$H85+$I85-1),1),1),1),$I85-1))+1),INDEX(Attenuation!$J:$J,($H85-1+MIN(MAX(IFERROR(MATCH(LN(J$5),INDEX(Attenuation!$J:$J,$H85):INDEX(Attenuation!$J:$J,$H85+$I85-1),1),1),1),$I85-1))):INDEX(Attenuation!$J:$J,($H85-1+MIN(MAX(IFERROR(MATCH(LN(J$5),INDEX(Attenuation!$J:$J,$H85):INDEX(Attenuation!$J:$J,$H85+$I85-1),1),1),1),$I85-1))+1)))))</f>
        <v/>
      </c>
      <c r="K85" s="12" t="str">
        <f>IF($A85="","",IF(K$5&gt;2*$G85,"",EXP(FORECAST(LN(K$5),INDEX(Attenuation!$K:$K,($H85-1+MIN(MAX(IFERROR(MATCH(LN(K$5),INDEX(Attenuation!$J:$J,$H85):INDEX(Attenuation!$J:$J,$H85+$I85-1),1),1),1),$I85-1))):INDEX(Attenuation!$K:$K,($H85-1+MIN(MAX(IFERROR(MATCH(LN(K$5),INDEX(Attenuation!$J:$J,$H85):INDEX(Attenuation!$J:$J,$H85+$I85-1),1),1),1),$I85-1))+1),INDEX(Attenuation!$J:$J,($H85-1+MIN(MAX(IFERROR(MATCH(LN(K$5),INDEX(Attenuation!$J:$J,$H85):INDEX(Attenuation!$J:$J,$H85+$I85-1),1),1),1),$I85-1))):INDEX(Attenuation!$J:$J,($H85-1+MIN(MAX(IFERROR(MATCH(LN(K$5),INDEX(Attenuation!$J:$J,$H85):INDEX(Attenuation!$J:$J,$H85+$I85-1),1),1),1),$I85-1))+1)))))</f>
        <v/>
      </c>
      <c r="L85" s="12" t="str">
        <f>IF($A85="","",IF(L$5&gt;2*$G85,"",EXP(FORECAST(LN(L$5),INDEX(Attenuation!$K:$K,($H85-1+MIN(MAX(IFERROR(MATCH(LN(L$5),INDEX(Attenuation!$J:$J,$H85):INDEX(Attenuation!$J:$J,$H85+$I85-1),1),1),1),$I85-1))):INDEX(Attenuation!$K:$K,($H85-1+MIN(MAX(IFERROR(MATCH(LN(L$5),INDEX(Attenuation!$J:$J,$H85):INDEX(Attenuation!$J:$J,$H85+$I85-1),1),1),1),$I85-1))+1),INDEX(Attenuation!$J:$J,($H85-1+MIN(MAX(IFERROR(MATCH(LN(L$5),INDEX(Attenuation!$J:$J,$H85):INDEX(Attenuation!$J:$J,$H85+$I85-1),1),1),1),$I85-1))):INDEX(Attenuation!$J:$J,($H85-1+MIN(MAX(IFERROR(MATCH(LN(L$5),INDEX(Attenuation!$J:$J,$H85):INDEX(Attenuation!$J:$J,$H85+$I85-1),1),1),1),$I85-1))+1)))))</f>
        <v/>
      </c>
      <c r="M85" s="12" t="str">
        <f>IF($A85="","",IF(M$5&gt;2*$G85,"",EXP(FORECAST(LN(M$5),INDEX(Attenuation!$K:$K,($H85-1+MIN(MAX(IFERROR(MATCH(LN(M$5),INDEX(Attenuation!$J:$J,$H85):INDEX(Attenuation!$J:$J,$H85+$I85-1),1),1),1),$I85-1))):INDEX(Attenuation!$K:$K,($H85-1+MIN(MAX(IFERROR(MATCH(LN(M$5),INDEX(Attenuation!$J:$J,$H85):INDEX(Attenuation!$J:$J,$H85+$I85-1),1),1),1),$I85-1))+1),INDEX(Attenuation!$J:$J,($H85-1+MIN(MAX(IFERROR(MATCH(LN(M$5),INDEX(Attenuation!$J:$J,$H85):INDEX(Attenuation!$J:$J,$H85+$I85-1),1),1),1),$I85-1))):INDEX(Attenuation!$J:$J,($H85-1+MIN(MAX(IFERROR(MATCH(LN(M$5),INDEX(Attenuation!$J:$J,$H85):INDEX(Attenuation!$J:$J,$H85+$I85-1),1),1),1),$I85-1))+1)))))</f>
        <v/>
      </c>
      <c r="N85" s="12" t="str">
        <f>IF($A85="","",IF(N$5&gt;2*$G85,"",EXP(FORECAST(LN(N$5),INDEX(Attenuation!$K:$K,($H85-1+MIN(MAX(IFERROR(MATCH(LN(N$5),INDEX(Attenuation!$J:$J,$H85):INDEX(Attenuation!$J:$J,$H85+$I85-1),1),1),1),$I85-1))):INDEX(Attenuation!$K:$K,($H85-1+MIN(MAX(IFERROR(MATCH(LN(N$5),INDEX(Attenuation!$J:$J,$H85):INDEX(Attenuation!$J:$J,$H85+$I85-1),1),1),1),$I85-1))+1),INDEX(Attenuation!$J:$J,($H85-1+MIN(MAX(IFERROR(MATCH(LN(N$5),INDEX(Attenuation!$J:$J,$H85):INDEX(Attenuation!$J:$J,$H85+$I85-1),1),1),1),$I85-1))):INDEX(Attenuation!$J:$J,($H85-1+MIN(MAX(IFERROR(MATCH(LN(N$5),INDEX(Attenuation!$J:$J,$H85):INDEX(Attenuation!$J:$J,$H85+$I85-1),1),1),1),$I85-1))+1)))))</f>
        <v/>
      </c>
      <c r="O85" s="12" t="str">
        <f>IF($A85="","",IF(O$5&gt;2*$G85,"",EXP(FORECAST(LN(O$5),INDEX(Attenuation!$K:$K,($H85-1+MIN(MAX(IFERROR(MATCH(LN(O$5),INDEX(Attenuation!$J:$J,$H85):INDEX(Attenuation!$J:$J,$H85+$I85-1),1),1),1),$I85-1))):INDEX(Attenuation!$K:$K,($H85-1+MIN(MAX(IFERROR(MATCH(LN(O$5),INDEX(Attenuation!$J:$J,$H85):INDEX(Attenuation!$J:$J,$H85+$I85-1),1),1),1),$I85-1))+1),INDEX(Attenuation!$J:$J,($H85-1+MIN(MAX(IFERROR(MATCH(LN(O$5),INDEX(Attenuation!$J:$J,$H85):INDEX(Attenuation!$J:$J,$H85+$I85-1),1),1),1),$I85-1))):INDEX(Attenuation!$J:$J,($H85-1+MIN(MAX(IFERROR(MATCH(LN(O$5),INDEX(Attenuation!$J:$J,$H85):INDEX(Attenuation!$J:$J,$H85+$I85-1),1),1),1),$I85-1))+1)))))</f>
        <v/>
      </c>
      <c r="P85" s="12" t="str">
        <f>IF($A85="","",IF(P$5&gt;2*$G85,"",EXP(FORECAST(LN(P$5),INDEX(Attenuation!$K:$K,($H85-1+MIN(MAX(IFERROR(MATCH(LN(P$5),INDEX(Attenuation!$J:$J,$H85):INDEX(Attenuation!$J:$J,$H85+$I85-1),1),1),1),$I85-1))):INDEX(Attenuation!$K:$K,($H85-1+MIN(MAX(IFERROR(MATCH(LN(P$5),INDEX(Attenuation!$J:$J,$H85):INDEX(Attenuation!$J:$J,$H85+$I85-1),1),1),1),$I85-1))+1),INDEX(Attenuation!$J:$J,($H85-1+MIN(MAX(IFERROR(MATCH(LN(P$5),INDEX(Attenuation!$J:$J,$H85):INDEX(Attenuation!$J:$J,$H85+$I85-1),1),1),1),$I85-1))):INDEX(Attenuation!$J:$J,($H85-1+MIN(MAX(IFERROR(MATCH(LN(P$5),INDEX(Attenuation!$J:$J,$H85):INDEX(Attenuation!$J:$J,$H85+$I85-1),1),1),1),$I85-1))+1)))))</f>
        <v/>
      </c>
      <c r="Q85" s="12" t="str">
        <f>IF($A85="","",IF(Q$5&gt;2*$G85,"",EXP(FORECAST(LN(Q$5),INDEX(Attenuation!$K:$K,($H85-1+MIN(MAX(IFERROR(MATCH(LN(Q$5),INDEX(Attenuation!$J:$J,$H85):INDEX(Attenuation!$J:$J,$H85+$I85-1),1),1),1),$I85-1))):INDEX(Attenuation!$K:$K,($H85-1+MIN(MAX(IFERROR(MATCH(LN(Q$5),INDEX(Attenuation!$J:$J,$H85):INDEX(Attenuation!$J:$J,$H85+$I85-1),1),1),1),$I85-1))+1),INDEX(Attenuation!$J:$J,($H85-1+MIN(MAX(IFERROR(MATCH(LN(Q$5),INDEX(Attenuation!$J:$J,$H85):INDEX(Attenuation!$J:$J,$H85+$I85-1),1),1),1),$I85-1))):INDEX(Attenuation!$J:$J,($H85-1+MIN(MAX(IFERROR(MATCH(LN(Q$5),INDEX(Attenuation!$J:$J,$H85):INDEX(Attenuation!$J:$J,$H85+$I85-1),1),1),1),$I85-1))+1)))))</f>
        <v/>
      </c>
      <c r="R85" s="12" t="str">
        <f>IF($A85="","",IF(R$5&gt;2*$G85,"",EXP(FORECAST(LN(R$5),INDEX(Attenuation!$K:$K,($H85-1+MIN(MAX(IFERROR(MATCH(LN(R$5),INDEX(Attenuation!$J:$J,$H85):INDEX(Attenuation!$J:$J,$H85+$I85-1),1),1),1),$I85-1))):INDEX(Attenuation!$K:$K,($H85-1+MIN(MAX(IFERROR(MATCH(LN(R$5),INDEX(Attenuation!$J:$J,$H85):INDEX(Attenuation!$J:$J,$H85+$I85-1),1),1),1),$I85-1))+1),INDEX(Attenuation!$J:$J,($H85-1+MIN(MAX(IFERROR(MATCH(LN(R$5),INDEX(Attenuation!$J:$J,$H85):INDEX(Attenuation!$J:$J,$H85+$I85-1),1),1),1),$I85-1))):INDEX(Attenuation!$J:$J,($H85-1+MIN(MAX(IFERROR(MATCH(LN(R$5),INDEX(Attenuation!$J:$J,$H85):INDEX(Attenuation!$J:$J,$H85+$I85-1),1),1),1),$I85-1))+1)))))</f>
        <v/>
      </c>
      <c r="S85" s="12" t="str">
        <f>IF($A85="","",IF(S$5&gt;2*$G85,"",EXP(FORECAST(LN(S$5),INDEX(Attenuation!$K:$K,($H85-1+MIN(MAX(IFERROR(MATCH(LN(S$5),INDEX(Attenuation!$J:$J,$H85):INDEX(Attenuation!$J:$J,$H85+$I85-1),1),1),1),$I85-1))):INDEX(Attenuation!$K:$K,($H85-1+MIN(MAX(IFERROR(MATCH(LN(S$5),INDEX(Attenuation!$J:$J,$H85):INDEX(Attenuation!$J:$J,$H85+$I85-1),1),1),1),$I85-1))+1),INDEX(Attenuation!$J:$J,($H85-1+MIN(MAX(IFERROR(MATCH(LN(S$5),INDEX(Attenuation!$J:$J,$H85):INDEX(Attenuation!$J:$J,$H85+$I85-1),1),1),1),$I85-1))):INDEX(Attenuation!$J:$J,($H85-1+MIN(MAX(IFERROR(MATCH(LN(S$5),INDEX(Attenuation!$J:$J,$H85):INDEX(Attenuation!$J:$J,$H85+$I85-1),1),1),1),$I85-1))+1)))))</f>
        <v/>
      </c>
      <c r="T85" s="12" t="str">
        <f>IF($A85="","",IF(T$5&gt;2*$G85,"",EXP(FORECAST(LN(T$5),INDEX(Attenuation!$K:$K,($H85-1+MIN(MAX(IFERROR(MATCH(LN(T$5),INDEX(Attenuation!$J:$J,$H85):INDEX(Attenuation!$J:$J,$H85+$I85-1),1),1),1),$I85-1))):INDEX(Attenuation!$K:$K,($H85-1+MIN(MAX(IFERROR(MATCH(LN(T$5),INDEX(Attenuation!$J:$J,$H85):INDEX(Attenuation!$J:$J,$H85+$I85-1),1),1),1),$I85-1))+1),INDEX(Attenuation!$J:$J,($H85-1+MIN(MAX(IFERROR(MATCH(LN(T$5),INDEX(Attenuation!$J:$J,$H85):INDEX(Attenuation!$J:$J,$H85+$I85-1),1),1),1),$I85-1))):INDEX(Attenuation!$J:$J,($H85-1+MIN(MAX(IFERROR(MATCH(LN(T$5),INDEX(Attenuation!$J:$J,$H85):INDEX(Attenuation!$J:$J,$H85+$I85-1),1),1),1),$I85-1))+1)))))</f>
        <v/>
      </c>
      <c r="U85" s="12" t="str">
        <f>IF($A85="","",IF(U$5&gt;2*$G85,"",EXP(FORECAST(LN(U$5),INDEX(Attenuation!$K:$K,($H85-1+MIN(MAX(IFERROR(MATCH(LN(U$5),INDEX(Attenuation!$J:$J,$H85):INDEX(Attenuation!$J:$J,$H85+$I85-1),1),1),1),$I85-1))):INDEX(Attenuation!$K:$K,($H85-1+MIN(MAX(IFERROR(MATCH(LN(U$5),INDEX(Attenuation!$J:$J,$H85):INDEX(Attenuation!$J:$J,$H85+$I85-1),1),1),1),$I85-1))+1),INDEX(Attenuation!$J:$J,($H85-1+MIN(MAX(IFERROR(MATCH(LN(U$5),INDEX(Attenuation!$J:$J,$H85):INDEX(Attenuation!$J:$J,$H85+$I85-1),1),1),1),$I85-1))):INDEX(Attenuation!$J:$J,($H85-1+MIN(MAX(IFERROR(MATCH(LN(U$5),INDEX(Attenuation!$J:$J,$H85):INDEX(Attenuation!$J:$J,$H85+$I85-1),1),1),1),$I85-1))+1)))))</f>
        <v/>
      </c>
      <c r="V85" s="1"/>
      <c r="W85" s="12" t="str">
        <f t="shared" si="24"/>
        <v/>
      </c>
      <c r="X85" s="12" t="str">
        <f t="shared" si="25"/>
        <v/>
      </c>
      <c r="Y85" s="12" t="str">
        <f t="shared" si="26"/>
        <v/>
      </c>
      <c r="Z85" s="12" t="str">
        <f t="shared" si="27"/>
        <v/>
      </c>
      <c r="AA85" s="12" t="str">
        <f t="shared" si="28"/>
        <v/>
      </c>
      <c r="AB85" s="12" t="str">
        <f t="shared" si="29"/>
        <v/>
      </c>
      <c r="AC85" s="12" t="str">
        <f t="shared" si="30"/>
        <v/>
      </c>
      <c r="AD85" s="12" t="str">
        <f t="shared" si="31"/>
        <v/>
      </c>
      <c r="AE85" s="12" t="str">
        <f t="shared" si="32"/>
        <v/>
      </c>
      <c r="AF85" s="12" t="str">
        <f t="shared" si="33"/>
        <v/>
      </c>
      <c r="AG85" s="12" t="str">
        <f t="shared" si="34"/>
        <v/>
      </c>
      <c r="AH85" s="12" t="str">
        <f t="shared" si="35"/>
        <v/>
      </c>
    </row>
    <row r="86" spans="1:34" x14ac:dyDescent="0.25">
      <c r="A86" s="11" t="str">
        <f>IF(ROWS($A$6:A86)&gt;COUNTA(Cables!$A:$A)-1,"",INDEX(Cables!$A:$A,ROWS($A$6:A86)+1))</f>
        <v/>
      </c>
      <c r="B86" s="11" t="str">
        <f>IF($A86="","",IF(INDEX(Cables!$B:$B,MATCH($A86,Cables!$A:$A,0))="","",INDEX(Cables!$B:$B,MATCH($A86,Cables!$A:$A,0))))</f>
        <v/>
      </c>
      <c r="C86" s="11" t="str">
        <f>IF($A86="","",IF(INDEX(Cables!$F:$F,MATCH($A86,Cables!$A:$A,0))="","",INDEX(Cables!$F:$F,MATCH($A86,Cables!$A:$A,0))))</f>
        <v/>
      </c>
      <c r="D86" s="11" t="str">
        <f>IF($A86="","",IF(INDEX(Cables!$H:$H,MATCH($A86,Cables!$A:$A,0))="","",INDEX(Cables!$H:$H,MATCH($A86,Cables!$A:$A,0))))</f>
        <v/>
      </c>
      <c r="E86" s="12" t="str">
        <f>IF($A86="","",IF(INDEX(Cables!$Q:$Q,MATCH($A86,Cables!$A:$A,0))="","",INDEX(Cables!$Q:$Q,MATCH($A86,Cables!$A:$A,0))))</f>
        <v/>
      </c>
      <c r="F86" s="11" t="str">
        <f>IF($A86="","",IF(INDEX(Cables!$AQ:$AQ,MATCH($A86,Cables!$A:$A,0))="","",INDEX(Cables!$AQ:$AQ,MATCH($A86,Cables!$A:$A,0))))</f>
        <v/>
      </c>
      <c r="G86" s="11" t="str">
        <f>IF($A86="","",IF(INDEX(Cables!$AR:$AR,MATCH($A86,Cables!$A:$A,0))="","",INDEX(Cables!$AR:$AR,MATCH($A86,Cables!$A:$A,0))))</f>
        <v/>
      </c>
      <c r="H86" s="11" t="str">
        <f>IF($A86="","",IF(INDEX(Cables!$AO:$AO,MATCH($A86,Cables!$A:$A,0))="","",INDEX(Cables!$AO:$AO,MATCH($A86,Cables!$A:$A,0))))</f>
        <v/>
      </c>
      <c r="I86" s="11" t="str">
        <f>IF($A86="","",IF(INDEX(Cables!$AP:$AP,MATCH($A86,Cables!$A:$A,0))="","",INDEX(Cables!$AP:$AP,MATCH($A86,Cables!$A:$A,0))))</f>
        <v/>
      </c>
      <c r="J86" s="12" t="str">
        <f>IF($A86="","",IF(J$5&gt;2*$G86,"",EXP(FORECAST(LN(J$5),INDEX(Attenuation!$K:$K,($H86-1+MIN(MAX(IFERROR(MATCH(LN(J$5),INDEX(Attenuation!$J:$J,$H86):INDEX(Attenuation!$J:$J,$H86+$I86-1),1),1),1),$I86-1))):INDEX(Attenuation!$K:$K,($H86-1+MIN(MAX(IFERROR(MATCH(LN(J$5),INDEX(Attenuation!$J:$J,$H86):INDEX(Attenuation!$J:$J,$H86+$I86-1),1),1),1),$I86-1))+1),INDEX(Attenuation!$J:$J,($H86-1+MIN(MAX(IFERROR(MATCH(LN(J$5),INDEX(Attenuation!$J:$J,$H86):INDEX(Attenuation!$J:$J,$H86+$I86-1),1),1),1),$I86-1))):INDEX(Attenuation!$J:$J,($H86-1+MIN(MAX(IFERROR(MATCH(LN(J$5),INDEX(Attenuation!$J:$J,$H86):INDEX(Attenuation!$J:$J,$H86+$I86-1),1),1),1),$I86-1))+1)))))</f>
        <v/>
      </c>
      <c r="K86" s="12" t="str">
        <f>IF($A86="","",IF(K$5&gt;2*$G86,"",EXP(FORECAST(LN(K$5),INDEX(Attenuation!$K:$K,($H86-1+MIN(MAX(IFERROR(MATCH(LN(K$5),INDEX(Attenuation!$J:$J,$H86):INDEX(Attenuation!$J:$J,$H86+$I86-1),1),1),1),$I86-1))):INDEX(Attenuation!$K:$K,($H86-1+MIN(MAX(IFERROR(MATCH(LN(K$5),INDEX(Attenuation!$J:$J,$H86):INDEX(Attenuation!$J:$J,$H86+$I86-1),1),1),1),$I86-1))+1),INDEX(Attenuation!$J:$J,($H86-1+MIN(MAX(IFERROR(MATCH(LN(K$5),INDEX(Attenuation!$J:$J,$H86):INDEX(Attenuation!$J:$J,$H86+$I86-1),1),1),1),$I86-1))):INDEX(Attenuation!$J:$J,($H86-1+MIN(MAX(IFERROR(MATCH(LN(K$5),INDEX(Attenuation!$J:$J,$H86):INDEX(Attenuation!$J:$J,$H86+$I86-1),1),1),1),$I86-1))+1)))))</f>
        <v/>
      </c>
      <c r="L86" s="12" t="str">
        <f>IF($A86="","",IF(L$5&gt;2*$G86,"",EXP(FORECAST(LN(L$5),INDEX(Attenuation!$K:$K,($H86-1+MIN(MAX(IFERROR(MATCH(LN(L$5),INDEX(Attenuation!$J:$J,$H86):INDEX(Attenuation!$J:$J,$H86+$I86-1),1),1),1),$I86-1))):INDEX(Attenuation!$K:$K,($H86-1+MIN(MAX(IFERROR(MATCH(LN(L$5),INDEX(Attenuation!$J:$J,$H86):INDEX(Attenuation!$J:$J,$H86+$I86-1),1),1),1),$I86-1))+1),INDEX(Attenuation!$J:$J,($H86-1+MIN(MAX(IFERROR(MATCH(LN(L$5),INDEX(Attenuation!$J:$J,$H86):INDEX(Attenuation!$J:$J,$H86+$I86-1),1),1),1),$I86-1))):INDEX(Attenuation!$J:$J,($H86-1+MIN(MAX(IFERROR(MATCH(LN(L$5),INDEX(Attenuation!$J:$J,$H86):INDEX(Attenuation!$J:$J,$H86+$I86-1),1),1),1),$I86-1))+1)))))</f>
        <v/>
      </c>
      <c r="M86" s="12" t="str">
        <f>IF($A86="","",IF(M$5&gt;2*$G86,"",EXP(FORECAST(LN(M$5),INDEX(Attenuation!$K:$K,($H86-1+MIN(MAX(IFERROR(MATCH(LN(M$5),INDEX(Attenuation!$J:$J,$H86):INDEX(Attenuation!$J:$J,$H86+$I86-1),1),1),1),$I86-1))):INDEX(Attenuation!$K:$K,($H86-1+MIN(MAX(IFERROR(MATCH(LN(M$5),INDEX(Attenuation!$J:$J,$H86):INDEX(Attenuation!$J:$J,$H86+$I86-1),1),1),1),$I86-1))+1),INDEX(Attenuation!$J:$J,($H86-1+MIN(MAX(IFERROR(MATCH(LN(M$5),INDEX(Attenuation!$J:$J,$H86):INDEX(Attenuation!$J:$J,$H86+$I86-1),1),1),1),$I86-1))):INDEX(Attenuation!$J:$J,($H86-1+MIN(MAX(IFERROR(MATCH(LN(M$5),INDEX(Attenuation!$J:$J,$H86):INDEX(Attenuation!$J:$J,$H86+$I86-1),1),1),1),$I86-1))+1)))))</f>
        <v/>
      </c>
      <c r="N86" s="12" t="str">
        <f>IF($A86="","",IF(N$5&gt;2*$G86,"",EXP(FORECAST(LN(N$5),INDEX(Attenuation!$K:$K,($H86-1+MIN(MAX(IFERROR(MATCH(LN(N$5),INDEX(Attenuation!$J:$J,$H86):INDEX(Attenuation!$J:$J,$H86+$I86-1),1),1),1),$I86-1))):INDEX(Attenuation!$K:$K,($H86-1+MIN(MAX(IFERROR(MATCH(LN(N$5),INDEX(Attenuation!$J:$J,$H86):INDEX(Attenuation!$J:$J,$H86+$I86-1),1),1),1),$I86-1))+1),INDEX(Attenuation!$J:$J,($H86-1+MIN(MAX(IFERROR(MATCH(LN(N$5),INDEX(Attenuation!$J:$J,$H86):INDEX(Attenuation!$J:$J,$H86+$I86-1),1),1),1),$I86-1))):INDEX(Attenuation!$J:$J,($H86-1+MIN(MAX(IFERROR(MATCH(LN(N$5),INDEX(Attenuation!$J:$J,$H86):INDEX(Attenuation!$J:$J,$H86+$I86-1),1),1),1),$I86-1))+1)))))</f>
        <v/>
      </c>
      <c r="O86" s="12" t="str">
        <f>IF($A86="","",IF(O$5&gt;2*$G86,"",EXP(FORECAST(LN(O$5),INDEX(Attenuation!$K:$K,($H86-1+MIN(MAX(IFERROR(MATCH(LN(O$5),INDEX(Attenuation!$J:$J,$H86):INDEX(Attenuation!$J:$J,$H86+$I86-1),1),1),1),$I86-1))):INDEX(Attenuation!$K:$K,($H86-1+MIN(MAX(IFERROR(MATCH(LN(O$5),INDEX(Attenuation!$J:$J,$H86):INDEX(Attenuation!$J:$J,$H86+$I86-1),1),1),1),$I86-1))+1),INDEX(Attenuation!$J:$J,($H86-1+MIN(MAX(IFERROR(MATCH(LN(O$5),INDEX(Attenuation!$J:$J,$H86):INDEX(Attenuation!$J:$J,$H86+$I86-1),1),1),1),$I86-1))):INDEX(Attenuation!$J:$J,($H86-1+MIN(MAX(IFERROR(MATCH(LN(O$5),INDEX(Attenuation!$J:$J,$H86):INDEX(Attenuation!$J:$J,$H86+$I86-1),1),1),1),$I86-1))+1)))))</f>
        <v/>
      </c>
      <c r="P86" s="12" t="str">
        <f>IF($A86="","",IF(P$5&gt;2*$G86,"",EXP(FORECAST(LN(P$5),INDEX(Attenuation!$K:$K,($H86-1+MIN(MAX(IFERROR(MATCH(LN(P$5),INDEX(Attenuation!$J:$J,$H86):INDEX(Attenuation!$J:$J,$H86+$I86-1),1),1),1),$I86-1))):INDEX(Attenuation!$K:$K,($H86-1+MIN(MAX(IFERROR(MATCH(LN(P$5),INDEX(Attenuation!$J:$J,$H86):INDEX(Attenuation!$J:$J,$H86+$I86-1),1),1),1),$I86-1))+1),INDEX(Attenuation!$J:$J,($H86-1+MIN(MAX(IFERROR(MATCH(LN(P$5),INDEX(Attenuation!$J:$J,$H86):INDEX(Attenuation!$J:$J,$H86+$I86-1),1),1),1),$I86-1))):INDEX(Attenuation!$J:$J,($H86-1+MIN(MAX(IFERROR(MATCH(LN(P$5),INDEX(Attenuation!$J:$J,$H86):INDEX(Attenuation!$J:$J,$H86+$I86-1),1),1),1),$I86-1))+1)))))</f>
        <v/>
      </c>
      <c r="Q86" s="12" t="str">
        <f>IF($A86="","",IF(Q$5&gt;2*$G86,"",EXP(FORECAST(LN(Q$5),INDEX(Attenuation!$K:$K,($H86-1+MIN(MAX(IFERROR(MATCH(LN(Q$5),INDEX(Attenuation!$J:$J,$H86):INDEX(Attenuation!$J:$J,$H86+$I86-1),1),1),1),$I86-1))):INDEX(Attenuation!$K:$K,($H86-1+MIN(MAX(IFERROR(MATCH(LN(Q$5),INDEX(Attenuation!$J:$J,$H86):INDEX(Attenuation!$J:$J,$H86+$I86-1),1),1),1),$I86-1))+1),INDEX(Attenuation!$J:$J,($H86-1+MIN(MAX(IFERROR(MATCH(LN(Q$5),INDEX(Attenuation!$J:$J,$H86):INDEX(Attenuation!$J:$J,$H86+$I86-1),1),1),1),$I86-1))):INDEX(Attenuation!$J:$J,($H86-1+MIN(MAX(IFERROR(MATCH(LN(Q$5),INDEX(Attenuation!$J:$J,$H86):INDEX(Attenuation!$J:$J,$H86+$I86-1),1),1),1),$I86-1))+1)))))</f>
        <v/>
      </c>
      <c r="R86" s="12" t="str">
        <f>IF($A86="","",IF(R$5&gt;2*$G86,"",EXP(FORECAST(LN(R$5),INDEX(Attenuation!$K:$K,($H86-1+MIN(MAX(IFERROR(MATCH(LN(R$5),INDEX(Attenuation!$J:$J,$H86):INDEX(Attenuation!$J:$J,$H86+$I86-1),1),1),1),$I86-1))):INDEX(Attenuation!$K:$K,($H86-1+MIN(MAX(IFERROR(MATCH(LN(R$5),INDEX(Attenuation!$J:$J,$H86):INDEX(Attenuation!$J:$J,$H86+$I86-1),1),1),1),$I86-1))+1),INDEX(Attenuation!$J:$J,($H86-1+MIN(MAX(IFERROR(MATCH(LN(R$5),INDEX(Attenuation!$J:$J,$H86):INDEX(Attenuation!$J:$J,$H86+$I86-1),1),1),1),$I86-1))):INDEX(Attenuation!$J:$J,($H86-1+MIN(MAX(IFERROR(MATCH(LN(R$5),INDEX(Attenuation!$J:$J,$H86):INDEX(Attenuation!$J:$J,$H86+$I86-1),1),1),1),$I86-1))+1)))))</f>
        <v/>
      </c>
      <c r="S86" s="12" t="str">
        <f>IF($A86="","",IF(S$5&gt;2*$G86,"",EXP(FORECAST(LN(S$5),INDEX(Attenuation!$K:$K,($H86-1+MIN(MAX(IFERROR(MATCH(LN(S$5),INDEX(Attenuation!$J:$J,$H86):INDEX(Attenuation!$J:$J,$H86+$I86-1),1),1),1),$I86-1))):INDEX(Attenuation!$K:$K,($H86-1+MIN(MAX(IFERROR(MATCH(LN(S$5),INDEX(Attenuation!$J:$J,$H86):INDEX(Attenuation!$J:$J,$H86+$I86-1),1),1),1),$I86-1))+1),INDEX(Attenuation!$J:$J,($H86-1+MIN(MAX(IFERROR(MATCH(LN(S$5),INDEX(Attenuation!$J:$J,$H86):INDEX(Attenuation!$J:$J,$H86+$I86-1),1),1),1),$I86-1))):INDEX(Attenuation!$J:$J,($H86-1+MIN(MAX(IFERROR(MATCH(LN(S$5),INDEX(Attenuation!$J:$J,$H86):INDEX(Attenuation!$J:$J,$H86+$I86-1),1),1),1),$I86-1))+1)))))</f>
        <v/>
      </c>
      <c r="T86" s="12" t="str">
        <f>IF($A86="","",IF(T$5&gt;2*$G86,"",EXP(FORECAST(LN(T$5),INDEX(Attenuation!$K:$K,($H86-1+MIN(MAX(IFERROR(MATCH(LN(T$5),INDEX(Attenuation!$J:$J,$H86):INDEX(Attenuation!$J:$J,$H86+$I86-1),1),1),1),$I86-1))):INDEX(Attenuation!$K:$K,($H86-1+MIN(MAX(IFERROR(MATCH(LN(T$5),INDEX(Attenuation!$J:$J,$H86):INDEX(Attenuation!$J:$J,$H86+$I86-1),1),1),1),$I86-1))+1),INDEX(Attenuation!$J:$J,($H86-1+MIN(MAX(IFERROR(MATCH(LN(T$5),INDEX(Attenuation!$J:$J,$H86):INDEX(Attenuation!$J:$J,$H86+$I86-1),1),1),1),$I86-1))):INDEX(Attenuation!$J:$J,($H86-1+MIN(MAX(IFERROR(MATCH(LN(T$5),INDEX(Attenuation!$J:$J,$H86):INDEX(Attenuation!$J:$J,$H86+$I86-1),1),1),1),$I86-1))+1)))))</f>
        <v/>
      </c>
      <c r="U86" s="12" t="str">
        <f>IF($A86="","",IF(U$5&gt;2*$G86,"",EXP(FORECAST(LN(U$5),INDEX(Attenuation!$K:$K,($H86-1+MIN(MAX(IFERROR(MATCH(LN(U$5),INDEX(Attenuation!$J:$J,$H86):INDEX(Attenuation!$J:$J,$H86+$I86-1),1),1),1),$I86-1))):INDEX(Attenuation!$K:$K,($H86-1+MIN(MAX(IFERROR(MATCH(LN(U$5),INDEX(Attenuation!$J:$J,$H86):INDEX(Attenuation!$J:$J,$H86+$I86-1),1),1),1),$I86-1))+1),INDEX(Attenuation!$J:$J,($H86-1+MIN(MAX(IFERROR(MATCH(LN(U$5),INDEX(Attenuation!$J:$J,$H86):INDEX(Attenuation!$J:$J,$H86+$I86-1),1),1),1),$I86-1))):INDEX(Attenuation!$J:$J,($H86-1+MIN(MAX(IFERROR(MATCH(LN(U$5),INDEX(Attenuation!$J:$J,$H86):INDEX(Attenuation!$J:$J,$H86+$I86-1),1),1),1),$I86-1))+1)))))</f>
        <v/>
      </c>
      <c r="V86" s="1"/>
      <c r="W86" s="12" t="str">
        <f t="shared" si="24"/>
        <v/>
      </c>
      <c r="X86" s="12" t="str">
        <f t="shared" si="25"/>
        <v/>
      </c>
      <c r="Y86" s="12" t="str">
        <f t="shared" si="26"/>
        <v/>
      </c>
      <c r="Z86" s="12" t="str">
        <f t="shared" si="27"/>
        <v/>
      </c>
      <c r="AA86" s="12" t="str">
        <f t="shared" si="28"/>
        <v/>
      </c>
      <c r="AB86" s="12" t="str">
        <f t="shared" si="29"/>
        <v/>
      </c>
      <c r="AC86" s="12" t="str">
        <f t="shared" si="30"/>
        <v/>
      </c>
      <c r="AD86" s="12" t="str">
        <f t="shared" si="31"/>
        <v/>
      </c>
      <c r="AE86" s="12" t="str">
        <f t="shared" si="32"/>
        <v/>
      </c>
      <c r="AF86" s="12" t="str">
        <f t="shared" si="33"/>
        <v/>
      </c>
      <c r="AG86" s="12" t="str">
        <f t="shared" si="34"/>
        <v/>
      </c>
      <c r="AH86" s="12" t="str">
        <f t="shared" si="35"/>
        <v/>
      </c>
    </row>
    <row r="87" spans="1:34" x14ac:dyDescent="0.25">
      <c r="A87" s="11" t="str">
        <f>IF(ROWS($A$6:A87)&gt;COUNTA(Cables!$A:$A)-1,"",INDEX(Cables!$A:$A,ROWS($A$6:A87)+1))</f>
        <v/>
      </c>
      <c r="B87" s="11" t="str">
        <f>IF($A87="","",IF(INDEX(Cables!$B:$B,MATCH($A87,Cables!$A:$A,0))="","",INDEX(Cables!$B:$B,MATCH($A87,Cables!$A:$A,0))))</f>
        <v/>
      </c>
      <c r="C87" s="11" t="str">
        <f>IF($A87="","",IF(INDEX(Cables!$F:$F,MATCH($A87,Cables!$A:$A,0))="","",INDEX(Cables!$F:$F,MATCH($A87,Cables!$A:$A,0))))</f>
        <v/>
      </c>
      <c r="D87" s="11" t="str">
        <f>IF($A87="","",IF(INDEX(Cables!$H:$H,MATCH($A87,Cables!$A:$A,0))="","",INDEX(Cables!$H:$H,MATCH($A87,Cables!$A:$A,0))))</f>
        <v/>
      </c>
      <c r="E87" s="12" t="str">
        <f>IF($A87="","",IF(INDEX(Cables!$Q:$Q,MATCH($A87,Cables!$A:$A,0))="","",INDEX(Cables!$Q:$Q,MATCH($A87,Cables!$A:$A,0))))</f>
        <v/>
      </c>
      <c r="F87" s="11" t="str">
        <f>IF($A87="","",IF(INDEX(Cables!$AQ:$AQ,MATCH($A87,Cables!$A:$A,0))="","",INDEX(Cables!$AQ:$AQ,MATCH($A87,Cables!$A:$A,0))))</f>
        <v/>
      </c>
      <c r="G87" s="11" t="str">
        <f>IF($A87="","",IF(INDEX(Cables!$AR:$AR,MATCH($A87,Cables!$A:$A,0))="","",INDEX(Cables!$AR:$AR,MATCH($A87,Cables!$A:$A,0))))</f>
        <v/>
      </c>
      <c r="H87" s="11" t="str">
        <f>IF($A87="","",IF(INDEX(Cables!$AO:$AO,MATCH($A87,Cables!$A:$A,0))="","",INDEX(Cables!$AO:$AO,MATCH($A87,Cables!$A:$A,0))))</f>
        <v/>
      </c>
      <c r="I87" s="11" t="str">
        <f>IF($A87="","",IF(INDEX(Cables!$AP:$AP,MATCH($A87,Cables!$A:$A,0))="","",INDEX(Cables!$AP:$AP,MATCH($A87,Cables!$A:$A,0))))</f>
        <v/>
      </c>
      <c r="J87" s="12" t="str">
        <f>IF($A87="","",IF(J$5&gt;2*$G87,"",EXP(FORECAST(LN(J$5),INDEX(Attenuation!$K:$K,($H87-1+MIN(MAX(IFERROR(MATCH(LN(J$5),INDEX(Attenuation!$J:$J,$H87):INDEX(Attenuation!$J:$J,$H87+$I87-1),1),1),1),$I87-1))):INDEX(Attenuation!$K:$K,($H87-1+MIN(MAX(IFERROR(MATCH(LN(J$5),INDEX(Attenuation!$J:$J,$H87):INDEX(Attenuation!$J:$J,$H87+$I87-1),1),1),1),$I87-1))+1),INDEX(Attenuation!$J:$J,($H87-1+MIN(MAX(IFERROR(MATCH(LN(J$5),INDEX(Attenuation!$J:$J,$H87):INDEX(Attenuation!$J:$J,$H87+$I87-1),1),1),1),$I87-1))):INDEX(Attenuation!$J:$J,($H87-1+MIN(MAX(IFERROR(MATCH(LN(J$5),INDEX(Attenuation!$J:$J,$H87):INDEX(Attenuation!$J:$J,$H87+$I87-1),1),1),1),$I87-1))+1)))))</f>
        <v/>
      </c>
      <c r="K87" s="12" t="str">
        <f>IF($A87="","",IF(K$5&gt;2*$G87,"",EXP(FORECAST(LN(K$5),INDEX(Attenuation!$K:$K,($H87-1+MIN(MAX(IFERROR(MATCH(LN(K$5),INDEX(Attenuation!$J:$J,$H87):INDEX(Attenuation!$J:$J,$H87+$I87-1),1),1),1),$I87-1))):INDEX(Attenuation!$K:$K,($H87-1+MIN(MAX(IFERROR(MATCH(LN(K$5),INDEX(Attenuation!$J:$J,$H87):INDEX(Attenuation!$J:$J,$H87+$I87-1),1),1),1),$I87-1))+1),INDEX(Attenuation!$J:$J,($H87-1+MIN(MAX(IFERROR(MATCH(LN(K$5),INDEX(Attenuation!$J:$J,$H87):INDEX(Attenuation!$J:$J,$H87+$I87-1),1),1),1),$I87-1))):INDEX(Attenuation!$J:$J,($H87-1+MIN(MAX(IFERROR(MATCH(LN(K$5),INDEX(Attenuation!$J:$J,$H87):INDEX(Attenuation!$J:$J,$H87+$I87-1),1),1),1),$I87-1))+1)))))</f>
        <v/>
      </c>
      <c r="L87" s="12" t="str">
        <f>IF($A87="","",IF(L$5&gt;2*$G87,"",EXP(FORECAST(LN(L$5),INDEX(Attenuation!$K:$K,($H87-1+MIN(MAX(IFERROR(MATCH(LN(L$5),INDEX(Attenuation!$J:$J,$H87):INDEX(Attenuation!$J:$J,$H87+$I87-1),1),1),1),$I87-1))):INDEX(Attenuation!$K:$K,($H87-1+MIN(MAX(IFERROR(MATCH(LN(L$5),INDEX(Attenuation!$J:$J,$H87):INDEX(Attenuation!$J:$J,$H87+$I87-1),1),1),1),$I87-1))+1),INDEX(Attenuation!$J:$J,($H87-1+MIN(MAX(IFERROR(MATCH(LN(L$5),INDEX(Attenuation!$J:$J,$H87):INDEX(Attenuation!$J:$J,$H87+$I87-1),1),1),1),$I87-1))):INDEX(Attenuation!$J:$J,($H87-1+MIN(MAX(IFERROR(MATCH(LN(L$5),INDEX(Attenuation!$J:$J,$H87):INDEX(Attenuation!$J:$J,$H87+$I87-1),1),1),1),$I87-1))+1)))))</f>
        <v/>
      </c>
      <c r="M87" s="12" t="str">
        <f>IF($A87="","",IF(M$5&gt;2*$G87,"",EXP(FORECAST(LN(M$5),INDEX(Attenuation!$K:$K,($H87-1+MIN(MAX(IFERROR(MATCH(LN(M$5),INDEX(Attenuation!$J:$J,$H87):INDEX(Attenuation!$J:$J,$H87+$I87-1),1),1),1),$I87-1))):INDEX(Attenuation!$K:$K,($H87-1+MIN(MAX(IFERROR(MATCH(LN(M$5),INDEX(Attenuation!$J:$J,$H87):INDEX(Attenuation!$J:$J,$H87+$I87-1),1),1),1),$I87-1))+1),INDEX(Attenuation!$J:$J,($H87-1+MIN(MAX(IFERROR(MATCH(LN(M$5),INDEX(Attenuation!$J:$J,$H87):INDEX(Attenuation!$J:$J,$H87+$I87-1),1),1),1),$I87-1))):INDEX(Attenuation!$J:$J,($H87-1+MIN(MAX(IFERROR(MATCH(LN(M$5),INDEX(Attenuation!$J:$J,$H87):INDEX(Attenuation!$J:$J,$H87+$I87-1),1),1),1),$I87-1))+1)))))</f>
        <v/>
      </c>
      <c r="N87" s="12" t="str">
        <f>IF($A87="","",IF(N$5&gt;2*$G87,"",EXP(FORECAST(LN(N$5),INDEX(Attenuation!$K:$K,($H87-1+MIN(MAX(IFERROR(MATCH(LN(N$5),INDEX(Attenuation!$J:$J,$H87):INDEX(Attenuation!$J:$J,$H87+$I87-1),1),1),1),$I87-1))):INDEX(Attenuation!$K:$K,($H87-1+MIN(MAX(IFERROR(MATCH(LN(N$5),INDEX(Attenuation!$J:$J,$H87):INDEX(Attenuation!$J:$J,$H87+$I87-1),1),1),1),$I87-1))+1),INDEX(Attenuation!$J:$J,($H87-1+MIN(MAX(IFERROR(MATCH(LN(N$5),INDEX(Attenuation!$J:$J,$H87):INDEX(Attenuation!$J:$J,$H87+$I87-1),1),1),1),$I87-1))):INDEX(Attenuation!$J:$J,($H87-1+MIN(MAX(IFERROR(MATCH(LN(N$5),INDEX(Attenuation!$J:$J,$H87):INDEX(Attenuation!$J:$J,$H87+$I87-1),1),1),1),$I87-1))+1)))))</f>
        <v/>
      </c>
      <c r="O87" s="12" t="str">
        <f>IF($A87="","",IF(O$5&gt;2*$G87,"",EXP(FORECAST(LN(O$5),INDEX(Attenuation!$K:$K,($H87-1+MIN(MAX(IFERROR(MATCH(LN(O$5),INDEX(Attenuation!$J:$J,$H87):INDEX(Attenuation!$J:$J,$H87+$I87-1),1),1),1),$I87-1))):INDEX(Attenuation!$K:$K,($H87-1+MIN(MAX(IFERROR(MATCH(LN(O$5),INDEX(Attenuation!$J:$J,$H87):INDEX(Attenuation!$J:$J,$H87+$I87-1),1),1),1),$I87-1))+1),INDEX(Attenuation!$J:$J,($H87-1+MIN(MAX(IFERROR(MATCH(LN(O$5),INDEX(Attenuation!$J:$J,$H87):INDEX(Attenuation!$J:$J,$H87+$I87-1),1),1),1),$I87-1))):INDEX(Attenuation!$J:$J,($H87-1+MIN(MAX(IFERROR(MATCH(LN(O$5),INDEX(Attenuation!$J:$J,$H87):INDEX(Attenuation!$J:$J,$H87+$I87-1),1),1),1),$I87-1))+1)))))</f>
        <v/>
      </c>
      <c r="P87" s="12" t="str">
        <f>IF($A87="","",IF(P$5&gt;2*$G87,"",EXP(FORECAST(LN(P$5),INDEX(Attenuation!$K:$K,($H87-1+MIN(MAX(IFERROR(MATCH(LN(P$5),INDEX(Attenuation!$J:$J,$H87):INDEX(Attenuation!$J:$J,$H87+$I87-1),1),1),1),$I87-1))):INDEX(Attenuation!$K:$K,($H87-1+MIN(MAX(IFERROR(MATCH(LN(P$5),INDEX(Attenuation!$J:$J,$H87):INDEX(Attenuation!$J:$J,$H87+$I87-1),1),1),1),$I87-1))+1),INDEX(Attenuation!$J:$J,($H87-1+MIN(MAX(IFERROR(MATCH(LN(P$5),INDEX(Attenuation!$J:$J,$H87):INDEX(Attenuation!$J:$J,$H87+$I87-1),1),1),1),$I87-1))):INDEX(Attenuation!$J:$J,($H87-1+MIN(MAX(IFERROR(MATCH(LN(P$5),INDEX(Attenuation!$J:$J,$H87):INDEX(Attenuation!$J:$J,$H87+$I87-1),1),1),1),$I87-1))+1)))))</f>
        <v/>
      </c>
      <c r="Q87" s="12" t="str">
        <f>IF($A87="","",IF(Q$5&gt;2*$G87,"",EXP(FORECAST(LN(Q$5),INDEX(Attenuation!$K:$K,($H87-1+MIN(MAX(IFERROR(MATCH(LN(Q$5),INDEX(Attenuation!$J:$J,$H87):INDEX(Attenuation!$J:$J,$H87+$I87-1),1),1),1),$I87-1))):INDEX(Attenuation!$K:$K,($H87-1+MIN(MAX(IFERROR(MATCH(LN(Q$5),INDEX(Attenuation!$J:$J,$H87):INDEX(Attenuation!$J:$J,$H87+$I87-1),1),1),1),$I87-1))+1),INDEX(Attenuation!$J:$J,($H87-1+MIN(MAX(IFERROR(MATCH(LN(Q$5),INDEX(Attenuation!$J:$J,$H87):INDEX(Attenuation!$J:$J,$H87+$I87-1),1),1),1),$I87-1))):INDEX(Attenuation!$J:$J,($H87-1+MIN(MAX(IFERROR(MATCH(LN(Q$5),INDEX(Attenuation!$J:$J,$H87):INDEX(Attenuation!$J:$J,$H87+$I87-1),1),1),1),$I87-1))+1)))))</f>
        <v/>
      </c>
      <c r="R87" s="12" t="str">
        <f>IF($A87="","",IF(R$5&gt;2*$G87,"",EXP(FORECAST(LN(R$5),INDEX(Attenuation!$K:$K,($H87-1+MIN(MAX(IFERROR(MATCH(LN(R$5),INDEX(Attenuation!$J:$J,$H87):INDEX(Attenuation!$J:$J,$H87+$I87-1),1),1),1),$I87-1))):INDEX(Attenuation!$K:$K,($H87-1+MIN(MAX(IFERROR(MATCH(LN(R$5),INDEX(Attenuation!$J:$J,$H87):INDEX(Attenuation!$J:$J,$H87+$I87-1),1),1),1),$I87-1))+1),INDEX(Attenuation!$J:$J,($H87-1+MIN(MAX(IFERROR(MATCH(LN(R$5),INDEX(Attenuation!$J:$J,$H87):INDEX(Attenuation!$J:$J,$H87+$I87-1),1),1),1),$I87-1))):INDEX(Attenuation!$J:$J,($H87-1+MIN(MAX(IFERROR(MATCH(LN(R$5),INDEX(Attenuation!$J:$J,$H87):INDEX(Attenuation!$J:$J,$H87+$I87-1),1),1),1),$I87-1))+1)))))</f>
        <v/>
      </c>
      <c r="S87" s="12" t="str">
        <f>IF($A87="","",IF(S$5&gt;2*$G87,"",EXP(FORECAST(LN(S$5),INDEX(Attenuation!$K:$K,($H87-1+MIN(MAX(IFERROR(MATCH(LN(S$5),INDEX(Attenuation!$J:$J,$H87):INDEX(Attenuation!$J:$J,$H87+$I87-1),1),1),1),$I87-1))):INDEX(Attenuation!$K:$K,($H87-1+MIN(MAX(IFERROR(MATCH(LN(S$5),INDEX(Attenuation!$J:$J,$H87):INDEX(Attenuation!$J:$J,$H87+$I87-1),1),1),1),$I87-1))+1),INDEX(Attenuation!$J:$J,($H87-1+MIN(MAX(IFERROR(MATCH(LN(S$5),INDEX(Attenuation!$J:$J,$H87):INDEX(Attenuation!$J:$J,$H87+$I87-1),1),1),1),$I87-1))):INDEX(Attenuation!$J:$J,($H87-1+MIN(MAX(IFERROR(MATCH(LN(S$5),INDEX(Attenuation!$J:$J,$H87):INDEX(Attenuation!$J:$J,$H87+$I87-1),1),1),1),$I87-1))+1)))))</f>
        <v/>
      </c>
      <c r="T87" s="12" t="str">
        <f>IF($A87="","",IF(T$5&gt;2*$G87,"",EXP(FORECAST(LN(T$5),INDEX(Attenuation!$K:$K,($H87-1+MIN(MAX(IFERROR(MATCH(LN(T$5),INDEX(Attenuation!$J:$J,$H87):INDEX(Attenuation!$J:$J,$H87+$I87-1),1),1),1),$I87-1))):INDEX(Attenuation!$K:$K,($H87-1+MIN(MAX(IFERROR(MATCH(LN(T$5),INDEX(Attenuation!$J:$J,$H87):INDEX(Attenuation!$J:$J,$H87+$I87-1),1),1),1),$I87-1))+1),INDEX(Attenuation!$J:$J,($H87-1+MIN(MAX(IFERROR(MATCH(LN(T$5),INDEX(Attenuation!$J:$J,$H87):INDEX(Attenuation!$J:$J,$H87+$I87-1),1),1),1),$I87-1))):INDEX(Attenuation!$J:$J,($H87-1+MIN(MAX(IFERROR(MATCH(LN(T$5),INDEX(Attenuation!$J:$J,$H87):INDEX(Attenuation!$J:$J,$H87+$I87-1),1),1),1),$I87-1))+1)))))</f>
        <v/>
      </c>
      <c r="U87" s="12" t="str">
        <f>IF($A87="","",IF(U$5&gt;2*$G87,"",EXP(FORECAST(LN(U$5),INDEX(Attenuation!$K:$K,($H87-1+MIN(MAX(IFERROR(MATCH(LN(U$5),INDEX(Attenuation!$J:$J,$H87):INDEX(Attenuation!$J:$J,$H87+$I87-1),1),1),1),$I87-1))):INDEX(Attenuation!$K:$K,($H87-1+MIN(MAX(IFERROR(MATCH(LN(U$5),INDEX(Attenuation!$J:$J,$H87):INDEX(Attenuation!$J:$J,$H87+$I87-1),1),1),1),$I87-1))+1),INDEX(Attenuation!$J:$J,($H87-1+MIN(MAX(IFERROR(MATCH(LN(U$5),INDEX(Attenuation!$J:$J,$H87):INDEX(Attenuation!$J:$J,$H87+$I87-1),1),1),1),$I87-1))):INDEX(Attenuation!$J:$J,($H87-1+MIN(MAX(IFERROR(MATCH(LN(U$5),INDEX(Attenuation!$J:$J,$H87):INDEX(Attenuation!$J:$J,$H87+$I87-1),1),1),1),$I87-1))+1)))))</f>
        <v/>
      </c>
      <c r="V87" s="1"/>
      <c r="W87" s="12" t="str">
        <f t="shared" si="24"/>
        <v/>
      </c>
      <c r="X87" s="12" t="str">
        <f t="shared" si="25"/>
        <v/>
      </c>
      <c r="Y87" s="12" t="str">
        <f t="shared" si="26"/>
        <v/>
      </c>
      <c r="Z87" s="12" t="str">
        <f t="shared" si="27"/>
        <v/>
      </c>
      <c r="AA87" s="12" t="str">
        <f t="shared" si="28"/>
        <v/>
      </c>
      <c r="AB87" s="12" t="str">
        <f t="shared" si="29"/>
        <v/>
      </c>
      <c r="AC87" s="12" t="str">
        <f t="shared" si="30"/>
        <v/>
      </c>
      <c r="AD87" s="12" t="str">
        <f t="shared" si="31"/>
        <v/>
      </c>
      <c r="AE87" s="12" t="str">
        <f t="shared" si="32"/>
        <v/>
      </c>
      <c r="AF87" s="12" t="str">
        <f t="shared" si="33"/>
        <v/>
      </c>
      <c r="AG87" s="12" t="str">
        <f t="shared" si="34"/>
        <v/>
      </c>
      <c r="AH87" s="12" t="str">
        <f t="shared" si="35"/>
        <v/>
      </c>
    </row>
    <row r="88" spans="1:34" x14ac:dyDescent="0.25">
      <c r="A88" s="11" t="str">
        <f>IF(ROWS($A$6:A88)&gt;COUNTA(Cables!$A:$A)-1,"",INDEX(Cables!$A:$A,ROWS($A$6:A88)+1))</f>
        <v/>
      </c>
      <c r="B88" s="11" t="str">
        <f>IF($A88="","",IF(INDEX(Cables!$B:$B,MATCH($A88,Cables!$A:$A,0))="","",INDEX(Cables!$B:$B,MATCH($A88,Cables!$A:$A,0))))</f>
        <v/>
      </c>
      <c r="C88" s="11" t="str">
        <f>IF($A88="","",IF(INDEX(Cables!$F:$F,MATCH($A88,Cables!$A:$A,0))="","",INDEX(Cables!$F:$F,MATCH($A88,Cables!$A:$A,0))))</f>
        <v/>
      </c>
      <c r="D88" s="11" t="str">
        <f>IF($A88="","",IF(INDEX(Cables!$H:$H,MATCH($A88,Cables!$A:$A,0))="","",INDEX(Cables!$H:$H,MATCH($A88,Cables!$A:$A,0))))</f>
        <v/>
      </c>
      <c r="E88" s="12" t="str">
        <f>IF($A88="","",IF(INDEX(Cables!$Q:$Q,MATCH($A88,Cables!$A:$A,0))="","",INDEX(Cables!$Q:$Q,MATCH($A88,Cables!$A:$A,0))))</f>
        <v/>
      </c>
      <c r="F88" s="11" t="str">
        <f>IF($A88="","",IF(INDEX(Cables!$AQ:$AQ,MATCH($A88,Cables!$A:$A,0))="","",INDEX(Cables!$AQ:$AQ,MATCH($A88,Cables!$A:$A,0))))</f>
        <v/>
      </c>
      <c r="G88" s="11" t="str">
        <f>IF($A88="","",IF(INDEX(Cables!$AR:$AR,MATCH($A88,Cables!$A:$A,0))="","",INDEX(Cables!$AR:$AR,MATCH($A88,Cables!$A:$A,0))))</f>
        <v/>
      </c>
      <c r="H88" s="11" t="str">
        <f>IF($A88="","",IF(INDEX(Cables!$AO:$AO,MATCH($A88,Cables!$A:$A,0))="","",INDEX(Cables!$AO:$AO,MATCH($A88,Cables!$A:$A,0))))</f>
        <v/>
      </c>
      <c r="I88" s="11" t="str">
        <f>IF($A88="","",IF(INDEX(Cables!$AP:$AP,MATCH($A88,Cables!$A:$A,0))="","",INDEX(Cables!$AP:$AP,MATCH($A88,Cables!$A:$A,0))))</f>
        <v/>
      </c>
      <c r="J88" s="12" t="str">
        <f>IF($A88="","",IF(J$5&gt;2*$G88,"",EXP(FORECAST(LN(J$5),INDEX(Attenuation!$K:$K,($H88-1+MIN(MAX(IFERROR(MATCH(LN(J$5),INDEX(Attenuation!$J:$J,$H88):INDEX(Attenuation!$J:$J,$H88+$I88-1),1),1),1),$I88-1))):INDEX(Attenuation!$K:$K,($H88-1+MIN(MAX(IFERROR(MATCH(LN(J$5),INDEX(Attenuation!$J:$J,$H88):INDEX(Attenuation!$J:$J,$H88+$I88-1),1),1),1),$I88-1))+1),INDEX(Attenuation!$J:$J,($H88-1+MIN(MAX(IFERROR(MATCH(LN(J$5),INDEX(Attenuation!$J:$J,$H88):INDEX(Attenuation!$J:$J,$H88+$I88-1),1),1),1),$I88-1))):INDEX(Attenuation!$J:$J,($H88-1+MIN(MAX(IFERROR(MATCH(LN(J$5),INDEX(Attenuation!$J:$J,$H88):INDEX(Attenuation!$J:$J,$H88+$I88-1),1),1),1),$I88-1))+1)))))</f>
        <v/>
      </c>
      <c r="K88" s="12" t="str">
        <f>IF($A88="","",IF(K$5&gt;2*$G88,"",EXP(FORECAST(LN(K$5),INDEX(Attenuation!$K:$K,($H88-1+MIN(MAX(IFERROR(MATCH(LN(K$5),INDEX(Attenuation!$J:$J,$H88):INDEX(Attenuation!$J:$J,$H88+$I88-1),1),1),1),$I88-1))):INDEX(Attenuation!$K:$K,($H88-1+MIN(MAX(IFERROR(MATCH(LN(K$5),INDEX(Attenuation!$J:$J,$H88):INDEX(Attenuation!$J:$J,$H88+$I88-1),1),1),1),$I88-1))+1),INDEX(Attenuation!$J:$J,($H88-1+MIN(MAX(IFERROR(MATCH(LN(K$5),INDEX(Attenuation!$J:$J,$H88):INDEX(Attenuation!$J:$J,$H88+$I88-1),1),1),1),$I88-1))):INDEX(Attenuation!$J:$J,($H88-1+MIN(MAX(IFERROR(MATCH(LN(K$5),INDEX(Attenuation!$J:$J,$H88):INDEX(Attenuation!$J:$J,$H88+$I88-1),1),1),1),$I88-1))+1)))))</f>
        <v/>
      </c>
      <c r="L88" s="12" t="str">
        <f>IF($A88="","",IF(L$5&gt;2*$G88,"",EXP(FORECAST(LN(L$5),INDEX(Attenuation!$K:$K,($H88-1+MIN(MAX(IFERROR(MATCH(LN(L$5),INDEX(Attenuation!$J:$J,$H88):INDEX(Attenuation!$J:$J,$H88+$I88-1),1),1),1),$I88-1))):INDEX(Attenuation!$K:$K,($H88-1+MIN(MAX(IFERROR(MATCH(LN(L$5),INDEX(Attenuation!$J:$J,$H88):INDEX(Attenuation!$J:$J,$H88+$I88-1),1),1),1),$I88-1))+1),INDEX(Attenuation!$J:$J,($H88-1+MIN(MAX(IFERROR(MATCH(LN(L$5),INDEX(Attenuation!$J:$J,$H88):INDEX(Attenuation!$J:$J,$H88+$I88-1),1),1),1),$I88-1))):INDEX(Attenuation!$J:$J,($H88-1+MIN(MAX(IFERROR(MATCH(LN(L$5),INDEX(Attenuation!$J:$J,$H88):INDEX(Attenuation!$J:$J,$H88+$I88-1),1),1),1),$I88-1))+1)))))</f>
        <v/>
      </c>
      <c r="M88" s="12" t="str">
        <f>IF($A88="","",IF(M$5&gt;2*$G88,"",EXP(FORECAST(LN(M$5),INDEX(Attenuation!$K:$K,($H88-1+MIN(MAX(IFERROR(MATCH(LN(M$5),INDEX(Attenuation!$J:$J,$H88):INDEX(Attenuation!$J:$J,$H88+$I88-1),1),1),1),$I88-1))):INDEX(Attenuation!$K:$K,($H88-1+MIN(MAX(IFERROR(MATCH(LN(M$5),INDEX(Attenuation!$J:$J,$H88):INDEX(Attenuation!$J:$J,$H88+$I88-1),1),1),1),$I88-1))+1),INDEX(Attenuation!$J:$J,($H88-1+MIN(MAX(IFERROR(MATCH(LN(M$5),INDEX(Attenuation!$J:$J,$H88):INDEX(Attenuation!$J:$J,$H88+$I88-1),1),1),1),$I88-1))):INDEX(Attenuation!$J:$J,($H88-1+MIN(MAX(IFERROR(MATCH(LN(M$5),INDEX(Attenuation!$J:$J,$H88):INDEX(Attenuation!$J:$J,$H88+$I88-1),1),1),1),$I88-1))+1)))))</f>
        <v/>
      </c>
      <c r="N88" s="12" t="str">
        <f>IF($A88="","",IF(N$5&gt;2*$G88,"",EXP(FORECAST(LN(N$5),INDEX(Attenuation!$K:$K,($H88-1+MIN(MAX(IFERROR(MATCH(LN(N$5),INDEX(Attenuation!$J:$J,$H88):INDEX(Attenuation!$J:$J,$H88+$I88-1),1),1),1),$I88-1))):INDEX(Attenuation!$K:$K,($H88-1+MIN(MAX(IFERROR(MATCH(LN(N$5),INDEX(Attenuation!$J:$J,$H88):INDEX(Attenuation!$J:$J,$H88+$I88-1),1),1),1),$I88-1))+1),INDEX(Attenuation!$J:$J,($H88-1+MIN(MAX(IFERROR(MATCH(LN(N$5),INDEX(Attenuation!$J:$J,$H88):INDEX(Attenuation!$J:$J,$H88+$I88-1),1),1),1),$I88-1))):INDEX(Attenuation!$J:$J,($H88-1+MIN(MAX(IFERROR(MATCH(LN(N$5),INDEX(Attenuation!$J:$J,$H88):INDEX(Attenuation!$J:$J,$H88+$I88-1),1),1),1),$I88-1))+1)))))</f>
        <v/>
      </c>
      <c r="O88" s="12" t="str">
        <f>IF($A88="","",IF(O$5&gt;2*$G88,"",EXP(FORECAST(LN(O$5),INDEX(Attenuation!$K:$K,($H88-1+MIN(MAX(IFERROR(MATCH(LN(O$5),INDEX(Attenuation!$J:$J,$H88):INDEX(Attenuation!$J:$J,$H88+$I88-1),1),1),1),$I88-1))):INDEX(Attenuation!$K:$K,($H88-1+MIN(MAX(IFERROR(MATCH(LN(O$5),INDEX(Attenuation!$J:$J,$H88):INDEX(Attenuation!$J:$J,$H88+$I88-1),1),1),1),$I88-1))+1),INDEX(Attenuation!$J:$J,($H88-1+MIN(MAX(IFERROR(MATCH(LN(O$5),INDEX(Attenuation!$J:$J,$H88):INDEX(Attenuation!$J:$J,$H88+$I88-1),1),1),1),$I88-1))):INDEX(Attenuation!$J:$J,($H88-1+MIN(MAX(IFERROR(MATCH(LN(O$5),INDEX(Attenuation!$J:$J,$H88):INDEX(Attenuation!$J:$J,$H88+$I88-1),1),1),1),$I88-1))+1)))))</f>
        <v/>
      </c>
      <c r="P88" s="12" t="str">
        <f>IF($A88="","",IF(P$5&gt;2*$G88,"",EXP(FORECAST(LN(P$5),INDEX(Attenuation!$K:$K,($H88-1+MIN(MAX(IFERROR(MATCH(LN(P$5),INDEX(Attenuation!$J:$J,$H88):INDEX(Attenuation!$J:$J,$H88+$I88-1),1),1),1),$I88-1))):INDEX(Attenuation!$K:$K,($H88-1+MIN(MAX(IFERROR(MATCH(LN(P$5),INDEX(Attenuation!$J:$J,$H88):INDEX(Attenuation!$J:$J,$H88+$I88-1),1),1),1),$I88-1))+1),INDEX(Attenuation!$J:$J,($H88-1+MIN(MAX(IFERROR(MATCH(LN(P$5),INDEX(Attenuation!$J:$J,$H88):INDEX(Attenuation!$J:$J,$H88+$I88-1),1),1),1),$I88-1))):INDEX(Attenuation!$J:$J,($H88-1+MIN(MAX(IFERROR(MATCH(LN(P$5),INDEX(Attenuation!$J:$J,$H88):INDEX(Attenuation!$J:$J,$H88+$I88-1),1),1),1),$I88-1))+1)))))</f>
        <v/>
      </c>
      <c r="Q88" s="12" t="str">
        <f>IF($A88="","",IF(Q$5&gt;2*$G88,"",EXP(FORECAST(LN(Q$5),INDEX(Attenuation!$K:$K,($H88-1+MIN(MAX(IFERROR(MATCH(LN(Q$5),INDEX(Attenuation!$J:$J,$H88):INDEX(Attenuation!$J:$J,$H88+$I88-1),1),1),1),$I88-1))):INDEX(Attenuation!$K:$K,($H88-1+MIN(MAX(IFERROR(MATCH(LN(Q$5),INDEX(Attenuation!$J:$J,$H88):INDEX(Attenuation!$J:$J,$H88+$I88-1),1),1),1),$I88-1))+1),INDEX(Attenuation!$J:$J,($H88-1+MIN(MAX(IFERROR(MATCH(LN(Q$5),INDEX(Attenuation!$J:$J,$H88):INDEX(Attenuation!$J:$J,$H88+$I88-1),1),1),1),$I88-1))):INDEX(Attenuation!$J:$J,($H88-1+MIN(MAX(IFERROR(MATCH(LN(Q$5),INDEX(Attenuation!$J:$J,$H88):INDEX(Attenuation!$J:$J,$H88+$I88-1),1),1),1),$I88-1))+1)))))</f>
        <v/>
      </c>
      <c r="R88" s="12" t="str">
        <f>IF($A88="","",IF(R$5&gt;2*$G88,"",EXP(FORECAST(LN(R$5),INDEX(Attenuation!$K:$K,($H88-1+MIN(MAX(IFERROR(MATCH(LN(R$5),INDEX(Attenuation!$J:$J,$H88):INDEX(Attenuation!$J:$J,$H88+$I88-1),1),1),1),$I88-1))):INDEX(Attenuation!$K:$K,($H88-1+MIN(MAX(IFERROR(MATCH(LN(R$5),INDEX(Attenuation!$J:$J,$H88):INDEX(Attenuation!$J:$J,$H88+$I88-1),1),1),1),$I88-1))+1),INDEX(Attenuation!$J:$J,($H88-1+MIN(MAX(IFERROR(MATCH(LN(R$5),INDEX(Attenuation!$J:$J,$H88):INDEX(Attenuation!$J:$J,$H88+$I88-1),1),1),1),$I88-1))):INDEX(Attenuation!$J:$J,($H88-1+MIN(MAX(IFERROR(MATCH(LN(R$5),INDEX(Attenuation!$J:$J,$H88):INDEX(Attenuation!$J:$J,$H88+$I88-1),1),1),1),$I88-1))+1)))))</f>
        <v/>
      </c>
      <c r="S88" s="12" t="str">
        <f>IF($A88="","",IF(S$5&gt;2*$G88,"",EXP(FORECAST(LN(S$5),INDEX(Attenuation!$K:$K,($H88-1+MIN(MAX(IFERROR(MATCH(LN(S$5),INDEX(Attenuation!$J:$J,$H88):INDEX(Attenuation!$J:$J,$H88+$I88-1),1),1),1),$I88-1))):INDEX(Attenuation!$K:$K,($H88-1+MIN(MAX(IFERROR(MATCH(LN(S$5),INDEX(Attenuation!$J:$J,$H88):INDEX(Attenuation!$J:$J,$H88+$I88-1),1),1),1),$I88-1))+1),INDEX(Attenuation!$J:$J,($H88-1+MIN(MAX(IFERROR(MATCH(LN(S$5),INDEX(Attenuation!$J:$J,$H88):INDEX(Attenuation!$J:$J,$H88+$I88-1),1),1),1),$I88-1))):INDEX(Attenuation!$J:$J,($H88-1+MIN(MAX(IFERROR(MATCH(LN(S$5),INDEX(Attenuation!$J:$J,$H88):INDEX(Attenuation!$J:$J,$H88+$I88-1),1),1),1),$I88-1))+1)))))</f>
        <v/>
      </c>
      <c r="T88" s="12" t="str">
        <f>IF($A88="","",IF(T$5&gt;2*$G88,"",EXP(FORECAST(LN(T$5),INDEX(Attenuation!$K:$K,($H88-1+MIN(MAX(IFERROR(MATCH(LN(T$5),INDEX(Attenuation!$J:$J,$H88):INDEX(Attenuation!$J:$J,$H88+$I88-1),1),1),1),$I88-1))):INDEX(Attenuation!$K:$K,($H88-1+MIN(MAX(IFERROR(MATCH(LN(T$5),INDEX(Attenuation!$J:$J,$H88):INDEX(Attenuation!$J:$J,$H88+$I88-1),1),1),1),$I88-1))+1),INDEX(Attenuation!$J:$J,($H88-1+MIN(MAX(IFERROR(MATCH(LN(T$5),INDEX(Attenuation!$J:$J,$H88):INDEX(Attenuation!$J:$J,$H88+$I88-1),1),1),1),$I88-1))):INDEX(Attenuation!$J:$J,($H88-1+MIN(MAX(IFERROR(MATCH(LN(T$5),INDEX(Attenuation!$J:$J,$H88):INDEX(Attenuation!$J:$J,$H88+$I88-1),1),1),1),$I88-1))+1)))))</f>
        <v/>
      </c>
      <c r="U88" s="12" t="str">
        <f>IF($A88="","",IF(U$5&gt;2*$G88,"",EXP(FORECAST(LN(U$5),INDEX(Attenuation!$K:$K,($H88-1+MIN(MAX(IFERROR(MATCH(LN(U$5),INDEX(Attenuation!$J:$J,$H88):INDEX(Attenuation!$J:$J,$H88+$I88-1),1),1),1),$I88-1))):INDEX(Attenuation!$K:$K,($H88-1+MIN(MAX(IFERROR(MATCH(LN(U$5),INDEX(Attenuation!$J:$J,$H88):INDEX(Attenuation!$J:$J,$H88+$I88-1),1),1),1),$I88-1))+1),INDEX(Attenuation!$J:$J,($H88-1+MIN(MAX(IFERROR(MATCH(LN(U$5),INDEX(Attenuation!$J:$J,$H88):INDEX(Attenuation!$J:$J,$H88+$I88-1),1),1),1),$I88-1))):INDEX(Attenuation!$J:$J,($H88-1+MIN(MAX(IFERROR(MATCH(LN(U$5),INDEX(Attenuation!$J:$J,$H88):INDEX(Attenuation!$J:$J,$H88+$I88-1),1),1),1),$I88-1))+1)))))</f>
        <v/>
      </c>
      <c r="V88" s="1"/>
      <c r="W88" s="12" t="str">
        <f t="shared" si="24"/>
        <v/>
      </c>
      <c r="X88" s="12" t="str">
        <f t="shared" si="25"/>
        <v/>
      </c>
      <c r="Y88" s="12" t="str">
        <f t="shared" si="26"/>
        <v/>
      </c>
      <c r="Z88" s="12" t="str">
        <f t="shared" si="27"/>
        <v/>
      </c>
      <c r="AA88" s="12" t="str">
        <f t="shared" si="28"/>
        <v/>
      </c>
      <c r="AB88" s="12" t="str">
        <f t="shared" si="29"/>
        <v/>
      </c>
      <c r="AC88" s="12" t="str">
        <f t="shared" si="30"/>
        <v/>
      </c>
      <c r="AD88" s="12" t="str">
        <f t="shared" si="31"/>
        <v/>
      </c>
      <c r="AE88" s="12" t="str">
        <f t="shared" si="32"/>
        <v/>
      </c>
      <c r="AF88" s="12" t="str">
        <f t="shared" si="33"/>
        <v/>
      </c>
      <c r="AG88" s="12" t="str">
        <f t="shared" si="34"/>
        <v/>
      </c>
      <c r="AH88" s="12" t="str">
        <f t="shared" si="35"/>
        <v/>
      </c>
    </row>
    <row r="89" spans="1:34" x14ac:dyDescent="0.25">
      <c r="A89" s="11" t="str">
        <f>IF(ROWS($A$6:A89)&gt;COUNTA(Cables!$A:$A)-1,"",INDEX(Cables!$A:$A,ROWS($A$6:A89)+1))</f>
        <v/>
      </c>
      <c r="B89" s="11" t="str">
        <f>IF($A89="","",IF(INDEX(Cables!$B:$B,MATCH($A89,Cables!$A:$A,0))="","",INDEX(Cables!$B:$B,MATCH($A89,Cables!$A:$A,0))))</f>
        <v/>
      </c>
      <c r="C89" s="11" t="str">
        <f>IF($A89="","",IF(INDEX(Cables!$F:$F,MATCH($A89,Cables!$A:$A,0))="","",INDEX(Cables!$F:$F,MATCH($A89,Cables!$A:$A,0))))</f>
        <v/>
      </c>
      <c r="D89" s="11" t="str">
        <f>IF($A89="","",IF(INDEX(Cables!$H:$H,MATCH($A89,Cables!$A:$A,0))="","",INDEX(Cables!$H:$H,MATCH($A89,Cables!$A:$A,0))))</f>
        <v/>
      </c>
      <c r="E89" s="12" t="str">
        <f>IF($A89="","",IF(INDEX(Cables!$Q:$Q,MATCH($A89,Cables!$A:$A,0))="","",INDEX(Cables!$Q:$Q,MATCH($A89,Cables!$A:$A,0))))</f>
        <v/>
      </c>
      <c r="F89" s="11" t="str">
        <f>IF($A89="","",IF(INDEX(Cables!$AQ:$AQ,MATCH($A89,Cables!$A:$A,0))="","",INDEX(Cables!$AQ:$AQ,MATCH($A89,Cables!$A:$A,0))))</f>
        <v/>
      </c>
      <c r="G89" s="11" t="str">
        <f>IF($A89="","",IF(INDEX(Cables!$AR:$AR,MATCH($A89,Cables!$A:$A,0))="","",INDEX(Cables!$AR:$AR,MATCH($A89,Cables!$A:$A,0))))</f>
        <v/>
      </c>
      <c r="H89" s="11" t="str">
        <f>IF($A89="","",IF(INDEX(Cables!$AO:$AO,MATCH($A89,Cables!$A:$A,0))="","",INDEX(Cables!$AO:$AO,MATCH($A89,Cables!$A:$A,0))))</f>
        <v/>
      </c>
      <c r="I89" s="11" t="str">
        <f>IF($A89="","",IF(INDEX(Cables!$AP:$AP,MATCH($A89,Cables!$A:$A,0))="","",INDEX(Cables!$AP:$AP,MATCH($A89,Cables!$A:$A,0))))</f>
        <v/>
      </c>
      <c r="J89" s="12" t="str">
        <f>IF($A89="","",IF(J$5&gt;2*$G89,"",EXP(FORECAST(LN(J$5),INDEX(Attenuation!$K:$K,($H89-1+MIN(MAX(IFERROR(MATCH(LN(J$5),INDEX(Attenuation!$J:$J,$H89):INDEX(Attenuation!$J:$J,$H89+$I89-1),1),1),1),$I89-1))):INDEX(Attenuation!$K:$K,($H89-1+MIN(MAX(IFERROR(MATCH(LN(J$5),INDEX(Attenuation!$J:$J,$H89):INDEX(Attenuation!$J:$J,$H89+$I89-1),1),1),1),$I89-1))+1),INDEX(Attenuation!$J:$J,($H89-1+MIN(MAX(IFERROR(MATCH(LN(J$5),INDEX(Attenuation!$J:$J,$H89):INDEX(Attenuation!$J:$J,$H89+$I89-1),1),1),1),$I89-1))):INDEX(Attenuation!$J:$J,($H89-1+MIN(MAX(IFERROR(MATCH(LN(J$5),INDEX(Attenuation!$J:$J,$H89):INDEX(Attenuation!$J:$J,$H89+$I89-1),1),1),1),$I89-1))+1)))))</f>
        <v/>
      </c>
      <c r="K89" s="12" t="str">
        <f>IF($A89="","",IF(K$5&gt;2*$G89,"",EXP(FORECAST(LN(K$5),INDEX(Attenuation!$K:$K,($H89-1+MIN(MAX(IFERROR(MATCH(LN(K$5),INDEX(Attenuation!$J:$J,$H89):INDEX(Attenuation!$J:$J,$H89+$I89-1),1),1),1),$I89-1))):INDEX(Attenuation!$K:$K,($H89-1+MIN(MAX(IFERROR(MATCH(LN(K$5),INDEX(Attenuation!$J:$J,$H89):INDEX(Attenuation!$J:$J,$H89+$I89-1),1),1),1),$I89-1))+1),INDEX(Attenuation!$J:$J,($H89-1+MIN(MAX(IFERROR(MATCH(LN(K$5),INDEX(Attenuation!$J:$J,$H89):INDEX(Attenuation!$J:$J,$H89+$I89-1),1),1),1),$I89-1))):INDEX(Attenuation!$J:$J,($H89-1+MIN(MAX(IFERROR(MATCH(LN(K$5),INDEX(Attenuation!$J:$J,$H89):INDEX(Attenuation!$J:$J,$H89+$I89-1),1),1),1),$I89-1))+1)))))</f>
        <v/>
      </c>
      <c r="L89" s="12" t="str">
        <f>IF($A89="","",IF(L$5&gt;2*$G89,"",EXP(FORECAST(LN(L$5),INDEX(Attenuation!$K:$K,($H89-1+MIN(MAX(IFERROR(MATCH(LN(L$5),INDEX(Attenuation!$J:$J,$H89):INDEX(Attenuation!$J:$J,$H89+$I89-1),1),1),1),$I89-1))):INDEX(Attenuation!$K:$K,($H89-1+MIN(MAX(IFERROR(MATCH(LN(L$5),INDEX(Attenuation!$J:$J,$H89):INDEX(Attenuation!$J:$J,$H89+$I89-1),1),1),1),$I89-1))+1),INDEX(Attenuation!$J:$J,($H89-1+MIN(MAX(IFERROR(MATCH(LN(L$5),INDEX(Attenuation!$J:$J,$H89):INDEX(Attenuation!$J:$J,$H89+$I89-1),1),1),1),$I89-1))):INDEX(Attenuation!$J:$J,($H89-1+MIN(MAX(IFERROR(MATCH(LN(L$5),INDEX(Attenuation!$J:$J,$H89):INDEX(Attenuation!$J:$J,$H89+$I89-1),1),1),1),$I89-1))+1)))))</f>
        <v/>
      </c>
      <c r="M89" s="12" t="str">
        <f>IF($A89="","",IF(M$5&gt;2*$G89,"",EXP(FORECAST(LN(M$5),INDEX(Attenuation!$K:$K,($H89-1+MIN(MAX(IFERROR(MATCH(LN(M$5),INDEX(Attenuation!$J:$J,$H89):INDEX(Attenuation!$J:$J,$H89+$I89-1),1),1),1),$I89-1))):INDEX(Attenuation!$K:$K,($H89-1+MIN(MAX(IFERROR(MATCH(LN(M$5),INDEX(Attenuation!$J:$J,$H89):INDEX(Attenuation!$J:$J,$H89+$I89-1),1),1),1),$I89-1))+1),INDEX(Attenuation!$J:$J,($H89-1+MIN(MAX(IFERROR(MATCH(LN(M$5),INDEX(Attenuation!$J:$J,$H89):INDEX(Attenuation!$J:$J,$H89+$I89-1),1),1),1),$I89-1))):INDEX(Attenuation!$J:$J,($H89-1+MIN(MAX(IFERROR(MATCH(LN(M$5),INDEX(Attenuation!$J:$J,$H89):INDEX(Attenuation!$J:$J,$H89+$I89-1),1),1),1),$I89-1))+1)))))</f>
        <v/>
      </c>
      <c r="N89" s="12" t="str">
        <f>IF($A89="","",IF(N$5&gt;2*$G89,"",EXP(FORECAST(LN(N$5),INDEX(Attenuation!$K:$K,($H89-1+MIN(MAX(IFERROR(MATCH(LN(N$5),INDEX(Attenuation!$J:$J,$H89):INDEX(Attenuation!$J:$J,$H89+$I89-1),1),1),1),$I89-1))):INDEX(Attenuation!$K:$K,($H89-1+MIN(MAX(IFERROR(MATCH(LN(N$5),INDEX(Attenuation!$J:$J,$H89):INDEX(Attenuation!$J:$J,$H89+$I89-1),1),1),1),$I89-1))+1),INDEX(Attenuation!$J:$J,($H89-1+MIN(MAX(IFERROR(MATCH(LN(N$5),INDEX(Attenuation!$J:$J,$H89):INDEX(Attenuation!$J:$J,$H89+$I89-1),1),1),1),$I89-1))):INDEX(Attenuation!$J:$J,($H89-1+MIN(MAX(IFERROR(MATCH(LN(N$5),INDEX(Attenuation!$J:$J,$H89):INDEX(Attenuation!$J:$J,$H89+$I89-1),1),1),1),$I89-1))+1)))))</f>
        <v/>
      </c>
      <c r="O89" s="12" t="str">
        <f>IF($A89="","",IF(O$5&gt;2*$G89,"",EXP(FORECAST(LN(O$5),INDEX(Attenuation!$K:$K,($H89-1+MIN(MAX(IFERROR(MATCH(LN(O$5),INDEX(Attenuation!$J:$J,$H89):INDEX(Attenuation!$J:$J,$H89+$I89-1),1),1),1),$I89-1))):INDEX(Attenuation!$K:$K,($H89-1+MIN(MAX(IFERROR(MATCH(LN(O$5),INDEX(Attenuation!$J:$J,$H89):INDEX(Attenuation!$J:$J,$H89+$I89-1),1),1),1),$I89-1))+1),INDEX(Attenuation!$J:$J,($H89-1+MIN(MAX(IFERROR(MATCH(LN(O$5),INDEX(Attenuation!$J:$J,$H89):INDEX(Attenuation!$J:$J,$H89+$I89-1),1),1),1),$I89-1))):INDEX(Attenuation!$J:$J,($H89-1+MIN(MAX(IFERROR(MATCH(LN(O$5),INDEX(Attenuation!$J:$J,$H89):INDEX(Attenuation!$J:$J,$H89+$I89-1),1),1),1),$I89-1))+1)))))</f>
        <v/>
      </c>
      <c r="P89" s="12" t="str">
        <f>IF($A89="","",IF(P$5&gt;2*$G89,"",EXP(FORECAST(LN(P$5),INDEX(Attenuation!$K:$K,($H89-1+MIN(MAX(IFERROR(MATCH(LN(P$5),INDEX(Attenuation!$J:$J,$H89):INDEX(Attenuation!$J:$J,$H89+$I89-1),1),1),1),$I89-1))):INDEX(Attenuation!$K:$K,($H89-1+MIN(MAX(IFERROR(MATCH(LN(P$5),INDEX(Attenuation!$J:$J,$H89):INDEX(Attenuation!$J:$J,$H89+$I89-1),1),1),1),$I89-1))+1),INDEX(Attenuation!$J:$J,($H89-1+MIN(MAX(IFERROR(MATCH(LN(P$5),INDEX(Attenuation!$J:$J,$H89):INDEX(Attenuation!$J:$J,$H89+$I89-1),1),1),1),$I89-1))):INDEX(Attenuation!$J:$J,($H89-1+MIN(MAX(IFERROR(MATCH(LN(P$5),INDEX(Attenuation!$J:$J,$H89):INDEX(Attenuation!$J:$J,$H89+$I89-1),1),1),1),$I89-1))+1)))))</f>
        <v/>
      </c>
      <c r="Q89" s="12" t="str">
        <f>IF($A89="","",IF(Q$5&gt;2*$G89,"",EXP(FORECAST(LN(Q$5),INDEX(Attenuation!$K:$K,($H89-1+MIN(MAX(IFERROR(MATCH(LN(Q$5),INDEX(Attenuation!$J:$J,$H89):INDEX(Attenuation!$J:$J,$H89+$I89-1),1),1),1),$I89-1))):INDEX(Attenuation!$K:$K,($H89-1+MIN(MAX(IFERROR(MATCH(LN(Q$5),INDEX(Attenuation!$J:$J,$H89):INDEX(Attenuation!$J:$J,$H89+$I89-1),1),1),1),$I89-1))+1),INDEX(Attenuation!$J:$J,($H89-1+MIN(MAX(IFERROR(MATCH(LN(Q$5),INDEX(Attenuation!$J:$J,$H89):INDEX(Attenuation!$J:$J,$H89+$I89-1),1),1),1),$I89-1))):INDEX(Attenuation!$J:$J,($H89-1+MIN(MAX(IFERROR(MATCH(LN(Q$5),INDEX(Attenuation!$J:$J,$H89):INDEX(Attenuation!$J:$J,$H89+$I89-1),1),1),1),$I89-1))+1)))))</f>
        <v/>
      </c>
      <c r="R89" s="12" t="str">
        <f>IF($A89="","",IF(R$5&gt;2*$G89,"",EXP(FORECAST(LN(R$5),INDEX(Attenuation!$K:$K,($H89-1+MIN(MAX(IFERROR(MATCH(LN(R$5),INDEX(Attenuation!$J:$J,$H89):INDEX(Attenuation!$J:$J,$H89+$I89-1),1),1),1),$I89-1))):INDEX(Attenuation!$K:$K,($H89-1+MIN(MAX(IFERROR(MATCH(LN(R$5),INDEX(Attenuation!$J:$J,$H89):INDEX(Attenuation!$J:$J,$H89+$I89-1),1),1),1),$I89-1))+1),INDEX(Attenuation!$J:$J,($H89-1+MIN(MAX(IFERROR(MATCH(LN(R$5),INDEX(Attenuation!$J:$J,$H89):INDEX(Attenuation!$J:$J,$H89+$I89-1),1),1),1),$I89-1))):INDEX(Attenuation!$J:$J,($H89-1+MIN(MAX(IFERROR(MATCH(LN(R$5),INDEX(Attenuation!$J:$J,$H89):INDEX(Attenuation!$J:$J,$H89+$I89-1),1),1),1),$I89-1))+1)))))</f>
        <v/>
      </c>
      <c r="S89" s="12" t="str">
        <f>IF($A89="","",IF(S$5&gt;2*$G89,"",EXP(FORECAST(LN(S$5),INDEX(Attenuation!$K:$K,($H89-1+MIN(MAX(IFERROR(MATCH(LN(S$5),INDEX(Attenuation!$J:$J,$H89):INDEX(Attenuation!$J:$J,$H89+$I89-1),1),1),1),$I89-1))):INDEX(Attenuation!$K:$K,($H89-1+MIN(MAX(IFERROR(MATCH(LN(S$5),INDEX(Attenuation!$J:$J,$H89):INDEX(Attenuation!$J:$J,$H89+$I89-1),1),1),1),$I89-1))+1),INDEX(Attenuation!$J:$J,($H89-1+MIN(MAX(IFERROR(MATCH(LN(S$5),INDEX(Attenuation!$J:$J,$H89):INDEX(Attenuation!$J:$J,$H89+$I89-1),1),1),1),$I89-1))):INDEX(Attenuation!$J:$J,($H89-1+MIN(MAX(IFERROR(MATCH(LN(S$5),INDEX(Attenuation!$J:$J,$H89):INDEX(Attenuation!$J:$J,$H89+$I89-1),1),1),1),$I89-1))+1)))))</f>
        <v/>
      </c>
      <c r="T89" s="12" t="str">
        <f>IF($A89="","",IF(T$5&gt;2*$G89,"",EXP(FORECAST(LN(T$5),INDEX(Attenuation!$K:$K,($H89-1+MIN(MAX(IFERROR(MATCH(LN(T$5),INDEX(Attenuation!$J:$J,$H89):INDEX(Attenuation!$J:$J,$H89+$I89-1),1),1),1),$I89-1))):INDEX(Attenuation!$K:$K,($H89-1+MIN(MAX(IFERROR(MATCH(LN(T$5),INDEX(Attenuation!$J:$J,$H89):INDEX(Attenuation!$J:$J,$H89+$I89-1),1),1),1),$I89-1))+1),INDEX(Attenuation!$J:$J,($H89-1+MIN(MAX(IFERROR(MATCH(LN(T$5),INDEX(Attenuation!$J:$J,$H89):INDEX(Attenuation!$J:$J,$H89+$I89-1),1),1),1),$I89-1))):INDEX(Attenuation!$J:$J,($H89-1+MIN(MAX(IFERROR(MATCH(LN(T$5),INDEX(Attenuation!$J:$J,$H89):INDEX(Attenuation!$J:$J,$H89+$I89-1),1),1),1),$I89-1))+1)))))</f>
        <v/>
      </c>
      <c r="U89" s="12" t="str">
        <f>IF($A89="","",IF(U$5&gt;2*$G89,"",EXP(FORECAST(LN(U$5),INDEX(Attenuation!$K:$K,($H89-1+MIN(MAX(IFERROR(MATCH(LN(U$5),INDEX(Attenuation!$J:$J,$H89):INDEX(Attenuation!$J:$J,$H89+$I89-1),1),1),1),$I89-1))):INDEX(Attenuation!$K:$K,($H89-1+MIN(MAX(IFERROR(MATCH(LN(U$5),INDEX(Attenuation!$J:$J,$H89):INDEX(Attenuation!$J:$J,$H89+$I89-1),1),1),1),$I89-1))+1),INDEX(Attenuation!$J:$J,($H89-1+MIN(MAX(IFERROR(MATCH(LN(U$5),INDEX(Attenuation!$J:$J,$H89):INDEX(Attenuation!$J:$J,$H89+$I89-1),1),1),1),$I89-1))):INDEX(Attenuation!$J:$J,($H89-1+MIN(MAX(IFERROR(MATCH(LN(U$5),INDEX(Attenuation!$J:$J,$H89):INDEX(Attenuation!$J:$J,$H89+$I89-1),1),1),1),$I89-1))+1)))))</f>
        <v/>
      </c>
      <c r="V89" s="1"/>
      <c r="W89" s="12" t="str">
        <f t="shared" si="24"/>
        <v/>
      </c>
      <c r="X89" s="12" t="str">
        <f t="shared" si="25"/>
        <v/>
      </c>
      <c r="Y89" s="12" t="str">
        <f t="shared" si="26"/>
        <v/>
      </c>
      <c r="Z89" s="12" t="str">
        <f t="shared" si="27"/>
        <v/>
      </c>
      <c r="AA89" s="12" t="str">
        <f t="shared" si="28"/>
        <v/>
      </c>
      <c r="AB89" s="12" t="str">
        <f t="shared" si="29"/>
        <v/>
      </c>
      <c r="AC89" s="12" t="str">
        <f t="shared" si="30"/>
        <v/>
      </c>
      <c r="AD89" s="12" t="str">
        <f t="shared" si="31"/>
        <v/>
      </c>
      <c r="AE89" s="12" t="str">
        <f t="shared" si="32"/>
        <v/>
      </c>
      <c r="AF89" s="12" t="str">
        <f t="shared" si="33"/>
        <v/>
      </c>
      <c r="AG89" s="12" t="str">
        <f t="shared" si="34"/>
        <v/>
      </c>
      <c r="AH89" s="12" t="str">
        <f t="shared" si="35"/>
        <v/>
      </c>
    </row>
    <row r="90" spans="1:34" x14ac:dyDescent="0.25">
      <c r="A90" s="11" t="str">
        <f>IF(ROWS($A$6:A90)&gt;COUNTA(Cables!$A:$A)-1,"",INDEX(Cables!$A:$A,ROWS($A$6:A90)+1))</f>
        <v/>
      </c>
      <c r="B90" s="11" t="str">
        <f>IF($A90="","",IF(INDEX(Cables!$B:$B,MATCH($A90,Cables!$A:$A,0))="","",INDEX(Cables!$B:$B,MATCH($A90,Cables!$A:$A,0))))</f>
        <v/>
      </c>
      <c r="C90" s="11" t="str">
        <f>IF($A90="","",IF(INDEX(Cables!$F:$F,MATCH($A90,Cables!$A:$A,0))="","",INDEX(Cables!$F:$F,MATCH($A90,Cables!$A:$A,0))))</f>
        <v/>
      </c>
      <c r="D90" s="11" t="str">
        <f>IF($A90="","",IF(INDEX(Cables!$H:$H,MATCH($A90,Cables!$A:$A,0))="","",INDEX(Cables!$H:$H,MATCH($A90,Cables!$A:$A,0))))</f>
        <v/>
      </c>
      <c r="E90" s="12" t="str">
        <f>IF($A90="","",IF(INDEX(Cables!$Q:$Q,MATCH($A90,Cables!$A:$A,0))="","",INDEX(Cables!$Q:$Q,MATCH($A90,Cables!$A:$A,0))))</f>
        <v/>
      </c>
      <c r="F90" s="11" t="str">
        <f>IF($A90="","",IF(INDEX(Cables!$AQ:$AQ,MATCH($A90,Cables!$A:$A,0))="","",INDEX(Cables!$AQ:$AQ,MATCH($A90,Cables!$A:$A,0))))</f>
        <v/>
      </c>
      <c r="G90" s="11" t="str">
        <f>IF($A90="","",IF(INDEX(Cables!$AR:$AR,MATCH($A90,Cables!$A:$A,0))="","",INDEX(Cables!$AR:$AR,MATCH($A90,Cables!$A:$A,0))))</f>
        <v/>
      </c>
      <c r="H90" s="11" t="str">
        <f>IF($A90="","",IF(INDEX(Cables!$AO:$AO,MATCH($A90,Cables!$A:$A,0))="","",INDEX(Cables!$AO:$AO,MATCH($A90,Cables!$A:$A,0))))</f>
        <v/>
      </c>
      <c r="I90" s="11" t="str">
        <f>IF($A90="","",IF(INDEX(Cables!$AP:$AP,MATCH($A90,Cables!$A:$A,0))="","",INDEX(Cables!$AP:$AP,MATCH($A90,Cables!$A:$A,0))))</f>
        <v/>
      </c>
      <c r="J90" s="12" t="str">
        <f>IF($A90="","",IF(J$5&gt;2*$G90,"",EXP(FORECAST(LN(J$5),INDEX(Attenuation!$K:$K,($H90-1+MIN(MAX(IFERROR(MATCH(LN(J$5),INDEX(Attenuation!$J:$J,$H90):INDEX(Attenuation!$J:$J,$H90+$I90-1),1),1),1),$I90-1))):INDEX(Attenuation!$K:$K,($H90-1+MIN(MAX(IFERROR(MATCH(LN(J$5),INDEX(Attenuation!$J:$J,$H90):INDEX(Attenuation!$J:$J,$H90+$I90-1),1),1),1),$I90-1))+1),INDEX(Attenuation!$J:$J,($H90-1+MIN(MAX(IFERROR(MATCH(LN(J$5),INDEX(Attenuation!$J:$J,$H90):INDEX(Attenuation!$J:$J,$H90+$I90-1),1),1),1),$I90-1))):INDEX(Attenuation!$J:$J,($H90-1+MIN(MAX(IFERROR(MATCH(LN(J$5),INDEX(Attenuation!$J:$J,$H90):INDEX(Attenuation!$J:$J,$H90+$I90-1),1),1),1),$I90-1))+1)))))</f>
        <v/>
      </c>
      <c r="K90" s="12" t="str">
        <f>IF($A90="","",IF(K$5&gt;2*$G90,"",EXP(FORECAST(LN(K$5),INDEX(Attenuation!$K:$K,($H90-1+MIN(MAX(IFERROR(MATCH(LN(K$5),INDEX(Attenuation!$J:$J,$H90):INDEX(Attenuation!$J:$J,$H90+$I90-1),1),1),1),$I90-1))):INDEX(Attenuation!$K:$K,($H90-1+MIN(MAX(IFERROR(MATCH(LN(K$5),INDEX(Attenuation!$J:$J,$H90):INDEX(Attenuation!$J:$J,$H90+$I90-1),1),1),1),$I90-1))+1),INDEX(Attenuation!$J:$J,($H90-1+MIN(MAX(IFERROR(MATCH(LN(K$5),INDEX(Attenuation!$J:$J,$H90):INDEX(Attenuation!$J:$J,$H90+$I90-1),1),1),1),$I90-1))):INDEX(Attenuation!$J:$J,($H90-1+MIN(MAX(IFERROR(MATCH(LN(K$5),INDEX(Attenuation!$J:$J,$H90):INDEX(Attenuation!$J:$J,$H90+$I90-1),1),1),1),$I90-1))+1)))))</f>
        <v/>
      </c>
      <c r="L90" s="12" t="str">
        <f>IF($A90="","",IF(L$5&gt;2*$G90,"",EXP(FORECAST(LN(L$5),INDEX(Attenuation!$K:$K,($H90-1+MIN(MAX(IFERROR(MATCH(LN(L$5),INDEX(Attenuation!$J:$J,$H90):INDEX(Attenuation!$J:$J,$H90+$I90-1),1),1),1),$I90-1))):INDEX(Attenuation!$K:$K,($H90-1+MIN(MAX(IFERROR(MATCH(LN(L$5),INDEX(Attenuation!$J:$J,$H90):INDEX(Attenuation!$J:$J,$H90+$I90-1),1),1),1),$I90-1))+1),INDEX(Attenuation!$J:$J,($H90-1+MIN(MAX(IFERROR(MATCH(LN(L$5),INDEX(Attenuation!$J:$J,$H90):INDEX(Attenuation!$J:$J,$H90+$I90-1),1),1),1),$I90-1))):INDEX(Attenuation!$J:$J,($H90-1+MIN(MAX(IFERROR(MATCH(LN(L$5),INDEX(Attenuation!$J:$J,$H90):INDEX(Attenuation!$J:$J,$H90+$I90-1),1),1),1),$I90-1))+1)))))</f>
        <v/>
      </c>
      <c r="M90" s="12" t="str">
        <f>IF($A90="","",IF(M$5&gt;2*$G90,"",EXP(FORECAST(LN(M$5),INDEX(Attenuation!$K:$K,($H90-1+MIN(MAX(IFERROR(MATCH(LN(M$5),INDEX(Attenuation!$J:$J,$H90):INDEX(Attenuation!$J:$J,$H90+$I90-1),1),1),1),$I90-1))):INDEX(Attenuation!$K:$K,($H90-1+MIN(MAX(IFERROR(MATCH(LN(M$5),INDEX(Attenuation!$J:$J,$H90):INDEX(Attenuation!$J:$J,$H90+$I90-1),1),1),1),$I90-1))+1),INDEX(Attenuation!$J:$J,($H90-1+MIN(MAX(IFERROR(MATCH(LN(M$5),INDEX(Attenuation!$J:$J,$H90):INDEX(Attenuation!$J:$J,$H90+$I90-1),1),1),1),$I90-1))):INDEX(Attenuation!$J:$J,($H90-1+MIN(MAX(IFERROR(MATCH(LN(M$5),INDEX(Attenuation!$J:$J,$H90):INDEX(Attenuation!$J:$J,$H90+$I90-1),1),1),1),$I90-1))+1)))))</f>
        <v/>
      </c>
      <c r="N90" s="12" t="str">
        <f>IF($A90="","",IF(N$5&gt;2*$G90,"",EXP(FORECAST(LN(N$5),INDEX(Attenuation!$K:$K,($H90-1+MIN(MAX(IFERROR(MATCH(LN(N$5),INDEX(Attenuation!$J:$J,$H90):INDEX(Attenuation!$J:$J,$H90+$I90-1),1),1),1),$I90-1))):INDEX(Attenuation!$K:$K,($H90-1+MIN(MAX(IFERROR(MATCH(LN(N$5),INDEX(Attenuation!$J:$J,$H90):INDEX(Attenuation!$J:$J,$H90+$I90-1),1),1),1),$I90-1))+1),INDEX(Attenuation!$J:$J,($H90-1+MIN(MAX(IFERROR(MATCH(LN(N$5),INDEX(Attenuation!$J:$J,$H90):INDEX(Attenuation!$J:$J,$H90+$I90-1),1),1),1),$I90-1))):INDEX(Attenuation!$J:$J,($H90-1+MIN(MAX(IFERROR(MATCH(LN(N$5),INDEX(Attenuation!$J:$J,$H90):INDEX(Attenuation!$J:$J,$H90+$I90-1),1),1),1),$I90-1))+1)))))</f>
        <v/>
      </c>
      <c r="O90" s="12" t="str">
        <f>IF($A90="","",IF(O$5&gt;2*$G90,"",EXP(FORECAST(LN(O$5),INDEX(Attenuation!$K:$K,($H90-1+MIN(MAX(IFERROR(MATCH(LN(O$5),INDEX(Attenuation!$J:$J,$H90):INDEX(Attenuation!$J:$J,$H90+$I90-1),1),1),1),$I90-1))):INDEX(Attenuation!$K:$K,($H90-1+MIN(MAX(IFERROR(MATCH(LN(O$5),INDEX(Attenuation!$J:$J,$H90):INDEX(Attenuation!$J:$J,$H90+$I90-1),1),1),1),$I90-1))+1),INDEX(Attenuation!$J:$J,($H90-1+MIN(MAX(IFERROR(MATCH(LN(O$5),INDEX(Attenuation!$J:$J,$H90):INDEX(Attenuation!$J:$J,$H90+$I90-1),1),1),1),$I90-1))):INDEX(Attenuation!$J:$J,($H90-1+MIN(MAX(IFERROR(MATCH(LN(O$5),INDEX(Attenuation!$J:$J,$H90):INDEX(Attenuation!$J:$J,$H90+$I90-1),1),1),1),$I90-1))+1)))))</f>
        <v/>
      </c>
      <c r="P90" s="12" t="str">
        <f>IF($A90="","",IF(P$5&gt;2*$G90,"",EXP(FORECAST(LN(P$5),INDEX(Attenuation!$K:$K,($H90-1+MIN(MAX(IFERROR(MATCH(LN(P$5),INDEX(Attenuation!$J:$J,$H90):INDEX(Attenuation!$J:$J,$H90+$I90-1),1),1),1),$I90-1))):INDEX(Attenuation!$K:$K,($H90-1+MIN(MAX(IFERROR(MATCH(LN(P$5),INDEX(Attenuation!$J:$J,$H90):INDEX(Attenuation!$J:$J,$H90+$I90-1),1),1),1),$I90-1))+1),INDEX(Attenuation!$J:$J,($H90-1+MIN(MAX(IFERROR(MATCH(LN(P$5),INDEX(Attenuation!$J:$J,$H90):INDEX(Attenuation!$J:$J,$H90+$I90-1),1),1),1),$I90-1))):INDEX(Attenuation!$J:$J,($H90-1+MIN(MAX(IFERROR(MATCH(LN(P$5),INDEX(Attenuation!$J:$J,$H90):INDEX(Attenuation!$J:$J,$H90+$I90-1),1),1),1),$I90-1))+1)))))</f>
        <v/>
      </c>
      <c r="Q90" s="12" t="str">
        <f>IF($A90="","",IF(Q$5&gt;2*$G90,"",EXP(FORECAST(LN(Q$5),INDEX(Attenuation!$K:$K,($H90-1+MIN(MAX(IFERROR(MATCH(LN(Q$5),INDEX(Attenuation!$J:$J,$H90):INDEX(Attenuation!$J:$J,$H90+$I90-1),1),1),1),$I90-1))):INDEX(Attenuation!$K:$K,($H90-1+MIN(MAX(IFERROR(MATCH(LN(Q$5),INDEX(Attenuation!$J:$J,$H90):INDEX(Attenuation!$J:$J,$H90+$I90-1),1),1),1),$I90-1))+1),INDEX(Attenuation!$J:$J,($H90-1+MIN(MAX(IFERROR(MATCH(LN(Q$5),INDEX(Attenuation!$J:$J,$H90):INDEX(Attenuation!$J:$J,$H90+$I90-1),1),1),1),$I90-1))):INDEX(Attenuation!$J:$J,($H90-1+MIN(MAX(IFERROR(MATCH(LN(Q$5),INDEX(Attenuation!$J:$J,$H90):INDEX(Attenuation!$J:$J,$H90+$I90-1),1),1),1),$I90-1))+1)))))</f>
        <v/>
      </c>
      <c r="R90" s="12" t="str">
        <f>IF($A90="","",IF(R$5&gt;2*$G90,"",EXP(FORECAST(LN(R$5),INDEX(Attenuation!$K:$K,($H90-1+MIN(MAX(IFERROR(MATCH(LN(R$5),INDEX(Attenuation!$J:$J,$H90):INDEX(Attenuation!$J:$J,$H90+$I90-1),1),1),1),$I90-1))):INDEX(Attenuation!$K:$K,($H90-1+MIN(MAX(IFERROR(MATCH(LN(R$5),INDEX(Attenuation!$J:$J,$H90):INDEX(Attenuation!$J:$J,$H90+$I90-1),1),1),1),$I90-1))+1),INDEX(Attenuation!$J:$J,($H90-1+MIN(MAX(IFERROR(MATCH(LN(R$5),INDEX(Attenuation!$J:$J,$H90):INDEX(Attenuation!$J:$J,$H90+$I90-1),1),1),1),$I90-1))):INDEX(Attenuation!$J:$J,($H90-1+MIN(MAX(IFERROR(MATCH(LN(R$5),INDEX(Attenuation!$J:$J,$H90):INDEX(Attenuation!$J:$J,$H90+$I90-1),1),1),1),$I90-1))+1)))))</f>
        <v/>
      </c>
      <c r="S90" s="12" t="str">
        <f>IF($A90="","",IF(S$5&gt;2*$G90,"",EXP(FORECAST(LN(S$5),INDEX(Attenuation!$K:$K,($H90-1+MIN(MAX(IFERROR(MATCH(LN(S$5),INDEX(Attenuation!$J:$J,$H90):INDEX(Attenuation!$J:$J,$H90+$I90-1),1),1),1),$I90-1))):INDEX(Attenuation!$K:$K,($H90-1+MIN(MAX(IFERROR(MATCH(LN(S$5),INDEX(Attenuation!$J:$J,$H90):INDEX(Attenuation!$J:$J,$H90+$I90-1),1),1),1),$I90-1))+1),INDEX(Attenuation!$J:$J,($H90-1+MIN(MAX(IFERROR(MATCH(LN(S$5),INDEX(Attenuation!$J:$J,$H90):INDEX(Attenuation!$J:$J,$H90+$I90-1),1),1),1),$I90-1))):INDEX(Attenuation!$J:$J,($H90-1+MIN(MAX(IFERROR(MATCH(LN(S$5),INDEX(Attenuation!$J:$J,$H90):INDEX(Attenuation!$J:$J,$H90+$I90-1),1),1),1),$I90-1))+1)))))</f>
        <v/>
      </c>
      <c r="T90" s="12" t="str">
        <f>IF($A90="","",IF(T$5&gt;2*$G90,"",EXP(FORECAST(LN(T$5),INDEX(Attenuation!$K:$K,($H90-1+MIN(MAX(IFERROR(MATCH(LN(T$5),INDEX(Attenuation!$J:$J,$H90):INDEX(Attenuation!$J:$J,$H90+$I90-1),1),1),1),$I90-1))):INDEX(Attenuation!$K:$K,($H90-1+MIN(MAX(IFERROR(MATCH(LN(T$5),INDEX(Attenuation!$J:$J,$H90):INDEX(Attenuation!$J:$J,$H90+$I90-1),1),1),1),$I90-1))+1),INDEX(Attenuation!$J:$J,($H90-1+MIN(MAX(IFERROR(MATCH(LN(T$5),INDEX(Attenuation!$J:$J,$H90):INDEX(Attenuation!$J:$J,$H90+$I90-1),1),1),1),$I90-1))):INDEX(Attenuation!$J:$J,($H90-1+MIN(MAX(IFERROR(MATCH(LN(T$5),INDEX(Attenuation!$J:$J,$H90):INDEX(Attenuation!$J:$J,$H90+$I90-1),1),1),1),$I90-1))+1)))))</f>
        <v/>
      </c>
      <c r="U90" s="12" t="str">
        <f>IF($A90="","",IF(U$5&gt;2*$G90,"",EXP(FORECAST(LN(U$5),INDEX(Attenuation!$K:$K,($H90-1+MIN(MAX(IFERROR(MATCH(LN(U$5),INDEX(Attenuation!$J:$J,$H90):INDEX(Attenuation!$J:$J,$H90+$I90-1),1),1),1),$I90-1))):INDEX(Attenuation!$K:$K,($H90-1+MIN(MAX(IFERROR(MATCH(LN(U$5),INDEX(Attenuation!$J:$J,$H90):INDEX(Attenuation!$J:$J,$H90+$I90-1),1),1),1),$I90-1))+1),INDEX(Attenuation!$J:$J,($H90-1+MIN(MAX(IFERROR(MATCH(LN(U$5),INDEX(Attenuation!$J:$J,$H90):INDEX(Attenuation!$J:$J,$H90+$I90-1),1),1),1),$I90-1))):INDEX(Attenuation!$J:$J,($H90-1+MIN(MAX(IFERROR(MATCH(LN(U$5),INDEX(Attenuation!$J:$J,$H90):INDEX(Attenuation!$J:$J,$H90+$I90-1),1),1),1),$I90-1))+1)))))</f>
        <v/>
      </c>
      <c r="V90" s="1"/>
      <c r="W90" s="12" t="str">
        <f t="shared" si="24"/>
        <v/>
      </c>
      <c r="X90" s="12" t="str">
        <f t="shared" si="25"/>
        <v/>
      </c>
      <c r="Y90" s="12" t="str">
        <f t="shared" si="26"/>
        <v/>
      </c>
      <c r="Z90" s="12" t="str">
        <f t="shared" si="27"/>
        <v/>
      </c>
      <c r="AA90" s="12" t="str">
        <f t="shared" si="28"/>
        <v/>
      </c>
      <c r="AB90" s="12" t="str">
        <f t="shared" si="29"/>
        <v/>
      </c>
      <c r="AC90" s="12" t="str">
        <f t="shared" si="30"/>
        <v/>
      </c>
      <c r="AD90" s="12" t="str">
        <f t="shared" si="31"/>
        <v/>
      </c>
      <c r="AE90" s="12" t="str">
        <f t="shared" si="32"/>
        <v/>
      </c>
      <c r="AF90" s="12" t="str">
        <f t="shared" si="33"/>
        <v/>
      </c>
      <c r="AG90" s="12" t="str">
        <f t="shared" si="34"/>
        <v/>
      </c>
      <c r="AH90" s="12" t="str">
        <f t="shared" si="35"/>
        <v/>
      </c>
    </row>
    <row r="91" spans="1:34" x14ac:dyDescent="0.25">
      <c r="A91" s="11" t="str">
        <f>IF(ROWS($A$6:A91)&gt;COUNTA(Cables!$A:$A)-1,"",INDEX(Cables!$A:$A,ROWS($A$6:A91)+1))</f>
        <v/>
      </c>
      <c r="B91" s="11" t="str">
        <f>IF($A91="","",IF(INDEX(Cables!$B:$B,MATCH($A91,Cables!$A:$A,0))="","",INDEX(Cables!$B:$B,MATCH($A91,Cables!$A:$A,0))))</f>
        <v/>
      </c>
      <c r="C91" s="11" t="str">
        <f>IF($A91="","",IF(INDEX(Cables!$F:$F,MATCH($A91,Cables!$A:$A,0))="","",INDEX(Cables!$F:$F,MATCH($A91,Cables!$A:$A,0))))</f>
        <v/>
      </c>
      <c r="D91" s="11" t="str">
        <f>IF($A91="","",IF(INDEX(Cables!$H:$H,MATCH($A91,Cables!$A:$A,0))="","",INDEX(Cables!$H:$H,MATCH($A91,Cables!$A:$A,0))))</f>
        <v/>
      </c>
      <c r="E91" s="12" t="str">
        <f>IF($A91="","",IF(INDEX(Cables!$Q:$Q,MATCH($A91,Cables!$A:$A,0))="","",INDEX(Cables!$Q:$Q,MATCH($A91,Cables!$A:$A,0))))</f>
        <v/>
      </c>
      <c r="F91" s="11" t="str">
        <f>IF($A91="","",IF(INDEX(Cables!$AQ:$AQ,MATCH($A91,Cables!$A:$A,0))="","",INDEX(Cables!$AQ:$AQ,MATCH($A91,Cables!$A:$A,0))))</f>
        <v/>
      </c>
      <c r="G91" s="11" t="str">
        <f>IF($A91="","",IF(INDEX(Cables!$AR:$AR,MATCH($A91,Cables!$A:$A,0))="","",INDEX(Cables!$AR:$AR,MATCH($A91,Cables!$A:$A,0))))</f>
        <v/>
      </c>
      <c r="H91" s="11" t="str">
        <f>IF($A91="","",IF(INDEX(Cables!$AO:$AO,MATCH($A91,Cables!$A:$A,0))="","",INDEX(Cables!$AO:$AO,MATCH($A91,Cables!$A:$A,0))))</f>
        <v/>
      </c>
      <c r="I91" s="11" t="str">
        <f>IF($A91="","",IF(INDEX(Cables!$AP:$AP,MATCH($A91,Cables!$A:$A,0))="","",INDEX(Cables!$AP:$AP,MATCH($A91,Cables!$A:$A,0))))</f>
        <v/>
      </c>
      <c r="J91" s="12" t="str">
        <f>IF($A91="","",IF(J$5&gt;2*$G91,"",EXP(FORECAST(LN(J$5),INDEX(Attenuation!$K:$K,($H91-1+MIN(MAX(IFERROR(MATCH(LN(J$5),INDEX(Attenuation!$J:$J,$H91):INDEX(Attenuation!$J:$J,$H91+$I91-1),1),1),1),$I91-1))):INDEX(Attenuation!$K:$K,($H91-1+MIN(MAX(IFERROR(MATCH(LN(J$5),INDEX(Attenuation!$J:$J,$H91):INDEX(Attenuation!$J:$J,$H91+$I91-1),1),1),1),$I91-1))+1),INDEX(Attenuation!$J:$J,($H91-1+MIN(MAX(IFERROR(MATCH(LN(J$5),INDEX(Attenuation!$J:$J,$H91):INDEX(Attenuation!$J:$J,$H91+$I91-1),1),1),1),$I91-1))):INDEX(Attenuation!$J:$J,($H91-1+MIN(MAX(IFERROR(MATCH(LN(J$5),INDEX(Attenuation!$J:$J,$H91):INDEX(Attenuation!$J:$J,$H91+$I91-1),1),1),1),$I91-1))+1)))))</f>
        <v/>
      </c>
      <c r="K91" s="12" t="str">
        <f>IF($A91="","",IF(K$5&gt;2*$G91,"",EXP(FORECAST(LN(K$5),INDEX(Attenuation!$K:$K,($H91-1+MIN(MAX(IFERROR(MATCH(LN(K$5),INDEX(Attenuation!$J:$J,$H91):INDEX(Attenuation!$J:$J,$H91+$I91-1),1),1),1),$I91-1))):INDEX(Attenuation!$K:$K,($H91-1+MIN(MAX(IFERROR(MATCH(LN(K$5),INDEX(Attenuation!$J:$J,$H91):INDEX(Attenuation!$J:$J,$H91+$I91-1),1),1),1),$I91-1))+1),INDEX(Attenuation!$J:$J,($H91-1+MIN(MAX(IFERROR(MATCH(LN(K$5),INDEX(Attenuation!$J:$J,$H91):INDEX(Attenuation!$J:$J,$H91+$I91-1),1),1),1),$I91-1))):INDEX(Attenuation!$J:$J,($H91-1+MIN(MAX(IFERROR(MATCH(LN(K$5),INDEX(Attenuation!$J:$J,$H91):INDEX(Attenuation!$J:$J,$H91+$I91-1),1),1),1),$I91-1))+1)))))</f>
        <v/>
      </c>
      <c r="L91" s="12" t="str">
        <f>IF($A91="","",IF(L$5&gt;2*$G91,"",EXP(FORECAST(LN(L$5),INDEX(Attenuation!$K:$K,($H91-1+MIN(MAX(IFERROR(MATCH(LN(L$5),INDEX(Attenuation!$J:$J,$H91):INDEX(Attenuation!$J:$J,$H91+$I91-1),1),1),1),$I91-1))):INDEX(Attenuation!$K:$K,($H91-1+MIN(MAX(IFERROR(MATCH(LN(L$5),INDEX(Attenuation!$J:$J,$H91):INDEX(Attenuation!$J:$J,$H91+$I91-1),1),1),1),$I91-1))+1),INDEX(Attenuation!$J:$J,($H91-1+MIN(MAX(IFERROR(MATCH(LN(L$5),INDEX(Attenuation!$J:$J,$H91):INDEX(Attenuation!$J:$J,$H91+$I91-1),1),1),1),$I91-1))):INDEX(Attenuation!$J:$J,($H91-1+MIN(MAX(IFERROR(MATCH(LN(L$5),INDEX(Attenuation!$J:$J,$H91):INDEX(Attenuation!$J:$J,$H91+$I91-1),1),1),1),$I91-1))+1)))))</f>
        <v/>
      </c>
      <c r="M91" s="12" t="str">
        <f>IF($A91="","",IF(M$5&gt;2*$G91,"",EXP(FORECAST(LN(M$5),INDEX(Attenuation!$K:$K,($H91-1+MIN(MAX(IFERROR(MATCH(LN(M$5),INDEX(Attenuation!$J:$J,$H91):INDEX(Attenuation!$J:$J,$H91+$I91-1),1),1),1),$I91-1))):INDEX(Attenuation!$K:$K,($H91-1+MIN(MAX(IFERROR(MATCH(LN(M$5),INDEX(Attenuation!$J:$J,$H91):INDEX(Attenuation!$J:$J,$H91+$I91-1),1),1),1),$I91-1))+1),INDEX(Attenuation!$J:$J,($H91-1+MIN(MAX(IFERROR(MATCH(LN(M$5),INDEX(Attenuation!$J:$J,$H91):INDEX(Attenuation!$J:$J,$H91+$I91-1),1),1),1),$I91-1))):INDEX(Attenuation!$J:$J,($H91-1+MIN(MAX(IFERROR(MATCH(LN(M$5),INDEX(Attenuation!$J:$J,$H91):INDEX(Attenuation!$J:$J,$H91+$I91-1),1),1),1),$I91-1))+1)))))</f>
        <v/>
      </c>
      <c r="N91" s="12" t="str">
        <f>IF($A91="","",IF(N$5&gt;2*$G91,"",EXP(FORECAST(LN(N$5),INDEX(Attenuation!$K:$K,($H91-1+MIN(MAX(IFERROR(MATCH(LN(N$5),INDEX(Attenuation!$J:$J,$H91):INDEX(Attenuation!$J:$J,$H91+$I91-1),1),1),1),$I91-1))):INDEX(Attenuation!$K:$K,($H91-1+MIN(MAX(IFERROR(MATCH(LN(N$5),INDEX(Attenuation!$J:$J,$H91):INDEX(Attenuation!$J:$J,$H91+$I91-1),1),1),1),$I91-1))+1),INDEX(Attenuation!$J:$J,($H91-1+MIN(MAX(IFERROR(MATCH(LN(N$5),INDEX(Attenuation!$J:$J,$H91):INDEX(Attenuation!$J:$J,$H91+$I91-1),1),1),1),$I91-1))):INDEX(Attenuation!$J:$J,($H91-1+MIN(MAX(IFERROR(MATCH(LN(N$5),INDEX(Attenuation!$J:$J,$H91):INDEX(Attenuation!$J:$J,$H91+$I91-1),1),1),1),$I91-1))+1)))))</f>
        <v/>
      </c>
      <c r="O91" s="12" t="str">
        <f>IF($A91="","",IF(O$5&gt;2*$G91,"",EXP(FORECAST(LN(O$5),INDEX(Attenuation!$K:$K,($H91-1+MIN(MAX(IFERROR(MATCH(LN(O$5),INDEX(Attenuation!$J:$J,$H91):INDEX(Attenuation!$J:$J,$H91+$I91-1),1),1),1),$I91-1))):INDEX(Attenuation!$K:$K,($H91-1+MIN(MAX(IFERROR(MATCH(LN(O$5),INDEX(Attenuation!$J:$J,$H91):INDEX(Attenuation!$J:$J,$H91+$I91-1),1),1),1),$I91-1))+1),INDEX(Attenuation!$J:$J,($H91-1+MIN(MAX(IFERROR(MATCH(LN(O$5),INDEX(Attenuation!$J:$J,$H91):INDEX(Attenuation!$J:$J,$H91+$I91-1),1),1),1),$I91-1))):INDEX(Attenuation!$J:$J,($H91-1+MIN(MAX(IFERROR(MATCH(LN(O$5),INDEX(Attenuation!$J:$J,$H91):INDEX(Attenuation!$J:$J,$H91+$I91-1),1),1),1),$I91-1))+1)))))</f>
        <v/>
      </c>
      <c r="P91" s="12" t="str">
        <f>IF($A91="","",IF(P$5&gt;2*$G91,"",EXP(FORECAST(LN(P$5),INDEX(Attenuation!$K:$K,($H91-1+MIN(MAX(IFERROR(MATCH(LN(P$5),INDEX(Attenuation!$J:$J,$H91):INDEX(Attenuation!$J:$J,$H91+$I91-1),1),1),1),$I91-1))):INDEX(Attenuation!$K:$K,($H91-1+MIN(MAX(IFERROR(MATCH(LN(P$5),INDEX(Attenuation!$J:$J,$H91):INDEX(Attenuation!$J:$J,$H91+$I91-1),1),1),1),$I91-1))+1),INDEX(Attenuation!$J:$J,($H91-1+MIN(MAX(IFERROR(MATCH(LN(P$5),INDEX(Attenuation!$J:$J,$H91):INDEX(Attenuation!$J:$J,$H91+$I91-1),1),1),1),$I91-1))):INDEX(Attenuation!$J:$J,($H91-1+MIN(MAX(IFERROR(MATCH(LN(P$5),INDEX(Attenuation!$J:$J,$H91):INDEX(Attenuation!$J:$J,$H91+$I91-1),1),1),1),$I91-1))+1)))))</f>
        <v/>
      </c>
      <c r="Q91" s="12" t="str">
        <f>IF($A91="","",IF(Q$5&gt;2*$G91,"",EXP(FORECAST(LN(Q$5),INDEX(Attenuation!$K:$K,($H91-1+MIN(MAX(IFERROR(MATCH(LN(Q$5),INDEX(Attenuation!$J:$J,$H91):INDEX(Attenuation!$J:$J,$H91+$I91-1),1),1),1),$I91-1))):INDEX(Attenuation!$K:$K,($H91-1+MIN(MAX(IFERROR(MATCH(LN(Q$5),INDEX(Attenuation!$J:$J,$H91):INDEX(Attenuation!$J:$J,$H91+$I91-1),1),1),1),$I91-1))+1),INDEX(Attenuation!$J:$J,($H91-1+MIN(MAX(IFERROR(MATCH(LN(Q$5),INDEX(Attenuation!$J:$J,$H91):INDEX(Attenuation!$J:$J,$H91+$I91-1),1),1),1),$I91-1))):INDEX(Attenuation!$J:$J,($H91-1+MIN(MAX(IFERROR(MATCH(LN(Q$5),INDEX(Attenuation!$J:$J,$H91):INDEX(Attenuation!$J:$J,$H91+$I91-1),1),1),1),$I91-1))+1)))))</f>
        <v/>
      </c>
      <c r="R91" s="12" t="str">
        <f>IF($A91="","",IF(R$5&gt;2*$G91,"",EXP(FORECAST(LN(R$5),INDEX(Attenuation!$K:$K,($H91-1+MIN(MAX(IFERROR(MATCH(LN(R$5),INDEX(Attenuation!$J:$J,$H91):INDEX(Attenuation!$J:$J,$H91+$I91-1),1),1),1),$I91-1))):INDEX(Attenuation!$K:$K,($H91-1+MIN(MAX(IFERROR(MATCH(LN(R$5),INDEX(Attenuation!$J:$J,$H91):INDEX(Attenuation!$J:$J,$H91+$I91-1),1),1),1),$I91-1))+1),INDEX(Attenuation!$J:$J,($H91-1+MIN(MAX(IFERROR(MATCH(LN(R$5),INDEX(Attenuation!$J:$J,$H91):INDEX(Attenuation!$J:$J,$H91+$I91-1),1),1),1),$I91-1))):INDEX(Attenuation!$J:$J,($H91-1+MIN(MAX(IFERROR(MATCH(LN(R$5),INDEX(Attenuation!$J:$J,$H91):INDEX(Attenuation!$J:$J,$H91+$I91-1),1),1),1),$I91-1))+1)))))</f>
        <v/>
      </c>
      <c r="S91" s="12" t="str">
        <f>IF($A91="","",IF(S$5&gt;2*$G91,"",EXP(FORECAST(LN(S$5),INDEX(Attenuation!$K:$K,($H91-1+MIN(MAX(IFERROR(MATCH(LN(S$5),INDEX(Attenuation!$J:$J,$H91):INDEX(Attenuation!$J:$J,$H91+$I91-1),1),1),1),$I91-1))):INDEX(Attenuation!$K:$K,($H91-1+MIN(MAX(IFERROR(MATCH(LN(S$5),INDEX(Attenuation!$J:$J,$H91):INDEX(Attenuation!$J:$J,$H91+$I91-1),1),1),1),$I91-1))+1),INDEX(Attenuation!$J:$J,($H91-1+MIN(MAX(IFERROR(MATCH(LN(S$5),INDEX(Attenuation!$J:$J,$H91):INDEX(Attenuation!$J:$J,$H91+$I91-1),1),1),1),$I91-1))):INDEX(Attenuation!$J:$J,($H91-1+MIN(MAX(IFERROR(MATCH(LN(S$5),INDEX(Attenuation!$J:$J,$H91):INDEX(Attenuation!$J:$J,$H91+$I91-1),1),1),1),$I91-1))+1)))))</f>
        <v/>
      </c>
      <c r="T91" s="12" t="str">
        <f>IF($A91="","",IF(T$5&gt;2*$G91,"",EXP(FORECAST(LN(T$5),INDEX(Attenuation!$K:$K,($H91-1+MIN(MAX(IFERROR(MATCH(LN(T$5),INDEX(Attenuation!$J:$J,$H91):INDEX(Attenuation!$J:$J,$H91+$I91-1),1),1),1),$I91-1))):INDEX(Attenuation!$K:$K,($H91-1+MIN(MAX(IFERROR(MATCH(LN(T$5),INDEX(Attenuation!$J:$J,$H91):INDEX(Attenuation!$J:$J,$H91+$I91-1),1),1),1),$I91-1))+1),INDEX(Attenuation!$J:$J,($H91-1+MIN(MAX(IFERROR(MATCH(LN(T$5),INDEX(Attenuation!$J:$J,$H91):INDEX(Attenuation!$J:$J,$H91+$I91-1),1),1),1),$I91-1))):INDEX(Attenuation!$J:$J,($H91-1+MIN(MAX(IFERROR(MATCH(LN(T$5),INDEX(Attenuation!$J:$J,$H91):INDEX(Attenuation!$J:$J,$H91+$I91-1),1),1),1),$I91-1))+1)))))</f>
        <v/>
      </c>
      <c r="U91" s="12" t="str">
        <f>IF($A91="","",IF(U$5&gt;2*$G91,"",EXP(FORECAST(LN(U$5),INDEX(Attenuation!$K:$K,($H91-1+MIN(MAX(IFERROR(MATCH(LN(U$5),INDEX(Attenuation!$J:$J,$H91):INDEX(Attenuation!$J:$J,$H91+$I91-1),1),1),1),$I91-1))):INDEX(Attenuation!$K:$K,($H91-1+MIN(MAX(IFERROR(MATCH(LN(U$5),INDEX(Attenuation!$J:$J,$H91):INDEX(Attenuation!$J:$J,$H91+$I91-1),1),1),1),$I91-1))+1),INDEX(Attenuation!$J:$J,($H91-1+MIN(MAX(IFERROR(MATCH(LN(U$5),INDEX(Attenuation!$J:$J,$H91):INDEX(Attenuation!$J:$J,$H91+$I91-1),1),1),1),$I91-1))):INDEX(Attenuation!$J:$J,($H91-1+MIN(MAX(IFERROR(MATCH(LN(U$5),INDEX(Attenuation!$J:$J,$H91):INDEX(Attenuation!$J:$J,$H91+$I91-1),1),1),1),$I91-1))+1)))))</f>
        <v/>
      </c>
      <c r="V91" s="1"/>
      <c r="W91" s="12" t="str">
        <f t="shared" si="24"/>
        <v/>
      </c>
      <c r="X91" s="12" t="str">
        <f t="shared" si="25"/>
        <v/>
      </c>
      <c r="Y91" s="12" t="str">
        <f t="shared" si="26"/>
        <v/>
      </c>
      <c r="Z91" s="12" t="str">
        <f t="shared" si="27"/>
        <v/>
      </c>
      <c r="AA91" s="12" t="str">
        <f t="shared" si="28"/>
        <v/>
      </c>
      <c r="AB91" s="12" t="str">
        <f t="shared" si="29"/>
        <v/>
      </c>
      <c r="AC91" s="12" t="str">
        <f t="shared" si="30"/>
        <v/>
      </c>
      <c r="AD91" s="12" t="str">
        <f t="shared" si="31"/>
        <v/>
      </c>
      <c r="AE91" s="12" t="str">
        <f t="shared" si="32"/>
        <v/>
      </c>
      <c r="AF91" s="12" t="str">
        <f t="shared" si="33"/>
        <v/>
      </c>
      <c r="AG91" s="12" t="str">
        <f t="shared" si="34"/>
        <v/>
      </c>
      <c r="AH91" s="12" t="str">
        <f t="shared" si="35"/>
        <v/>
      </c>
    </row>
    <row r="92" spans="1:34" x14ac:dyDescent="0.25">
      <c r="A92" s="11" t="str">
        <f>IF(ROWS($A$6:A92)&gt;COUNTA(Cables!$A:$A)-1,"",INDEX(Cables!$A:$A,ROWS($A$6:A92)+1))</f>
        <v/>
      </c>
      <c r="B92" s="11" t="str">
        <f>IF($A92="","",IF(INDEX(Cables!$B:$B,MATCH($A92,Cables!$A:$A,0))="","",INDEX(Cables!$B:$B,MATCH($A92,Cables!$A:$A,0))))</f>
        <v/>
      </c>
      <c r="C92" s="11" t="str">
        <f>IF($A92="","",IF(INDEX(Cables!$F:$F,MATCH($A92,Cables!$A:$A,0))="","",INDEX(Cables!$F:$F,MATCH($A92,Cables!$A:$A,0))))</f>
        <v/>
      </c>
      <c r="D92" s="11" t="str">
        <f>IF($A92="","",IF(INDEX(Cables!$H:$H,MATCH($A92,Cables!$A:$A,0))="","",INDEX(Cables!$H:$H,MATCH($A92,Cables!$A:$A,0))))</f>
        <v/>
      </c>
      <c r="E92" s="12" t="str">
        <f>IF($A92="","",IF(INDEX(Cables!$Q:$Q,MATCH($A92,Cables!$A:$A,0))="","",INDEX(Cables!$Q:$Q,MATCH($A92,Cables!$A:$A,0))))</f>
        <v/>
      </c>
      <c r="F92" s="11" t="str">
        <f>IF($A92="","",IF(INDEX(Cables!$AQ:$AQ,MATCH($A92,Cables!$A:$A,0))="","",INDEX(Cables!$AQ:$AQ,MATCH($A92,Cables!$A:$A,0))))</f>
        <v/>
      </c>
      <c r="G92" s="11" t="str">
        <f>IF($A92="","",IF(INDEX(Cables!$AR:$AR,MATCH($A92,Cables!$A:$A,0))="","",INDEX(Cables!$AR:$AR,MATCH($A92,Cables!$A:$A,0))))</f>
        <v/>
      </c>
      <c r="H92" s="11" t="str">
        <f>IF($A92="","",IF(INDEX(Cables!$AO:$AO,MATCH($A92,Cables!$A:$A,0))="","",INDEX(Cables!$AO:$AO,MATCH($A92,Cables!$A:$A,0))))</f>
        <v/>
      </c>
      <c r="I92" s="11" t="str">
        <f>IF($A92="","",IF(INDEX(Cables!$AP:$AP,MATCH($A92,Cables!$A:$A,0))="","",INDEX(Cables!$AP:$AP,MATCH($A92,Cables!$A:$A,0))))</f>
        <v/>
      </c>
      <c r="J92" s="12" t="str">
        <f>IF($A92="","",IF(J$5&gt;2*$G92,"",EXP(FORECAST(LN(J$5),INDEX(Attenuation!$K:$K,($H92-1+MIN(MAX(IFERROR(MATCH(LN(J$5),INDEX(Attenuation!$J:$J,$H92):INDEX(Attenuation!$J:$J,$H92+$I92-1),1),1),1),$I92-1))):INDEX(Attenuation!$K:$K,($H92-1+MIN(MAX(IFERROR(MATCH(LN(J$5),INDEX(Attenuation!$J:$J,$H92):INDEX(Attenuation!$J:$J,$H92+$I92-1),1),1),1),$I92-1))+1),INDEX(Attenuation!$J:$J,($H92-1+MIN(MAX(IFERROR(MATCH(LN(J$5),INDEX(Attenuation!$J:$J,$H92):INDEX(Attenuation!$J:$J,$H92+$I92-1),1),1),1),$I92-1))):INDEX(Attenuation!$J:$J,($H92-1+MIN(MAX(IFERROR(MATCH(LN(J$5),INDEX(Attenuation!$J:$J,$H92):INDEX(Attenuation!$J:$J,$H92+$I92-1),1),1),1),$I92-1))+1)))))</f>
        <v/>
      </c>
      <c r="K92" s="12" t="str">
        <f>IF($A92="","",IF(K$5&gt;2*$G92,"",EXP(FORECAST(LN(K$5),INDEX(Attenuation!$K:$K,($H92-1+MIN(MAX(IFERROR(MATCH(LN(K$5),INDEX(Attenuation!$J:$J,$H92):INDEX(Attenuation!$J:$J,$H92+$I92-1),1),1),1),$I92-1))):INDEX(Attenuation!$K:$K,($H92-1+MIN(MAX(IFERROR(MATCH(LN(K$5),INDEX(Attenuation!$J:$J,$H92):INDEX(Attenuation!$J:$J,$H92+$I92-1),1),1),1),$I92-1))+1),INDEX(Attenuation!$J:$J,($H92-1+MIN(MAX(IFERROR(MATCH(LN(K$5),INDEX(Attenuation!$J:$J,$H92):INDEX(Attenuation!$J:$J,$H92+$I92-1),1),1),1),$I92-1))):INDEX(Attenuation!$J:$J,($H92-1+MIN(MAX(IFERROR(MATCH(LN(K$5),INDEX(Attenuation!$J:$J,$H92):INDEX(Attenuation!$J:$J,$H92+$I92-1),1),1),1),$I92-1))+1)))))</f>
        <v/>
      </c>
      <c r="L92" s="12" t="str">
        <f>IF($A92="","",IF(L$5&gt;2*$G92,"",EXP(FORECAST(LN(L$5),INDEX(Attenuation!$K:$K,($H92-1+MIN(MAX(IFERROR(MATCH(LN(L$5),INDEX(Attenuation!$J:$J,$H92):INDEX(Attenuation!$J:$J,$H92+$I92-1),1),1),1),$I92-1))):INDEX(Attenuation!$K:$K,($H92-1+MIN(MAX(IFERROR(MATCH(LN(L$5),INDEX(Attenuation!$J:$J,$H92):INDEX(Attenuation!$J:$J,$H92+$I92-1),1),1),1),$I92-1))+1),INDEX(Attenuation!$J:$J,($H92-1+MIN(MAX(IFERROR(MATCH(LN(L$5),INDEX(Attenuation!$J:$J,$H92):INDEX(Attenuation!$J:$J,$H92+$I92-1),1),1),1),$I92-1))):INDEX(Attenuation!$J:$J,($H92-1+MIN(MAX(IFERROR(MATCH(LN(L$5),INDEX(Attenuation!$J:$J,$H92):INDEX(Attenuation!$J:$J,$H92+$I92-1),1),1),1),$I92-1))+1)))))</f>
        <v/>
      </c>
      <c r="M92" s="12" t="str">
        <f>IF($A92="","",IF(M$5&gt;2*$G92,"",EXP(FORECAST(LN(M$5),INDEX(Attenuation!$K:$K,($H92-1+MIN(MAX(IFERROR(MATCH(LN(M$5),INDEX(Attenuation!$J:$J,$H92):INDEX(Attenuation!$J:$J,$H92+$I92-1),1),1),1),$I92-1))):INDEX(Attenuation!$K:$K,($H92-1+MIN(MAX(IFERROR(MATCH(LN(M$5),INDEX(Attenuation!$J:$J,$H92):INDEX(Attenuation!$J:$J,$H92+$I92-1),1),1),1),$I92-1))+1),INDEX(Attenuation!$J:$J,($H92-1+MIN(MAX(IFERROR(MATCH(LN(M$5),INDEX(Attenuation!$J:$J,$H92):INDEX(Attenuation!$J:$J,$H92+$I92-1),1),1),1),$I92-1))):INDEX(Attenuation!$J:$J,($H92-1+MIN(MAX(IFERROR(MATCH(LN(M$5),INDEX(Attenuation!$J:$J,$H92):INDEX(Attenuation!$J:$J,$H92+$I92-1),1),1),1),$I92-1))+1)))))</f>
        <v/>
      </c>
      <c r="N92" s="12" t="str">
        <f>IF($A92="","",IF(N$5&gt;2*$G92,"",EXP(FORECAST(LN(N$5),INDEX(Attenuation!$K:$K,($H92-1+MIN(MAX(IFERROR(MATCH(LN(N$5),INDEX(Attenuation!$J:$J,$H92):INDEX(Attenuation!$J:$J,$H92+$I92-1),1),1),1),$I92-1))):INDEX(Attenuation!$K:$K,($H92-1+MIN(MAX(IFERROR(MATCH(LN(N$5),INDEX(Attenuation!$J:$J,$H92):INDEX(Attenuation!$J:$J,$H92+$I92-1),1),1),1),$I92-1))+1),INDEX(Attenuation!$J:$J,($H92-1+MIN(MAX(IFERROR(MATCH(LN(N$5),INDEX(Attenuation!$J:$J,$H92):INDEX(Attenuation!$J:$J,$H92+$I92-1),1),1),1),$I92-1))):INDEX(Attenuation!$J:$J,($H92-1+MIN(MAX(IFERROR(MATCH(LN(N$5),INDEX(Attenuation!$J:$J,$H92):INDEX(Attenuation!$J:$J,$H92+$I92-1),1),1),1),$I92-1))+1)))))</f>
        <v/>
      </c>
      <c r="O92" s="12" t="str">
        <f>IF($A92="","",IF(O$5&gt;2*$G92,"",EXP(FORECAST(LN(O$5),INDEX(Attenuation!$K:$K,($H92-1+MIN(MAX(IFERROR(MATCH(LN(O$5),INDEX(Attenuation!$J:$J,$H92):INDEX(Attenuation!$J:$J,$H92+$I92-1),1),1),1),$I92-1))):INDEX(Attenuation!$K:$K,($H92-1+MIN(MAX(IFERROR(MATCH(LN(O$5),INDEX(Attenuation!$J:$J,$H92):INDEX(Attenuation!$J:$J,$H92+$I92-1),1),1),1),$I92-1))+1),INDEX(Attenuation!$J:$J,($H92-1+MIN(MAX(IFERROR(MATCH(LN(O$5),INDEX(Attenuation!$J:$J,$H92):INDEX(Attenuation!$J:$J,$H92+$I92-1),1),1),1),$I92-1))):INDEX(Attenuation!$J:$J,($H92-1+MIN(MAX(IFERROR(MATCH(LN(O$5),INDEX(Attenuation!$J:$J,$H92):INDEX(Attenuation!$J:$J,$H92+$I92-1),1),1),1),$I92-1))+1)))))</f>
        <v/>
      </c>
      <c r="P92" s="12" t="str">
        <f>IF($A92="","",IF(P$5&gt;2*$G92,"",EXP(FORECAST(LN(P$5),INDEX(Attenuation!$K:$K,($H92-1+MIN(MAX(IFERROR(MATCH(LN(P$5),INDEX(Attenuation!$J:$J,$H92):INDEX(Attenuation!$J:$J,$H92+$I92-1),1),1),1),$I92-1))):INDEX(Attenuation!$K:$K,($H92-1+MIN(MAX(IFERROR(MATCH(LN(P$5),INDEX(Attenuation!$J:$J,$H92):INDEX(Attenuation!$J:$J,$H92+$I92-1),1),1),1),$I92-1))+1),INDEX(Attenuation!$J:$J,($H92-1+MIN(MAX(IFERROR(MATCH(LN(P$5),INDEX(Attenuation!$J:$J,$H92):INDEX(Attenuation!$J:$J,$H92+$I92-1),1),1),1),$I92-1))):INDEX(Attenuation!$J:$J,($H92-1+MIN(MAX(IFERROR(MATCH(LN(P$5),INDEX(Attenuation!$J:$J,$H92):INDEX(Attenuation!$J:$J,$H92+$I92-1),1),1),1),$I92-1))+1)))))</f>
        <v/>
      </c>
      <c r="Q92" s="12" t="str">
        <f>IF($A92="","",IF(Q$5&gt;2*$G92,"",EXP(FORECAST(LN(Q$5),INDEX(Attenuation!$K:$K,($H92-1+MIN(MAX(IFERROR(MATCH(LN(Q$5),INDEX(Attenuation!$J:$J,$H92):INDEX(Attenuation!$J:$J,$H92+$I92-1),1),1),1),$I92-1))):INDEX(Attenuation!$K:$K,($H92-1+MIN(MAX(IFERROR(MATCH(LN(Q$5),INDEX(Attenuation!$J:$J,$H92):INDEX(Attenuation!$J:$J,$H92+$I92-1),1),1),1),$I92-1))+1),INDEX(Attenuation!$J:$J,($H92-1+MIN(MAX(IFERROR(MATCH(LN(Q$5),INDEX(Attenuation!$J:$J,$H92):INDEX(Attenuation!$J:$J,$H92+$I92-1),1),1),1),$I92-1))):INDEX(Attenuation!$J:$J,($H92-1+MIN(MAX(IFERROR(MATCH(LN(Q$5),INDEX(Attenuation!$J:$J,$H92):INDEX(Attenuation!$J:$J,$H92+$I92-1),1),1),1),$I92-1))+1)))))</f>
        <v/>
      </c>
      <c r="R92" s="12" t="str">
        <f>IF($A92="","",IF(R$5&gt;2*$G92,"",EXP(FORECAST(LN(R$5),INDEX(Attenuation!$K:$K,($H92-1+MIN(MAX(IFERROR(MATCH(LN(R$5),INDEX(Attenuation!$J:$J,$H92):INDEX(Attenuation!$J:$J,$H92+$I92-1),1),1),1),$I92-1))):INDEX(Attenuation!$K:$K,($H92-1+MIN(MAX(IFERROR(MATCH(LN(R$5),INDEX(Attenuation!$J:$J,$H92):INDEX(Attenuation!$J:$J,$H92+$I92-1),1),1),1),$I92-1))+1),INDEX(Attenuation!$J:$J,($H92-1+MIN(MAX(IFERROR(MATCH(LN(R$5),INDEX(Attenuation!$J:$J,$H92):INDEX(Attenuation!$J:$J,$H92+$I92-1),1),1),1),$I92-1))):INDEX(Attenuation!$J:$J,($H92-1+MIN(MAX(IFERROR(MATCH(LN(R$5),INDEX(Attenuation!$J:$J,$H92):INDEX(Attenuation!$J:$J,$H92+$I92-1),1),1),1),$I92-1))+1)))))</f>
        <v/>
      </c>
      <c r="S92" s="12" t="str">
        <f>IF($A92="","",IF(S$5&gt;2*$G92,"",EXP(FORECAST(LN(S$5),INDEX(Attenuation!$K:$K,($H92-1+MIN(MAX(IFERROR(MATCH(LN(S$5),INDEX(Attenuation!$J:$J,$H92):INDEX(Attenuation!$J:$J,$H92+$I92-1),1),1),1),$I92-1))):INDEX(Attenuation!$K:$K,($H92-1+MIN(MAX(IFERROR(MATCH(LN(S$5),INDEX(Attenuation!$J:$J,$H92):INDEX(Attenuation!$J:$J,$H92+$I92-1),1),1),1),$I92-1))+1),INDEX(Attenuation!$J:$J,($H92-1+MIN(MAX(IFERROR(MATCH(LN(S$5),INDEX(Attenuation!$J:$J,$H92):INDEX(Attenuation!$J:$J,$H92+$I92-1),1),1),1),$I92-1))):INDEX(Attenuation!$J:$J,($H92-1+MIN(MAX(IFERROR(MATCH(LN(S$5),INDEX(Attenuation!$J:$J,$H92):INDEX(Attenuation!$J:$J,$H92+$I92-1),1),1),1),$I92-1))+1)))))</f>
        <v/>
      </c>
      <c r="T92" s="12" t="str">
        <f>IF($A92="","",IF(T$5&gt;2*$G92,"",EXP(FORECAST(LN(T$5),INDEX(Attenuation!$K:$K,($H92-1+MIN(MAX(IFERROR(MATCH(LN(T$5),INDEX(Attenuation!$J:$J,$H92):INDEX(Attenuation!$J:$J,$H92+$I92-1),1),1),1),$I92-1))):INDEX(Attenuation!$K:$K,($H92-1+MIN(MAX(IFERROR(MATCH(LN(T$5),INDEX(Attenuation!$J:$J,$H92):INDEX(Attenuation!$J:$J,$H92+$I92-1),1),1),1),$I92-1))+1),INDEX(Attenuation!$J:$J,($H92-1+MIN(MAX(IFERROR(MATCH(LN(T$5),INDEX(Attenuation!$J:$J,$H92):INDEX(Attenuation!$J:$J,$H92+$I92-1),1),1),1),$I92-1))):INDEX(Attenuation!$J:$J,($H92-1+MIN(MAX(IFERROR(MATCH(LN(T$5),INDEX(Attenuation!$J:$J,$H92):INDEX(Attenuation!$J:$J,$H92+$I92-1),1),1),1),$I92-1))+1)))))</f>
        <v/>
      </c>
      <c r="U92" s="12" t="str">
        <f>IF($A92="","",IF(U$5&gt;2*$G92,"",EXP(FORECAST(LN(U$5),INDEX(Attenuation!$K:$K,($H92-1+MIN(MAX(IFERROR(MATCH(LN(U$5),INDEX(Attenuation!$J:$J,$H92):INDEX(Attenuation!$J:$J,$H92+$I92-1),1),1),1),$I92-1))):INDEX(Attenuation!$K:$K,($H92-1+MIN(MAX(IFERROR(MATCH(LN(U$5),INDEX(Attenuation!$J:$J,$H92):INDEX(Attenuation!$J:$J,$H92+$I92-1),1),1),1),$I92-1))+1),INDEX(Attenuation!$J:$J,($H92-1+MIN(MAX(IFERROR(MATCH(LN(U$5),INDEX(Attenuation!$J:$J,$H92):INDEX(Attenuation!$J:$J,$H92+$I92-1),1),1),1),$I92-1))):INDEX(Attenuation!$J:$J,($H92-1+MIN(MAX(IFERROR(MATCH(LN(U$5),INDEX(Attenuation!$J:$J,$H92):INDEX(Attenuation!$J:$J,$H92+$I92-1),1),1),1),$I92-1))+1)))))</f>
        <v/>
      </c>
      <c r="V92" s="1"/>
      <c r="W92" s="12" t="str">
        <f t="shared" si="24"/>
        <v/>
      </c>
      <c r="X92" s="12" t="str">
        <f t="shared" si="25"/>
        <v/>
      </c>
      <c r="Y92" s="12" t="str">
        <f t="shared" si="26"/>
        <v/>
      </c>
      <c r="Z92" s="12" t="str">
        <f t="shared" si="27"/>
        <v/>
      </c>
      <c r="AA92" s="12" t="str">
        <f t="shared" si="28"/>
        <v/>
      </c>
      <c r="AB92" s="12" t="str">
        <f t="shared" si="29"/>
        <v/>
      </c>
      <c r="AC92" s="12" t="str">
        <f t="shared" si="30"/>
        <v/>
      </c>
      <c r="AD92" s="12" t="str">
        <f t="shared" si="31"/>
        <v/>
      </c>
      <c r="AE92" s="12" t="str">
        <f t="shared" si="32"/>
        <v/>
      </c>
      <c r="AF92" s="12" t="str">
        <f t="shared" si="33"/>
        <v/>
      </c>
      <c r="AG92" s="12" t="str">
        <f t="shared" si="34"/>
        <v/>
      </c>
      <c r="AH92" s="12" t="str">
        <f t="shared" si="35"/>
        <v/>
      </c>
    </row>
    <row r="93" spans="1:34" x14ac:dyDescent="0.25">
      <c r="A93" s="11" t="str">
        <f>IF(ROWS($A$6:A93)&gt;COUNTA(Cables!$A:$A)-1,"",INDEX(Cables!$A:$A,ROWS($A$6:A93)+1))</f>
        <v/>
      </c>
      <c r="B93" s="11" t="str">
        <f>IF($A93="","",IF(INDEX(Cables!$B:$B,MATCH($A93,Cables!$A:$A,0))="","",INDEX(Cables!$B:$B,MATCH($A93,Cables!$A:$A,0))))</f>
        <v/>
      </c>
      <c r="C93" s="11" t="str">
        <f>IF($A93="","",IF(INDEX(Cables!$F:$F,MATCH($A93,Cables!$A:$A,0))="","",INDEX(Cables!$F:$F,MATCH($A93,Cables!$A:$A,0))))</f>
        <v/>
      </c>
      <c r="D93" s="11" t="str">
        <f>IF($A93="","",IF(INDEX(Cables!$H:$H,MATCH($A93,Cables!$A:$A,0))="","",INDEX(Cables!$H:$H,MATCH($A93,Cables!$A:$A,0))))</f>
        <v/>
      </c>
      <c r="E93" s="12" t="str">
        <f>IF($A93="","",IF(INDEX(Cables!$Q:$Q,MATCH($A93,Cables!$A:$A,0))="","",INDEX(Cables!$Q:$Q,MATCH($A93,Cables!$A:$A,0))))</f>
        <v/>
      </c>
      <c r="F93" s="11" t="str">
        <f>IF($A93="","",IF(INDEX(Cables!$AQ:$AQ,MATCH($A93,Cables!$A:$A,0))="","",INDEX(Cables!$AQ:$AQ,MATCH($A93,Cables!$A:$A,0))))</f>
        <v/>
      </c>
      <c r="G93" s="11" t="str">
        <f>IF($A93="","",IF(INDEX(Cables!$AR:$AR,MATCH($A93,Cables!$A:$A,0))="","",INDEX(Cables!$AR:$AR,MATCH($A93,Cables!$A:$A,0))))</f>
        <v/>
      </c>
      <c r="H93" s="11" t="str">
        <f>IF($A93="","",IF(INDEX(Cables!$AO:$AO,MATCH($A93,Cables!$A:$A,0))="","",INDEX(Cables!$AO:$AO,MATCH($A93,Cables!$A:$A,0))))</f>
        <v/>
      </c>
      <c r="I93" s="11" t="str">
        <f>IF($A93="","",IF(INDEX(Cables!$AP:$AP,MATCH($A93,Cables!$A:$A,0))="","",INDEX(Cables!$AP:$AP,MATCH($A93,Cables!$A:$A,0))))</f>
        <v/>
      </c>
      <c r="J93" s="12" t="str">
        <f>IF($A93="","",IF(J$5&gt;2*$G93,"",EXP(FORECAST(LN(J$5),INDEX(Attenuation!$K:$K,($H93-1+MIN(MAX(IFERROR(MATCH(LN(J$5),INDEX(Attenuation!$J:$J,$H93):INDEX(Attenuation!$J:$J,$H93+$I93-1),1),1),1),$I93-1))):INDEX(Attenuation!$K:$K,($H93-1+MIN(MAX(IFERROR(MATCH(LN(J$5),INDEX(Attenuation!$J:$J,$H93):INDEX(Attenuation!$J:$J,$H93+$I93-1),1),1),1),$I93-1))+1),INDEX(Attenuation!$J:$J,($H93-1+MIN(MAX(IFERROR(MATCH(LN(J$5),INDEX(Attenuation!$J:$J,$H93):INDEX(Attenuation!$J:$J,$H93+$I93-1),1),1),1),$I93-1))):INDEX(Attenuation!$J:$J,($H93-1+MIN(MAX(IFERROR(MATCH(LN(J$5),INDEX(Attenuation!$J:$J,$H93):INDEX(Attenuation!$J:$J,$H93+$I93-1),1),1),1),$I93-1))+1)))))</f>
        <v/>
      </c>
      <c r="K93" s="12" t="str">
        <f>IF($A93="","",IF(K$5&gt;2*$G93,"",EXP(FORECAST(LN(K$5),INDEX(Attenuation!$K:$K,($H93-1+MIN(MAX(IFERROR(MATCH(LN(K$5),INDEX(Attenuation!$J:$J,$H93):INDEX(Attenuation!$J:$J,$H93+$I93-1),1),1),1),$I93-1))):INDEX(Attenuation!$K:$K,($H93-1+MIN(MAX(IFERROR(MATCH(LN(K$5),INDEX(Attenuation!$J:$J,$H93):INDEX(Attenuation!$J:$J,$H93+$I93-1),1),1),1),$I93-1))+1),INDEX(Attenuation!$J:$J,($H93-1+MIN(MAX(IFERROR(MATCH(LN(K$5),INDEX(Attenuation!$J:$J,$H93):INDEX(Attenuation!$J:$J,$H93+$I93-1),1),1),1),$I93-1))):INDEX(Attenuation!$J:$J,($H93-1+MIN(MAX(IFERROR(MATCH(LN(K$5),INDEX(Attenuation!$J:$J,$H93):INDEX(Attenuation!$J:$J,$H93+$I93-1),1),1),1),$I93-1))+1)))))</f>
        <v/>
      </c>
      <c r="L93" s="12" t="str">
        <f>IF($A93="","",IF(L$5&gt;2*$G93,"",EXP(FORECAST(LN(L$5),INDEX(Attenuation!$K:$K,($H93-1+MIN(MAX(IFERROR(MATCH(LN(L$5),INDEX(Attenuation!$J:$J,$H93):INDEX(Attenuation!$J:$J,$H93+$I93-1),1),1),1),$I93-1))):INDEX(Attenuation!$K:$K,($H93-1+MIN(MAX(IFERROR(MATCH(LN(L$5),INDEX(Attenuation!$J:$J,$H93):INDEX(Attenuation!$J:$J,$H93+$I93-1),1),1),1),$I93-1))+1),INDEX(Attenuation!$J:$J,($H93-1+MIN(MAX(IFERROR(MATCH(LN(L$5),INDEX(Attenuation!$J:$J,$H93):INDEX(Attenuation!$J:$J,$H93+$I93-1),1),1),1),$I93-1))):INDEX(Attenuation!$J:$J,($H93-1+MIN(MAX(IFERROR(MATCH(LN(L$5),INDEX(Attenuation!$J:$J,$H93):INDEX(Attenuation!$J:$J,$H93+$I93-1),1),1),1),$I93-1))+1)))))</f>
        <v/>
      </c>
      <c r="M93" s="12" t="str">
        <f>IF($A93="","",IF(M$5&gt;2*$G93,"",EXP(FORECAST(LN(M$5),INDEX(Attenuation!$K:$K,($H93-1+MIN(MAX(IFERROR(MATCH(LN(M$5),INDEX(Attenuation!$J:$J,$H93):INDEX(Attenuation!$J:$J,$H93+$I93-1),1),1),1),$I93-1))):INDEX(Attenuation!$K:$K,($H93-1+MIN(MAX(IFERROR(MATCH(LN(M$5),INDEX(Attenuation!$J:$J,$H93):INDEX(Attenuation!$J:$J,$H93+$I93-1),1),1),1),$I93-1))+1),INDEX(Attenuation!$J:$J,($H93-1+MIN(MAX(IFERROR(MATCH(LN(M$5),INDEX(Attenuation!$J:$J,$H93):INDEX(Attenuation!$J:$J,$H93+$I93-1),1),1),1),$I93-1))):INDEX(Attenuation!$J:$J,($H93-1+MIN(MAX(IFERROR(MATCH(LN(M$5),INDEX(Attenuation!$J:$J,$H93):INDEX(Attenuation!$J:$J,$H93+$I93-1),1),1),1),$I93-1))+1)))))</f>
        <v/>
      </c>
      <c r="N93" s="12" t="str">
        <f>IF($A93="","",IF(N$5&gt;2*$G93,"",EXP(FORECAST(LN(N$5),INDEX(Attenuation!$K:$K,($H93-1+MIN(MAX(IFERROR(MATCH(LN(N$5),INDEX(Attenuation!$J:$J,$H93):INDEX(Attenuation!$J:$J,$H93+$I93-1),1),1),1),$I93-1))):INDEX(Attenuation!$K:$K,($H93-1+MIN(MAX(IFERROR(MATCH(LN(N$5),INDEX(Attenuation!$J:$J,$H93):INDEX(Attenuation!$J:$J,$H93+$I93-1),1),1),1),$I93-1))+1),INDEX(Attenuation!$J:$J,($H93-1+MIN(MAX(IFERROR(MATCH(LN(N$5),INDEX(Attenuation!$J:$J,$H93):INDEX(Attenuation!$J:$J,$H93+$I93-1),1),1),1),$I93-1))):INDEX(Attenuation!$J:$J,($H93-1+MIN(MAX(IFERROR(MATCH(LN(N$5),INDEX(Attenuation!$J:$J,$H93):INDEX(Attenuation!$J:$J,$H93+$I93-1),1),1),1),$I93-1))+1)))))</f>
        <v/>
      </c>
      <c r="O93" s="12" t="str">
        <f>IF($A93="","",IF(O$5&gt;2*$G93,"",EXP(FORECAST(LN(O$5),INDEX(Attenuation!$K:$K,($H93-1+MIN(MAX(IFERROR(MATCH(LN(O$5),INDEX(Attenuation!$J:$J,$H93):INDEX(Attenuation!$J:$J,$H93+$I93-1),1),1),1),$I93-1))):INDEX(Attenuation!$K:$K,($H93-1+MIN(MAX(IFERROR(MATCH(LN(O$5),INDEX(Attenuation!$J:$J,$H93):INDEX(Attenuation!$J:$J,$H93+$I93-1),1),1),1),$I93-1))+1),INDEX(Attenuation!$J:$J,($H93-1+MIN(MAX(IFERROR(MATCH(LN(O$5),INDEX(Attenuation!$J:$J,$H93):INDEX(Attenuation!$J:$J,$H93+$I93-1),1),1),1),$I93-1))):INDEX(Attenuation!$J:$J,($H93-1+MIN(MAX(IFERROR(MATCH(LN(O$5),INDEX(Attenuation!$J:$J,$H93):INDEX(Attenuation!$J:$J,$H93+$I93-1),1),1),1),$I93-1))+1)))))</f>
        <v/>
      </c>
      <c r="P93" s="12" t="str">
        <f>IF($A93="","",IF(P$5&gt;2*$G93,"",EXP(FORECAST(LN(P$5),INDEX(Attenuation!$K:$K,($H93-1+MIN(MAX(IFERROR(MATCH(LN(P$5),INDEX(Attenuation!$J:$J,$H93):INDEX(Attenuation!$J:$J,$H93+$I93-1),1),1),1),$I93-1))):INDEX(Attenuation!$K:$K,($H93-1+MIN(MAX(IFERROR(MATCH(LN(P$5),INDEX(Attenuation!$J:$J,$H93):INDEX(Attenuation!$J:$J,$H93+$I93-1),1),1),1),$I93-1))+1),INDEX(Attenuation!$J:$J,($H93-1+MIN(MAX(IFERROR(MATCH(LN(P$5),INDEX(Attenuation!$J:$J,$H93):INDEX(Attenuation!$J:$J,$H93+$I93-1),1),1),1),$I93-1))):INDEX(Attenuation!$J:$J,($H93-1+MIN(MAX(IFERROR(MATCH(LN(P$5),INDEX(Attenuation!$J:$J,$H93):INDEX(Attenuation!$J:$J,$H93+$I93-1),1),1),1),$I93-1))+1)))))</f>
        <v/>
      </c>
      <c r="Q93" s="12" t="str">
        <f>IF($A93="","",IF(Q$5&gt;2*$G93,"",EXP(FORECAST(LN(Q$5),INDEX(Attenuation!$K:$K,($H93-1+MIN(MAX(IFERROR(MATCH(LN(Q$5),INDEX(Attenuation!$J:$J,$H93):INDEX(Attenuation!$J:$J,$H93+$I93-1),1),1),1),$I93-1))):INDEX(Attenuation!$K:$K,($H93-1+MIN(MAX(IFERROR(MATCH(LN(Q$5),INDEX(Attenuation!$J:$J,$H93):INDEX(Attenuation!$J:$J,$H93+$I93-1),1),1),1),$I93-1))+1),INDEX(Attenuation!$J:$J,($H93-1+MIN(MAX(IFERROR(MATCH(LN(Q$5),INDEX(Attenuation!$J:$J,$H93):INDEX(Attenuation!$J:$J,$H93+$I93-1),1),1),1),$I93-1))):INDEX(Attenuation!$J:$J,($H93-1+MIN(MAX(IFERROR(MATCH(LN(Q$5),INDEX(Attenuation!$J:$J,$H93):INDEX(Attenuation!$J:$J,$H93+$I93-1),1),1),1),$I93-1))+1)))))</f>
        <v/>
      </c>
      <c r="R93" s="12" t="str">
        <f>IF($A93="","",IF(R$5&gt;2*$G93,"",EXP(FORECAST(LN(R$5),INDEX(Attenuation!$K:$K,($H93-1+MIN(MAX(IFERROR(MATCH(LN(R$5),INDEX(Attenuation!$J:$J,$H93):INDEX(Attenuation!$J:$J,$H93+$I93-1),1),1),1),$I93-1))):INDEX(Attenuation!$K:$K,($H93-1+MIN(MAX(IFERROR(MATCH(LN(R$5),INDEX(Attenuation!$J:$J,$H93):INDEX(Attenuation!$J:$J,$H93+$I93-1),1),1),1),$I93-1))+1),INDEX(Attenuation!$J:$J,($H93-1+MIN(MAX(IFERROR(MATCH(LN(R$5),INDEX(Attenuation!$J:$J,$H93):INDEX(Attenuation!$J:$J,$H93+$I93-1),1),1),1),$I93-1))):INDEX(Attenuation!$J:$J,($H93-1+MIN(MAX(IFERROR(MATCH(LN(R$5),INDEX(Attenuation!$J:$J,$H93):INDEX(Attenuation!$J:$J,$H93+$I93-1),1),1),1),$I93-1))+1)))))</f>
        <v/>
      </c>
      <c r="S93" s="12" t="str">
        <f>IF($A93="","",IF(S$5&gt;2*$G93,"",EXP(FORECAST(LN(S$5),INDEX(Attenuation!$K:$K,($H93-1+MIN(MAX(IFERROR(MATCH(LN(S$5),INDEX(Attenuation!$J:$J,$H93):INDEX(Attenuation!$J:$J,$H93+$I93-1),1),1),1),$I93-1))):INDEX(Attenuation!$K:$K,($H93-1+MIN(MAX(IFERROR(MATCH(LN(S$5),INDEX(Attenuation!$J:$J,$H93):INDEX(Attenuation!$J:$J,$H93+$I93-1),1),1),1),$I93-1))+1),INDEX(Attenuation!$J:$J,($H93-1+MIN(MAX(IFERROR(MATCH(LN(S$5),INDEX(Attenuation!$J:$J,$H93):INDEX(Attenuation!$J:$J,$H93+$I93-1),1),1),1),$I93-1))):INDEX(Attenuation!$J:$J,($H93-1+MIN(MAX(IFERROR(MATCH(LN(S$5),INDEX(Attenuation!$J:$J,$H93):INDEX(Attenuation!$J:$J,$H93+$I93-1),1),1),1),$I93-1))+1)))))</f>
        <v/>
      </c>
      <c r="T93" s="12" t="str">
        <f>IF($A93="","",IF(T$5&gt;2*$G93,"",EXP(FORECAST(LN(T$5),INDEX(Attenuation!$K:$K,($H93-1+MIN(MAX(IFERROR(MATCH(LN(T$5),INDEX(Attenuation!$J:$J,$H93):INDEX(Attenuation!$J:$J,$H93+$I93-1),1),1),1),$I93-1))):INDEX(Attenuation!$K:$K,($H93-1+MIN(MAX(IFERROR(MATCH(LN(T$5),INDEX(Attenuation!$J:$J,$H93):INDEX(Attenuation!$J:$J,$H93+$I93-1),1),1),1),$I93-1))+1),INDEX(Attenuation!$J:$J,($H93-1+MIN(MAX(IFERROR(MATCH(LN(T$5),INDEX(Attenuation!$J:$J,$H93):INDEX(Attenuation!$J:$J,$H93+$I93-1),1),1),1),$I93-1))):INDEX(Attenuation!$J:$J,($H93-1+MIN(MAX(IFERROR(MATCH(LN(T$5),INDEX(Attenuation!$J:$J,$H93):INDEX(Attenuation!$J:$J,$H93+$I93-1),1),1),1),$I93-1))+1)))))</f>
        <v/>
      </c>
      <c r="U93" s="12" t="str">
        <f>IF($A93="","",IF(U$5&gt;2*$G93,"",EXP(FORECAST(LN(U$5),INDEX(Attenuation!$K:$K,($H93-1+MIN(MAX(IFERROR(MATCH(LN(U$5),INDEX(Attenuation!$J:$J,$H93):INDEX(Attenuation!$J:$J,$H93+$I93-1),1),1),1),$I93-1))):INDEX(Attenuation!$K:$K,($H93-1+MIN(MAX(IFERROR(MATCH(LN(U$5),INDEX(Attenuation!$J:$J,$H93):INDEX(Attenuation!$J:$J,$H93+$I93-1),1),1),1),$I93-1))+1),INDEX(Attenuation!$J:$J,($H93-1+MIN(MAX(IFERROR(MATCH(LN(U$5),INDEX(Attenuation!$J:$J,$H93):INDEX(Attenuation!$J:$J,$H93+$I93-1),1),1),1),$I93-1))):INDEX(Attenuation!$J:$J,($H93-1+MIN(MAX(IFERROR(MATCH(LN(U$5),INDEX(Attenuation!$J:$J,$H93):INDEX(Attenuation!$J:$J,$H93+$I93-1),1),1),1),$I93-1))+1)))))</f>
        <v/>
      </c>
      <c r="V93" s="1"/>
      <c r="W93" s="12" t="str">
        <f t="shared" si="24"/>
        <v/>
      </c>
      <c r="X93" s="12" t="str">
        <f t="shared" si="25"/>
        <v/>
      </c>
      <c r="Y93" s="12" t="str">
        <f t="shared" si="26"/>
        <v/>
      </c>
      <c r="Z93" s="12" t="str">
        <f t="shared" si="27"/>
        <v/>
      </c>
      <c r="AA93" s="12" t="str">
        <f t="shared" si="28"/>
        <v/>
      </c>
      <c r="AB93" s="12" t="str">
        <f t="shared" si="29"/>
        <v/>
      </c>
      <c r="AC93" s="12" t="str">
        <f t="shared" si="30"/>
        <v/>
      </c>
      <c r="AD93" s="12" t="str">
        <f t="shared" si="31"/>
        <v/>
      </c>
      <c r="AE93" s="12" t="str">
        <f t="shared" si="32"/>
        <v/>
      </c>
      <c r="AF93" s="12" t="str">
        <f t="shared" si="33"/>
        <v/>
      </c>
      <c r="AG93" s="12" t="str">
        <f t="shared" si="34"/>
        <v/>
      </c>
      <c r="AH93" s="12" t="str">
        <f t="shared" si="35"/>
        <v/>
      </c>
    </row>
    <row r="94" spans="1:34" x14ac:dyDescent="0.25">
      <c r="A94" s="11" t="str">
        <f>IF(ROWS($A$6:A94)&gt;COUNTA(Cables!$A:$A)-1,"",INDEX(Cables!$A:$A,ROWS($A$6:A94)+1))</f>
        <v/>
      </c>
      <c r="B94" s="11" t="str">
        <f>IF($A94="","",IF(INDEX(Cables!$B:$B,MATCH($A94,Cables!$A:$A,0))="","",INDEX(Cables!$B:$B,MATCH($A94,Cables!$A:$A,0))))</f>
        <v/>
      </c>
      <c r="C94" s="11" t="str">
        <f>IF($A94="","",IF(INDEX(Cables!$F:$F,MATCH($A94,Cables!$A:$A,0))="","",INDEX(Cables!$F:$F,MATCH($A94,Cables!$A:$A,0))))</f>
        <v/>
      </c>
      <c r="D94" s="11" t="str">
        <f>IF($A94="","",IF(INDEX(Cables!$H:$H,MATCH($A94,Cables!$A:$A,0))="","",INDEX(Cables!$H:$H,MATCH($A94,Cables!$A:$A,0))))</f>
        <v/>
      </c>
      <c r="E94" s="12" t="str">
        <f>IF($A94="","",IF(INDEX(Cables!$Q:$Q,MATCH($A94,Cables!$A:$A,0))="","",INDEX(Cables!$Q:$Q,MATCH($A94,Cables!$A:$A,0))))</f>
        <v/>
      </c>
      <c r="F94" s="11" t="str">
        <f>IF($A94="","",IF(INDEX(Cables!$AQ:$AQ,MATCH($A94,Cables!$A:$A,0))="","",INDEX(Cables!$AQ:$AQ,MATCH($A94,Cables!$A:$A,0))))</f>
        <v/>
      </c>
      <c r="G94" s="11" t="str">
        <f>IF($A94="","",IF(INDEX(Cables!$AR:$AR,MATCH($A94,Cables!$A:$A,0))="","",INDEX(Cables!$AR:$AR,MATCH($A94,Cables!$A:$A,0))))</f>
        <v/>
      </c>
      <c r="H94" s="11" t="str">
        <f>IF($A94="","",IF(INDEX(Cables!$AO:$AO,MATCH($A94,Cables!$A:$A,0))="","",INDEX(Cables!$AO:$AO,MATCH($A94,Cables!$A:$A,0))))</f>
        <v/>
      </c>
      <c r="I94" s="11" t="str">
        <f>IF($A94="","",IF(INDEX(Cables!$AP:$AP,MATCH($A94,Cables!$A:$A,0))="","",INDEX(Cables!$AP:$AP,MATCH($A94,Cables!$A:$A,0))))</f>
        <v/>
      </c>
      <c r="J94" s="12" t="str">
        <f>IF($A94="","",IF(J$5&gt;2*$G94,"",EXP(FORECAST(LN(J$5),INDEX(Attenuation!$K:$K,($H94-1+MIN(MAX(IFERROR(MATCH(LN(J$5),INDEX(Attenuation!$J:$J,$H94):INDEX(Attenuation!$J:$J,$H94+$I94-1),1),1),1),$I94-1))):INDEX(Attenuation!$K:$K,($H94-1+MIN(MAX(IFERROR(MATCH(LN(J$5),INDEX(Attenuation!$J:$J,$H94):INDEX(Attenuation!$J:$J,$H94+$I94-1),1),1),1),$I94-1))+1),INDEX(Attenuation!$J:$J,($H94-1+MIN(MAX(IFERROR(MATCH(LN(J$5),INDEX(Attenuation!$J:$J,$H94):INDEX(Attenuation!$J:$J,$H94+$I94-1),1),1),1),$I94-1))):INDEX(Attenuation!$J:$J,($H94-1+MIN(MAX(IFERROR(MATCH(LN(J$5),INDEX(Attenuation!$J:$J,$H94):INDEX(Attenuation!$J:$J,$H94+$I94-1),1),1),1),$I94-1))+1)))))</f>
        <v/>
      </c>
      <c r="K94" s="12" t="str">
        <f>IF($A94="","",IF(K$5&gt;2*$G94,"",EXP(FORECAST(LN(K$5),INDEX(Attenuation!$K:$K,($H94-1+MIN(MAX(IFERROR(MATCH(LN(K$5),INDEX(Attenuation!$J:$J,$H94):INDEX(Attenuation!$J:$J,$H94+$I94-1),1),1),1),$I94-1))):INDEX(Attenuation!$K:$K,($H94-1+MIN(MAX(IFERROR(MATCH(LN(K$5),INDEX(Attenuation!$J:$J,$H94):INDEX(Attenuation!$J:$J,$H94+$I94-1),1),1),1),$I94-1))+1),INDEX(Attenuation!$J:$J,($H94-1+MIN(MAX(IFERROR(MATCH(LN(K$5),INDEX(Attenuation!$J:$J,$H94):INDEX(Attenuation!$J:$J,$H94+$I94-1),1),1),1),$I94-1))):INDEX(Attenuation!$J:$J,($H94-1+MIN(MAX(IFERROR(MATCH(LN(K$5),INDEX(Attenuation!$J:$J,$H94):INDEX(Attenuation!$J:$J,$H94+$I94-1),1),1),1),$I94-1))+1)))))</f>
        <v/>
      </c>
      <c r="L94" s="12" t="str">
        <f>IF($A94="","",IF(L$5&gt;2*$G94,"",EXP(FORECAST(LN(L$5),INDEX(Attenuation!$K:$K,($H94-1+MIN(MAX(IFERROR(MATCH(LN(L$5),INDEX(Attenuation!$J:$J,$H94):INDEX(Attenuation!$J:$J,$H94+$I94-1),1),1),1),$I94-1))):INDEX(Attenuation!$K:$K,($H94-1+MIN(MAX(IFERROR(MATCH(LN(L$5),INDEX(Attenuation!$J:$J,$H94):INDEX(Attenuation!$J:$J,$H94+$I94-1),1),1),1),$I94-1))+1),INDEX(Attenuation!$J:$J,($H94-1+MIN(MAX(IFERROR(MATCH(LN(L$5),INDEX(Attenuation!$J:$J,$H94):INDEX(Attenuation!$J:$J,$H94+$I94-1),1),1),1),$I94-1))):INDEX(Attenuation!$J:$J,($H94-1+MIN(MAX(IFERROR(MATCH(LN(L$5),INDEX(Attenuation!$J:$J,$H94):INDEX(Attenuation!$J:$J,$H94+$I94-1),1),1),1),$I94-1))+1)))))</f>
        <v/>
      </c>
      <c r="M94" s="12" t="str">
        <f>IF($A94="","",IF(M$5&gt;2*$G94,"",EXP(FORECAST(LN(M$5),INDEX(Attenuation!$K:$K,($H94-1+MIN(MAX(IFERROR(MATCH(LN(M$5),INDEX(Attenuation!$J:$J,$H94):INDEX(Attenuation!$J:$J,$H94+$I94-1),1),1),1),$I94-1))):INDEX(Attenuation!$K:$K,($H94-1+MIN(MAX(IFERROR(MATCH(LN(M$5),INDEX(Attenuation!$J:$J,$H94):INDEX(Attenuation!$J:$J,$H94+$I94-1),1),1),1),$I94-1))+1),INDEX(Attenuation!$J:$J,($H94-1+MIN(MAX(IFERROR(MATCH(LN(M$5),INDEX(Attenuation!$J:$J,$H94):INDEX(Attenuation!$J:$J,$H94+$I94-1),1),1),1),$I94-1))):INDEX(Attenuation!$J:$J,($H94-1+MIN(MAX(IFERROR(MATCH(LN(M$5),INDEX(Attenuation!$J:$J,$H94):INDEX(Attenuation!$J:$J,$H94+$I94-1),1),1),1),$I94-1))+1)))))</f>
        <v/>
      </c>
      <c r="N94" s="12" t="str">
        <f>IF($A94="","",IF(N$5&gt;2*$G94,"",EXP(FORECAST(LN(N$5),INDEX(Attenuation!$K:$K,($H94-1+MIN(MAX(IFERROR(MATCH(LN(N$5),INDEX(Attenuation!$J:$J,$H94):INDEX(Attenuation!$J:$J,$H94+$I94-1),1),1),1),$I94-1))):INDEX(Attenuation!$K:$K,($H94-1+MIN(MAX(IFERROR(MATCH(LN(N$5),INDEX(Attenuation!$J:$J,$H94):INDEX(Attenuation!$J:$J,$H94+$I94-1),1),1),1),$I94-1))+1),INDEX(Attenuation!$J:$J,($H94-1+MIN(MAX(IFERROR(MATCH(LN(N$5),INDEX(Attenuation!$J:$J,$H94):INDEX(Attenuation!$J:$J,$H94+$I94-1),1),1),1),$I94-1))):INDEX(Attenuation!$J:$J,($H94-1+MIN(MAX(IFERROR(MATCH(LN(N$5),INDEX(Attenuation!$J:$J,$H94):INDEX(Attenuation!$J:$J,$H94+$I94-1),1),1),1),$I94-1))+1)))))</f>
        <v/>
      </c>
      <c r="O94" s="12" t="str">
        <f>IF($A94="","",IF(O$5&gt;2*$G94,"",EXP(FORECAST(LN(O$5),INDEX(Attenuation!$K:$K,($H94-1+MIN(MAX(IFERROR(MATCH(LN(O$5),INDEX(Attenuation!$J:$J,$H94):INDEX(Attenuation!$J:$J,$H94+$I94-1),1),1),1),$I94-1))):INDEX(Attenuation!$K:$K,($H94-1+MIN(MAX(IFERROR(MATCH(LN(O$5),INDEX(Attenuation!$J:$J,$H94):INDEX(Attenuation!$J:$J,$H94+$I94-1),1),1),1),$I94-1))+1),INDEX(Attenuation!$J:$J,($H94-1+MIN(MAX(IFERROR(MATCH(LN(O$5),INDEX(Attenuation!$J:$J,$H94):INDEX(Attenuation!$J:$J,$H94+$I94-1),1),1),1),$I94-1))):INDEX(Attenuation!$J:$J,($H94-1+MIN(MAX(IFERROR(MATCH(LN(O$5),INDEX(Attenuation!$J:$J,$H94):INDEX(Attenuation!$J:$J,$H94+$I94-1),1),1),1),$I94-1))+1)))))</f>
        <v/>
      </c>
      <c r="P94" s="12" t="str">
        <f>IF($A94="","",IF(P$5&gt;2*$G94,"",EXP(FORECAST(LN(P$5),INDEX(Attenuation!$K:$K,($H94-1+MIN(MAX(IFERROR(MATCH(LN(P$5),INDEX(Attenuation!$J:$J,$H94):INDEX(Attenuation!$J:$J,$H94+$I94-1),1),1),1),$I94-1))):INDEX(Attenuation!$K:$K,($H94-1+MIN(MAX(IFERROR(MATCH(LN(P$5),INDEX(Attenuation!$J:$J,$H94):INDEX(Attenuation!$J:$J,$H94+$I94-1),1),1),1),$I94-1))+1),INDEX(Attenuation!$J:$J,($H94-1+MIN(MAX(IFERROR(MATCH(LN(P$5),INDEX(Attenuation!$J:$J,$H94):INDEX(Attenuation!$J:$J,$H94+$I94-1),1),1),1),$I94-1))):INDEX(Attenuation!$J:$J,($H94-1+MIN(MAX(IFERROR(MATCH(LN(P$5),INDEX(Attenuation!$J:$J,$H94):INDEX(Attenuation!$J:$J,$H94+$I94-1),1),1),1),$I94-1))+1)))))</f>
        <v/>
      </c>
      <c r="Q94" s="12" t="str">
        <f>IF($A94="","",IF(Q$5&gt;2*$G94,"",EXP(FORECAST(LN(Q$5),INDEX(Attenuation!$K:$K,($H94-1+MIN(MAX(IFERROR(MATCH(LN(Q$5),INDEX(Attenuation!$J:$J,$H94):INDEX(Attenuation!$J:$J,$H94+$I94-1),1),1),1),$I94-1))):INDEX(Attenuation!$K:$K,($H94-1+MIN(MAX(IFERROR(MATCH(LN(Q$5),INDEX(Attenuation!$J:$J,$H94):INDEX(Attenuation!$J:$J,$H94+$I94-1),1),1),1),$I94-1))+1),INDEX(Attenuation!$J:$J,($H94-1+MIN(MAX(IFERROR(MATCH(LN(Q$5),INDEX(Attenuation!$J:$J,$H94):INDEX(Attenuation!$J:$J,$H94+$I94-1),1),1),1),$I94-1))):INDEX(Attenuation!$J:$J,($H94-1+MIN(MAX(IFERROR(MATCH(LN(Q$5),INDEX(Attenuation!$J:$J,$H94):INDEX(Attenuation!$J:$J,$H94+$I94-1),1),1),1),$I94-1))+1)))))</f>
        <v/>
      </c>
      <c r="R94" s="12" t="str">
        <f>IF($A94="","",IF(R$5&gt;2*$G94,"",EXP(FORECAST(LN(R$5),INDEX(Attenuation!$K:$K,($H94-1+MIN(MAX(IFERROR(MATCH(LN(R$5),INDEX(Attenuation!$J:$J,$H94):INDEX(Attenuation!$J:$J,$H94+$I94-1),1),1),1),$I94-1))):INDEX(Attenuation!$K:$K,($H94-1+MIN(MAX(IFERROR(MATCH(LN(R$5),INDEX(Attenuation!$J:$J,$H94):INDEX(Attenuation!$J:$J,$H94+$I94-1),1),1),1),$I94-1))+1),INDEX(Attenuation!$J:$J,($H94-1+MIN(MAX(IFERROR(MATCH(LN(R$5),INDEX(Attenuation!$J:$J,$H94):INDEX(Attenuation!$J:$J,$H94+$I94-1),1),1),1),$I94-1))):INDEX(Attenuation!$J:$J,($H94-1+MIN(MAX(IFERROR(MATCH(LN(R$5),INDEX(Attenuation!$J:$J,$H94):INDEX(Attenuation!$J:$J,$H94+$I94-1),1),1),1),$I94-1))+1)))))</f>
        <v/>
      </c>
      <c r="S94" s="12" t="str">
        <f>IF($A94="","",IF(S$5&gt;2*$G94,"",EXP(FORECAST(LN(S$5),INDEX(Attenuation!$K:$K,($H94-1+MIN(MAX(IFERROR(MATCH(LN(S$5),INDEX(Attenuation!$J:$J,$H94):INDEX(Attenuation!$J:$J,$H94+$I94-1),1),1),1),$I94-1))):INDEX(Attenuation!$K:$K,($H94-1+MIN(MAX(IFERROR(MATCH(LN(S$5),INDEX(Attenuation!$J:$J,$H94):INDEX(Attenuation!$J:$J,$H94+$I94-1),1),1),1),$I94-1))+1),INDEX(Attenuation!$J:$J,($H94-1+MIN(MAX(IFERROR(MATCH(LN(S$5),INDEX(Attenuation!$J:$J,$H94):INDEX(Attenuation!$J:$J,$H94+$I94-1),1),1),1),$I94-1))):INDEX(Attenuation!$J:$J,($H94-1+MIN(MAX(IFERROR(MATCH(LN(S$5),INDEX(Attenuation!$J:$J,$H94):INDEX(Attenuation!$J:$J,$H94+$I94-1),1),1),1),$I94-1))+1)))))</f>
        <v/>
      </c>
      <c r="T94" s="12" t="str">
        <f>IF($A94="","",IF(T$5&gt;2*$G94,"",EXP(FORECAST(LN(T$5),INDEX(Attenuation!$K:$K,($H94-1+MIN(MAX(IFERROR(MATCH(LN(T$5),INDEX(Attenuation!$J:$J,$H94):INDEX(Attenuation!$J:$J,$H94+$I94-1),1),1),1),$I94-1))):INDEX(Attenuation!$K:$K,($H94-1+MIN(MAX(IFERROR(MATCH(LN(T$5),INDEX(Attenuation!$J:$J,$H94):INDEX(Attenuation!$J:$J,$H94+$I94-1),1),1),1),$I94-1))+1),INDEX(Attenuation!$J:$J,($H94-1+MIN(MAX(IFERROR(MATCH(LN(T$5),INDEX(Attenuation!$J:$J,$H94):INDEX(Attenuation!$J:$J,$H94+$I94-1),1),1),1),$I94-1))):INDEX(Attenuation!$J:$J,($H94-1+MIN(MAX(IFERROR(MATCH(LN(T$5),INDEX(Attenuation!$J:$J,$H94):INDEX(Attenuation!$J:$J,$H94+$I94-1),1),1),1),$I94-1))+1)))))</f>
        <v/>
      </c>
      <c r="U94" s="12" t="str">
        <f>IF($A94="","",IF(U$5&gt;2*$G94,"",EXP(FORECAST(LN(U$5),INDEX(Attenuation!$K:$K,($H94-1+MIN(MAX(IFERROR(MATCH(LN(U$5),INDEX(Attenuation!$J:$J,$H94):INDEX(Attenuation!$J:$J,$H94+$I94-1),1),1),1),$I94-1))):INDEX(Attenuation!$K:$K,($H94-1+MIN(MAX(IFERROR(MATCH(LN(U$5),INDEX(Attenuation!$J:$J,$H94):INDEX(Attenuation!$J:$J,$H94+$I94-1),1),1),1),$I94-1))+1),INDEX(Attenuation!$J:$J,($H94-1+MIN(MAX(IFERROR(MATCH(LN(U$5),INDEX(Attenuation!$J:$J,$H94):INDEX(Attenuation!$J:$J,$H94+$I94-1),1),1),1),$I94-1))):INDEX(Attenuation!$J:$J,($H94-1+MIN(MAX(IFERROR(MATCH(LN(U$5),INDEX(Attenuation!$J:$J,$H94):INDEX(Attenuation!$J:$J,$H94+$I94-1),1),1),1),$I94-1))+1)))))</f>
        <v/>
      </c>
      <c r="V94" s="1"/>
      <c r="W94" s="12" t="str">
        <f t="shared" si="24"/>
        <v/>
      </c>
      <c r="X94" s="12" t="str">
        <f t="shared" si="25"/>
        <v/>
      </c>
      <c r="Y94" s="12" t="str">
        <f t="shared" si="26"/>
        <v/>
      </c>
      <c r="Z94" s="12" t="str">
        <f t="shared" si="27"/>
        <v/>
      </c>
      <c r="AA94" s="12" t="str">
        <f t="shared" si="28"/>
        <v/>
      </c>
      <c r="AB94" s="12" t="str">
        <f t="shared" si="29"/>
        <v/>
      </c>
      <c r="AC94" s="12" t="str">
        <f t="shared" si="30"/>
        <v/>
      </c>
      <c r="AD94" s="12" t="str">
        <f t="shared" si="31"/>
        <v/>
      </c>
      <c r="AE94" s="12" t="str">
        <f t="shared" si="32"/>
        <v/>
      </c>
      <c r="AF94" s="12" t="str">
        <f t="shared" si="33"/>
        <v/>
      </c>
      <c r="AG94" s="12" t="str">
        <f t="shared" si="34"/>
        <v/>
      </c>
      <c r="AH94" s="12" t="str">
        <f t="shared" si="35"/>
        <v/>
      </c>
    </row>
    <row r="95" spans="1:34" x14ac:dyDescent="0.25">
      <c r="A95" s="11" t="str">
        <f>IF(ROWS($A$6:A95)&gt;COUNTA(Cables!$A:$A)-1,"",INDEX(Cables!$A:$A,ROWS($A$6:A95)+1))</f>
        <v/>
      </c>
      <c r="B95" s="11" t="str">
        <f>IF($A95="","",IF(INDEX(Cables!$B:$B,MATCH($A95,Cables!$A:$A,0))="","",INDEX(Cables!$B:$B,MATCH($A95,Cables!$A:$A,0))))</f>
        <v/>
      </c>
      <c r="C95" s="11" t="str">
        <f>IF($A95="","",IF(INDEX(Cables!$F:$F,MATCH($A95,Cables!$A:$A,0))="","",INDEX(Cables!$F:$F,MATCH($A95,Cables!$A:$A,0))))</f>
        <v/>
      </c>
      <c r="D95" s="11" t="str">
        <f>IF($A95="","",IF(INDEX(Cables!$H:$H,MATCH($A95,Cables!$A:$A,0))="","",INDEX(Cables!$H:$H,MATCH($A95,Cables!$A:$A,0))))</f>
        <v/>
      </c>
      <c r="E95" s="12" t="str">
        <f>IF($A95="","",IF(INDEX(Cables!$Q:$Q,MATCH($A95,Cables!$A:$A,0))="","",INDEX(Cables!$Q:$Q,MATCH($A95,Cables!$A:$A,0))))</f>
        <v/>
      </c>
      <c r="F95" s="11" t="str">
        <f>IF($A95="","",IF(INDEX(Cables!$AQ:$AQ,MATCH($A95,Cables!$A:$A,0))="","",INDEX(Cables!$AQ:$AQ,MATCH($A95,Cables!$A:$A,0))))</f>
        <v/>
      </c>
      <c r="G95" s="11" t="str">
        <f>IF($A95="","",IF(INDEX(Cables!$AR:$AR,MATCH($A95,Cables!$A:$A,0))="","",INDEX(Cables!$AR:$AR,MATCH($A95,Cables!$A:$A,0))))</f>
        <v/>
      </c>
      <c r="H95" s="11" t="str">
        <f>IF($A95="","",IF(INDEX(Cables!$AO:$AO,MATCH($A95,Cables!$A:$A,0))="","",INDEX(Cables!$AO:$AO,MATCH($A95,Cables!$A:$A,0))))</f>
        <v/>
      </c>
      <c r="I95" s="11" t="str">
        <f>IF($A95="","",IF(INDEX(Cables!$AP:$AP,MATCH($A95,Cables!$A:$A,0))="","",INDEX(Cables!$AP:$AP,MATCH($A95,Cables!$A:$A,0))))</f>
        <v/>
      </c>
      <c r="J95" s="12" t="str">
        <f>IF($A95="","",IF(J$5&gt;2*$G95,"",EXP(FORECAST(LN(J$5),INDEX(Attenuation!$K:$K,($H95-1+MIN(MAX(IFERROR(MATCH(LN(J$5),INDEX(Attenuation!$J:$J,$H95):INDEX(Attenuation!$J:$J,$H95+$I95-1),1),1),1),$I95-1))):INDEX(Attenuation!$K:$K,($H95-1+MIN(MAX(IFERROR(MATCH(LN(J$5),INDEX(Attenuation!$J:$J,$H95):INDEX(Attenuation!$J:$J,$H95+$I95-1),1),1),1),$I95-1))+1),INDEX(Attenuation!$J:$J,($H95-1+MIN(MAX(IFERROR(MATCH(LN(J$5),INDEX(Attenuation!$J:$J,$H95):INDEX(Attenuation!$J:$J,$H95+$I95-1),1),1),1),$I95-1))):INDEX(Attenuation!$J:$J,($H95-1+MIN(MAX(IFERROR(MATCH(LN(J$5),INDEX(Attenuation!$J:$J,$H95):INDEX(Attenuation!$J:$J,$H95+$I95-1),1),1),1),$I95-1))+1)))))</f>
        <v/>
      </c>
      <c r="K95" s="12" t="str">
        <f>IF($A95="","",IF(K$5&gt;2*$G95,"",EXP(FORECAST(LN(K$5),INDEX(Attenuation!$K:$K,($H95-1+MIN(MAX(IFERROR(MATCH(LN(K$5),INDEX(Attenuation!$J:$J,$H95):INDEX(Attenuation!$J:$J,$H95+$I95-1),1),1),1),$I95-1))):INDEX(Attenuation!$K:$K,($H95-1+MIN(MAX(IFERROR(MATCH(LN(K$5),INDEX(Attenuation!$J:$J,$H95):INDEX(Attenuation!$J:$J,$H95+$I95-1),1),1),1),$I95-1))+1),INDEX(Attenuation!$J:$J,($H95-1+MIN(MAX(IFERROR(MATCH(LN(K$5),INDEX(Attenuation!$J:$J,$H95):INDEX(Attenuation!$J:$J,$H95+$I95-1),1),1),1),$I95-1))):INDEX(Attenuation!$J:$J,($H95-1+MIN(MAX(IFERROR(MATCH(LN(K$5),INDEX(Attenuation!$J:$J,$H95):INDEX(Attenuation!$J:$J,$H95+$I95-1),1),1),1),$I95-1))+1)))))</f>
        <v/>
      </c>
      <c r="L95" s="12" t="str">
        <f>IF($A95="","",IF(L$5&gt;2*$G95,"",EXP(FORECAST(LN(L$5),INDEX(Attenuation!$K:$K,($H95-1+MIN(MAX(IFERROR(MATCH(LN(L$5),INDEX(Attenuation!$J:$J,$H95):INDEX(Attenuation!$J:$J,$H95+$I95-1),1),1),1),$I95-1))):INDEX(Attenuation!$K:$K,($H95-1+MIN(MAX(IFERROR(MATCH(LN(L$5),INDEX(Attenuation!$J:$J,$H95):INDEX(Attenuation!$J:$J,$H95+$I95-1),1),1),1),$I95-1))+1),INDEX(Attenuation!$J:$J,($H95-1+MIN(MAX(IFERROR(MATCH(LN(L$5),INDEX(Attenuation!$J:$J,$H95):INDEX(Attenuation!$J:$J,$H95+$I95-1),1),1),1),$I95-1))):INDEX(Attenuation!$J:$J,($H95-1+MIN(MAX(IFERROR(MATCH(LN(L$5),INDEX(Attenuation!$J:$J,$H95):INDEX(Attenuation!$J:$J,$H95+$I95-1),1),1),1),$I95-1))+1)))))</f>
        <v/>
      </c>
      <c r="M95" s="12" t="str">
        <f>IF($A95="","",IF(M$5&gt;2*$G95,"",EXP(FORECAST(LN(M$5),INDEX(Attenuation!$K:$K,($H95-1+MIN(MAX(IFERROR(MATCH(LN(M$5),INDEX(Attenuation!$J:$J,$H95):INDEX(Attenuation!$J:$J,$H95+$I95-1),1),1),1),$I95-1))):INDEX(Attenuation!$K:$K,($H95-1+MIN(MAX(IFERROR(MATCH(LN(M$5),INDEX(Attenuation!$J:$J,$H95):INDEX(Attenuation!$J:$J,$H95+$I95-1),1),1),1),$I95-1))+1),INDEX(Attenuation!$J:$J,($H95-1+MIN(MAX(IFERROR(MATCH(LN(M$5),INDEX(Attenuation!$J:$J,$H95):INDEX(Attenuation!$J:$J,$H95+$I95-1),1),1),1),$I95-1))):INDEX(Attenuation!$J:$J,($H95-1+MIN(MAX(IFERROR(MATCH(LN(M$5),INDEX(Attenuation!$J:$J,$H95):INDEX(Attenuation!$J:$J,$H95+$I95-1),1),1),1),$I95-1))+1)))))</f>
        <v/>
      </c>
      <c r="N95" s="12" t="str">
        <f>IF($A95="","",IF(N$5&gt;2*$G95,"",EXP(FORECAST(LN(N$5),INDEX(Attenuation!$K:$K,($H95-1+MIN(MAX(IFERROR(MATCH(LN(N$5),INDEX(Attenuation!$J:$J,$H95):INDEX(Attenuation!$J:$J,$H95+$I95-1),1),1),1),$I95-1))):INDEX(Attenuation!$K:$K,($H95-1+MIN(MAX(IFERROR(MATCH(LN(N$5),INDEX(Attenuation!$J:$J,$H95):INDEX(Attenuation!$J:$J,$H95+$I95-1),1),1),1),$I95-1))+1),INDEX(Attenuation!$J:$J,($H95-1+MIN(MAX(IFERROR(MATCH(LN(N$5),INDEX(Attenuation!$J:$J,$H95):INDEX(Attenuation!$J:$J,$H95+$I95-1),1),1),1),$I95-1))):INDEX(Attenuation!$J:$J,($H95-1+MIN(MAX(IFERROR(MATCH(LN(N$5),INDEX(Attenuation!$J:$J,$H95):INDEX(Attenuation!$J:$J,$H95+$I95-1),1),1),1),$I95-1))+1)))))</f>
        <v/>
      </c>
      <c r="O95" s="12" t="str">
        <f>IF($A95="","",IF(O$5&gt;2*$G95,"",EXP(FORECAST(LN(O$5),INDEX(Attenuation!$K:$K,($H95-1+MIN(MAX(IFERROR(MATCH(LN(O$5),INDEX(Attenuation!$J:$J,$H95):INDEX(Attenuation!$J:$J,$H95+$I95-1),1),1),1),$I95-1))):INDEX(Attenuation!$K:$K,($H95-1+MIN(MAX(IFERROR(MATCH(LN(O$5),INDEX(Attenuation!$J:$J,$H95):INDEX(Attenuation!$J:$J,$H95+$I95-1),1),1),1),$I95-1))+1),INDEX(Attenuation!$J:$J,($H95-1+MIN(MAX(IFERROR(MATCH(LN(O$5),INDEX(Attenuation!$J:$J,$H95):INDEX(Attenuation!$J:$J,$H95+$I95-1),1),1),1),$I95-1))):INDEX(Attenuation!$J:$J,($H95-1+MIN(MAX(IFERROR(MATCH(LN(O$5),INDEX(Attenuation!$J:$J,$H95):INDEX(Attenuation!$J:$J,$H95+$I95-1),1),1),1),$I95-1))+1)))))</f>
        <v/>
      </c>
      <c r="P95" s="12" t="str">
        <f>IF($A95="","",IF(P$5&gt;2*$G95,"",EXP(FORECAST(LN(P$5),INDEX(Attenuation!$K:$K,($H95-1+MIN(MAX(IFERROR(MATCH(LN(P$5),INDEX(Attenuation!$J:$J,$H95):INDEX(Attenuation!$J:$J,$H95+$I95-1),1),1),1),$I95-1))):INDEX(Attenuation!$K:$K,($H95-1+MIN(MAX(IFERROR(MATCH(LN(P$5),INDEX(Attenuation!$J:$J,$H95):INDEX(Attenuation!$J:$J,$H95+$I95-1),1),1),1),$I95-1))+1),INDEX(Attenuation!$J:$J,($H95-1+MIN(MAX(IFERROR(MATCH(LN(P$5),INDEX(Attenuation!$J:$J,$H95):INDEX(Attenuation!$J:$J,$H95+$I95-1),1),1),1),$I95-1))):INDEX(Attenuation!$J:$J,($H95-1+MIN(MAX(IFERROR(MATCH(LN(P$5),INDEX(Attenuation!$J:$J,$H95):INDEX(Attenuation!$J:$J,$H95+$I95-1),1),1),1),$I95-1))+1)))))</f>
        <v/>
      </c>
      <c r="Q95" s="12" t="str">
        <f>IF($A95="","",IF(Q$5&gt;2*$G95,"",EXP(FORECAST(LN(Q$5),INDEX(Attenuation!$K:$K,($H95-1+MIN(MAX(IFERROR(MATCH(LN(Q$5),INDEX(Attenuation!$J:$J,$H95):INDEX(Attenuation!$J:$J,$H95+$I95-1),1),1),1),$I95-1))):INDEX(Attenuation!$K:$K,($H95-1+MIN(MAX(IFERROR(MATCH(LN(Q$5),INDEX(Attenuation!$J:$J,$H95):INDEX(Attenuation!$J:$J,$H95+$I95-1),1),1),1),$I95-1))+1),INDEX(Attenuation!$J:$J,($H95-1+MIN(MAX(IFERROR(MATCH(LN(Q$5),INDEX(Attenuation!$J:$J,$H95):INDEX(Attenuation!$J:$J,$H95+$I95-1),1),1),1),$I95-1))):INDEX(Attenuation!$J:$J,($H95-1+MIN(MAX(IFERROR(MATCH(LN(Q$5),INDEX(Attenuation!$J:$J,$H95):INDEX(Attenuation!$J:$J,$H95+$I95-1),1),1),1),$I95-1))+1)))))</f>
        <v/>
      </c>
      <c r="R95" s="12" t="str">
        <f>IF($A95="","",IF(R$5&gt;2*$G95,"",EXP(FORECAST(LN(R$5),INDEX(Attenuation!$K:$K,($H95-1+MIN(MAX(IFERROR(MATCH(LN(R$5),INDEX(Attenuation!$J:$J,$H95):INDEX(Attenuation!$J:$J,$H95+$I95-1),1),1),1),$I95-1))):INDEX(Attenuation!$K:$K,($H95-1+MIN(MAX(IFERROR(MATCH(LN(R$5),INDEX(Attenuation!$J:$J,$H95):INDEX(Attenuation!$J:$J,$H95+$I95-1),1),1),1),$I95-1))+1),INDEX(Attenuation!$J:$J,($H95-1+MIN(MAX(IFERROR(MATCH(LN(R$5),INDEX(Attenuation!$J:$J,$H95):INDEX(Attenuation!$J:$J,$H95+$I95-1),1),1),1),$I95-1))):INDEX(Attenuation!$J:$J,($H95-1+MIN(MAX(IFERROR(MATCH(LN(R$5),INDEX(Attenuation!$J:$J,$H95):INDEX(Attenuation!$J:$J,$H95+$I95-1),1),1),1),$I95-1))+1)))))</f>
        <v/>
      </c>
      <c r="S95" s="12" t="str">
        <f>IF($A95="","",IF(S$5&gt;2*$G95,"",EXP(FORECAST(LN(S$5),INDEX(Attenuation!$K:$K,($H95-1+MIN(MAX(IFERROR(MATCH(LN(S$5),INDEX(Attenuation!$J:$J,$H95):INDEX(Attenuation!$J:$J,$H95+$I95-1),1),1),1),$I95-1))):INDEX(Attenuation!$K:$K,($H95-1+MIN(MAX(IFERROR(MATCH(LN(S$5),INDEX(Attenuation!$J:$J,$H95):INDEX(Attenuation!$J:$J,$H95+$I95-1),1),1),1),$I95-1))+1),INDEX(Attenuation!$J:$J,($H95-1+MIN(MAX(IFERROR(MATCH(LN(S$5),INDEX(Attenuation!$J:$J,$H95):INDEX(Attenuation!$J:$J,$H95+$I95-1),1),1),1),$I95-1))):INDEX(Attenuation!$J:$J,($H95-1+MIN(MAX(IFERROR(MATCH(LN(S$5),INDEX(Attenuation!$J:$J,$H95):INDEX(Attenuation!$J:$J,$H95+$I95-1),1),1),1),$I95-1))+1)))))</f>
        <v/>
      </c>
      <c r="T95" s="12" t="str">
        <f>IF($A95="","",IF(T$5&gt;2*$G95,"",EXP(FORECAST(LN(T$5),INDEX(Attenuation!$K:$K,($H95-1+MIN(MAX(IFERROR(MATCH(LN(T$5),INDEX(Attenuation!$J:$J,$H95):INDEX(Attenuation!$J:$J,$H95+$I95-1),1),1),1),$I95-1))):INDEX(Attenuation!$K:$K,($H95-1+MIN(MAX(IFERROR(MATCH(LN(T$5),INDEX(Attenuation!$J:$J,$H95):INDEX(Attenuation!$J:$J,$H95+$I95-1),1),1),1),$I95-1))+1),INDEX(Attenuation!$J:$J,($H95-1+MIN(MAX(IFERROR(MATCH(LN(T$5),INDEX(Attenuation!$J:$J,$H95):INDEX(Attenuation!$J:$J,$H95+$I95-1),1),1),1),$I95-1))):INDEX(Attenuation!$J:$J,($H95-1+MIN(MAX(IFERROR(MATCH(LN(T$5),INDEX(Attenuation!$J:$J,$H95):INDEX(Attenuation!$J:$J,$H95+$I95-1),1),1),1),$I95-1))+1)))))</f>
        <v/>
      </c>
      <c r="U95" s="12" t="str">
        <f>IF($A95="","",IF(U$5&gt;2*$G95,"",EXP(FORECAST(LN(U$5),INDEX(Attenuation!$K:$K,($H95-1+MIN(MAX(IFERROR(MATCH(LN(U$5),INDEX(Attenuation!$J:$J,$H95):INDEX(Attenuation!$J:$J,$H95+$I95-1),1),1),1),$I95-1))):INDEX(Attenuation!$K:$K,($H95-1+MIN(MAX(IFERROR(MATCH(LN(U$5),INDEX(Attenuation!$J:$J,$H95):INDEX(Attenuation!$J:$J,$H95+$I95-1),1),1),1),$I95-1))+1),INDEX(Attenuation!$J:$J,($H95-1+MIN(MAX(IFERROR(MATCH(LN(U$5),INDEX(Attenuation!$J:$J,$H95):INDEX(Attenuation!$J:$J,$H95+$I95-1),1),1),1),$I95-1))):INDEX(Attenuation!$J:$J,($H95-1+MIN(MAX(IFERROR(MATCH(LN(U$5),INDEX(Attenuation!$J:$J,$H95):INDEX(Attenuation!$J:$J,$H95+$I95-1),1),1),1),$I95-1))+1)))))</f>
        <v/>
      </c>
      <c r="V95" s="1"/>
      <c r="W95" s="12" t="str">
        <f t="shared" si="24"/>
        <v/>
      </c>
      <c r="X95" s="12" t="str">
        <f t="shared" si="25"/>
        <v/>
      </c>
      <c r="Y95" s="12" t="str">
        <f t="shared" si="26"/>
        <v/>
      </c>
      <c r="Z95" s="12" t="str">
        <f t="shared" si="27"/>
        <v/>
      </c>
      <c r="AA95" s="12" t="str">
        <f t="shared" si="28"/>
        <v/>
      </c>
      <c r="AB95" s="12" t="str">
        <f t="shared" si="29"/>
        <v/>
      </c>
      <c r="AC95" s="12" t="str">
        <f t="shared" si="30"/>
        <v/>
      </c>
      <c r="AD95" s="12" t="str">
        <f t="shared" si="31"/>
        <v/>
      </c>
      <c r="AE95" s="12" t="str">
        <f t="shared" si="32"/>
        <v/>
      </c>
      <c r="AF95" s="12" t="str">
        <f t="shared" si="33"/>
        <v/>
      </c>
      <c r="AG95" s="12" t="str">
        <f t="shared" si="34"/>
        <v/>
      </c>
      <c r="AH95" s="12" t="str">
        <f t="shared" si="35"/>
        <v/>
      </c>
    </row>
    <row r="96" spans="1:34" x14ac:dyDescent="0.25">
      <c r="A96" s="11" t="str">
        <f>IF(ROWS($A$6:A96)&gt;COUNTA(Cables!$A:$A)-1,"",INDEX(Cables!$A:$A,ROWS($A$6:A96)+1))</f>
        <v/>
      </c>
      <c r="B96" s="11" t="str">
        <f>IF($A96="","",IF(INDEX(Cables!$B:$B,MATCH($A96,Cables!$A:$A,0))="","",INDEX(Cables!$B:$B,MATCH($A96,Cables!$A:$A,0))))</f>
        <v/>
      </c>
      <c r="C96" s="11" t="str">
        <f>IF($A96="","",IF(INDEX(Cables!$F:$F,MATCH($A96,Cables!$A:$A,0))="","",INDEX(Cables!$F:$F,MATCH($A96,Cables!$A:$A,0))))</f>
        <v/>
      </c>
      <c r="D96" s="11" t="str">
        <f>IF($A96="","",IF(INDEX(Cables!$H:$H,MATCH($A96,Cables!$A:$A,0))="","",INDEX(Cables!$H:$H,MATCH($A96,Cables!$A:$A,0))))</f>
        <v/>
      </c>
      <c r="E96" s="12" t="str">
        <f>IF($A96="","",IF(INDEX(Cables!$Q:$Q,MATCH($A96,Cables!$A:$A,0))="","",INDEX(Cables!$Q:$Q,MATCH($A96,Cables!$A:$A,0))))</f>
        <v/>
      </c>
      <c r="F96" s="11" t="str">
        <f>IF($A96="","",IF(INDEX(Cables!$AQ:$AQ,MATCH($A96,Cables!$A:$A,0))="","",INDEX(Cables!$AQ:$AQ,MATCH($A96,Cables!$A:$A,0))))</f>
        <v/>
      </c>
      <c r="G96" s="11" t="str">
        <f>IF($A96="","",IF(INDEX(Cables!$AR:$AR,MATCH($A96,Cables!$A:$A,0))="","",INDEX(Cables!$AR:$AR,MATCH($A96,Cables!$A:$A,0))))</f>
        <v/>
      </c>
      <c r="H96" s="11" t="str">
        <f>IF($A96="","",IF(INDEX(Cables!$AO:$AO,MATCH($A96,Cables!$A:$A,0))="","",INDEX(Cables!$AO:$AO,MATCH($A96,Cables!$A:$A,0))))</f>
        <v/>
      </c>
      <c r="I96" s="11" t="str">
        <f>IF($A96="","",IF(INDEX(Cables!$AP:$AP,MATCH($A96,Cables!$A:$A,0))="","",INDEX(Cables!$AP:$AP,MATCH($A96,Cables!$A:$A,0))))</f>
        <v/>
      </c>
      <c r="J96" s="12" t="str">
        <f>IF($A96="","",IF(J$5&gt;2*$G96,"",EXP(FORECAST(LN(J$5),INDEX(Attenuation!$K:$K,($H96-1+MIN(MAX(IFERROR(MATCH(LN(J$5),INDEX(Attenuation!$J:$J,$H96):INDEX(Attenuation!$J:$J,$H96+$I96-1),1),1),1),$I96-1))):INDEX(Attenuation!$K:$K,($H96-1+MIN(MAX(IFERROR(MATCH(LN(J$5),INDEX(Attenuation!$J:$J,$H96):INDEX(Attenuation!$J:$J,$H96+$I96-1),1),1),1),$I96-1))+1),INDEX(Attenuation!$J:$J,($H96-1+MIN(MAX(IFERROR(MATCH(LN(J$5),INDEX(Attenuation!$J:$J,$H96):INDEX(Attenuation!$J:$J,$H96+$I96-1),1),1),1),$I96-1))):INDEX(Attenuation!$J:$J,($H96-1+MIN(MAX(IFERROR(MATCH(LN(J$5),INDEX(Attenuation!$J:$J,$H96):INDEX(Attenuation!$J:$J,$H96+$I96-1),1),1),1),$I96-1))+1)))))</f>
        <v/>
      </c>
      <c r="K96" s="12" t="str">
        <f>IF($A96="","",IF(K$5&gt;2*$G96,"",EXP(FORECAST(LN(K$5),INDEX(Attenuation!$K:$K,($H96-1+MIN(MAX(IFERROR(MATCH(LN(K$5),INDEX(Attenuation!$J:$J,$H96):INDEX(Attenuation!$J:$J,$H96+$I96-1),1),1),1),$I96-1))):INDEX(Attenuation!$K:$K,($H96-1+MIN(MAX(IFERROR(MATCH(LN(K$5),INDEX(Attenuation!$J:$J,$H96):INDEX(Attenuation!$J:$J,$H96+$I96-1),1),1),1),$I96-1))+1),INDEX(Attenuation!$J:$J,($H96-1+MIN(MAX(IFERROR(MATCH(LN(K$5),INDEX(Attenuation!$J:$J,$H96):INDEX(Attenuation!$J:$J,$H96+$I96-1),1),1),1),$I96-1))):INDEX(Attenuation!$J:$J,($H96-1+MIN(MAX(IFERROR(MATCH(LN(K$5),INDEX(Attenuation!$J:$J,$H96):INDEX(Attenuation!$J:$J,$H96+$I96-1),1),1),1),$I96-1))+1)))))</f>
        <v/>
      </c>
      <c r="L96" s="12" t="str">
        <f>IF($A96="","",IF(L$5&gt;2*$G96,"",EXP(FORECAST(LN(L$5),INDEX(Attenuation!$K:$K,($H96-1+MIN(MAX(IFERROR(MATCH(LN(L$5),INDEX(Attenuation!$J:$J,$H96):INDEX(Attenuation!$J:$J,$H96+$I96-1),1),1),1),$I96-1))):INDEX(Attenuation!$K:$K,($H96-1+MIN(MAX(IFERROR(MATCH(LN(L$5),INDEX(Attenuation!$J:$J,$H96):INDEX(Attenuation!$J:$J,$H96+$I96-1),1),1),1),$I96-1))+1),INDEX(Attenuation!$J:$J,($H96-1+MIN(MAX(IFERROR(MATCH(LN(L$5),INDEX(Attenuation!$J:$J,$H96):INDEX(Attenuation!$J:$J,$H96+$I96-1),1),1),1),$I96-1))):INDEX(Attenuation!$J:$J,($H96-1+MIN(MAX(IFERROR(MATCH(LN(L$5),INDEX(Attenuation!$J:$J,$H96):INDEX(Attenuation!$J:$J,$H96+$I96-1),1),1),1),$I96-1))+1)))))</f>
        <v/>
      </c>
      <c r="M96" s="12" t="str">
        <f>IF($A96="","",IF(M$5&gt;2*$G96,"",EXP(FORECAST(LN(M$5),INDEX(Attenuation!$K:$K,($H96-1+MIN(MAX(IFERROR(MATCH(LN(M$5),INDEX(Attenuation!$J:$J,$H96):INDEX(Attenuation!$J:$J,$H96+$I96-1),1),1),1),$I96-1))):INDEX(Attenuation!$K:$K,($H96-1+MIN(MAX(IFERROR(MATCH(LN(M$5),INDEX(Attenuation!$J:$J,$H96):INDEX(Attenuation!$J:$J,$H96+$I96-1),1),1),1),$I96-1))+1),INDEX(Attenuation!$J:$J,($H96-1+MIN(MAX(IFERROR(MATCH(LN(M$5),INDEX(Attenuation!$J:$J,$H96):INDEX(Attenuation!$J:$J,$H96+$I96-1),1),1),1),$I96-1))):INDEX(Attenuation!$J:$J,($H96-1+MIN(MAX(IFERROR(MATCH(LN(M$5),INDEX(Attenuation!$J:$J,$H96):INDEX(Attenuation!$J:$J,$H96+$I96-1),1),1),1),$I96-1))+1)))))</f>
        <v/>
      </c>
      <c r="N96" s="12" t="str">
        <f>IF($A96="","",IF(N$5&gt;2*$G96,"",EXP(FORECAST(LN(N$5),INDEX(Attenuation!$K:$K,($H96-1+MIN(MAX(IFERROR(MATCH(LN(N$5),INDEX(Attenuation!$J:$J,$H96):INDEX(Attenuation!$J:$J,$H96+$I96-1),1),1),1),$I96-1))):INDEX(Attenuation!$K:$K,($H96-1+MIN(MAX(IFERROR(MATCH(LN(N$5),INDEX(Attenuation!$J:$J,$H96):INDEX(Attenuation!$J:$J,$H96+$I96-1),1),1),1),$I96-1))+1),INDEX(Attenuation!$J:$J,($H96-1+MIN(MAX(IFERROR(MATCH(LN(N$5),INDEX(Attenuation!$J:$J,$H96):INDEX(Attenuation!$J:$J,$H96+$I96-1),1),1),1),$I96-1))):INDEX(Attenuation!$J:$J,($H96-1+MIN(MAX(IFERROR(MATCH(LN(N$5),INDEX(Attenuation!$J:$J,$H96):INDEX(Attenuation!$J:$J,$H96+$I96-1),1),1),1),$I96-1))+1)))))</f>
        <v/>
      </c>
      <c r="O96" s="12" t="str">
        <f>IF($A96="","",IF(O$5&gt;2*$G96,"",EXP(FORECAST(LN(O$5),INDEX(Attenuation!$K:$K,($H96-1+MIN(MAX(IFERROR(MATCH(LN(O$5),INDEX(Attenuation!$J:$J,$H96):INDEX(Attenuation!$J:$J,$H96+$I96-1),1),1),1),$I96-1))):INDEX(Attenuation!$K:$K,($H96-1+MIN(MAX(IFERROR(MATCH(LN(O$5),INDEX(Attenuation!$J:$J,$H96):INDEX(Attenuation!$J:$J,$H96+$I96-1),1),1),1),$I96-1))+1),INDEX(Attenuation!$J:$J,($H96-1+MIN(MAX(IFERROR(MATCH(LN(O$5),INDEX(Attenuation!$J:$J,$H96):INDEX(Attenuation!$J:$J,$H96+$I96-1),1),1),1),$I96-1))):INDEX(Attenuation!$J:$J,($H96-1+MIN(MAX(IFERROR(MATCH(LN(O$5),INDEX(Attenuation!$J:$J,$H96):INDEX(Attenuation!$J:$J,$H96+$I96-1),1),1),1),$I96-1))+1)))))</f>
        <v/>
      </c>
      <c r="P96" s="12" t="str">
        <f>IF($A96="","",IF(P$5&gt;2*$G96,"",EXP(FORECAST(LN(P$5),INDEX(Attenuation!$K:$K,($H96-1+MIN(MAX(IFERROR(MATCH(LN(P$5),INDEX(Attenuation!$J:$J,$H96):INDEX(Attenuation!$J:$J,$H96+$I96-1),1),1),1),$I96-1))):INDEX(Attenuation!$K:$K,($H96-1+MIN(MAX(IFERROR(MATCH(LN(P$5),INDEX(Attenuation!$J:$J,$H96):INDEX(Attenuation!$J:$J,$H96+$I96-1),1),1),1),$I96-1))+1),INDEX(Attenuation!$J:$J,($H96-1+MIN(MAX(IFERROR(MATCH(LN(P$5),INDEX(Attenuation!$J:$J,$H96):INDEX(Attenuation!$J:$J,$H96+$I96-1),1),1),1),$I96-1))):INDEX(Attenuation!$J:$J,($H96-1+MIN(MAX(IFERROR(MATCH(LN(P$5),INDEX(Attenuation!$J:$J,$H96):INDEX(Attenuation!$J:$J,$H96+$I96-1),1),1),1),$I96-1))+1)))))</f>
        <v/>
      </c>
      <c r="Q96" s="12" t="str">
        <f>IF($A96="","",IF(Q$5&gt;2*$G96,"",EXP(FORECAST(LN(Q$5),INDEX(Attenuation!$K:$K,($H96-1+MIN(MAX(IFERROR(MATCH(LN(Q$5),INDEX(Attenuation!$J:$J,$H96):INDEX(Attenuation!$J:$J,$H96+$I96-1),1),1),1),$I96-1))):INDEX(Attenuation!$K:$K,($H96-1+MIN(MAX(IFERROR(MATCH(LN(Q$5),INDEX(Attenuation!$J:$J,$H96):INDEX(Attenuation!$J:$J,$H96+$I96-1),1),1),1),$I96-1))+1),INDEX(Attenuation!$J:$J,($H96-1+MIN(MAX(IFERROR(MATCH(LN(Q$5),INDEX(Attenuation!$J:$J,$H96):INDEX(Attenuation!$J:$J,$H96+$I96-1),1),1),1),$I96-1))):INDEX(Attenuation!$J:$J,($H96-1+MIN(MAX(IFERROR(MATCH(LN(Q$5),INDEX(Attenuation!$J:$J,$H96):INDEX(Attenuation!$J:$J,$H96+$I96-1),1),1),1),$I96-1))+1)))))</f>
        <v/>
      </c>
      <c r="R96" s="12" t="str">
        <f>IF($A96="","",IF(R$5&gt;2*$G96,"",EXP(FORECAST(LN(R$5),INDEX(Attenuation!$K:$K,($H96-1+MIN(MAX(IFERROR(MATCH(LN(R$5),INDEX(Attenuation!$J:$J,$H96):INDEX(Attenuation!$J:$J,$H96+$I96-1),1),1),1),$I96-1))):INDEX(Attenuation!$K:$K,($H96-1+MIN(MAX(IFERROR(MATCH(LN(R$5),INDEX(Attenuation!$J:$J,$H96):INDEX(Attenuation!$J:$J,$H96+$I96-1),1),1),1),$I96-1))+1),INDEX(Attenuation!$J:$J,($H96-1+MIN(MAX(IFERROR(MATCH(LN(R$5),INDEX(Attenuation!$J:$J,$H96):INDEX(Attenuation!$J:$J,$H96+$I96-1),1),1),1),$I96-1))):INDEX(Attenuation!$J:$J,($H96-1+MIN(MAX(IFERROR(MATCH(LN(R$5),INDEX(Attenuation!$J:$J,$H96):INDEX(Attenuation!$J:$J,$H96+$I96-1),1),1),1),$I96-1))+1)))))</f>
        <v/>
      </c>
      <c r="S96" s="12" t="str">
        <f>IF($A96="","",IF(S$5&gt;2*$G96,"",EXP(FORECAST(LN(S$5),INDEX(Attenuation!$K:$K,($H96-1+MIN(MAX(IFERROR(MATCH(LN(S$5),INDEX(Attenuation!$J:$J,$H96):INDEX(Attenuation!$J:$J,$H96+$I96-1),1),1),1),$I96-1))):INDEX(Attenuation!$K:$K,($H96-1+MIN(MAX(IFERROR(MATCH(LN(S$5),INDEX(Attenuation!$J:$J,$H96):INDEX(Attenuation!$J:$J,$H96+$I96-1),1),1),1),$I96-1))+1),INDEX(Attenuation!$J:$J,($H96-1+MIN(MAX(IFERROR(MATCH(LN(S$5),INDEX(Attenuation!$J:$J,$H96):INDEX(Attenuation!$J:$J,$H96+$I96-1),1),1),1),$I96-1))):INDEX(Attenuation!$J:$J,($H96-1+MIN(MAX(IFERROR(MATCH(LN(S$5),INDEX(Attenuation!$J:$J,$H96):INDEX(Attenuation!$J:$J,$H96+$I96-1),1),1),1),$I96-1))+1)))))</f>
        <v/>
      </c>
      <c r="T96" s="12" t="str">
        <f>IF($A96="","",IF(T$5&gt;2*$G96,"",EXP(FORECAST(LN(T$5),INDEX(Attenuation!$K:$K,($H96-1+MIN(MAX(IFERROR(MATCH(LN(T$5),INDEX(Attenuation!$J:$J,$H96):INDEX(Attenuation!$J:$J,$H96+$I96-1),1),1),1),$I96-1))):INDEX(Attenuation!$K:$K,($H96-1+MIN(MAX(IFERROR(MATCH(LN(T$5),INDEX(Attenuation!$J:$J,$H96):INDEX(Attenuation!$J:$J,$H96+$I96-1),1),1),1),$I96-1))+1),INDEX(Attenuation!$J:$J,($H96-1+MIN(MAX(IFERROR(MATCH(LN(T$5),INDEX(Attenuation!$J:$J,$H96):INDEX(Attenuation!$J:$J,$H96+$I96-1),1),1),1),$I96-1))):INDEX(Attenuation!$J:$J,($H96-1+MIN(MAX(IFERROR(MATCH(LN(T$5),INDEX(Attenuation!$J:$J,$H96):INDEX(Attenuation!$J:$J,$H96+$I96-1),1),1),1),$I96-1))+1)))))</f>
        <v/>
      </c>
      <c r="U96" s="12" t="str">
        <f>IF($A96="","",IF(U$5&gt;2*$G96,"",EXP(FORECAST(LN(U$5),INDEX(Attenuation!$K:$K,($H96-1+MIN(MAX(IFERROR(MATCH(LN(U$5),INDEX(Attenuation!$J:$J,$H96):INDEX(Attenuation!$J:$J,$H96+$I96-1),1),1),1),$I96-1))):INDEX(Attenuation!$K:$K,($H96-1+MIN(MAX(IFERROR(MATCH(LN(U$5),INDEX(Attenuation!$J:$J,$H96):INDEX(Attenuation!$J:$J,$H96+$I96-1),1),1),1),$I96-1))+1),INDEX(Attenuation!$J:$J,($H96-1+MIN(MAX(IFERROR(MATCH(LN(U$5),INDEX(Attenuation!$J:$J,$H96):INDEX(Attenuation!$J:$J,$H96+$I96-1),1),1),1),$I96-1))):INDEX(Attenuation!$J:$J,($H96-1+MIN(MAX(IFERROR(MATCH(LN(U$5),INDEX(Attenuation!$J:$J,$H96):INDEX(Attenuation!$J:$J,$H96+$I96-1),1),1),1),$I96-1))+1)))))</f>
        <v/>
      </c>
      <c r="V96" s="1"/>
      <c r="W96" s="12" t="str">
        <f t="shared" si="24"/>
        <v/>
      </c>
      <c r="X96" s="12" t="str">
        <f t="shared" si="25"/>
        <v/>
      </c>
      <c r="Y96" s="12" t="str">
        <f t="shared" si="26"/>
        <v/>
      </c>
      <c r="Z96" s="12" t="str">
        <f t="shared" si="27"/>
        <v/>
      </c>
      <c r="AA96" s="12" t="str">
        <f t="shared" si="28"/>
        <v/>
      </c>
      <c r="AB96" s="12" t="str">
        <f t="shared" si="29"/>
        <v/>
      </c>
      <c r="AC96" s="12" t="str">
        <f t="shared" si="30"/>
        <v/>
      </c>
      <c r="AD96" s="12" t="str">
        <f t="shared" si="31"/>
        <v/>
      </c>
      <c r="AE96" s="12" t="str">
        <f t="shared" si="32"/>
        <v/>
      </c>
      <c r="AF96" s="12" t="str">
        <f t="shared" si="33"/>
        <v/>
      </c>
      <c r="AG96" s="12" t="str">
        <f t="shared" si="34"/>
        <v/>
      </c>
      <c r="AH96" s="12" t="str">
        <f t="shared" si="35"/>
        <v/>
      </c>
    </row>
    <row r="97" spans="1:34" x14ac:dyDescent="0.25">
      <c r="A97" s="11" t="str">
        <f>IF(ROWS($A$6:A97)&gt;COUNTA(Cables!$A:$A)-1,"",INDEX(Cables!$A:$A,ROWS($A$6:A97)+1))</f>
        <v/>
      </c>
      <c r="B97" s="11" t="str">
        <f>IF($A97="","",IF(INDEX(Cables!$B:$B,MATCH($A97,Cables!$A:$A,0))="","",INDEX(Cables!$B:$B,MATCH($A97,Cables!$A:$A,0))))</f>
        <v/>
      </c>
      <c r="C97" s="11" t="str">
        <f>IF($A97="","",IF(INDEX(Cables!$F:$F,MATCH($A97,Cables!$A:$A,0))="","",INDEX(Cables!$F:$F,MATCH($A97,Cables!$A:$A,0))))</f>
        <v/>
      </c>
      <c r="D97" s="11" t="str">
        <f>IF($A97="","",IF(INDEX(Cables!$H:$H,MATCH($A97,Cables!$A:$A,0))="","",INDEX(Cables!$H:$H,MATCH($A97,Cables!$A:$A,0))))</f>
        <v/>
      </c>
      <c r="E97" s="12" t="str">
        <f>IF($A97="","",IF(INDEX(Cables!$Q:$Q,MATCH($A97,Cables!$A:$A,0))="","",INDEX(Cables!$Q:$Q,MATCH($A97,Cables!$A:$A,0))))</f>
        <v/>
      </c>
      <c r="F97" s="11" t="str">
        <f>IF($A97="","",IF(INDEX(Cables!$AQ:$AQ,MATCH($A97,Cables!$A:$A,0))="","",INDEX(Cables!$AQ:$AQ,MATCH($A97,Cables!$A:$A,0))))</f>
        <v/>
      </c>
      <c r="G97" s="11" t="str">
        <f>IF($A97="","",IF(INDEX(Cables!$AR:$AR,MATCH($A97,Cables!$A:$A,0))="","",INDEX(Cables!$AR:$AR,MATCH($A97,Cables!$A:$A,0))))</f>
        <v/>
      </c>
      <c r="H97" s="11" t="str">
        <f>IF($A97="","",IF(INDEX(Cables!$AO:$AO,MATCH($A97,Cables!$A:$A,0))="","",INDEX(Cables!$AO:$AO,MATCH($A97,Cables!$A:$A,0))))</f>
        <v/>
      </c>
      <c r="I97" s="11" t="str">
        <f>IF($A97="","",IF(INDEX(Cables!$AP:$AP,MATCH($A97,Cables!$A:$A,0))="","",INDEX(Cables!$AP:$AP,MATCH($A97,Cables!$A:$A,0))))</f>
        <v/>
      </c>
      <c r="J97" s="12" t="str">
        <f>IF($A97="","",IF(J$5&gt;2*$G97,"",EXP(FORECAST(LN(J$5),INDEX(Attenuation!$K:$K,($H97-1+MIN(MAX(IFERROR(MATCH(LN(J$5),INDEX(Attenuation!$J:$J,$H97):INDEX(Attenuation!$J:$J,$H97+$I97-1),1),1),1),$I97-1))):INDEX(Attenuation!$K:$K,($H97-1+MIN(MAX(IFERROR(MATCH(LN(J$5),INDEX(Attenuation!$J:$J,$H97):INDEX(Attenuation!$J:$J,$H97+$I97-1),1),1),1),$I97-1))+1),INDEX(Attenuation!$J:$J,($H97-1+MIN(MAX(IFERROR(MATCH(LN(J$5),INDEX(Attenuation!$J:$J,$H97):INDEX(Attenuation!$J:$J,$H97+$I97-1),1),1),1),$I97-1))):INDEX(Attenuation!$J:$J,($H97-1+MIN(MAX(IFERROR(MATCH(LN(J$5),INDEX(Attenuation!$J:$J,$H97):INDEX(Attenuation!$J:$J,$H97+$I97-1),1),1),1),$I97-1))+1)))))</f>
        <v/>
      </c>
      <c r="K97" s="12" t="str">
        <f>IF($A97="","",IF(K$5&gt;2*$G97,"",EXP(FORECAST(LN(K$5),INDEX(Attenuation!$K:$K,($H97-1+MIN(MAX(IFERROR(MATCH(LN(K$5),INDEX(Attenuation!$J:$J,$H97):INDEX(Attenuation!$J:$J,$H97+$I97-1),1),1),1),$I97-1))):INDEX(Attenuation!$K:$K,($H97-1+MIN(MAX(IFERROR(MATCH(LN(K$5),INDEX(Attenuation!$J:$J,$H97):INDEX(Attenuation!$J:$J,$H97+$I97-1),1),1),1),$I97-1))+1),INDEX(Attenuation!$J:$J,($H97-1+MIN(MAX(IFERROR(MATCH(LN(K$5),INDEX(Attenuation!$J:$J,$H97):INDEX(Attenuation!$J:$J,$H97+$I97-1),1),1),1),$I97-1))):INDEX(Attenuation!$J:$J,($H97-1+MIN(MAX(IFERROR(MATCH(LN(K$5),INDEX(Attenuation!$J:$J,$H97):INDEX(Attenuation!$J:$J,$H97+$I97-1),1),1),1),$I97-1))+1)))))</f>
        <v/>
      </c>
      <c r="L97" s="12" t="str">
        <f>IF($A97="","",IF(L$5&gt;2*$G97,"",EXP(FORECAST(LN(L$5),INDEX(Attenuation!$K:$K,($H97-1+MIN(MAX(IFERROR(MATCH(LN(L$5),INDEX(Attenuation!$J:$J,$H97):INDEX(Attenuation!$J:$J,$H97+$I97-1),1),1),1),$I97-1))):INDEX(Attenuation!$K:$K,($H97-1+MIN(MAX(IFERROR(MATCH(LN(L$5),INDEX(Attenuation!$J:$J,$H97):INDEX(Attenuation!$J:$J,$H97+$I97-1),1),1),1),$I97-1))+1),INDEX(Attenuation!$J:$J,($H97-1+MIN(MAX(IFERROR(MATCH(LN(L$5),INDEX(Attenuation!$J:$J,$H97):INDEX(Attenuation!$J:$J,$H97+$I97-1),1),1),1),$I97-1))):INDEX(Attenuation!$J:$J,($H97-1+MIN(MAX(IFERROR(MATCH(LN(L$5),INDEX(Attenuation!$J:$J,$H97):INDEX(Attenuation!$J:$J,$H97+$I97-1),1),1),1),$I97-1))+1)))))</f>
        <v/>
      </c>
      <c r="M97" s="12" t="str">
        <f>IF($A97="","",IF(M$5&gt;2*$G97,"",EXP(FORECAST(LN(M$5),INDEX(Attenuation!$K:$K,($H97-1+MIN(MAX(IFERROR(MATCH(LN(M$5),INDEX(Attenuation!$J:$J,$H97):INDEX(Attenuation!$J:$J,$H97+$I97-1),1),1),1),$I97-1))):INDEX(Attenuation!$K:$K,($H97-1+MIN(MAX(IFERROR(MATCH(LN(M$5),INDEX(Attenuation!$J:$J,$H97):INDEX(Attenuation!$J:$J,$H97+$I97-1),1),1),1),$I97-1))+1),INDEX(Attenuation!$J:$J,($H97-1+MIN(MAX(IFERROR(MATCH(LN(M$5),INDEX(Attenuation!$J:$J,$H97):INDEX(Attenuation!$J:$J,$H97+$I97-1),1),1),1),$I97-1))):INDEX(Attenuation!$J:$J,($H97-1+MIN(MAX(IFERROR(MATCH(LN(M$5),INDEX(Attenuation!$J:$J,$H97):INDEX(Attenuation!$J:$J,$H97+$I97-1),1),1),1),$I97-1))+1)))))</f>
        <v/>
      </c>
      <c r="N97" s="12" t="str">
        <f>IF($A97="","",IF(N$5&gt;2*$G97,"",EXP(FORECAST(LN(N$5),INDEX(Attenuation!$K:$K,($H97-1+MIN(MAX(IFERROR(MATCH(LN(N$5),INDEX(Attenuation!$J:$J,$H97):INDEX(Attenuation!$J:$J,$H97+$I97-1),1),1),1),$I97-1))):INDEX(Attenuation!$K:$K,($H97-1+MIN(MAX(IFERROR(MATCH(LN(N$5),INDEX(Attenuation!$J:$J,$H97):INDEX(Attenuation!$J:$J,$H97+$I97-1),1),1),1),$I97-1))+1),INDEX(Attenuation!$J:$J,($H97-1+MIN(MAX(IFERROR(MATCH(LN(N$5),INDEX(Attenuation!$J:$J,$H97):INDEX(Attenuation!$J:$J,$H97+$I97-1),1),1),1),$I97-1))):INDEX(Attenuation!$J:$J,($H97-1+MIN(MAX(IFERROR(MATCH(LN(N$5),INDEX(Attenuation!$J:$J,$H97):INDEX(Attenuation!$J:$J,$H97+$I97-1),1),1),1),$I97-1))+1)))))</f>
        <v/>
      </c>
      <c r="O97" s="12" t="str">
        <f>IF($A97="","",IF(O$5&gt;2*$G97,"",EXP(FORECAST(LN(O$5),INDEX(Attenuation!$K:$K,($H97-1+MIN(MAX(IFERROR(MATCH(LN(O$5),INDEX(Attenuation!$J:$J,$H97):INDEX(Attenuation!$J:$J,$H97+$I97-1),1),1),1),$I97-1))):INDEX(Attenuation!$K:$K,($H97-1+MIN(MAX(IFERROR(MATCH(LN(O$5),INDEX(Attenuation!$J:$J,$H97):INDEX(Attenuation!$J:$J,$H97+$I97-1),1),1),1),$I97-1))+1),INDEX(Attenuation!$J:$J,($H97-1+MIN(MAX(IFERROR(MATCH(LN(O$5),INDEX(Attenuation!$J:$J,$H97):INDEX(Attenuation!$J:$J,$H97+$I97-1),1),1),1),$I97-1))):INDEX(Attenuation!$J:$J,($H97-1+MIN(MAX(IFERROR(MATCH(LN(O$5),INDEX(Attenuation!$J:$J,$H97):INDEX(Attenuation!$J:$J,$H97+$I97-1),1),1),1),$I97-1))+1)))))</f>
        <v/>
      </c>
      <c r="P97" s="12" t="str">
        <f>IF($A97="","",IF(P$5&gt;2*$G97,"",EXP(FORECAST(LN(P$5),INDEX(Attenuation!$K:$K,($H97-1+MIN(MAX(IFERROR(MATCH(LN(P$5),INDEX(Attenuation!$J:$J,$H97):INDEX(Attenuation!$J:$J,$H97+$I97-1),1),1),1),$I97-1))):INDEX(Attenuation!$K:$K,($H97-1+MIN(MAX(IFERROR(MATCH(LN(P$5),INDEX(Attenuation!$J:$J,$H97):INDEX(Attenuation!$J:$J,$H97+$I97-1),1),1),1),$I97-1))+1),INDEX(Attenuation!$J:$J,($H97-1+MIN(MAX(IFERROR(MATCH(LN(P$5),INDEX(Attenuation!$J:$J,$H97):INDEX(Attenuation!$J:$J,$H97+$I97-1),1),1),1),$I97-1))):INDEX(Attenuation!$J:$J,($H97-1+MIN(MAX(IFERROR(MATCH(LN(P$5),INDEX(Attenuation!$J:$J,$H97):INDEX(Attenuation!$J:$J,$H97+$I97-1),1),1),1),$I97-1))+1)))))</f>
        <v/>
      </c>
      <c r="Q97" s="12" t="str">
        <f>IF($A97="","",IF(Q$5&gt;2*$G97,"",EXP(FORECAST(LN(Q$5),INDEX(Attenuation!$K:$K,($H97-1+MIN(MAX(IFERROR(MATCH(LN(Q$5),INDEX(Attenuation!$J:$J,$H97):INDEX(Attenuation!$J:$J,$H97+$I97-1),1),1),1),$I97-1))):INDEX(Attenuation!$K:$K,($H97-1+MIN(MAX(IFERROR(MATCH(LN(Q$5),INDEX(Attenuation!$J:$J,$H97):INDEX(Attenuation!$J:$J,$H97+$I97-1),1),1),1),$I97-1))+1),INDEX(Attenuation!$J:$J,($H97-1+MIN(MAX(IFERROR(MATCH(LN(Q$5),INDEX(Attenuation!$J:$J,$H97):INDEX(Attenuation!$J:$J,$H97+$I97-1),1),1),1),$I97-1))):INDEX(Attenuation!$J:$J,($H97-1+MIN(MAX(IFERROR(MATCH(LN(Q$5),INDEX(Attenuation!$J:$J,$H97):INDEX(Attenuation!$J:$J,$H97+$I97-1),1),1),1),$I97-1))+1)))))</f>
        <v/>
      </c>
      <c r="R97" s="12" t="str">
        <f>IF($A97="","",IF(R$5&gt;2*$G97,"",EXP(FORECAST(LN(R$5),INDEX(Attenuation!$K:$K,($H97-1+MIN(MAX(IFERROR(MATCH(LN(R$5),INDEX(Attenuation!$J:$J,$H97):INDEX(Attenuation!$J:$J,$H97+$I97-1),1),1),1),$I97-1))):INDEX(Attenuation!$K:$K,($H97-1+MIN(MAX(IFERROR(MATCH(LN(R$5),INDEX(Attenuation!$J:$J,$H97):INDEX(Attenuation!$J:$J,$H97+$I97-1),1),1),1),$I97-1))+1),INDEX(Attenuation!$J:$J,($H97-1+MIN(MAX(IFERROR(MATCH(LN(R$5),INDEX(Attenuation!$J:$J,$H97):INDEX(Attenuation!$J:$J,$H97+$I97-1),1),1),1),$I97-1))):INDEX(Attenuation!$J:$J,($H97-1+MIN(MAX(IFERROR(MATCH(LN(R$5),INDEX(Attenuation!$J:$J,$H97):INDEX(Attenuation!$J:$J,$H97+$I97-1),1),1),1),$I97-1))+1)))))</f>
        <v/>
      </c>
      <c r="S97" s="12" t="str">
        <f>IF($A97="","",IF(S$5&gt;2*$G97,"",EXP(FORECAST(LN(S$5),INDEX(Attenuation!$K:$K,($H97-1+MIN(MAX(IFERROR(MATCH(LN(S$5),INDEX(Attenuation!$J:$J,$H97):INDEX(Attenuation!$J:$J,$H97+$I97-1),1),1),1),$I97-1))):INDEX(Attenuation!$K:$K,($H97-1+MIN(MAX(IFERROR(MATCH(LN(S$5),INDEX(Attenuation!$J:$J,$H97):INDEX(Attenuation!$J:$J,$H97+$I97-1),1),1),1),$I97-1))+1),INDEX(Attenuation!$J:$J,($H97-1+MIN(MAX(IFERROR(MATCH(LN(S$5),INDEX(Attenuation!$J:$J,$H97):INDEX(Attenuation!$J:$J,$H97+$I97-1),1),1),1),$I97-1))):INDEX(Attenuation!$J:$J,($H97-1+MIN(MAX(IFERROR(MATCH(LN(S$5),INDEX(Attenuation!$J:$J,$H97):INDEX(Attenuation!$J:$J,$H97+$I97-1),1),1),1),$I97-1))+1)))))</f>
        <v/>
      </c>
      <c r="T97" s="12" t="str">
        <f>IF($A97="","",IF(T$5&gt;2*$G97,"",EXP(FORECAST(LN(T$5),INDEX(Attenuation!$K:$K,($H97-1+MIN(MAX(IFERROR(MATCH(LN(T$5),INDEX(Attenuation!$J:$J,$H97):INDEX(Attenuation!$J:$J,$H97+$I97-1),1),1),1),$I97-1))):INDEX(Attenuation!$K:$K,($H97-1+MIN(MAX(IFERROR(MATCH(LN(T$5),INDEX(Attenuation!$J:$J,$H97):INDEX(Attenuation!$J:$J,$H97+$I97-1),1),1),1),$I97-1))+1),INDEX(Attenuation!$J:$J,($H97-1+MIN(MAX(IFERROR(MATCH(LN(T$5),INDEX(Attenuation!$J:$J,$H97):INDEX(Attenuation!$J:$J,$H97+$I97-1),1),1),1),$I97-1))):INDEX(Attenuation!$J:$J,($H97-1+MIN(MAX(IFERROR(MATCH(LN(T$5),INDEX(Attenuation!$J:$J,$H97):INDEX(Attenuation!$J:$J,$H97+$I97-1),1),1),1),$I97-1))+1)))))</f>
        <v/>
      </c>
      <c r="U97" s="12" t="str">
        <f>IF($A97="","",IF(U$5&gt;2*$G97,"",EXP(FORECAST(LN(U$5),INDEX(Attenuation!$K:$K,($H97-1+MIN(MAX(IFERROR(MATCH(LN(U$5),INDEX(Attenuation!$J:$J,$H97):INDEX(Attenuation!$J:$J,$H97+$I97-1),1),1),1),$I97-1))):INDEX(Attenuation!$K:$K,($H97-1+MIN(MAX(IFERROR(MATCH(LN(U$5),INDEX(Attenuation!$J:$J,$H97):INDEX(Attenuation!$J:$J,$H97+$I97-1),1),1),1),$I97-1))+1),INDEX(Attenuation!$J:$J,($H97-1+MIN(MAX(IFERROR(MATCH(LN(U$5),INDEX(Attenuation!$J:$J,$H97):INDEX(Attenuation!$J:$J,$H97+$I97-1),1),1),1),$I97-1))):INDEX(Attenuation!$J:$J,($H97-1+MIN(MAX(IFERROR(MATCH(LN(U$5),INDEX(Attenuation!$J:$J,$H97):INDEX(Attenuation!$J:$J,$H97+$I97-1),1),1),1),$I97-1))+1)))))</f>
        <v/>
      </c>
      <c r="V97" s="1"/>
      <c r="W97" s="12" t="str">
        <f t="shared" si="24"/>
        <v/>
      </c>
      <c r="X97" s="12" t="str">
        <f t="shared" si="25"/>
        <v/>
      </c>
      <c r="Y97" s="12" t="str">
        <f t="shared" si="26"/>
        <v/>
      </c>
      <c r="Z97" s="12" t="str">
        <f t="shared" si="27"/>
        <v/>
      </c>
      <c r="AA97" s="12" t="str">
        <f t="shared" si="28"/>
        <v/>
      </c>
      <c r="AB97" s="12" t="str">
        <f t="shared" si="29"/>
        <v/>
      </c>
      <c r="AC97" s="12" t="str">
        <f t="shared" si="30"/>
        <v/>
      </c>
      <c r="AD97" s="12" t="str">
        <f t="shared" si="31"/>
        <v/>
      </c>
      <c r="AE97" s="12" t="str">
        <f t="shared" si="32"/>
        <v/>
      </c>
      <c r="AF97" s="12" t="str">
        <f t="shared" si="33"/>
        <v/>
      </c>
      <c r="AG97" s="12" t="str">
        <f t="shared" si="34"/>
        <v/>
      </c>
      <c r="AH97" s="12" t="str">
        <f t="shared" si="35"/>
        <v/>
      </c>
    </row>
    <row r="98" spans="1:34" x14ac:dyDescent="0.25">
      <c r="A98" s="11" t="str">
        <f>IF(ROWS($A$6:A98)&gt;COUNTA(Cables!$A:$A)-1,"",INDEX(Cables!$A:$A,ROWS($A$6:A98)+1))</f>
        <v/>
      </c>
      <c r="B98" s="11" t="str">
        <f>IF($A98="","",IF(INDEX(Cables!$B:$B,MATCH($A98,Cables!$A:$A,0))="","",INDEX(Cables!$B:$B,MATCH($A98,Cables!$A:$A,0))))</f>
        <v/>
      </c>
      <c r="C98" s="11" t="str">
        <f>IF($A98="","",IF(INDEX(Cables!$F:$F,MATCH($A98,Cables!$A:$A,0))="","",INDEX(Cables!$F:$F,MATCH($A98,Cables!$A:$A,0))))</f>
        <v/>
      </c>
      <c r="D98" s="11" t="str">
        <f>IF($A98="","",IF(INDEX(Cables!$H:$H,MATCH($A98,Cables!$A:$A,0))="","",INDEX(Cables!$H:$H,MATCH($A98,Cables!$A:$A,0))))</f>
        <v/>
      </c>
      <c r="E98" s="12" t="str">
        <f>IF($A98="","",IF(INDEX(Cables!$Q:$Q,MATCH($A98,Cables!$A:$A,0))="","",INDEX(Cables!$Q:$Q,MATCH($A98,Cables!$A:$A,0))))</f>
        <v/>
      </c>
      <c r="F98" s="11" t="str">
        <f>IF($A98="","",IF(INDEX(Cables!$AQ:$AQ,MATCH($A98,Cables!$A:$A,0))="","",INDEX(Cables!$AQ:$AQ,MATCH($A98,Cables!$A:$A,0))))</f>
        <v/>
      </c>
      <c r="G98" s="11" t="str">
        <f>IF($A98="","",IF(INDEX(Cables!$AR:$AR,MATCH($A98,Cables!$A:$A,0))="","",INDEX(Cables!$AR:$AR,MATCH($A98,Cables!$A:$A,0))))</f>
        <v/>
      </c>
      <c r="H98" s="11" t="str">
        <f>IF($A98="","",IF(INDEX(Cables!$AO:$AO,MATCH($A98,Cables!$A:$A,0))="","",INDEX(Cables!$AO:$AO,MATCH($A98,Cables!$A:$A,0))))</f>
        <v/>
      </c>
      <c r="I98" s="11" t="str">
        <f>IF($A98="","",IF(INDEX(Cables!$AP:$AP,MATCH($A98,Cables!$A:$A,0))="","",INDEX(Cables!$AP:$AP,MATCH($A98,Cables!$A:$A,0))))</f>
        <v/>
      </c>
      <c r="J98" s="12" t="str">
        <f>IF($A98="","",IF(J$5&gt;2*$G98,"",EXP(FORECAST(LN(J$5),INDEX(Attenuation!$K:$K,($H98-1+MIN(MAX(IFERROR(MATCH(LN(J$5),INDEX(Attenuation!$J:$J,$H98):INDEX(Attenuation!$J:$J,$H98+$I98-1),1),1),1),$I98-1))):INDEX(Attenuation!$K:$K,($H98-1+MIN(MAX(IFERROR(MATCH(LN(J$5),INDEX(Attenuation!$J:$J,$H98):INDEX(Attenuation!$J:$J,$H98+$I98-1),1),1),1),$I98-1))+1),INDEX(Attenuation!$J:$J,($H98-1+MIN(MAX(IFERROR(MATCH(LN(J$5),INDEX(Attenuation!$J:$J,$H98):INDEX(Attenuation!$J:$J,$H98+$I98-1),1),1),1),$I98-1))):INDEX(Attenuation!$J:$J,($H98-1+MIN(MAX(IFERROR(MATCH(LN(J$5),INDEX(Attenuation!$J:$J,$H98):INDEX(Attenuation!$J:$J,$H98+$I98-1),1),1),1),$I98-1))+1)))))</f>
        <v/>
      </c>
      <c r="K98" s="12" t="str">
        <f>IF($A98="","",IF(K$5&gt;2*$G98,"",EXP(FORECAST(LN(K$5),INDEX(Attenuation!$K:$K,($H98-1+MIN(MAX(IFERROR(MATCH(LN(K$5),INDEX(Attenuation!$J:$J,$H98):INDEX(Attenuation!$J:$J,$H98+$I98-1),1),1),1),$I98-1))):INDEX(Attenuation!$K:$K,($H98-1+MIN(MAX(IFERROR(MATCH(LN(K$5),INDEX(Attenuation!$J:$J,$H98):INDEX(Attenuation!$J:$J,$H98+$I98-1),1),1),1),$I98-1))+1),INDEX(Attenuation!$J:$J,($H98-1+MIN(MAX(IFERROR(MATCH(LN(K$5),INDEX(Attenuation!$J:$J,$H98):INDEX(Attenuation!$J:$J,$H98+$I98-1),1),1),1),$I98-1))):INDEX(Attenuation!$J:$J,($H98-1+MIN(MAX(IFERROR(MATCH(LN(K$5),INDEX(Attenuation!$J:$J,$H98):INDEX(Attenuation!$J:$J,$H98+$I98-1),1),1),1),$I98-1))+1)))))</f>
        <v/>
      </c>
      <c r="L98" s="12" t="str">
        <f>IF($A98="","",IF(L$5&gt;2*$G98,"",EXP(FORECAST(LN(L$5),INDEX(Attenuation!$K:$K,($H98-1+MIN(MAX(IFERROR(MATCH(LN(L$5),INDEX(Attenuation!$J:$J,$H98):INDEX(Attenuation!$J:$J,$H98+$I98-1),1),1),1),$I98-1))):INDEX(Attenuation!$K:$K,($H98-1+MIN(MAX(IFERROR(MATCH(LN(L$5),INDEX(Attenuation!$J:$J,$H98):INDEX(Attenuation!$J:$J,$H98+$I98-1),1),1),1),$I98-1))+1),INDEX(Attenuation!$J:$J,($H98-1+MIN(MAX(IFERROR(MATCH(LN(L$5),INDEX(Attenuation!$J:$J,$H98):INDEX(Attenuation!$J:$J,$H98+$I98-1),1),1),1),$I98-1))):INDEX(Attenuation!$J:$J,($H98-1+MIN(MAX(IFERROR(MATCH(LN(L$5),INDEX(Attenuation!$J:$J,$H98):INDEX(Attenuation!$J:$J,$H98+$I98-1),1),1),1),$I98-1))+1)))))</f>
        <v/>
      </c>
      <c r="M98" s="12" t="str">
        <f>IF($A98="","",IF(M$5&gt;2*$G98,"",EXP(FORECAST(LN(M$5),INDEX(Attenuation!$K:$K,($H98-1+MIN(MAX(IFERROR(MATCH(LN(M$5),INDEX(Attenuation!$J:$J,$H98):INDEX(Attenuation!$J:$J,$H98+$I98-1),1),1),1),$I98-1))):INDEX(Attenuation!$K:$K,($H98-1+MIN(MAX(IFERROR(MATCH(LN(M$5),INDEX(Attenuation!$J:$J,$H98):INDEX(Attenuation!$J:$J,$H98+$I98-1),1),1),1),$I98-1))+1),INDEX(Attenuation!$J:$J,($H98-1+MIN(MAX(IFERROR(MATCH(LN(M$5),INDEX(Attenuation!$J:$J,$H98):INDEX(Attenuation!$J:$J,$H98+$I98-1),1),1),1),$I98-1))):INDEX(Attenuation!$J:$J,($H98-1+MIN(MAX(IFERROR(MATCH(LN(M$5),INDEX(Attenuation!$J:$J,$H98):INDEX(Attenuation!$J:$J,$H98+$I98-1),1),1),1),$I98-1))+1)))))</f>
        <v/>
      </c>
      <c r="N98" s="12" t="str">
        <f>IF($A98="","",IF(N$5&gt;2*$G98,"",EXP(FORECAST(LN(N$5),INDEX(Attenuation!$K:$K,($H98-1+MIN(MAX(IFERROR(MATCH(LN(N$5),INDEX(Attenuation!$J:$J,$H98):INDEX(Attenuation!$J:$J,$H98+$I98-1),1),1),1),$I98-1))):INDEX(Attenuation!$K:$K,($H98-1+MIN(MAX(IFERROR(MATCH(LN(N$5),INDEX(Attenuation!$J:$J,$H98):INDEX(Attenuation!$J:$J,$H98+$I98-1),1),1),1),$I98-1))+1),INDEX(Attenuation!$J:$J,($H98-1+MIN(MAX(IFERROR(MATCH(LN(N$5),INDEX(Attenuation!$J:$J,$H98):INDEX(Attenuation!$J:$J,$H98+$I98-1),1),1),1),$I98-1))):INDEX(Attenuation!$J:$J,($H98-1+MIN(MAX(IFERROR(MATCH(LN(N$5),INDEX(Attenuation!$J:$J,$H98):INDEX(Attenuation!$J:$J,$H98+$I98-1),1),1),1),$I98-1))+1)))))</f>
        <v/>
      </c>
      <c r="O98" s="12" t="str">
        <f>IF($A98="","",IF(O$5&gt;2*$G98,"",EXP(FORECAST(LN(O$5),INDEX(Attenuation!$K:$K,($H98-1+MIN(MAX(IFERROR(MATCH(LN(O$5),INDEX(Attenuation!$J:$J,$H98):INDEX(Attenuation!$J:$J,$H98+$I98-1),1),1),1),$I98-1))):INDEX(Attenuation!$K:$K,($H98-1+MIN(MAX(IFERROR(MATCH(LN(O$5),INDEX(Attenuation!$J:$J,$H98):INDEX(Attenuation!$J:$J,$H98+$I98-1),1),1),1),$I98-1))+1),INDEX(Attenuation!$J:$J,($H98-1+MIN(MAX(IFERROR(MATCH(LN(O$5),INDEX(Attenuation!$J:$J,$H98):INDEX(Attenuation!$J:$J,$H98+$I98-1),1),1),1),$I98-1))):INDEX(Attenuation!$J:$J,($H98-1+MIN(MAX(IFERROR(MATCH(LN(O$5),INDEX(Attenuation!$J:$J,$H98):INDEX(Attenuation!$J:$J,$H98+$I98-1),1),1),1),$I98-1))+1)))))</f>
        <v/>
      </c>
      <c r="P98" s="12" t="str">
        <f>IF($A98="","",IF(P$5&gt;2*$G98,"",EXP(FORECAST(LN(P$5),INDEX(Attenuation!$K:$K,($H98-1+MIN(MAX(IFERROR(MATCH(LN(P$5),INDEX(Attenuation!$J:$J,$H98):INDEX(Attenuation!$J:$J,$H98+$I98-1),1),1),1),$I98-1))):INDEX(Attenuation!$K:$K,($H98-1+MIN(MAX(IFERROR(MATCH(LN(P$5),INDEX(Attenuation!$J:$J,$H98):INDEX(Attenuation!$J:$J,$H98+$I98-1),1),1),1),$I98-1))+1),INDEX(Attenuation!$J:$J,($H98-1+MIN(MAX(IFERROR(MATCH(LN(P$5),INDEX(Attenuation!$J:$J,$H98):INDEX(Attenuation!$J:$J,$H98+$I98-1),1),1),1),$I98-1))):INDEX(Attenuation!$J:$J,($H98-1+MIN(MAX(IFERROR(MATCH(LN(P$5),INDEX(Attenuation!$J:$J,$H98):INDEX(Attenuation!$J:$J,$H98+$I98-1),1),1),1),$I98-1))+1)))))</f>
        <v/>
      </c>
      <c r="Q98" s="12" t="str">
        <f>IF($A98="","",IF(Q$5&gt;2*$G98,"",EXP(FORECAST(LN(Q$5),INDEX(Attenuation!$K:$K,($H98-1+MIN(MAX(IFERROR(MATCH(LN(Q$5),INDEX(Attenuation!$J:$J,$H98):INDEX(Attenuation!$J:$J,$H98+$I98-1),1),1),1),$I98-1))):INDEX(Attenuation!$K:$K,($H98-1+MIN(MAX(IFERROR(MATCH(LN(Q$5),INDEX(Attenuation!$J:$J,$H98):INDEX(Attenuation!$J:$J,$H98+$I98-1),1),1),1),$I98-1))+1),INDEX(Attenuation!$J:$J,($H98-1+MIN(MAX(IFERROR(MATCH(LN(Q$5),INDEX(Attenuation!$J:$J,$H98):INDEX(Attenuation!$J:$J,$H98+$I98-1),1),1),1),$I98-1))):INDEX(Attenuation!$J:$J,($H98-1+MIN(MAX(IFERROR(MATCH(LN(Q$5),INDEX(Attenuation!$J:$J,$H98):INDEX(Attenuation!$J:$J,$H98+$I98-1),1),1),1),$I98-1))+1)))))</f>
        <v/>
      </c>
      <c r="R98" s="12" t="str">
        <f>IF($A98="","",IF(R$5&gt;2*$G98,"",EXP(FORECAST(LN(R$5),INDEX(Attenuation!$K:$K,($H98-1+MIN(MAX(IFERROR(MATCH(LN(R$5),INDEX(Attenuation!$J:$J,$H98):INDEX(Attenuation!$J:$J,$H98+$I98-1),1),1),1),$I98-1))):INDEX(Attenuation!$K:$K,($H98-1+MIN(MAX(IFERROR(MATCH(LN(R$5),INDEX(Attenuation!$J:$J,$H98):INDEX(Attenuation!$J:$J,$H98+$I98-1),1),1),1),$I98-1))+1),INDEX(Attenuation!$J:$J,($H98-1+MIN(MAX(IFERROR(MATCH(LN(R$5),INDEX(Attenuation!$J:$J,$H98):INDEX(Attenuation!$J:$J,$H98+$I98-1),1),1),1),$I98-1))):INDEX(Attenuation!$J:$J,($H98-1+MIN(MAX(IFERROR(MATCH(LN(R$5),INDEX(Attenuation!$J:$J,$H98):INDEX(Attenuation!$J:$J,$H98+$I98-1),1),1),1),$I98-1))+1)))))</f>
        <v/>
      </c>
      <c r="S98" s="12" t="str">
        <f>IF($A98="","",IF(S$5&gt;2*$G98,"",EXP(FORECAST(LN(S$5),INDEX(Attenuation!$K:$K,($H98-1+MIN(MAX(IFERROR(MATCH(LN(S$5),INDEX(Attenuation!$J:$J,$H98):INDEX(Attenuation!$J:$J,$H98+$I98-1),1),1),1),$I98-1))):INDEX(Attenuation!$K:$K,($H98-1+MIN(MAX(IFERROR(MATCH(LN(S$5),INDEX(Attenuation!$J:$J,$H98):INDEX(Attenuation!$J:$J,$H98+$I98-1),1),1),1),$I98-1))+1),INDEX(Attenuation!$J:$J,($H98-1+MIN(MAX(IFERROR(MATCH(LN(S$5),INDEX(Attenuation!$J:$J,$H98):INDEX(Attenuation!$J:$J,$H98+$I98-1),1),1),1),$I98-1))):INDEX(Attenuation!$J:$J,($H98-1+MIN(MAX(IFERROR(MATCH(LN(S$5),INDEX(Attenuation!$J:$J,$H98):INDEX(Attenuation!$J:$J,$H98+$I98-1),1),1),1),$I98-1))+1)))))</f>
        <v/>
      </c>
      <c r="T98" s="12" t="str">
        <f>IF($A98="","",IF(T$5&gt;2*$G98,"",EXP(FORECAST(LN(T$5),INDEX(Attenuation!$K:$K,($H98-1+MIN(MAX(IFERROR(MATCH(LN(T$5),INDEX(Attenuation!$J:$J,$H98):INDEX(Attenuation!$J:$J,$H98+$I98-1),1),1),1),$I98-1))):INDEX(Attenuation!$K:$K,($H98-1+MIN(MAX(IFERROR(MATCH(LN(T$5),INDEX(Attenuation!$J:$J,$H98):INDEX(Attenuation!$J:$J,$H98+$I98-1),1),1),1),$I98-1))+1),INDEX(Attenuation!$J:$J,($H98-1+MIN(MAX(IFERROR(MATCH(LN(T$5),INDEX(Attenuation!$J:$J,$H98):INDEX(Attenuation!$J:$J,$H98+$I98-1),1),1),1),$I98-1))):INDEX(Attenuation!$J:$J,($H98-1+MIN(MAX(IFERROR(MATCH(LN(T$5),INDEX(Attenuation!$J:$J,$H98):INDEX(Attenuation!$J:$J,$H98+$I98-1),1),1),1),$I98-1))+1)))))</f>
        <v/>
      </c>
      <c r="U98" s="12" t="str">
        <f>IF($A98="","",IF(U$5&gt;2*$G98,"",EXP(FORECAST(LN(U$5),INDEX(Attenuation!$K:$K,($H98-1+MIN(MAX(IFERROR(MATCH(LN(U$5),INDEX(Attenuation!$J:$J,$H98):INDEX(Attenuation!$J:$J,$H98+$I98-1),1),1),1),$I98-1))):INDEX(Attenuation!$K:$K,($H98-1+MIN(MAX(IFERROR(MATCH(LN(U$5),INDEX(Attenuation!$J:$J,$H98):INDEX(Attenuation!$J:$J,$H98+$I98-1),1),1),1),$I98-1))+1),INDEX(Attenuation!$J:$J,($H98-1+MIN(MAX(IFERROR(MATCH(LN(U$5),INDEX(Attenuation!$J:$J,$H98):INDEX(Attenuation!$J:$J,$H98+$I98-1),1),1),1),$I98-1))):INDEX(Attenuation!$J:$J,($H98-1+MIN(MAX(IFERROR(MATCH(LN(U$5),INDEX(Attenuation!$J:$J,$H98):INDEX(Attenuation!$J:$J,$H98+$I98-1),1),1),1),$I98-1))+1)))))</f>
        <v/>
      </c>
      <c r="V98" s="1"/>
      <c r="W98" s="12" t="str">
        <f t="shared" si="24"/>
        <v/>
      </c>
      <c r="X98" s="12" t="str">
        <f t="shared" si="25"/>
        <v/>
      </c>
      <c r="Y98" s="12" t="str">
        <f t="shared" si="26"/>
        <v/>
      </c>
      <c r="Z98" s="12" t="str">
        <f t="shared" si="27"/>
        <v/>
      </c>
      <c r="AA98" s="12" t="str">
        <f t="shared" si="28"/>
        <v/>
      </c>
      <c r="AB98" s="12" t="str">
        <f t="shared" si="29"/>
        <v/>
      </c>
      <c r="AC98" s="12" t="str">
        <f t="shared" si="30"/>
        <v/>
      </c>
      <c r="AD98" s="12" t="str">
        <f t="shared" si="31"/>
        <v/>
      </c>
      <c r="AE98" s="12" t="str">
        <f t="shared" si="32"/>
        <v/>
      </c>
      <c r="AF98" s="12" t="str">
        <f t="shared" si="33"/>
        <v/>
      </c>
      <c r="AG98" s="12" t="str">
        <f t="shared" si="34"/>
        <v/>
      </c>
      <c r="AH98" s="12" t="str">
        <f t="shared" si="35"/>
        <v/>
      </c>
    </row>
    <row r="99" spans="1:34" x14ac:dyDescent="0.25">
      <c r="A99" s="11" t="str">
        <f>IF(ROWS($A$6:A99)&gt;COUNTA(Cables!$A:$A)-1,"",INDEX(Cables!$A:$A,ROWS($A$6:A99)+1))</f>
        <v/>
      </c>
      <c r="B99" s="11" t="str">
        <f>IF($A99="","",IF(INDEX(Cables!$B:$B,MATCH($A99,Cables!$A:$A,0))="","",INDEX(Cables!$B:$B,MATCH($A99,Cables!$A:$A,0))))</f>
        <v/>
      </c>
      <c r="C99" s="11" t="str">
        <f>IF($A99="","",IF(INDEX(Cables!$F:$F,MATCH($A99,Cables!$A:$A,0))="","",INDEX(Cables!$F:$F,MATCH($A99,Cables!$A:$A,0))))</f>
        <v/>
      </c>
      <c r="D99" s="11" t="str">
        <f>IF($A99="","",IF(INDEX(Cables!$H:$H,MATCH($A99,Cables!$A:$A,0))="","",INDEX(Cables!$H:$H,MATCH($A99,Cables!$A:$A,0))))</f>
        <v/>
      </c>
      <c r="E99" s="12" t="str">
        <f>IF($A99="","",IF(INDEX(Cables!$Q:$Q,MATCH($A99,Cables!$A:$A,0))="","",INDEX(Cables!$Q:$Q,MATCH($A99,Cables!$A:$A,0))))</f>
        <v/>
      </c>
      <c r="F99" s="11" t="str">
        <f>IF($A99="","",IF(INDEX(Cables!$AQ:$AQ,MATCH($A99,Cables!$A:$A,0))="","",INDEX(Cables!$AQ:$AQ,MATCH($A99,Cables!$A:$A,0))))</f>
        <v/>
      </c>
      <c r="G99" s="11" t="str">
        <f>IF($A99="","",IF(INDEX(Cables!$AR:$AR,MATCH($A99,Cables!$A:$A,0))="","",INDEX(Cables!$AR:$AR,MATCH($A99,Cables!$A:$A,0))))</f>
        <v/>
      </c>
      <c r="H99" s="11" t="str">
        <f>IF($A99="","",IF(INDEX(Cables!$AO:$AO,MATCH($A99,Cables!$A:$A,0))="","",INDEX(Cables!$AO:$AO,MATCH($A99,Cables!$A:$A,0))))</f>
        <v/>
      </c>
      <c r="I99" s="11" t="str">
        <f>IF($A99="","",IF(INDEX(Cables!$AP:$AP,MATCH($A99,Cables!$A:$A,0))="","",INDEX(Cables!$AP:$AP,MATCH($A99,Cables!$A:$A,0))))</f>
        <v/>
      </c>
      <c r="J99" s="12" t="str">
        <f>IF($A99="","",IF(J$5&gt;2*$G99,"",EXP(FORECAST(LN(J$5),INDEX(Attenuation!$K:$K,($H99-1+MIN(MAX(IFERROR(MATCH(LN(J$5),INDEX(Attenuation!$J:$J,$H99):INDEX(Attenuation!$J:$J,$H99+$I99-1),1),1),1),$I99-1))):INDEX(Attenuation!$K:$K,($H99-1+MIN(MAX(IFERROR(MATCH(LN(J$5),INDEX(Attenuation!$J:$J,$H99):INDEX(Attenuation!$J:$J,$H99+$I99-1),1),1),1),$I99-1))+1),INDEX(Attenuation!$J:$J,($H99-1+MIN(MAX(IFERROR(MATCH(LN(J$5),INDEX(Attenuation!$J:$J,$H99):INDEX(Attenuation!$J:$J,$H99+$I99-1),1),1),1),$I99-1))):INDEX(Attenuation!$J:$J,($H99-1+MIN(MAX(IFERROR(MATCH(LN(J$5),INDEX(Attenuation!$J:$J,$H99):INDEX(Attenuation!$J:$J,$H99+$I99-1),1),1),1),$I99-1))+1)))))</f>
        <v/>
      </c>
      <c r="K99" s="12" t="str">
        <f>IF($A99="","",IF(K$5&gt;2*$G99,"",EXP(FORECAST(LN(K$5),INDEX(Attenuation!$K:$K,($H99-1+MIN(MAX(IFERROR(MATCH(LN(K$5),INDEX(Attenuation!$J:$J,$H99):INDEX(Attenuation!$J:$J,$H99+$I99-1),1),1),1),$I99-1))):INDEX(Attenuation!$K:$K,($H99-1+MIN(MAX(IFERROR(MATCH(LN(K$5),INDEX(Attenuation!$J:$J,$H99):INDEX(Attenuation!$J:$J,$H99+$I99-1),1),1),1),$I99-1))+1),INDEX(Attenuation!$J:$J,($H99-1+MIN(MAX(IFERROR(MATCH(LN(K$5),INDEX(Attenuation!$J:$J,$H99):INDEX(Attenuation!$J:$J,$H99+$I99-1),1),1),1),$I99-1))):INDEX(Attenuation!$J:$J,($H99-1+MIN(MAX(IFERROR(MATCH(LN(K$5),INDEX(Attenuation!$J:$J,$H99):INDEX(Attenuation!$J:$J,$H99+$I99-1),1),1),1),$I99-1))+1)))))</f>
        <v/>
      </c>
      <c r="L99" s="12" t="str">
        <f>IF($A99="","",IF(L$5&gt;2*$G99,"",EXP(FORECAST(LN(L$5),INDEX(Attenuation!$K:$K,($H99-1+MIN(MAX(IFERROR(MATCH(LN(L$5),INDEX(Attenuation!$J:$J,$H99):INDEX(Attenuation!$J:$J,$H99+$I99-1),1),1),1),$I99-1))):INDEX(Attenuation!$K:$K,($H99-1+MIN(MAX(IFERROR(MATCH(LN(L$5),INDEX(Attenuation!$J:$J,$H99):INDEX(Attenuation!$J:$J,$H99+$I99-1),1),1),1),$I99-1))+1),INDEX(Attenuation!$J:$J,($H99-1+MIN(MAX(IFERROR(MATCH(LN(L$5),INDEX(Attenuation!$J:$J,$H99):INDEX(Attenuation!$J:$J,$H99+$I99-1),1),1),1),$I99-1))):INDEX(Attenuation!$J:$J,($H99-1+MIN(MAX(IFERROR(MATCH(LN(L$5),INDEX(Attenuation!$J:$J,$H99):INDEX(Attenuation!$J:$J,$H99+$I99-1),1),1),1),$I99-1))+1)))))</f>
        <v/>
      </c>
      <c r="M99" s="12" t="str">
        <f>IF($A99="","",IF(M$5&gt;2*$G99,"",EXP(FORECAST(LN(M$5),INDEX(Attenuation!$K:$K,($H99-1+MIN(MAX(IFERROR(MATCH(LN(M$5),INDEX(Attenuation!$J:$J,$H99):INDEX(Attenuation!$J:$J,$H99+$I99-1),1),1),1),$I99-1))):INDEX(Attenuation!$K:$K,($H99-1+MIN(MAX(IFERROR(MATCH(LN(M$5),INDEX(Attenuation!$J:$J,$H99):INDEX(Attenuation!$J:$J,$H99+$I99-1),1),1),1),$I99-1))+1),INDEX(Attenuation!$J:$J,($H99-1+MIN(MAX(IFERROR(MATCH(LN(M$5),INDEX(Attenuation!$J:$J,$H99):INDEX(Attenuation!$J:$J,$H99+$I99-1),1),1),1),$I99-1))):INDEX(Attenuation!$J:$J,($H99-1+MIN(MAX(IFERROR(MATCH(LN(M$5),INDEX(Attenuation!$J:$J,$H99):INDEX(Attenuation!$J:$J,$H99+$I99-1),1),1),1),$I99-1))+1)))))</f>
        <v/>
      </c>
      <c r="N99" s="12" t="str">
        <f>IF($A99="","",IF(N$5&gt;2*$G99,"",EXP(FORECAST(LN(N$5),INDEX(Attenuation!$K:$K,($H99-1+MIN(MAX(IFERROR(MATCH(LN(N$5),INDEX(Attenuation!$J:$J,$H99):INDEX(Attenuation!$J:$J,$H99+$I99-1),1),1),1),$I99-1))):INDEX(Attenuation!$K:$K,($H99-1+MIN(MAX(IFERROR(MATCH(LN(N$5),INDEX(Attenuation!$J:$J,$H99):INDEX(Attenuation!$J:$J,$H99+$I99-1),1),1),1),$I99-1))+1),INDEX(Attenuation!$J:$J,($H99-1+MIN(MAX(IFERROR(MATCH(LN(N$5),INDEX(Attenuation!$J:$J,$H99):INDEX(Attenuation!$J:$J,$H99+$I99-1),1),1),1),$I99-1))):INDEX(Attenuation!$J:$J,($H99-1+MIN(MAX(IFERROR(MATCH(LN(N$5),INDEX(Attenuation!$J:$J,$H99):INDEX(Attenuation!$J:$J,$H99+$I99-1),1),1),1),$I99-1))+1)))))</f>
        <v/>
      </c>
      <c r="O99" s="12" t="str">
        <f>IF($A99="","",IF(O$5&gt;2*$G99,"",EXP(FORECAST(LN(O$5),INDEX(Attenuation!$K:$K,($H99-1+MIN(MAX(IFERROR(MATCH(LN(O$5),INDEX(Attenuation!$J:$J,$H99):INDEX(Attenuation!$J:$J,$H99+$I99-1),1),1),1),$I99-1))):INDEX(Attenuation!$K:$K,($H99-1+MIN(MAX(IFERROR(MATCH(LN(O$5),INDEX(Attenuation!$J:$J,$H99):INDEX(Attenuation!$J:$J,$H99+$I99-1),1),1),1),$I99-1))+1),INDEX(Attenuation!$J:$J,($H99-1+MIN(MAX(IFERROR(MATCH(LN(O$5),INDEX(Attenuation!$J:$J,$H99):INDEX(Attenuation!$J:$J,$H99+$I99-1),1),1),1),$I99-1))):INDEX(Attenuation!$J:$J,($H99-1+MIN(MAX(IFERROR(MATCH(LN(O$5),INDEX(Attenuation!$J:$J,$H99):INDEX(Attenuation!$J:$J,$H99+$I99-1),1),1),1),$I99-1))+1)))))</f>
        <v/>
      </c>
      <c r="P99" s="12" t="str">
        <f>IF($A99="","",IF(P$5&gt;2*$G99,"",EXP(FORECAST(LN(P$5),INDEX(Attenuation!$K:$K,($H99-1+MIN(MAX(IFERROR(MATCH(LN(P$5),INDEX(Attenuation!$J:$J,$H99):INDEX(Attenuation!$J:$J,$H99+$I99-1),1),1),1),$I99-1))):INDEX(Attenuation!$K:$K,($H99-1+MIN(MAX(IFERROR(MATCH(LN(P$5),INDEX(Attenuation!$J:$J,$H99):INDEX(Attenuation!$J:$J,$H99+$I99-1),1),1),1),$I99-1))+1),INDEX(Attenuation!$J:$J,($H99-1+MIN(MAX(IFERROR(MATCH(LN(P$5),INDEX(Attenuation!$J:$J,$H99):INDEX(Attenuation!$J:$J,$H99+$I99-1),1),1),1),$I99-1))):INDEX(Attenuation!$J:$J,($H99-1+MIN(MAX(IFERROR(MATCH(LN(P$5),INDEX(Attenuation!$J:$J,$H99):INDEX(Attenuation!$J:$J,$H99+$I99-1),1),1),1),$I99-1))+1)))))</f>
        <v/>
      </c>
      <c r="Q99" s="12" t="str">
        <f>IF($A99="","",IF(Q$5&gt;2*$G99,"",EXP(FORECAST(LN(Q$5),INDEX(Attenuation!$K:$K,($H99-1+MIN(MAX(IFERROR(MATCH(LN(Q$5),INDEX(Attenuation!$J:$J,$H99):INDEX(Attenuation!$J:$J,$H99+$I99-1),1),1),1),$I99-1))):INDEX(Attenuation!$K:$K,($H99-1+MIN(MAX(IFERROR(MATCH(LN(Q$5),INDEX(Attenuation!$J:$J,$H99):INDEX(Attenuation!$J:$J,$H99+$I99-1),1),1),1),$I99-1))+1),INDEX(Attenuation!$J:$J,($H99-1+MIN(MAX(IFERROR(MATCH(LN(Q$5),INDEX(Attenuation!$J:$J,$H99):INDEX(Attenuation!$J:$J,$H99+$I99-1),1),1),1),$I99-1))):INDEX(Attenuation!$J:$J,($H99-1+MIN(MAX(IFERROR(MATCH(LN(Q$5),INDEX(Attenuation!$J:$J,$H99):INDEX(Attenuation!$J:$J,$H99+$I99-1),1),1),1),$I99-1))+1)))))</f>
        <v/>
      </c>
      <c r="R99" s="12" t="str">
        <f>IF($A99="","",IF(R$5&gt;2*$G99,"",EXP(FORECAST(LN(R$5),INDEX(Attenuation!$K:$K,($H99-1+MIN(MAX(IFERROR(MATCH(LN(R$5),INDEX(Attenuation!$J:$J,$H99):INDEX(Attenuation!$J:$J,$H99+$I99-1),1),1),1),$I99-1))):INDEX(Attenuation!$K:$K,($H99-1+MIN(MAX(IFERROR(MATCH(LN(R$5),INDEX(Attenuation!$J:$J,$H99):INDEX(Attenuation!$J:$J,$H99+$I99-1),1),1),1),$I99-1))+1),INDEX(Attenuation!$J:$J,($H99-1+MIN(MAX(IFERROR(MATCH(LN(R$5),INDEX(Attenuation!$J:$J,$H99):INDEX(Attenuation!$J:$J,$H99+$I99-1),1),1),1),$I99-1))):INDEX(Attenuation!$J:$J,($H99-1+MIN(MAX(IFERROR(MATCH(LN(R$5),INDEX(Attenuation!$J:$J,$H99):INDEX(Attenuation!$J:$J,$H99+$I99-1),1),1),1),$I99-1))+1)))))</f>
        <v/>
      </c>
      <c r="S99" s="12" t="str">
        <f>IF($A99="","",IF(S$5&gt;2*$G99,"",EXP(FORECAST(LN(S$5),INDEX(Attenuation!$K:$K,($H99-1+MIN(MAX(IFERROR(MATCH(LN(S$5),INDEX(Attenuation!$J:$J,$H99):INDEX(Attenuation!$J:$J,$H99+$I99-1),1),1),1),$I99-1))):INDEX(Attenuation!$K:$K,($H99-1+MIN(MAX(IFERROR(MATCH(LN(S$5),INDEX(Attenuation!$J:$J,$H99):INDEX(Attenuation!$J:$J,$H99+$I99-1),1),1),1),$I99-1))+1),INDEX(Attenuation!$J:$J,($H99-1+MIN(MAX(IFERROR(MATCH(LN(S$5),INDEX(Attenuation!$J:$J,$H99):INDEX(Attenuation!$J:$J,$H99+$I99-1),1),1),1),$I99-1))):INDEX(Attenuation!$J:$J,($H99-1+MIN(MAX(IFERROR(MATCH(LN(S$5),INDEX(Attenuation!$J:$J,$H99):INDEX(Attenuation!$J:$J,$H99+$I99-1),1),1),1),$I99-1))+1)))))</f>
        <v/>
      </c>
      <c r="T99" s="12" t="str">
        <f>IF($A99="","",IF(T$5&gt;2*$G99,"",EXP(FORECAST(LN(T$5),INDEX(Attenuation!$K:$K,($H99-1+MIN(MAX(IFERROR(MATCH(LN(T$5),INDEX(Attenuation!$J:$J,$H99):INDEX(Attenuation!$J:$J,$H99+$I99-1),1),1),1),$I99-1))):INDEX(Attenuation!$K:$K,($H99-1+MIN(MAX(IFERROR(MATCH(LN(T$5),INDEX(Attenuation!$J:$J,$H99):INDEX(Attenuation!$J:$J,$H99+$I99-1),1),1),1),$I99-1))+1),INDEX(Attenuation!$J:$J,($H99-1+MIN(MAX(IFERROR(MATCH(LN(T$5),INDEX(Attenuation!$J:$J,$H99):INDEX(Attenuation!$J:$J,$H99+$I99-1),1),1),1),$I99-1))):INDEX(Attenuation!$J:$J,($H99-1+MIN(MAX(IFERROR(MATCH(LN(T$5),INDEX(Attenuation!$J:$J,$H99):INDEX(Attenuation!$J:$J,$H99+$I99-1),1),1),1),$I99-1))+1)))))</f>
        <v/>
      </c>
      <c r="U99" s="12" t="str">
        <f>IF($A99="","",IF(U$5&gt;2*$G99,"",EXP(FORECAST(LN(U$5),INDEX(Attenuation!$K:$K,($H99-1+MIN(MAX(IFERROR(MATCH(LN(U$5),INDEX(Attenuation!$J:$J,$H99):INDEX(Attenuation!$J:$J,$H99+$I99-1),1),1),1),$I99-1))):INDEX(Attenuation!$K:$K,($H99-1+MIN(MAX(IFERROR(MATCH(LN(U$5),INDEX(Attenuation!$J:$J,$H99):INDEX(Attenuation!$J:$J,$H99+$I99-1),1),1),1),$I99-1))+1),INDEX(Attenuation!$J:$J,($H99-1+MIN(MAX(IFERROR(MATCH(LN(U$5),INDEX(Attenuation!$J:$J,$H99):INDEX(Attenuation!$J:$J,$H99+$I99-1),1),1),1),$I99-1))):INDEX(Attenuation!$J:$J,($H99-1+MIN(MAX(IFERROR(MATCH(LN(U$5),INDEX(Attenuation!$J:$J,$H99):INDEX(Attenuation!$J:$J,$H99+$I99-1),1),1),1),$I99-1))+1)))))</f>
        <v/>
      </c>
      <c r="V99" s="1"/>
      <c r="W99" s="12" t="str">
        <f t="shared" si="24"/>
        <v/>
      </c>
      <c r="X99" s="12" t="str">
        <f t="shared" si="25"/>
        <v/>
      </c>
      <c r="Y99" s="12" t="str">
        <f t="shared" si="26"/>
        <v/>
      </c>
      <c r="Z99" s="12" t="str">
        <f t="shared" si="27"/>
        <v/>
      </c>
      <c r="AA99" s="12" t="str">
        <f t="shared" si="28"/>
        <v/>
      </c>
      <c r="AB99" s="12" t="str">
        <f t="shared" si="29"/>
        <v/>
      </c>
      <c r="AC99" s="12" t="str">
        <f t="shared" si="30"/>
        <v/>
      </c>
      <c r="AD99" s="12" t="str">
        <f t="shared" si="31"/>
        <v/>
      </c>
      <c r="AE99" s="12" t="str">
        <f t="shared" si="32"/>
        <v/>
      </c>
      <c r="AF99" s="12" t="str">
        <f t="shared" si="33"/>
        <v/>
      </c>
      <c r="AG99" s="12" t="str">
        <f t="shared" si="34"/>
        <v/>
      </c>
      <c r="AH99" s="12" t="str">
        <f t="shared" si="35"/>
        <v/>
      </c>
    </row>
    <row r="100" spans="1:34" x14ac:dyDescent="0.25">
      <c r="A100" s="11" t="str">
        <f>IF(ROWS($A$6:A100)&gt;COUNTA(Cables!$A:$A)-1,"",INDEX(Cables!$A:$A,ROWS($A$6:A100)+1))</f>
        <v/>
      </c>
      <c r="B100" s="11" t="str">
        <f>IF($A100="","",IF(INDEX(Cables!$B:$B,MATCH($A100,Cables!$A:$A,0))="","",INDEX(Cables!$B:$B,MATCH($A100,Cables!$A:$A,0))))</f>
        <v/>
      </c>
      <c r="C100" s="11" t="str">
        <f>IF($A100="","",IF(INDEX(Cables!$F:$F,MATCH($A100,Cables!$A:$A,0))="","",INDEX(Cables!$F:$F,MATCH($A100,Cables!$A:$A,0))))</f>
        <v/>
      </c>
      <c r="D100" s="11" t="str">
        <f>IF($A100="","",IF(INDEX(Cables!$H:$H,MATCH($A100,Cables!$A:$A,0))="","",INDEX(Cables!$H:$H,MATCH($A100,Cables!$A:$A,0))))</f>
        <v/>
      </c>
      <c r="E100" s="12" t="str">
        <f>IF($A100="","",IF(INDEX(Cables!$Q:$Q,MATCH($A100,Cables!$A:$A,0))="","",INDEX(Cables!$Q:$Q,MATCH($A100,Cables!$A:$A,0))))</f>
        <v/>
      </c>
      <c r="F100" s="11" t="str">
        <f>IF($A100="","",IF(INDEX(Cables!$AQ:$AQ,MATCH($A100,Cables!$A:$A,0))="","",INDEX(Cables!$AQ:$AQ,MATCH($A100,Cables!$A:$A,0))))</f>
        <v/>
      </c>
      <c r="G100" s="11" t="str">
        <f>IF($A100="","",IF(INDEX(Cables!$AR:$AR,MATCH($A100,Cables!$A:$A,0))="","",INDEX(Cables!$AR:$AR,MATCH($A100,Cables!$A:$A,0))))</f>
        <v/>
      </c>
      <c r="H100" s="11" t="str">
        <f>IF($A100="","",IF(INDEX(Cables!$AO:$AO,MATCH($A100,Cables!$A:$A,0))="","",INDEX(Cables!$AO:$AO,MATCH($A100,Cables!$A:$A,0))))</f>
        <v/>
      </c>
      <c r="I100" s="11" t="str">
        <f>IF($A100="","",IF(INDEX(Cables!$AP:$AP,MATCH($A100,Cables!$A:$A,0))="","",INDEX(Cables!$AP:$AP,MATCH($A100,Cables!$A:$A,0))))</f>
        <v/>
      </c>
      <c r="J100" s="12" t="str">
        <f>IF($A100="","",IF(J$5&gt;2*$G100,"",EXP(FORECAST(LN(J$5),INDEX(Attenuation!$K:$K,($H100-1+MIN(MAX(IFERROR(MATCH(LN(J$5),INDEX(Attenuation!$J:$J,$H100):INDEX(Attenuation!$J:$J,$H100+$I100-1),1),1),1),$I100-1))):INDEX(Attenuation!$K:$K,($H100-1+MIN(MAX(IFERROR(MATCH(LN(J$5),INDEX(Attenuation!$J:$J,$H100):INDEX(Attenuation!$J:$J,$H100+$I100-1),1),1),1),$I100-1))+1),INDEX(Attenuation!$J:$J,($H100-1+MIN(MAX(IFERROR(MATCH(LN(J$5),INDEX(Attenuation!$J:$J,$H100):INDEX(Attenuation!$J:$J,$H100+$I100-1),1),1),1),$I100-1))):INDEX(Attenuation!$J:$J,($H100-1+MIN(MAX(IFERROR(MATCH(LN(J$5),INDEX(Attenuation!$J:$J,$H100):INDEX(Attenuation!$J:$J,$H100+$I100-1),1),1),1),$I100-1))+1)))))</f>
        <v/>
      </c>
      <c r="K100" s="12" t="str">
        <f>IF($A100="","",IF(K$5&gt;2*$G100,"",EXP(FORECAST(LN(K$5),INDEX(Attenuation!$K:$K,($H100-1+MIN(MAX(IFERROR(MATCH(LN(K$5),INDEX(Attenuation!$J:$J,$H100):INDEX(Attenuation!$J:$J,$H100+$I100-1),1),1),1),$I100-1))):INDEX(Attenuation!$K:$K,($H100-1+MIN(MAX(IFERROR(MATCH(LN(K$5),INDEX(Attenuation!$J:$J,$H100):INDEX(Attenuation!$J:$J,$H100+$I100-1),1),1),1),$I100-1))+1),INDEX(Attenuation!$J:$J,($H100-1+MIN(MAX(IFERROR(MATCH(LN(K$5),INDEX(Attenuation!$J:$J,$H100):INDEX(Attenuation!$J:$J,$H100+$I100-1),1),1),1),$I100-1))):INDEX(Attenuation!$J:$J,($H100-1+MIN(MAX(IFERROR(MATCH(LN(K$5),INDEX(Attenuation!$J:$J,$H100):INDEX(Attenuation!$J:$J,$H100+$I100-1),1),1),1),$I100-1))+1)))))</f>
        <v/>
      </c>
      <c r="L100" s="12" t="str">
        <f>IF($A100="","",IF(L$5&gt;2*$G100,"",EXP(FORECAST(LN(L$5),INDEX(Attenuation!$K:$K,($H100-1+MIN(MAX(IFERROR(MATCH(LN(L$5),INDEX(Attenuation!$J:$J,$H100):INDEX(Attenuation!$J:$J,$H100+$I100-1),1),1),1),$I100-1))):INDEX(Attenuation!$K:$K,($H100-1+MIN(MAX(IFERROR(MATCH(LN(L$5),INDEX(Attenuation!$J:$J,$H100):INDEX(Attenuation!$J:$J,$H100+$I100-1),1),1),1),$I100-1))+1),INDEX(Attenuation!$J:$J,($H100-1+MIN(MAX(IFERROR(MATCH(LN(L$5),INDEX(Attenuation!$J:$J,$H100):INDEX(Attenuation!$J:$J,$H100+$I100-1),1),1),1),$I100-1))):INDEX(Attenuation!$J:$J,($H100-1+MIN(MAX(IFERROR(MATCH(LN(L$5),INDEX(Attenuation!$J:$J,$H100):INDEX(Attenuation!$J:$J,$H100+$I100-1),1),1),1),$I100-1))+1)))))</f>
        <v/>
      </c>
      <c r="M100" s="12" t="str">
        <f>IF($A100="","",IF(M$5&gt;2*$G100,"",EXP(FORECAST(LN(M$5),INDEX(Attenuation!$K:$K,($H100-1+MIN(MAX(IFERROR(MATCH(LN(M$5),INDEX(Attenuation!$J:$J,$H100):INDEX(Attenuation!$J:$J,$H100+$I100-1),1),1),1),$I100-1))):INDEX(Attenuation!$K:$K,($H100-1+MIN(MAX(IFERROR(MATCH(LN(M$5),INDEX(Attenuation!$J:$J,$H100):INDEX(Attenuation!$J:$J,$H100+$I100-1),1),1),1),$I100-1))+1),INDEX(Attenuation!$J:$J,($H100-1+MIN(MAX(IFERROR(MATCH(LN(M$5),INDEX(Attenuation!$J:$J,$H100):INDEX(Attenuation!$J:$J,$H100+$I100-1),1),1),1),$I100-1))):INDEX(Attenuation!$J:$J,($H100-1+MIN(MAX(IFERROR(MATCH(LN(M$5),INDEX(Attenuation!$J:$J,$H100):INDEX(Attenuation!$J:$J,$H100+$I100-1),1),1),1),$I100-1))+1)))))</f>
        <v/>
      </c>
      <c r="N100" s="12" t="str">
        <f>IF($A100="","",IF(N$5&gt;2*$G100,"",EXP(FORECAST(LN(N$5),INDEX(Attenuation!$K:$K,($H100-1+MIN(MAX(IFERROR(MATCH(LN(N$5),INDEX(Attenuation!$J:$J,$H100):INDEX(Attenuation!$J:$J,$H100+$I100-1),1),1),1),$I100-1))):INDEX(Attenuation!$K:$K,($H100-1+MIN(MAX(IFERROR(MATCH(LN(N$5),INDEX(Attenuation!$J:$J,$H100):INDEX(Attenuation!$J:$J,$H100+$I100-1),1),1),1),$I100-1))+1),INDEX(Attenuation!$J:$J,($H100-1+MIN(MAX(IFERROR(MATCH(LN(N$5),INDEX(Attenuation!$J:$J,$H100):INDEX(Attenuation!$J:$J,$H100+$I100-1),1),1),1),$I100-1))):INDEX(Attenuation!$J:$J,($H100-1+MIN(MAX(IFERROR(MATCH(LN(N$5),INDEX(Attenuation!$J:$J,$H100):INDEX(Attenuation!$J:$J,$H100+$I100-1),1),1),1),$I100-1))+1)))))</f>
        <v/>
      </c>
      <c r="O100" s="12" t="str">
        <f>IF($A100="","",IF(O$5&gt;2*$G100,"",EXP(FORECAST(LN(O$5),INDEX(Attenuation!$K:$K,($H100-1+MIN(MAX(IFERROR(MATCH(LN(O$5),INDEX(Attenuation!$J:$J,$H100):INDEX(Attenuation!$J:$J,$H100+$I100-1),1),1),1),$I100-1))):INDEX(Attenuation!$K:$K,($H100-1+MIN(MAX(IFERROR(MATCH(LN(O$5),INDEX(Attenuation!$J:$J,$H100):INDEX(Attenuation!$J:$J,$H100+$I100-1),1),1),1),$I100-1))+1),INDEX(Attenuation!$J:$J,($H100-1+MIN(MAX(IFERROR(MATCH(LN(O$5),INDEX(Attenuation!$J:$J,$H100):INDEX(Attenuation!$J:$J,$H100+$I100-1),1),1),1),$I100-1))):INDEX(Attenuation!$J:$J,($H100-1+MIN(MAX(IFERROR(MATCH(LN(O$5),INDEX(Attenuation!$J:$J,$H100):INDEX(Attenuation!$J:$J,$H100+$I100-1),1),1),1),$I100-1))+1)))))</f>
        <v/>
      </c>
      <c r="P100" s="12" t="str">
        <f>IF($A100="","",IF(P$5&gt;2*$G100,"",EXP(FORECAST(LN(P$5),INDEX(Attenuation!$K:$K,($H100-1+MIN(MAX(IFERROR(MATCH(LN(P$5),INDEX(Attenuation!$J:$J,$H100):INDEX(Attenuation!$J:$J,$H100+$I100-1),1),1),1),$I100-1))):INDEX(Attenuation!$K:$K,($H100-1+MIN(MAX(IFERROR(MATCH(LN(P$5),INDEX(Attenuation!$J:$J,$H100):INDEX(Attenuation!$J:$J,$H100+$I100-1),1),1),1),$I100-1))+1),INDEX(Attenuation!$J:$J,($H100-1+MIN(MAX(IFERROR(MATCH(LN(P$5),INDEX(Attenuation!$J:$J,$H100):INDEX(Attenuation!$J:$J,$H100+$I100-1),1),1),1),$I100-1))):INDEX(Attenuation!$J:$J,($H100-1+MIN(MAX(IFERROR(MATCH(LN(P$5),INDEX(Attenuation!$J:$J,$H100):INDEX(Attenuation!$J:$J,$H100+$I100-1),1),1),1),$I100-1))+1)))))</f>
        <v/>
      </c>
      <c r="Q100" s="12" t="str">
        <f>IF($A100="","",IF(Q$5&gt;2*$G100,"",EXP(FORECAST(LN(Q$5),INDEX(Attenuation!$K:$K,($H100-1+MIN(MAX(IFERROR(MATCH(LN(Q$5),INDEX(Attenuation!$J:$J,$H100):INDEX(Attenuation!$J:$J,$H100+$I100-1),1),1),1),$I100-1))):INDEX(Attenuation!$K:$K,($H100-1+MIN(MAX(IFERROR(MATCH(LN(Q$5),INDEX(Attenuation!$J:$J,$H100):INDEX(Attenuation!$J:$J,$H100+$I100-1),1),1),1),$I100-1))+1),INDEX(Attenuation!$J:$J,($H100-1+MIN(MAX(IFERROR(MATCH(LN(Q$5),INDEX(Attenuation!$J:$J,$H100):INDEX(Attenuation!$J:$J,$H100+$I100-1),1),1),1),$I100-1))):INDEX(Attenuation!$J:$J,($H100-1+MIN(MAX(IFERROR(MATCH(LN(Q$5),INDEX(Attenuation!$J:$J,$H100):INDEX(Attenuation!$J:$J,$H100+$I100-1),1),1),1),$I100-1))+1)))))</f>
        <v/>
      </c>
      <c r="R100" s="12" t="str">
        <f>IF($A100="","",IF(R$5&gt;2*$G100,"",EXP(FORECAST(LN(R$5),INDEX(Attenuation!$K:$K,($H100-1+MIN(MAX(IFERROR(MATCH(LN(R$5),INDEX(Attenuation!$J:$J,$H100):INDEX(Attenuation!$J:$J,$H100+$I100-1),1),1),1),$I100-1))):INDEX(Attenuation!$K:$K,($H100-1+MIN(MAX(IFERROR(MATCH(LN(R$5),INDEX(Attenuation!$J:$J,$H100):INDEX(Attenuation!$J:$J,$H100+$I100-1),1),1),1),$I100-1))+1),INDEX(Attenuation!$J:$J,($H100-1+MIN(MAX(IFERROR(MATCH(LN(R$5),INDEX(Attenuation!$J:$J,$H100):INDEX(Attenuation!$J:$J,$H100+$I100-1),1),1),1),$I100-1))):INDEX(Attenuation!$J:$J,($H100-1+MIN(MAX(IFERROR(MATCH(LN(R$5),INDEX(Attenuation!$J:$J,$H100):INDEX(Attenuation!$J:$J,$H100+$I100-1),1),1),1),$I100-1))+1)))))</f>
        <v/>
      </c>
      <c r="S100" s="12" t="str">
        <f>IF($A100="","",IF(S$5&gt;2*$G100,"",EXP(FORECAST(LN(S$5),INDEX(Attenuation!$K:$K,($H100-1+MIN(MAX(IFERROR(MATCH(LN(S$5),INDEX(Attenuation!$J:$J,$H100):INDEX(Attenuation!$J:$J,$H100+$I100-1),1),1),1),$I100-1))):INDEX(Attenuation!$K:$K,($H100-1+MIN(MAX(IFERROR(MATCH(LN(S$5),INDEX(Attenuation!$J:$J,$H100):INDEX(Attenuation!$J:$J,$H100+$I100-1),1),1),1),$I100-1))+1),INDEX(Attenuation!$J:$J,($H100-1+MIN(MAX(IFERROR(MATCH(LN(S$5),INDEX(Attenuation!$J:$J,$H100):INDEX(Attenuation!$J:$J,$H100+$I100-1),1),1),1),$I100-1))):INDEX(Attenuation!$J:$J,($H100-1+MIN(MAX(IFERROR(MATCH(LN(S$5),INDEX(Attenuation!$J:$J,$H100):INDEX(Attenuation!$J:$J,$H100+$I100-1),1),1),1),$I100-1))+1)))))</f>
        <v/>
      </c>
      <c r="T100" s="12" t="str">
        <f>IF($A100="","",IF(T$5&gt;2*$G100,"",EXP(FORECAST(LN(T$5),INDEX(Attenuation!$K:$K,($H100-1+MIN(MAX(IFERROR(MATCH(LN(T$5),INDEX(Attenuation!$J:$J,$H100):INDEX(Attenuation!$J:$J,$H100+$I100-1),1),1),1),$I100-1))):INDEX(Attenuation!$K:$K,($H100-1+MIN(MAX(IFERROR(MATCH(LN(T$5),INDEX(Attenuation!$J:$J,$H100):INDEX(Attenuation!$J:$J,$H100+$I100-1),1),1),1),$I100-1))+1),INDEX(Attenuation!$J:$J,($H100-1+MIN(MAX(IFERROR(MATCH(LN(T$5),INDEX(Attenuation!$J:$J,$H100):INDEX(Attenuation!$J:$J,$H100+$I100-1),1),1),1),$I100-1))):INDEX(Attenuation!$J:$J,($H100-1+MIN(MAX(IFERROR(MATCH(LN(T$5),INDEX(Attenuation!$J:$J,$H100):INDEX(Attenuation!$J:$J,$H100+$I100-1),1),1),1),$I100-1))+1)))))</f>
        <v/>
      </c>
      <c r="U100" s="12" t="str">
        <f>IF($A100="","",IF(U$5&gt;2*$G100,"",EXP(FORECAST(LN(U$5),INDEX(Attenuation!$K:$K,($H100-1+MIN(MAX(IFERROR(MATCH(LN(U$5),INDEX(Attenuation!$J:$J,$H100):INDEX(Attenuation!$J:$J,$H100+$I100-1),1),1),1),$I100-1))):INDEX(Attenuation!$K:$K,($H100-1+MIN(MAX(IFERROR(MATCH(LN(U$5),INDEX(Attenuation!$J:$J,$H100):INDEX(Attenuation!$J:$J,$H100+$I100-1),1),1),1),$I100-1))+1),INDEX(Attenuation!$J:$J,($H100-1+MIN(MAX(IFERROR(MATCH(LN(U$5),INDEX(Attenuation!$J:$J,$H100):INDEX(Attenuation!$J:$J,$H100+$I100-1),1),1),1),$I100-1))):INDEX(Attenuation!$J:$J,($H100-1+MIN(MAX(IFERROR(MATCH(LN(U$5),INDEX(Attenuation!$J:$J,$H100):INDEX(Attenuation!$J:$J,$H100+$I100-1),1),1),1),$I100-1))+1)))))</f>
        <v/>
      </c>
      <c r="V100" s="1"/>
      <c r="W100" s="12" t="str">
        <f t="shared" si="24"/>
        <v/>
      </c>
      <c r="X100" s="12" t="str">
        <f t="shared" si="25"/>
        <v/>
      </c>
      <c r="Y100" s="12" t="str">
        <f t="shared" si="26"/>
        <v/>
      </c>
      <c r="Z100" s="12" t="str">
        <f t="shared" si="27"/>
        <v/>
      </c>
      <c r="AA100" s="12" t="str">
        <f t="shared" si="28"/>
        <v/>
      </c>
      <c r="AB100" s="12" t="str">
        <f t="shared" si="29"/>
        <v/>
      </c>
      <c r="AC100" s="12" t="str">
        <f t="shared" si="30"/>
        <v/>
      </c>
      <c r="AD100" s="12" t="str">
        <f t="shared" si="31"/>
        <v/>
      </c>
      <c r="AE100" s="12" t="str">
        <f t="shared" si="32"/>
        <v/>
      </c>
      <c r="AF100" s="12" t="str">
        <f t="shared" si="33"/>
        <v/>
      </c>
      <c r="AG100" s="12" t="str">
        <f t="shared" si="34"/>
        <v/>
      </c>
      <c r="AH100" s="12" t="str">
        <f t="shared" si="35"/>
        <v/>
      </c>
    </row>
    <row r="101" spans="1:34" x14ac:dyDescent="0.25">
      <c r="A101" s="11" t="str">
        <f>IF(ROWS($A$6:A101)&gt;COUNTA(Cables!$A:$A)-1,"",INDEX(Cables!$A:$A,ROWS($A$6:A101)+1))</f>
        <v/>
      </c>
      <c r="B101" s="11" t="str">
        <f>IF($A101="","",IF(INDEX(Cables!$B:$B,MATCH($A101,Cables!$A:$A,0))="","",INDEX(Cables!$B:$B,MATCH($A101,Cables!$A:$A,0))))</f>
        <v/>
      </c>
      <c r="C101" s="11" t="str">
        <f>IF($A101="","",IF(INDEX(Cables!$F:$F,MATCH($A101,Cables!$A:$A,0))="","",INDEX(Cables!$F:$F,MATCH($A101,Cables!$A:$A,0))))</f>
        <v/>
      </c>
      <c r="D101" s="11" t="str">
        <f>IF($A101="","",IF(INDEX(Cables!$H:$H,MATCH($A101,Cables!$A:$A,0))="","",INDEX(Cables!$H:$H,MATCH($A101,Cables!$A:$A,0))))</f>
        <v/>
      </c>
      <c r="E101" s="12" t="str">
        <f>IF($A101="","",IF(INDEX(Cables!$Q:$Q,MATCH($A101,Cables!$A:$A,0))="","",INDEX(Cables!$Q:$Q,MATCH($A101,Cables!$A:$A,0))))</f>
        <v/>
      </c>
      <c r="F101" s="11" t="str">
        <f>IF($A101="","",IF(INDEX(Cables!$AQ:$AQ,MATCH($A101,Cables!$A:$A,0))="","",INDEX(Cables!$AQ:$AQ,MATCH($A101,Cables!$A:$A,0))))</f>
        <v/>
      </c>
      <c r="G101" s="11" t="str">
        <f>IF($A101="","",IF(INDEX(Cables!$AR:$AR,MATCH($A101,Cables!$A:$A,0))="","",INDEX(Cables!$AR:$AR,MATCH($A101,Cables!$A:$A,0))))</f>
        <v/>
      </c>
      <c r="H101" s="11" t="str">
        <f>IF($A101="","",IF(INDEX(Cables!$AO:$AO,MATCH($A101,Cables!$A:$A,0))="","",INDEX(Cables!$AO:$AO,MATCH($A101,Cables!$A:$A,0))))</f>
        <v/>
      </c>
      <c r="I101" s="11" t="str">
        <f>IF($A101="","",IF(INDEX(Cables!$AP:$AP,MATCH($A101,Cables!$A:$A,0))="","",INDEX(Cables!$AP:$AP,MATCH($A101,Cables!$A:$A,0))))</f>
        <v/>
      </c>
      <c r="J101" s="12" t="str">
        <f>IF($A101="","",IF(J$5&gt;2*$G101,"",EXP(FORECAST(LN(J$5),INDEX(Attenuation!$K:$K,($H101-1+MIN(MAX(IFERROR(MATCH(LN(J$5),INDEX(Attenuation!$J:$J,$H101):INDEX(Attenuation!$J:$J,$H101+$I101-1),1),1),1),$I101-1))):INDEX(Attenuation!$K:$K,($H101-1+MIN(MAX(IFERROR(MATCH(LN(J$5),INDEX(Attenuation!$J:$J,$H101):INDEX(Attenuation!$J:$J,$H101+$I101-1),1),1),1),$I101-1))+1),INDEX(Attenuation!$J:$J,($H101-1+MIN(MAX(IFERROR(MATCH(LN(J$5),INDEX(Attenuation!$J:$J,$H101):INDEX(Attenuation!$J:$J,$H101+$I101-1),1),1),1),$I101-1))):INDEX(Attenuation!$J:$J,($H101-1+MIN(MAX(IFERROR(MATCH(LN(J$5),INDEX(Attenuation!$J:$J,$H101):INDEX(Attenuation!$J:$J,$H101+$I101-1),1),1),1),$I101-1))+1)))))</f>
        <v/>
      </c>
      <c r="K101" s="12" t="str">
        <f>IF($A101="","",IF(K$5&gt;2*$G101,"",EXP(FORECAST(LN(K$5),INDEX(Attenuation!$K:$K,($H101-1+MIN(MAX(IFERROR(MATCH(LN(K$5),INDEX(Attenuation!$J:$J,$H101):INDEX(Attenuation!$J:$J,$H101+$I101-1),1),1),1),$I101-1))):INDEX(Attenuation!$K:$K,($H101-1+MIN(MAX(IFERROR(MATCH(LN(K$5),INDEX(Attenuation!$J:$J,$H101):INDEX(Attenuation!$J:$J,$H101+$I101-1),1),1),1),$I101-1))+1),INDEX(Attenuation!$J:$J,($H101-1+MIN(MAX(IFERROR(MATCH(LN(K$5),INDEX(Attenuation!$J:$J,$H101):INDEX(Attenuation!$J:$J,$H101+$I101-1),1),1),1),$I101-1))):INDEX(Attenuation!$J:$J,($H101-1+MIN(MAX(IFERROR(MATCH(LN(K$5),INDEX(Attenuation!$J:$J,$H101):INDEX(Attenuation!$J:$J,$H101+$I101-1),1),1),1),$I101-1))+1)))))</f>
        <v/>
      </c>
      <c r="L101" s="12" t="str">
        <f>IF($A101="","",IF(L$5&gt;2*$G101,"",EXP(FORECAST(LN(L$5),INDEX(Attenuation!$K:$K,($H101-1+MIN(MAX(IFERROR(MATCH(LN(L$5),INDEX(Attenuation!$J:$J,$H101):INDEX(Attenuation!$J:$J,$H101+$I101-1),1),1),1),$I101-1))):INDEX(Attenuation!$K:$K,($H101-1+MIN(MAX(IFERROR(MATCH(LN(L$5),INDEX(Attenuation!$J:$J,$H101):INDEX(Attenuation!$J:$J,$H101+$I101-1),1),1),1),$I101-1))+1),INDEX(Attenuation!$J:$J,($H101-1+MIN(MAX(IFERROR(MATCH(LN(L$5),INDEX(Attenuation!$J:$J,$H101):INDEX(Attenuation!$J:$J,$H101+$I101-1),1),1),1),$I101-1))):INDEX(Attenuation!$J:$J,($H101-1+MIN(MAX(IFERROR(MATCH(LN(L$5),INDEX(Attenuation!$J:$J,$H101):INDEX(Attenuation!$J:$J,$H101+$I101-1),1),1),1),$I101-1))+1)))))</f>
        <v/>
      </c>
      <c r="M101" s="12" t="str">
        <f>IF($A101="","",IF(M$5&gt;2*$G101,"",EXP(FORECAST(LN(M$5),INDEX(Attenuation!$K:$K,($H101-1+MIN(MAX(IFERROR(MATCH(LN(M$5),INDEX(Attenuation!$J:$J,$H101):INDEX(Attenuation!$J:$J,$H101+$I101-1),1),1),1),$I101-1))):INDEX(Attenuation!$K:$K,($H101-1+MIN(MAX(IFERROR(MATCH(LN(M$5),INDEX(Attenuation!$J:$J,$H101):INDEX(Attenuation!$J:$J,$H101+$I101-1),1),1),1),$I101-1))+1),INDEX(Attenuation!$J:$J,($H101-1+MIN(MAX(IFERROR(MATCH(LN(M$5),INDEX(Attenuation!$J:$J,$H101):INDEX(Attenuation!$J:$J,$H101+$I101-1),1),1),1),$I101-1))):INDEX(Attenuation!$J:$J,($H101-1+MIN(MAX(IFERROR(MATCH(LN(M$5),INDEX(Attenuation!$J:$J,$H101):INDEX(Attenuation!$J:$J,$H101+$I101-1),1),1),1),$I101-1))+1)))))</f>
        <v/>
      </c>
      <c r="N101" s="12" t="str">
        <f>IF($A101="","",IF(N$5&gt;2*$G101,"",EXP(FORECAST(LN(N$5),INDEX(Attenuation!$K:$K,($H101-1+MIN(MAX(IFERROR(MATCH(LN(N$5),INDEX(Attenuation!$J:$J,$H101):INDEX(Attenuation!$J:$J,$H101+$I101-1),1),1),1),$I101-1))):INDEX(Attenuation!$K:$K,($H101-1+MIN(MAX(IFERROR(MATCH(LN(N$5),INDEX(Attenuation!$J:$J,$H101):INDEX(Attenuation!$J:$J,$H101+$I101-1),1),1),1),$I101-1))+1),INDEX(Attenuation!$J:$J,($H101-1+MIN(MAX(IFERROR(MATCH(LN(N$5),INDEX(Attenuation!$J:$J,$H101):INDEX(Attenuation!$J:$J,$H101+$I101-1),1),1),1),$I101-1))):INDEX(Attenuation!$J:$J,($H101-1+MIN(MAX(IFERROR(MATCH(LN(N$5),INDEX(Attenuation!$J:$J,$H101):INDEX(Attenuation!$J:$J,$H101+$I101-1),1),1),1),$I101-1))+1)))))</f>
        <v/>
      </c>
      <c r="O101" s="12" t="str">
        <f>IF($A101="","",IF(O$5&gt;2*$G101,"",EXP(FORECAST(LN(O$5),INDEX(Attenuation!$K:$K,($H101-1+MIN(MAX(IFERROR(MATCH(LN(O$5),INDEX(Attenuation!$J:$J,$H101):INDEX(Attenuation!$J:$J,$H101+$I101-1),1),1),1),$I101-1))):INDEX(Attenuation!$K:$K,($H101-1+MIN(MAX(IFERROR(MATCH(LN(O$5),INDEX(Attenuation!$J:$J,$H101):INDEX(Attenuation!$J:$J,$H101+$I101-1),1),1),1),$I101-1))+1),INDEX(Attenuation!$J:$J,($H101-1+MIN(MAX(IFERROR(MATCH(LN(O$5),INDEX(Attenuation!$J:$J,$H101):INDEX(Attenuation!$J:$J,$H101+$I101-1),1),1),1),$I101-1))):INDEX(Attenuation!$J:$J,($H101-1+MIN(MAX(IFERROR(MATCH(LN(O$5),INDEX(Attenuation!$J:$J,$H101):INDEX(Attenuation!$J:$J,$H101+$I101-1),1),1),1),$I101-1))+1)))))</f>
        <v/>
      </c>
      <c r="P101" s="12" t="str">
        <f>IF($A101="","",IF(P$5&gt;2*$G101,"",EXP(FORECAST(LN(P$5),INDEX(Attenuation!$K:$K,($H101-1+MIN(MAX(IFERROR(MATCH(LN(P$5),INDEX(Attenuation!$J:$J,$H101):INDEX(Attenuation!$J:$J,$H101+$I101-1),1),1),1),$I101-1))):INDEX(Attenuation!$K:$K,($H101-1+MIN(MAX(IFERROR(MATCH(LN(P$5),INDEX(Attenuation!$J:$J,$H101):INDEX(Attenuation!$J:$J,$H101+$I101-1),1),1),1),$I101-1))+1),INDEX(Attenuation!$J:$J,($H101-1+MIN(MAX(IFERROR(MATCH(LN(P$5),INDEX(Attenuation!$J:$J,$H101):INDEX(Attenuation!$J:$J,$H101+$I101-1),1),1),1),$I101-1))):INDEX(Attenuation!$J:$J,($H101-1+MIN(MAX(IFERROR(MATCH(LN(P$5),INDEX(Attenuation!$J:$J,$H101):INDEX(Attenuation!$J:$J,$H101+$I101-1),1),1),1),$I101-1))+1)))))</f>
        <v/>
      </c>
      <c r="Q101" s="12" t="str">
        <f>IF($A101="","",IF(Q$5&gt;2*$G101,"",EXP(FORECAST(LN(Q$5),INDEX(Attenuation!$K:$K,($H101-1+MIN(MAX(IFERROR(MATCH(LN(Q$5),INDEX(Attenuation!$J:$J,$H101):INDEX(Attenuation!$J:$J,$H101+$I101-1),1),1),1),$I101-1))):INDEX(Attenuation!$K:$K,($H101-1+MIN(MAX(IFERROR(MATCH(LN(Q$5),INDEX(Attenuation!$J:$J,$H101):INDEX(Attenuation!$J:$J,$H101+$I101-1),1),1),1),$I101-1))+1),INDEX(Attenuation!$J:$J,($H101-1+MIN(MAX(IFERROR(MATCH(LN(Q$5),INDEX(Attenuation!$J:$J,$H101):INDEX(Attenuation!$J:$J,$H101+$I101-1),1),1),1),$I101-1))):INDEX(Attenuation!$J:$J,($H101-1+MIN(MAX(IFERROR(MATCH(LN(Q$5),INDEX(Attenuation!$J:$J,$H101):INDEX(Attenuation!$J:$J,$H101+$I101-1),1),1),1),$I101-1))+1)))))</f>
        <v/>
      </c>
      <c r="R101" s="12" t="str">
        <f>IF($A101="","",IF(R$5&gt;2*$G101,"",EXP(FORECAST(LN(R$5),INDEX(Attenuation!$K:$K,($H101-1+MIN(MAX(IFERROR(MATCH(LN(R$5),INDEX(Attenuation!$J:$J,$H101):INDEX(Attenuation!$J:$J,$H101+$I101-1),1),1),1),$I101-1))):INDEX(Attenuation!$K:$K,($H101-1+MIN(MAX(IFERROR(MATCH(LN(R$5),INDEX(Attenuation!$J:$J,$H101):INDEX(Attenuation!$J:$J,$H101+$I101-1),1),1),1),$I101-1))+1),INDEX(Attenuation!$J:$J,($H101-1+MIN(MAX(IFERROR(MATCH(LN(R$5),INDEX(Attenuation!$J:$J,$H101):INDEX(Attenuation!$J:$J,$H101+$I101-1),1),1),1),$I101-1))):INDEX(Attenuation!$J:$J,($H101-1+MIN(MAX(IFERROR(MATCH(LN(R$5),INDEX(Attenuation!$J:$J,$H101):INDEX(Attenuation!$J:$J,$H101+$I101-1),1),1),1),$I101-1))+1)))))</f>
        <v/>
      </c>
      <c r="S101" s="12" t="str">
        <f>IF($A101="","",IF(S$5&gt;2*$G101,"",EXP(FORECAST(LN(S$5),INDEX(Attenuation!$K:$K,($H101-1+MIN(MAX(IFERROR(MATCH(LN(S$5),INDEX(Attenuation!$J:$J,$H101):INDEX(Attenuation!$J:$J,$H101+$I101-1),1),1),1),$I101-1))):INDEX(Attenuation!$K:$K,($H101-1+MIN(MAX(IFERROR(MATCH(LN(S$5),INDEX(Attenuation!$J:$J,$H101):INDEX(Attenuation!$J:$J,$H101+$I101-1),1),1),1),$I101-1))+1),INDEX(Attenuation!$J:$J,($H101-1+MIN(MAX(IFERROR(MATCH(LN(S$5),INDEX(Attenuation!$J:$J,$H101):INDEX(Attenuation!$J:$J,$H101+$I101-1),1),1),1),$I101-1))):INDEX(Attenuation!$J:$J,($H101-1+MIN(MAX(IFERROR(MATCH(LN(S$5),INDEX(Attenuation!$J:$J,$H101):INDEX(Attenuation!$J:$J,$H101+$I101-1),1),1),1),$I101-1))+1)))))</f>
        <v/>
      </c>
      <c r="T101" s="12" t="str">
        <f>IF($A101="","",IF(T$5&gt;2*$G101,"",EXP(FORECAST(LN(T$5),INDEX(Attenuation!$K:$K,($H101-1+MIN(MAX(IFERROR(MATCH(LN(T$5),INDEX(Attenuation!$J:$J,$H101):INDEX(Attenuation!$J:$J,$H101+$I101-1),1),1),1),$I101-1))):INDEX(Attenuation!$K:$K,($H101-1+MIN(MAX(IFERROR(MATCH(LN(T$5),INDEX(Attenuation!$J:$J,$H101):INDEX(Attenuation!$J:$J,$H101+$I101-1),1),1),1),$I101-1))+1),INDEX(Attenuation!$J:$J,($H101-1+MIN(MAX(IFERROR(MATCH(LN(T$5),INDEX(Attenuation!$J:$J,$H101):INDEX(Attenuation!$J:$J,$H101+$I101-1),1),1),1),$I101-1))):INDEX(Attenuation!$J:$J,($H101-1+MIN(MAX(IFERROR(MATCH(LN(T$5),INDEX(Attenuation!$J:$J,$H101):INDEX(Attenuation!$J:$J,$H101+$I101-1),1),1),1),$I101-1))+1)))))</f>
        <v/>
      </c>
      <c r="U101" s="12" t="str">
        <f>IF($A101="","",IF(U$5&gt;2*$G101,"",EXP(FORECAST(LN(U$5),INDEX(Attenuation!$K:$K,($H101-1+MIN(MAX(IFERROR(MATCH(LN(U$5),INDEX(Attenuation!$J:$J,$H101):INDEX(Attenuation!$J:$J,$H101+$I101-1),1),1),1),$I101-1))):INDEX(Attenuation!$K:$K,($H101-1+MIN(MAX(IFERROR(MATCH(LN(U$5),INDEX(Attenuation!$J:$J,$H101):INDEX(Attenuation!$J:$J,$H101+$I101-1),1),1),1),$I101-1))+1),INDEX(Attenuation!$J:$J,($H101-1+MIN(MAX(IFERROR(MATCH(LN(U$5),INDEX(Attenuation!$J:$J,$H101):INDEX(Attenuation!$J:$J,$H101+$I101-1),1),1),1),$I101-1))):INDEX(Attenuation!$J:$J,($H101-1+MIN(MAX(IFERROR(MATCH(LN(U$5),INDEX(Attenuation!$J:$J,$H101):INDEX(Attenuation!$J:$J,$H101+$I101-1),1),1),1),$I101-1))+1)))))</f>
        <v/>
      </c>
      <c r="V101" s="1"/>
      <c r="W101" s="12" t="str">
        <f t="shared" si="24"/>
        <v/>
      </c>
      <c r="X101" s="12" t="str">
        <f t="shared" si="25"/>
        <v/>
      </c>
      <c r="Y101" s="12" t="str">
        <f t="shared" si="26"/>
        <v/>
      </c>
      <c r="Z101" s="12" t="str">
        <f t="shared" si="27"/>
        <v/>
      </c>
      <c r="AA101" s="12" t="str">
        <f t="shared" si="28"/>
        <v/>
      </c>
      <c r="AB101" s="12" t="str">
        <f t="shared" si="29"/>
        <v/>
      </c>
      <c r="AC101" s="12" t="str">
        <f t="shared" si="30"/>
        <v/>
      </c>
      <c r="AD101" s="12" t="str">
        <f t="shared" si="31"/>
        <v/>
      </c>
      <c r="AE101" s="12" t="str">
        <f t="shared" si="32"/>
        <v/>
      </c>
      <c r="AF101" s="12" t="str">
        <f t="shared" si="33"/>
        <v/>
      </c>
      <c r="AG101" s="12" t="str">
        <f t="shared" si="34"/>
        <v/>
      </c>
      <c r="AH101" s="12" t="str">
        <f t="shared" si="35"/>
        <v/>
      </c>
    </row>
    <row r="102" spans="1:34" x14ac:dyDescent="0.25">
      <c r="A102" s="11" t="str">
        <f>IF(ROWS($A$6:A102)&gt;COUNTA(Cables!$A:$A)-1,"",INDEX(Cables!$A:$A,ROWS($A$6:A102)+1))</f>
        <v/>
      </c>
      <c r="B102" s="11" t="str">
        <f>IF($A102="","",IF(INDEX(Cables!$B:$B,MATCH($A102,Cables!$A:$A,0))="","",INDEX(Cables!$B:$B,MATCH($A102,Cables!$A:$A,0))))</f>
        <v/>
      </c>
      <c r="C102" s="11" t="str">
        <f>IF($A102="","",IF(INDEX(Cables!$F:$F,MATCH($A102,Cables!$A:$A,0))="","",INDEX(Cables!$F:$F,MATCH($A102,Cables!$A:$A,0))))</f>
        <v/>
      </c>
      <c r="D102" s="11" t="str">
        <f>IF($A102="","",IF(INDEX(Cables!$H:$H,MATCH($A102,Cables!$A:$A,0))="","",INDEX(Cables!$H:$H,MATCH($A102,Cables!$A:$A,0))))</f>
        <v/>
      </c>
      <c r="E102" s="12" t="str">
        <f>IF($A102="","",IF(INDEX(Cables!$Q:$Q,MATCH($A102,Cables!$A:$A,0))="","",INDEX(Cables!$Q:$Q,MATCH($A102,Cables!$A:$A,0))))</f>
        <v/>
      </c>
      <c r="F102" s="11" t="str">
        <f>IF($A102="","",IF(INDEX(Cables!$AQ:$AQ,MATCH($A102,Cables!$A:$A,0))="","",INDEX(Cables!$AQ:$AQ,MATCH($A102,Cables!$A:$A,0))))</f>
        <v/>
      </c>
      <c r="G102" s="11" t="str">
        <f>IF($A102="","",IF(INDEX(Cables!$AR:$AR,MATCH($A102,Cables!$A:$A,0))="","",INDEX(Cables!$AR:$AR,MATCH($A102,Cables!$A:$A,0))))</f>
        <v/>
      </c>
      <c r="H102" s="11" t="str">
        <f>IF($A102="","",IF(INDEX(Cables!$AO:$AO,MATCH($A102,Cables!$A:$A,0))="","",INDEX(Cables!$AO:$AO,MATCH($A102,Cables!$A:$A,0))))</f>
        <v/>
      </c>
      <c r="I102" s="11" t="str">
        <f>IF($A102="","",IF(INDEX(Cables!$AP:$AP,MATCH($A102,Cables!$A:$A,0))="","",INDEX(Cables!$AP:$AP,MATCH($A102,Cables!$A:$A,0))))</f>
        <v/>
      </c>
      <c r="J102" s="12" t="str">
        <f>IF($A102="","",IF(J$5&gt;2*$G102,"",EXP(FORECAST(LN(J$5),INDEX(Attenuation!$K:$K,($H102-1+MIN(MAX(IFERROR(MATCH(LN(J$5),INDEX(Attenuation!$J:$J,$H102):INDEX(Attenuation!$J:$J,$H102+$I102-1),1),1),1),$I102-1))):INDEX(Attenuation!$K:$K,($H102-1+MIN(MAX(IFERROR(MATCH(LN(J$5),INDEX(Attenuation!$J:$J,$H102):INDEX(Attenuation!$J:$J,$H102+$I102-1),1),1),1),$I102-1))+1),INDEX(Attenuation!$J:$J,($H102-1+MIN(MAX(IFERROR(MATCH(LN(J$5),INDEX(Attenuation!$J:$J,$H102):INDEX(Attenuation!$J:$J,$H102+$I102-1),1),1),1),$I102-1))):INDEX(Attenuation!$J:$J,($H102-1+MIN(MAX(IFERROR(MATCH(LN(J$5),INDEX(Attenuation!$J:$J,$H102):INDEX(Attenuation!$J:$J,$H102+$I102-1),1),1),1),$I102-1))+1)))))</f>
        <v/>
      </c>
      <c r="K102" s="12" t="str">
        <f>IF($A102="","",IF(K$5&gt;2*$G102,"",EXP(FORECAST(LN(K$5),INDEX(Attenuation!$K:$K,($H102-1+MIN(MAX(IFERROR(MATCH(LN(K$5),INDEX(Attenuation!$J:$J,$H102):INDEX(Attenuation!$J:$J,$H102+$I102-1),1),1),1),$I102-1))):INDEX(Attenuation!$K:$K,($H102-1+MIN(MAX(IFERROR(MATCH(LN(K$5),INDEX(Attenuation!$J:$J,$H102):INDEX(Attenuation!$J:$J,$H102+$I102-1),1),1),1),$I102-1))+1),INDEX(Attenuation!$J:$J,($H102-1+MIN(MAX(IFERROR(MATCH(LN(K$5),INDEX(Attenuation!$J:$J,$H102):INDEX(Attenuation!$J:$J,$H102+$I102-1),1),1),1),$I102-1))):INDEX(Attenuation!$J:$J,($H102-1+MIN(MAX(IFERROR(MATCH(LN(K$5),INDEX(Attenuation!$J:$J,$H102):INDEX(Attenuation!$J:$J,$H102+$I102-1),1),1),1),$I102-1))+1)))))</f>
        <v/>
      </c>
      <c r="L102" s="12" t="str">
        <f>IF($A102="","",IF(L$5&gt;2*$G102,"",EXP(FORECAST(LN(L$5),INDEX(Attenuation!$K:$K,($H102-1+MIN(MAX(IFERROR(MATCH(LN(L$5),INDEX(Attenuation!$J:$J,$H102):INDEX(Attenuation!$J:$J,$H102+$I102-1),1),1),1),$I102-1))):INDEX(Attenuation!$K:$K,($H102-1+MIN(MAX(IFERROR(MATCH(LN(L$5),INDEX(Attenuation!$J:$J,$H102):INDEX(Attenuation!$J:$J,$H102+$I102-1),1),1),1),$I102-1))+1),INDEX(Attenuation!$J:$J,($H102-1+MIN(MAX(IFERROR(MATCH(LN(L$5),INDEX(Attenuation!$J:$J,$H102):INDEX(Attenuation!$J:$J,$H102+$I102-1),1),1),1),$I102-1))):INDEX(Attenuation!$J:$J,($H102-1+MIN(MAX(IFERROR(MATCH(LN(L$5),INDEX(Attenuation!$J:$J,$H102):INDEX(Attenuation!$J:$J,$H102+$I102-1),1),1),1),$I102-1))+1)))))</f>
        <v/>
      </c>
      <c r="M102" s="12" t="str">
        <f>IF($A102="","",IF(M$5&gt;2*$G102,"",EXP(FORECAST(LN(M$5),INDEX(Attenuation!$K:$K,($H102-1+MIN(MAX(IFERROR(MATCH(LN(M$5),INDEX(Attenuation!$J:$J,$H102):INDEX(Attenuation!$J:$J,$H102+$I102-1),1),1),1),$I102-1))):INDEX(Attenuation!$K:$K,($H102-1+MIN(MAX(IFERROR(MATCH(LN(M$5),INDEX(Attenuation!$J:$J,$H102):INDEX(Attenuation!$J:$J,$H102+$I102-1),1),1),1),$I102-1))+1),INDEX(Attenuation!$J:$J,($H102-1+MIN(MAX(IFERROR(MATCH(LN(M$5),INDEX(Attenuation!$J:$J,$H102):INDEX(Attenuation!$J:$J,$H102+$I102-1),1),1),1),$I102-1))):INDEX(Attenuation!$J:$J,($H102-1+MIN(MAX(IFERROR(MATCH(LN(M$5),INDEX(Attenuation!$J:$J,$H102):INDEX(Attenuation!$J:$J,$H102+$I102-1),1),1),1),$I102-1))+1)))))</f>
        <v/>
      </c>
      <c r="N102" s="12" t="str">
        <f>IF($A102="","",IF(N$5&gt;2*$G102,"",EXP(FORECAST(LN(N$5),INDEX(Attenuation!$K:$K,($H102-1+MIN(MAX(IFERROR(MATCH(LN(N$5),INDEX(Attenuation!$J:$J,$H102):INDEX(Attenuation!$J:$J,$H102+$I102-1),1),1),1),$I102-1))):INDEX(Attenuation!$K:$K,($H102-1+MIN(MAX(IFERROR(MATCH(LN(N$5),INDEX(Attenuation!$J:$J,$H102):INDEX(Attenuation!$J:$J,$H102+$I102-1),1),1),1),$I102-1))+1),INDEX(Attenuation!$J:$J,($H102-1+MIN(MAX(IFERROR(MATCH(LN(N$5),INDEX(Attenuation!$J:$J,$H102):INDEX(Attenuation!$J:$J,$H102+$I102-1),1),1),1),$I102-1))):INDEX(Attenuation!$J:$J,($H102-1+MIN(MAX(IFERROR(MATCH(LN(N$5),INDEX(Attenuation!$J:$J,$H102):INDEX(Attenuation!$J:$J,$H102+$I102-1),1),1),1),$I102-1))+1)))))</f>
        <v/>
      </c>
      <c r="O102" s="12" t="str">
        <f>IF($A102="","",IF(O$5&gt;2*$G102,"",EXP(FORECAST(LN(O$5),INDEX(Attenuation!$K:$K,($H102-1+MIN(MAX(IFERROR(MATCH(LN(O$5),INDEX(Attenuation!$J:$J,$H102):INDEX(Attenuation!$J:$J,$H102+$I102-1),1),1),1),$I102-1))):INDEX(Attenuation!$K:$K,($H102-1+MIN(MAX(IFERROR(MATCH(LN(O$5),INDEX(Attenuation!$J:$J,$H102):INDEX(Attenuation!$J:$J,$H102+$I102-1),1),1),1),$I102-1))+1),INDEX(Attenuation!$J:$J,($H102-1+MIN(MAX(IFERROR(MATCH(LN(O$5),INDEX(Attenuation!$J:$J,$H102):INDEX(Attenuation!$J:$J,$H102+$I102-1),1),1),1),$I102-1))):INDEX(Attenuation!$J:$J,($H102-1+MIN(MAX(IFERROR(MATCH(LN(O$5),INDEX(Attenuation!$J:$J,$H102):INDEX(Attenuation!$J:$J,$H102+$I102-1),1),1),1),$I102-1))+1)))))</f>
        <v/>
      </c>
      <c r="P102" s="12" t="str">
        <f>IF($A102="","",IF(P$5&gt;2*$G102,"",EXP(FORECAST(LN(P$5),INDEX(Attenuation!$K:$K,($H102-1+MIN(MAX(IFERROR(MATCH(LN(P$5),INDEX(Attenuation!$J:$J,$H102):INDEX(Attenuation!$J:$J,$H102+$I102-1),1),1),1),$I102-1))):INDEX(Attenuation!$K:$K,($H102-1+MIN(MAX(IFERROR(MATCH(LN(P$5),INDEX(Attenuation!$J:$J,$H102):INDEX(Attenuation!$J:$J,$H102+$I102-1),1),1),1),$I102-1))+1),INDEX(Attenuation!$J:$J,($H102-1+MIN(MAX(IFERROR(MATCH(LN(P$5),INDEX(Attenuation!$J:$J,$H102):INDEX(Attenuation!$J:$J,$H102+$I102-1),1),1),1),$I102-1))):INDEX(Attenuation!$J:$J,($H102-1+MIN(MAX(IFERROR(MATCH(LN(P$5),INDEX(Attenuation!$J:$J,$H102):INDEX(Attenuation!$J:$J,$H102+$I102-1),1),1),1),$I102-1))+1)))))</f>
        <v/>
      </c>
      <c r="Q102" s="12" t="str">
        <f>IF($A102="","",IF(Q$5&gt;2*$G102,"",EXP(FORECAST(LN(Q$5),INDEX(Attenuation!$K:$K,($H102-1+MIN(MAX(IFERROR(MATCH(LN(Q$5),INDEX(Attenuation!$J:$J,$H102):INDEX(Attenuation!$J:$J,$H102+$I102-1),1),1),1),$I102-1))):INDEX(Attenuation!$K:$K,($H102-1+MIN(MAX(IFERROR(MATCH(LN(Q$5),INDEX(Attenuation!$J:$J,$H102):INDEX(Attenuation!$J:$J,$H102+$I102-1),1),1),1),$I102-1))+1),INDEX(Attenuation!$J:$J,($H102-1+MIN(MAX(IFERROR(MATCH(LN(Q$5),INDEX(Attenuation!$J:$J,$H102):INDEX(Attenuation!$J:$J,$H102+$I102-1),1),1),1),$I102-1))):INDEX(Attenuation!$J:$J,($H102-1+MIN(MAX(IFERROR(MATCH(LN(Q$5),INDEX(Attenuation!$J:$J,$H102):INDEX(Attenuation!$J:$J,$H102+$I102-1),1),1),1),$I102-1))+1)))))</f>
        <v/>
      </c>
      <c r="R102" s="12" t="str">
        <f>IF($A102="","",IF(R$5&gt;2*$G102,"",EXP(FORECAST(LN(R$5),INDEX(Attenuation!$K:$K,($H102-1+MIN(MAX(IFERROR(MATCH(LN(R$5),INDEX(Attenuation!$J:$J,$H102):INDEX(Attenuation!$J:$J,$H102+$I102-1),1),1),1),$I102-1))):INDEX(Attenuation!$K:$K,($H102-1+MIN(MAX(IFERROR(MATCH(LN(R$5),INDEX(Attenuation!$J:$J,$H102):INDEX(Attenuation!$J:$J,$H102+$I102-1),1),1),1),$I102-1))+1),INDEX(Attenuation!$J:$J,($H102-1+MIN(MAX(IFERROR(MATCH(LN(R$5),INDEX(Attenuation!$J:$J,$H102):INDEX(Attenuation!$J:$J,$H102+$I102-1),1),1),1),$I102-1))):INDEX(Attenuation!$J:$J,($H102-1+MIN(MAX(IFERROR(MATCH(LN(R$5),INDEX(Attenuation!$J:$J,$H102):INDEX(Attenuation!$J:$J,$H102+$I102-1),1),1),1),$I102-1))+1)))))</f>
        <v/>
      </c>
      <c r="S102" s="12" t="str">
        <f>IF($A102="","",IF(S$5&gt;2*$G102,"",EXP(FORECAST(LN(S$5),INDEX(Attenuation!$K:$K,($H102-1+MIN(MAX(IFERROR(MATCH(LN(S$5),INDEX(Attenuation!$J:$J,$H102):INDEX(Attenuation!$J:$J,$H102+$I102-1),1),1),1),$I102-1))):INDEX(Attenuation!$K:$K,($H102-1+MIN(MAX(IFERROR(MATCH(LN(S$5),INDEX(Attenuation!$J:$J,$H102):INDEX(Attenuation!$J:$J,$H102+$I102-1),1),1),1),$I102-1))+1),INDEX(Attenuation!$J:$J,($H102-1+MIN(MAX(IFERROR(MATCH(LN(S$5),INDEX(Attenuation!$J:$J,$H102):INDEX(Attenuation!$J:$J,$H102+$I102-1),1),1),1),$I102-1))):INDEX(Attenuation!$J:$J,($H102-1+MIN(MAX(IFERROR(MATCH(LN(S$5),INDEX(Attenuation!$J:$J,$H102):INDEX(Attenuation!$J:$J,$H102+$I102-1),1),1),1),$I102-1))+1)))))</f>
        <v/>
      </c>
      <c r="T102" s="12" t="str">
        <f>IF($A102="","",IF(T$5&gt;2*$G102,"",EXP(FORECAST(LN(T$5),INDEX(Attenuation!$K:$K,($H102-1+MIN(MAX(IFERROR(MATCH(LN(T$5),INDEX(Attenuation!$J:$J,$H102):INDEX(Attenuation!$J:$J,$H102+$I102-1),1),1),1),$I102-1))):INDEX(Attenuation!$K:$K,($H102-1+MIN(MAX(IFERROR(MATCH(LN(T$5),INDEX(Attenuation!$J:$J,$H102):INDEX(Attenuation!$J:$J,$H102+$I102-1),1),1),1),$I102-1))+1),INDEX(Attenuation!$J:$J,($H102-1+MIN(MAX(IFERROR(MATCH(LN(T$5),INDEX(Attenuation!$J:$J,$H102):INDEX(Attenuation!$J:$J,$H102+$I102-1),1),1),1),$I102-1))):INDEX(Attenuation!$J:$J,($H102-1+MIN(MAX(IFERROR(MATCH(LN(T$5),INDEX(Attenuation!$J:$J,$H102):INDEX(Attenuation!$J:$J,$H102+$I102-1),1),1),1),$I102-1))+1)))))</f>
        <v/>
      </c>
      <c r="U102" s="12" t="str">
        <f>IF($A102="","",IF(U$5&gt;2*$G102,"",EXP(FORECAST(LN(U$5),INDEX(Attenuation!$K:$K,($H102-1+MIN(MAX(IFERROR(MATCH(LN(U$5),INDEX(Attenuation!$J:$J,$H102):INDEX(Attenuation!$J:$J,$H102+$I102-1),1),1),1),$I102-1))):INDEX(Attenuation!$K:$K,($H102-1+MIN(MAX(IFERROR(MATCH(LN(U$5),INDEX(Attenuation!$J:$J,$H102):INDEX(Attenuation!$J:$J,$H102+$I102-1),1),1),1),$I102-1))+1),INDEX(Attenuation!$J:$J,($H102-1+MIN(MAX(IFERROR(MATCH(LN(U$5),INDEX(Attenuation!$J:$J,$H102):INDEX(Attenuation!$J:$J,$H102+$I102-1),1),1),1),$I102-1))):INDEX(Attenuation!$J:$J,($H102-1+MIN(MAX(IFERROR(MATCH(LN(U$5),INDEX(Attenuation!$J:$J,$H102):INDEX(Attenuation!$J:$J,$H102+$I102-1),1),1),1),$I102-1))+1)))))</f>
        <v/>
      </c>
      <c r="V102" s="1"/>
      <c r="W102" s="12" t="str">
        <f t="shared" si="24"/>
        <v/>
      </c>
      <c r="X102" s="12" t="str">
        <f t="shared" si="25"/>
        <v/>
      </c>
      <c r="Y102" s="12" t="str">
        <f t="shared" si="26"/>
        <v/>
      </c>
      <c r="Z102" s="12" t="str">
        <f t="shared" si="27"/>
        <v/>
      </c>
      <c r="AA102" s="12" t="str">
        <f t="shared" si="28"/>
        <v/>
      </c>
      <c r="AB102" s="12" t="str">
        <f t="shared" si="29"/>
        <v/>
      </c>
      <c r="AC102" s="12" t="str">
        <f t="shared" si="30"/>
        <v/>
      </c>
      <c r="AD102" s="12" t="str">
        <f t="shared" si="31"/>
        <v/>
      </c>
      <c r="AE102" s="12" t="str">
        <f t="shared" si="32"/>
        <v/>
      </c>
      <c r="AF102" s="12" t="str">
        <f t="shared" si="33"/>
        <v/>
      </c>
      <c r="AG102" s="12" t="str">
        <f t="shared" si="34"/>
        <v/>
      </c>
      <c r="AH102" s="12" t="str">
        <f t="shared" si="35"/>
        <v/>
      </c>
    </row>
    <row r="103" spans="1:34" x14ac:dyDescent="0.25">
      <c r="A103" s="11" t="str">
        <f>IF(ROWS($A$6:A103)&gt;COUNTA(Cables!$A:$A)-1,"",INDEX(Cables!$A:$A,ROWS($A$6:A103)+1))</f>
        <v/>
      </c>
      <c r="B103" s="11" t="str">
        <f>IF($A103="","",IF(INDEX(Cables!$B:$B,MATCH($A103,Cables!$A:$A,0))="","",INDEX(Cables!$B:$B,MATCH($A103,Cables!$A:$A,0))))</f>
        <v/>
      </c>
      <c r="C103" s="11" t="str">
        <f>IF($A103="","",IF(INDEX(Cables!$F:$F,MATCH($A103,Cables!$A:$A,0))="","",INDEX(Cables!$F:$F,MATCH($A103,Cables!$A:$A,0))))</f>
        <v/>
      </c>
      <c r="D103" s="11" t="str">
        <f>IF($A103="","",IF(INDEX(Cables!$H:$H,MATCH($A103,Cables!$A:$A,0))="","",INDEX(Cables!$H:$H,MATCH($A103,Cables!$A:$A,0))))</f>
        <v/>
      </c>
      <c r="E103" s="12" t="str">
        <f>IF($A103="","",IF(INDEX(Cables!$Q:$Q,MATCH($A103,Cables!$A:$A,0))="","",INDEX(Cables!$Q:$Q,MATCH($A103,Cables!$A:$A,0))))</f>
        <v/>
      </c>
      <c r="F103" s="11" t="str">
        <f>IF($A103="","",IF(INDEX(Cables!$AQ:$AQ,MATCH($A103,Cables!$A:$A,0))="","",INDEX(Cables!$AQ:$AQ,MATCH($A103,Cables!$A:$A,0))))</f>
        <v/>
      </c>
      <c r="G103" s="11" t="str">
        <f>IF($A103="","",IF(INDEX(Cables!$AR:$AR,MATCH($A103,Cables!$A:$A,0))="","",INDEX(Cables!$AR:$AR,MATCH($A103,Cables!$A:$A,0))))</f>
        <v/>
      </c>
      <c r="H103" s="11" t="str">
        <f>IF($A103="","",IF(INDEX(Cables!$AO:$AO,MATCH($A103,Cables!$A:$A,0))="","",INDEX(Cables!$AO:$AO,MATCH($A103,Cables!$A:$A,0))))</f>
        <v/>
      </c>
      <c r="I103" s="11" t="str">
        <f>IF($A103="","",IF(INDEX(Cables!$AP:$AP,MATCH($A103,Cables!$A:$A,0))="","",INDEX(Cables!$AP:$AP,MATCH($A103,Cables!$A:$A,0))))</f>
        <v/>
      </c>
      <c r="J103" s="12" t="str">
        <f>IF($A103="","",IF(J$5&gt;2*$G103,"",EXP(FORECAST(LN(J$5),INDEX(Attenuation!$K:$K,($H103-1+MIN(MAX(IFERROR(MATCH(LN(J$5),INDEX(Attenuation!$J:$J,$H103):INDEX(Attenuation!$J:$J,$H103+$I103-1),1),1),1),$I103-1))):INDEX(Attenuation!$K:$K,($H103-1+MIN(MAX(IFERROR(MATCH(LN(J$5),INDEX(Attenuation!$J:$J,$H103):INDEX(Attenuation!$J:$J,$H103+$I103-1),1),1),1),$I103-1))+1),INDEX(Attenuation!$J:$J,($H103-1+MIN(MAX(IFERROR(MATCH(LN(J$5),INDEX(Attenuation!$J:$J,$H103):INDEX(Attenuation!$J:$J,$H103+$I103-1),1),1),1),$I103-1))):INDEX(Attenuation!$J:$J,($H103-1+MIN(MAX(IFERROR(MATCH(LN(J$5),INDEX(Attenuation!$J:$J,$H103):INDEX(Attenuation!$J:$J,$H103+$I103-1),1),1),1),$I103-1))+1)))))</f>
        <v/>
      </c>
      <c r="K103" s="12" t="str">
        <f>IF($A103="","",IF(K$5&gt;2*$G103,"",EXP(FORECAST(LN(K$5),INDEX(Attenuation!$K:$K,($H103-1+MIN(MAX(IFERROR(MATCH(LN(K$5),INDEX(Attenuation!$J:$J,$H103):INDEX(Attenuation!$J:$J,$H103+$I103-1),1),1),1),$I103-1))):INDEX(Attenuation!$K:$K,($H103-1+MIN(MAX(IFERROR(MATCH(LN(K$5),INDEX(Attenuation!$J:$J,$H103):INDEX(Attenuation!$J:$J,$H103+$I103-1),1),1),1),$I103-1))+1),INDEX(Attenuation!$J:$J,($H103-1+MIN(MAX(IFERROR(MATCH(LN(K$5),INDEX(Attenuation!$J:$J,$H103):INDEX(Attenuation!$J:$J,$H103+$I103-1),1),1),1),$I103-1))):INDEX(Attenuation!$J:$J,($H103-1+MIN(MAX(IFERROR(MATCH(LN(K$5),INDEX(Attenuation!$J:$J,$H103):INDEX(Attenuation!$J:$J,$H103+$I103-1),1),1),1),$I103-1))+1)))))</f>
        <v/>
      </c>
      <c r="L103" s="12" t="str">
        <f>IF($A103="","",IF(L$5&gt;2*$G103,"",EXP(FORECAST(LN(L$5),INDEX(Attenuation!$K:$K,($H103-1+MIN(MAX(IFERROR(MATCH(LN(L$5),INDEX(Attenuation!$J:$J,$H103):INDEX(Attenuation!$J:$J,$H103+$I103-1),1),1),1),$I103-1))):INDEX(Attenuation!$K:$K,($H103-1+MIN(MAX(IFERROR(MATCH(LN(L$5),INDEX(Attenuation!$J:$J,$H103):INDEX(Attenuation!$J:$J,$H103+$I103-1),1),1),1),$I103-1))+1),INDEX(Attenuation!$J:$J,($H103-1+MIN(MAX(IFERROR(MATCH(LN(L$5),INDEX(Attenuation!$J:$J,$H103):INDEX(Attenuation!$J:$J,$H103+$I103-1),1),1),1),$I103-1))):INDEX(Attenuation!$J:$J,($H103-1+MIN(MAX(IFERROR(MATCH(LN(L$5),INDEX(Attenuation!$J:$J,$H103):INDEX(Attenuation!$J:$J,$H103+$I103-1),1),1),1),$I103-1))+1)))))</f>
        <v/>
      </c>
      <c r="M103" s="12" t="str">
        <f>IF($A103="","",IF(M$5&gt;2*$G103,"",EXP(FORECAST(LN(M$5),INDEX(Attenuation!$K:$K,($H103-1+MIN(MAX(IFERROR(MATCH(LN(M$5),INDEX(Attenuation!$J:$J,$H103):INDEX(Attenuation!$J:$J,$H103+$I103-1),1),1),1),$I103-1))):INDEX(Attenuation!$K:$K,($H103-1+MIN(MAX(IFERROR(MATCH(LN(M$5),INDEX(Attenuation!$J:$J,$H103):INDEX(Attenuation!$J:$J,$H103+$I103-1),1),1),1),$I103-1))+1),INDEX(Attenuation!$J:$J,($H103-1+MIN(MAX(IFERROR(MATCH(LN(M$5),INDEX(Attenuation!$J:$J,$H103):INDEX(Attenuation!$J:$J,$H103+$I103-1),1),1),1),$I103-1))):INDEX(Attenuation!$J:$J,($H103-1+MIN(MAX(IFERROR(MATCH(LN(M$5),INDEX(Attenuation!$J:$J,$H103):INDEX(Attenuation!$J:$J,$H103+$I103-1),1),1),1),$I103-1))+1)))))</f>
        <v/>
      </c>
      <c r="N103" s="12" t="str">
        <f>IF($A103="","",IF(N$5&gt;2*$G103,"",EXP(FORECAST(LN(N$5),INDEX(Attenuation!$K:$K,($H103-1+MIN(MAX(IFERROR(MATCH(LN(N$5),INDEX(Attenuation!$J:$J,$H103):INDEX(Attenuation!$J:$J,$H103+$I103-1),1),1),1),$I103-1))):INDEX(Attenuation!$K:$K,($H103-1+MIN(MAX(IFERROR(MATCH(LN(N$5),INDEX(Attenuation!$J:$J,$H103):INDEX(Attenuation!$J:$J,$H103+$I103-1),1),1),1),$I103-1))+1),INDEX(Attenuation!$J:$J,($H103-1+MIN(MAX(IFERROR(MATCH(LN(N$5),INDEX(Attenuation!$J:$J,$H103):INDEX(Attenuation!$J:$J,$H103+$I103-1),1),1),1),$I103-1))):INDEX(Attenuation!$J:$J,($H103-1+MIN(MAX(IFERROR(MATCH(LN(N$5),INDEX(Attenuation!$J:$J,$H103):INDEX(Attenuation!$J:$J,$H103+$I103-1),1),1),1),$I103-1))+1)))))</f>
        <v/>
      </c>
      <c r="O103" s="12" t="str">
        <f>IF($A103="","",IF(O$5&gt;2*$G103,"",EXP(FORECAST(LN(O$5),INDEX(Attenuation!$K:$K,($H103-1+MIN(MAX(IFERROR(MATCH(LN(O$5),INDEX(Attenuation!$J:$J,$H103):INDEX(Attenuation!$J:$J,$H103+$I103-1),1),1),1),$I103-1))):INDEX(Attenuation!$K:$K,($H103-1+MIN(MAX(IFERROR(MATCH(LN(O$5),INDEX(Attenuation!$J:$J,$H103):INDEX(Attenuation!$J:$J,$H103+$I103-1),1),1),1),$I103-1))+1),INDEX(Attenuation!$J:$J,($H103-1+MIN(MAX(IFERROR(MATCH(LN(O$5),INDEX(Attenuation!$J:$J,$H103):INDEX(Attenuation!$J:$J,$H103+$I103-1),1),1),1),$I103-1))):INDEX(Attenuation!$J:$J,($H103-1+MIN(MAX(IFERROR(MATCH(LN(O$5),INDEX(Attenuation!$J:$J,$H103):INDEX(Attenuation!$J:$J,$H103+$I103-1),1),1),1),$I103-1))+1)))))</f>
        <v/>
      </c>
      <c r="P103" s="12" t="str">
        <f>IF($A103="","",IF(P$5&gt;2*$G103,"",EXP(FORECAST(LN(P$5),INDEX(Attenuation!$K:$K,($H103-1+MIN(MAX(IFERROR(MATCH(LN(P$5),INDEX(Attenuation!$J:$J,$H103):INDEX(Attenuation!$J:$J,$H103+$I103-1),1),1),1),$I103-1))):INDEX(Attenuation!$K:$K,($H103-1+MIN(MAX(IFERROR(MATCH(LN(P$5),INDEX(Attenuation!$J:$J,$H103):INDEX(Attenuation!$J:$J,$H103+$I103-1),1),1),1),$I103-1))+1),INDEX(Attenuation!$J:$J,($H103-1+MIN(MAX(IFERROR(MATCH(LN(P$5),INDEX(Attenuation!$J:$J,$H103):INDEX(Attenuation!$J:$J,$H103+$I103-1),1),1),1),$I103-1))):INDEX(Attenuation!$J:$J,($H103-1+MIN(MAX(IFERROR(MATCH(LN(P$5),INDEX(Attenuation!$J:$J,$H103):INDEX(Attenuation!$J:$J,$H103+$I103-1),1),1),1),$I103-1))+1)))))</f>
        <v/>
      </c>
      <c r="Q103" s="12" t="str">
        <f>IF($A103="","",IF(Q$5&gt;2*$G103,"",EXP(FORECAST(LN(Q$5),INDEX(Attenuation!$K:$K,($H103-1+MIN(MAX(IFERROR(MATCH(LN(Q$5),INDEX(Attenuation!$J:$J,$H103):INDEX(Attenuation!$J:$J,$H103+$I103-1),1),1),1),$I103-1))):INDEX(Attenuation!$K:$K,($H103-1+MIN(MAX(IFERROR(MATCH(LN(Q$5),INDEX(Attenuation!$J:$J,$H103):INDEX(Attenuation!$J:$J,$H103+$I103-1),1),1),1),$I103-1))+1),INDEX(Attenuation!$J:$J,($H103-1+MIN(MAX(IFERROR(MATCH(LN(Q$5),INDEX(Attenuation!$J:$J,$H103):INDEX(Attenuation!$J:$J,$H103+$I103-1),1),1),1),$I103-1))):INDEX(Attenuation!$J:$J,($H103-1+MIN(MAX(IFERROR(MATCH(LN(Q$5),INDEX(Attenuation!$J:$J,$H103):INDEX(Attenuation!$J:$J,$H103+$I103-1),1),1),1),$I103-1))+1)))))</f>
        <v/>
      </c>
      <c r="R103" s="12" t="str">
        <f>IF($A103="","",IF(R$5&gt;2*$G103,"",EXP(FORECAST(LN(R$5),INDEX(Attenuation!$K:$K,($H103-1+MIN(MAX(IFERROR(MATCH(LN(R$5),INDEX(Attenuation!$J:$J,$H103):INDEX(Attenuation!$J:$J,$H103+$I103-1),1),1),1),$I103-1))):INDEX(Attenuation!$K:$K,($H103-1+MIN(MAX(IFERROR(MATCH(LN(R$5),INDEX(Attenuation!$J:$J,$H103):INDEX(Attenuation!$J:$J,$H103+$I103-1),1),1),1),$I103-1))+1),INDEX(Attenuation!$J:$J,($H103-1+MIN(MAX(IFERROR(MATCH(LN(R$5),INDEX(Attenuation!$J:$J,$H103):INDEX(Attenuation!$J:$J,$H103+$I103-1),1),1),1),$I103-1))):INDEX(Attenuation!$J:$J,($H103-1+MIN(MAX(IFERROR(MATCH(LN(R$5),INDEX(Attenuation!$J:$J,$H103):INDEX(Attenuation!$J:$J,$H103+$I103-1),1),1),1),$I103-1))+1)))))</f>
        <v/>
      </c>
      <c r="S103" s="12" t="str">
        <f>IF($A103="","",IF(S$5&gt;2*$G103,"",EXP(FORECAST(LN(S$5),INDEX(Attenuation!$K:$K,($H103-1+MIN(MAX(IFERROR(MATCH(LN(S$5),INDEX(Attenuation!$J:$J,$H103):INDEX(Attenuation!$J:$J,$H103+$I103-1),1),1),1),$I103-1))):INDEX(Attenuation!$K:$K,($H103-1+MIN(MAX(IFERROR(MATCH(LN(S$5),INDEX(Attenuation!$J:$J,$H103):INDEX(Attenuation!$J:$J,$H103+$I103-1),1),1),1),$I103-1))+1),INDEX(Attenuation!$J:$J,($H103-1+MIN(MAX(IFERROR(MATCH(LN(S$5),INDEX(Attenuation!$J:$J,$H103):INDEX(Attenuation!$J:$J,$H103+$I103-1),1),1),1),$I103-1))):INDEX(Attenuation!$J:$J,($H103-1+MIN(MAX(IFERROR(MATCH(LN(S$5),INDEX(Attenuation!$J:$J,$H103):INDEX(Attenuation!$J:$J,$H103+$I103-1),1),1),1),$I103-1))+1)))))</f>
        <v/>
      </c>
      <c r="T103" s="12" t="str">
        <f>IF($A103="","",IF(T$5&gt;2*$G103,"",EXP(FORECAST(LN(T$5),INDEX(Attenuation!$K:$K,($H103-1+MIN(MAX(IFERROR(MATCH(LN(T$5),INDEX(Attenuation!$J:$J,$H103):INDEX(Attenuation!$J:$J,$H103+$I103-1),1),1),1),$I103-1))):INDEX(Attenuation!$K:$K,($H103-1+MIN(MAX(IFERROR(MATCH(LN(T$5),INDEX(Attenuation!$J:$J,$H103):INDEX(Attenuation!$J:$J,$H103+$I103-1),1),1),1),$I103-1))+1),INDEX(Attenuation!$J:$J,($H103-1+MIN(MAX(IFERROR(MATCH(LN(T$5),INDEX(Attenuation!$J:$J,$H103):INDEX(Attenuation!$J:$J,$H103+$I103-1),1),1),1),$I103-1))):INDEX(Attenuation!$J:$J,($H103-1+MIN(MAX(IFERROR(MATCH(LN(T$5),INDEX(Attenuation!$J:$J,$H103):INDEX(Attenuation!$J:$J,$H103+$I103-1),1),1),1),$I103-1))+1)))))</f>
        <v/>
      </c>
      <c r="U103" s="12" t="str">
        <f>IF($A103="","",IF(U$5&gt;2*$G103,"",EXP(FORECAST(LN(U$5),INDEX(Attenuation!$K:$K,($H103-1+MIN(MAX(IFERROR(MATCH(LN(U$5),INDEX(Attenuation!$J:$J,$H103):INDEX(Attenuation!$J:$J,$H103+$I103-1),1),1),1),$I103-1))):INDEX(Attenuation!$K:$K,($H103-1+MIN(MAX(IFERROR(MATCH(LN(U$5),INDEX(Attenuation!$J:$J,$H103):INDEX(Attenuation!$J:$J,$H103+$I103-1),1),1),1),$I103-1))+1),INDEX(Attenuation!$J:$J,($H103-1+MIN(MAX(IFERROR(MATCH(LN(U$5),INDEX(Attenuation!$J:$J,$H103):INDEX(Attenuation!$J:$J,$H103+$I103-1),1),1),1),$I103-1))):INDEX(Attenuation!$J:$J,($H103-1+MIN(MAX(IFERROR(MATCH(LN(U$5),INDEX(Attenuation!$J:$J,$H103):INDEX(Attenuation!$J:$J,$H103+$I103-1),1),1),1),$I103-1))+1)))))</f>
        <v/>
      </c>
      <c r="V103" s="1"/>
      <c r="W103" s="12" t="str">
        <f t="shared" si="24"/>
        <v/>
      </c>
      <c r="X103" s="12" t="str">
        <f t="shared" si="25"/>
        <v/>
      </c>
      <c r="Y103" s="12" t="str">
        <f t="shared" si="26"/>
        <v/>
      </c>
      <c r="Z103" s="12" t="str">
        <f t="shared" si="27"/>
        <v/>
      </c>
      <c r="AA103" s="12" t="str">
        <f t="shared" si="28"/>
        <v/>
      </c>
      <c r="AB103" s="12" t="str">
        <f t="shared" si="29"/>
        <v/>
      </c>
      <c r="AC103" s="12" t="str">
        <f t="shared" si="30"/>
        <v/>
      </c>
      <c r="AD103" s="12" t="str">
        <f t="shared" si="31"/>
        <v/>
      </c>
      <c r="AE103" s="12" t="str">
        <f t="shared" si="32"/>
        <v/>
      </c>
      <c r="AF103" s="12" t="str">
        <f t="shared" si="33"/>
        <v/>
      </c>
      <c r="AG103" s="12" t="str">
        <f t="shared" si="34"/>
        <v/>
      </c>
      <c r="AH103" s="12" t="str">
        <f t="shared" si="35"/>
        <v/>
      </c>
    </row>
    <row r="104" spans="1:34" x14ac:dyDescent="0.25">
      <c r="A104" s="11" t="str">
        <f>IF(ROWS($A$6:A104)&gt;COUNTA(Cables!$A:$A)-1,"",INDEX(Cables!$A:$A,ROWS($A$6:A104)+1))</f>
        <v/>
      </c>
      <c r="B104" s="11" t="str">
        <f>IF($A104="","",IF(INDEX(Cables!$B:$B,MATCH($A104,Cables!$A:$A,0))="","",INDEX(Cables!$B:$B,MATCH($A104,Cables!$A:$A,0))))</f>
        <v/>
      </c>
      <c r="C104" s="11" t="str">
        <f>IF($A104="","",IF(INDEX(Cables!$F:$F,MATCH($A104,Cables!$A:$A,0))="","",INDEX(Cables!$F:$F,MATCH($A104,Cables!$A:$A,0))))</f>
        <v/>
      </c>
      <c r="D104" s="11" t="str">
        <f>IF($A104="","",IF(INDEX(Cables!$H:$H,MATCH($A104,Cables!$A:$A,0))="","",INDEX(Cables!$H:$H,MATCH($A104,Cables!$A:$A,0))))</f>
        <v/>
      </c>
      <c r="E104" s="12" t="str">
        <f>IF($A104="","",IF(INDEX(Cables!$Q:$Q,MATCH($A104,Cables!$A:$A,0))="","",INDEX(Cables!$Q:$Q,MATCH($A104,Cables!$A:$A,0))))</f>
        <v/>
      </c>
      <c r="F104" s="11" t="str">
        <f>IF($A104="","",IF(INDEX(Cables!$AQ:$AQ,MATCH($A104,Cables!$A:$A,0))="","",INDEX(Cables!$AQ:$AQ,MATCH($A104,Cables!$A:$A,0))))</f>
        <v/>
      </c>
      <c r="G104" s="11" t="str">
        <f>IF($A104="","",IF(INDEX(Cables!$AR:$AR,MATCH($A104,Cables!$A:$A,0))="","",INDEX(Cables!$AR:$AR,MATCH($A104,Cables!$A:$A,0))))</f>
        <v/>
      </c>
      <c r="H104" s="11" t="str">
        <f>IF($A104="","",IF(INDEX(Cables!$AO:$AO,MATCH($A104,Cables!$A:$A,0))="","",INDEX(Cables!$AO:$AO,MATCH($A104,Cables!$A:$A,0))))</f>
        <v/>
      </c>
      <c r="I104" s="11" t="str">
        <f>IF($A104="","",IF(INDEX(Cables!$AP:$AP,MATCH($A104,Cables!$A:$A,0))="","",INDEX(Cables!$AP:$AP,MATCH($A104,Cables!$A:$A,0))))</f>
        <v/>
      </c>
      <c r="J104" s="12" t="str">
        <f>IF($A104="","",IF(J$5&gt;2*$G104,"",EXP(FORECAST(LN(J$5),INDEX(Attenuation!$K:$K,($H104-1+MIN(MAX(IFERROR(MATCH(LN(J$5),INDEX(Attenuation!$J:$J,$H104):INDEX(Attenuation!$J:$J,$H104+$I104-1),1),1),1),$I104-1))):INDEX(Attenuation!$K:$K,($H104-1+MIN(MAX(IFERROR(MATCH(LN(J$5),INDEX(Attenuation!$J:$J,$H104):INDEX(Attenuation!$J:$J,$H104+$I104-1),1),1),1),$I104-1))+1),INDEX(Attenuation!$J:$J,($H104-1+MIN(MAX(IFERROR(MATCH(LN(J$5),INDEX(Attenuation!$J:$J,$H104):INDEX(Attenuation!$J:$J,$H104+$I104-1),1),1),1),$I104-1))):INDEX(Attenuation!$J:$J,($H104-1+MIN(MAX(IFERROR(MATCH(LN(J$5),INDEX(Attenuation!$J:$J,$H104):INDEX(Attenuation!$J:$J,$H104+$I104-1),1),1),1),$I104-1))+1)))))</f>
        <v/>
      </c>
      <c r="K104" s="12" t="str">
        <f>IF($A104="","",IF(K$5&gt;2*$G104,"",EXP(FORECAST(LN(K$5),INDEX(Attenuation!$K:$K,($H104-1+MIN(MAX(IFERROR(MATCH(LN(K$5),INDEX(Attenuation!$J:$J,$H104):INDEX(Attenuation!$J:$J,$H104+$I104-1),1),1),1),$I104-1))):INDEX(Attenuation!$K:$K,($H104-1+MIN(MAX(IFERROR(MATCH(LN(K$5),INDEX(Attenuation!$J:$J,$H104):INDEX(Attenuation!$J:$J,$H104+$I104-1),1),1),1),$I104-1))+1),INDEX(Attenuation!$J:$J,($H104-1+MIN(MAX(IFERROR(MATCH(LN(K$5),INDEX(Attenuation!$J:$J,$H104):INDEX(Attenuation!$J:$J,$H104+$I104-1),1),1),1),$I104-1))):INDEX(Attenuation!$J:$J,($H104-1+MIN(MAX(IFERROR(MATCH(LN(K$5),INDEX(Attenuation!$J:$J,$H104):INDEX(Attenuation!$J:$J,$H104+$I104-1),1),1),1),$I104-1))+1)))))</f>
        <v/>
      </c>
      <c r="L104" s="12" t="str">
        <f>IF($A104="","",IF(L$5&gt;2*$G104,"",EXP(FORECAST(LN(L$5),INDEX(Attenuation!$K:$K,($H104-1+MIN(MAX(IFERROR(MATCH(LN(L$5),INDEX(Attenuation!$J:$J,$H104):INDEX(Attenuation!$J:$J,$H104+$I104-1),1),1),1),$I104-1))):INDEX(Attenuation!$K:$K,($H104-1+MIN(MAX(IFERROR(MATCH(LN(L$5),INDEX(Attenuation!$J:$J,$H104):INDEX(Attenuation!$J:$J,$H104+$I104-1),1),1),1),$I104-1))+1),INDEX(Attenuation!$J:$J,($H104-1+MIN(MAX(IFERROR(MATCH(LN(L$5),INDEX(Attenuation!$J:$J,$H104):INDEX(Attenuation!$J:$J,$H104+$I104-1),1),1),1),$I104-1))):INDEX(Attenuation!$J:$J,($H104-1+MIN(MAX(IFERROR(MATCH(LN(L$5),INDEX(Attenuation!$J:$J,$H104):INDEX(Attenuation!$J:$J,$H104+$I104-1),1),1),1),$I104-1))+1)))))</f>
        <v/>
      </c>
      <c r="M104" s="12" t="str">
        <f>IF($A104="","",IF(M$5&gt;2*$G104,"",EXP(FORECAST(LN(M$5),INDEX(Attenuation!$K:$K,($H104-1+MIN(MAX(IFERROR(MATCH(LN(M$5),INDEX(Attenuation!$J:$J,$H104):INDEX(Attenuation!$J:$J,$H104+$I104-1),1),1),1),$I104-1))):INDEX(Attenuation!$K:$K,($H104-1+MIN(MAX(IFERROR(MATCH(LN(M$5),INDEX(Attenuation!$J:$J,$H104):INDEX(Attenuation!$J:$J,$H104+$I104-1),1),1),1),$I104-1))+1),INDEX(Attenuation!$J:$J,($H104-1+MIN(MAX(IFERROR(MATCH(LN(M$5),INDEX(Attenuation!$J:$J,$H104):INDEX(Attenuation!$J:$J,$H104+$I104-1),1),1),1),$I104-1))):INDEX(Attenuation!$J:$J,($H104-1+MIN(MAX(IFERROR(MATCH(LN(M$5),INDEX(Attenuation!$J:$J,$H104):INDEX(Attenuation!$J:$J,$H104+$I104-1),1),1),1),$I104-1))+1)))))</f>
        <v/>
      </c>
      <c r="N104" s="12" t="str">
        <f>IF($A104="","",IF(N$5&gt;2*$G104,"",EXP(FORECAST(LN(N$5),INDEX(Attenuation!$K:$K,($H104-1+MIN(MAX(IFERROR(MATCH(LN(N$5),INDEX(Attenuation!$J:$J,$H104):INDEX(Attenuation!$J:$J,$H104+$I104-1),1),1),1),$I104-1))):INDEX(Attenuation!$K:$K,($H104-1+MIN(MAX(IFERROR(MATCH(LN(N$5),INDEX(Attenuation!$J:$J,$H104):INDEX(Attenuation!$J:$J,$H104+$I104-1),1),1),1),$I104-1))+1),INDEX(Attenuation!$J:$J,($H104-1+MIN(MAX(IFERROR(MATCH(LN(N$5),INDEX(Attenuation!$J:$J,$H104):INDEX(Attenuation!$J:$J,$H104+$I104-1),1),1),1),$I104-1))):INDEX(Attenuation!$J:$J,($H104-1+MIN(MAX(IFERROR(MATCH(LN(N$5),INDEX(Attenuation!$J:$J,$H104):INDEX(Attenuation!$J:$J,$H104+$I104-1),1),1),1),$I104-1))+1)))))</f>
        <v/>
      </c>
      <c r="O104" s="12" t="str">
        <f>IF($A104="","",IF(O$5&gt;2*$G104,"",EXP(FORECAST(LN(O$5),INDEX(Attenuation!$K:$K,($H104-1+MIN(MAX(IFERROR(MATCH(LN(O$5),INDEX(Attenuation!$J:$J,$H104):INDEX(Attenuation!$J:$J,$H104+$I104-1),1),1),1),$I104-1))):INDEX(Attenuation!$K:$K,($H104-1+MIN(MAX(IFERROR(MATCH(LN(O$5),INDEX(Attenuation!$J:$J,$H104):INDEX(Attenuation!$J:$J,$H104+$I104-1),1),1),1),$I104-1))+1),INDEX(Attenuation!$J:$J,($H104-1+MIN(MAX(IFERROR(MATCH(LN(O$5),INDEX(Attenuation!$J:$J,$H104):INDEX(Attenuation!$J:$J,$H104+$I104-1),1),1),1),$I104-1))):INDEX(Attenuation!$J:$J,($H104-1+MIN(MAX(IFERROR(MATCH(LN(O$5),INDEX(Attenuation!$J:$J,$H104):INDEX(Attenuation!$J:$J,$H104+$I104-1),1),1),1),$I104-1))+1)))))</f>
        <v/>
      </c>
      <c r="P104" s="12" t="str">
        <f>IF($A104="","",IF(P$5&gt;2*$G104,"",EXP(FORECAST(LN(P$5),INDEX(Attenuation!$K:$K,($H104-1+MIN(MAX(IFERROR(MATCH(LN(P$5),INDEX(Attenuation!$J:$J,$H104):INDEX(Attenuation!$J:$J,$H104+$I104-1),1),1),1),$I104-1))):INDEX(Attenuation!$K:$K,($H104-1+MIN(MAX(IFERROR(MATCH(LN(P$5),INDEX(Attenuation!$J:$J,$H104):INDEX(Attenuation!$J:$J,$H104+$I104-1),1),1),1),$I104-1))+1),INDEX(Attenuation!$J:$J,($H104-1+MIN(MAX(IFERROR(MATCH(LN(P$5),INDEX(Attenuation!$J:$J,$H104):INDEX(Attenuation!$J:$J,$H104+$I104-1),1),1),1),$I104-1))):INDEX(Attenuation!$J:$J,($H104-1+MIN(MAX(IFERROR(MATCH(LN(P$5),INDEX(Attenuation!$J:$J,$H104):INDEX(Attenuation!$J:$J,$H104+$I104-1),1),1),1),$I104-1))+1)))))</f>
        <v/>
      </c>
      <c r="Q104" s="12" t="str">
        <f>IF($A104="","",IF(Q$5&gt;2*$G104,"",EXP(FORECAST(LN(Q$5),INDEX(Attenuation!$K:$K,($H104-1+MIN(MAX(IFERROR(MATCH(LN(Q$5),INDEX(Attenuation!$J:$J,$H104):INDEX(Attenuation!$J:$J,$H104+$I104-1),1),1),1),$I104-1))):INDEX(Attenuation!$K:$K,($H104-1+MIN(MAX(IFERROR(MATCH(LN(Q$5),INDEX(Attenuation!$J:$J,$H104):INDEX(Attenuation!$J:$J,$H104+$I104-1),1),1),1),$I104-1))+1),INDEX(Attenuation!$J:$J,($H104-1+MIN(MAX(IFERROR(MATCH(LN(Q$5),INDEX(Attenuation!$J:$J,$H104):INDEX(Attenuation!$J:$J,$H104+$I104-1),1),1),1),$I104-1))):INDEX(Attenuation!$J:$J,($H104-1+MIN(MAX(IFERROR(MATCH(LN(Q$5),INDEX(Attenuation!$J:$J,$H104):INDEX(Attenuation!$J:$J,$H104+$I104-1),1),1),1),$I104-1))+1)))))</f>
        <v/>
      </c>
      <c r="R104" s="12" t="str">
        <f>IF($A104="","",IF(R$5&gt;2*$G104,"",EXP(FORECAST(LN(R$5),INDEX(Attenuation!$K:$K,($H104-1+MIN(MAX(IFERROR(MATCH(LN(R$5),INDEX(Attenuation!$J:$J,$H104):INDEX(Attenuation!$J:$J,$H104+$I104-1),1),1),1),$I104-1))):INDEX(Attenuation!$K:$K,($H104-1+MIN(MAX(IFERROR(MATCH(LN(R$5),INDEX(Attenuation!$J:$J,$H104):INDEX(Attenuation!$J:$J,$H104+$I104-1),1),1),1),$I104-1))+1),INDEX(Attenuation!$J:$J,($H104-1+MIN(MAX(IFERROR(MATCH(LN(R$5),INDEX(Attenuation!$J:$J,$H104):INDEX(Attenuation!$J:$J,$H104+$I104-1),1),1),1),$I104-1))):INDEX(Attenuation!$J:$J,($H104-1+MIN(MAX(IFERROR(MATCH(LN(R$5),INDEX(Attenuation!$J:$J,$H104):INDEX(Attenuation!$J:$J,$H104+$I104-1),1),1),1),$I104-1))+1)))))</f>
        <v/>
      </c>
      <c r="S104" s="12" t="str">
        <f>IF($A104="","",IF(S$5&gt;2*$G104,"",EXP(FORECAST(LN(S$5),INDEX(Attenuation!$K:$K,($H104-1+MIN(MAX(IFERROR(MATCH(LN(S$5),INDEX(Attenuation!$J:$J,$H104):INDEX(Attenuation!$J:$J,$H104+$I104-1),1),1),1),$I104-1))):INDEX(Attenuation!$K:$K,($H104-1+MIN(MAX(IFERROR(MATCH(LN(S$5),INDEX(Attenuation!$J:$J,$H104):INDEX(Attenuation!$J:$J,$H104+$I104-1),1),1),1),$I104-1))+1),INDEX(Attenuation!$J:$J,($H104-1+MIN(MAX(IFERROR(MATCH(LN(S$5),INDEX(Attenuation!$J:$J,$H104):INDEX(Attenuation!$J:$J,$H104+$I104-1),1),1),1),$I104-1))):INDEX(Attenuation!$J:$J,($H104-1+MIN(MAX(IFERROR(MATCH(LN(S$5),INDEX(Attenuation!$J:$J,$H104):INDEX(Attenuation!$J:$J,$H104+$I104-1),1),1),1),$I104-1))+1)))))</f>
        <v/>
      </c>
      <c r="T104" s="12" t="str">
        <f>IF($A104="","",IF(T$5&gt;2*$G104,"",EXP(FORECAST(LN(T$5),INDEX(Attenuation!$K:$K,($H104-1+MIN(MAX(IFERROR(MATCH(LN(T$5),INDEX(Attenuation!$J:$J,$H104):INDEX(Attenuation!$J:$J,$H104+$I104-1),1),1),1),$I104-1))):INDEX(Attenuation!$K:$K,($H104-1+MIN(MAX(IFERROR(MATCH(LN(T$5),INDEX(Attenuation!$J:$J,$H104):INDEX(Attenuation!$J:$J,$H104+$I104-1),1),1),1),$I104-1))+1),INDEX(Attenuation!$J:$J,($H104-1+MIN(MAX(IFERROR(MATCH(LN(T$5),INDEX(Attenuation!$J:$J,$H104):INDEX(Attenuation!$J:$J,$H104+$I104-1),1),1),1),$I104-1))):INDEX(Attenuation!$J:$J,($H104-1+MIN(MAX(IFERROR(MATCH(LN(T$5),INDEX(Attenuation!$J:$J,$H104):INDEX(Attenuation!$J:$J,$H104+$I104-1),1),1),1),$I104-1))+1)))))</f>
        <v/>
      </c>
      <c r="U104" s="12" t="str">
        <f>IF($A104="","",IF(U$5&gt;2*$G104,"",EXP(FORECAST(LN(U$5),INDEX(Attenuation!$K:$K,($H104-1+MIN(MAX(IFERROR(MATCH(LN(U$5),INDEX(Attenuation!$J:$J,$H104):INDEX(Attenuation!$J:$J,$H104+$I104-1),1),1),1),$I104-1))):INDEX(Attenuation!$K:$K,($H104-1+MIN(MAX(IFERROR(MATCH(LN(U$5),INDEX(Attenuation!$J:$J,$H104):INDEX(Attenuation!$J:$J,$H104+$I104-1),1),1),1),$I104-1))+1),INDEX(Attenuation!$J:$J,($H104-1+MIN(MAX(IFERROR(MATCH(LN(U$5),INDEX(Attenuation!$J:$J,$H104):INDEX(Attenuation!$J:$J,$H104+$I104-1),1),1),1),$I104-1))):INDEX(Attenuation!$J:$J,($H104-1+MIN(MAX(IFERROR(MATCH(LN(U$5),INDEX(Attenuation!$J:$J,$H104):INDEX(Attenuation!$J:$J,$H104+$I104-1),1),1),1),$I104-1))+1)))))</f>
        <v/>
      </c>
      <c r="V104" s="1"/>
      <c r="W104" s="12" t="str">
        <f t="shared" si="24"/>
        <v/>
      </c>
      <c r="X104" s="12" t="str">
        <f t="shared" si="25"/>
        <v/>
      </c>
      <c r="Y104" s="12" t="str">
        <f t="shared" si="26"/>
        <v/>
      </c>
      <c r="Z104" s="12" t="str">
        <f t="shared" si="27"/>
        <v/>
      </c>
      <c r="AA104" s="12" t="str">
        <f t="shared" si="28"/>
        <v/>
      </c>
      <c r="AB104" s="12" t="str">
        <f t="shared" si="29"/>
        <v/>
      </c>
      <c r="AC104" s="12" t="str">
        <f t="shared" si="30"/>
        <v/>
      </c>
      <c r="AD104" s="12" t="str">
        <f t="shared" si="31"/>
        <v/>
      </c>
      <c r="AE104" s="12" t="str">
        <f t="shared" si="32"/>
        <v/>
      </c>
      <c r="AF104" s="12" t="str">
        <f t="shared" si="33"/>
        <v/>
      </c>
      <c r="AG104" s="12" t="str">
        <f t="shared" si="34"/>
        <v/>
      </c>
      <c r="AH104" s="12" t="str">
        <f t="shared" si="35"/>
        <v/>
      </c>
    </row>
    <row r="105" spans="1:34" x14ac:dyDescent="0.25">
      <c r="A105" s="11" t="str">
        <f>IF(ROWS($A$6:A105)&gt;COUNTA(Cables!$A:$A)-1,"",INDEX(Cables!$A:$A,ROWS($A$6:A105)+1))</f>
        <v/>
      </c>
      <c r="B105" s="11" t="str">
        <f>IF($A105="","",IF(INDEX(Cables!$B:$B,MATCH($A105,Cables!$A:$A,0))="","",INDEX(Cables!$B:$B,MATCH($A105,Cables!$A:$A,0))))</f>
        <v/>
      </c>
      <c r="C105" s="11" t="str">
        <f>IF($A105="","",IF(INDEX(Cables!$F:$F,MATCH($A105,Cables!$A:$A,0))="","",INDEX(Cables!$F:$F,MATCH($A105,Cables!$A:$A,0))))</f>
        <v/>
      </c>
      <c r="D105" s="11" t="str">
        <f>IF($A105="","",IF(INDEX(Cables!$H:$H,MATCH($A105,Cables!$A:$A,0))="","",INDEX(Cables!$H:$H,MATCH($A105,Cables!$A:$A,0))))</f>
        <v/>
      </c>
      <c r="E105" s="12" t="str">
        <f>IF($A105="","",IF(INDEX(Cables!$Q:$Q,MATCH($A105,Cables!$A:$A,0))="","",INDEX(Cables!$Q:$Q,MATCH($A105,Cables!$A:$A,0))))</f>
        <v/>
      </c>
      <c r="F105" s="11" t="str">
        <f>IF($A105="","",IF(INDEX(Cables!$AQ:$AQ,MATCH($A105,Cables!$A:$A,0))="","",INDEX(Cables!$AQ:$AQ,MATCH($A105,Cables!$A:$A,0))))</f>
        <v/>
      </c>
      <c r="G105" s="11" t="str">
        <f>IF($A105="","",IF(INDEX(Cables!$AR:$AR,MATCH($A105,Cables!$A:$A,0))="","",INDEX(Cables!$AR:$AR,MATCH($A105,Cables!$A:$A,0))))</f>
        <v/>
      </c>
      <c r="H105" s="11" t="str">
        <f>IF($A105="","",IF(INDEX(Cables!$AO:$AO,MATCH($A105,Cables!$A:$A,0))="","",INDEX(Cables!$AO:$AO,MATCH($A105,Cables!$A:$A,0))))</f>
        <v/>
      </c>
      <c r="I105" s="11" t="str">
        <f>IF($A105="","",IF(INDEX(Cables!$AP:$AP,MATCH($A105,Cables!$A:$A,0))="","",INDEX(Cables!$AP:$AP,MATCH($A105,Cables!$A:$A,0))))</f>
        <v/>
      </c>
      <c r="J105" s="12" t="str">
        <f>IF($A105="","",IF(J$5&gt;2*$G105,"",EXP(FORECAST(LN(J$5),INDEX(Attenuation!$K:$K,($H105-1+MIN(MAX(IFERROR(MATCH(LN(J$5),INDEX(Attenuation!$J:$J,$H105):INDEX(Attenuation!$J:$J,$H105+$I105-1),1),1),1),$I105-1))):INDEX(Attenuation!$K:$K,($H105-1+MIN(MAX(IFERROR(MATCH(LN(J$5),INDEX(Attenuation!$J:$J,$H105):INDEX(Attenuation!$J:$J,$H105+$I105-1),1),1),1),$I105-1))+1),INDEX(Attenuation!$J:$J,($H105-1+MIN(MAX(IFERROR(MATCH(LN(J$5),INDEX(Attenuation!$J:$J,$H105):INDEX(Attenuation!$J:$J,$H105+$I105-1),1),1),1),$I105-1))):INDEX(Attenuation!$J:$J,($H105-1+MIN(MAX(IFERROR(MATCH(LN(J$5),INDEX(Attenuation!$J:$J,$H105):INDEX(Attenuation!$J:$J,$H105+$I105-1),1),1),1),$I105-1))+1)))))</f>
        <v/>
      </c>
      <c r="K105" s="12" t="str">
        <f>IF($A105="","",IF(K$5&gt;2*$G105,"",EXP(FORECAST(LN(K$5),INDEX(Attenuation!$K:$K,($H105-1+MIN(MAX(IFERROR(MATCH(LN(K$5),INDEX(Attenuation!$J:$J,$H105):INDEX(Attenuation!$J:$J,$H105+$I105-1),1),1),1),$I105-1))):INDEX(Attenuation!$K:$K,($H105-1+MIN(MAX(IFERROR(MATCH(LN(K$5),INDEX(Attenuation!$J:$J,$H105):INDEX(Attenuation!$J:$J,$H105+$I105-1),1),1),1),$I105-1))+1),INDEX(Attenuation!$J:$J,($H105-1+MIN(MAX(IFERROR(MATCH(LN(K$5),INDEX(Attenuation!$J:$J,$H105):INDEX(Attenuation!$J:$J,$H105+$I105-1),1),1),1),$I105-1))):INDEX(Attenuation!$J:$J,($H105-1+MIN(MAX(IFERROR(MATCH(LN(K$5),INDEX(Attenuation!$J:$J,$H105):INDEX(Attenuation!$J:$J,$H105+$I105-1),1),1),1),$I105-1))+1)))))</f>
        <v/>
      </c>
      <c r="L105" s="12" t="str">
        <f>IF($A105="","",IF(L$5&gt;2*$G105,"",EXP(FORECAST(LN(L$5),INDEX(Attenuation!$K:$K,($H105-1+MIN(MAX(IFERROR(MATCH(LN(L$5),INDEX(Attenuation!$J:$J,$H105):INDEX(Attenuation!$J:$J,$H105+$I105-1),1),1),1),$I105-1))):INDEX(Attenuation!$K:$K,($H105-1+MIN(MAX(IFERROR(MATCH(LN(L$5),INDEX(Attenuation!$J:$J,$H105):INDEX(Attenuation!$J:$J,$H105+$I105-1),1),1),1),$I105-1))+1),INDEX(Attenuation!$J:$J,($H105-1+MIN(MAX(IFERROR(MATCH(LN(L$5),INDEX(Attenuation!$J:$J,$H105):INDEX(Attenuation!$J:$J,$H105+$I105-1),1),1),1),$I105-1))):INDEX(Attenuation!$J:$J,($H105-1+MIN(MAX(IFERROR(MATCH(LN(L$5),INDEX(Attenuation!$J:$J,$H105):INDEX(Attenuation!$J:$J,$H105+$I105-1),1),1),1),$I105-1))+1)))))</f>
        <v/>
      </c>
      <c r="M105" s="12" t="str">
        <f>IF($A105="","",IF(M$5&gt;2*$G105,"",EXP(FORECAST(LN(M$5),INDEX(Attenuation!$K:$K,($H105-1+MIN(MAX(IFERROR(MATCH(LN(M$5),INDEX(Attenuation!$J:$J,$H105):INDEX(Attenuation!$J:$J,$H105+$I105-1),1),1),1),$I105-1))):INDEX(Attenuation!$K:$K,($H105-1+MIN(MAX(IFERROR(MATCH(LN(M$5),INDEX(Attenuation!$J:$J,$H105):INDEX(Attenuation!$J:$J,$H105+$I105-1),1),1),1),$I105-1))+1),INDEX(Attenuation!$J:$J,($H105-1+MIN(MAX(IFERROR(MATCH(LN(M$5),INDEX(Attenuation!$J:$J,$H105):INDEX(Attenuation!$J:$J,$H105+$I105-1),1),1),1),$I105-1))):INDEX(Attenuation!$J:$J,($H105-1+MIN(MAX(IFERROR(MATCH(LN(M$5),INDEX(Attenuation!$J:$J,$H105):INDEX(Attenuation!$J:$J,$H105+$I105-1),1),1),1),$I105-1))+1)))))</f>
        <v/>
      </c>
      <c r="N105" s="12" t="str">
        <f>IF($A105="","",IF(N$5&gt;2*$G105,"",EXP(FORECAST(LN(N$5),INDEX(Attenuation!$K:$K,($H105-1+MIN(MAX(IFERROR(MATCH(LN(N$5),INDEX(Attenuation!$J:$J,$H105):INDEX(Attenuation!$J:$J,$H105+$I105-1),1),1),1),$I105-1))):INDEX(Attenuation!$K:$K,($H105-1+MIN(MAX(IFERROR(MATCH(LN(N$5),INDEX(Attenuation!$J:$J,$H105):INDEX(Attenuation!$J:$J,$H105+$I105-1),1),1),1),$I105-1))+1),INDEX(Attenuation!$J:$J,($H105-1+MIN(MAX(IFERROR(MATCH(LN(N$5),INDEX(Attenuation!$J:$J,$H105):INDEX(Attenuation!$J:$J,$H105+$I105-1),1),1),1),$I105-1))):INDEX(Attenuation!$J:$J,($H105-1+MIN(MAX(IFERROR(MATCH(LN(N$5),INDEX(Attenuation!$J:$J,$H105):INDEX(Attenuation!$J:$J,$H105+$I105-1),1),1),1),$I105-1))+1)))))</f>
        <v/>
      </c>
      <c r="O105" s="12" t="str">
        <f>IF($A105="","",IF(O$5&gt;2*$G105,"",EXP(FORECAST(LN(O$5),INDEX(Attenuation!$K:$K,($H105-1+MIN(MAX(IFERROR(MATCH(LN(O$5),INDEX(Attenuation!$J:$J,$H105):INDEX(Attenuation!$J:$J,$H105+$I105-1),1),1),1),$I105-1))):INDEX(Attenuation!$K:$K,($H105-1+MIN(MAX(IFERROR(MATCH(LN(O$5),INDEX(Attenuation!$J:$J,$H105):INDEX(Attenuation!$J:$J,$H105+$I105-1),1),1),1),$I105-1))+1),INDEX(Attenuation!$J:$J,($H105-1+MIN(MAX(IFERROR(MATCH(LN(O$5),INDEX(Attenuation!$J:$J,$H105):INDEX(Attenuation!$J:$J,$H105+$I105-1),1),1),1),$I105-1))):INDEX(Attenuation!$J:$J,($H105-1+MIN(MAX(IFERROR(MATCH(LN(O$5),INDEX(Attenuation!$J:$J,$H105):INDEX(Attenuation!$J:$J,$H105+$I105-1),1),1),1),$I105-1))+1)))))</f>
        <v/>
      </c>
      <c r="P105" s="12" t="str">
        <f>IF($A105="","",IF(P$5&gt;2*$G105,"",EXP(FORECAST(LN(P$5),INDEX(Attenuation!$K:$K,($H105-1+MIN(MAX(IFERROR(MATCH(LN(P$5),INDEX(Attenuation!$J:$J,$H105):INDEX(Attenuation!$J:$J,$H105+$I105-1),1),1),1),$I105-1))):INDEX(Attenuation!$K:$K,($H105-1+MIN(MAX(IFERROR(MATCH(LN(P$5),INDEX(Attenuation!$J:$J,$H105):INDEX(Attenuation!$J:$J,$H105+$I105-1),1),1),1),$I105-1))+1),INDEX(Attenuation!$J:$J,($H105-1+MIN(MAX(IFERROR(MATCH(LN(P$5),INDEX(Attenuation!$J:$J,$H105):INDEX(Attenuation!$J:$J,$H105+$I105-1),1),1),1),$I105-1))):INDEX(Attenuation!$J:$J,($H105-1+MIN(MAX(IFERROR(MATCH(LN(P$5),INDEX(Attenuation!$J:$J,$H105):INDEX(Attenuation!$J:$J,$H105+$I105-1),1),1),1),$I105-1))+1)))))</f>
        <v/>
      </c>
      <c r="Q105" s="12" t="str">
        <f>IF($A105="","",IF(Q$5&gt;2*$G105,"",EXP(FORECAST(LN(Q$5),INDEX(Attenuation!$K:$K,($H105-1+MIN(MAX(IFERROR(MATCH(LN(Q$5),INDEX(Attenuation!$J:$J,$H105):INDEX(Attenuation!$J:$J,$H105+$I105-1),1),1),1),$I105-1))):INDEX(Attenuation!$K:$K,($H105-1+MIN(MAX(IFERROR(MATCH(LN(Q$5),INDEX(Attenuation!$J:$J,$H105):INDEX(Attenuation!$J:$J,$H105+$I105-1),1),1),1),$I105-1))+1),INDEX(Attenuation!$J:$J,($H105-1+MIN(MAX(IFERROR(MATCH(LN(Q$5),INDEX(Attenuation!$J:$J,$H105):INDEX(Attenuation!$J:$J,$H105+$I105-1),1),1),1),$I105-1))):INDEX(Attenuation!$J:$J,($H105-1+MIN(MAX(IFERROR(MATCH(LN(Q$5),INDEX(Attenuation!$J:$J,$H105):INDEX(Attenuation!$J:$J,$H105+$I105-1),1),1),1),$I105-1))+1)))))</f>
        <v/>
      </c>
      <c r="R105" s="12" t="str">
        <f>IF($A105="","",IF(R$5&gt;2*$G105,"",EXP(FORECAST(LN(R$5),INDEX(Attenuation!$K:$K,($H105-1+MIN(MAX(IFERROR(MATCH(LN(R$5),INDEX(Attenuation!$J:$J,$H105):INDEX(Attenuation!$J:$J,$H105+$I105-1),1),1),1),$I105-1))):INDEX(Attenuation!$K:$K,($H105-1+MIN(MAX(IFERROR(MATCH(LN(R$5),INDEX(Attenuation!$J:$J,$H105):INDEX(Attenuation!$J:$J,$H105+$I105-1),1),1),1),$I105-1))+1),INDEX(Attenuation!$J:$J,($H105-1+MIN(MAX(IFERROR(MATCH(LN(R$5),INDEX(Attenuation!$J:$J,$H105):INDEX(Attenuation!$J:$J,$H105+$I105-1),1),1),1),$I105-1))):INDEX(Attenuation!$J:$J,($H105-1+MIN(MAX(IFERROR(MATCH(LN(R$5),INDEX(Attenuation!$J:$J,$H105):INDEX(Attenuation!$J:$J,$H105+$I105-1),1),1),1),$I105-1))+1)))))</f>
        <v/>
      </c>
      <c r="S105" s="12" t="str">
        <f>IF($A105="","",IF(S$5&gt;2*$G105,"",EXP(FORECAST(LN(S$5),INDEX(Attenuation!$K:$K,($H105-1+MIN(MAX(IFERROR(MATCH(LN(S$5),INDEX(Attenuation!$J:$J,$H105):INDEX(Attenuation!$J:$J,$H105+$I105-1),1),1),1),$I105-1))):INDEX(Attenuation!$K:$K,($H105-1+MIN(MAX(IFERROR(MATCH(LN(S$5),INDEX(Attenuation!$J:$J,$H105):INDEX(Attenuation!$J:$J,$H105+$I105-1),1),1),1),$I105-1))+1),INDEX(Attenuation!$J:$J,($H105-1+MIN(MAX(IFERROR(MATCH(LN(S$5),INDEX(Attenuation!$J:$J,$H105):INDEX(Attenuation!$J:$J,$H105+$I105-1),1),1),1),$I105-1))):INDEX(Attenuation!$J:$J,($H105-1+MIN(MAX(IFERROR(MATCH(LN(S$5),INDEX(Attenuation!$J:$J,$H105):INDEX(Attenuation!$J:$J,$H105+$I105-1),1),1),1),$I105-1))+1)))))</f>
        <v/>
      </c>
      <c r="T105" s="12" t="str">
        <f>IF($A105="","",IF(T$5&gt;2*$G105,"",EXP(FORECAST(LN(T$5),INDEX(Attenuation!$K:$K,($H105-1+MIN(MAX(IFERROR(MATCH(LN(T$5),INDEX(Attenuation!$J:$J,$H105):INDEX(Attenuation!$J:$J,$H105+$I105-1),1),1),1),$I105-1))):INDEX(Attenuation!$K:$K,($H105-1+MIN(MAX(IFERROR(MATCH(LN(T$5),INDEX(Attenuation!$J:$J,$H105):INDEX(Attenuation!$J:$J,$H105+$I105-1),1),1),1),$I105-1))+1),INDEX(Attenuation!$J:$J,($H105-1+MIN(MAX(IFERROR(MATCH(LN(T$5),INDEX(Attenuation!$J:$J,$H105):INDEX(Attenuation!$J:$J,$H105+$I105-1),1),1),1),$I105-1))):INDEX(Attenuation!$J:$J,($H105-1+MIN(MAX(IFERROR(MATCH(LN(T$5),INDEX(Attenuation!$J:$J,$H105):INDEX(Attenuation!$J:$J,$H105+$I105-1),1),1),1),$I105-1))+1)))))</f>
        <v/>
      </c>
      <c r="U105" s="12" t="str">
        <f>IF($A105="","",IF(U$5&gt;2*$G105,"",EXP(FORECAST(LN(U$5),INDEX(Attenuation!$K:$K,($H105-1+MIN(MAX(IFERROR(MATCH(LN(U$5),INDEX(Attenuation!$J:$J,$H105):INDEX(Attenuation!$J:$J,$H105+$I105-1),1),1),1),$I105-1))):INDEX(Attenuation!$K:$K,($H105-1+MIN(MAX(IFERROR(MATCH(LN(U$5),INDEX(Attenuation!$J:$J,$H105):INDEX(Attenuation!$J:$J,$H105+$I105-1),1),1),1),$I105-1))+1),INDEX(Attenuation!$J:$J,($H105-1+MIN(MAX(IFERROR(MATCH(LN(U$5),INDEX(Attenuation!$J:$J,$H105):INDEX(Attenuation!$J:$J,$H105+$I105-1),1),1),1),$I105-1))):INDEX(Attenuation!$J:$J,($H105-1+MIN(MAX(IFERROR(MATCH(LN(U$5),INDEX(Attenuation!$J:$J,$H105):INDEX(Attenuation!$J:$J,$H105+$I105-1),1),1),1),$I105-1))+1)))))</f>
        <v/>
      </c>
      <c r="V105" s="1"/>
      <c r="W105" s="12" t="str">
        <f t="shared" si="24"/>
        <v/>
      </c>
      <c r="X105" s="12" t="str">
        <f t="shared" si="25"/>
        <v/>
      </c>
      <c r="Y105" s="12" t="str">
        <f t="shared" si="26"/>
        <v/>
      </c>
      <c r="Z105" s="12" t="str">
        <f t="shared" si="27"/>
        <v/>
      </c>
      <c r="AA105" s="12" t="str">
        <f t="shared" si="28"/>
        <v/>
      </c>
      <c r="AB105" s="12" t="str">
        <f t="shared" si="29"/>
        <v/>
      </c>
      <c r="AC105" s="12" t="str">
        <f t="shared" si="30"/>
        <v/>
      </c>
      <c r="AD105" s="12" t="str">
        <f t="shared" si="31"/>
        <v/>
      </c>
      <c r="AE105" s="12" t="str">
        <f t="shared" si="32"/>
        <v/>
      </c>
      <c r="AF105" s="12" t="str">
        <f t="shared" si="33"/>
        <v/>
      </c>
      <c r="AG105" s="12" t="str">
        <f t="shared" si="34"/>
        <v/>
      </c>
      <c r="AH105" s="12" t="str">
        <f t="shared" si="35"/>
        <v/>
      </c>
    </row>
  </sheetData>
  <mergeCells count="3">
    <mergeCell ref="J3:U3"/>
    <mergeCell ref="A2:AH2"/>
    <mergeCell ref="W3:AH3"/>
  </mergeCells>
  <conditionalFormatting sqref="J6:J1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U105">
    <cfRule type="expression" dxfId="11" priority="1">
      <formula>AND($A6&lt;&gt;"",J6&lt;&gt;"",OR(J$5&lt;$F6,J$5&gt;$G6))</formula>
    </cfRule>
  </conditionalFormatting>
  <conditionalFormatting sqref="K6:K10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10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10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10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10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10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10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10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10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10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10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10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AH105">
    <cfRule type="expression" dxfId="10" priority="14">
      <formula>AND($A6&lt;&gt;"",W6&lt;&gt;"",OR(W$5&lt;$F6,W$5&gt;$G6))</formula>
    </cfRule>
  </conditionalFormatting>
  <conditionalFormatting sqref="X6:X10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10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10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10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10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10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D10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10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F10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0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10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"/>
  <sheetViews>
    <sheetView workbookViewId="0"/>
  </sheetViews>
  <sheetFormatPr defaultRowHeight="15" x14ac:dyDescent="0.25"/>
  <cols>
    <col min="1" max="1" width="2" customWidth="1"/>
    <col min="2" max="2" width="36" customWidth="1"/>
    <col min="27" max="35" width="13" hidden="1" customWidth="1"/>
  </cols>
  <sheetData>
    <row r="1" spans="1:35" ht="18" x14ac:dyDescent="0.25">
      <c r="A1" s="6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3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>
        <f>IF($B$5="","",INDEX(Cables!$AO:$AO,MATCH($B$5,Cables!$B:$B,0)))</f>
        <v>52</v>
      </c>
      <c r="AC3" s="1">
        <f>IF($B$6="","",INDEX(Cables!$AO:$AO,MATCH($B$6,Cables!$B:$B,0)))</f>
        <v>120</v>
      </c>
      <c r="AD3" s="1">
        <f>IF($B$7="","",INDEX(Cables!$AO:$AO,MATCH($B$7,Cables!$B:$B,0)))</f>
        <v>262</v>
      </c>
      <c r="AE3" s="1">
        <f>IF($B$8="","",INDEX(Cables!$AO:$AO,MATCH($B$8,Cables!$B:$B,0)))</f>
        <v>501</v>
      </c>
      <c r="AF3" s="1">
        <f>IF($B$9="","",INDEX(Cables!$AO:$AO,MATCH($B$9,Cables!$B:$B,0)))</f>
        <v>536</v>
      </c>
      <c r="AG3" s="1">
        <f>IF($B$10="","",INDEX(Cables!$AO:$AO,MATCH($B$10,Cables!$B:$B,0)))</f>
        <v>642</v>
      </c>
      <c r="AH3" s="1">
        <f>IF($B$11="","",INDEX(Cables!$AO:$AO,MATCH($B$11,Cables!$B:$B,0)))</f>
        <v>852</v>
      </c>
      <c r="AI3" s="1">
        <f>IF($B$12="","",INDEX(Cables!$AO:$AO,MATCH($B$12,Cables!$B:$B,0)))</f>
        <v>932</v>
      </c>
    </row>
    <row r="4" spans="1:35" x14ac:dyDescent="0.25">
      <c r="A4" s="1"/>
      <c r="B4" s="14" t="s">
        <v>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IF($B$5="","",INDEX(Cables!$AP:$AP,MATCH($B$5,Cables!$B:$B,0)))</f>
        <v>9</v>
      </c>
      <c r="AC4" s="1">
        <f>IF($B$6="","",INDEX(Cables!$AP:$AP,MATCH($B$6,Cables!$B:$B,0)))</f>
        <v>9</v>
      </c>
      <c r="AD4" s="1">
        <f>IF($B$7="","",INDEX(Cables!$AP:$AP,MATCH($B$7,Cables!$B:$B,0)))</f>
        <v>10</v>
      </c>
      <c r="AE4" s="1">
        <f>IF($B$8="","",INDEX(Cables!$AP:$AP,MATCH($B$8,Cables!$B:$B,0)))</f>
        <v>12</v>
      </c>
      <c r="AF4" s="1">
        <f>IF($B$9="","",INDEX(Cables!$AP:$AP,MATCH($B$9,Cables!$B:$B,0)))</f>
        <v>25</v>
      </c>
      <c r="AG4" s="1">
        <f>IF($B$10="","",INDEX(Cables!$AP:$AP,MATCH($B$10,Cables!$B:$B,0)))</f>
        <v>25</v>
      </c>
      <c r="AH4" s="1">
        <f>IF($B$11="","",INDEX(Cables!$AP:$AP,MATCH($B$11,Cables!$B:$B,0)))</f>
        <v>60</v>
      </c>
      <c r="AI4" s="1">
        <f>IF($B$12="","",INDEX(Cables!$AP:$AP,MATCH($B$12,Cables!$B:$B,0)))</f>
        <v>44</v>
      </c>
    </row>
    <row r="5" spans="1:35" x14ac:dyDescent="0.25">
      <c r="A5" s="1"/>
      <c r="B5" s="15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IF($B$5="","",INDEX(Cables!$AQ:$AQ,MATCH($B$5,Cables!$B:$B,0)))</f>
        <v>1</v>
      </c>
      <c r="AC5" s="1">
        <f>IF($B$6="","",INDEX(Cables!$AQ:$AQ,MATCH($B$6,Cables!$B:$B,0)))</f>
        <v>1</v>
      </c>
      <c r="AD5" s="1">
        <f>IF($B$7="","",INDEX(Cables!$AQ:$AQ,MATCH($B$7,Cables!$B:$B,0)))</f>
        <v>1</v>
      </c>
      <c r="AE5" s="1">
        <f>IF($B$8="","",INDEX(Cables!$AQ:$AQ,MATCH($B$8,Cables!$B:$B,0)))</f>
        <v>30</v>
      </c>
      <c r="AF5" s="1">
        <f>IF($B$9="","",INDEX(Cables!$AQ:$AQ,MATCH($B$9,Cables!$B:$B,0)))</f>
        <v>1.8</v>
      </c>
      <c r="AG5" s="1">
        <f>IF($B$10="","",INDEX(Cables!$AQ:$AQ,MATCH($B$10,Cables!$B:$B,0)))</f>
        <v>1.8</v>
      </c>
      <c r="AH5" s="1">
        <f>IF($B$11="","",INDEX(Cables!$AQ:$AQ,MATCH($B$11,Cables!$B:$B,0)))</f>
        <v>1</v>
      </c>
      <c r="AI5" s="1">
        <f>IF($B$12="","",INDEX(Cables!$AQ:$AQ,MATCH($B$12,Cables!$B:$B,0)))</f>
        <v>0.5</v>
      </c>
    </row>
    <row r="6" spans="1:35" x14ac:dyDescent="0.25">
      <c r="A6" s="1"/>
      <c r="B6" s="15" t="s">
        <v>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IF($B$5="","",INDEX(Cables!$AR:$AR,MATCH($B$5,Cables!$B:$B,0)))</f>
        <v>1000</v>
      </c>
      <c r="AC6" s="1">
        <f>IF($B$6="","",INDEX(Cables!$AR:$AR,MATCH($B$6,Cables!$B:$B,0)))</f>
        <v>1000</v>
      </c>
      <c r="AD6" s="1">
        <f>IF($B$7="","",INDEX(Cables!$AR:$AR,MATCH($B$7,Cables!$B:$B,0)))</f>
        <v>4000</v>
      </c>
      <c r="AE6" s="1">
        <f>IF($B$8="","",INDEX(Cables!$AR:$AR,MATCH($B$8,Cables!$B:$B,0)))</f>
        <v>5800</v>
      </c>
      <c r="AF6" s="1">
        <f>IF($B$9="","",INDEX(Cables!$AR:$AR,MATCH($B$9,Cables!$B:$B,0)))</f>
        <v>10000</v>
      </c>
      <c r="AG6" s="1">
        <f>IF($B$10="","",INDEX(Cables!$AR:$AR,MATCH($B$10,Cables!$B:$B,0)))</f>
        <v>12000</v>
      </c>
      <c r="AH6" s="1">
        <f>IF($B$11="","",INDEX(Cables!$AR:$AR,MATCH($B$11,Cables!$B:$B,0)))</f>
        <v>8800</v>
      </c>
      <c r="AI6" s="1">
        <f>IF($B$12="","",INDEX(Cables!$AR:$AR,MATCH($B$12,Cables!$B:$B,0)))</f>
        <v>5000</v>
      </c>
    </row>
    <row r="7" spans="1:35" x14ac:dyDescent="0.25">
      <c r="A7" s="1"/>
      <c r="B7" s="15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5">
      <c r="A8" s="1"/>
      <c r="B8" s="15" t="s">
        <v>67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5">
      <c r="A9" s="1"/>
      <c r="B9" s="15" t="s">
        <v>68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69</v>
      </c>
      <c r="AB9" s="1" t="str">
        <f>$B$5</f>
        <v>Belden 8259 (RG-58)</v>
      </c>
      <c r="AC9" s="1" t="str">
        <f>$B$6</f>
        <v>Belden 9258 (RG-8X)</v>
      </c>
      <c r="AD9" s="1" t="str">
        <f>$B$7</f>
        <v>Belden 8267 (RG-213/U)</v>
      </c>
      <c r="AE9" s="1" t="str">
        <f>$B$8</f>
        <v>Times Microwave LMR-400 (Amphenol)</v>
      </c>
      <c r="AF9" s="1" t="str">
        <f>$B$9</f>
        <v>Messi &amp; Paoloni Hyperflex 10</v>
      </c>
      <c r="AG9" s="1" t="str">
        <f>$B$10</f>
        <v>Messi &amp; Paoloni Airborne 10</v>
      </c>
      <c r="AH9" s="1" t="str">
        <f>$B$11</f>
        <v>CommScope LDF4-50A (1/2" HELIAX)</v>
      </c>
      <c r="AI9" s="1" t="str">
        <f>$B$12</f>
        <v>CommScope LDF5-50A (7/8" HELIAX)</v>
      </c>
    </row>
    <row r="10" spans="1:35" x14ac:dyDescent="0.25">
      <c r="A10" s="1"/>
      <c r="B10" s="15" t="s">
        <v>70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>
        <f>10^(0/10)</f>
        <v>1</v>
      </c>
      <c r="AB10" s="1">
        <f>IF($B$5="",NA(),IF(OR($AA10&lt;AB$5/2,$AA10&gt;2*AB$6),NA(),EXP(FORECAST(LN($AA10),INDEX(Attenuation!$K:$K,(AB$3-1+MIN(MAX(IFERROR(MATCH(LN($AA10),INDEX(Attenuation!$J:$J,AB$3):INDEX(Attenuation!$J:$J,AB$3+AB$4-1),1),1),1),AB$4-1))):INDEX(Attenuation!$K:$K,(AB$3-1+MIN(MAX(IFERROR(MATCH(LN($AA10),INDEX(Attenuation!$J:$J,AB$3):INDEX(Attenuation!$J:$J,AB$3+AB$4-1),1),1),1),AB$4-1))+1),INDEX(Attenuation!$J:$J,(AB$3-1+MIN(MAX(IFERROR(MATCH(LN($AA10),INDEX(Attenuation!$J:$J,AB$3):INDEX(Attenuation!$J:$J,AB$3+AB$4-1),1),1),1),AB$4-1))):INDEX(Attenuation!$J:$J,(AB$3-1+MIN(MAX(IFERROR(MATCH(LN($AA10),INDEX(Attenuation!$J:$J,AB$3):INDEX(Attenuation!$J:$J,AB$3+AB$4-1),1),1),1),AB$4-1))+1)))))</f>
        <v>1.3123359580052496</v>
      </c>
      <c r="AC10" s="1">
        <f>IF($B$6="",NA(),IF(OR($AA10&lt;AC$5/2,$AA10&gt;2*AC$6),NA(),EXP(FORECAST(LN($AA10),INDEX(Attenuation!$K:$K,(AC$3-1+MIN(MAX(IFERROR(MATCH(LN($AA10),INDEX(Attenuation!$J:$J,AC$3):INDEX(Attenuation!$J:$J,AC$3+AC$4-1),1),1),1),AC$4-1))):INDEX(Attenuation!$K:$K,(AC$3-1+MIN(MAX(IFERROR(MATCH(LN($AA10),INDEX(Attenuation!$J:$J,AC$3):INDEX(Attenuation!$J:$J,AC$3+AC$4-1),1),1),1),AC$4-1))+1),INDEX(Attenuation!$J:$J,(AC$3-1+MIN(MAX(IFERROR(MATCH(LN($AA10),INDEX(Attenuation!$J:$J,AC$3):INDEX(Attenuation!$J:$J,AC$3+AC$4-1),1),1),1),AC$4-1))):INDEX(Attenuation!$J:$J,(AC$3-1+MIN(MAX(IFERROR(MATCH(LN($AA10),INDEX(Attenuation!$J:$J,AC$3):INDEX(Attenuation!$J:$J,AC$3+AC$4-1),1),1),1),AC$4-1))+1)))))</f>
        <v>0.98425196850393715</v>
      </c>
      <c r="AD10" s="1">
        <f>IF($B$7="",NA(),IF(OR($AA10&lt;AD$5/2,$AA10&gt;2*AD$6),NA(),EXP(FORECAST(LN($AA10),INDEX(Attenuation!$K:$K,(AD$3-1+MIN(MAX(IFERROR(MATCH(LN($AA10),INDEX(Attenuation!$J:$J,AD$3):INDEX(Attenuation!$J:$J,AD$3+AD$4-1),1),1),1),AD$4-1))):INDEX(Attenuation!$K:$K,(AD$3-1+MIN(MAX(IFERROR(MATCH(LN($AA10),INDEX(Attenuation!$J:$J,AD$3):INDEX(Attenuation!$J:$J,AD$3+AD$4-1),1),1),1),AD$4-1))+1),INDEX(Attenuation!$J:$J,(AD$3-1+MIN(MAX(IFERROR(MATCH(LN($AA10),INDEX(Attenuation!$J:$J,AD$3):INDEX(Attenuation!$J:$J,AD$3+AD$4-1),1),1),1),AD$4-1))):INDEX(Attenuation!$J:$J,(AD$3-1+MIN(MAX(IFERROR(MATCH(LN($AA10),INDEX(Attenuation!$J:$J,AD$3):INDEX(Attenuation!$J:$J,AD$3+AD$4-1),1),1),1),AD$4-1))+1)))))</f>
        <v>0.55774278215223094</v>
      </c>
      <c r="AE10" s="1" t="e">
        <f>IF($B$8="",NA(),IF(OR($AA10&lt;AE$5/2,$AA10&gt;2*AE$6),NA(),EXP(FORECAST(LN($AA10),INDEX(Attenuation!$K:$K,(AE$3-1+MIN(MAX(IFERROR(MATCH(LN($AA10),INDEX(Attenuation!$J:$J,AE$3):INDEX(Attenuation!$J:$J,AE$3+AE$4-1),1),1),1),AE$4-1))):INDEX(Attenuation!$K:$K,(AE$3-1+MIN(MAX(IFERROR(MATCH(LN($AA10),INDEX(Attenuation!$J:$J,AE$3):INDEX(Attenuation!$J:$J,AE$3+AE$4-1),1),1),1),AE$4-1))+1),INDEX(Attenuation!$J:$J,(AE$3-1+MIN(MAX(IFERROR(MATCH(LN($AA10),INDEX(Attenuation!$J:$J,AE$3):INDEX(Attenuation!$J:$J,AE$3+AE$4-1),1),1),1),AE$4-1))):INDEX(Attenuation!$J:$J,(AE$3-1+MIN(MAX(IFERROR(MATCH(LN($AA10),INDEX(Attenuation!$J:$J,AE$3):INDEX(Attenuation!$J:$J,AE$3+AE$4-1),1),1),1),AE$4-1))+1)))))</f>
        <v>#N/A</v>
      </c>
      <c r="AF10" s="1">
        <f>IF($B$9="",NA(),IF(OR($AA10&lt;AF$5/2,$AA10&gt;2*AF$6),NA(),EXP(FORECAST(LN($AA10),INDEX(Attenuation!$K:$K,(AF$3-1+MIN(MAX(IFERROR(MATCH(LN($AA10),INDEX(Attenuation!$J:$J,AF$3):INDEX(Attenuation!$J:$J,AF$3+AF$4-1),1),1),1),AF$4-1))):INDEX(Attenuation!$K:$K,(AF$3-1+MIN(MAX(IFERROR(MATCH(LN($AA10),INDEX(Attenuation!$J:$J,AF$3):INDEX(Attenuation!$J:$J,AF$3+AF$4-1),1),1),1),AF$4-1))+1),INDEX(Attenuation!$J:$J,(AF$3-1+MIN(MAX(IFERROR(MATCH(LN($AA10),INDEX(Attenuation!$J:$J,AF$3):INDEX(Attenuation!$J:$J,AF$3+AF$4-1),1),1),1),AF$4-1))):INDEX(Attenuation!$J:$J,(AF$3-1+MIN(MAX(IFERROR(MATCH(LN($AA10),INDEX(Attenuation!$J:$J,AF$3):INDEX(Attenuation!$J:$J,AF$3+AF$4-1),1),1),1),AF$4-1))+1)))))</f>
        <v>0.6567939900658315</v>
      </c>
      <c r="AG10" s="1">
        <f>IF($B$10="",NA(),IF(OR($AA10&lt;AG$5/2,$AA10&gt;2*AG$6),NA(),EXP(FORECAST(LN($AA10),INDEX(Attenuation!$K:$K,(AG$3-1+MIN(MAX(IFERROR(MATCH(LN($AA10),INDEX(Attenuation!$J:$J,AG$3):INDEX(Attenuation!$J:$J,AG$3+AG$4-1),1),1),1),AG$4-1))):INDEX(Attenuation!$K:$K,(AG$3-1+MIN(MAX(IFERROR(MATCH(LN($AA10),INDEX(Attenuation!$J:$J,AG$3):INDEX(Attenuation!$J:$J,AG$3+AG$4-1),1),1),1),AG$4-1))+1),INDEX(Attenuation!$J:$J,(AG$3-1+MIN(MAX(IFERROR(MATCH(LN($AA10),INDEX(Attenuation!$J:$J,AG$3):INDEX(Attenuation!$J:$J,AG$3+AG$4-1),1),1),1),AG$4-1))):INDEX(Attenuation!$J:$J,(AG$3-1+MIN(MAX(IFERROR(MATCH(LN($AA10),INDEX(Attenuation!$J:$J,AG$3):INDEX(Attenuation!$J:$J,AG$3+AG$4-1),1),1),1),AG$4-1))+1)))))</f>
        <v>0.4652809269013562</v>
      </c>
      <c r="AH10" s="1">
        <f>IF($B$11="",NA(),IF(OR($AA10&lt;AH$5/2,$AA10&gt;2*AH$6),NA(),EXP(FORECAST(LN($AA10),INDEX(Attenuation!$K:$K,(AH$3-1+MIN(MAX(IFERROR(MATCH(LN($AA10),INDEX(Attenuation!$J:$J,AH$3):INDEX(Attenuation!$J:$J,AH$3+AH$4-1),1),1),1),AH$4-1))):INDEX(Attenuation!$K:$K,(AH$3-1+MIN(MAX(IFERROR(MATCH(LN($AA10),INDEX(Attenuation!$J:$J,AH$3):INDEX(Attenuation!$J:$J,AH$3+AH$4-1),1),1),1),AH$4-1))+1),INDEX(Attenuation!$J:$J,(AH$3-1+MIN(MAX(IFERROR(MATCH(LN($AA10),INDEX(Attenuation!$J:$J,AH$3):INDEX(Attenuation!$J:$J,AH$3+AH$4-1),1),1),1),AH$4-1))):INDEX(Attenuation!$J:$J,(AH$3-1+MIN(MAX(IFERROR(MATCH(LN($AA10),INDEX(Attenuation!$J:$J,AH$3):INDEX(Attenuation!$J:$J,AH$3+AH$4-1),1),1),1),AH$4-1))+1)))))</f>
        <v>0.21099999999999999</v>
      </c>
      <c r="AI10" s="1">
        <f>IF($B$12="",NA(),IF(OR($AA10&lt;AI$5/2,$AA10&gt;2*AI$6),NA(),EXP(FORECAST(LN($AA10),INDEX(Attenuation!$K:$K,(AI$3-1+MIN(MAX(IFERROR(MATCH(LN($AA10),INDEX(Attenuation!$J:$J,AI$3):INDEX(Attenuation!$J:$J,AI$3+AI$4-1),1),1),1),AI$4-1))):INDEX(Attenuation!$K:$K,(AI$3-1+MIN(MAX(IFERROR(MATCH(LN($AA10),INDEX(Attenuation!$J:$J,AI$3):INDEX(Attenuation!$J:$J,AI$3+AI$4-1),1),1),1),AI$4-1))+1),INDEX(Attenuation!$J:$J,(AI$3-1+MIN(MAX(IFERROR(MATCH(LN($AA10),INDEX(Attenuation!$J:$J,AI$3):INDEX(Attenuation!$J:$J,AI$3+AI$4-1),1),1),1),AI$4-1))):INDEX(Attenuation!$J:$J,(AI$3-1+MIN(MAX(IFERROR(MATCH(LN($AA10),INDEX(Attenuation!$J:$J,AI$3):INDEX(Attenuation!$J:$J,AI$3+AI$4-1),1),1),1),AI$4-1))+1)))))</f>
        <v>0.11499999999999999</v>
      </c>
    </row>
    <row r="11" spans="1:35" x14ac:dyDescent="0.25">
      <c r="A11" s="1"/>
      <c r="B11" s="15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>
        <f>10^(1/10)</f>
        <v>1.2589254117941673</v>
      </c>
      <c r="AB11" s="1">
        <f>IF($B$5="",NA(),IF(OR($AA11&lt;AB$5/2,$AA11&gt;2*AB$6),NA(),EXP(FORECAST(LN($AA11),INDEX(Attenuation!$K:$K,(AB$3-1+MIN(MAX(IFERROR(MATCH(LN($AA11),INDEX(Attenuation!$J:$J,AB$3):INDEX(Attenuation!$J:$J,AB$3+AB$4-1),1),1),1),AB$4-1))):INDEX(Attenuation!$K:$K,(AB$3-1+MIN(MAX(IFERROR(MATCH(LN($AA11),INDEX(Attenuation!$J:$J,AB$3):INDEX(Attenuation!$J:$J,AB$3+AB$4-1),1),1),1),AB$4-1))+1),INDEX(Attenuation!$J:$J,(AB$3-1+MIN(MAX(IFERROR(MATCH(LN($AA11),INDEX(Attenuation!$J:$J,AB$3):INDEX(Attenuation!$J:$J,AB$3+AB$4-1),1),1),1),AB$4-1))):INDEX(Attenuation!$J:$J,(AB$3-1+MIN(MAX(IFERROR(MATCH(LN($AA11),INDEX(Attenuation!$J:$J,AB$3):INDEX(Attenuation!$J:$J,AB$3+AB$4-1),1),1),1),AB$4-1))+1)))))</f>
        <v>1.4977804425451631</v>
      </c>
      <c r="AC11" s="1">
        <f>IF($B$6="",NA(),IF(OR($AA11&lt;AC$5/2,$AA11&gt;2*AC$6),NA(),EXP(FORECAST(LN($AA11),INDEX(Attenuation!$K:$K,(AC$3-1+MIN(MAX(IFERROR(MATCH(LN($AA11),INDEX(Attenuation!$J:$J,AC$3):INDEX(Attenuation!$J:$J,AC$3+AC$4-1),1),1),1),AC$4-1))):INDEX(Attenuation!$K:$K,(AC$3-1+MIN(MAX(IFERROR(MATCH(LN($AA11),INDEX(Attenuation!$J:$J,AC$3):INDEX(Attenuation!$J:$J,AC$3+AC$4-1),1),1),1),AC$4-1))+1),INDEX(Attenuation!$J:$J,(AC$3-1+MIN(MAX(IFERROR(MATCH(LN($AA11),INDEX(Attenuation!$J:$J,AC$3):INDEX(Attenuation!$J:$J,AC$3+AC$4-1),1),1),1),AC$4-1))):INDEX(Attenuation!$J:$J,(AC$3-1+MIN(MAX(IFERROR(MATCH(LN($AA11),INDEX(Attenuation!$J:$J,AC$3):INDEX(Attenuation!$J:$J,AC$3+AC$4-1),1),1),1),AC$4-1))+1)))))</f>
        <v>1.0985464311357329</v>
      </c>
      <c r="AD11" s="1">
        <f>IF($B$7="",NA(),IF(OR($AA11&lt;AD$5/2,$AA11&gt;2*AD$6),NA(),EXP(FORECAST(LN($AA11),INDEX(Attenuation!$K:$K,(AD$3-1+MIN(MAX(IFERROR(MATCH(LN($AA11),INDEX(Attenuation!$J:$J,AD$3):INDEX(Attenuation!$J:$J,AD$3+AD$4-1),1),1),1),AD$4-1))):INDEX(Attenuation!$K:$K,(AD$3-1+MIN(MAX(IFERROR(MATCH(LN($AA11),INDEX(Attenuation!$J:$J,AD$3):INDEX(Attenuation!$J:$J,AD$3+AD$4-1),1),1),1),AD$4-1))+1),INDEX(Attenuation!$J:$J,(AD$3-1+MIN(MAX(IFERROR(MATCH(LN($AA11),INDEX(Attenuation!$J:$J,AD$3):INDEX(Attenuation!$J:$J,AD$3+AD$4-1),1),1),1),AD$4-1))):INDEX(Attenuation!$J:$J,(AD$3-1+MIN(MAX(IFERROR(MATCH(LN($AA11),INDEX(Attenuation!$J:$J,AD$3):INDEX(Attenuation!$J:$J,AD$3+AD$4-1),1),1),1),AD$4-1))+1)))))</f>
        <v>0.62722785287782834</v>
      </c>
      <c r="AE11" s="1" t="e">
        <f>IF($B$8="",NA(),IF(OR($AA11&lt;AE$5/2,$AA11&gt;2*AE$6),NA(),EXP(FORECAST(LN($AA11),INDEX(Attenuation!$K:$K,(AE$3-1+MIN(MAX(IFERROR(MATCH(LN($AA11),INDEX(Attenuation!$J:$J,AE$3):INDEX(Attenuation!$J:$J,AE$3+AE$4-1),1),1),1),AE$4-1))):INDEX(Attenuation!$K:$K,(AE$3-1+MIN(MAX(IFERROR(MATCH(LN($AA11),INDEX(Attenuation!$J:$J,AE$3):INDEX(Attenuation!$J:$J,AE$3+AE$4-1),1),1),1),AE$4-1))+1),INDEX(Attenuation!$J:$J,(AE$3-1+MIN(MAX(IFERROR(MATCH(LN($AA11),INDEX(Attenuation!$J:$J,AE$3):INDEX(Attenuation!$J:$J,AE$3+AE$4-1),1),1),1),AE$4-1))):INDEX(Attenuation!$J:$J,(AE$3-1+MIN(MAX(IFERROR(MATCH(LN($AA11),INDEX(Attenuation!$J:$J,AE$3):INDEX(Attenuation!$J:$J,AE$3+AE$4-1),1),1),1),AE$4-1))+1)))))</f>
        <v>#N/A</v>
      </c>
      <c r="AF11" s="1">
        <f>IF($B$9="",NA(),IF(OR($AA11&lt;AF$5/2,$AA11&gt;2*AF$6),NA(),EXP(FORECAST(LN($AA11),INDEX(Attenuation!$K:$K,(AF$3-1+MIN(MAX(IFERROR(MATCH(LN($AA11),INDEX(Attenuation!$J:$J,AF$3):INDEX(Attenuation!$J:$J,AF$3+AF$4-1),1),1),1),AF$4-1))):INDEX(Attenuation!$K:$K,(AF$3-1+MIN(MAX(IFERROR(MATCH(LN($AA11),INDEX(Attenuation!$J:$J,AF$3):INDEX(Attenuation!$J:$J,AF$3+AF$4-1),1),1),1),AF$4-1))+1),INDEX(Attenuation!$J:$J,(AF$3-1+MIN(MAX(IFERROR(MATCH(LN($AA11),INDEX(Attenuation!$J:$J,AF$3):INDEX(Attenuation!$J:$J,AF$3+AF$4-1),1),1),1),AF$4-1))):INDEX(Attenuation!$J:$J,(AF$3-1+MIN(MAX(IFERROR(MATCH(LN($AA11),INDEX(Attenuation!$J:$J,AF$3):INDEX(Attenuation!$J:$J,AF$3+AF$4-1),1),1),1),AF$4-1))+1)))))</f>
        <v>0.70955454649674854</v>
      </c>
      <c r="AG11" s="1">
        <f>IF($B$10="",NA(),IF(OR($AA11&lt;AG$5/2,$AA11&gt;2*AG$6),NA(),EXP(FORECAST(LN($AA11),INDEX(Attenuation!$K:$K,(AG$3-1+MIN(MAX(IFERROR(MATCH(LN($AA11),INDEX(Attenuation!$J:$J,AG$3):INDEX(Attenuation!$J:$J,AG$3+AG$4-1),1),1),1),AG$4-1))):INDEX(Attenuation!$K:$K,(AG$3-1+MIN(MAX(IFERROR(MATCH(LN($AA11),INDEX(Attenuation!$J:$J,AG$3):INDEX(Attenuation!$J:$J,AG$3+AG$4-1),1),1),1),AG$4-1))+1),INDEX(Attenuation!$J:$J,(AG$3-1+MIN(MAX(IFERROR(MATCH(LN($AA11),INDEX(Attenuation!$J:$J,AG$3):INDEX(Attenuation!$J:$J,AG$3+AG$4-1),1),1),1),AG$4-1))):INDEX(Attenuation!$J:$J,(AG$3-1+MIN(MAX(IFERROR(MATCH(LN($AA11),INDEX(Attenuation!$J:$J,AG$3):INDEX(Attenuation!$J:$J,AG$3+AG$4-1),1),1),1),AG$4-1))+1)))))</f>
        <v>0.5140167290113713</v>
      </c>
      <c r="AH11" s="1">
        <f>IF($B$11="",NA(),IF(OR($AA11&lt;AH$5/2,$AA11&gt;2*AH$6),NA(),EXP(FORECAST(LN($AA11),INDEX(Attenuation!$K:$K,(AH$3-1+MIN(MAX(IFERROR(MATCH(LN($AA11),INDEX(Attenuation!$J:$J,AH$3):INDEX(Attenuation!$J:$J,AH$3+AH$4-1),1),1),1),AH$4-1))):INDEX(Attenuation!$K:$K,(AH$3-1+MIN(MAX(IFERROR(MATCH(LN($AA11),INDEX(Attenuation!$J:$J,AH$3):INDEX(Attenuation!$J:$J,AH$3+AH$4-1),1),1),1),AH$4-1))+1),INDEX(Attenuation!$J:$J,(AH$3-1+MIN(MAX(IFERROR(MATCH(LN($AA11),INDEX(Attenuation!$J:$J,AH$3):INDEX(Attenuation!$J:$J,AH$3+AH$4-1),1),1),1),AH$4-1))):INDEX(Attenuation!$J:$J,(AH$3-1+MIN(MAX(IFERROR(MATCH(LN($AA11),INDEX(Attenuation!$J:$J,AH$3):INDEX(Attenuation!$J:$J,AH$3+AH$4-1),1),1),1),AH$4-1))+1)))))</f>
        <v>0.23704688880676858</v>
      </c>
      <c r="AI11" s="1">
        <f>IF($B$12="",NA(),IF(OR($AA11&lt;AI$5/2,$AA11&gt;2*AI$6),NA(),EXP(FORECAST(LN($AA11),INDEX(Attenuation!$K:$K,(AI$3-1+MIN(MAX(IFERROR(MATCH(LN($AA11),INDEX(Attenuation!$J:$J,AI$3):INDEX(Attenuation!$J:$J,AI$3+AI$4-1),1),1),1),AI$4-1))):INDEX(Attenuation!$K:$K,(AI$3-1+MIN(MAX(IFERROR(MATCH(LN($AA11),INDEX(Attenuation!$J:$J,AI$3):INDEX(Attenuation!$J:$J,AI$3+AI$4-1),1),1),1),AI$4-1))+1),INDEX(Attenuation!$J:$J,(AI$3-1+MIN(MAX(IFERROR(MATCH(LN($AA11),INDEX(Attenuation!$J:$J,AI$3):INDEX(Attenuation!$J:$J,AI$3+AI$4-1),1),1),1),AI$4-1))):INDEX(Attenuation!$J:$J,(AI$3-1+MIN(MAX(IFERROR(MATCH(LN($AA11),INDEX(Attenuation!$J:$J,AI$3):INDEX(Attenuation!$J:$J,AI$3+AI$4-1),1),1),1),AI$4-1))+1)))))</f>
        <v>0.12911239934862567</v>
      </c>
    </row>
    <row r="12" spans="1:35" x14ac:dyDescent="0.25">
      <c r="A12" s="1"/>
      <c r="B12" s="15" t="s">
        <v>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>
        <f>10^(2/10)</f>
        <v>1.5848931924611136</v>
      </c>
      <c r="AB12" s="1">
        <f>IF($B$5="",NA(),IF(OR($AA12&lt;AB$5/2,$AA12&gt;2*AB$6),NA(),EXP(FORECAST(LN($AA12),INDEX(Attenuation!$K:$K,(AB$3-1+MIN(MAX(IFERROR(MATCH(LN($AA12),INDEX(Attenuation!$J:$J,AB$3):INDEX(Attenuation!$J:$J,AB$3+AB$4-1),1),1),1),AB$4-1))):INDEX(Attenuation!$K:$K,(AB$3-1+MIN(MAX(IFERROR(MATCH(LN($AA12),INDEX(Attenuation!$J:$J,AB$3):INDEX(Attenuation!$J:$J,AB$3+AB$4-1),1),1),1),AB$4-1))+1),INDEX(Attenuation!$J:$J,(AB$3-1+MIN(MAX(IFERROR(MATCH(LN($AA12),INDEX(Attenuation!$J:$J,AB$3):INDEX(Attenuation!$J:$J,AB$3+AB$4-1),1),1),1),AB$4-1))):INDEX(Attenuation!$J:$J,(AB$3-1+MIN(MAX(IFERROR(MATCH(LN($AA12),INDEX(Attenuation!$J:$J,AB$3):INDEX(Attenuation!$J:$J,AB$3+AB$4-1),1),1),1),AB$4-1))+1)))))</f>
        <v>1.7094298456019372</v>
      </c>
      <c r="AC12" s="1">
        <f>IF($B$6="",NA(),IF(OR($AA12&lt;AC$5/2,$AA12&gt;2*AC$6),NA(),EXP(FORECAST(LN($AA12),INDEX(Attenuation!$K:$K,(AC$3-1+MIN(MAX(IFERROR(MATCH(LN($AA12),INDEX(Attenuation!$J:$J,AC$3):INDEX(Attenuation!$J:$J,AC$3+AC$4-1),1),1),1),AC$4-1))):INDEX(Attenuation!$K:$K,(AC$3-1+MIN(MAX(IFERROR(MATCH(LN($AA12),INDEX(Attenuation!$J:$J,AC$3):INDEX(Attenuation!$J:$J,AC$3+AC$4-1),1),1),1),AC$4-1))+1),INDEX(Attenuation!$J:$J,(AC$3-1+MIN(MAX(IFERROR(MATCH(LN($AA12),INDEX(Attenuation!$J:$J,AC$3):INDEX(Attenuation!$J:$J,AC$3+AC$4-1),1),1),1),AC$4-1))):INDEX(Attenuation!$J:$J,(AC$3-1+MIN(MAX(IFERROR(MATCH(LN($AA12),INDEX(Attenuation!$J:$J,AC$3):INDEX(Attenuation!$J:$J,AC$3+AC$4-1),1),1),1),AC$4-1))+1)))))</f>
        <v>1.2261131295428322</v>
      </c>
      <c r="AD12" s="1">
        <f>IF($B$7="",NA(),IF(OR($AA12&lt;AD$5/2,$AA12&gt;2*AD$6),NA(),EXP(FORECAST(LN($AA12),INDEX(Attenuation!$K:$K,(AD$3-1+MIN(MAX(IFERROR(MATCH(LN($AA12),INDEX(Attenuation!$J:$J,AD$3):INDEX(Attenuation!$J:$J,AD$3+AD$4-1),1),1),1),AD$4-1))):INDEX(Attenuation!$K:$K,(AD$3-1+MIN(MAX(IFERROR(MATCH(LN($AA12),INDEX(Attenuation!$J:$J,AD$3):INDEX(Attenuation!$J:$J,AD$3+AD$4-1),1),1),1),AD$4-1))+1),INDEX(Attenuation!$J:$J,(AD$3-1+MIN(MAX(IFERROR(MATCH(LN($AA12),INDEX(Attenuation!$J:$J,AD$3):INDEX(Attenuation!$J:$J,AD$3+AD$4-1),1),1),1),AD$4-1))):INDEX(Attenuation!$J:$J,(AD$3-1+MIN(MAX(IFERROR(MATCH(LN($AA12),INDEX(Attenuation!$J:$J,AD$3):INDEX(Attenuation!$J:$J,AD$3+AD$4-1),1),1),1),AD$4-1))+1)))))</f>
        <v>0.70536955746448649</v>
      </c>
      <c r="AE12" s="1" t="e">
        <f>IF($B$8="",NA(),IF(OR($AA12&lt;AE$5/2,$AA12&gt;2*AE$6),NA(),EXP(FORECAST(LN($AA12),INDEX(Attenuation!$K:$K,(AE$3-1+MIN(MAX(IFERROR(MATCH(LN($AA12),INDEX(Attenuation!$J:$J,AE$3):INDEX(Attenuation!$J:$J,AE$3+AE$4-1),1),1),1),AE$4-1))):INDEX(Attenuation!$K:$K,(AE$3-1+MIN(MAX(IFERROR(MATCH(LN($AA12),INDEX(Attenuation!$J:$J,AE$3):INDEX(Attenuation!$J:$J,AE$3+AE$4-1),1),1),1),AE$4-1))+1),INDEX(Attenuation!$J:$J,(AE$3-1+MIN(MAX(IFERROR(MATCH(LN($AA12),INDEX(Attenuation!$J:$J,AE$3):INDEX(Attenuation!$J:$J,AE$3+AE$4-1),1),1),1),AE$4-1))):INDEX(Attenuation!$J:$J,(AE$3-1+MIN(MAX(IFERROR(MATCH(LN($AA12),INDEX(Attenuation!$J:$J,AE$3):INDEX(Attenuation!$J:$J,AE$3+AE$4-1),1),1),1),AE$4-1))+1)))))</f>
        <v>#N/A</v>
      </c>
      <c r="AF12" s="1">
        <f>IF($B$9="",NA(),IF(OR($AA12&lt;AF$5/2,$AA12&gt;2*AF$6),NA(),EXP(FORECAST(LN($AA12),INDEX(Attenuation!$K:$K,(AF$3-1+MIN(MAX(IFERROR(MATCH(LN($AA12),INDEX(Attenuation!$J:$J,AF$3):INDEX(Attenuation!$J:$J,AF$3+AF$4-1),1),1),1),AF$4-1))):INDEX(Attenuation!$K:$K,(AF$3-1+MIN(MAX(IFERROR(MATCH(LN($AA12),INDEX(Attenuation!$J:$J,AF$3):INDEX(Attenuation!$J:$J,AF$3+AF$4-1),1),1),1),AF$4-1))+1),INDEX(Attenuation!$J:$J,(AF$3-1+MIN(MAX(IFERROR(MATCH(LN($AA12),INDEX(Attenuation!$J:$J,AF$3):INDEX(Attenuation!$J:$J,AF$3+AF$4-1),1),1),1),AF$4-1))):INDEX(Attenuation!$J:$J,(AF$3-1+MIN(MAX(IFERROR(MATCH(LN($AA12),INDEX(Attenuation!$J:$J,AF$3):INDEX(Attenuation!$J:$J,AF$3+AF$4-1),1),1),1),AF$4-1))+1)))))</f>
        <v>0.766553382140027</v>
      </c>
      <c r="AG12" s="1">
        <f>IF($B$10="",NA(),IF(OR($AA12&lt;AG$5/2,$AA12&gt;2*AG$6),NA(),EXP(FORECAST(LN($AA12),INDEX(Attenuation!$K:$K,(AG$3-1+MIN(MAX(IFERROR(MATCH(LN($AA12),INDEX(Attenuation!$J:$J,AG$3):INDEX(Attenuation!$J:$J,AG$3+AG$4-1),1),1),1),AG$4-1))):INDEX(Attenuation!$K:$K,(AG$3-1+MIN(MAX(IFERROR(MATCH(LN($AA12),INDEX(Attenuation!$J:$J,AG$3):INDEX(Attenuation!$J:$J,AG$3+AG$4-1),1),1),1),AG$4-1))+1),INDEX(Attenuation!$J:$J,(AG$3-1+MIN(MAX(IFERROR(MATCH(LN($AA12),INDEX(Attenuation!$J:$J,AG$3):INDEX(Attenuation!$J:$J,AG$3+AG$4-1),1),1),1),AG$4-1))):INDEX(Attenuation!$J:$J,(AG$3-1+MIN(MAX(IFERROR(MATCH(LN($AA12),INDEX(Attenuation!$J:$J,AG$3):INDEX(Attenuation!$J:$J,AG$3+AG$4-1),1),1),1),AG$4-1))+1)))))</f>
        <v>0.56785735762507428</v>
      </c>
      <c r="AH12" s="1">
        <f>IF($B$11="",NA(),IF(OR($AA12&lt;AH$5/2,$AA12&gt;2*AH$6),NA(),EXP(FORECAST(LN($AA12),INDEX(Attenuation!$K:$K,(AH$3-1+MIN(MAX(IFERROR(MATCH(LN($AA12),INDEX(Attenuation!$J:$J,AH$3):INDEX(Attenuation!$J:$J,AH$3+AH$4-1),1),1),1),AH$4-1))):INDEX(Attenuation!$K:$K,(AH$3-1+MIN(MAX(IFERROR(MATCH(LN($AA12),INDEX(Attenuation!$J:$J,AH$3):INDEX(Attenuation!$J:$J,AH$3+AH$4-1),1),1),1),AH$4-1))+1),INDEX(Attenuation!$J:$J,(AH$3-1+MIN(MAX(IFERROR(MATCH(LN($AA12),INDEX(Attenuation!$J:$J,AH$3):INDEX(Attenuation!$J:$J,AH$3+AH$4-1),1),1),1),AH$4-1))):INDEX(Attenuation!$J:$J,(AH$3-1+MIN(MAX(IFERROR(MATCH(LN($AA12),INDEX(Attenuation!$J:$J,AH$3):INDEX(Attenuation!$J:$J,AH$3+AH$4-1),1),1),1),AH$4-1))+1)))))</f>
        <v>0.26621675882128876</v>
      </c>
      <c r="AI12" s="1">
        <f>IF($B$12="",NA(),IF(OR($AA12&lt;AI$5/2,$AA12&gt;2*AI$6),NA(),EXP(FORECAST(LN($AA12),INDEX(Attenuation!$K:$K,(AI$3-1+MIN(MAX(IFERROR(MATCH(LN($AA12),INDEX(Attenuation!$J:$J,AI$3):INDEX(Attenuation!$J:$J,AI$3+AI$4-1),1),1),1),AI$4-1))):INDEX(Attenuation!$K:$K,(AI$3-1+MIN(MAX(IFERROR(MATCH(LN($AA12),INDEX(Attenuation!$J:$J,AI$3):INDEX(Attenuation!$J:$J,AI$3+AI$4-1),1),1),1),AI$4-1))+1),INDEX(Attenuation!$J:$J,(AI$3-1+MIN(MAX(IFERROR(MATCH(LN($AA12),INDEX(Attenuation!$J:$J,AI$3):INDEX(Attenuation!$J:$J,AI$3+AI$4-1),1),1),1),AI$4-1))):INDEX(Attenuation!$J:$J,(AI$3-1+MIN(MAX(IFERROR(MATCH(LN($AA12),INDEX(Attenuation!$J:$J,AI$3):INDEX(Attenuation!$J:$J,AI$3+AI$4-1),1),1),1),AI$4-1))+1)))))</f>
        <v>0.1449669484923547</v>
      </c>
    </row>
    <row r="13" spans="1:3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>
        <f>10^(3/10)</f>
        <v>1.9952623149688797</v>
      </c>
      <c r="AB13" s="1">
        <f>IF($B$5="",NA(),IF(OR($AA13&lt;AB$5/2,$AA13&gt;2*AB$6),NA(),EXP(FORECAST(LN($AA13),INDEX(Attenuation!$K:$K,(AB$3-1+MIN(MAX(IFERROR(MATCH(LN($AA13),INDEX(Attenuation!$J:$J,AB$3):INDEX(Attenuation!$J:$J,AB$3+AB$4-1),1),1),1),AB$4-1))):INDEX(Attenuation!$K:$K,(AB$3-1+MIN(MAX(IFERROR(MATCH(LN($AA13),INDEX(Attenuation!$J:$J,AB$3):INDEX(Attenuation!$J:$J,AB$3+AB$4-1),1),1),1),AB$4-1))+1),INDEX(Attenuation!$J:$J,(AB$3-1+MIN(MAX(IFERROR(MATCH(LN($AA13),INDEX(Attenuation!$J:$J,AB$3):INDEX(Attenuation!$J:$J,AB$3+AB$4-1),1),1),1),AB$4-1))):INDEX(Attenuation!$J:$J,(AB$3-1+MIN(MAX(IFERROR(MATCH(LN($AA13),INDEX(Attenuation!$J:$J,AB$3):INDEX(Attenuation!$J:$J,AB$3+AB$4-1),1),1),1),AB$4-1))+1)))))</f>
        <v>1.9509871500719307</v>
      </c>
      <c r="AC13" s="1">
        <f>IF($B$6="",NA(),IF(OR($AA13&lt;AC$5/2,$AA13&gt;2*AC$6),NA(),EXP(FORECAST(LN($AA13),INDEX(Attenuation!$K:$K,(AC$3-1+MIN(MAX(IFERROR(MATCH(LN($AA13),INDEX(Attenuation!$J:$J,AC$3):INDEX(Attenuation!$J:$J,AC$3+AC$4-1),1),1),1),AC$4-1))):INDEX(Attenuation!$K:$K,(AC$3-1+MIN(MAX(IFERROR(MATCH(LN($AA13),INDEX(Attenuation!$J:$J,AC$3):INDEX(Attenuation!$J:$J,AC$3+AC$4-1),1),1),1),AC$4-1))+1),INDEX(Attenuation!$J:$J,(AC$3-1+MIN(MAX(IFERROR(MATCH(LN($AA13),INDEX(Attenuation!$J:$J,AC$3):INDEX(Attenuation!$J:$J,AC$3+AC$4-1),1),1),1),AC$4-1))):INDEX(Attenuation!$J:$J,(AC$3-1+MIN(MAX(IFERROR(MATCH(LN($AA13),INDEX(Attenuation!$J:$J,AC$3):INDEX(Attenuation!$J:$J,AC$3+AC$4-1),1),1),1),AC$4-1))+1)))))</f>
        <v>1.3684932778699896</v>
      </c>
      <c r="AD13" s="1">
        <f>IF($B$7="",NA(),IF(OR($AA13&lt;AD$5/2,$AA13&gt;2*AD$6),NA(),EXP(FORECAST(LN($AA13),INDEX(Attenuation!$K:$K,(AD$3-1+MIN(MAX(IFERROR(MATCH(LN($AA13),INDEX(Attenuation!$J:$J,AD$3):INDEX(Attenuation!$J:$J,AD$3+AD$4-1),1),1),1),AD$4-1))):INDEX(Attenuation!$K:$K,(AD$3-1+MIN(MAX(IFERROR(MATCH(LN($AA13),INDEX(Attenuation!$J:$J,AD$3):INDEX(Attenuation!$J:$J,AD$3+AD$4-1),1),1),1),AD$4-1))+1),INDEX(Attenuation!$J:$J,(AD$3-1+MIN(MAX(IFERROR(MATCH(LN($AA13),INDEX(Attenuation!$J:$J,AD$3):INDEX(Attenuation!$J:$J,AD$3+AD$4-1),1),1),1),AD$4-1))):INDEX(Attenuation!$J:$J,(AD$3-1+MIN(MAX(IFERROR(MATCH(LN($AA13),INDEX(Attenuation!$J:$J,AD$3):INDEX(Attenuation!$J:$J,AD$3+AD$4-1),1),1),1),AD$4-1))+1)))))</f>
        <v>0.79324636225068546</v>
      </c>
      <c r="AE13" s="1" t="e">
        <f>IF($B$8="",NA(),IF(OR($AA13&lt;AE$5/2,$AA13&gt;2*AE$6),NA(),EXP(FORECAST(LN($AA13),INDEX(Attenuation!$K:$K,(AE$3-1+MIN(MAX(IFERROR(MATCH(LN($AA13),INDEX(Attenuation!$J:$J,AE$3):INDEX(Attenuation!$J:$J,AE$3+AE$4-1),1),1),1),AE$4-1))):INDEX(Attenuation!$K:$K,(AE$3-1+MIN(MAX(IFERROR(MATCH(LN($AA13),INDEX(Attenuation!$J:$J,AE$3):INDEX(Attenuation!$J:$J,AE$3+AE$4-1),1),1),1),AE$4-1))+1),INDEX(Attenuation!$J:$J,(AE$3-1+MIN(MAX(IFERROR(MATCH(LN($AA13),INDEX(Attenuation!$J:$J,AE$3):INDEX(Attenuation!$J:$J,AE$3+AE$4-1),1),1),1),AE$4-1))):INDEX(Attenuation!$J:$J,(AE$3-1+MIN(MAX(IFERROR(MATCH(LN($AA13),INDEX(Attenuation!$J:$J,AE$3):INDEX(Attenuation!$J:$J,AE$3+AE$4-1),1),1),1),AE$4-1))+1)))))</f>
        <v>#N/A</v>
      </c>
      <c r="AF13" s="1">
        <f>IF($B$9="",NA(),IF(OR($AA13&lt;AF$5/2,$AA13&gt;2*AF$6),NA(),EXP(FORECAST(LN($AA13),INDEX(Attenuation!$K:$K,(AF$3-1+MIN(MAX(IFERROR(MATCH(LN($AA13),INDEX(Attenuation!$J:$J,AF$3):INDEX(Attenuation!$J:$J,AF$3+AF$4-1),1),1),1),AF$4-1))):INDEX(Attenuation!$K:$K,(AF$3-1+MIN(MAX(IFERROR(MATCH(LN($AA13),INDEX(Attenuation!$J:$J,AF$3):INDEX(Attenuation!$J:$J,AF$3+AF$4-1),1),1),1),AF$4-1))+1),INDEX(Attenuation!$J:$J,(AF$3-1+MIN(MAX(IFERROR(MATCH(LN($AA13),INDEX(Attenuation!$J:$J,AF$3):INDEX(Attenuation!$J:$J,AF$3+AF$4-1),1),1),1),AF$4-1))):INDEX(Attenuation!$J:$J,(AF$3-1+MIN(MAX(IFERROR(MATCH(LN($AA13),INDEX(Attenuation!$J:$J,AF$3):INDEX(Attenuation!$J:$J,AF$3+AF$4-1),1),1),1),AF$4-1))+1)))))</f>
        <v>0.8281309598697737</v>
      </c>
      <c r="AG13" s="1">
        <f>IF($B$10="",NA(),IF(OR($AA13&lt;AG$5/2,$AA13&gt;2*AG$6),NA(),EXP(FORECAST(LN($AA13),INDEX(Attenuation!$K:$K,(AG$3-1+MIN(MAX(IFERROR(MATCH(LN($AA13),INDEX(Attenuation!$J:$J,AG$3):INDEX(Attenuation!$J:$J,AG$3+AG$4-1),1),1),1),AG$4-1))):INDEX(Attenuation!$K:$K,(AG$3-1+MIN(MAX(IFERROR(MATCH(LN($AA13),INDEX(Attenuation!$J:$J,AG$3):INDEX(Attenuation!$J:$J,AG$3+AG$4-1),1),1),1),AG$4-1))+1),INDEX(Attenuation!$J:$J,(AG$3-1+MIN(MAX(IFERROR(MATCH(LN($AA13),INDEX(Attenuation!$J:$J,AG$3):INDEX(Attenuation!$J:$J,AG$3+AG$4-1),1),1),1),AG$4-1))):INDEX(Attenuation!$J:$J,(AG$3-1+MIN(MAX(IFERROR(MATCH(LN($AA13),INDEX(Attenuation!$J:$J,AG$3):INDEX(Attenuation!$J:$J,AG$3+AG$4-1),1),1),1),AG$4-1))+1)))))</f>
        <v>0.62733751726161791</v>
      </c>
      <c r="AH13" s="1">
        <f>IF($B$11="",NA(),IF(OR($AA13&lt;AH$5/2,$AA13&gt;2*AH$6),NA(),EXP(FORECAST(LN($AA13),INDEX(Attenuation!$K:$K,(AH$3-1+MIN(MAX(IFERROR(MATCH(LN($AA13),INDEX(Attenuation!$J:$J,AH$3):INDEX(Attenuation!$J:$J,AH$3+AH$4-1),1),1),1),AH$4-1))):INDEX(Attenuation!$K:$K,(AH$3-1+MIN(MAX(IFERROR(MATCH(LN($AA13),INDEX(Attenuation!$J:$J,AH$3):INDEX(Attenuation!$J:$J,AH$3+AH$4-1),1),1),1),AH$4-1))+1),INDEX(Attenuation!$J:$J,(AH$3-1+MIN(MAX(IFERROR(MATCH(LN($AA13),INDEX(Attenuation!$J:$J,AH$3):INDEX(Attenuation!$J:$J,AH$3+AH$4-1),1),1),1),AH$4-1))):INDEX(Attenuation!$J:$J,(AH$3-1+MIN(MAX(IFERROR(MATCH(LN($AA13),INDEX(Attenuation!$J:$J,AH$3):INDEX(Attenuation!$J:$J,AH$3+AH$4-1),1),1),1),AH$4-1))+1)))))</f>
        <v>0.29864620331865949</v>
      </c>
      <c r="AI13" s="1">
        <f>IF($B$12="",NA(),IF(OR($AA13&lt;AI$5/2,$AA13&gt;2*AI$6),NA(),EXP(FORECAST(LN($AA13),INDEX(Attenuation!$K:$K,(AI$3-1+MIN(MAX(IFERROR(MATCH(LN($AA13),INDEX(Attenuation!$J:$J,AI$3):INDEX(Attenuation!$J:$J,AI$3+AI$4-1),1),1),1),AI$4-1))):INDEX(Attenuation!$K:$K,(AI$3-1+MIN(MAX(IFERROR(MATCH(LN($AA13),INDEX(Attenuation!$J:$J,AI$3):INDEX(Attenuation!$J:$J,AI$3+AI$4-1),1),1),1),AI$4-1))+1),INDEX(Attenuation!$J:$J,(AI$3-1+MIN(MAX(IFERROR(MATCH(LN($AA13),INDEX(Attenuation!$J:$J,AI$3):INDEX(Attenuation!$J:$J,AI$3+AI$4-1),1),1),1),AI$4-1))):INDEX(Attenuation!$J:$J,(AI$3-1+MIN(MAX(IFERROR(MATCH(LN($AA13),INDEX(Attenuation!$J:$J,AI$3):INDEX(Attenuation!$J:$J,AI$3+AI$4-1),1),1),1),AI$4-1))+1)))))</f>
        <v>0.1628052823407817</v>
      </c>
    </row>
    <row r="14" spans="1:3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>
        <f>10^(4/10)</f>
        <v>2.5118864315095806</v>
      </c>
      <c r="AB14" s="1">
        <f>IF($B$5="",NA(),IF(OR($AA14&lt;AB$5/2,$AA14&gt;2*AB$6),NA(),EXP(FORECAST(LN($AA14),INDEX(Attenuation!$K:$K,(AB$3-1+MIN(MAX(IFERROR(MATCH(LN($AA14),INDEX(Attenuation!$J:$J,AB$3):INDEX(Attenuation!$J:$J,AB$3+AB$4-1),1),1),1),AB$4-1))):INDEX(Attenuation!$K:$K,(AB$3-1+MIN(MAX(IFERROR(MATCH(LN($AA14),INDEX(Attenuation!$J:$J,AB$3):INDEX(Attenuation!$J:$J,AB$3+AB$4-1),1),1),1),AB$4-1))+1),INDEX(Attenuation!$J:$J,(AB$3-1+MIN(MAX(IFERROR(MATCH(LN($AA14),INDEX(Attenuation!$J:$J,AB$3):INDEX(Attenuation!$J:$J,AB$3+AB$4-1),1),1),1),AB$4-1))):INDEX(Attenuation!$J:$J,(AB$3-1+MIN(MAX(IFERROR(MATCH(LN($AA14),INDEX(Attenuation!$J:$J,AB$3):INDEX(Attenuation!$J:$J,AB$3+AB$4-1),1),1),1),AB$4-1))+1)))))</f>
        <v>2.2266786025404128</v>
      </c>
      <c r="AC14" s="1">
        <f>IF($B$6="",NA(),IF(OR($AA14&lt;AC$5/2,$AA14&gt;2*AC$6),NA(),EXP(FORECAST(LN($AA14),INDEX(Attenuation!$K:$K,(AC$3-1+MIN(MAX(IFERROR(MATCH(LN($AA14),INDEX(Attenuation!$J:$J,AC$3):INDEX(Attenuation!$J:$J,AC$3+AC$4-1),1),1),1),AC$4-1))):INDEX(Attenuation!$K:$K,(AC$3-1+MIN(MAX(IFERROR(MATCH(LN($AA14),INDEX(Attenuation!$J:$J,AC$3):INDEX(Attenuation!$J:$J,AC$3+AC$4-1),1),1),1),AC$4-1))+1),INDEX(Attenuation!$J:$J,(AC$3-1+MIN(MAX(IFERROR(MATCH(LN($AA14),INDEX(Attenuation!$J:$J,AC$3):INDEX(Attenuation!$J:$J,AC$3+AC$4-1),1),1),1),AC$4-1))):INDEX(Attenuation!$J:$J,(AC$3-1+MIN(MAX(IFERROR(MATCH(LN($AA14),INDEX(Attenuation!$J:$J,AC$3):INDEX(Attenuation!$J:$J,AC$3+AC$4-1),1),1),1),AC$4-1))+1)))))</f>
        <v>1.527407060940315</v>
      </c>
      <c r="AD14" s="1">
        <f>IF($B$7="",NA(),IF(OR($AA14&lt;AD$5/2,$AA14&gt;2*AD$6),NA(),EXP(FORECAST(LN($AA14),INDEX(Attenuation!$K:$K,(AD$3-1+MIN(MAX(IFERROR(MATCH(LN($AA14),INDEX(Attenuation!$J:$J,AD$3):INDEX(Attenuation!$J:$J,AD$3+AD$4-1),1),1),1),AD$4-1))):INDEX(Attenuation!$K:$K,(AD$3-1+MIN(MAX(IFERROR(MATCH(LN($AA14),INDEX(Attenuation!$J:$J,AD$3):INDEX(Attenuation!$J:$J,AD$3+AD$4-1),1),1),1),AD$4-1))+1),INDEX(Attenuation!$J:$J,(AD$3-1+MIN(MAX(IFERROR(MATCH(LN($AA14),INDEX(Attenuation!$J:$J,AD$3):INDEX(Attenuation!$J:$J,AD$3+AD$4-1),1),1),1),AD$4-1))):INDEX(Attenuation!$J:$J,(AD$3-1+MIN(MAX(IFERROR(MATCH(LN($AA14),INDEX(Attenuation!$J:$J,AD$3):INDEX(Attenuation!$J:$J,AD$3+AD$4-1),1),1),1),AD$4-1))+1)))))</f>
        <v>0.8920710917633079</v>
      </c>
      <c r="AE14" s="1" t="e">
        <f>IF($B$8="",NA(),IF(OR($AA14&lt;AE$5/2,$AA14&gt;2*AE$6),NA(),EXP(FORECAST(LN($AA14),INDEX(Attenuation!$K:$K,(AE$3-1+MIN(MAX(IFERROR(MATCH(LN($AA14),INDEX(Attenuation!$J:$J,AE$3):INDEX(Attenuation!$J:$J,AE$3+AE$4-1),1),1),1),AE$4-1))):INDEX(Attenuation!$K:$K,(AE$3-1+MIN(MAX(IFERROR(MATCH(LN($AA14),INDEX(Attenuation!$J:$J,AE$3):INDEX(Attenuation!$J:$J,AE$3+AE$4-1),1),1),1),AE$4-1))+1),INDEX(Attenuation!$J:$J,(AE$3-1+MIN(MAX(IFERROR(MATCH(LN($AA14),INDEX(Attenuation!$J:$J,AE$3):INDEX(Attenuation!$J:$J,AE$3+AE$4-1),1),1),1),AE$4-1))):INDEX(Attenuation!$J:$J,(AE$3-1+MIN(MAX(IFERROR(MATCH(LN($AA14),INDEX(Attenuation!$J:$J,AE$3):INDEX(Attenuation!$J:$J,AE$3+AE$4-1),1),1),1),AE$4-1))+1)))))</f>
        <v>#N/A</v>
      </c>
      <c r="AF14" s="1">
        <f>IF($B$9="",NA(),IF(OR($AA14&lt;AF$5/2,$AA14&gt;2*AF$6),NA(),EXP(FORECAST(LN($AA14),INDEX(Attenuation!$K:$K,(AF$3-1+MIN(MAX(IFERROR(MATCH(LN($AA14),INDEX(Attenuation!$J:$J,AF$3):INDEX(Attenuation!$J:$J,AF$3+AF$4-1),1),1),1),AF$4-1))):INDEX(Attenuation!$K:$K,(AF$3-1+MIN(MAX(IFERROR(MATCH(LN($AA14),INDEX(Attenuation!$J:$J,AF$3):INDEX(Attenuation!$J:$J,AF$3+AF$4-1),1),1),1),AF$4-1))+1),INDEX(Attenuation!$J:$J,(AF$3-1+MIN(MAX(IFERROR(MATCH(LN($AA14),INDEX(Attenuation!$J:$J,AF$3):INDEX(Attenuation!$J:$J,AF$3+AF$4-1),1),1),1),AF$4-1))):INDEX(Attenuation!$J:$J,(AF$3-1+MIN(MAX(IFERROR(MATCH(LN($AA14),INDEX(Attenuation!$J:$J,AF$3):INDEX(Attenuation!$J:$J,AF$3+AF$4-1),1),1),1),AF$4-1))+1)))))</f>
        <v>0.89465509209579985</v>
      </c>
      <c r="AG14" s="1">
        <f>IF($B$10="",NA(),IF(OR($AA14&lt;AG$5/2,$AA14&gt;2*AG$6),NA(),EXP(FORECAST(LN($AA14),INDEX(Attenuation!$K:$K,(AG$3-1+MIN(MAX(IFERROR(MATCH(LN($AA14),INDEX(Attenuation!$J:$J,AG$3):INDEX(Attenuation!$J:$J,AG$3+AG$4-1),1),1),1),AG$4-1))):INDEX(Attenuation!$K:$K,(AG$3-1+MIN(MAX(IFERROR(MATCH(LN($AA14),INDEX(Attenuation!$J:$J,AG$3):INDEX(Attenuation!$J:$J,AG$3+AG$4-1),1),1),1),AG$4-1))+1),INDEX(Attenuation!$J:$J,(AG$3-1+MIN(MAX(IFERROR(MATCH(LN($AA14),INDEX(Attenuation!$J:$J,AG$3):INDEX(Attenuation!$J:$J,AG$3+AG$4-1),1),1),1),AG$4-1))):INDEX(Attenuation!$J:$J,(AG$3-1+MIN(MAX(IFERROR(MATCH(LN($AA14),INDEX(Attenuation!$J:$J,AG$3):INDEX(Attenuation!$J:$J,AG$3+AG$4-1),1),1),1),AG$4-1))+1)))))</f>
        <v>0.69304792000918702</v>
      </c>
      <c r="AH14" s="1">
        <f>IF($B$11="",NA(),IF(OR($AA14&lt;AH$5/2,$AA14&gt;2*AH$6),NA(),EXP(FORECAST(LN($AA14),INDEX(Attenuation!$K:$K,(AH$3-1+MIN(MAX(IFERROR(MATCH(LN($AA14),INDEX(Attenuation!$J:$J,AH$3):INDEX(Attenuation!$J:$J,AH$3+AH$4-1),1),1),1),AH$4-1))):INDEX(Attenuation!$K:$K,(AH$3-1+MIN(MAX(IFERROR(MATCH(LN($AA14),INDEX(Attenuation!$J:$J,AH$3):INDEX(Attenuation!$J:$J,AH$3+AH$4-1),1),1),1),AH$4-1))+1),INDEX(Attenuation!$J:$J,(AH$3-1+MIN(MAX(IFERROR(MATCH(LN($AA14),INDEX(Attenuation!$J:$J,AH$3):INDEX(Attenuation!$J:$J,AH$3+AH$4-1),1),1),1),AH$4-1))):INDEX(Attenuation!$J:$J,(AH$3-1+MIN(MAX(IFERROR(MATCH(LN($AA14),INDEX(Attenuation!$J:$J,AH$3):INDEX(Attenuation!$J:$J,AH$3+AH$4-1),1),1),1),AH$4-1))+1)))))</f>
        <v>0.33532779243195554</v>
      </c>
      <c r="AI14" s="1">
        <f>IF($B$12="",NA(),IF(OR($AA14&lt;AI$5/2,$AA14&gt;2*AI$6),NA(),EXP(FORECAST(LN($AA14),INDEX(Attenuation!$K:$K,(AI$3-1+MIN(MAX(IFERROR(MATCH(LN($AA14),INDEX(Attenuation!$J:$J,AI$3):INDEX(Attenuation!$J:$J,AI$3+AI$4-1),1),1),1),AI$4-1))):INDEX(Attenuation!$K:$K,(AI$3-1+MIN(MAX(IFERROR(MATCH(LN($AA14),INDEX(Attenuation!$J:$J,AI$3):INDEX(Attenuation!$J:$J,AI$3+AI$4-1),1),1),1),AI$4-1))+1),INDEX(Attenuation!$J:$J,(AI$3-1+MIN(MAX(IFERROR(MATCH(LN($AA14),INDEX(Attenuation!$J:$J,AI$3):INDEX(Attenuation!$J:$J,AI$3+AI$4-1),1),1),1),AI$4-1))):INDEX(Attenuation!$J:$J,(AI$3-1+MIN(MAX(IFERROR(MATCH(LN($AA14),INDEX(Attenuation!$J:$J,AI$3):INDEX(Attenuation!$J:$J,AI$3+AI$4-1),1),1),1),AI$4-1))+1)))))</f>
        <v>0.18278000145179732</v>
      </c>
    </row>
    <row r="15" spans="1:3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>
        <f>10^(5/10)</f>
        <v>3.1622776601683795</v>
      </c>
      <c r="AB15" s="1">
        <f>IF($B$5="",NA(),IF(OR($AA15&lt;AB$5/2,$AA15&gt;2*AB$6),NA(),EXP(FORECAST(LN($AA15),INDEX(Attenuation!$K:$K,(AB$3-1+MIN(MAX(IFERROR(MATCH(LN($AA15),INDEX(Attenuation!$J:$J,AB$3):INDEX(Attenuation!$J:$J,AB$3+AB$4-1),1),1),1),AB$4-1))):INDEX(Attenuation!$K:$K,(AB$3-1+MIN(MAX(IFERROR(MATCH(LN($AA15),INDEX(Attenuation!$J:$J,AB$3):INDEX(Attenuation!$J:$J,AB$3+AB$4-1),1),1),1),AB$4-1))+1),INDEX(Attenuation!$J:$J,(AB$3-1+MIN(MAX(IFERROR(MATCH(LN($AA15),INDEX(Attenuation!$J:$J,AB$3):INDEX(Attenuation!$J:$J,AB$3+AB$4-1),1),1),1),AB$4-1))):INDEX(Attenuation!$J:$J,(AB$3-1+MIN(MAX(IFERROR(MATCH(LN($AA15),INDEX(Attenuation!$J:$J,AB$3):INDEX(Attenuation!$J:$J,AB$3+AB$4-1),1),1),1),AB$4-1))+1)))))</f>
        <v>2.5413276549917434</v>
      </c>
      <c r="AC15" s="1">
        <f>IF($B$6="",NA(),IF(OR($AA15&lt;AC$5/2,$AA15&gt;2*AC$6),NA(),EXP(FORECAST(LN($AA15),INDEX(Attenuation!$K:$K,(AC$3-1+MIN(MAX(IFERROR(MATCH(LN($AA15),INDEX(Attenuation!$J:$J,AC$3):INDEX(Attenuation!$J:$J,AC$3+AC$4-1),1),1),1),AC$4-1))):INDEX(Attenuation!$K:$K,(AC$3-1+MIN(MAX(IFERROR(MATCH(LN($AA15),INDEX(Attenuation!$J:$J,AC$3):INDEX(Attenuation!$J:$J,AC$3+AC$4-1),1),1),1),AC$4-1))+1),INDEX(Attenuation!$J:$J,(AC$3-1+MIN(MAX(IFERROR(MATCH(LN($AA15),INDEX(Attenuation!$J:$J,AC$3):INDEX(Attenuation!$J:$J,AC$3+AC$4-1),1),1),1),AC$4-1))):INDEX(Attenuation!$J:$J,(AC$3-1+MIN(MAX(IFERROR(MATCH(LN($AA15),INDEX(Attenuation!$J:$J,AC$3):INDEX(Attenuation!$J:$J,AC$3+AC$4-1),1),1),1),AC$4-1))+1)))))</f>
        <v>1.7047744168985013</v>
      </c>
      <c r="AD15" s="1">
        <f>IF($B$7="",NA(),IF(OR($AA15&lt;AD$5/2,$AA15&gt;2*AD$6),NA(),EXP(FORECAST(LN($AA15),INDEX(Attenuation!$K:$K,(AD$3-1+MIN(MAX(IFERROR(MATCH(LN($AA15),INDEX(Attenuation!$J:$J,AD$3):INDEX(Attenuation!$J:$J,AD$3+AD$4-1),1),1),1),AD$4-1))):INDEX(Attenuation!$K:$K,(AD$3-1+MIN(MAX(IFERROR(MATCH(LN($AA15),INDEX(Attenuation!$J:$J,AD$3):INDEX(Attenuation!$J:$J,AD$3+AD$4-1),1),1),1),AD$4-1))+1),INDEX(Attenuation!$J:$J,(AD$3-1+MIN(MAX(IFERROR(MATCH(LN($AA15),INDEX(Attenuation!$J:$J,AD$3):INDEX(Attenuation!$J:$J,AD$3+AD$4-1),1),1),1),AD$4-1))):INDEX(Attenuation!$J:$J,(AD$3-1+MIN(MAX(IFERROR(MATCH(LN($AA15),INDEX(Attenuation!$J:$J,AD$3):INDEX(Attenuation!$J:$J,AD$3+AD$4-1),1),1),1),AD$4-1))+1)))))</f>
        <v>1.0032076674160535</v>
      </c>
      <c r="AE15" s="1" t="e">
        <f>IF($B$8="",NA(),IF(OR($AA15&lt;AE$5/2,$AA15&gt;2*AE$6),NA(),EXP(FORECAST(LN($AA15),INDEX(Attenuation!$K:$K,(AE$3-1+MIN(MAX(IFERROR(MATCH(LN($AA15),INDEX(Attenuation!$J:$J,AE$3):INDEX(Attenuation!$J:$J,AE$3+AE$4-1),1),1),1),AE$4-1))):INDEX(Attenuation!$K:$K,(AE$3-1+MIN(MAX(IFERROR(MATCH(LN($AA15),INDEX(Attenuation!$J:$J,AE$3):INDEX(Attenuation!$J:$J,AE$3+AE$4-1),1),1),1),AE$4-1))+1),INDEX(Attenuation!$J:$J,(AE$3-1+MIN(MAX(IFERROR(MATCH(LN($AA15),INDEX(Attenuation!$J:$J,AE$3):INDEX(Attenuation!$J:$J,AE$3+AE$4-1),1),1),1),AE$4-1))):INDEX(Attenuation!$J:$J,(AE$3-1+MIN(MAX(IFERROR(MATCH(LN($AA15),INDEX(Attenuation!$J:$J,AE$3):INDEX(Attenuation!$J:$J,AE$3+AE$4-1),1),1),1),AE$4-1))+1)))))</f>
        <v>#N/A</v>
      </c>
      <c r="AF15" s="1">
        <f>IF($B$9="",NA(),IF(OR($AA15&lt;AF$5/2,$AA15&gt;2*AF$6),NA(),EXP(FORECAST(LN($AA15),INDEX(Attenuation!$K:$K,(AF$3-1+MIN(MAX(IFERROR(MATCH(LN($AA15),INDEX(Attenuation!$J:$J,AF$3):INDEX(Attenuation!$J:$J,AF$3+AF$4-1),1),1),1),AF$4-1))):INDEX(Attenuation!$K:$K,(AF$3-1+MIN(MAX(IFERROR(MATCH(LN($AA15),INDEX(Attenuation!$J:$J,AF$3):INDEX(Attenuation!$J:$J,AF$3+AF$4-1),1),1),1),AF$4-1))+1),INDEX(Attenuation!$J:$J,(AF$3-1+MIN(MAX(IFERROR(MATCH(LN($AA15),INDEX(Attenuation!$J:$J,AF$3):INDEX(Attenuation!$J:$J,AF$3+AF$4-1),1),1),1),AF$4-1))):INDEX(Attenuation!$J:$J,(AF$3-1+MIN(MAX(IFERROR(MATCH(LN($AA15),INDEX(Attenuation!$J:$J,AF$3):INDEX(Attenuation!$J:$J,AF$3+AF$4-1),1),1),1),AF$4-1))+1)))))</f>
        <v>0.96652313776411736</v>
      </c>
      <c r="AG15" s="1">
        <f>IF($B$10="",NA(),IF(OR($AA15&lt;AG$5/2,$AA15&gt;2*AG$6),NA(),EXP(FORECAST(LN($AA15),INDEX(Attenuation!$K:$K,(AG$3-1+MIN(MAX(IFERROR(MATCH(LN($AA15),INDEX(Attenuation!$J:$J,AG$3):INDEX(Attenuation!$J:$J,AG$3+AG$4-1),1),1),1),AG$4-1))):INDEX(Attenuation!$K:$K,(AG$3-1+MIN(MAX(IFERROR(MATCH(LN($AA15),INDEX(Attenuation!$J:$J,AG$3):INDEX(Attenuation!$J:$J,AG$3+AG$4-1),1),1),1),AG$4-1))+1),INDEX(Attenuation!$J:$J,(AG$3-1+MIN(MAX(IFERROR(MATCH(LN($AA15),INDEX(Attenuation!$J:$J,AG$3):INDEX(Attenuation!$J:$J,AG$3+AG$4-1),1),1),1),AG$4-1))):INDEX(Attenuation!$J:$J,(AG$3-1+MIN(MAX(IFERROR(MATCH(LN($AA15),INDEX(Attenuation!$J:$J,AG$3):INDEX(Attenuation!$J:$J,AG$3+AG$4-1),1),1),1),AG$4-1))+1)))))</f>
        <v>0.76564115203196903</v>
      </c>
      <c r="AH15" s="1">
        <f>IF($B$11="",NA(),IF(OR($AA15&lt;AH$5/2,$AA15&gt;2*AH$6),NA(),EXP(FORECAST(LN($AA15),INDEX(Attenuation!$K:$K,(AH$3-1+MIN(MAX(IFERROR(MATCH(LN($AA15),INDEX(Attenuation!$J:$J,AH$3):INDEX(Attenuation!$J:$J,AH$3+AH$4-1),1),1),1),AH$4-1))):INDEX(Attenuation!$K:$K,(AH$3-1+MIN(MAX(IFERROR(MATCH(LN($AA15),INDEX(Attenuation!$J:$J,AH$3):INDEX(Attenuation!$J:$J,AH$3+AH$4-1),1),1),1),AH$4-1))+1),INDEX(Attenuation!$J:$J,(AH$3-1+MIN(MAX(IFERROR(MATCH(LN($AA15),INDEX(Attenuation!$J:$J,AH$3):INDEX(Attenuation!$J:$J,AH$3+AH$4-1),1),1),1),AH$4-1))):INDEX(Attenuation!$J:$J,(AH$3-1+MIN(MAX(IFERROR(MATCH(LN($AA15),INDEX(Attenuation!$J:$J,AH$3):INDEX(Attenuation!$J:$J,AH$3+AH$4-1),1),1),1),AH$4-1))+1)))))</f>
        <v>0.37651837041935282</v>
      </c>
      <c r="AI15" s="1">
        <f>IF($B$12="",NA(),IF(OR($AA15&lt;AI$5/2,$AA15&gt;2*AI$6),NA(),EXP(FORECAST(LN($AA15),INDEX(Attenuation!$K:$K,(AI$3-1+MIN(MAX(IFERROR(MATCH(LN($AA15),INDEX(Attenuation!$J:$J,AI$3):INDEX(Attenuation!$J:$J,AI$3+AI$4-1),1),1),1),AI$4-1))):INDEX(Attenuation!$K:$K,(AI$3-1+MIN(MAX(IFERROR(MATCH(LN($AA15),INDEX(Attenuation!$J:$J,AI$3):INDEX(Attenuation!$J:$J,AI$3+AI$4-1),1),1),1),AI$4-1))+1),INDEX(Attenuation!$J:$J,(AI$3-1+MIN(MAX(IFERROR(MATCH(LN($AA15),INDEX(Attenuation!$J:$J,AI$3):INDEX(Attenuation!$J:$J,AI$3+AI$4-1),1),1),1),AI$4-1))):INDEX(Attenuation!$J:$J,(AI$3-1+MIN(MAX(IFERROR(MATCH(LN($AA15),INDEX(Attenuation!$J:$J,AI$3):INDEX(Attenuation!$J:$J,AI$3+AI$4-1),1),1),1),AI$4-1))+1)))))</f>
        <v>0.20520475086442128</v>
      </c>
    </row>
    <row r="16" spans="1:3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f>10^(6/10)</f>
        <v>3.9810717055349727</v>
      </c>
      <c r="AB16" s="1">
        <f>IF($B$5="",NA(),IF(OR($AA16&lt;AB$5/2,$AA16&gt;2*AB$6),NA(),EXP(FORECAST(LN($AA16),INDEX(Attenuation!$K:$K,(AB$3-1+MIN(MAX(IFERROR(MATCH(LN($AA16),INDEX(Attenuation!$J:$J,AB$3):INDEX(Attenuation!$J:$J,AB$3+AB$4-1),1),1),1),AB$4-1))):INDEX(Attenuation!$K:$K,(AB$3-1+MIN(MAX(IFERROR(MATCH(LN($AA16),INDEX(Attenuation!$J:$J,AB$3):INDEX(Attenuation!$J:$J,AB$3+AB$4-1),1),1),1),AB$4-1))+1),INDEX(Attenuation!$J:$J,(AB$3-1+MIN(MAX(IFERROR(MATCH(LN($AA16),INDEX(Attenuation!$J:$J,AB$3):INDEX(Attenuation!$J:$J,AB$3+AB$4-1),1),1),1),AB$4-1))):INDEX(Attenuation!$J:$J,(AB$3-1+MIN(MAX(IFERROR(MATCH(LN($AA16),INDEX(Attenuation!$J:$J,AB$3):INDEX(Attenuation!$J:$J,AB$3+AB$4-1),1),1),1),AB$4-1))+1)))))</f>
        <v>2.9004393551262941</v>
      </c>
      <c r="AC16" s="1">
        <f>IF($B$6="",NA(),IF(OR($AA16&lt;AC$5/2,$AA16&gt;2*AC$6),NA(),EXP(FORECAST(LN($AA16),INDEX(Attenuation!$K:$K,(AC$3-1+MIN(MAX(IFERROR(MATCH(LN($AA16),INDEX(Attenuation!$J:$J,AC$3):INDEX(Attenuation!$J:$J,AC$3+AC$4-1),1),1),1),AC$4-1))):INDEX(Attenuation!$K:$K,(AC$3-1+MIN(MAX(IFERROR(MATCH(LN($AA16),INDEX(Attenuation!$J:$J,AC$3):INDEX(Attenuation!$J:$J,AC$3+AC$4-1),1),1),1),AC$4-1))+1),INDEX(Attenuation!$J:$J,(AC$3-1+MIN(MAX(IFERROR(MATCH(LN($AA16),INDEX(Attenuation!$J:$J,AC$3):INDEX(Attenuation!$J:$J,AC$3+AC$4-1),1),1),1),AC$4-1))):INDEX(Attenuation!$J:$J,(AC$3-1+MIN(MAX(IFERROR(MATCH(LN($AA16),INDEX(Attenuation!$J:$J,AC$3):INDEX(Attenuation!$J:$J,AC$3+AC$4-1),1),1),1),AC$4-1))+1)))))</f>
        <v>1.902738233200554</v>
      </c>
      <c r="AD16" s="1">
        <f>IF($B$7="",NA(),IF(OR($AA16&lt;AD$5/2,$AA16&gt;2*AD$6),NA(),EXP(FORECAST(LN($AA16),INDEX(Attenuation!$K:$K,(AD$3-1+MIN(MAX(IFERROR(MATCH(LN($AA16),INDEX(Attenuation!$J:$J,AD$3):INDEX(Attenuation!$J:$J,AD$3+AD$4-1),1),1),1),AD$4-1))):INDEX(Attenuation!$K:$K,(AD$3-1+MIN(MAX(IFERROR(MATCH(LN($AA16),INDEX(Attenuation!$J:$J,AD$3):INDEX(Attenuation!$J:$J,AD$3+AD$4-1),1),1),1),AD$4-1))+1),INDEX(Attenuation!$J:$J,(AD$3-1+MIN(MAX(IFERROR(MATCH(LN($AA16),INDEX(Attenuation!$J:$J,AD$3):INDEX(Attenuation!$J:$J,AD$3+AD$4-1),1),1),1),AD$4-1))):INDEX(Attenuation!$J:$J,(AD$3-1+MIN(MAX(IFERROR(MATCH(LN($AA16),INDEX(Attenuation!$J:$J,AD$3):INDEX(Attenuation!$J:$J,AD$3+AD$4-1),1),1),1),AD$4-1))+1)))))</f>
        <v>1.1281899315591686</v>
      </c>
      <c r="AE16" s="1" t="e">
        <f>IF($B$8="",NA(),IF(OR($AA16&lt;AE$5/2,$AA16&gt;2*AE$6),NA(),EXP(FORECAST(LN($AA16),INDEX(Attenuation!$K:$K,(AE$3-1+MIN(MAX(IFERROR(MATCH(LN($AA16),INDEX(Attenuation!$J:$J,AE$3):INDEX(Attenuation!$J:$J,AE$3+AE$4-1),1),1),1),AE$4-1))):INDEX(Attenuation!$K:$K,(AE$3-1+MIN(MAX(IFERROR(MATCH(LN($AA16),INDEX(Attenuation!$J:$J,AE$3):INDEX(Attenuation!$J:$J,AE$3+AE$4-1),1),1),1),AE$4-1))+1),INDEX(Attenuation!$J:$J,(AE$3-1+MIN(MAX(IFERROR(MATCH(LN($AA16),INDEX(Attenuation!$J:$J,AE$3):INDEX(Attenuation!$J:$J,AE$3+AE$4-1),1),1),1),AE$4-1))):INDEX(Attenuation!$J:$J,(AE$3-1+MIN(MAX(IFERROR(MATCH(LN($AA16),INDEX(Attenuation!$J:$J,AE$3):INDEX(Attenuation!$J:$J,AE$3+AE$4-1),1),1),1),AE$4-1))+1)))))</f>
        <v>#N/A</v>
      </c>
      <c r="AF16" s="1">
        <f>IF($B$9="",NA(),IF(OR($AA16&lt;AF$5/2,$AA16&gt;2*AF$6),NA(),EXP(FORECAST(LN($AA16),INDEX(Attenuation!$K:$K,(AF$3-1+MIN(MAX(IFERROR(MATCH(LN($AA16),INDEX(Attenuation!$J:$J,AF$3):INDEX(Attenuation!$J:$J,AF$3+AF$4-1),1),1),1),AF$4-1))):INDEX(Attenuation!$K:$K,(AF$3-1+MIN(MAX(IFERROR(MATCH(LN($AA16),INDEX(Attenuation!$J:$J,AF$3):INDEX(Attenuation!$J:$J,AF$3+AF$4-1),1),1),1),AF$4-1))+1),INDEX(Attenuation!$J:$J,(AF$3-1+MIN(MAX(IFERROR(MATCH(LN($AA16),INDEX(Attenuation!$J:$J,AF$3):INDEX(Attenuation!$J:$J,AF$3+AF$4-1),1),1),1),AF$4-1))):INDEX(Attenuation!$J:$J,(AF$3-1+MIN(MAX(IFERROR(MATCH(LN($AA16),INDEX(Attenuation!$J:$J,AF$3):INDEX(Attenuation!$J:$J,AF$3+AF$4-1),1),1),1),AF$4-1))+1)))))</f>
        <v>1.0178665465992609</v>
      </c>
      <c r="AG16" s="1">
        <f>IF($B$10="",NA(),IF(OR($AA16&lt;AG$5/2,$AA16&gt;2*AG$6),NA(),EXP(FORECAST(LN($AA16),INDEX(Attenuation!$K:$K,(AG$3-1+MIN(MAX(IFERROR(MATCH(LN($AA16),INDEX(Attenuation!$J:$J,AG$3):INDEX(Attenuation!$J:$J,AG$3+AG$4-1),1),1),1),AG$4-1))):INDEX(Attenuation!$K:$K,(AG$3-1+MIN(MAX(IFERROR(MATCH(LN($AA16),INDEX(Attenuation!$J:$J,AG$3):INDEX(Attenuation!$J:$J,AG$3+AG$4-1),1),1),1),AG$4-1))+1),INDEX(Attenuation!$J:$J,(AG$3-1+MIN(MAX(IFERROR(MATCH(LN($AA16),INDEX(Attenuation!$J:$J,AG$3):INDEX(Attenuation!$J:$J,AG$3+AG$4-1),1),1),1),AG$4-1))):INDEX(Attenuation!$J:$J,(AG$3-1+MIN(MAX(IFERROR(MATCH(LN($AA16),INDEX(Attenuation!$J:$J,AG$3):INDEX(Attenuation!$J:$J,AG$3+AG$4-1),1),1),1),AG$4-1))+1)))))</f>
        <v>0.83386559413255879</v>
      </c>
      <c r="AH16" s="1">
        <f>IF($B$11="",NA(),IF(OR($AA16&lt;AH$5/2,$AA16&gt;2*AH$6),NA(),EXP(FORECAST(LN($AA16),INDEX(Attenuation!$K:$K,(AH$3-1+MIN(MAX(IFERROR(MATCH(LN($AA16),INDEX(Attenuation!$J:$J,AH$3):INDEX(Attenuation!$J:$J,AH$3+AH$4-1),1),1),1),AH$4-1))):INDEX(Attenuation!$K:$K,(AH$3-1+MIN(MAX(IFERROR(MATCH(LN($AA16),INDEX(Attenuation!$J:$J,AH$3):INDEX(Attenuation!$J:$J,AH$3+AH$4-1),1),1),1),AH$4-1))+1),INDEX(Attenuation!$J:$J,(AH$3-1+MIN(MAX(IFERROR(MATCH(LN($AA16),INDEX(Attenuation!$J:$J,AH$3):INDEX(Attenuation!$J:$J,AH$3+AH$4-1),1),1),1),AH$4-1))):INDEX(Attenuation!$J:$J,(AH$3-1+MIN(MAX(IFERROR(MATCH(LN($AA16),INDEX(Attenuation!$J:$J,AH$3):INDEX(Attenuation!$J:$J,AH$3+AH$4-1),1),1),1),AH$4-1))+1)))))</f>
        <v>0.42276866535603974</v>
      </c>
      <c r="AI16" s="1">
        <f>IF($B$12="",NA(),IF(OR($AA16&lt;AI$5/2,$AA16&gt;2*AI$6),NA(),EXP(FORECAST(LN($AA16),INDEX(Attenuation!$K:$K,(AI$3-1+MIN(MAX(IFERROR(MATCH(LN($AA16),INDEX(Attenuation!$J:$J,AI$3):INDEX(Attenuation!$J:$J,AI$3+AI$4-1),1),1),1),AI$4-1))):INDEX(Attenuation!$K:$K,(AI$3-1+MIN(MAX(IFERROR(MATCH(LN($AA16),INDEX(Attenuation!$J:$J,AI$3):INDEX(Attenuation!$J:$J,AI$3+AI$4-1),1),1),1),AI$4-1))+1),INDEX(Attenuation!$J:$J,(AI$3-1+MIN(MAX(IFERROR(MATCH(LN($AA16),INDEX(Attenuation!$J:$J,AI$3):INDEX(Attenuation!$J:$J,AI$3+AI$4-1),1),1),1),AI$4-1))):INDEX(Attenuation!$J:$J,(AI$3-1+MIN(MAX(IFERROR(MATCH(LN($AA16),INDEX(Attenuation!$J:$J,AI$3):INDEX(Attenuation!$J:$J,AI$3+AI$4-1),1),1),1),AI$4-1))+1)))))</f>
        <v>0.23038072788523409</v>
      </c>
    </row>
    <row r="17" spans="1:3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f>10^(7/10)</f>
        <v>5.0118723362727229</v>
      </c>
      <c r="AB17" s="1">
        <f>IF($B$5="",NA(),IF(OR($AA17&lt;AB$5/2,$AA17&gt;2*AB$6),NA(),EXP(FORECAST(LN($AA17),INDEX(Attenuation!$K:$K,(AB$3-1+MIN(MAX(IFERROR(MATCH(LN($AA17),INDEX(Attenuation!$J:$J,AB$3):INDEX(Attenuation!$J:$J,AB$3+AB$4-1),1),1),1),AB$4-1))):INDEX(Attenuation!$K:$K,(AB$3-1+MIN(MAX(IFERROR(MATCH(LN($AA17),INDEX(Attenuation!$J:$J,AB$3):INDEX(Attenuation!$J:$J,AB$3+AB$4-1),1),1),1),AB$4-1))+1),INDEX(Attenuation!$J:$J,(AB$3-1+MIN(MAX(IFERROR(MATCH(LN($AA17),INDEX(Attenuation!$J:$J,AB$3):INDEX(Attenuation!$J:$J,AB$3+AB$4-1),1),1),1),AB$4-1))):INDEX(Attenuation!$J:$J,(AB$3-1+MIN(MAX(IFERROR(MATCH(LN($AA17),INDEX(Attenuation!$J:$J,AB$3):INDEX(Attenuation!$J:$J,AB$3+AB$4-1),1),1),1),AB$4-1))+1)))))</f>
        <v>3.3102966617631089</v>
      </c>
      <c r="AC17" s="1">
        <f>IF($B$6="",NA(),IF(OR($AA17&lt;AC$5/2,$AA17&gt;2*AC$6),NA(),EXP(FORECAST(LN($AA17),INDEX(Attenuation!$K:$K,(AC$3-1+MIN(MAX(IFERROR(MATCH(LN($AA17),INDEX(Attenuation!$J:$J,AC$3):INDEX(Attenuation!$J:$J,AC$3+AC$4-1),1),1),1),AC$4-1))):INDEX(Attenuation!$K:$K,(AC$3-1+MIN(MAX(IFERROR(MATCH(LN($AA17),INDEX(Attenuation!$J:$J,AC$3):INDEX(Attenuation!$J:$J,AC$3+AC$4-1),1),1),1),AC$4-1))+1),INDEX(Attenuation!$J:$J,(AC$3-1+MIN(MAX(IFERROR(MATCH(LN($AA17),INDEX(Attenuation!$J:$J,AC$3):INDEX(Attenuation!$J:$J,AC$3+AC$4-1),1),1),1),AC$4-1))):INDEX(Attenuation!$J:$J,(AC$3-1+MIN(MAX(IFERROR(MATCH(LN($AA17),INDEX(Attenuation!$J:$J,AC$3):INDEX(Attenuation!$J:$J,AC$3+AC$4-1),1),1),1),AC$4-1))+1)))))</f>
        <v>2.1236902361954657</v>
      </c>
      <c r="AD17" s="1">
        <f>IF($B$7="",NA(),IF(OR($AA17&lt;AD$5/2,$AA17&gt;2*AD$6),NA(),EXP(FORECAST(LN($AA17),INDEX(Attenuation!$K:$K,(AD$3-1+MIN(MAX(IFERROR(MATCH(LN($AA17),INDEX(Attenuation!$J:$J,AD$3):INDEX(Attenuation!$J:$J,AD$3+AD$4-1),1),1),1),AD$4-1))):INDEX(Attenuation!$K:$K,(AD$3-1+MIN(MAX(IFERROR(MATCH(LN($AA17),INDEX(Attenuation!$J:$J,AD$3):INDEX(Attenuation!$J:$J,AD$3+AD$4-1),1),1),1),AD$4-1))+1),INDEX(Attenuation!$J:$J,(AD$3-1+MIN(MAX(IFERROR(MATCH(LN($AA17),INDEX(Attenuation!$J:$J,AD$3):INDEX(Attenuation!$J:$J,AD$3+AD$4-1),1),1),1),AD$4-1))):INDEX(Attenuation!$J:$J,(AD$3-1+MIN(MAX(IFERROR(MATCH(LN($AA17),INDEX(Attenuation!$J:$J,AD$3):INDEX(Attenuation!$J:$J,AD$3+AD$4-1),1),1),1),AD$4-1))+1)))))</f>
        <v>1.268742816679068</v>
      </c>
      <c r="AE17" s="1" t="e">
        <f>IF($B$8="",NA(),IF(OR($AA17&lt;AE$5/2,$AA17&gt;2*AE$6),NA(),EXP(FORECAST(LN($AA17),INDEX(Attenuation!$K:$K,(AE$3-1+MIN(MAX(IFERROR(MATCH(LN($AA17),INDEX(Attenuation!$J:$J,AE$3):INDEX(Attenuation!$J:$J,AE$3+AE$4-1),1),1),1),AE$4-1))):INDEX(Attenuation!$K:$K,(AE$3-1+MIN(MAX(IFERROR(MATCH(LN($AA17),INDEX(Attenuation!$J:$J,AE$3):INDEX(Attenuation!$J:$J,AE$3+AE$4-1),1),1),1),AE$4-1))+1),INDEX(Attenuation!$J:$J,(AE$3-1+MIN(MAX(IFERROR(MATCH(LN($AA17),INDEX(Attenuation!$J:$J,AE$3):INDEX(Attenuation!$J:$J,AE$3+AE$4-1),1),1),1),AE$4-1))):INDEX(Attenuation!$J:$J,(AE$3-1+MIN(MAX(IFERROR(MATCH(LN($AA17),INDEX(Attenuation!$J:$J,AE$3):INDEX(Attenuation!$J:$J,AE$3+AE$4-1),1),1),1),AE$4-1))+1)))))</f>
        <v>#N/A</v>
      </c>
      <c r="AF17" s="1">
        <f>IF($B$9="",NA(),IF(OR($AA17&lt;AF$5/2,$AA17&gt;2*AF$6),NA(),EXP(FORECAST(LN($AA17),INDEX(Attenuation!$K:$K,(AF$3-1+MIN(MAX(IFERROR(MATCH(LN($AA17),INDEX(Attenuation!$J:$J,AF$3):INDEX(Attenuation!$J:$J,AF$3+AF$4-1),1),1),1),AF$4-1))):INDEX(Attenuation!$K:$K,(AF$3-1+MIN(MAX(IFERROR(MATCH(LN($AA17),INDEX(Attenuation!$J:$J,AF$3):INDEX(Attenuation!$J:$J,AF$3+AF$4-1),1),1),1),AF$4-1))+1),INDEX(Attenuation!$J:$J,(AF$3-1+MIN(MAX(IFERROR(MATCH(LN($AA17),INDEX(Attenuation!$J:$J,AF$3):INDEX(Attenuation!$J:$J,AF$3+AF$4-1),1),1),1),AF$4-1))):INDEX(Attenuation!$J:$J,(AF$3-1+MIN(MAX(IFERROR(MATCH(LN($AA17),INDEX(Attenuation!$J:$J,AF$3):INDEX(Attenuation!$J:$J,AF$3+AF$4-1),1),1),1),AF$4-1))+1)))))</f>
        <v>1.0506091851052866</v>
      </c>
      <c r="AG17" s="1">
        <f>IF($B$10="",NA(),IF(OR($AA17&lt;AG$5/2,$AA17&gt;2*AG$6),NA(),EXP(FORECAST(LN($AA17),INDEX(Attenuation!$K:$K,(AG$3-1+MIN(MAX(IFERROR(MATCH(LN($AA17),INDEX(Attenuation!$J:$J,AG$3):INDEX(Attenuation!$J:$J,AG$3+AG$4-1),1),1),1),AG$4-1))):INDEX(Attenuation!$K:$K,(AG$3-1+MIN(MAX(IFERROR(MATCH(LN($AA17),INDEX(Attenuation!$J:$J,AG$3):INDEX(Attenuation!$J:$J,AG$3+AG$4-1),1),1),1),AG$4-1))+1),INDEX(Attenuation!$J:$J,(AG$3-1+MIN(MAX(IFERROR(MATCH(LN($AA17),INDEX(Attenuation!$J:$J,AG$3):INDEX(Attenuation!$J:$J,AG$3+AG$4-1),1),1),1),AG$4-1))):INDEX(Attenuation!$J:$J,(AG$3-1+MIN(MAX(IFERROR(MATCH(LN($AA17),INDEX(Attenuation!$J:$J,AG$3):INDEX(Attenuation!$J:$J,AG$3+AG$4-1),1),1),1),AG$4-1))+1)))))</f>
        <v>0.89802590424784301</v>
      </c>
      <c r="AH17" s="1">
        <f>IF($B$11="",NA(),IF(OR($AA17&lt;AH$5/2,$AA17&gt;2*AH$6),NA(),EXP(FORECAST(LN($AA17),INDEX(Attenuation!$K:$K,(AH$3-1+MIN(MAX(IFERROR(MATCH(LN($AA17),INDEX(Attenuation!$J:$J,AH$3):INDEX(Attenuation!$J:$J,AH$3+AH$4-1),1),1),1),AH$4-1))):INDEX(Attenuation!$K:$K,(AH$3-1+MIN(MAX(IFERROR(MATCH(LN($AA17),INDEX(Attenuation!$J:$J,AH$3):INDEX(Attenuation!$J:$J,AH$3+AH$4-1),1),1),1),AH$4-1))+1),INDEX(Attenuation!$J:$J,(AH$3-1+MIN(MAX(IFERROR(MATCH(LN($AA17),INDEX(Attenuation!$J:$J,AH$3):INDEX(Attenuation!$J:$J,AH$3+AH$4-1),1),1),1),AH$4-1))):INDEX(Attenuation!$J:$J,(AH$3-1+MIN(MAX(IFERROR(MATCH(LN($AA17),INDEX(Attenuation!$J:$J,AH$3):INDEX(Attenuation!$J:$J,AH$3+AH$4-1),1),1),1),AH$4-1))+1)))))</f>
        <v>0.47470019645485095</v>
      </c>
      <c r="AI17" s="1">
        <f>IF($B$12="",NA(),IF(OR($AA17&lt;AI$5/2,$AA17&gt;2*AI$6),NA(),EXP(FORECAST(LN($AA17),INDEX(Attenuation!$K:$K,(AI$3-1+MIN(MAX(IFERROR(MATCH(LN($AA17),INDEX(Attenuation!$J:$J,AI$3):INDEX(Attenuation!$J:$J,AI$3+AI$4-1),1),1),1),AI$4-1))):INDEX(Attenuation!$K:$K,(AI$3-1+MIN(MAX(IFERROR(MATCH(LN($AA17),INDEX(Attenuation!$J:$J,AI$3):INDEX(Attenuation!$J:$J,AI$3+AI$4-1),1),1),1),AI$4-1))+1),INDEX(Attenuation!$J:$J,(AI$3-1+MIN(MAX(IFERROR(MATCH(LN($AA17),INDEX(Attenuation!$J:$J,AI$3):INDEX(Attenuation!$J:$J,AI$3+AI$4-1),1),1),1),AI$4-1))):INDEX(Attenuation!$J:$J,(AI$3-1+MIN(MAX(IFERROR(MATCH(LN($AA17),INDEX(Attenuation!$J:$J,AI$3):INDEX(Attenuation!$J:$J,AI$3+AI$4-1),1),1),1),AI$4-1))+1)))))</f>
        <v>0.25864547266742904</v>
      </c>
    </row>
    <row r="18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>
        <f>10^(8/10)</f>
        <v>6.3095734448019343</v>
      </c>
      <c r="AB18" s="1">
        <f>IF($B$5="",NA(),IF(OR($AA18&lt;AB$5/2,$AA18&gt;2*AB$6),NA(),EXP(FORECAST(LN($AA18),INDEX(Attenuation!$K:$K,(AB$3-1+MIN(MAX(IFERROR(MATCH(LN($AA18),INDEX(Attenuation!$J:$J,AB$3):INDEX(Attenuation!$J:$J,AB$3+AB$4-1),1),1),1),AB$4-1))):INDEX(Attenuation!$K:$K,(AB$3-1+MIN(MAX(IFERROR(MATCH(LN($AA18),INDEX(Attenuation!$J:$J,AB$3):INDEX(Attenuation!$J:$J,AB$3+AB$4-1),1),1),1),AB$4-1))+1),INDEX(Attenuation!$J:$J,(AB$3-1+MIN(MAX(IFERROR(MATCH(LN($AA18),INDEX(Attenuation!$J:$J,AB$3):INDEX(Attenuation!$J:$J,AB$3+AB$4-1),1),1),1),AB$4-1))):INDEX(Attenuation!$J:$J,(AB$3-1+MIN(MAX(IFERROR(MATCH(LN($AA18),INDEX(Attenuation!$J:$J,AB$3):INDEX(Attenuation!$J:$J,AB$3+AB$4-1),1),1),1),AB$4-1))+1)))))</f>
        <v>3.7780703704466294</v>
      </c>
      <c r="AC18" s="1">
        <f>IF($B$6="",NA(),IF(OR($AA18&lt;AC$5/2,$AA18&gt;2*AC$6),NA(),EXP(FORECAST(LN($AA18),INDEX(Attenuation!$K:$K,(AC$3-1+MIN(MAX(IFERROR(MATCH(LN($AA18),INDEX(Attenuation!$J:$J,AC$3):INDEX(Attenuation!$J:$J,AC$3+AC$4-1),1),1),1),AC$4-1))):INDEX(Attenuation!$K:$K,(AC$3-1+MIN(MAX(IFERROR(MATCH(LN($AA18),INDEX(Attenuation!$J:$J,AC$3):INDEX(Attenuation!$J:$J,AC$3+AC$4-1),1),1),1),AC$4-1))+1),INDEX(Attenuation!$J:$J,(AC$3-1+MIN(MAX(IFERROR(MATCH(LN($AA18),INDEX(Attenuation!$J:$J,AC$3):INDEX(Attenuation!$J:$J,AC$3+AC$4-1),1),1),1),AC$4-1))):INDEX(Attenuation!$J:$J,(AC$3-1+MIN(MAX(IFERROR(MATCH(LN($AA18),INDEX(Attenuation!$J:$J,AC$3):INDEX(Attenuation!$J:$J,AC$3+AC$4-1),1),1),1),AC$4-1))+1)))))</f>
        <v>2.3702998870872958</v>
      </c>
      <c r="AD18" s="1">
        <f>IF($B$7="",NA(),IF(OR($AA18&lt;AD$5/2,$AA18&gt;2*AD$6),NA(),EXP(FORECAST(LN($AA18),INDEX(Attenuation!$K:$K,(AD$3-1+MIN(MAX(IFERROR(MATCH(LN($AA18),INDEX(Attenuation!$J:$J,AD$3):INDEX(Attenuation!$J:$J,AD$3+AD$4-1),1),1),1),AD$4-1))):INDEX(Attenuation!$K:$K,(AD$3-1+MIN(MAX(IFERROR(MATCH(LN($AA18),INDEX(Attenuation!$J:$J,AD$3):INDEX(Attenuation!$J:$J,AD$3+AD$4-1),1),1),1),AD$4-1))+1),INDEX(Attenuation!$J:$J,(AD$3-1+MIN(MAX(IFERROR(MATCH(LN($AA18),INDEX(Attenuation!$J:$J,AD$3):INDEX(Attenuation!$J:$J,AD$3+AD$4-1),1),1),1),AD$4-1))):INDEX(Attenuation!$J:$J,(AD$3-1+MIN(MAX(IFERROR(MATCH(LN($AA18),INDEX(Attenuation!$J:$J,AD$3):INDEX(Attenuation!$J:$J,AD$3+AD$4-1),1),1),1),AD$4-1))+1)))))</f>
        <v>1.4268061519128292</v>
      </c>
      <c r="AE18" s="1" t="e">
        <f>IF($B$8="",NA(),IF(OR($AA18&lt;AE$5/2,$AA18&gt;2*AE$6),NA(),EXP(FORECAST(LN($AA18),INDEX(Attenuation!$K:$K,(AE$3-1+MIN(MAX(IFERROR(MATCH(LN($AA18),INDEX(Attenuation!$J:$J,AE$3):INDEX(Attenuation!$J:$J,AE$3+AE$4-1),1),1),1),AE$4-1))):INDEX(Attenuation!$K:$K,(AE$3-1+MIN(MAX(IFERROR(MATCH(LN($AA18),INDEX(Attenuation!$J:$J,AE$3):INDEX(Attenuation!$J:$J,AE$3+AE$4-1),1),1),1),AE$4-1))+1),INDEX(Attenuation!$J:$J,(AE$3-1+MIN(MAX(IFERROR(MATCH(LN($AA18),INDEX(Attenuation!$J:$J,AE$3):INDEX(Attenuation!$J:$J,AE$3+AE$4-1),1),1),1),AE$4-1))):INDEX(Attenuation!$J:$J,(AE$3-1+MIN(MAX(IFERROR(MATCH(LN($AA18),INDEX(Attenuation!$J:$J,AE$3):INDEX(Attenuation!$J:$J,AE$3+AE$4-1),1),1),1),AE$4-1))+1)))))</f>
        <v>#N/A</v>
      </c>
      <c r="AF18" s="1">
        <f>IF($B$9="",NA(),IF(OR($AA18&lt;AF$5/2,$AA18&gt;2*AF$6),NA(),EXP(FORECAST(LN($AA18),INDEX(Attenuation!$K:$K,(AF$3-1+MIN(MAX(IFERROR(MATCH(LN($AA18),INDEX(Attenuation!$J:$J,AF$3):INDEX(Attenuation!$J:$J,AF$3+AF$4-1),1),1),1),AF$4-1))):INDEX(Attenuation!$K:$K,(AF$3-1+MIN(MAX(IFERROR(MATCH(LN($AA18),INDEX(Attenuation!$J:$J,AF$3):INDEX(Attenuation!$J:$J,AF$3+AF$4-1),1),1),1),AF$4-1))+1),INDEX(Attenuation!$J:$J,(AF$3-1+MIN(MAX(IFERROR(MATCH(LN($AA18),INDEX(Attenuation!$J:$J,AF$3):INDEX(Attenuation!$J:$J,AF$3+AF$4-1),1),1),1),AF$4-1))):INDEX(Attenuation!$J:$J,(AF$3-1+MIN(MAX(IFERROR(MATCH(LN($AA18),INDEX(Attenuation!$J:$J,AF$3):INDEX(Attenuation!$J:$J,AF$3+AF$4-1),1),1),1),AF$4-1))+1)))))</f>
        <v>1.0844050858291523</v>
      </c>
      <c r="AG18" s="1">
        <f>IF($B$10="",NA(),IF(OR($AA18&lt;AG$5/2,$AA18&gt;2*AG$6),NA(),EXP(FORECAST(LN($AA18),INDEX(Attenuation!$K:$K,(AG$3-1+MIN(MAX(IFERROR(MATCH(LN($AA18),INDEX(Attenuation!$J:$J,AG$3):INDEX(Attenuation!$J:$J,AG$3+AG$4-1),1),1),1),AG$4-1))):INDEX(Attenuation!$K:$K,(AG$3-1+MIN(MAX(IFERROR(MATCH(LN($AA18),INDEX(Attenuation!$J:$J,AG$3):INDEX(Attenuation!$J:$J,AG$3+AG$4-1),1),1),1),AG$4-1))+1),INDEX(Attenuation!$J:$J,(AG$3-1+MIN(MAX(IFERROR(MATCH(LN($AA18),INDEX(Attenuation!$J:$J,AG$3):INDEX(Attenuation!$J:$J,AG$3+AG$4-1),1),1),1),AG$4-1))):INDEX(Attenuation!$J:$J,(AG$3-1+MIN(MAX(IFERROR(MATCH(LN($AA18),INDEX(Attenuation!$J:$J,AG$3):INDEX(Attenuation!$J:$J,AG$3+AG$4-1),1),1),1),AG$4-1))+1)))))</f>
        <v>0.96712291570091524</v>
      </c>
      <c r="AH18" s="1">
        <f>IF($B$11="",NA(),IF(OR($AA18&lt;AH$5/2,$AA18&gt;2*AH$6),NA(),EXP(FORECAST(LN($AA18),INDEX(Attenuation!$K:$K,(AH$3-1+MIN(MAX(IFERROR(MATCH(LN($AA18),INDEX(Attenuation!$J:$J,AH$3):INDEX(Attenuation!$J:$J,AH$3+AH$4-1),1),1),1),AH$4-1))):INDEX(Attenuation!$K:$K,(AH$3-1+MIN(MAX(IFERROR(MATCH(LN($AA18),INDEX(Attenuation!$J:$J,AH$3):INDEX(Attenuation!$J:$J,AH$3+AH$4-1),1),1),1),AH$4-1))+1),INDEX(Attenuation!$J:$J,(AH$3-1+MIN(MAX(IFERROR(MATCH(LN($AA18),INDEX(Attenuation!$J:$J,AH$3):INDEX(Attenuation!$J:$J,AH$3+AH$4-1),1),1),1),AH$4-1))):INDEX(Attenuation!$J:$J,(AH$3-1+MIN(MAX(IFERROR(MATCH(LN($AA18),INDEX(Attenuation!$J:$J,AH$3):INDEX(Attenuation!$J:$J,AH$3+AH$4-1),1),1),1),AH$4-1))+1)))))</f>
        <v>0.53301082833208824</v>
      </c>
      <c r="AI18" s="1">
        <f>IF($B$12="",NA(),IF(OR($AA18&lt;AI$5/2,$AA18&gt;2*AI$6),NA(),EXP(FORECAST(LN($AA18),INDEX(Attenuation!$K:$K,(AI$3-1+MIN(MAX(IFERROR(MATCH(LN($AA18),INDEX(Attenuation!$J:$J,AI$3):INDEX(Attenuation!$J:$J,AI$3+AI$4-1),1),1),1),AI$4-1))):INDEX(Attenuation!$K:$K,(AI$3-1+MIN(MAX(IFERROR(MATCH(LN($AA18),INDEX(Attenuation!$J:$J,AI$3):INDEX(Attenuation!$J:$J,AI$3+AI$4-1),1),1),1),AI$4-1))+1),INDEX(Attenuation!$J:$J,(AI$3-1+MIN(MAX(IFERROR(MATCH(LN($AA18),INDEX(Attenuation!$J:$J,AI$3):INDEX(Attenuation!$J:$J,AI$3+AI$4-1),1),1),1),AI$4-1))):INDEX(Attenuation!$J:$J,(AI$3-1+MIN(MAX(IFERROR(MATCH(LN($AA18),INDEX(Attenuation!$J:$J,AI$3):INDEX(Attenuation!$J:$J,AI$3+AI$4-1),1),1),1),AI$4-1))+1)))))</f>
        <v>0.29037793718875354</v>
      </c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f>10^(9/10)</f>
        <v>7.9432823472428176</v>
      </c>
      <c r="AB19" s="1">
        <f>IF($B$5="",NA(),IF(OR($AA19&lt;AB$5/2,$AA19&gt;2*AB$6),NA(),EXP(FORECAST(LN($AA19),INDEX(Attenuation!$K:$K,(AB$3-1+MIN(MAX(IFERROR(MATCH(LN($AA19),INDEX(Attenuation!$J:$J,AB$3):INDEX(Attenuation!$J:$J,AB$3+AB$4-1),1),1),1),AB$4-1))):INDEX(Attenuation!$K:$K,(AB$3-1+MIN(MAX(IFERROR(MATCH(LN($AA19),INDEX(Attenuation!$J:$J,AB$3):INDEX(Attenuation!$J:$J,AB$3+AB$4-1),1),1),1),AB$4-1))+1),INDEX(Attenuation!$J:$J,(AB$3-1+MIN(MAX(IFERROR(MATCH(LN($AA19),INDEX(Attenuation!$J:$J,AB$3):INDEX(Attenuation!$J:$J,AB$3+AB$4-1),1),1),1),AB$4-1))):INDEX(Attenuation!$J:$J,(AB$3-1+MIN(MAX(IFERROR(MATCH(LN($AA19),INDEX(Attenuation!$J:$J,AB$3):INDEX(Attenuation!$J:$J,AB$3+AB$4-1),1),1),1),AB$4-1))+1)))))</f>
        <v>4.3119445724977101</v>
      </c>
      <c r="AC19" s="1">
        <f>IF($B$6="",NA(),IF(OR($AA19&lt;AC$5/2,$AA19&gt;2*AC$6),NA(),EXP(FORECAST(LN($AA19),INDEX(Attenuation!$K:$K,(AC$3-1+MIN(MAX(IFERROR(MATCH(LN($AA19),INDEX(Attenuation!$J:$J,AC$3):INDEX(Attenuation!$J:$J,AC$3+AC$4-1),1),1),1),AC$4-1))):INDEX(Attenuation!$K:$K,(AC$3-1+MIN(MAX(IFERROR(MATCH(LN($AA19),INDEX(Attenuation!$J:$J,AC$3):INDEX(Attenuation!$J:$J,AC$3+AC$4-1),1),1),1),AC$4-1))+1),INDEX(Attenuation!$J:$J,(AC$3-1+MIN(MAX(IFERROR(MATCH(LN($AA19),INDEX(Attenuation!$J:$J,AC$3):INDEX(Attenuation!$J:$J,AC$3+AC$4-1),1),1),1),AC$4-1))):INDEX(Attenuation!$J:$J,(AC$3-1+MIN(MAX(IFERROR(MATCH(LN($AA19),INDEX(Attenuation!$J:$J,AC$3):INDEX(Attenuation!$J:$J,AC$3+AC$4-1),1),1),1),AC$4-1))+1)))))</f>
        <v>2.6455466333880779</v>
      </c>
      <c r="AD19" s="1">
        <f>IF($B$7="",NA(),IF(OR($AA19&lt;AD$5/2,$AA19&gt;2*AD$6),NA(),EXP(FORECAST(LN($AA19),INDEX(Attenuation!$K:$K,(AD$3-1+MIN(MAX(IFERROR(MATCH(LN($AA19),INDEX(Attenuation!$J:$J,AD$3):INDEX(Attenuation!$J:$J,AD$3+AD$4-1),1),1),1),AD$4-1))):INDEX(Attenuation!$K:$K,(AD$3-1+MIN(MAX(IFERROR(MATCH(LN($AA19),INDEX(Attenuation!$J:$J,AD$3):INDEX(Attenuation!$J:$J,AD$3+AD$4-1),1),1),1),AD$4-1))+1),INDEX(Attenuation!$J:$J,(AD$3-1+MIN(MAX(IFERROR(MATCH(LN($AA19),INDEX(Attenuation!$J:$J,AD$3):INDEX(Attenuation!$J:$J,AD$3+AD$4-1),1),1),1),AD$4-1))):INDEX(Attenuation!$J:$J,(AD$3-1+MIN(MAX(IFERROR(MATCH(LN($AA19),INDEX(Attenuation!$J:$J,AD$3):INDEX(Attenuation!$J:$J,AD$3+AD$4-1),1),1),1),AD$4-1))+1)))))</f>
        <v>1.6045614354412145</v>
      </c>
      <c r="AE19" s="1" t="e">
        <f>IF($B$8="",NA(),IF(OR($AA19&lt;AE$5/2,$AA19&gt;2*AE$6),NA(),EXP(FORECAST(LN($AA19),INDEX(Attenuation!$K:$K,(AE$3-1+MIN(MAX(IFERROR(MATCH(LN($AA19),INDEX(Attenuation!$J:$J,AE$3):INDEX(Attenuation!$J:$J,AE$3+AE$4-1),1),1),1),AE$4-1))):INDEX(Attenuation!$K:$K,(AE$3-1+MIN(MAX(IFERROR(MATCH(LN($AA19),INDEX(Attenuation!$J:$J,AE$3):INDEX(Attenuation!$J:$J,AE$3+AE$4-1),1),1),1),AE$4-1))+1),INDEX(Attenuation!$J:$J,(AE$3-1+MIN(MAX(IFERROR(MATCH(LN($AA19),INDEX(Attenuation!$J:$J,AE$3):INDEX(Attenuation!$J:$J,AE$3+AE$4-1),1),1),1),AE$4-1))):INDEX(Attenuation!$J:$J,(AE$3-1+MIN(MAX(IFERROR(MATCH(LN($AA19),INDEX(Attenuation!$J:$J,AE$3):INDEX(Attenuation!$J:$J,AE$3+AE$4-1),1),1),1),AE$4-1))+1)))))</f>
        <v>#N/A</v>
      </c>
      <c r="AF19" s="1">
        <f>IF($B$9="",NA(),IF(OR($AA19&lt;AF$5/2,$AA19&gt;2*AF$6),NA(),EXP(FORECAST(LN($AA19),INDEX(Attenuation!$K:$K,(AF$3-1+MIN(MAX(IFERROR(MATCH(LN($AA19),INDEX(Attenuation!$J:$J,AF$3):INDEX(Attenuation!$J:$J,AF$3+AF$4-1),1),1),1),AF$4-1))):INDEX(Attenuation!$K:$K,(AF$3-1+MIN(MAX(IFERROR(MATCH(LN($AA19),INDEX(Attenuation!$J:$J,AF$3):INDEX(Attenuation!$J:$J,AF$3+AF$4-1),1),1),1),AF$4-1))+1),INDEX(Attenuation!$J:$J,(AF$3-1+MIN(MAX(IFERROR(MATCH(LN($AA19),INDEX(Attenuation!$J:$J,AF$3):INDEX(Attenuation!$J:$J,AF$3+AF$4-1),1),1),1),AF$4-1))):INDEX(Attenuation!$J:$J,(AF$3-1+MIN(MAX(IFERROR(MATCH(LN($AA19),INDEX(Attenuation!$J:$J,AF$3):INDEX(Attenuation!$J:$J,AF$3+AF$4-1),1),1),1),AF$4-1))+1)))))</f>
        <v>1.1670967116742434</v>
      </c>
      <c r="AG19" s="1">
        <f>IF($B$10="",NA(),IF(OR($AA19&lt;AG$5/2,$AA19&gt;2*AG$6),NA(),EXP(FORECAST(LN($AA19),INDEX(Attenuation!$K:$K,(AG$3-1+MIN(MAX(IFERROR(MATCH(LN($AA19),INDEX(Attenuation!$J:$J,AG$3):INDEX(Attenuation!$J:$J,AG$3+AG$4-1),1),1),1),AG$4-1))):INDEX(Attenuation!$K:$K,(AG$3-1+MIN(MAX(IFERROR(MATCH(LN($AA19),INDEX(Attenuation!$J:$J,AG$3):INDEX(Attenuation!$J:$J,AG$3+AG$4-1),1),1),1),AG$4-1))+1),INDEX(Attenuation!$J:$J,(AG$3-1+MIN(MAX(IFERROR(MATCH(LN($AA19),INDEX(Attenuation!$J:$J,AG$3):INDEX(Attenuation!$J:$J,AG$3+AG$4-1),1),1),1),AG$4-1))):INDEX(Attenuation!$J:$J,(AG$3-1+MIN(MAX(IFERROR(MATCH(LN($AA19),INDEX(Attenuation!$J:$J,AG$3):INDEX(Attenuation!$J:$J,AG$3+AG$4-1),1),1),1),AG$4-1))+1)))))</f>
        <v>1.0667538988906398</v>
      </c>
      <c r="AH19" s="1">
        <f>IF($B$11="",NA(),IF(OR($AA19&lt;AH$5/2,$AA19&gt;2*AH$6),NA(),EXP(FORECAST(LN($AA19),INDEX(Attenuation!$K:$K,(AH$3-1+MIN(MAX(IFERROR(MATCH(LN($AA19),INDEX(Attenuation!$J:$J,AH$3):INDEX(Attenuation!$J:$J,AH$3+AH$4-1),1),1),1),AH$4-1))):INDEX(Attenuation!$K:$K,(AH$3-1+MIN(MAX(IFERROR(MATCH(LN($AA19),INDEX(Attenuation!$J:$J,AH$3):INDEX(Attenuation!$J:$J,AH$3+AH$4-1),1),1),1),AH$4-1))+1),INDEX(Attenuation!$J:$J,(AH$3-1+MIN(MAX(IFERROR(MATCH(LN($AA19),INDEX(Attenuation!$J:$J,AH$3):INDEX(Attenuation!$J:$J,AH$3+AH$4-1),1),1),1),AH$4-1))):INDEX(Attenuation!$J:$J,(AH$3-1+MIN(MAX(IFERROR(MATCH(LN($AA19),INDEX(Attenuation!$J:$J,AH$3):INDEX(Attenuation!$J:$J,AH$3+AH$4-1),1),1),1),AH$4-1))+1)))))</f>
        <v>0.59848414902916469</v>
      </c>
      <c r="AI19" s="1">
        <f>IF($B$12="",NA(),IF(OR($AA19&lt;AI$5/2,$AA19&gt;2*AI$6),NA(),EXP(FORECAST(LN($AA19),INDEX(Attenuation!$K:$K,(AI$3-1+MIN(MAX(IFERROR(MATCH(LN($AA19),INDEX(Attenuation!$J:$J,AI$3):INDEX(Attenuation!$J:$J,AI$3+AI$4-1),1),1),1),AI$4-1))):INDEX(Attenuation!$K:$K,(AI$3-1+MIN(MAX(IFERROR(MATCH(LN($AA19),INDEX(Attenuation!$J:$J,AI$3):INDEX(Attenuation!$J:$J,AI$3+AI$4-1),1),1),1),AI$4-1))+1),INDEX(Attenuation!$J:$J,(AI$3-1+MIN(MAX(IFERROR(MATCH(LN($AA19),INDEX(Attenuation!$J:$J,AI$3):INDEX(Attenuation!$J:$J,AI$3+AI$4-1),1),1),1),AI$4-1))):INDEX(Attenuation!$J:$J,(AI$3-1+MIN(MAX(IFERROR(MATCH(LN($AA19),INDEX(Attenuation!$J:$J,AI$3):INDEX(Attenuation!$J:$J,AI$3+AI$4-1),1),1),1),AI$4-1))+1)))))</f>
        <v>0.32600356594841684</v>
      </c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>
        <f>10^(10/10)</f>
        <v>10</v>
      </c>
      <c r="AB20" s="1">
        <f>IF($B$5="",NA(),IF(OR($AA20&lt;AB$5/2,$AA20&gt;2*AB$6),NA(),EXP(FORECAST(LN($AA20),INDEX(Attenuation!$K:$K,(AB$3-1+MIN(MAX(IFERROR(MATCH(LN($AA20),INDEX(Attenuation!$J:$J,AB$3):INDEX(Attenuation!$J:$J,AB$3+AB$4-1),1),1),1),AB$4-1))):INDEX(Attenuation!$K:$K,(AB$3-1+MIN(MAX(IFERROR(MATCH(LN($AA20),INDEX(Attenuation!$J:$J,AB$3):INDEX(Attenuation!$J:$J,AB$3+AB$4-1),1),1),1),AB$4-1))+1),INDEX(Attenuation!$J:$J,(AB$3-1+MIN(MAX(IFERROR(MATCH(LN($AA20),INDEX(Attenuation!$J:$J,AB$3):INDEX(Attenuation!$J:$J,AB$3+AB$4-1),1),1),1),AB$4-1))):INDEX(Attenuation!$J:$J,(AB$3-1+MIN(MAX(IFERROR(MATCH(LN($AA20),INDEX(Attenuation!$J:$J,AB$3):INDEX(Attenuation!$J:$J,AB$3+AB$4-1),1),1),1),AB$4-1))+1)))))</f>
        <v>4.9212598425196861</v>
      </c>
      <c r="AC20" s="1">
        <f>IF($B$6="",NA(),IF(OR($AA20&lt;AC$5/2,$AA20&gt;2*AC$6),NA(),EXP(FORECAST(LN($AA20),INDEX(Attenuation!$K:$K,(AC$3-1+MIN(MAX(IFERROR(MATCH(LN($AA20),INDEX(Attenuation!$J:$J,AC$3):INDEX(Attenuation!$J:$J,AC$3+AC$4-1),1),1),1),AC$4-1))):INDEX(Attenuation!$K:$K,(AC$3-1+MIN(MAX(IFERROR(MATCH(LN($AA20),INDEX(Attenuation!$J:$J,AC$3):INDEX(Attenuation!$J:$J,AC$3+AC$4-1),1),1),1),AC$4-1))+1),INDEX(Attenuation!$J:$J,(AC$3-1+MIN(MAX(IFERROR(MATCH(LN($AA20),INDEX(Attenuation!$J:$J,AC$3):INDEX(Attenuation!$J:$J,AC$3+AC$4-1),1),1),1),AC$4-1))):INDEX(Attenuation!$J:$J,(AC$3-1+MIN(MAX(IFERROR(MATCH(LN($AA20),INDEX(Attenuation!$J:$J,AC$3):INDEX(Attenuation!$J:$J,AC$3+AC$4-1),1),1),1),AC$4-1))+1)))))</f>
        <v>2.952755905511812</v>
      </c>
      <c r="AD20" s="1">
        <f>IF($B$7="",NA(),IF(OR($AA20&lt;AD$5/2,$AA20&gt;2*AD$6),NA(),EXP(FORECAST(LN($AA20),INDEX(Attenuation!$K:$K,(AD$3-1+MIN(MAX(IFERROR(MATCH(LN($AA20),INDEX(Attenuation!$J:$J,AD$3):INDEX(Attenuation!$J:$J,AD$3+AD$4-1),1),1),1),AD$4-1))):INDEX(Attenuation!$K:$K,(AD$3-1+MIN(MAX(IFERROR(MATCH(LN($AA20),INDEX(Attenuation!$J:$J,AD$3):INDEX(Attenuation!$J:$J,AD$3+AD$4-1),1),1),1),AD$4-1))+1),INDEX(Attenuation!$J:$J,(AD$3-1+MIN(MAX(IFERROR(MATCH(LN($AA20),INDEX(Attenuation!$J:$J,AD$3):INDEX(Attenuation!$J:$J,AD$3+AD$4-1),1),1),1),AD$4-1))):INDEX(Attenuation!$J:$J,(AD$3-1+MIN(MAX(IFERROR(MATCH(LN($AA20),INDEX(Attenuation!$J:$J,AD$3):INDEX(Attenuation!$J:$J,AD$3+AD$4-1),1),1),1),AD$4-1))+1)))))</f>
        <v>1.8044619422572181</v>
      </c>
      <c r="AE20" s="1" t="e">
        <f>IF($B$8="",NA(),IF(OR($AA20&lt;AE$5/2,$AA20&gt;2*AE$6),NA(),EXP(FORECAST(LN($AA20),INDEX(Attenuation!$K:$K,(AE$3-1+MIN(MAX(IFERROR(MATCH(LN($AA20),INDEX(Attenuation!$J:$J,AE$3):INDEX(Attenuation!$J:$J,AE$3+AE$4-1),1),1),1),AE$4-1))):INDEX(Attenuation!$K:$K,(AE$3-1+MIN(MAX(IFERROR(MATCH(LN($AA20),INDEX(Attenuation!$J:$J,AE$3):INDEX(Attenuation!$J:$J,AE$3+AE$4-1),1),1),1),AE$4-1))+1),INDEX(Attenuation!$J:$J,(AE$3-1+MIN(MAX(IFERROR(MATCH(LN($AA20),INDEX(Attenuation!$J:$J,AE$3):INDEX(Attenuation!$J:$J,AE$3+AE$4-1),1),1),1),AE$4-1))):INDEX(Attenuation!$J:$J,(AE$3-1+MIN(MAX(IFERROR(MATCH(LN($AA20),INDEX(Attenuation!$J:$J,AE$3):INDEX(Attenuation!$J:$J,AE$3+AE$4-1),1),1),1),AE$4-1))+1)))))</f>
        <v>#N/A</v>
      </c>
      <c r="AF20" s="1">
        <f>IF($B$9="",NA(),IF(OR($AA20&lt;AF$5/2,$AA20&gt;2*AF$6),NA(),EXP(FORECAST(LN($AA20),INDEX(Attenuation!$K:$K,(AF$3-1+MIN(MAX(IFERROR(MATCH(LN($AA20),INDEX(Attenuation!$J:$J,AF$3):INDEX(Attenuation!$J:$J,AF$3+AF$4-1),1),1),1),AF$4-1))):INDEX(Attenuation!$K:$K,(AF$3-1+MIN(MAX(IFERROR(MATCH(LN($AA20),INDEX(Attenuation!$J:$J,AF$3):INDEX(Attenuation!$J:$J,AF$3+AF$4-1),1),1),1),AF$4-1))+1),INDEX(Attenuation!$J:$J,(AF$3-1+MIN(MAX(IFERROR(MATCH(LN($AA20),INDEX(Attenuation!$J:$J,AF$3):INDEX(Attenuation!$J:$J,AF$3+AF$4-1),1),1),1),AF$4-1))):INDEX(Attenuation!$J:$J,(AF$3-1+MIN(MAX(IFERROR(MATCH(LN($AA20),INDEX(Attenuation!$J:$J,AF$3):INDEX(Attenuation!$J:$J,AF$3+AF$4-1),1),1),1),AF$4-1))+1)))))</f>
        <v>1.3</v>
      </c>
      <c r="AG20" s="1">
        <f>IF($B$10="",NA(),IF(OR($AA20&lt;AG$5/2,$AA20&gt;2*AG$6),NA(),EXP(FORECAST(LN($AA20),INDEX(Attenuation!$K:$K,(AG$3-1+MIN(MAX(IFERROR(MATCH(LN($AA20),INDEX(Attenuation!$J:$J,AG$3):INDEX(Attenuation!$J:$J,AG$3+AG$4-1),1),1),1),AG$4-1))):INDEX(Attenuation!$K:$K,(AG$3-1+MIN(MAX(IFERROR(MATCH(LN($AA20),INDEX(Attenuation!$J:$J,AG$3):INDEX(Attenuation!$J:$J,AG$3+AG$4-1),1),1),1),AG$4-1))+1),INDEX(Attenuation!$J:$J,(AG$3-1+MIN(MAX(IFERROR(MATCH(LN($AA20),INDEX(Attenuation!$J:$J,AG$3):INDEX(Attenuation!$J:$J,AG$3+AG$4-1),1),1),1),AG$4-1))):INDEX(Attenuation!$J:$J,(AG$3-1+MIN(MAX(IFERROR(MATCH(LN($AA20),INDEX(Attenuation!$J:$J,AG$3):INDEX(Attenuation!$J:$J,AG$3+AG$4-1),1),1),1),AG$4-1))+1)))))</f>
        <v>1.2</v>
      </c>
      <c r="AH20" s="1">
        <f>IF($B$11="",NA(),IF(OR($AA20&lt;AH$5/2,$AA20&gt;2*AH$6),NA(),EXP(FORECAST(LN($AA20),INDEX(Attenuation!$K:$K,(AH$3-1+MIN(MAX(IFERROR(MATCH(LN($AA20),INDEX(Attenuation!$J:$J,AH$3):INDEX(Attenuation!$J:$J,AH$3+AH$4-1),1),1),1),AH$4-1))):INDEX(Attenuation!$K:$K,(AH$3-1+MIN(MAX(IFERROR(MATCH(LN($AA20),INDEX(Attenuation!$J:$J,AH$3):INDEX(Attenuation!$J:$J,AH$3+AH$4-1),1),1),1),AH$4-1))+1),INDEX(Attenuation!$J:$J,(AH$3-1+MIN(MAX(IFERROR(MATCH(LN($AA20),INDEX(Attenuation!$J:$J,AH$3):INDEX(Attenuation!$J:$J,AH$3+AH$4-1),1),1),1),AH$4-1))):INDEX(Attenuation!$J:$J,(AH$3-1+MIN(MAX(IFERROR(MATCH(LN($AA20),INDEX(Attenuation!$J:$J,AH$3):INDEX(Attenuation!$J:$J,AH$3+AH$4-1),1),1),1),AH$4-1))+1)))))</f>
        <v>0.67199999999999982</v>
      </c>
      <c r="AI20" s="1">
        <f>IF($B$12="",NA(),IF(OR($AA20&lt;AI$5/2,$AA20&gt;2*AI$6),NA(),EXP(FORECAST(LN($AA20),INDEX(Attenuation!$K:$K,(AI$3-1+MIN(MAX(IFERROR(MATCH(LN($AA20),INDEX(Attenuation!$J:$J,AI$3):INDEX(Attenuation!$J:$J,AI$3+AI$4-1),1),1),1),AI$4-1))):INDEX(Attenuation!$K:$K,(AI$3-1+MIN(MAX(IFERROR(MATCH(LN($AA20),INDEX(Attenuation!$J:$J,AI$3):INDEX(Attenuation!$J:$J,AI$3+AI$4-1),1),1),1),AI$4-1))+1),INDEX(Attenuation!$J:$J,(AI$3-1+MIN(MAX(IFERROR(MATCH(LN($AA20),INDEX(Attenuation!$J:$J,AI$3):INDEX(Attenuation!$J:$J,AI$3+AI$4-1),1),1),1),AI$4-1))):INDEX(Attenuation!$J:$J,(AI$3-1+MIN(MAX(IFERROR(MATCH(LN($AA20),INDEX(Attenuation!$J:$J,AI$3):INDEX(Attenuation!$J:$J,AI$3+AI$4-1),1),1),1),AI$4-1))+1)))))</f>
        <v>0.36600000000000005</v>
      </c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>
        <f>10^(11/10)</f>
        <v>12.58925411794168</v>
      </c>
      <c r="AB21" s="1">
        <f>IF($B$5="",NA(),IF(OR($AA21&lt;AB$5/2,$AA21&gt;2*AB$6),NA(),EXP(FORECAST(LN($AA21),INDEX(Attenuation!$K:$K,(AB$3-1+MIN(MAX(IFERROR(MATCH(LN($AA21),INDEX(Attenuation!$J:$J,AB$3):INDEX(Attenuation!$J:$J,AB$3+AB$4-1),1),1),1),AB$4-1))):INDEX(Attenuation!$K:$K,(AB$3-1+MIN(MAX(IFERROR(MATCH(LN($AA21),INDEX(Attenuation!$J:$J,AB$3):INDEX(Attenuation!$J:$J,AB$3+AB$4-1),1),1),1),AB$4-1))+1),INDEX(Attenuation!$J:$J,(AB$3-1+MIN(MAX(IFERROR(MATCH(LN($AA21),INDEX(Attenuation!$J:$J,AB$3):INDEX(Attenuation!$J:$J,AB$3+AB$4-1),1),1),1),AB$4-1))):INDEX(Attenuation!$J:$J,(AB$3-1+MIN(MAX(IFERROR(MATCH(LN($AA21),INDEX(Attenuation!$J:$J,AB$3):INDEX(Attenuation!$J:$J,AB$3+AB$4-1),1),1),1),AB$4-1))+1)))))</f>
        <v>5.5998271448423109</v>
      </c>
      <c r="AC21" s="1">
        <f>IF($B$6="",NA(),IF(OR($AA21&lt;AC$5/2,$AA21&gt;2*AC$6),NA(),EXP(FORECAST(LN($AA21),INDEX(Attenuation!$K:$K,(AC$3-1+MIN(MAX(IFERROR(MATCH(LN($AA21),INDEX(Attenuation!$J:$J,AC$3):INDEX(Attenuation!$J:$J,AC$3+AC$4-1),1),1),1),AC$4-1))):INDEX(Attenuation!$K:$K,(AC$3-1+MIN(MAX(IFERROR(MATCH(LN($AA21),INDEX(Attenuation!$J:$J,AC$3):INDEX(Attenuation!$J:$J,AC$3+AC$4-1),1),1),1),AC$4-1))+1),INDEX(Attenuation!$J:$J,(AC$3-1+MIN(MAX(IFERROR(MATCH(LN($AA21),INDEX(Attenuation!$J:$J,AC$3):INDEX(Attenuation!$J:$J,AC$3+AC$4-1),1),1),1),AC$4-1))):INDEX(Attenuation!$J:$J,(AC$3-1+MIN(MAX(IFERROR(MATCH(LN($AA21),INDEX(Attenuation!$J:$J,AC$3):INDEX(Attenuation!$J:$J,AC$3+AC$4-1),1),1),1),AC$4-1))+1)))))</f>
        <v>3.3332901797528556</v>
      </c>
      <c r="AD21" s="1">
        <f>IF($B$7="",NA(),IF(OR($AA21&lt;AD$5/2,$AA21&gt;2*AD$6),NA(),EXP(FORECAST(LN($AA21),INDEX(Attenuation!$K:$K,(AD$3-1+MIN(MAX(IFERROR(MATCH(LN($AA21),INDEX(Attenuation!$J:$J,AD$3):INDEX(Attenuation!$J:$J,AD$3+AD$4-1),1),1),1),AD$4-1))):INDEX(Attenuation!$K:$K,(AD$3-1+MIN(MAX(IFERROR(MATCH(LN($AA21),INDEX(Attenuation!$J:$J,AD$3):INDEX(Attenuation!$J:$J,AD$3+AD$4-1),1),1),1),AD$4-1))+1),INDEX(Attenuation!$J:$J,(AD$3-1+MIN(MAX(IFERROR(MATCH(LN($AA21),INDEX(Attenuation!$J:$J,AD$3):INDEX(Attenuation!$J:$J,AD$3+AD$4-1),1),1),1),AD$4-1))):INDEX(Attenuation!$J:$J,(AD$3-1+MIN(MAX(IFERROR(MATCH(LN($AA21),INDEX(Attenuation!$J:$J,AD$3):INDEX(Attenuation!$J:$J,AD$3+AD$4-1),1),1),1),AD$4-1))+1)))))</f>
        <v>2.0407745822117134</v>
      </c>
      <c r="AE21" s="1" t="e">
        <f>IF($B$8="",NA(),IF(OR($AA21&lt;AE$5/2,$AA21&gt;2*AE$6),NA(),EXP(FORECAST(LN($AA21),INDEX(Attenuation!$K:$K,(AE$3-1+MIN(MAX(IFERROR(MATCH(LN($AA21),INDEX(Attenuation!$J:$J,AE$3):INDEX(Attenuation!$J:$J,AE$3+AE$4-1),1),1),1),AE$4-1))):INDEX(Attenuation!$K:$K,(AE$3-1+MIN(MAX(IFERROR(MATCH(LN($AA21),INDEX(Attenuation!$J:$J,AE$3):INDEX(Attenuation!$J:$J,AE$3+AE$4-1),1),1),1),AE$4-1))+1),INDEX(Attenuation!$J:$J,(AE$3-1+MIN(MAX(IFERROR(MATCH(LN($AA21),INDEX(Attenuation!$J:$J,AE$3):INDEX(Attenuation!$J:$J,AE$3+AE$4-1),1),1),1),AE$4-1))):INDEX(Attenuation!$J:$J,(AE$3-1+MIN(MAX(IFERROR(MATCH(LN($AA21),INDEX(Attenuation!$J:$J,AE$3):INDEX(Attenuation!$J:$J,AE$3+AE$4-1),1),1),1),AE$4-1))+1)))))</f>
        <v>#N/A</v>
      </c>
      <c r="AF21" s="1">
        <f>IF($B$9="",NA(),IF(OR($AA21&lt;AF$5/2,$AA21&gt;2*AF$6),NA(),EXP(FORECAST(LN($AA21),INDEX(Attenuation!$K:$K,(AF$3-1+MIN(MAX(IFERROR(MATCH(LN($AA21),INDEX(Attenuation!$J:$J,AF$3):INDEX(Attenuation!$J:$J,AF$3+AF$4-1),1),1),1),AF$4-1))):INDEX(Attenuation!$K:$K,(AF$3-1+MIN(MAX(IFERROR(MATCH(LN($AA21),INDEX(Attenuation!$J:$J,AF$3):INDEX(Attenuation!$J:$J,AF$3+AF$4-1),1),1),1),AF$4-1))+1),INDEX(Attenuation!$J:$J,(AF$3-1+MIN(MAX(IFERROR(MATCH(LN($AA21),INDEX(Attenuation!$J:$J,AF$3):INDEX(Attenuation!$J:$J,AF$3+AF$4-1),1),1),1),AF$4-1))):INDEX(Attenuation!$J:$J,(AF$3-1+MIN(MAX(IFERROR(MATCH(LN($AA21),INDEX(Attenuation!$J:$J,AF$3):INDEX(Attenuation!$J:$J,AF$3+AF$4-1),1),1),1),AF$4-1))+1)))))</f>
        <v>1.4337489569586206</v>
      </c>
      <c r="AG21" s="1">
        <f>IF($B$10="",NA(),IF(OR($AA21&lt;AG$5/2,$AA21&gt;2*AG$6),NA(),EXP(FORECAST(LN($AA21),INDEX(Attenuation!$K:$K,(AG$3-1+MIN(MAX(IFERROR(MATCH(LN($AA21),INDEX(Attenuation!$J:$J,AG$3):INDEX(Attenuation!$J:$J,AG$3+AG$4-1),1),1),1),AG$4-1))):INDEX(Attenuation!$K:$K,(AG$3-1+MIN(MAX(IFERROR(MATCH(LN($AA21),INDEX(Attenuation!$J:$J,AG$3):INDEX(Attenuation!$J:$J,AG$3+AG$4-1),1),1),1),AG$4-1))+1),INDEX(Attenuation!$J:$J,(AG$3-1+MIN(MAX(IFERROR(MATCH(LN($AA21),INDEX(Attenuation!$J:$J,AG$3):INDEX(Attenuation!$J:$J,AG$3+AG$4-1),1),1),1),AG$4-1))):INDEX(Attenuation!$J:$J,(AG$3-1+MIN(MAX(IFERROR(MATCH(LN($AA21),INDEX(Attenuation!$J:$J,AG$3):INDEX(Attenuation!$J:$J,AG$3+AG$4-1),1),1),1),AG$4-1))+1)))))</f>
        <v>1.2675644372068569</v>
      </c>
      <c r="AH21" s="1">
        <f>IF($B$11="",NA(),IF(OR($AA21&lt;AH$5/2,$AA21&gt;2*AH$6),NA(),EXP(FORECAST(LN($AA21),INDEX(Attenuation!$K:$K,(AH$3-1+MIN(MAX(IFERROR(MATCH(LN($AA21),INDEX(Attenuation!$J:$J,AH$3):INDEX(Attenuation!$J:$J,AH$3+AH$4-1),1),1),1),AH$4-1))):INDEX(Attenuation!$K:$K,(AH$3-1+MIN(MAX(IFERROR(MATCH(LN($AA21),INDEX(Attenuation!$J:$J,AH$3):INDEX(Attenuation!$J:$J,AH$3+AH$4-1),1),1),1),AH$4-1))+1),INDEX(Attenuation!$J:$J,(AH$3-1+MIN(MAX(IFERROR(MATCH(LN($AA21),INDEX(Attenuation!$J:$J,AH$3):INDEX(Attenuation!$J:$J,AH$3+AH$4-1),1),1),1),AH$4-1))):INDEX(Attenuation!$J:$J,(AH$3-1+MIN(MAX(IFERROR(MATCH(LN($AA21),INDEX(Attenuation!$J:$J,AH$3):INDEX(Attenuation!$J:$J,AH$3+AH$4-1),1),1),1),AH$4-1))+1)))))</f>
        <v>0.75495675681199259</v>
      </c>
      <c r="AI21" s="1">
        <f>IF($B$12="",NA(),IF(OR($AA21&lt;AI$5/2,$AA21&gt;2*AI$6),NA(),EXP(FORECAST(LN($AA21),INDEX(Attenuation!$K:$K,(AI$3-1+MIN(MAX(IFERROR(MATCH(LN($AA21),INDEX(Attenuation!$J:$J,AI$3):INDEX(Attenuation!$J:$J,AI$3+AI$4-1),1),1),1),AI$4-1))):INDEX(Attenuation!$K:$K,(AI$3-1+MIN(MAX(IFERROR(MATCH(LN($AA21),INDEX(Attenuation!$J:$J,AI$3):INDEX(Attenuation!$J:$J,AI$3+AI$4-1),1),1),1),AI$4-1))+1),INDEX(Attenuation!$J:$J,(AI$3-1+MIN(MAX(IFERROR(MATCH(LN($AA21),INDEX(Attenuation!$J:$J,AI$3):INDEX(Attenuation!$J:$J,AI$3+AI$4-1),1),1),1),AI$4-1))):INDEX(Attenuation!$J:$J,(AI$3-1+MIN(MAX(IFERROR(MATCH(LN($AA21),INDEX(Attenuation!$J:$J,AI$3):INDEX(Attenuation!$J:$J,AI$3+AI$4-1),1),1),1),AI$4-1))+1)))))</f>
        <v>0.41155232337404751</v>
      </c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f>10^(12/10)</f>
        <v>15.848931924611136</v>
      </c>
      <c r="AB22" s="1">
        <f>IF($B$5="",NA(),IF(OR($AA22&lt;AB$5/2,$AA22&gt;2*AB$6),NA(),EXP(FORECAST(LN($AA22),INDEX(Attenuation!$K:$K,(AB$3-1+MIN(MAX(IFERROR(MATCH(LN($AA22),INDEX(Attenuation!$J:$J,AB$3):INDEX(Attenuation!$J:$J,AB$3+AB$4-1),1),1),1),AB$4-1))):INDEX(Attenuation!$K:$K,(AB$3-1+MIN(MAX(IFERROR(MATCH(LN($AA22),INDEX(Attenuation!$J:$J,AB$3):INDEX(Attenuation!$J:$J,AB$3+AB$4-1),1),1),1),AB$4-1))+1),INDEX(Attenuation!$J:$J,(AB$3-1+MIN(MAX(IFERROR(MATCH(LN($AA22),INDEX(Attenuation!$J:$J,AB$3):INDEX(Attenuation!$J:$J,AB$3+AB$4-1),1),1),1),AB$4-1))):INDEX(Attenuation!$J:$J,(AB$3-1+MIN(MAX(IFERROR(MATCH(LN($AA22),INDEX(Attenuation!$J:$J,AB$3):INDEX(Attenuation!$J:$J,AB$3+AB$4-1),1),1),1),AB$4-1))+1)))))</f>
        <v>6.3719586153893149</v>
      </c>
      <c r="AC22" s="1">
        <f>IF($B$6="",NA(),IF(OR($AA22&lt;AC$5/2,$AA22&gt;2*AC$6),NA(),EXP(FORECAST(LN($AA22),INDEX(Attenuation!$K:$K,(AC$3-1+MIN(MAX(IFERROR(MATCH(LN($AA22),INDEX(Attenuation!$J:$J,AC$3):INDEX(Attenuation!$J:$J,AC$3+AC$4-1),1),1),1),AC$4-1))):INDEX(Attenuation!$K:$K,(AC$3-1+MIN(MAX(IFERROR(MATCH(LN($AA22),INDEX(Attenuation!$J:$J,AC$3):INDEX(Attenuation!$J:$J,AC$3+AC$4-1),1),1),1),AC$4-1))+1),INDEX(Attenuation!$J:$J,(AC$3-1+MIN(MAX(IFERROR(MATCH(LN($AA22),INDEX(Attenuation!$J:$J,AC$3):INDEX(Attenuation!$J:$J,AC$3+AC$4-1),1),1),1),AC$4-1))):INDEX(Attenuation!$J:$J,(AC$3-1+MIN(MAX(IFERROR(MATCH(LN($AA22),INDEX(Attenuation!$J:$J,AC$3):INDEX(Attenuation!$J:$J,AC$3+AC$4-1),1),1),1),AC$4-1))+1)))))</f>
        <v>3.7628655323986018</v>
      </c>
      <c r="AD22" s="1">
        <f>IF($B$7="",NA(),IF(OR($AA22&lt;AD$5/2,$AA22&gt;2*AD$6),NA(),EXP(FORECAST(LN($AA22),INDEX(Attenuation!$K:$K,(AD$3-1+MIN(MAX(IFERROR(MATCH(LN($AA22),INDEX(Attenuation!$J:$J,AD$3):INDEX(Attenuation!$J:$J,AD$3+AD$4-1),1),1),1),AD$4-1))):INDEX(Attenuation!$K:$K,(AD$3-1+MIN(MAX(IFERROR(MATCH(LN($AA22),INDEX(Attenuation!$J:$J,AD$3):INDEX(Attenuation!$J:$J,AD$3+AD$4-1),1),1),1),AD$4-1))+1),INDEX(Attenuation!$J:$J,(AD$3-1+MIN(MAX(IFERROR(MATCH(LN($AA22),INDEX(Attenuation!$J:$J,AD$3):INDEX(Attenuation!$J:$J,AD$3+AD$4-1),1),1),1),AD$4-1))):INDEX(Attenuation!$J:$J,(AD$3-1+MIN(MAX(IFERROR(MATCH(LN($AA22),INDEX(Attenuation!$J:$J,AD$3):INDEX(Attenuation!$J:$J,AD$3+AD$4-1),1),1),1),AD$4-1))+1)))))</f>
        <v>2.3080347653060795</v>
      </c>
      <c r="AE22" s="1">
        <f>IF($B$8="",NA(),IF(OR($AA22&lt;AE$5/2,$AA22&gt;2*AE$6),NA(),EXP(FORECAST(LN($AA22),INDEX(Attenuation!$K:$K,(AE$3-1+MIN(MAX(IFERROR(MATCH(LN($AA22),INDEX(Attenuation!$J:$J,AE$3):INDEX(Attenuation!$J:$J,AE$3+AE$4-1),1),1),1),AE$4-1))):INDEX(Attenuation!$K:$K,(AE$3-1+MIN(MAX(IFERROR(MATCH(LN($AA22),INDEX(Attenuation!$J:$J,AE$3):INDEX(Attenuation!$J:$J,AE$3+AE$4-1),1),1),1),AE$4-1))+1),INDEX(Attenuation!$J:$J,(AE$3-1+MIN(MAX(IFERROR(MATCH(LN($AA22),INDEX(Attenuation!$J:$J,AE$3):INDEX(Attenuation!$J:$J,AE$3+AE$4-1),1),1),1),AE$4-1))):INDEX(Attenuation!$J:$J,(AE$3-1+MIN(MAX(IFERROR(MATCH(LN($AA22),INDEX(Attenuation!$J:$J,AE$3):INDEX(Attenuation!$J:$J,AE$3+AE$4-1),1),1),1),AE$4-1))+1)))))</f>
        <v>1.6778217110753391</v>
      </c>
      <c r="AF22" s="1">
        <f>IF($B$9="",NA(),IF(OR($AA22&lt;AF$5/2,$AA22&gt;2*AF$6),NA(),EXP(FORECAST(LN($AA22),INDEX(Attenuation!$K:$K,(AF$3-1+MIN(MAX(IFERROR(MATCH(LN($AA22),INDEX(Attenuation!$J:$J,AF$3):INDEX(Attenuation!$J:$J,AF$3+AF$4-1),1),1),1),AF$4-1))):INDEX(Attenuation!$K:$K,(AF$3-1+MIN(MAX(IFERROR(MATCH(LN($AA22),INDEX(Attenuation!$J:$J,AF$3):INDEX(Attenuation!$J:$J,AF$3+AF$4-1),1),1),1),AF$4-1))+1),INDEX(Attenuation!$J:$J,(AF$3-1+MIN(MAX(IFERROR(MATCH(LN($AA22),INDEX(Attenuation!$J:$J,AF$3):INDEX(Attenuation!$J:$J,AF$3+AF$4-1),1),1),1),AF$4-1))):INDEX(Attenuation!$J:$J,(AF$3-1+MIN(MAX(IFERROR(MATCH(LN($AA22),INDEX(Attenuation!$J:$J,AF$3):INDEX(Attenuation!$J:$J,AF$3+AF$4-1),1),1),1),AF$4-1))+1)))))</f>
        <v>1.58604440407605</v>
      </c>
      <c r="AG22" s="1">
        <f>IF($B$10="",NA(),IF(OR($AA22&lt;AG$5/2,$AA22&gt;2*AG$6),NA(),EXP(FORECAST(LN($AA22),INDEX(Attenuation!$K:$K,(AG$3-1+MIN(MAX(IFERROR(MATCH(LN($AA22),INDEX(Attenuation!$J:$J,AG$3):INDEX(Attenuation!$J:$J,AG$3+AG$4-1),1),1),1),AG$4-1))):INDEX(Attenuation!$K:$K,(AG$3-1+MIN(MAX(IFERROR(MATCH(LN($AA22),INDEX(Attenuation!$J:$J,AG$3):INDEX(Attenuation!$J:$J,AG$3+AG$4-1),1),1),1),AG$4-1))+1),INDEX(Attenuation!$J:$J,(AG$3-1+MIN(MAX(IFERROR(MATCH(LN($AA22),INDEX(Attenuation!$J:$J,AG$3):INDEX(Attenuation!$J:$J,AG$3+AG$4-1),1),1),1),AG$4-1))):INDEX(Attenuation!$J:$J,(AG$3-1+MIN(MAX(IFERROR(MATCH(LN($AA22),INDEX(Attenuation!$J:$J,AG$3):INDEX(Attenuation!$J:$J,AG$3+AG$4-1),1),1),1),AG$4-1))+1)))))</f>
        <v>1.4111921203598581</v>
      </c>
      <c r="AH22" s="1">
        <f>IF($B$11="",NA(),IF(OR($AA22&lt;AH$5/2,$AA22&gt;2*AH$6),NA(),EXP(FORECAST(LN($AA22),INDEX(Attenuation!$K:$K,(AH$3-1+MIN(MAX(IFERROR(MATCH(LN($AA22),INDEX(Attenuation!$J:$J,AH$3):INDEX(Attenuation!$J:$J,AH$3+AH$4-1),1),1),1),AH$4-1))):INDEX(Attenuation!$K:$K,(AH$3-1+MIN(MAX(IFERROR(MATCH(LN($AA22),INDEX(Attenuation!$J:$J,AH$3):INDEX(Attenuation!$J:$J,AH$3+AH$4-1),1),1),1),AH$4-1))+1),INDEX(Attenuation!$J:$J,(AH$3-1+MIN(MAX(IFERROR(MATCH(LN($AA22),INDEX(Attenuation!$J:$J,AH$3):INDEX(Attenuation!$J:$J,AH$3+AH$4-1),1),1),1),AH$4-1))):INDEX(Attenuation!$J:$J,(AH$3-1+MIN(MAX(IFERROR(MATCH(LN($AA22),INDEX(Attenuation!$J:$J,AH$3):INDEX(Attenuation!$J:$J,AH$3+AH$4-1),1),1),1),AH$4-1))+1)))))</f>
        <v>0.84815432240488364</v>
      </c>
      <c r="AI22" s="1">
        <f>IF($B$12="",NA(),IF(OR($AA22&lt;AI$5/2,$AA22&gt;2*AI$6),NA(),EXP(FORECAST(LN($AA22),INDEX(Attenuation!$K:$K,(AI$3-1+MIN(MAX(IFERROR(MATCH(LN($AA22),INDEX(Attenuation!$J:$J,AI$3):INDEX(Attenuation!$J:$J,AI$3+AI$4-1),1),1),1),AI$4-1))):INDEX(Attenuation!$K:$K,(AI$3-1+MIN(MAX(IFERROR(MATCH(LN($AA22),INDEX(Attenuation!$J:$J,AI$3):INDEX(Attenuation!$J:$J,AI$3+AI$4-1),1),1),1),AI$4-1))+1),INDEX(Attenuation!$J:$J,(AI$3-1+MIN(MAX(IFERROR(MATCH(LN($AA22),INDEX(Attenuation!$J:$J,AI$3):INDEX(Attenuation!$J:$J,AI$3+AI$4-1),1),1),1),AI$4-1))):INDEX(Attenuation!$J:$J,(AI$3-1+MIN(MAX(IFERROR(MATCH(LN($AA22),INDEX(Attenuation!$J:$J,AI$3):INDEX(Attenuation!$J:$J,AI$3+AI$4-1),1),1),1),AI$4-1))+1)))))</f>
        <v>0.46277408435676626</v>
      </c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f>10^(13/10)</f>
        <v>19.952623149688804</v>
      </c>
      <c r="AB23" s="1">
        <f>IF($B$5="",NA(),IF(OR($AA23&lt;AB$5/2,$AA23&gt;2*AB$6),NA(),EXP(FORECAST(LN($AA23),INDEX(Attenuation!$K:$K,(AB$3-1+MIN(MAX(IFERROR(MATCH(LN($AA23),INDEX(Attenuation!$J:$J,AB$3):INDEX(Attenuation!$J:$J,AB$3+AB$4-1),1),1),1),AB$4-1))):INDEX(Attenuation!$K:$K,(AB$3-1+MIN(MAX(IFERROR(MATCH(LN($AA23),INDEX(Attenuation!$J:$J,AB$3):INDEX(Attenuation!$J:$J,AB$3+AB$4-1),1),1),1),AB$4-1))+1),INDEX(Attenuation!$J:$J,(AB$3-1+MIN(MAX(IFERROR(MATCH(LN($AA23),INDEX(Attenuation!$J:$J,AB$3):INDEX(Attenuation!$J:$J,AB$3+AB$4-1),1),1),1),AB$4-1))):INDEX(Attenuation!$J:$J,(AB$3-1+MIN(MAX(IFERROR(MATCH(LN($AA23),INDEX(Attenuation!$J:$J,AB$3):INDEX(Attenuation!$J:$J,AB$3+AB$4-1),1),1),1),AB$4-1))+1)))))</f>
        <v>7.2505553378786418</v>
      </c>
      <c r="AC23" s="1">
        <f>IF($B$6="",NA(),IF(OR($AA23&lt;AC$5/2,$AA23&gt;2*AC$6),NA(),EXP(FORECAST(LN($AA23),INDEX(Attenuation!$K:$K,(AC$3-1+MIN(MAX(IFERROR(MATCH(LN($AA23),INDEX(Attenuation!$J:$J,AC$3):INDEX(Attenuation!$J:$J,AC$3+AC$4-1),1),1),1),AC$4-1))):INDEX(Attenuation!$K:$K,(AC$3-1+MIN(MAX(IFERROR(MATCH(LN($AA23),INDEX(Attenuation!$J:$J,AC$3):INDEX(Attenuation!$J:$J,AC$3+AC$4-1),1),1),1),AC$4-1))+1),INDEX(Attenuation!$J:$J,(AC$3-1+MIN(MAX(IFERROR(MATCH(LN($AA23),INDEX(Attenuation!$J:$J,AC$3):INDEX(Attenuation!$J:$J,AC$3+AC$4-1),1),1),1),AC$4-1))):INDEX(Attenuation!$J:$J,(AC$3-1+MIN(MAX(IFERROR(MATCH(LN($AA23),INDEX(Attenuation!$J:$J,AC$3):INDEX(Attenuation!$J:$J,AC$3+AC$4-1),1),1),1),AC$4-1))+1)))))</f>
        <v>4.2478020968349171</v>
      </c>
      <c r="AD23" s="1">
        <f>IF($B$7="",NA(),IF(OR($AA23&lt;AD$5/2,$AA23&gt;2*AD$6),NA(),EXP(FORECAST(LN($AA23),INDEX(Attenuation!$K:$K,(AD$3-1+MIN(MAX(IFERROR(MATCH(LN($AA23),INDEX(Attenuation!$J:$J,AD$3):INDEX(Attenuation!$J:$J,AD$3+AD$4-1),1),1),1),AD$4-1))):INDEX(Attenuation!$K:$K,(AD$3-1+MIN(MAX(IFERROR(MATCH(LN($AA23),INDEX(Attenuation!$J:$J,AD$3):INDEX(Attenuation!$J:$J,AD$3+AD$4-1),1),1),1),AD$4-1))+1),INDEX(Attenuation!$J:$J,(AD$3-1+MIN(MAX(IFERROR(MATCH(LN($AA23),INDEX(Attenuation!$J:$J,AD$3):INDEX(Attenuation!$J:$J,AD$3+AD$4-1),1),1),1),AD$4-1))):INDEX(Attenuation!$J:$J,(AD$3-1+MIN(MAX(IFERROR(MATCH(LN($AA23),INDEX(Attenuation!$J:$J,AD$3):INDEX(Attenuation!$J:$J,AD$3+AD$4-1),1),1),1),AD$4-1))+1)))))</f>
        <v>2.6102953870036281</v>
      </c>
      <c r="AE23" s="1">
        <f>IF($B$8="",NA(),IF(OR($AA23&lt;AE$5/2,$AA23&gt;2*AE$6),NA(),EXP(FORECAST(LN($AA23),INDEX(Attenuation!$K:$K,(AE$3-1+MIN(MAX(IFERROR(MATCH(LN($AA23),INDEX(Attenuation!$J:$J,AE$3):INDEX(Attenuation!$J:$J,AE$3+AE$4-1),1),1),1),AE$4-1))):INDEX(Attenuation!$K:$K,(AE$3-1+MIN(MAX(IFERROR(MATCH(LN($AA23),INDEX(Attenuation!$J:$J,AE$3):INDEX(Attenuation!$J:$J,AE$3+AE$4-1),1),1),1),AE$4-1))+1),INDEX(Attenuation!$J:$J,(AE$3-1+MIN(MAX(IFERROR(MATCH(LN($AA23),INDEX(Attenuation!$J:$J,AE$3):INDEX(Attenuation!$J:$J,AE$3+AE$4-1),1),1),1),AE$4-1))):INDEX(Attenuation!$J:$J,(AE$3-1+MIN(MAX(IFERROR(MATCH(LN($AA23),INDEX(Attenuation!$J:$J,AE$3):INDEX(Attenuation!$J:$J,AE$3+AE$4-1),1),1),1),AE$4-1))+1)))))</f>
        <v>1.8790723586704439</v>
      </c>
      <c r="AF23" s="1">
        <f>IF($B$9="",NA(),IF(OR($AA23&lt;AF$5/2,$AA23&gt;2*AF$6),NA(),EXP(FORECAST(LN($AA23),INDEX(Attenuation!$K:$K,(AF$3-1+MIN(MAX(IFERROR(MATCH(LN($AA23),INDEX(Attenuation!$J:$J,AF$3):INDEX(Attenuation!$J:$J,AF$3+AF$4-1),1),1),1),AF$4-1))):INDEX(Attenuation!$K:$K,(AF$3-1+MIN(MAX(IFERROR(MATCH(LN($AA23),INDEX(Attenuation!$J:$J,AF$3):INDEX(Attenuation!$J:$J,AF$3+AF$4-1),1),1),1),AF$4-1))+1),INDEX(Attenuation!$J:$J,(AF$3-1+MIN(MAX(IFERROR(MATCH(LN($AA23),INDEX(Attenuation!$J:$J,AF$3):INDEX(Attenuation!$J:$J,AF$3+AF$4-1),1),1),1),AF$4-1))):INDEX(Attenuation!$J:$J,(AF$3-1+MIN(MAX(IFERROR(MATCH(LN($AA23),INDEX(Attenuation!$J:$J,AF$3):INDEX(Attenuation!$J:$J,AF$3+AF$4-1),1),1),1),AF$4-1))+1)))))</f>
        <v>1.7590629063383414</v>
      </c>
      <c r="AG23" s="1">
        <f>IF($B$10="",NA(),IF(OR($AA23&lt;AG$5/2,$AA23&gt;2*AG$6),NA(),EXP(FORECAST(LN($AA23),INDEX(Attenuation!$K:$K,(AG$3-1+MIN(MAX(IFERROR(MATCH(LN($AA23),INDEX(Attenuation!$J:$J,AG$3):INDEX(Attenuation!$J:$J,AG$3+AG$4-1),1),1),1),AG$4-1))):INDEX(Attenuation!$K:$K,(AG$3-1+MIN(MAX(IFERROR(MATCH(LN($AA23),INDEX(Attenuation!$J:$J,AG$3):INDEX(Attenuation!$J:$J,AG$3+AG$4-1),1),1),1),AG$4-1))+1),INDEX(Attenuation!$J:$J,(AG$3-1+MIN(MAX(IFERROR(MATCH(LN($AA23),INDEX(Attenuation!$J:$J,AG$3):INDEX(Attenuation!$J:$J,AG$3+AG$4-1),1),1),1),AG$4-1))):INDEX(Attenuation!$J:$J,(AG$3-1+MIN(MAX(IFERROR(MATCH(LN($AA23),INDEX(Attenuation!$J:$J,AG$3):INDEX(Attenuation!$J:$J,AG$3+AG$4-1),1),1),1),AG$4-1))+1)))))</f>
        <v>1.6434185423951659</v>
      </c>
      <c r="AH23" s="1">
        <f>IF($B$11="",NA(),IF(OR($AA23&lt;AH$5/2,$AA23&gt;2*AH$6),NA(),EXP(FORECAST(LN($AA23),INDEX(Attenuation!$K:$K,(AH$3-1+MIN(MAX(IFERROR(MATCH(LN($AA23),INDEX(Attenuation!$J:$J,AH$3):INDEX(Attenuation!$J:$J,AH$3+AH$4-1),1),1),1),AH$4-1))):INDEX(Attenuation!$K:$K,(AH$3-1+MIN(MAX(IFERROR(MATCH(LN($AA23),INDEX(Attenuation!$J:$J,AH$3):INDEX(Attenuation!$J:$J,AH$3+AH$4-1),1),1),1),AH$4-1))+1),INDEX(Attenuation!$J:$J,(AH$3-1+MIN(MAX(IFERROR(MATCH(LN($AA23),INDEX(Attenuation!$J:$J,AH$3):INDEX(Attenuation!$J:$J,AH$3+AH$4-1),1),1),1),AH$4-1))):INDEX(Attenuation!$J:$J,(AH$3-1+MIN(MAX(IFERROR(MATCH(LN($AA23),INDEX(Attenuation!$J:$J,AH$3):INDEX(Attenuation!$J:$J,AH$3+AH$4-1),1),1),1),AH$4-1))+1)))))</f>
        <v>0.95285689958164299</v>
      </c>
      <c r="AI23" s="1">
        <f>IF($B$12="",NA(),IF(OR($AA23&lt;AI$5/2,$AA23&gt;2*AI$6),NA(),EXP(FORECAST(LN($AA23),INDEX(Attenuation!$K:$K,(AI$3-1+MIN(MAX(IFERROR(MATCH(LN($AA23),INDEX(Attenuation!$J:$J,AI$3):INDEX(Attenuation!$J:$J,AI$3+AI$4-1),1),1),1),AI$4-1))):INDEX(Attenuation!$K:$K,(AI$3-1+MIN(MAX(IFERROR(MATCH(LN($AA23),INDEX(Attenuation!$J:$J,AI$3):INDEX(Attenuation!$J:$J,AI$3+AI$4-1),1),1),1),AI$4-1))+1),INDEX(Attenuation!$J:$J,(AI$3-1+MIN(MAX(IFERROR(MATCH(LN($AA23),INDEX(Attenuation!$J:$J,AI$3):INDEX(Attenuation!$J:$J,AI$3+AI$4-1),1),1),1),AI$4-1))):INDEX(Attenuation!$J:$J,(AI$3-1+MIN(MAX(IFERROR(MATCH(LN($AA23),INDEX(Attenuation!$J:$J,AI$3):INDEX(Attenuation!$J:$J,AI$3+AI$4-1),1),1),1),AI$4-1))+1)))))</f>
        <v>0.52037090058558633</v>
      </c>
    </row>
    <row r="24" spans="1:3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f>10^(14/10)</f>
        <v>25.118864315095799</v>
      </c>
      <c r="AB24" s="1">
        <f>IF($B$5="",NA(),IF(OR($AA24&lt;AB$5/2,$AA24&gt;2*AB$6),NA(),EXP(FORECAST(LN($AA24),INDEX(Attenuation!$K:$K,(AB$3-1+MIN(MAX(IFERROR(MATCH(LN($AA24),INDEX(Attenuation!$J:$J,AB$3):INDEX(Attenuation!$J:$J,AB$3+AB$4-1),1),1),1),AB$4-1))):INDEX(Attenuation!$K:$K,(AB$3-1+MIN(MAX(IFERROR(MATCH(LN($AA24),INDEX(Attenuation!$J:$J,AB$3):INDEX(Attenuation!$J:$J,AB$3+AB$4-1),1),1),1),AB$4-1))+1),INDEX(Attenuation!$J:$J,(AB$3-1+MIN(MAX(IFERROR(MATCH(LN($AA24),INDEX(Attenuation!$J:$J,AB$3):INDEX(Attenuation!$J:$J,AB$3+AB$4-1),1),1),1),AB$4-1))):INDEX(Attenuation!$J:$J,(AB$3-1+MIN(MAX(IFERROR(MATCH(LN($AA24),INDEX(Attenuation!$J:$J,AB$3):INDEX(Attenuation!$J:$J,AB$3+AB$4-1),1),1),1),AB$4-1))+1)))))</f>
        <v>8.2502972603547668</v>
      </c>
      <c r="AC24" s="1">
        <f>IF($B$6="",NA(),IF(OR($AA24&lt;AC$5/2,$AA24&gt;2*AC$6),NA(),EXP(FORECAST(LN($AA24),INDEX(Attenuation!$K:$K,(AC$3-1+MIN(MAX(IFERROR(MATCH(LN($AA24),INDEX(Attenuation!$J:$J,AC$3):INDEX(Attenuation!$J:$J,AC$3+AC$4-1),1),1),1),AC$4-1))):INDEX(Attenuation!$K:$K,(AC$3-1+MIN(MAX(IFERROR(MATCH(LN($AA24),INDEX(Attenuation!$J:$J,AC$3):INDEX(Attenuation!$J:$J,AC$3+AC$4-1),1),1),1),AC$4-1))+1),INDEX(Attenuation!$J:$J,(AC$3-1+MIN(MAX(IFERROR(MATCH(LN($AA24),INDEX(Attenuation!$J:$J,AC$3):INDEX(Attenuation!$J:$J,AC$3+AC$4-1),1),1),1),AC$4-1))):INDEX(Attenuation!$J:$J,(AC$3-1+MIN(MAX(IFERROR(MATCH(LN($AA24),INDEX(Attenuation!$J:$J,AC$3):INDEX(Attenuation!$J:$J,AC$3+AC$4-1),1),1),1),AC$4-1))+1)))))</f>
        <v>4.7952345090506743</v>
      </c>
      <c r="AD24" s="1">
        <f>IF($B$7="",NA(),IF(OR($AA24&lt;AD$5/2,$AA24&gt;2*AD$6),NA(),EXP(FORECAST(LN($AA24),INDEX(Attenuation!$K:$K,(AD$3-1+MIN(MAX(IFERROR(MATCH(LN($AA24),INDEX(Attenuation!$J:$J,AD$3):INDEX(Attenuation!$J:$J,AD$3+AD$4-1),1),1),1),AD$4-1))):INDEX(Attenuation!$K:$K,(AD$3-1+MIN(MAX(IFERROR(MATCH(LN($AA24),INDEX(Attenuation!$J:$J,AD$3):INDEX(Attenuation!$J:$J,AD$3+AD$4-1),1),1),1),AD$4-1))+1),INDEX(Attenuation!$J:$J,(AD$3-1+MIN(MAX(IFERROR(MATCH(LN($AA24),INDEX(Attenuation!$J:$J,AD$3):INDEX(Attenuation!$J:$J,AD$3+AD$4-1),1),1),1),AD$4-1))):INDEX(Attenuation!$J:$J,(AD$3-1+MIN(MAX(IFERROR(MATCH(LN($AA24),INDEX(Attenuation!$J:$J,AD$3):INDEX(Attenuation!$J:$J,AD$3+AD$4-1),1),1),1),AD$4-1))+1)))))</f>
        <v>2.9521401106403302</v>
      </c>
      <c r="AE24" s="1">
        <f>IF($B$8="",NA(),IF(OR($AA24&lt;AE$5/2,$AA24&gt;2*AE$6),NA(),EXP(FORECAST(LN($AA24),INDEX(Attenuation!$K:$K,(AE$3-1+MIN(MAX(IFERROR(MATCH(LN($AA24),INDEX(Attenuation!$J:$J,AE$3):INDEX(Attenuation!$J:$J,AE$3+AE$4-1),1),1),1),AE$4-1))):INDEX(Attenuation!$K:$K,(AE$3-1+MIN(MAX(IFERROR(MATCH(LN($AA24),INDEX(Attenuation!$J:$J,AE$3):INDEX(Attenuation!$J:$J,AE$3+AE$4-1),1),1),1),AE$4-1))+1),INDEX(Attenuation!$J:$J,(AE$3-1+MIN(MAX(IFERROR(MATCH(LN($AA24),INDEX(Attenuation!$J:$J,AE$3):INDEX(Attenuation!$J:$J,AE$3+AE$4-1),1),1),1),AE$4-1))):INDEX(Attenuation!$J:$J,(AE$3-1+MIN(MAX(IFERROR(MATCH(LN($AA24),INDEX(Attenuation!$J:$J,AE$3):INDEX(Attenuation!$J:$J,AE$3+AE$4-1),1),1),1),AE$4-1))+1)))))</f>
        <v>2.1044625336599636</v>
      </c>
      <c r="AF24" s="1">
        <f>IF($B$9="",NA(),IF(OR($AA24&lt;AF$5/2,$AA24&gt;2*AF$6),NA(),EXP(FORECAST(LN($AA24),INDEX(Attenuation!$K:$K,(AF$3-1+MIN(MAX(IFERROR(MATCH(LN($AA24),INDEX(Attenuation!$J:$J,AF$3):INDEX(Attenuation!$J:$J,AF$3+AF$4-1),1),1),1),AF$4-1))):INDEX(Attenuation!$K:$K,(AF$3-1+MIN(MAX(IFERROR(MATCH(LN($AA24),INDEX(Attenuation!$J:$J,AF$3):INDEX(Attenuation!$J:$J,AF$3+AF$4-1),1),1),1),AF$4-1))+1),INDEX(Attenuation!$J:$J,(AF$3-1+MIN(MAX(IFERROR(MATCH(LN($AA24),INDEX(Attenuation!$J:$J,AF$3):INDEX(Attenuation!$J:$J,AF$3+AF$4-1),1),1),1),AF$4-1))):INDEX(Attenuation!$J:$J,(AF$3-1+MIN(MAX(IFERROR(MATCH(LN($AA24),INDEX(Attenuation!$J:$J,AF$3):INDEX(Attenuation!$J:$J,AF$3+AF$4-1),1),1),1),AF$4-1))+1)))))</f>
        <v>1.9220242621615924</v>
      </c>
      <c r="AG24" s="1">
        <f>IF($B$10="",NA(),IF(OR($AA24&lt;AG$5/2,$AA24&gt;2*AG$6),NA(),EXP(FORECAST(LN($AA24),INDEX(Attenuation!$K:$K,(AG$3-1+MIN(MAX(IFERROR(MATCH(LN($AA24),INDEX(Attenuation!$J:$J,AG$3):INDEX(Attenuation!$J:$J,AG$3+AG$4-1),1),1),1),AG$4-1))):INDEX(Attenuation!$K:$K,(AG$3-1+MIN(MAX(IFERROR(MATCH(LN($AA24),INDEX(Attenuation!$J:$J,AG$3):INDEX(Attenuation!$J:$J,AG$3+AG$4-1),1),1),1),AG$4-1))+1),INDEX(Attenuation!$J:$J,(AG$3-1+MIN(MAX(IFERROR(MATCH(LN($AA24),INDEX(Attenuation!$J:$J,AG$3):INDEX(Attenuation!$J:$J,AG$3+AG$4-1),1),1),1),AG$4-1))):INDEX(Attenuation!$J:$J,(AG$3-1+MIN(MAX(IFERROR(MATCH(LN($AA24),INDEX(Attenuation!$J:$J,AG$3):INDEX(Attenuation!$J:$J,AG$3+AG$4-1),1),1),1),AG$4-1))+1)))))</f>
        <v>1.8218853191835553</v>
      </c>
      <c r="AH24" s="1">
        <f>IF($B$11="",NA(),IF(OR($AA24&lt;AH$5/2,$AA24&gt;2*AH$6),NA(),EXP(FORECAST(LN($AA24),INDEX(Attenuation!$K:$K,(AH$3-1+MIN(MAX(IFERROR(MATCH(LN($AA24),INDEX(Attenuation!$J:$J,AH$3):INDEX(Attenuation!$J:$J,AH$3+AH$4-1),1),1),1),AH$4-1))):INDEX(Attenuation!$K:$K,(AH$3-1+MIN(MAX(IFERROR(MATCH(LN($AA24),INDEX(Attenuation!$J:$J,AH$3):INDEX(Attenuation!$J:$J,AH$3+AH$4-1),1),1),1),AH$4-1))+1),INDEX(Attenuation!$J:$J,(AH$3-1+MIN(MAX(IFERROR(MATCH(LN($AA24),INDEX(Attenuation!$J:$J,AH$3):INDEX(Attenuation!$J:$J,AH$3+AH$4-1),1),1),1),AH$4-1))):INDEX(Attenuation!$J:$J,(AH$3-1+MIN(MAX(IFERROR(MATCH(LN($AA24),INDEX(Attenuation!$J:$J,AH$3):INDEX(Attenuation!$J:$J,AH$3+AH$4-1),1),1),1),AH$4-1))+1)))))</f>
        <v>1.0709838333054036</v>
      </c>
      <c r="AI24" s="1">
        <f>IF($B$12="",NA(),IF(OR($AA24&lt;AI$5/2,$AA24&gt;2*AI$6),NA(),EXP(FORECAST(LN($AA24),INDEX(Attenuation!$K:$K,(AI$3-1+MIN(MAX(IFERROR(MATCH(LN($AA24),INDEX(Attenuation!$J:$J,AI$3):INDEX(Attenuation!$J:$J,AI$3+AI$4-1),1),1),1),AI$4-1))):INDEX(Attenuation!$K:$K,(AI$3-1+MIN(MAX(IFERROR(MATCH(LN($AA24),INDEX(Attenuation!$J:$J,AI$3):INDEX(Attenuation!$J:$J,AI$3+AI$4-1),1),1),1),AI$4-1))+1),INDEX(Attenuation!$J:$J,(AI$3-1+MIN(MAX(IFERROR(MATCH(LN($AA24),INDEX(Attenuation!$J:$J,AI$3):INDEX(Attenuation!$J:$J,AI$3+AI$4-1),1),1),1),AI$4-1))):INDEX(Attenuation!$J:$J,(AI$3-1+MIN(MAX(IFERROR(MATCH(LN($AA24),INDEX(Attenuation!$J:$J,AI$3):INDEX(Attenuation!$J:$J,AI$3+AI$4-1),1),1),1),AI$4-1))+1)))))</f>
        <v>0.58537284111029408</v>
      </c>
    </row>
    <row r="25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f>10^(15/10)</f>
        <v>31.622776601683803</v>
      </c>
      <c r="AB25" s="1">
        <f>IF($B$5="",NA(),IF(OR($AA25&lt;AB$5/2,$AA25&gt;2*AB$6),NA(),EXP(FORECAST(LN($AA25),INDEX(Attenuation!$K:$K,(AB$3-1+MIN(MAX(IFERROR(MATCH(LN($AA25),INDEX(Attenuation!$J:$J,AB$3):INDEX(Attenuation!$J:$J,AB$3+AB$4-1),1),1),1),AB$4-1))):INDEX(Attenuation!$K:$K,(AB$3-1+MIN(MAX(IFERROR(MATCH(LN($AA25),INDEX(Attenuation!$J:$J,AB$3):INDEX(Attenuation!$J:$J,AB$3+AB$4-1),1),1),1),AB$4-1))+1),INDEX(Attenuation!$J:$J,(AB$3-1+MIN(MAX(IFERROR(MATCH(LN($AA25),INDEX(Attenuation!$J:$J,AB$3):INDEX(Attenuation!$J:$J,AB$3+AB$4-1),1),1),1),AB$4-1))):INDEX(Attenuation!$J:$J,(AB$3-1+MIN(MAX(IFERROR(MATCH(LN($AA25),INDEX(Attenuation!$J:$J,AB$3):INDEX(Attenuation!$J:$J,AB$3+AB$4-1),1),1),1),AB$4-1))+1)))))</f>
        <v>9.3878884736755239</v>
      </c>
      <c r="AC25" s="1">
        <f>IF($B$6="",NA(),IF(OR($AA25&lt;AC$5/2,$AA25&gt;2*AC$6),NA(),EXP(FORECAST(LN($AA25),INDEX(Attenuation!$K:$K,(AC$3-1+MIN(MAX(IFERROR(MATCH(LN($AA25),INDEX(Attenuation!$J:$J,AC$3):INDEX(Attenuation!$J:$J,AC$3+AC$4-1),1),1),1),AC$4-1))):INDEX(Attenuation!$K:$K,(AC$3-1+MIN(MAX(IFERROR(MATCH(LN($AA25),INDEX(Attenuation!$J:$J,AC$3):INDEX(Attenuation!$J:$J,AC$3+AC$4-1),1),1),1),AC$4-1))+1),INDEX(Attenuation!$J:$J,(AC$3-1+MIN(MAX(IFERROR(MATCH(LN($AA25),INDEX(Attenuation!$J:$J,AC$3):INDEX(Attenuation!$J:$J,AC$3+AC$4-1),1),1),1),AC$4-1))):INDEX(Attenuation!$J:$J,(AC$3-1+MIN(MAX(IFERROR(MATCH(LN($AA25),INDEX(Attenuation!$J:$J,AC$3):INDEX(Attenuation!$J:$J,AC$3+AC$4-1),1),1),1),AC$4-1))+1)))))</f>
        <v>5.4132168760695674</v>
      </c>
      <c r="AD25" s="1">
        <f>IF($B$7="",NA(),IF(OR($AA25&lt;AD$5/2,$AA25&gt;2*AD$6),NA(),EXP(FORECAST(LN($AA25),INDEX(Attenuation!$K:$K,(AD$3-1+MIN(MAX(IFERROR(MATCH(LN($AA25),INDEX(Attenuation!$J:$J,AD$3):INDEX(Attenuation!$J:$J,AD$3+AD$4-1),1),1),1),AD$4-1))):INDEX(Attenuation!$K:$K,(AD$3-1+MIN(MAX(IFERROR(MATCH(LN($AA25),INDEX(Attenuation!$J:$J,AD$3):INDEX(Attenuation!$J:$J,AD$3+AD$4-1),1),1),1),AD$4-1))+1),INDEX(Attenuation!$J:$J,(AD$3-1+MIN(MAX(IFERROR(MATCH(LN($AA25),INDEX(Attenuation!$J:$J,AD$3):INDEX(Attenuation!$J:$J,AD$3+AD$4-1),1),1),1),AD$4-1))):INDEX(Attenuation!$J:$J,(AD$3-1+MIN(MAX(IFERROR(MATCH(LN($AA25),INDEX(Attenuation!$J:$J,AD$3):INDEX(Attenuation!$J:$J,AD$3+AD$4-1),1),1),1),AD$4-1))+1)))))</f>
        <v>3.3387528768748469</v>
      </c>
      <c r="AE25" s="1">
        <f>IF($B$8="",NA(),IF(OR($AA25&lt;AE$5/2,$AA25&gt;2*AE$6),NA(),EXP(FORECAST(LN($AA25),INDEX(Attenuation!$K:$K,(AE$3-1+MIN(MAX(IFERROR(MATCH(LN($AA25),INDEX(Attenuation!$J:$J,AE$3):INDEX(Attenuation!$J:$J,AE$3+AE$4-1),1),1),1),AE$4-1))):INDEX(Attenuation!$K:$K,(AE$3-1+MIN(MAX(IFERROR(MATCH(LN($AA25),INDEX(Attenuation!$J:$J,AE$3):INDEX(Attenuation!$J:$J,AE$3+AE$4-1),1),1),1),AE$4-1))+1),INDEX(Attenuation!$J:$J,(AE$3-1+MIN(MAX(IFERROR(MATCH(LN($AA25),INDEX(Attenuation!$J:$J,AE$3):INDEX(Attenuation!$J:$J,AE$3+AE$4-1),1),1),1),AE$4-1))):INDEX(Attenuation!$J:$J,(AE$3-1+MIN(MAX(IFERROR(MATCH(LN($AA25),INDEX(Attenuation!$J:$J,AE$3):INDEX(Attenuation!$J:$J,AE$3+AE$4-1),1),1),1),AE$4-1))+1)))))</f>
        <v>2.3568877138462776</v>
      </c>
      <c r="AF25" s="1">
        <f>IF($B$9="",NA(),IF(OR($AA25&lt;AF$5/2,$AA25&gt;2*AF$6),NA(),EXP(FORECAST(LN($AA25),INDEX(Attenuation!$K:$K,(AF$3-1+MIN(MAX(IFERROR(MATCH(LN($AA25),INDEX(Attenuation!$J:$J,AF$3):INDEX(Attenuation!$J:$J,AF$3+AF$4-1),1),1),1),AF$4-1))):INDEX(Attenuation!$K:$K,(AF$3-1+MIN(MAX(IFERROR(MATCH(LN($AA25),INDEX(Attenuation!$J:$J,AF$3):INDEX(Attenuation!$J:$J,AF$3+AF$4-1),1),1),1),AF$4-1))+1),INDEX(Attenuation!$J:$J,(AF$3-1+MIN(MAX(IFERROR(MATCH(LN($AA25),INDEX(Attenuation!$J:$J,AF$3):INDEX(Attenuation!$J:$J,AF$3+AF$4-1),1),1),1),AF$4-1))):INDEX(Attenuation!$J:$J,(AF$3-1+MIN(MAX(IFERROR(MATCH(LN($AA25),INDEX(Attenuation!$J:$J,AF$3):INDEX(Attenuation!$J:$J,AF$3+AF$4-1),1),1),1),AF$4-1))+1)))))</f>
        <v>2.1300026140978634</v>
      </c>
      <c r="AG25" s="1">
        <f>IF($B$10="",NA(),IF(OR($AA25&lt;AG$5/2,$AA25&gt;2*AG$6),NA(),EXP(FORECAST(LN($AA25),INDEX(Attenuation!$K:$K,(AG$3-1+MIN(MAX(IFERROR(MATCH(LN($AA25),INDEX(Attenuation!$J:$J,AG$3):INDEX(Attenuation!$J:$J,AG$3+AG$4-1),1),1),1),AG$4-1))):INDEX(Attenuation!$K:$K,(AG$3-1+MIN(MAX(IFERROR(MATCH(LN($AA25),INDEX(Attenuation!$J:$J,AG$3):INDEX(Attenuation!$J:$J,AG$3+AG$4-1),1),1),1),AG$4-1))+1),INDEX(Attenuation!$J:$J,(AG$3-1+MIN(MAX(IFERROR(MATCH(LN($AA25),INDEX(Attenuation!$J:$J,AG$3):INDEX(Attenuation!$J:$J,AG$3+AG$4-1),1),1),1),AG$4-1))):INDEX(Attenuation!$J:$J,(AG$3-1+MIN(MAX(IFERROR(MATCH(LN($AA25),INDEX(Attenuation!$J:$J,AG$3):INDEX(Attenuation!$J:$J,AG$3+AG$4-1),1),1),1),AG$4-1))+1)))))</f>
        <v>1.9954652770756907</v>
      </c>
      <c r="AH25" s="1">
        <f>IF($B$11="",NA(),IF(OR($AA25&lt;AH$5/2,$AA25&gt;2*AH$6),NA(),EXP(FORECAST(LN($AA25),INDEX(Attenuation!$K:$K,(AH$3-1+MIN(MAX(IFERROR(MATCH(LN($AA25),INDEX(Attenuation!$J:$J,AH$3):INDEX(Attenuation!$J:$J,AH$3+AH$4-1),1),1),1),AH$4-1))):INDEX(Attenuation!$K:$K,(AH$3-1+MIN(MAX(IFERROR(MATCH(LN($AA25),INDEX(Attenuation!$J:$J,AH$3):INDEX(Attenuation!$J:$J,AH$3+AH$4-1),1),1),1),AH$4-1))+1),INDEX(Attenuation!$J:$J,(AH$3-1+MIN(MAX(IFERROR(MATCH(LN($AA25),INDEX(Attenuation!$J:$J,AH$3):INDEX(Attenuation!$J:$J,AH$3+AH$4-1),1),1),1),AH$4-1))):INDEX(Attenuation!$J:$J,(AH$3-1+MIN(MAX(IFERROR(MATCH(LN($AA25),INDEX(Attenuation!$J:$J,AH$3):INDEX(Attenuation!$J:$J,AH$3+AH$4-1),1),1),1),AH$4-1))+1)))))</f>
        <v>1.2039316438669259</v>
      </c>
      <c r="AI25" s="1">
        <f>IF($B$12="",NA(),IF(OR($AA25&lt;AI$5/2,$AA25&gt;2*AI$6),NA(),EXP(FORECAST(LN($AA25),INDEX(Attenuation!$K:$K,(AI$3-1+MIN(MAX(IFERROR(MATCH(LN($AA25),INDEX(Attenuation!$J:$J,AI$3):INDEX(Attenuation!$J:$J,AI$3+AI$4-1),1),1),1),AI$4-1))):INDEX(Attenuation!$K:$K,(AI$3-1+MIN(MAX(IFERROR(MATCH(LN($AA25),INDEX(Attenuation!$J:$J,AI$3):INDEX(Attenuation!$J:$J,AI$3+AI$4-1),1),1),1),AI$4-1))+1),INDEX(Attenuation!$J:$J,(AI$3-1+MIN(MAX(IFERROR(MATCH(LN($AA25),INDEX(Attenuation!$J:$J,AI$3):INDEX(Attenuation!$J:$J,AI$3+AI$4-1),1),1),1),AI$4-1))):INDEX(Attenuation!$J:$J,(AI$3-1+MIN(MAX(IFERROR(MATCH(LN($AA25),INDEX(Attenuation!$J:$J,AI$3):INDEX(Attenuation!$J:$J,AI$3+AI$4-1),1),1),1),AI$4-1))+1)))))</f>
        <v>0.65855585478981182</v>
      </c>
    </row>
    <row r="26" spans="1:3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f>10^(16/10)</f>
        <v>39.810717055349755</v>
      </c>
      <c r="AB26" s="1">
        <f>IF($B$5="",NA(),IF(OR($AA26&lt;AB$5/2,$AA26&gt;2*AB$6),NA(),EXP(FORECAST(LN($AA26),INDEX(Attenuation!$K:$K,(AB$3-1+MIN(MAX(IFERROR(MATCH(LN($AA26),INDEX(Attenuation!$J:$J,AB$3):INDEX(Attenuation!$J:$J,AB$3+AB$4-1),1),1),1),AB$4-1))):INDEX(Attenuation!$K:$K,(AB$3-1+MIN(MAX(IFERROR(MATCH(LN($AA26),INDEX(Attenuation!$J:$J,AB$3):INDEX(Attenuation!$J:$J,AB$3+AB$4-1),1),1),1),AB$4-1))+1),INDEX(Attenuation!$J:$J,(AB$3-1+MIN(MAX(IFERROR(MATCH(LN($AA26),INDEX(Attenuation!$J:$J,AB$3):INDEX(Attenuation!$J:$J,AB$3+AB$4-1),1),1),1),AB$4-1))):INDEX(Attenuation!$J:$J,(AB$3-1+MIN(MAX(IFERROR(MATCH(LN($AA26),INDEX(Attenuation!$J:$J,AB$3):INDEX(Attenuation!$J:$J,AB$3+AB$4-1),1),1),1),AB$4-1))+1)))))</f>
        <v>10.682336310192541</v>
      </c>
      <c r="AC26" s="1">
        <f>IF($B$6="",NA(),IF(OR($AA26&lt;AC$5/2,$AA26&gt;2*AC$6),NA(),EXP(FORECAST(LN($AA26),INDEX(Attenuation!$K:$K,(AC$3-1+MIN(MAX(IFERROR(MATCH(LN($AA26),INDEX(Attenuation!$J:$J,AC$3):INDEX(Attenuation!$J:$J,AC$3+AC$4-1),1),1),1),AC$4-1))):INDEX(Attenuation!$K:$K,(AC$3-1+MIN(MAX(IFERROR(MATCH(LN($AA26),INDEX(Attenuation!$J:$J,AC$3):INDEX(Attenuation!$J:$J,AC$3+AC$4-1),1),1),1),AC$4-1))+1),INDEX(Attenuation!$J:$J,(AC$3-1+MIN(MAX(IFERROR(MATCH(LN($AA26),INDEX(Attenuation!$J:$J,AC$3):INDEX(Attenuation!$J:$J,AC$3+AC$4-1),1),1),1),AC$4-1))):INDEX(Attenuation!$J:$J,(AC$3-1+MIN(MAX(IFERROR(MATCH(LN($AA26),INDEX(Attenuation!$J:$J,AC$3):INDEX(Attenuation!$J:$J,AC$3+AC$4-1),1),1),1),AC$4-1))+1)))))</f>
        <v>6.1108412721123724</v>
      </c>
      <c r="AD26" s="1">
        <f>IF($B$7="",NA(),IF(OR($AA26&lt;AD$5/2,$AA26&gt;2*AD$6),NA(),EXP(FORECAST(LN($AA26),INDEX(Attenuation!$K:$K,(AD$3-1+MIN(MAX(IFERROR(MATCH(LN($AA26),INDEX(Attenuation!$J:$J,AD$3):INDEX(Attenuation!$J:$J,AD$3+AD$4-1),1),1),1),AD$4-1))):INDEX(Attenuation!$K:$K,(AD$3-1+MIN(MAX(IFERROR(MATCH(LN($AA26),INDEX(Attenuation!$J:$J,AD$3):INDEX(Attenuation!$J:$J,AD$3+AD$4-1),1),1),1),AD$4-1))+1),INDEX(Attenuation!$J:$J,(AD$3-1+MIN(MAX(IFERROR(MATCH(LN($AA26),INDEX(Attenuation!$J:$J,AD$3):INDEX(Attenuation!$J:$J,AD$3+AD$4-1),1),1),1),AD$4-1))):INDEX(Attenuation!$J:$J,(AD$3-1+MIN(MAX(IFERROR(MATCH(LN($AA26),INDEX(Attenuation!$J:$J,AD$3):INDEX(Attenuation!$J:$J,AD$3+AD$4-1),1),1),1),AD$4-1))+1)))))</f>
        <v>3.7759965161078282</v>
      </c>
      <c r="AE26" s="1">
        <f>IF($B$8="",NA(),IF(OR($AA26&lt;AE$5/2,$AA26&gt;2*AE$6),NA(),EXP(FORECAST(LN($AA26),INDEX(Attenuation!$K:$K,(AE$3-1+MIN(MAX(IFERROR(MATCH(LN($AA26),INDEX(Attenuation!$J:$J,AE$3):INDEX(Attenuation!$J:$J,AE$3+AE$4-1),1),1),1),AE$4-1))):INDEX(Attenuation!$K:$K,(AE$3-1+MIN(MAX(IFERROR(MATCH(LN($AA26),INDEX(Attenuation!$J:$J,AE$3):INDEX(Attenuation!$J:$J,AE$3+AE$4-1),1),1),1),AE$4-1))+1),INDEX(Attenuation!$J:$J,(AE$3-1+MIN(MAX(IFERROR(MATCH(LN($AA26),INDEX(Attenuation!$J:$J,AE$3):INDEX(Attenuation!$J:$J,AE$3+AE$4-1),1),1),1),AE$4-1))):INDEX(Attenuation!$J:$J,(AE$3-1+MIN(MAX(IFERROR(MATCH(LN($AA26),INDEX(Attenuation!$J:$J,AE$3):INDEX(Attenuation!$J:$J,AE$3+AE$4-1),1),1),1),AE$4-1))+1)))))</f>
        <v>2.6395906825761961</v>
      </c>
      <c r="AF26" s="1">
        <f>IF($B$9="",NA(),IF(OR($AA26&lt;AF$5/2,$AA26&gt;2*AF$6),NA(),EXP(FORECAST(LN($AA26),INDEX(Attenuation!$K:$K,(AF$3-1+MIN(MAX(IFERROR(MATCH(LN($AA26),INDEX(Attenuation!$J:$J,AF$3):INDEX(Attenuation!$J:$J,AF$3+AF$4-1),1),1),1),AF$4-1))):INDEX(Attenuation!$K:$K,(AF$3-1+MIN(MAX(IFERROR(MATCH(LN($AA26),INDEX(Attenuation!$J:$J,AF$3):INDEX(Attenuation!$J:$J,AF$3+AF$4-1),1),1),1),AF$4-1))+1),INDEX(Attenuation!$J:$J,(AF$3-1+MIN(MAX(IFERROR(MATCH(LN($AA26),INDEX(Attenuation!$J:$J,AF$3):INDEX(Attenuation!$J:$J,AF$3+AF$4-1),1),1),1),AF$4-1))):INDEX(Attenuation!$J:$J,(AF$3-1+MIN(MAX(IFERROR(MATCH(LN($AA26),INDEX(Attenuation!$J:$J,AF$3):INDEX(Attenuation!$J:$J,AF$3+AF$4-1),1),1),1),AF$4-1))+1)))))</f>
        <v>2.3995980744820091</v>
      </c>
      <c r="AG26" s="1">
        <f>IF($B$10="",NA(),IF(OR($AA26&lt;AG$5/2,$AA26&gt;2*AG$6),NA(),EXP(FORECAST(LN($AA26),INDEX(Attenuation!$K:$K,(AG$3-1+MIN(MAX(IFERROR(MATCH(LN($AA26),INDEX(Attenuation!$J:$J,AG$3):INDEX(Attenuation!$J:$J,AG$3+AG$4-1),1),1),1),AG$4-1))):INDEX(Attenuation!$K:$K,(AG$3-1+MIN(MAX(IFERROR(MATCH(LN($AA26),INDEX(Attenuation!$J:$J,AG$3):INDEX(Attenuation!$J:$J,AG$3+AG$4-1),1),1),1),AG$4-1))+1),INDEX(Attenuation!$J:$J,(AG$3-1+MIN(MAX(IFERROR(MATCH(LN($AA26),INDEX(Attenuation!$J:$J,AG$3):INDEX(Attenuation!$J:$J,AG$3+AG$4-1),1),1),1),AG$4-1))):INDEX(Attenuation!$J:$J,(AG$3-1+MIN(MAX(IFERROR(MATCH(LN($AA26),INDEX(Attenuation!$J:$J,AG$3):INDEX(Attenuation!$J:$J,AG$3+AG$4-1),1),1),1),AG$4-1))+1)))))</f>
        <v>2.1894508800953845</v>
      </c>
      <c r="AH26" s="1">
        <f>IF($B$11="",NA(),IF(OR($AA26&lt;AH$5/2,$AA26&gt;2*AH$6),NA(),EXP(FORECAST(LN($AA26),INDEX(Attenuation!$K:$K,(AH$3-1+MIN(MAX(IFERROR(MATCH(LN($AA26),INDEX(Attenuation!$J:$J,AH$3):INDEX(Attenuation!$J:$J,AH$3+AH$4-1),1),1),1),AH$4-1))):INDEX(Attenuation!$K:$K,(AH$3-1+MIN(MAX(IFERROR(MATCH(LN($AA26),INDEX(Attenuation!$J:$J,AH$3):INDEX(Attenuation!$J:$J,AH$3+AH$4-1),1),1),1),AH$4-1))+1),INDEX(Attenuation!$J:$J,(AH$3-1+MIN(MAX(IFERROR(MATCH(LN($AA26),INDEX(Attenuation!$J:$J,AH$3):INDEX(Attenuation!$J:$J,AH$3+AH$4-1),1),1),1),AH$4-1))):INDEX(Attenuation!$J:$J,(AH$3-1+MIN(MAX(IFERROR(MATCH(LN($AA26),INDEX(Attenuation!$J:$J,AH$3):INDEX(Attenuation!$J:$J,AH$3+AH$4-1),1),1),1),AH$4-1))+1)))))</f>
        <v>1.3540300633226843</v>
      </c>
      <c r="AI26" s="1">
        <f>IF($B$12="",NA(),IF(OR($AA26&lt;AI$5/2,$AA26&gt;2*AI$6),NA(),EXP(FORECAST(LN($AA26),INDEX(Attenuation!$K:$K,(AI$3-1+MIN(MAX(IFERROR(MATCH(LN($AA26),INDEX(Attenuation!$J:$J,AI$3):INDEX(Attenuation!$J:$J,AI$3+AI$4-1),1),1),1),AI$4-1))):INDEX(Attenuation!$K:$K,(AI$3-1+MIN(MAX(IFERROR(MATCH(LN($AA26),INDEX(Attenuation!$J:$J,AI$3):INDEX(Attenuation!$J:$J,AI$3+AI$4-1),1),1),1),AI$4-1))+1),INDEX(Attenuation!$J:$J,(AI$3-1+MIN(MAX(IFERROR(MATCH(LN($AA26),INDEX(Attenuation!$J:$J,AI$3):INDEX(Attenuation!$J:$J,AI$3+AI$4-1),1),1),1),AI$4-1))):INDEX(Attenuation!$J:$J,(AI$3-1+MIN(MAX(IFERROR(MATCH(LN($AA26),INDEX(Attenuation!$J:$J,AI$3):INDEX(Attenuation!$J:$J,AI$3+AI$4-1),1),1),1),AI$4-1))+1)))))</f>
        <v>0.74111047616443693</v>
      </c>
    </row>
    <row r="27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f>10^(17/10)</f>
        <v>50.118723362727238</v>
      </c>
      <c r="AB27" s="1">
        <f>IF($B$5="",NA(),IF(OR($AA27&lt;AB$5/2,$AA27&gt;2*AB$6),NA(),EXP(FORECAST(LN($AA27),INDEX(Attenuation!$K:$K,(AB$3-1+MIN(MAX(IFERROR(MATCH(LN($AA27),INDEX(Attenuation!$J:$J,AB$3):INDEX(Attenuation!$J:$J,AB$3+AB$4-1),1),1),1),AB$4-1))):INDEX(Attenuation!$K:$K,(AB$3-1+MIN(MAX(IFERROR(MATCH(LN($AA27),INDEX(Attenuation!$J:$J,AB$3):INDEX(Attenuation!$J:$J,AB$3+AB$4-1),1),1),1),AB$4-1))+1),INDEX(Attenuation!$J:$J,(AB$3-1+MIN(MAX(IFERROR(MATCH(LN($AA27),INDEX(Attenuation!$J:$J,AB$3):INDEX(Attenuation!$J:$J,AB$3+AB$4-1),1),1),1),AB$4-1))):INDEX(Attenuation!$J:$J,(AB$3-1+MIN(MAX(IFERROR(MATCH(LN($AA27),INDEX(Attenuation!$J:$J,AB$3):INDEX(Attenuation!$J:$J,AB$3+AB$4-1),1),1),1),AB$4-1))+1)))))</f>
        <v>12.154820683146975</v>
      </c>
      <c r="AC27" s="1">
        <f>IF($B$6="",NA(),IF(OR($AA27&lt;AC$5/2,$AA27&gt;2*AC$6),NA(),EXP(FORECAST(LN($AA27),INDEX(Attenuation!$K:$K,(AC$3-1+MIN(MAX(IFERROR(MATCH(LN($AA27),INDEX(Attenuation!$J:$J,AC$3):INDEX(Attenuation!$J:$J,AC$3+AC$4-1),1),1),1),AC$4-1))):INDEX(Attenuation!$K:$K,(AC$3-1+MIN(MAX(IFERROR(MATCH(LN($AA27),INDEX(Attenuation!$J:$J,AC$3):INDEX(Attenuation!$J:$J,AC$3+AC$4-1),1),1),1),AC$4-1))+1),INDEX(Attenuation!$J:$J,(AC$3-1+MIN(MAX(IFERROR(MATCH(LN($AA27),INDEX(Attenuation!$J:$J,AC$3):INDEX(Attenuation!$J:$J,AC$3+AC$4-1),1),1),1),AC$4-1))):INDEX(Attenuation!$J:$J,(AC$3-1+MIN(MAX(IFERROR(MATCH(LN($AA27),INDEX(Attenuation!$J:$J,AC$3):INDEX(Attenuation!$J:$J,AC$3+AC$4-1),1),1),1),AC$4-1))+1)))))</f>
        <v>6.8989510717370939</v>
      </c>
      <c r="AD27" s="1">
        <f>IF($B$7="",NA(),IF(OR($AA27&lt;AD$5/2,$AA27&gt;2*AD$6),NA(),EXP(FORECAST(LN($AA27),INDEX(Attenuation!$K:$K,(AD$3-1+MIN(MAX(IFERROR(MATCH(LN($AA27),INDEX(Attenuation!$J:$J,AD$3):INDEX(Attenuation!$J:$J,AD$3+AD$4-1),1),1),1),AD$4-1))):INDEX(Attenuation!$K:$K,(AD$3-1+MIN(MAX(IFERROR(MATCH(LN($AA27),INDEX(Attenuation!$J:$J,AD$3):INDEX(Attenuation!$J:$J,AD$3+AD$4-1),1),1),1),AD$4-1))+1),INDEX(Attenuation!$J:$J,(AD$3-1+MIN(MAX(IFERROR(MATCH(LN($AA27),INDEX(Attenuation!$J:$J,AD$3):INDEX(Attenuation!$J:$J,AD$3+AD$4-1),1),1),1),AD$4-1))):INDEX(Attenuation!$J:$J,(AD$3-1+MIN(MAX(IFERROR(MATCH(LN($AA27),INDEX(Attenuation!$J:$J,AD$3):INDEX(Attenuation!$J:$J,AD$3+AD$4-1),1),1),1),AD$4-1))+1)))))</f>
        <v>4.2706334728055202</v>
      </c>
      <c r="AE27" s="1">
        <f>IF($B$8="",NA(),IF(OR($AA27&lt;AE$5/2,$AA27&gt;2*AE$6),NA(),EXP(FORECAST(LN($AA27),INDEX(Attenuation!$K:$K,(AE$3-1+MIN(MAX(IFERROR(MATCH(LN($AA27),INDEX(Attenuation!$J:$J,AE$3):INDEX(Attenuation!$J:$J,AE$3+AE$4-1),1),1),1),AE$4-1))):INDEX(Attenuation!$K:$K,(AE$3-1+MIN(MAX(IFERROR(MATCH(LN($AA27),INDEX(Attenuation!$J:$J,AE$3):INDEX(Attenuation!$J:$J,AE$3+AE$4-1),1),1),1),AE$4-1))+1),INDEX(Attenuation!$J:$J,(AE$3-1+MIN(MAX(IFERROR(MATCH(LN($AA27),INDEX(Attenuation!$J:$J,AE$3):INDEX(Attenuation!$J:$J,AE$3+AE$4-1),1),1),1),AE$4-1))):INDEX(Attenuation!$J:$J,(AE$3-1+MIN(MAX(IFERROR(MATCH(LN($AA27),INDEX(Attenuation!$J:$J,AE$3):INDEX(Attenuation!$J:$J,AE$3+AE$4-1),1),1),1),AE$4-1))+1)))))</f>
        <v>2.9560138699212573</v>
      </c>
      <c r="AF27" s="1">
        <f>IF($B$9="",NA(),IF(OR($AA27&lt;AF$5/2,$AA27&gt;2*AF$6),NA(),EXP(FORECAST(LN($AA27),INDEX(Attenuation!$K:$K,(AF$3-1+MIN(MAX(IFERROR(MATCH(LN($AA27),INDEX(Attenuation!$J:$J,AF$3):INDEX(Attenuation!$J:$J,AF$3+AF$4-1),1),1),1),AF$4-1))):INDEX(Attenuation!$K:$K,(AF$3-1+MIN(MAX(IFERROR(MATCH(LN($AA27),INDEX(Attenuation!$J:$J,AF$3):INDEX(Attenuation!$J:$J,AF$3+AF$4-1),1),1),1),AF$4-1))+1),INDEX(Attenuation!$J:$J,(AF$3-1+MIN(MAX(IFERROR(MATCH(LN($AA27),INDEX(Attenuation!$J:$J,AF$3):INDEX(Attenuation!$J:$J,AF$3+AF$4-1),1),1),1),AF$4-1))):INDEX(Attenuation!$J:$J,(AF$3-1+MIN(MAX(IFERROR(MATCH(LN($AA27),INDEX(Attenuation!$J:$J,AF$3):INDEX(Attenuation!$J:$J,AF$3+AF$4-1),1),1),1),AF$4-1))+1)))))</f>
        <v>2.7033992689538056</v>
      </c>
      <c r="AG27" s="1">
        <f>IF($B$10="",NA(),IF(OR($AA27&lt;AG$5/2,$AA27&gt;2*AG$6),NA(),EXP(FORECAST(LN($AA27),INDEX(Attenuation!$K:$K,(AG$3-1+MIN(MAX(IFERROR(MATCH(LN($AA27),INDEX(Attenuation!$J:$J,AG$3):INDEX(Attenuation!$J:$J,AG$3+AG$4-1),1),1),1),AG$4-1))):INDEX(Attenuation!$K:$K,(AG$3-1+MIN(MAX(IFERROR(MATCH(LN($AA27),INDEX(Attenuation!$J:$J,AG$3):INDEX(Attenuation!$J:$J,AG$3+AG$4-1),1),1),1),AG$4-1))+1),INDEX(Attenuation!$J:$J,(AG$3-1+MIN(MAX(IFERROR(MATCH(LN($AA27),INDEX(Attenuation!$J:$J,AG$3):INDEX(Attenuation!$J:$J,AG$3+AG$4-1),1),1),1),AG$4-1))):INDEX(Attenuation!$J:$J,(AG$3-1+MIN(MAX(IFERROR(MATCH(LN($AA27),INDEX(Attenuation!$J:$J,AG$3):INDEX(Attenuation!$J:$J,AG$3+AG$4-1),1),1),1),AG$4-1))+1)))))</f>
        <v>2.4031002547723843</v>
      </c>
      <c r="AH27" s="1">
        <f>IF($B$11="",NA(),IF(OR($AA27&lt;AH$5/2,$AA27&gt;2*AH$6),NA(),EXP(FORECAST(LN($AA27),INDEX(Attenuation!$K:$K,(AH$3-1+MIN(MAX(IFERROR(MATCH(LN($AA27),INDEX(Attenuation!$J:$J,AH$3):INDEX(Attenuation!$J:$J,AH$3+AH$4-1),1),1),1),AH$4-1))):INDEX(Attenuation!$K:$K,(AH$3-1+MIN(MAX(IFERROR(MATCH(LN($AA27),INDEX(Attenuation!$J:$J,AH$3):INDEX(Attenuation!$J:$J,AH$3+AH$4-1),1),1),1),AH$4-1))+1),INDEX(Attenuation!$J:$J,(AH$3-1+MIN(MAX(IFERROR(MATCH(LN($AA27),INDEX(Attenuation!$J:$J,AH$3):INDEX(Attenuation!$J:$J,AH$3+AH$4-1),1),1),1),AH$4-1))):INDEX(Attenuation!$J:$J,(AH$3-1+MIN(MAX(IFERROR(MATCH(LN($AA27),INDEX(Attenuation!$J:$J,AH$3):INDEX(Attenuation!$J:$J,AH$3+AH$4-1),1),1),1),AH$4-1))+1)))))</f>
        <v>1.522845290198735</v>
      </c>
      <c r="AI27" s="1">
        <f>IF($B$12="",NA(),IF(OR($AA27&lt;AI$5/2,$AA27&gt;2*AI$6),NA(),EXP(FORECAST(LN($AA27),INDEX(Attenuation!$K:$K,(AI$3-1+MIN(MAX(IFERROR(MATCH(LN($AA27),INDEX(Attenuation!$J:$J,AI$3):INDEX(Attenuation!$J:$J,AI$3+AI$4-1),1),1),1),AI$4-1))):INDEX(Attenuation!$K:$K,(AI$3-1+MIN(MAX(IFERROR(MATCH(LN($AA27),INDEX(Attenuation!$J:$J,AI$3):INDEX(Attenuation!$J:$J,AI$3+AI$4-1),1),1),1),AI$4-1))+1),INDEX(Attenuation!$J:$J,(AI$3-1+MIN(MAX(IFERROR(MATCH(LN($AA27),INDEX(Attenuation!$J:$J,AI$3):INDEX(Attenuation!$J:$J,AI$3+AI$4-1),1),1),1),AI$4-1))):INDEX(Attenuation!$J:$J,(AI$3-1+MIN(MAX(IFERROR(MATCH(LN($AA27),INDEX(Attenuation!$J:$J,AI$3):INDEX(Attenuation!$J:$J,AI$3+AI$4-1),1),1),1),AI$4-1))+1)))))</f>
        <v>0.8340227229437287</v>
      </c>
    </row>
    <row r="28" spans="1:3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>
        <f>10^(18/10)</f>
        <v>63.095734448019364</v>
      </c>
      <c r="AB28" s="1">
        <f>IF($B$5="",NA(),IF(OR($AA28&lt;AB$5/2,$AA28&gt;2*AB$6),NA(),EXP(FORECAST(LN($AA28),INDEX(Attenuation!$K:$K,(AB$3-1+MIN(MAX(IFERROR(MATCH(LN($AA28),INDEX(Attenuation!$J:$J,AB$3):INDEX(Attenuation!$J:$J,AB$3+AB$4-1),1),1),1),AB$4-1))):INDEX(Attenuation!$K:$K,(AB$3-1+MIN(MAX(IFERROR(MATCH(LN($AA28),INDEX(Attenuation!$J:$J,AB$3):INDEX(Attenuation!$J:$J,AB$3+AB$4-1),1),1),1),AB$4-1))+1),INDEX(Attenuation!$J:$J,(AB$3-1+MIN(MAX(IFERROR(MATCH(LN($AA28),INDEX(Attenuation!$J:$J,AB$3):INDEX(Attenuation!$J:$J,AB$3+AB$4-1),1),1),1),AB$4-1))):INDEX(Attenuation!$J:$J,(AB$3-1+MIN(MAX(IFERROR(MATCH(LN($AA28),INDEX(Attenuation!$J:$J,AB$3):INDEX(Attenuation!$J:$J,AB$3+AB$4-1),1),1),1),AB$4-1))+1)))))</f>
        <v>13.781356580380674</v>
      </c>
      <c r="AC28" s="1">
        <f>IF($B$6="",NA(),IF(OR($AA28&lt;AC$5/2,$AA28&gt;2*AC$6),NA(),EXP(FORECAST(LN($AA28),INDEX(Attenuation!$K:$K,(AC$3-1+MIN(MAX(IFERROR(MATCH(LN($AA28),INDEX(Attenuation!$J:$J,AC$3):INDEX(Attenuation!$J:$J,AC$3+AC$4-1),1),1),1),AC$4-1))):INDEX(Attenuation!$K:$K,(AC$3-1+MIN(MAX(IFERROR(MATCH(LN($AA28),INDEX(Attenuation!$J:$J,AC$3):INDEX(Attenuation!$J:$J,AC$3+AC$4-1),1),1),1),AC$4-1))+1),INDEX(Attenuation!$J:$J,(AC$3-1+MIN(MAX(IFERROR(MATCH(LN($AA28),INDEX(Attenuation!$J:$J,AC$3):INDEX(Attenuation!$J:$J,AC$3+AC$4-1),1),1),1),AC$4-1))):INDEX(Attenuation!$J:$J,(AC$3-1+MIN(MAX(IFERROR(MATCH(LN($AA28),INDEX(Attenuation!$J:$J,AC$3):INDEX(Attenuation!$J:$J,AC$3+AC$4-1),1),1),1),AC$4-1))+1)))))</f>
        <v>7.8518311846912621</v>
      </c>
      <c r="AD28" s="1">
        <f>IF($B$7="",NA(),IF(OR($AA28&lt;AD$5/2,$AA28&gt;2*AD$6),NA(),EXP(FORECAST(LN($AA28),INDEX(Attenuation!$K:$K,(AD$3-1+MIN(MAX(IFERROR(MATCH(LN($AA28),INDEX(Attenuation!$J:$J,AD$3):INDEX(Attenuation!$J:$J,AD$3+AD$4-1),1),1),1),AD$4-1))):INDEX(Attenuation!$K:$K,(AD$3-1+MIN(MAX(IFERROR(MATCH(LN($AA28),INDEX(Attenuation!$J:$J,AD$3):INDEX(Attenuation!$J:$J,AD$3+AD$4-1),1),1),1),AD$4-1))+1),INDEX(Attenuation!$J:$J,(AD$3-1+MIN(MAX(IFERROR(MATCH(LN($AA28),INDEX(Attenuation!$J:$J,AD$3):INDEX(Attenuation!$J:$J,AD$3+AD$4-1),1),1),1),AD$4-1))):INDEX(Attenuation!$J:$J,(AD$3-1+MIN(MAX(IFERROR(MATCH(LN($AA28),INDEX(Attenuation!$J:$J,AD$3):INDEX(Attenuation!$J:$J,AD$3+AD$4-1),1),1),1),AD$4-1))+1)))))</f>
        <v>4.844412089047391</v>
      </c>
      <c r="AE28" s="1">
        <f>IF($B$8="",NA(),IF(OR($AA28&lt;AE$5/2,$AA28&gt;2*AE$6),NA(),EXP(FORECAST(LN($AA28),INDEX(Attenuation!$K:$K,(AE$3-1+MIN(MAX(IFERROR(MATCH(LN($AA28),INDEX(Attenuation!$J:$J,AE$3):INDEX(Attenuation!$J:$J,AE$3+AE$4-1),1),1),1),AE$4-1))):INDEX(Attenuation!$K:$K,(AE$3-1+MIN(MAX(IFERROR(MATCH(LN($AA28),INDEX(Attenuation!$J:$J,AE$3):INDEX(Attenuation!$J:$J,AE$3+AE$4-1),1),1),1),AE$4-1))+1),INDEX(Attenuation!$J:$J,(AE$3-1+MIN(MAX(IFERROR(MATCH(LN($AA28),INDEX(Attenuation!$J:$J,AE$3):INDEX(Attenuation!$J:$J,AE$3+AE$4-1),1),1),1),AE$4-1))):INDEX(Attenuation!$J:$J,(AE$3-1+MIN(MAX(IFERROR(MATCH(LN($AA28),INDEX(Attenuation!$J:$J,AE$3):INDEX(Attenuation!$J:$J,AE$3+AE$4-1),1),1),1),AE$4-1))+1)))))</f>
        <v>3.2900600106960418</v>
      </c>
      <c r="AF28" s="1">
        <f>IF($B$9="",NA(),IF(OR($AA28&lt;AF$5/2,$AA28&gt;2*AF$6),NA(),EXP(FORECAST(LN($AA28),INDEX(Attenuation!$K:$K,(AF$3-1+MIN(MAX(IFERROR(MATCH(LN($AA28),INDEX(Attenuation!$J:$J,AF$3):INDEX(Attenuation!$J:$J,AF$3+AF$4-1),1),1),1),AF$4-1))):INDEX(Attenuation!$K:$K,(AF$3-1+MIN(MAX(IFERROR(MATCH(LN($AA28),INDEX(Attenuation!$J:$J,AF$3):INDEX(Attenuation!$J:$J,AF$3+AF$4-1),1),1),1),AF$4-1))+1),INDEX(Attenuation!$J:$J,(AF$3-1+MIN(MAX(IFERROR(MATCH(LN($AA28),INDEX(Attenuation!$J:$J,AF$3):INDEX(Attenuation!$J:$J,AF$3+AF$4-1),1),1),1),AF$4-1))):INDEX(Attenuation!$J:$J,(AF$3-1+MIN(MAX(IFERROR(MATCH(LN($AA28),INDEX(Attenuation!$J:$J,AF$3):INDEX(Attenuation!$J:$J,AF$3+AF$4-1),1),1),1),AF$4-1))+1)))))</f>
        <v>3.0546514592162</v>
      </c>
      <c r="AG28" s="1">
        <f>IF($B$10="",NA(),IF(OR($AA28&lt;AG$5/2,$AA28&gt;2*AG$6),NA(),EXP(FORECAST(LN($AA28),INDEX(Attenuation!$K:$K,(AG$3-1+MIN(MAX(IFERROR(MATCH(LN($AA28),INDEX(Attenuation!$J:$J,AG$3):INDEX(Attenuation!$J:$J,AG$3+AG$4-1),1),1),1),AG$4-1))):INDEX(Attenuation!$K:$K,(AG$3-1+MIN(MAX(IFERROR(MATCH(LN($AA28),INDEX(Attenuation!$J:$J,AG$3):INDEX(Attenuation!$J:$J,AG$3+AG$4-1),1),1),1),AG$4-1))+1),INDEX(Attenuation!$J:$J,(AG$3-1+MIN(MAX(IFERROR(MATCH(LN($AA28),INDEX(Attenuation!$J:$J,AG$3):INDEX(Attenuation!$J:$J,AG$3+AG$4-1),1),1),1),AG$4-1))):INDEX(Attenuation!$J:$J,(AG$3-1+MIN(MAX(IFERROR(MATCH(LN($AA28),INDEX(Attenuation!$J:$J,AG$3):INDEX(Attenuation!$J:$J,AG$3+AG$4-1),1),1),1),AG$4-1))+1)))))</f>
        <v>2.7239801663954353</v>
      </c>
      <c r="AH28" s="1">
        <f>IF($B$11="",NA(),IF(OR($AA28&lt;AH$5/2,$AA28&gt;2*AH$6),NA(),EXP(FORECAST(LN($AA28),INDEX(Attenuation!$K:$K,(AH$3-1+MIN(MAX(IFERROR(MATCH(LN($AA28),INDEX(Attenuation!$J:$J,AH$3):INDEX(Attenuation!$J:$J,AH$3+AH$4-1),1),1),1),AH$4-1))):INDEX(Attenuation!$K:$K,(AH$3-1+MIN(MAX(IFERROR(MATCH(LN($AA28),INDEX(Attenuation!$J:$J,AH$3):INDEX(Attenuation!$J:$J,AH$3+AH$4-1),1),1),1),AH$4-1))+1),INDEX(Attenuation!$J:$J,(AH$3-1+MIN(MAX(IFERROR(MATCH(LN($AA28),INDEX(Attenuation!$J:$J,AH$3):INDEX(Attenuation!$J:$J,AH$3+AH$4-1),1),1),1),AH$4-1))):INDEX(Attenuation!$J:$J,(AH$3-1+MIN(MAX(IFERROR(MATCH(LN($AA28),INDEX(Attenuation!$J:$J,AH$3):INDEX(Attenuation!$J:$J,AH$3+AH$4-1),1),1),1),AH$4-1))+1)))))</f>
        <v>1.7130866931501803</v>
      </c>
      <c r="AI28" s="1">
        <f>IF($B$12="",NA(),IF(OR($AA28&lt;AI$5/2,$AA28&gt;2*AI$6),NA(),EXP(FORECAST(LN($AA28),INDEX(Attenuation!$K:$K,(AI$3-1+MIN(MAX(IFERROR(MATCH(LN($AA28),INDEX(Attenuation!$J:$J,AI$3):INDEX(Attenuation!$J:$J,AI$3+AI$4-1),1),1),1),AI$4-1))):INDEX(Attenuation!$K:$K,(AI$3-1+MIN(MAX(IFERROR(MATCH(LN($AA28),INDEX(Attenuation!$J:$J,AI$3):INDEX(Attenuation!$J:$J,AI$3+AI$4-1),1),1),1),AI$4-1))+1),INDEX(Attenuation!$J:$J,(AI$3-1+MIN(MAX(IFERROR(MATCH(LN($AA28),INDEX(Attenuation!$J:$J,AI$3):INDEX(Attenuation!$J:$J,AI$3+AI$4-1),1),1),1),AI$4-1))):INDEX(Attenuation!$J:$J,(AI$3-1+MIN(MAX(IFERROR(MATCH(LN($AA28),INDEX(Attenuation!$J:$J,AI$3):INDEX(Attenuation!$J:$J,AI$3+AI$4-1),1),1),1),AI$4-1))+1)))))</f>
        <v>0.93953765914117215</v>
      </c>
    </row>
    <row r="29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f>10^(19/10)</f>
        <v>79.432823472428197</v>
      </c>
      <c r="AB29" s="1">
        <f>IF($B$5="",NA(),IF(OR($AA29&lt;AB$5/2,$AA29&gt;2*AB$6),NA(),EXP(FORECAST(LN($AA29),INDEX(Attenuation!$K:$K,(AB$3-1+MIN(MAX(IFERROR(MATCH(LN($AA29),INDEX(Attenuation!$J:$J,AB$3):INDEX(Attenuation!$J:$J,AB$3+AB$4-1),1),1),1),AB$4-1))):INDEX(Attenuation!$K:$K,(AB$3-1+MIN(MAX(IFERROR(MATCH(LN($AA29),INDEX(Attenuation!$J:$J,AB$3):INDEX(Attenuation!$J:$J,AB$3+AB$4-1),1),1),1),AB$4-1))+1),INDEX(Attenuation!$J:$J,(AB$3-1+MIN(MAX(IFERROR(MATCH(LN($AA29),INDEX(Attenuation!$J:$J,AB$3):INDEX(Attenuation!$J:$J,AB$3+AB$4-1),1),1),1),AB$4-1))):INDEX(Attenuation!$J:$J,(AB$3-1+MIN(MAX(IFERROR(MATCH(LN($AA29),INDEX(Attenuation!$J:$J,AB$3):INDEX(Attenuation!$J:$J,AB$3+AB$4-1),1),1),1),AB$4-1))+1)))))</f>
        <v>15.625552539737544</v>
      </c>
      <c r="AC29" s="1">
        <f>IF($B$6="",NA(),IF(OR($AA29&lt;AC$5/2,$AA29&gt;2*AC$6),NA(),EXP(FORECAST(LN($AA29),INDEX(Attenuation!$K:$K,(AC$3-1+MIN(MAX(IFERROR(MATCH(LN($AA29),INDEX(Attenuation!$J:$J,AC$3):INDEX(Attenuation!$J:$J,AC$3+AC$4-1),1),1),1),AC$4-1))):INDEX(Attenuation!$K:$K,(AC$3-1+MIN(MAX(IFERROR(MATCH(LN($AA29),INDEX(Attenuation!$J:$J,AC$3):INDEX(Attenuation!$J:$J,AC$3+AC$4-1),1),1),1),AC$4-1))+1),INDEX(Attenuation!$J:$J,(AC$3-1+MIN(MAX(IFERROR(MATCH(LN($AA29),INDEX(Attenuation!$J:$J,AC$3):INDEX(Attenuation!$J:$J,AC$3+AC$4-1),1),1),1),AC$4-1))):INDEX(Attenuation!$J:$J,(AC$3-1+MIN(MAX(IFERROR(MATCH(LN($AA29),INDEX(Attenuation!$J:$J,AC$3):INDEX(Attenuation!$J:$J,AC$3+AC$4-1),1),1),1),AC$4-1))+1)))))</f>
        <v>8.9363226832346445</v>
      </c>
      <c r="AD29" s="1">
        <f>IF($B$7="",NA(),IF(OR($AA29&lt;AD$5/2,$AA29&gt;2*AD$6),NA(),EXP(FORECAST(LN($AA29),INDEX(Attenuation!$K:$K,(AD$3-1+MIN(MAX(IFERROR(MATCH(LN($AA29),INDEX(Attenuation!$J:$J,AD$3):INDEX(Attenuation!$J:$J,AD$3+AD$4-1),1),1),1),AD$4-1))):INDEX(Attenuation!$K:$K,(AD$3-1+MIN(MAX(IFERROR(MATCH(LN($AA29),INDEX(Attenuation!$J:$J,AD$3):INDEX(Attenuation!$J:$J,AD$3+AD$4-1),1),1),1),AD$4-1))+1),INDEX(Attenuation!$J:$J,(AD$3-1+MIN(MAX(IFERROR(MATCH(LN($AA29),INDEX(Attenuation!$J:$J,AD$3):INDEX(Attenuation!$J:$J,AD$3+AD$4-1),1),1),1),AD$4-1))):INDEX(Attenuation!$J:$J,(AD$3-1+MIN(MAX(IFERROR(MATCH(LN($AA29),INDEX(Attenuation!$J:$J,AD$3):INDEX(Attenuation!$J:$J,AD$3+AD$4-1),1),1),1),AD$4-1))+1)))))</f>
        <v>5.4952804163480149</v>
      </c>
      <c r="AE29" s="1">
        <f>IF($B$8="",NA(),IF(OR($AA29&lt;AE$5/2,$AA29&gt;2*AE$6),NA(),EXP(FORECAST(LN($AA29),INDEX(Attenuation!$K:$K,(AE$3-1+MIN(MAX(IFERROR(MATCH(LN($AA29),INDEX(Attenuation!$J:$J,AE$3):INDEX(Attenuation!$J:$J,AE$3+AE$4-1),1),1),1),AE$4-1))):INDEX(Attenuation!$K:$K,(AE$3-1+MIN(MAX(IFERROR(MATCH(LN($AA29),INDEX(Attenuation!$J:$J,AE$3):INDEX(Attenuation!$J:$J,AE$3+AE$4-1),1),1),1),AE$4-1))+1),INDEX(Attenuation!$J:$J,(AE$3-1+MIN(MAX(IFERROR(MATCH(LN($AA29),INDEX(Attenuation!$J:$J,AE$3):INDEX(Attenuation!$J:$J,AE$3+AE$4-1),1),1),1),AE$4-1))):INDEX(Attenuation!$J:$J,(AE$3-1+MIN(MAX(IFERROR(MATCH(LN($AA29),INDEX(Attenuation!$J:$J,AE$3):INDEX(Attenuation!$J:$J,AE$3+AE$4-1),1),1),1),AE$4-1))+1)))))</f>
        <v>3.6618552382738243</v>
      </c>
      <c r="AF29" s="1">
        <f>IF($B$9="",NA(),IF(OR($AA29&lt;AF$5/2,$AA29&gt;2*AF$6),NA(),EXP(FORECAST(LN($AA29),INDEX(Attenuation!$K:$K,(AF$3-1+MIN(MAX(IFERROR(MATCH(LN($AA29),INDEX(Attenuation!$J:$J,AF$3):INDEX(Attenuation!$J:$J,AF$3+AF$4-1),1),1),1),AF$4-1))):INDEX(Attenuation!$K:$K,(AF$3-1+MIN(MAX(IFERROR(MATCH(LN($AA29),INDEX(Attenuation!$J:$J,AF$3):INDEX(Attenuation!$J:$J,AF$3+AF$4-1),1),1),1),AF$4-1))+1),INDEX(Attenuation!$J:$J,(AF$3-1+MIN(MAX(IFERROR(MATCH(LN($AA29),INDEX(Attenuation!$J:$J,AF$3):INDEX(Attenuation!$J:$J,AF$3+AF$4-1),1),1),1),AF$4-1))):INDEX(Attenuation!$J:$J,(AF$3-1+MIN(MAX(IFERROR(MATCH(LN($AA29),INDEX(Attenuation!$J:$J,AF$3):INDEX(Attenuation!$J:$J,AF$3+AF$4-1),1),1),1),AF$4-1))+1)))))</f>
        <v>3.4515417846149816</v>
      </c>
      <c r="AG29" s="1">
        <f>IF($B$10="",NA(),IF(OR($AA29&lt;AG$5/2,$AA29&gt;2*AG$6),NA(),EXP(FORECAST(LN($AA29),INDEX(Attenuation!$K:$K,(AG$3-1+MIN(MAX(IFERROR(MATCH(LN($AA29),INDEX(Attenuation!$J:$J,AG$3):INDEX(Attenuation!$J:$J,AG$3+AG$4-1),1),1),1),AG$4-1))):INDEX(Attenuation!$K:$K,(AG$3-1+MIN(MAX(IFERROR(MATCH(LN($AA29),INDEX(Attenuation!$J:$J,AG$3):INDEX(Attenuation!$J:$J,AG$3+AG$4-1),1),1),1),AG$4-1))+1),INDEX(Attenuation!$J:$J,(AG$3-1+MIN(MAX(IFERROR(MATCH(LN($AA29),INDEX(Attenuation!$J:$J,AG$3):INDEX(Attenuation!$J:$J,AG$3+AG$4-1),1),1),1),AG$4-1))):INDEX(Attenuation!$J:$J,(AG$3-1+MIN(MAX(IFERROR(MATCH(LN($AA29),INDEX(Attenuation!$J:$J,AG$3):INDEX(Attenuation!$J:$J,AG$3+AG$4-1),1),1),1),AG$4-1))+1)))))</f>
        <v>3.0877063627203958</v>
      </c>
      <c r="AH29" s="1">
        <f>IF($B$11="",NA(),IF(OR($AA29&lt;AH$5/2,$AA29&gt;2*AH$6),NA(),EXP(FORECAST(LN($AA29),INDEX(Attenuation!$K:$K,(AH$3-1+MIN(MAX(IFERROR(MATCH(LN($AA29),INDEX(Attenuation!$J:$J,AH$3):INDEX(Attenuation!$J:$J,AH$3+AH$4-1),1),1),1),AH$4-1))):INDEX(Attenuation!$K:$K,(AH$3-1+MIN(MAX(IFERROR(MATCH(LN($AA29),INDEX(Attenuation!$J:$J,AH$3):INDEX(Attenuation!$J:$J,AH$3+AH$4-1),1),1),1),AH$4-1))+1),INDEX(Attenuation!$J:$J,(AH$3-1+MIN(MAX(IFERROR(MATCH(LN($AA29),INDEX(Attenuation!$J:$J,AH$3):INDEX(Attenuation!$J:$J,AH$3+AH$4-1),1),1),1),AH$4-1))):INDEX(Attenuation!$J:$J,(AH$3-1+MIN(MAX(IFERROR(MATCH(LN($AA29),INDEX(Attenuation!$J:$J,AH$3):INDEX(Attenuation!$J:$J,AH$3+AH$4-1),1),1),1),AH$4-1))+1)))))</f>
        <v>1.9270939977528747</v>
      </c>
      <c r="AI29" s="1">
        <f>IF($B$12="",NA(),IF(OR($AA29&lt;AI$5/2,$AA29&gt;2*AI$6),NA(),EXP(FORECAST(LN($AA29),INDEX(Attenuation!$K:$K,(AI$3-1+MIN(MAX(IFERROR(MATCH(LN($AA29),INDEX(Attenuation!$J:$J,AI$3):INDEX(Attenuation!$J:$J,AI$3+AI$4-1),1),1),1),AI$4-1))):INDEX(Attenuation!$K:$K,(AI$3-1+MIN(MAX(IFERROR(MATCH(LN($AA29),INDEX(Attenuation!$J:$J,AI$3):INDEX(Attenuation!$J:$J,AI$3+AI$4-1),1),1),1),AI$4-1))+1),INDEX(Attenuation!$J:$J,(AI$3-1+MIN(MAX(IFERROR(MATCH(LN($AA29),INDEX(Attenuation!$J:$J,AI$3):INDEX(Attenuation!$J:$J,AI$3+AI$4-1),1),1),1),AI$4-1))):INDEX(Attenuation!$J:$J,(AI$3-1+MIN(MAX(IFERROR(MATCH(LN($AA29),INDEX(Attenuation!$J:$J,AI$3):INDEX(Attenuation!$J:$J,AI$3+AI$4-1),1),1),1),AI$4-1))+1)))))</f>
        <v>1.0584016342250555</v>
      </c>
    </row>
    <row r="30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f>10^(20/10)</f>
        <v>100</v>
      </c>
      <c r="AB30" s="1">
        <f>IF($B$5="",NA(),IF(OR($AA30&lt;AB$5/2,$AA30&gt;2*AB$6),NA(),EXP(FORECAST(LN($AA30),INDEX(Attenuation!$K:$K,(AB$3-1+MIN(MAX(IFERROR(MATCH(LN($AA30),INDEX(Attenuation!$J:$J,AB$3):INDEX(Attenuation!$J:$J,AB$3+AB$4-1),1),1),1),AB$4-1))):INDEX(Attenuation!$K:$K,(AB$3-1+MIN(MAX(IFERROR(MATCH(LN($AA30),INDEX(Attenuation!$J:$J,AB$3):INDEX(Attenuation!$J:$J,AB$3+AB$4-1),1),1),1),AB$4-1))+1),INDEX(Attenuation!$J:$J,(AB$3-1+MIN(MAX(IFERROR(MATCH(LN($AA30),INDEX(Attenuation!$J:$J,AB$3):INDEX(Attenuation!$J:$J,AB$3+AB$4-1),1),1),1),AB$4-1))):INDEX(Attenuation!$J:$J,(AB$3-1+MIN(MAX(IFERROR(MATCH(LN($AA30),INDEX(Attenuation!$J:$J,AB$3):INDEX(Attenuation!$J:$J,AB$3+AB$4-1),1),1),1),AB$4-1))+1)))))</f>
        <v>17.716535433070863</v>
      </c>
      <c r="AC30" s="1">
        <f>IF($B$6="",NA(),IF(OR($AA30&lt;AC$5/2,$AA30&gt;2*AC$6),NA(),EXP(FORECAST(LN($AA30),INDEX(Attenuation!$K:$K,(AC$3-1+MIN(MAX(IFERROR(MATCH(LN($AA30),INDEX(Attenuation!$J:$J,AC$3):INDEX(Attenuation!$J:$J,AC$3+AC$4-1),1),1),1),AC$4-1))):INDEX(Attenuation!$K:$K,(AC$3-1+MIN(MAX(IFERROR(MATCH(LN($AA30),INDEX(Attenuation!$J:$J,AC$3):INDEX(Attenuation!$J:$J,AC$3+AC$4-1),1),1),1),AC$4-1))+1),INDEX(Attenuation!$J:$J,(AC$3-1+MIN(MAX(IFERROR(MATCH(LN($AA30),INDEX(Attenuation!$J:$J,AC$3):INDEX(Attenuation!$J:$J,AC$3+AC$4-1),1),1),1),AC$4-1))):INDEX(Attenuation!$J:$J,(AC$3-1+MIN(MAX(IFERROR(MATCH(LN($AA30),INDEX(Attenuation!$J:$J,AC$3):INDEX(Attenuation!$J:$J,AC$3+AC$4-1),1),1),1),AC$4-1))+1)))))</f>
        <v>10.170603674540684</v>
      </c>
      <c r="AD30" s="1">
        <f>IF($B$7="",NA(),IF(OR($AA30&lt;AD$5/2,$AA30&gt;2*AD$6),NA(),EXP(FORECAST(LN($AA30),INDEX(Attenuation!$K:$K,(AD$3-1+MIN(MAX(IFERROR(MATCH(LN($AA30),INDEX(Attenuation!$J:$J,AD$3):INDEX(Attenuation!$J:$J,AD$3+AD$4-1),1),1),1),AD$4-1))):INDEX(Attenuation!$K:$K,(AD$3-1+MIN(MAX(IFERROR(MATCH(LN($AA30),INDEX(Attenuation!$J:$J,AD$3):INDEX(Attenuation!$J:$J,AD$3+AD$4-1),1),1),1),AD$4-1))+1),INDEX(Attenuation!$J:$J,(AD$3-1+MIN(MAX(IFERROR(MATCH(LN($AA30),INDEX(Attenuation!$J:$J,AD$3):INDEX(Attenuation!$J:$J,AD$3+AD$4-1),1),1),1),AD$4-1))):INDEX(Attenuation!$J:$J,(AD$3-1+MIN(MAX(IFERROR(MATCH(LN($AA30),INDEX(Attenuation!$J:$J,AD$3):INDEX(Attenuation!$J:$J,AD$3+AD$4-1),1),1),1),AD$4-1))+1)))))</f>
        <v>6.2335958005249337</v>
      </c>
      <c r="AE30" s="1">
        <f>IF($B$8="",NA(),IF(OR($AA30&lt;AE$5/2,$AA30&gt;2*AE$6),NA(),EXP(FORECAST(LN($AA30),INDEX(Attenuation!$K:$K,(AE$3-1+MIN(MAX(IFERROR(MATCH(LN($AA30),INDEX(Attenuation!$J:$J,AE$3):INDEX(Attenuation!$J:$J,AE$3+AE$4-1),1),1),1),AE$4-1))):INDEX(Attenuation!$K:$K,(AE$3-1+MIN(MAX(IFERROR(MATCH(LN($AA30),INDEX(Attenuation!$J:$J,AE$3):INDEX(Attenuation!$J:$J,AE$3+AE$4-1),1),1),1),AE$4-1))+1),INDEX(Attenuation!$J:$J,(AE$3-1+MIN(MAX(IFERROR(MATCH(LN($AA30),INDEX(Attenuation!$J:$J,AE$3):INDEX(Attenuation!$J:$J,AE$3+AE$4-1),1),1),1),AE$4-1))):INDEX(Attenuation!$J:$J,(AE$3-1+MIN(MAX(IFERROR(MATCH(LN($AA30),INDEX(Attenuation!$J:$J,AE$3):INDEX(Attenuation!$J:$J,AE$3+AE$4-1),1),1),1),AE$4-1))+1)))))</f>
        <v>4.0756654111110313</v>
      </c>
      <c r="AF30" s="1">
        <f>IF($B$9="",NA(),IF(OR($AA30&lt;AF$5/2,$AA30&gt;2*AF$6),NA(),EXP(FORECAST(LN($AA30),INDEX(Attenuation!$K:$K,(AF$3-1+MIN(MAX(IFERROR(MATCH(LN($AA30),INDEX(Attenuation!$J:$J,AF$3):INDEX(Attenuation!$J:$J,AF$3+AF$4-1),1),1),1),AF$4-1))):INDEX(Attenuation!$K:$K,(AF$3-1+MIN(MAX(IFERROR(MATCH(LN($AA30),INDEX(Attenuation!$J:$J,AF$3):INDEX(Attenuation!$J:$J,AF$3+AF$4-1),1),1),1),AF$4-1))+1),INDEX(Attenuation!$J:$J,(AF$3-1+MIN(MAX(IFERROR(MATCH(LN($AA30),INDEX(Attenuation!$J:$J,AF$3):INDEX(Attenuation!$J:$J,AF$3+AF$4-1),1),1),1),AF$4-1))):INDEX(Attenuation!$J:$J,(AF$3-1+MIN(MAX(IFERROR(MATCH(LN($AA30),INDEX(Attenuation!$J:$J,AF$3):INDEX(Attenuation!$J:$J,AF$3+AF$4-1),1),1),1),AF$4-1))+1)))))</f>
        <v>3.8999999999999986</v>
      </c>
      <c r="AG30" s="1">
        <f>IF($B$10="",NA(),IF(OR($AA30&lt;AG$5/2,$AA30&gt;2*AG$6),NA(),EXP(FORECAST(LN($AA30),INDEX(Attenuation!$K:$K,(AG$3-1+MIN(MAX(IFERROR(MATCH(LN($AA30),INDEX(Attenuation!$J:$J,AG$3):INDEX(Attenuation!$J:$J,AG$3+AG$4-1),1),1),1),AG$4-1))):INDEX(Attenuation!$K:$K,(AG$3-1+MIN(MAX(IFERROR(MATCH(LN($AA30),INDEX(Attenuation!$J:$J,AG$3):INDEX(Attenuation!$J:$J,AG$3+AG$4-1),1),1),1),AG$4-1))+1),INDEX(Attenuation!$J:$J,(AG$3-1+MIN(MAX(IFERROR(MATCH(LN($AA30),INDEX(Attenuation!$J:$J,AG$3):INDEX(Attenuation!$J:$J,AG$3+AG$4-1),1),1),1),AG$4-1))):INDEX(Attenuation!$J:$J,(AG$3-1+MIN(MAX(IFERROR(MATCH(LN($AA30),INDEX(Attenuation!$J:$J,AG$3):INDEX(Attenuation!$J:$J,AG$3+AG$4-1),1),1),1),AG$4-1))+1)))))</f>
        <v>3.5</v>
      </c>
      <c r="AH30" s="1">
        <f>IF($B$11="",NA(),IF(OR($AA30&lt;AH$5/2,$AA30&gt;2*AH$6),NA(),EXP(FORECAST(LN($AA30),INDEX(Attenuation!$K:$K,(AH$3-1+MIN(MAX(IFERROR(MATCH(LN($AA30),INDEX(Attenuation!$J:$J,AH$3):INDEX(Attenuation!$J:$J,AH$3+AH$4-1),1),1),1),AH$4-1))):INDEX(Attenuation!$K:$K,(AH$3-1+MIN(MAX(IFERROR(MATCH(LN($AA30),INDEX(Attenuation!$J:$J,AH$3):INDEX(Attenuation!$J:$J,AH$3+AH$4-1),1),1),1),AH$4-1))+1),INDEX(Attenuation!$J:$J,(AH$3-1+MIN(MAX(IFERROR(MATCH(LN($AA30),INDEX(Attenuation!$J:$J,AH$3):INDEX(Attenuation!$J:$J,AH$3+AH$4-1),1),1),1),AH$4-1))):INDEX(Attenuation!$J:$J,(AH$3-1+MIN(MAX(IFERROR(MATCH(LN($AA30),INDEX(Attenuation!$J:$J,AH$3):INDEX(Attenuation!$J:$J,AH$3+AH$4-1),1),1),1),AH$4-1))+1)))))</f>
        <v>2.1689999999999996</v>
      </c>
      <c r="AI30" s="1">
        <f>IF($B$12="",NA(),IF(OR($AA30&lt;AI$5/2,$AA30&gt;2*AI$6),NA(),EXP(FORECAST(LN($AA30),INDEX(Attenuation!$K:$K,(AI$3-1+MIN(MAX(IFERROR(MATCH(LN($AA30),INDEX(Attenuation!$J:$J,AI$3):INDEX(Attenuation!$J:$J,AI$3+AI$4-1),1),1),1),AI$4-1))):INDEX(Attenuation!$K:$K,(AI$3-1+MIN(MAX(IFERROR(MATCH(LN($AA30),INDEX(Attenuation!$J:$J,AI$3):INDEX(Attenuation!$J:$J,AI$3+AI$4-1),1),1),1),AI$4-1))+1),INDEX(Attenuation!$J:$J,(AI$3-1+MIN(MAX(IFERROR(MATCH(LN($AA30),INDEX(Attenuation!$J:$J,AI$3):INDEX(Attenuation!$J:$J,AI$3+AI$4-1),1),1),1),AI$4-1))):INDEX(Attenuation!$J:$J,(AI$3-1+MIN(MAX(IFERROR(MATCH(LN($AA30),INDEX(Attenuation!$J:$J,AI$3):INDEX(Attenuation!$J:$J,AI$3+AI$4-1),1),1),1),AI$4-1))+1)))))</f>
        <v>1.1930000000000005</v>
      </c>
    </row>
    <row r="3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f>10^(21/10)</f>
        <v>125.89254117941677</v>
      </c>
      <c r="AB31" s="1">
        <f>IF($B$5="",NA(),IF(OR($AA31&lt;AB$5/2,$AA31&gt;2*AB$6),NA(),EXP(FORECAST(LN($AA31),INDEX(Attenuation!$K:$K,(AB$3-1+MIN(MAX(IFERROR(MATCH(LN($AA31),INDEX(Attenuation!$J:$J,AB$3):INDEX(Attenuation!$J:$J,AB$3+AB$4-1),1),1),1),AB$4-1))):INDEX(Attenuation!$K:$K,(AB$3-1+MIN(MAX(IFERROR(MATCH(LN($AA31),INDEX(Attenuation!$J:$J,AB$3):INDEX(Attenuation!$J:$J,AB$3+AB$4-1),1),1),1),AB$4-1))+1),INDEX(Attenuation!$J:$J,(AB$3-1+MIN(MAX(IFERROR(MATCH(LN($AA31),INDEX(Attenuation!$J:$J,AB$3):INDEX(Attenuation!$J:$J,AB$3+AB$4-1),1),1),1),AB$4-1))):INDEX(Attenuation!$J:$J,(AB$3-1+MIN(MAX(IFERROR(MATCH(LN($AA31),INDEX(Attenuation!$J:$J,AB$3):INDEX(Attenuation!$J:$J,AB$3+AB$4-1),1),1),1),AB$4-1))+1)))))</f>
        <v>20.27099409939316</v>
      </c>
      <c r="AC31" s="1">
        <f>IF($B$6="",NA(),IF(OR($AA31&lt;AC$5/2,$AA31&gt;2*AC$6),NA(),EXP(FORECAST(LN($AA31),INDEX(Attenuation!$K:$K,(AC$3-1+MIN(MAX(IFERROR(MATCH(LN($AA31),INDEX(Attenuation!$J:$J,AC$3):INDEX(Attenuation!$J:$J,AC$3+AC$4-1),1),1),1),AC$4-1))):INDEX(Attenuation!$K:$K,(AC$3-1+MIN(MAX(IFERROR(MATCH(LN($AA31),INDEX(Attenuation!$J:$J,AC$3):INDEX(Attenuation!$J:$J,AC$3+AC$4-1),1),1),1),AC$4-1))+1),INDEX(Attenuation!$J:$J,(AC$3-1+MIN(MAX(IFERROR(MATCH(LN($AA31),INDEX(Attenuation!$J:$J,AC$3):INDEX(Attenuation!$J:$J,AC$3+AC$4-1),1),1),1),AC$4-1))):INDEX(Attenuation!$J:$J,(AC$3-1+MIN(MAX(IFERROR(MATCH(LN($AA31),INDEX(Attenuation!$J:$J,AC$3):INDEX(Attenuation!$J:$J,AC$3+AC$4-1),1),1),1),AC$4-1))+1)))))</f>
        <v>11.51098292659495</v>
      </c>
      <c r="AD31" s="1">
        <f>IF($B$7="",NA(),IF(OR($AA31&lt;AD$5/2,$AA31&gt;2*AD$6),NA(),EXP(FORECAST(LN($AA31),INDEX(Attenuation!$K:$K,(AD$3-1+MIN(MAX(IFERROR(MATCH(LN($AA31),INDEX(Attenuation!$J:$J,AD$3):INDEX(Attenuation!$J:$J,AD$3+AD$4-1),1),1),1),AD$4-1))):INDEX(Attenuation!$K:$K,(AD$3-1+MIN(MAX(IFERROR(MATCH(LN($AA31),INDEX(Attenuation!$J:$J,AD$3):INDEX(Attenuation!$J:$J,AD$3+AD$4-1),1),1),1),AD$4-1))+1),INDEX(Attenuation!$J:$J,(AD$3-1+MIN(MAX(IFERROR(MATCH(LN($AA31),INDEX(Attenuation!$J:$J,AD$3):INDEX(Attenuation!$J:$J,AD$3+AD$4-1),1),1),1),AD$4-1))):INDEX(Attenuation!$J:$J,(AD$3-1+MIN(MAX(IFERROR(MATCH(LN($AA31),INDEX(Attenuation!$J:$J,AD$3):INDEX(Attenuation!$J:$J,AD$3+AD$4-1),1),1),1),AD$4-1))+1)))))</f>
        <v>7.0054274079137784</v>
      </c>
      <c r="AE31" s="1">
        <f>IF($B$8="",NA(),IF(OR($AA31&lt;AE$5/2,$AA31&gt;2*AE$6),NA(),EXP(FORECAST(LN($AA31),INDEX(Attenuation!$K:$K,(AE$3-1+MIN(MAX(IFERROR(MATCH(LN($AA31),INDEX(Attenuation!$J:$J,AE$3):INDEX(Attenuation!$J:$J,AE$3+AE$4-1),1),1),1),AE$4-1))):INDEX(Attenuation!$K:$K,(AE$3-1+MIN(MAX(IFERROR(MATCH(LN($AA31),INDEX(Attenuation!$J:$J,AE$3):INDEX(Attenuation!$J:$J,AE$3+AE$4-1),1),1),1),AE$4-1))+1),INDEX(Attenuation!$J:$J,(AE$3-1+MIN(MAX(IFERROR(MATCH(LN($AA31),INDEX(Attenuation!$J:$J,AE$3):INDEX(Attenuation!$J:$J,AE$3+AE$4-1),1),1),1),AE$4-1))):INDEX(Attenuation!$J:$J,(AE$3-1+MIN(MAX(IFERROR(MATCH(LN($AA31),INDEX(Attenuation!$J:$J,AE$3):INDEX(Attenuation!$J:$J,AE$3+AE$4-1),1),1),1),AE$4-1))+1)))))</f>
        <v>4.5362384535870417</v>
      </c>
      <c r="AF31" s="1">
        <f>IF($B$9="",NA(),IF(OR($AA31&lt;AF$5/2,$AA31&gt;2*AF$6),NA(),EXP(FORECAST(LN($AA31),INDEX(Attenuation!$K:$K,(AF$3-1+MIN(MAX(IFERROR(MATCH(LN($AA31),INDEX(Attenuation!$J:$J,AF$3):INDEX(Attenuation!$J:$J,AF$3+AF$4-1),1),1),1),AF$4-1))):INDEX(Attenuation!$K:$K,(AF$3-1+MIN(MAX(IFERROR(MATCH(LN($AA31),INDEX(Attenuation!$J:$J,AF$3):INDEX(Attenuation!$J:$J,AF$3+AF$4-1),1),1),1),AF$4-1))+1),INDEX(Attenuation!$J:$J,(AF$3-1+MIN(MAX(IFERROR(MATCH(LN($AA31),INDEX(Attenuation!$J:$J,AF$3):INDEX(Attenuation!$J:$J,AF$3+AF$4-1),1),1),1),AF$4-1))):INDEX(Attenuation!$J:$J,(AF$3-1+MIN(MAX(IFERROR(MATCH(LN($AA31),INDEX(Attenuation!$J:$J,AF$3):INDEX(Attenuation!$J:$J,AF$3+AF$4-1),1),1),1),AF$4-1))+1)))))</f>
        <v>4.3876712368521291</v>
      </c>
      <c r="AG31" s="1">
        <f>IF($B$10="",NA(),IF(OR($AA31&lt;AG$5/2,$AA31&gt;2*AG$6),NA(),EXP(FORECAST(LN($AA31),INDEX(Attenuation!$K:$K,(AG$3-1+MIN(MAX(IFERROR(MATCH(LN($AA31),INDEX(Attenuation!$J:$J,AG$3):INDEX(Attenuation!$J:$J,AG$3+AG$4-1),1),1),1),AG$4-1))):INDEX(Attenuation!$K:$K,(AG$3-1+MIN(MAX(IFERROR(MATCH(LN($AA31),INDEX(Attenuation!$J:$J,AG$3):INDEX(Attenuation!$J:$J,AG$3+AG$4-1),1),1),1),AG$4-1))+1),INDEX(Attenuation!$J:$J,(AG$3-1+MIN(MAX(IFERROR(MATCH(LN($AA31),INDEX(Attenuation!$J:$J,AG$3):INDEX(Attenuation!$J:$J,AG$3+AG$4-1),1),1),1),AG$4-1))):INDEX(Attenuation!$J:$J,(AG$3-1+MIN(MAX(IFERROR(MATCH(LN($AA31),INDEX(Attenuation!$J:$J,AG$3):INDEX(Attenuation!$J:$J,AG$3+AG$4-1),1),1),1),AG$4-1))+1)))))</f>
        <v>3.9270645900568719</v>
      </c>
      <c r="AH31" s="1">
        <f>IF($B$11="",NA(),IF(OR($AA31&lt;AH$5/2,$AA31&gt;2*AH$6),NA(),EXP(FORECAST(LN($AA31),INDEX(Attenuation!$K:$K,(AH$3-1+MIN(MAX(IFERROR(MATCH(LN($AA31),INDEX(Attenuation!$J:$J,AH$3):INDEX(Attenuation!$J:$J,AH$3+AH$4-1),1),1),1),AH$4-1))):INDEX(Attenuation!$K:$K,(AH$3-1+MIN(MAX(IFERROR(MATCH(LN($AA31),INDEX(Attenuation!$J:$J,AH$3):INDEX(Attenuation!$J:$J,AH$3+AH$4-1),1),1),1),AH$4-1))+1),INDEX(Attenuation!$J:$J,(AH$3-1+MIN(MAX(IFERROR(MATCH(LN($AA31),INDEX(Attenuation!$J:$J,AH$3):INDEX(Attenuation!$J:$J,AH$3+AH$4-1),1),1),1),AH$4-1))):INDEX(Attenuation!$J:$J,(AH$3-1+MIN(MAX(IFERROR(MATCH(LN($AA31),INDEX(Attenuation!$J:$J,AH$3):INDEX(Attenuation!$J:$J,AH$3+AH$4-1),1),1),1),AH$4-1))+1)))))</f>
        <v>2.4418147060041417</v>
      </c>
      <c r="AI31" s="1">
        <f>IF($B$12="",NA(),IF(OR($AA31&lt;AI$5/2,$AA31&gt;2*AI$6),NA(),EXP(FORECAST(LN($AA31),INDEX(Attenuation!$K:$K,(AI$3-1+MIN(MAX(IFERROR(MATCH(LN($AA31),INDEX(Attenuation!$J:$J,AI$3):INDEX(Attenuation!$J:$J,AI$3+AI$4-1),1),1),1),AI$4-1))):INDEX(Attenuation!$K:$K,(AI$3-1+MIN(MAX(IFERROR(MATCH(LN($AA31),INDEX(Attenuation!$J:$J,AI$3):INDEX(Attenuation!$J:$J,AI$3+AI$4-1),1),1),1),AI$4-1))+1),INDEX(Attenuation!$J:$J,(AI$3-1+MIN(MAX(IFERROR(MATCH(LN($AA31),INDEX(Attenuation!$J:$J,AI$3):INDEX(Attenuation!$J:$J,AI$3+AI$4-1),1),1),1),AI$4-1))):INDEX(Attenuation!$J:$J,(AI$3-1+MIN(MAX(IFERROR(MATCH(LN($AA31),INDEX(Attenuation!$J:$J,AI$3):INDEX(Attenuation!$J:$J,AI$3+AI$4-1),1),1),1),AI$4-1))+1)))))</f>
        <v>1.3457574323770867</v>
      </c>
    </row>
    <row r="32" spans="1:3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f>10^(22/10)</f>
        <v>158.48931924611153</v>
      </c>
      <c r="AB32" s="1">
        <f>IF($B$5="",NA(),IF(OR($AA32&lt;AB$5/2,$AA32&gt;2*AB$6),NA(),EXP(FORECAST(LN($AA32),INDEX(Attenuation!$K:$K,(AB$3-1+MIN(MAX(IFERROR(MATCH(LN($AA32),INDEX(Attenuation!$J:$J,AB$3):INDEX(Attenuation!$J:$J,AB$3+AB$4-1),1),1),1),AB$4-1))):INDEX(Attenuation!$K:$K,(AB$3-1+MIN(MAX(IFERROR(MATCH(LN($AA32),INDEX(Attenuation!$J:$J,AB$3):INDEX(Attenuation!$J:$J,AB$3+AB$4-1),1),1),1),AB$4-1))+1),INDEX(Attenuation!$J:$J,(AB$3-1+MIN(MAX(IFERROR(MATCH(LN($AA32),INDEX(Attenuation!$J:$J,AB$3):INDEX(Attenuation!$J:$J,AB$3+AB$4-1),1),1),1),AB$4-1))):INDEX(Attenuation!$J:$J,(AB$3-1+MIN(MAX(IFERROR(MATCH(LN($AA32),INDEX(Attenuation!$J:$J,AB$3):INDEX(Attenuation!$J:$J,AB$3+AB$4-1),1),1),1),AB$4-1))+1)))))</f>
        <v>23.193767389226373</v>
      </c>
      <c r="AC32" s="1">
        <f>IF($B$6="",NA(),IF(OR($AA32&lt;AC$5/2,$AA32&gt;2*AC$6),NA(),EXP(FORECAST(LN($AA32),INDEX(Attenuation!$K:$K,(AC$3-1+MIN(MAX(IFERROR(MATCH(LN($AA32),INDEX(Attenuation!$J:$J,AC$3):INDEX(Attenuation!$J:$J,AC$3+AC$4-1),1),1),1),AC$4-1))):INDEX(Attenuation!$K:$K,(AC$3-1+MIN(MAX(IFERROR(MATCH(LN($AA32),INDEX(Attenuation!$J:$J,AC$3):INDEX(Attenuation!$J:$J,AC$3+AC$4-1),1),1),1),AC$4-1))+1),INDEX(Attenuation!$J:$J,(AC$3-1+MIN(MAX(IFERROR(MATCH(LN($AA32),INDEX(Attenuation!$J:$J,AC$3):INDEX(Attenuation!$J:$J,AC$3+AC$4-1),1),1),1),AC$4-1))):INDEX(Attenuation!$J:$J,(AC$3-1+MIN(MAX(IFERROR(MATCH(LN($AA32),INDEX(Attenuation!$J:$J,AC$3):INDEX(Attenuation!$J:$J,AC$3+AC$4-1),1),1),1),AC$4-1))+1)))))</f>
        <v>13.028010153226669</v>
      </c>
      <c r="AD32" s="1">
        <f>IF($B$7="",NA(),IF(OR($AA32&lt;AD$5/2,$AA32&gt;2*AD$6),NA(),EXP(FORECAST(LN($AA32),INDEX(Attenuation!$K:$K,(AD$3-1+MIN(MAX(IFERROR(MATCH(LN($AA32),INDEX(Attenuation!$J:$J,AD$3):INDEX(Attenuation!$J:$J,AD$3+AD$4-1),1),1),1),AD$4-1))):INDEX(Attenuation!$K:$K,(AD$3-1+MIN(MAX(IFERROR(MATCH(LN($AA32),INDEX(Attenuation!$J:$J,AD$3):INDEX(Attenuation!$J:$J,AD$3+AD$4-1),1),1),1),AD$4-1))+1),INDEX(Attenuation!$J:$J,(AD$3-1+MIN(MAX(IFERROR(MATCH(LN($AA32),INDEX(Attenuation!$J:$J,AD$3):INDEX(Attenuation!$J:$J,AD$3+AD$4-1),1),1),1),AD$4-1))):INDEX(Attenuation!$J:$J,(AD$3-1+MIN(MAX(IFERROR(MATCH(LN($AA32),INDEX(Attenuation!$J:$J,AD$3):INDEX(Attenuation!$J:$J,AD$3+AD$4-1),1),1),1),AD$4-1))+1)))))</f>
        <v>7.8728256912995302</v>
      </c>
      <c r="AE32" s="1">
        <f>IF($B$8="",NA(),IF(OR($AA32&lt;AE$5/2,$AA32&gt;2*AE$6),NA(),EXP(FORECAST(LN($AA32),INDEX(Attenuation!$K:$K,(AE$3-1+MIN(MAX(IFERROR(MATCH(LN($AA32),INDEX(Attenuation!$J:$J,AE$3):INDEX(Attenuation!$J:$J,AE$3+AE$4-1),1),1),1),AE$4-1))):INDEX(Attenuation!$K:$K,(AE$3-1+MIN(MAX(IFERROR(MATCH(LN($AA32),INDEX(Attenuation!$J:$J,AE$3):INDEX(Attenuation!$J:$J,AE$3+AE$4-1),1),1),1),AE$4-1))+1),INDEX(Attenuation!$J:$J,(AE$3-1+MIN(MAX(IFERROR(MATCH(LN($AA32),INDEX(Attenuation!$J:$J,AE$3):INDEX(Attenuation!$J:$J,AE$3+AE$4-1),1),1),1),AE$4-1))):INDEX(Attenuation!$J:$J,(AE$3-1+MIN(MAX(IFERROR(MATCH(LN($AA32),INDEX(Attenuation!$J:$J,AE$3):INDEX(Attenuation!$J:$J,AE$3+AE$4-1),1),1),1),AE$4-1))+1)))))</f>
        <v>5.0913522289880504</v>
      </c>
      <c r="AF32" s="1">
        <f>IF($B$9="",NA(),IF(OR($AA32&lt;AF$5/2,$AA32&gt;2*AF$6),NA(),EXP(FORECAST(LN($AA32),INDEX(Attenuation!$K:$K,(AF$3-1+MIN(MAX(IFERROR(MATCH(LN($AA32),INDEX(Attenuation!$J:$J,AF$3):INDEX(Attenuation!$J:$J,AF$3+AF$4-1),1),1),1),AF$4-1))):INDEX(Attenuation!$K:$K,(AF$3-1+MIN(MAX(IFERROR(MATCH(LN($AA32),INDEX(Attenuation!$J:$J,AF$3):INDEX(Attenuation!$J:$J,AF$3+AF$4-1),1),1),1),AF$4-1))+1),INDEX(Attenuation!$J:$J,(AF$3-1+MIN(MAX(IFERROR(MATCH(LN($AA32),INDEX(Attenuation!$J:$J,AF$3):INDEX(Attenuation!$J:$J,AF$3+AF$4-1),1),1),1),AF$4-1))):INDEX(Attenuation!$J:$J,(AF$3-1+MIN(MAX(IFERROR(MATCH(LN($AA32),INDEX(Attenuation!$J:$J,AF$3):INDEX(Attenuation!$J:$J,AF$3+AF$4-1),1),1),1),AF$4-1))+1)))))</f>
        <v>4.9465769810899287</v>
      </c>
      <c r="AG32" s="1">
        <f>IF($B$10="",NA(),IF(OR($AA32&lt;AG$5/2,$AA32&gt;2*AG$6),NA(),EXP(FORECAST(LN($AA32),INDEX(Attenuation!$K:$K,(AG$3-1+MIN(MAX(IFERROR(MATCH(LN($AA32),INDEX(Attenuation!$J:$J,AG$3):INDEX(Attenuation!$J:$J,AG$3+AG$4-1),1),1),1),AG$4-1))):INDEX(Attenuation!$K:$K,(AG$3-1+MIN(MAX(IFERROR(MATCH(LN($AA32),INDEX(Attenuation!$J:$J,AG$3):INDEX(Attenuation!$J:$J,AG$3+AG$4-1),1),1),1),AG$4-1))+1),INDEX(Attenuation!$J:$J,(AG$3-1+MIN(MAX(IFERROR(MATCH(LN($AA32),INDEX(Attenuation!$J:$J,AG$3):INDEX(Attenuation!$J:$J,AG$3+AG$4-1),1),1),1),AG$4-1))):INDEX(Attenuation!$J:$J,(AG$3-1+MIN(MAX(IFERROR(MATCH(LN($AA32),INDEX(Attenuation!$J:$J,AG$3):INDEX(Attenuation!$J:$J,AG$3+AG$4-1),1),1),1),AG$4-1))+1)))))</f>
        <v>4.4192480520524011</v>
      </c>
      <c r="AH32" s="1">
        <f>IF($B$11="",NA(),IF(OR($AA32&lt;AH$5/2,$AA32&gt;2*AH$6),NA(),EXP(FORECAST(LN($AA32),INDEX(Attenuation!$K:$K,(AH$3-1+MIN(MAX(IFERROR(MATCH(LN($AA32),INDEX(Attenuation!$J:$J,AH$3):INDEX(Attenuation!$J:$J,AH$3+AH$4-1),1),1),1),AH$4-1))):INDEX(Attenuation!$K:$K,(AH$3-1+MIN(MAX(IFERROR(MATCH(LN($AA32),INDEX(Attenuation!$J:$J,AH$3):INDEX(Attenuation!$J:$J,AH$3+AH$4-1),1),1),1),AH$4-1))+1),INDEX(Attenuation!$J:$J,(AH$3-1+MIN(MAX(IFERROR(MATCH(LN($AA32),INDEX(Attenuation!$J:$J,AH$3):INDEX(Attenuation!$J:$J,AH$3+AH$4-1),1),1),1),AH$4-1))):INDEX(Attenuation!$J:$J,(AH$3-1+MIN(MAX(IFERROR(MATCH(LN($AA32),INDEX(Attenuation!$J:$J,AH$3):INDEX(Attenuation!$J:$J,AH$3+AH$4-1),1),1),1),AH$4-1))+1)))))</f>
        <v>2.7504605329596106</v>
      </c>
      <c r="AI32" s="1">
        <f>IF($B$12="",NA(),IF(OR($AA32&lt;AI$5/2,$AA32&gt;2*AI$6),NA(),EXP(FORECAST(LN($AA32),INDEX(Attenuation!$K:$K,(AI$3-1+MIN(MAX(IFERROR(MATCH(LN($AA32),INDEX(Attenuation!$J:$J,AI$3):INDEX(Attenuation!$J:$J,AI$3+AI$4-1),1),1),1),AI$4-1))):INDEX(Attenuation!$K:$K,(AI$3-1+MIN(MAX(IFERROR(MATCH(LN($AA32),INDEX(Attenuation!$J:$J,AI$3):INDEX(Attenuation!$J:$J,AI$3+AI$4-1),1),1),1),AI$4-1))+1),INDEX(Attenuation!$J:$J,(AI$3-1+MIN(MAX(IFERROR(MATCH(LN($AA32),INDEX(Attenuation!$J:$J,AI$3):INDEX(Attenuation!$J:$J,AI$3+AI$4-1),1),1),1),AI$4-1))):INDEX(Attenuation!$J:$J,(AI$3-1+MIN(MAX(IFERROR(MATCH(LN($AA32),INDEX(Attenuation!$J:$J,AI$3):INDEX(Attenuation!$J:$J,AI$3+AI$4-1),1),1),1),AI$4-1))+1)))))</f>
        <v>1.5180659601577644</v>
      </c>
    </row>
    <row r="33" spans="1:3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f>10^(23/10)</f>
        <v>199.52623149688802</v>
      </c>
      <c r="AB33" s="1">
        <f>IF($B$5="",NA(),IF(OR($AA33&lt;AB$5/2,$AA33&gt;2*AB$6),NA(),EXP(FORECAST(LN($AA33),INDEX(Attenuation!$K:$K,(AB$3-1+MIN(MAX(IFERROR(MATCH(LN($AA33),INDEX(Attenuation!$J:$J,AB$3):INDEX(Attenuation!$J:$J,AB$3+AB$4-1),1),1),1),AB$4-1))):INDEX(Attenuation!$K:$K,(AB$3-1+MIN(MAX(IFERROR(MATCH(LN($AA33),INDEX(Attenuation!$J:$J,AB$3):INDEX(Attenuation!$J:$J,AB$3+AB$4-1),1),1),1),AB$4-1))+1),INDEX(Attenuation!$J:$J,(AB$3-1+MIN(MAX(IFERROR(MATCH(LN($AA33),INDEX(Attenuation!$J:$J,AB$3):INDEX(Attenuation!$J:$J,AB$3+AB$4-1),1),1),1),AB$4-1))):INDEX(Attenuation!$J:$J,(AB$3-1+MIN(MAX(IFERROR(MATCH(LN($AA33),INDEX(Attenuation!$J:$J,AB$3):INDEX(Attenuation!$J:$J,AB$3+AB$4-1),1),1),1),AB$4-1))+1)))))</f>
        <v>26.537960746663359</v>
      </c>
      <c r="AC33" s="1">
        <f>IF($B$6="",NA(),IF(OR($AA33&lt;AC$5/2,$AA33&gt;2*AC$6),NA(),EXP(FORECAST(LN($AA33),INDEX(Attenuation!$K:$K,(AC$3-1+MIN(MAX(IFERROR(MATCH(LN($AA33),INDEX(Attenuation!$J:$J,AC$3):INDEX(Attenuation!$J:$J,AC$3+AC$4-1),1),1),1),AC$4-1))):INDEX(Attenuation!$K:$K,(AC$3-1+MIN(MAX(IFERROR(MATCH(LN($AA33),INDEX(Attenuation!$J:$J,AC$3):INDEX(Attenuation!$J:$J,AC$3+AC$4-1),1),1),1),AC$4-1))+1),INDEX(Attenuation!$J:$J,(AC$3-1+MIN(MAX(IFERROR(MATCH(LN($AA33),INDEX(Attenuation!$J:$J,AC$3):INDEX(Attenuation!$J:$J,AC$3+AC$4-1),1),1),1),AC$4-1))):INDEX(Attenuation!$J:$J,(AC$3-1+MIN(MAX(IFERROR(MATCH(LN($AA33),INDEX(Attenuation!$J:$J,AC$3):INDEX(Attenuation!$J:$J,AC$3+AC$4-1),1),1),1),AC$4-1))+1)))))</f>
        <v>14.744965711002438</v>
      </c>
      <c r="AD33" s="1">
        <f>IF($B$7="",NA(),IF(OR($AA33&lt;AD$5/2,$AA33&gt;2*AD$6),NA(),EXP(FORECAST(LN($AA33),INDEX(Attenuation!$K:$K,(AD$3-1+MIN(MAX(IFERROR(MATCH(LN($AA33),INDEX(Attenuation!$J:$J,AD$3):INDEX(Attenuation!$J:$J,AD$3+AD$4-1),1),1),1),AD$4-1))):INDEX(Attenuation!$K:$K,(AD$3-1+MIN(MAX(IFERROR(MATCH(LN($AA33),INDEX(Attenuation!$J:$J,AD$3):INDEX(Attenuation!$J:$J,AD$3+AD$4-1),1),1),1),AD$4-1))+1),INDEX(Attenuation!$J:$J,(AD$3-1+MIN(MAX(IFERROR(MATCH(LN($AA33),INDEX(Attenuation!$J:$J,AD$3):INDEX(Attenuation!$J:$J,AD$3+AD$4-1),1),1),1),AD$4-1))):INDEX(Attenuation!$J:$J,(AD$3-1+MIN(MAX(IFERROR(MATCH(LN($AA33),INDEX(Attenuation!$J:$J,AD$3):INDEX(Attenuation!$J:$J,AD$3+AD$4-1),1),1),1),AD$4-1))+1)))))</f>
        <v>8.847623529089427</v>
      </c>
      <c r="AE33" s="1">
        <f>IF($B$8="",NA(),IF(OR($AA33&lt;AE$5/2,$AA33&gt;2*AE$6),NA(),EXP(FORECAST(LN($AA33),INDEX(Attenuation!$K:$K,(AE$3-1+MIN(MAX(IFERROR(MATCH(LN($AA33),INDEX(Attenuation!$J:$J,AE$3):INDEX(Attenuation!$J:$J,AE$3+AE$4-1),1),1),1),AE$4-1))):INDEX(Attenuation!$K:$K,(AE$3-1+MIN(MAX(IFERROR(MATCH(LN($AA33),INDEX(Attenuation!$J:$J,AE$3):INDEX(Attenuation!$J:$J,AE$3+AE$4-1),1),1),1),AE$4-1))+1),INDEX(Attenuation!$J:$J,(AE$3-1+MIN(MAX(IFERROR(MATCH(LN($AA33),INDEX(Attenuation!$J:$J,AE$3):INDEX(Attenuation!$J:$J,AE$3+AE$4-1),1),1),1),AE$4-1))):INDEX(Attenuation!$J:$J,(AE$3-1+MIN(MAX(IFERROR(MATCH(LN($AA33),INDEX(Attenuation!$J:$J,AE$3):INDEX(Attenuation!$J:$J,AE$3+AE$4-1),1),1),1),AE$4-1))+1)))))</f>
        <v>5.8688728358901301</v>
      </c>
      <c r="AF33" s="1">
        <f>IF($B$9="",NA(),IF(OR($AA33&lt;AF$5/2,$AA33&gt;2*AF$6),NA(),EXP(FORECAST(LN($AA33),INDEX(Attenuation!$K:$K,(AF$3-1+MIN(MAX(IFERROR(MATCH(LN($AA33),INDEX(Attenuation!$J:$J,AF$3):INDEX(Attenuation!$J:$J,AF$3+AF$4-1),1),1),1),AF$4-1))):INDEX(Attenuation!$K:$K,(AF$3-1+MIN(MAX(IFERROR(MATCH(LN($AA33),INDEX(Attenuation!$J:$J,AF$3):INDEX(Attenuation!$J:$J,AF$3+AF$4-1),1),1),1),AF$4-1))+1),INDEX(Attenuation!$J:$J,(AF$3-1+MIN(MAX(IFERROR(MATCH(LN($AA33),INDEX(Attenuation!$J:$J,AF$3):INDEX(Attenuation!$J:$J,AF$3+AF$4-1),1),1),1),AF$4-1))):INDEX(Attenuation!$J:$J,(AF$3-1+MIN(MAX(IFERROR(MATCH(LN($AA33),INDEX(Attenuation!$J:$J,AF$3):INDEX(Attenuation!$J:$J,AF$3+AF$4-1),1),1),1),AF$4-1))+1)))))</f>
        <v>5.5929210644266725</v>
      </c>
      <c r="AG33" s="1">
        <f>IF($B$10="",NA(),IF(OR($AA33&lt;AG$5/2,$AA33&gt;2*AG$6),NA(),EXP(FORECAST(LN($AA33),INDEX(Attenuation!$K:$K,(AG$3-1+MIN(MAX(IFERROR(MATCH(LN($AA33),INDEX(Attenuation!$J:$J,AG$3):INDEX(Attenuation!$J:$J,AG$3+AG$4-1),1),1),1),AG$4-1))):INDEX(Attenuation!$K:$K,(AG$3-1+MIN(MAX(IFERROR(MATCH(LN($AA33),INDEX(Attenuation!$J:$J,AG$3):INDEX(Attenuation!$J:$J,AG$3+AG$4-1),1),1),1),AG$4-1))+1),INDEX(Attenuation!$J:$J,(AG$3-1+MIN(MAX(IFERROR(MATCH(LN($AA33),INDEX(Attenuation!$J:$J,AG$3):INDEX(Attenuation!$J:$J,AG$3+AG$4-1),1),1),1),AG$4-1))):INDEX(Attenuation!$J:$J,(AG$3-1+MIN(MAX(IFERROR(MATCH(LN($AA33),INDEX(Attenuation!$J:$J,AG$3):INDEX(Attenuation!$J:$J,AG$3+AG$4-1),1),1),1),AG$4-1))+1)))))</f>
        <v>4.9937101915236735</v>
      </c>
      <c r="AH33" s="1">
        <f>IF($B$11="",NA(),IF(OR($AA33&lt;AH$5/2,$AA33&gt;2*AH$6),NA(),EXP(FORECAST(LN($AA33),INDEX(Attenuation!$K:$K,(AH$3-1+MIN(MAX(IFERROR(MATCH(LN($AA33),INDEX(Attenuation!$J:$J,AH$3):INDEX(Attenuation!$J:$J,AH$3+AH$4-1),1),1),1),AH$4-1))):INDEX(Attenuation!$K:$K,(AH$3-1+MIN(MAX(IFERROR(MATCH(LN($AA33),INDEX(Attenuation!$J:$J,AH$3):INDEX(Attenuation!$J:$J,AH$3+AH$4-1),1),1),1),AH$4-1))+1),INDEX(Attenuation!$J:$J,(AH$3-1+MIN(MAX(IFERROR(MATCH(LN($AA33),INDEX(Attenuation!$J:$J,AH$3):INDEX(Attenuation!$J:$J,AH$3+AH$4-1),1),1),1),AH$4-1))):INDEX(Attenuation!$J:$J,(AH$3-1+MIN(MAX(IFERROR(MATCH(LN($AA33),INDEX(Attenuation!$J:$J,AH$3):INDEX(Attenuation!$J:$J,AH$3+AH$4-1),1),1),1),AH$4-1))+1)))))</f>
        <v>3.0991895303823815</v>
      </c>
      <c r="AI33" s="1">
        <f>IF($B$12="",NA(),IF(OR($AA33&lt;AI$5/2,$AA33&gt;2*AI$6),NA(),EXP(FORECAST(LN($AA33),INDEX(Attenuation!$K:$K,(AI$3-1+MIN(MAX(IFERROR(MATCH(LN($AA33),INDEX(Attenuation!$J:$J,AI$3):INDEX(Attenuation!$J:$J,AI$3+AI$4-1),1),1),1),AI$4-1))):INDEX(Attenuation!$K:$K,(AI$3-1+MIN(MAX(IFERROR(MATCH(LN($AA33),INDEX(Attenuation!$J:$J,AI$3):INDEX(Attenuation!$J:$J,AI$3+AI$4-1),1),1),1),AI$4-1))+1),INDEX(Attenuation!$J:$J,(AI$3-1+MIN(MAX(IFERROR(MATCH(LN($AA33),INDEX(Attenuation!$J:$J,AI$3):INDEX(Attenuation!$J:$J,AI$3+AI$4-1),1),1),1),AI$4-1))):INDEX(Attenuation!$J:$J,(AI$3-1+MIN(MAX(IFERROR(MATCH(LN($AA33),INDEX(Attenuation!$J:$J,AI$3):INDEX(Attenuation!$J:$J,AI$3+AI$4-1),1),1),1),AI$4-1))+1)))))</f>
        <v>1.7138461202975528</v>
      </c>
    </row>
    <row r="34" spans="1:3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f>10^(24/10)</f>
        <v>251.18864315095806</v>
      </c>
      <c r="AB34" s="1">
        <f>IF($B$5="",NA(),IF(OR($AA34&lt;AB$5/2,$AA34&gt;2*AB$6),NA(),EXP(FORECAST(LN($AA34),INDEX(Attenuation!$K:$K,(AB$3-1+MIN(MAX(IFERROR(MATCH(LN($AA34),INDEX(Attenuation!$J:$J,AB$3):INDEX(Attenuation!$J:$J,AB$3+AB$4-1),1),1),1),AB$4-1))):INDEX(Attenuation!$K:$K,(AB$3-1+MIN(MAX(IFERROR(MATCH(LN($AA34),INDEX(Attenuation!$J:$J,AB$3):INDEX(Attenuation!$J:$J,AB$3+AB$4-1),1),1),1),AB$4-1))+1),INDEX(Attenuation!$J:$J,(AB$3-1+MIN(MAX(IFERROR(MATCH(LN($AA34),INDEX(Attenuation!$J:$J,AB$3):INDEX(Attenuation!$J:$J,AB$3+AB$4-1),1),1),1),AB$4-1))):INDEX(Attenuation!$J:$J,(AB$3-1+MIN(MAX(IFERROR(MATCH(LN($AA34),INDEX(Attenuation!$J:$J,AB$3):INDEX(Attenuation!$J:$J,AB$3+AB$4-1),1),1),1),AB$4-1))+1)))))</f>
        <v>30.568344063333825</v>
      </c>
      <c r="AC34" s="1">
        <f>IF($B$6="",NA(),IF(OR($AA34&lt;AC$5/2,$AA34&gt;2*AC$6),NA(),EXP(FORECAST(LN($AA34),INDEX(Attenuation!$K:$K,(AC$3-1+MIN(MAX(IFERROR(MATCH(LN($AA34),INDEX(Attenuation!$J:$J,AC$3):INDEX(Attenuation!$J:$J,AC$3+AC$4-1),1),1),1),AC$4-1))):INDEX(Attenuation!$K:$K,(AC$3-1+MIN(MAX(IFERROR(MATCH(LN($AA34),INDEX(Attenuation!$J:$J,AC$3):INDEX(Attenuation!$J:$J,AC$3+AC$4-1),1),1),1),AC$4-1))+1),INDEX(Attenuation!$J:$J,(AC$3-1+MIN(MAX(IFERROR(MATCH(LN($AA34),INDEX(Attenuation!$J:$J,AC$3):INDEX(Attenuation!$J:$J,AC$3+AC$4-1),1),1),1),AC$4-1))):INDEX(Attenuation!$J:$J,(AC$3-1+MIN(MAX(IFERROR(MATCH(LN($AA34),INDEX(Attenuation!$J:$J,AC$3):INDEX(Attenuation!$J:$J,AC$3+AC$4-1),1),1),1),AC$4-1))+1)))))</f>
        <v>16.744899238959324</v>
      </c>
      <c r="AD34" s="1">
        <f>IF($B$7="",NA(),IF(OR($AA34&lt;AD$5/2,$AA34&gt;2*AD$6),NA(),EXP(FORECAST(LN($AA34),INDEX(Attenuation!$K:$K,(AD$3-1+MIN(MAX(IFERROR(MATCH(LN($AA34),INDEX(Attenuation!$J:$J,AD$3):INDEX(Attenuation!$J:$J,AD$3+AD$4-1),1),1),1),AD$4-1))):INDEX(Attenuation!$K:$K,(AD$3-1+MIN(MAX(IFERROR(MATCH(LN($AA34),INDEX(Attenuation!$J:$J,AD$3):INDEX(Attenuation!$J:$J,AD$3+AD$4-1),1),1),1),AD$4-1))+1),INDEX(Attenuation!$J:$J,(AD$3-1+MIN(MAX(IFERROR(MATCH(LN($AA34),INDEX(Attenuation!$J:$J,AD$3):INDEX(Attenuation!$J:$J,AD$3+AD$4-1),1),1),1),AD$4-1))):INDEX(Attenuation!$J:$J,(AD$3-1+MIN(MAX(IFERROR(MATCH(LN($AA34),INDEX(Attenuation!$J:$J,AD$3):INDEX(Attenuation!$J:$J,AD$3+AD$4-1),1),1),1),AD$4-1))+1)))))</f>
        <v>10.162358461521892</v>
      </c>
      <c r="AE34" s="1">
        <f>IF($B$8="",NA(),IF(OR($AA34&lt;AE$5/2,$AA34&gt;2*AE$6),NA(),EXP(FORECAST(LN($AA34),INDEX(Attenuation!$K:$K,(AE$3-1+MIN(MAX(IFERROR(MATCH(LN($AA34),INDEX(Attenuation!$J:$J,AE$3):INDEX(Attenuation!$J:$J,AE$3+AE$4-1),1),1),1),AE$4-1))):INDEX(Attenuation!$K:$K,(AE$3-1+MIN(MAX(IFERROR(MATCH(LN($AA34),INDEX(Attenuation!$J:$J,AE$3):INDEX(Attenuation!$J:$J,AE$3+AE$4-1),1),1),1),AE$4-1))+1),INDEX(Attenuation!$J:$J,(AE$3-1+MIN(MAX(IFERROR(MATCH(LN($AA34),INDEX(Attenuation!$J:$J,AE$3):INDEX(Attenuation!$J:$J,AE$3+AE$4-1),1),1),1),AE$4-1))):INDEX(Attenuation!$J:$J,(AE$3-1+MIN(MAX(IFERROR(MATCH(LN($AA34),INDEX(Attenuation!$J:$J,AE$3):INDEX(Attenuation!$J:$J,AE$3+AE$4-1),1),1),1),AE$4-1))+1)))))</f>
        <v>6.6529060562971729</v>
      </c>
      <c r="AF34" s="1">
        <f>IF($B$9="",NA(),IF(OR($AA34&lt;AF$5/2,$AA34&gt;2*AF$6),NA(),EXP(FORECAST(LN($AA34),INDEX(Attenuation!$K:$K,(AF$3-1+MIN(MAX(IFERROR(MATCH(LN($AA34),INDEX(Attenuation!$J:$J,AF$3):INDEX(Attenuation!$J:$J,AF$3+AF$4-1),1),1),1),AF$4-1))):INDEX(Attenuation!$K:$K,(AF$3-1+MIN(MAX(IFERROR(MATCH(LN($AA34),INDEX(Attenuation!$J:$J,AF$3):INDEX(Attenuation!$J:$J,AF$3+AF$4-1),1),1),1),AF$4-1))+1),INDEX(Attenuation!$J:$J,(AF$3-1+MIN(MAX(IFERROR(MATCH(LN($AA34),INDEX(Attenuation!$J:$J,AF$3):INDEX(Attenuation!$J:$J,AF$3+AF$4-1),1),1),1),AF$4-1))):INDEX(Attenuation!$J:$J,(AF$3-1+MIN(MAX(IFERROR(MATCH(LN($AA34),INDEX(Attenuation!$J:$J,AF$3):INDEX(Attenuation!$J:$J,AF$3+AF$4-1),1),1),1),AF$4-1))+1)))))</f>
        <v>6.3734086485405417</v>
      </c>
      <c r="AG34" s="1">
        <f>IF($B$10="",NA(),IF(OR($AA34&lt;AG$5/2,$AA34&gt;2*AG$6),NA(),EXP(FORECAST(LN($AA34),INDEX(Attenuation!$K:$K,(AG$3-1+MIN(MAX(IFERROR(MATCH(LN($AA34),INDEX(Attenuation!$J:$J,AG$3):INDEX(Attenuation!$J:$J,AG$3+AG$4-1),1),1),1),AG$4-1))):INDEX(Attenuation!$K:$K,(AG$3-1+MIN(MAX(IFERROR(MATCH(LN($AA34),INDEX(Attenuation!$J:$J,AG$3):INDEX(Attenuation!$J:$J,AG$3+AG$4-1),1),1),1),AG$4-1))+1),INDEX(Attenuation!$J:$J,(AG$3-1+MIN(MAX(IFERROR(MATCH(LN($AA34),INDEX(Attenuation!$J:$J,AG$3):INDEX(Attenuation!$J:$J,AG$3+AG$4-1),1),1),1),AG$4-1))):INDEX(Attenuation!$J:$J,(AG$3-1+MIN(MAX(IFERROR(MATCH(LN($AA34),INDEX(Attenuation!$J:$J,AG$3):INDEX(Attenuation!$J:$J,AG$3+AG$4-1),1),1),1),AG$4-1))+1)))))</f>
        <v>5.6368312938829739</v>
      </c>
      <c r="AH34" s="1">
        <f>IF($B$11="",NA(),IF(OR($AA34&lt;AH$5/2,$AA34&gt;2*AH$6),NA(),EXP(FORECAST(LN($AA34),INDEX(Attenuation!$K:$K,(AH$3-1+MIN(MAX(IFERROR(MATCH(LN($AA34),INDEX(Attenuation!$J:$J,AH$3):INDEX(Attenuation!$J:$J,AH$3+AH$4-1),1),1),1),AH$4-1))):INDEX(Attenuation!$K:$K,(AH$3-1+MIN(MAX(IFERROR(MATCH(LN($AA34),INDEX(Attenuation!$J:$J,AH$3):INDEX(Attenuation!$J:$J,AH$3+AH$4-1),1),1),1),AH$4-1))+1),INDEX(Attenuation!$J:$J,(AH$3-1+MIN(MAX(IFERROR(MATCH(LN($AA34),INDEX(Attenuation!$J:$J,AH$3):INDEX(Attenuation!$J:$J,AH$3+AH$4-1),1),1),1),AH$4-1))):INDEX(Attenuation!$J:$J,(AH$3-1+MIN(MAX(IFERROR(MATCH(LN($AA34),INDEX(Attenuation!$J:$J,AH$3):INDEX(Attenuation!$J:$J,AH$3+AH$4-1),1),1),1),AH$4-1))+1)))))</f>
        <v>3.495128848493009</v>
      </c>
      <c r="AI34" s="1">
        <f>IF($B$12="",NA(),IF(OR($AA34&lt;AI$5/2,$AA34&gt;2*AI$6),NA(),EXP(FORECAST(LN($AA34),INDEX(Attenuation!$K:$K,(AI$3-1+MIN(MAX(IFERROR(MATCH(LN($AA34),INDEX(Attenuation!$J:$J,AI$3):INDEX(Attenuation!$J:$J,AI$3+AI$4-1),1),1),1),AI$4-1))):INDEX(Attenuation!$K:$K,(AI$3-1+MIN(MAX(IFERROR(MATCH(LN($AA34),INDEX(Attenuation!$J:$J,AI$3):INDEX(Attenuation!$J:$J,AI$3+AI$4-1),1),1),1),AI$4-1))+1),INDEX(Attenuation!$J:$J,(AI$3-1+MIN(MAX(IFERROR(MATCH(LN($AA34),INDEX(Attenuation!$J:$J,AI$3):INDEX(Attenuation!$J:$J,AI$3+AI$4-1),1),1),1),AI$4-1))):INDEX(Attenuation!$J:$J,(AI$3-1+MIN(MAX(IFERROR(MATCH(LN($AA34),INDEX(Attenuation!$J:$J,AI$3):INDEX(Attenuation!$J:$J,AI$3+AI$4-1),1),1),1),AI$4-1))+1)))))</f>
        <v>1.9376328446653759</v>
      </c>
    </row>
    <row r="35" spans="1:3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f>10^(25/10)</f>
        <v>316.22776601683825</v>
      </c>
      <c r="AB35" s="1">
        <f>IF($B$5="",NA(),IF(OR($AA35&lt;AB$5/2,$AA35&gt;2*AB$6),NA(),EXP(FORECAST(LN($AA35),INDEX(Attenuation!$K:$K,(AB$3-1+MIN(MAX(IFERROR(MATCH(LN($AA35),INDEX(Attenuation!$J:$J,AB$3):INDEX(Attenuation!$J:$J,AB$3+AB$4-1),1),1),1),AB$4-1))):INDEX(Attenuation!$K:$K,(AB$3-1+MIN(MAX(IFERROR(MATCH(LN($AA35),INDEX(Attenuation!$J:$J,AB$3):INDEX(Attenuation!$J:$J,AB$3+AB$4-1),1),1),1),AB$4-1))+1),INDEX(Attenuation!$J:$J,(AB$3-1+MIN(MAX(IFERROR(MATCH(LN($AA35),INDEX(Attenuation!$J:$J,AB$3):INDEX(Attenuation!$J:$J,AB$3+AB$4-1),1),1),1),AB$4-1))):INDEX(Attenuation!$J:$J,(AB$3-1+MIN(MAX(IFERROR(MATCH(LN($AA35),INDEX(Attenuation!$J:$J,AB$3):INDEX(Attenuation!$J:$J,AB$3+AB$4-1),1),1),1),AB$4-1))+1)))))</f>
        <v>35.21328515976311</v>
      </c>
      <c r="AC35" s="1">
        <f>IF($B$6="",NA(),IF(OR($AA35&lt;AC$5/2,$AA35&gt;2*AC$6),NA(),EXP(FORECAST(LN($AA35),INDEX(Attenuation!$K:$K,(AC$3-1+MIN(MAX(IFERROR(MATCH(LN($AA35),INDEX(Attenuation!$J:$J,AC$3):INDEX(Attenuation!$J:$J,AC$3+AC$4-1),1),1),1),AC$4-1))):INDEX(Attenuation!$K:$K,(AC$3-1+MIN(MAX(IFERROR(MATCH(LN($AA35),INDEX(Attenuation!$J:$J,AC$3):INDEX(Attenuation!$J:$J,AC$3+AC$4-1),1),1),1),AC$4-1))+1),INDEX(Attenuation!$J:$J,(AC$3-1+MIN(MAX(IFERROR(MATCH(LN($AA35),INDEX(Attenuation!$J:$J,AC$3):INDEX(Attenuation!$J:$J,AC$3+AC$4-1),1),1),1),AC$4-1))):INDEX(Attenuation!$J:$J,(AC$3-1+MIN(MAX(IFERROR(MATCH(LN($AA35),INDEX(Attenuation!$J:$J,AC$3):INDEX(Attenuation!$J:$J,AC$3+AC$4-1),1),1),1),AC$4-1))+1)))))</f>
        <v>19.016765049583636</v>
      </c>
      <c r="AD35" s="1">
        <f>IF($B$7="",NA(),IF(OR($AA35&lt;AD$5/2,$AA35&gt;2*AD$6),NA(),EXP(FORECAST(LN($AA35),INDEX(Attenuation!$K:$K,(AD$3-1+MIN(MAX(IFERROR(MATCH(LN($AA35),INDEX(Attenuation!$J:$J,AD$3):INDEX(Attenuation!$J:$J,AD$3+AD$4-1),1),1),1),AD$4-1))):INDEX(Attenuation!$K:$K,(AD$3-1+MIN(MAX(IFERROR(MATCH(LN($AA35),INDEX(Attenuation!$J:$J,AD$3):INDEX(Attenuation!$J:$J,AD$3+AD$4-1),1),1),1),AD$4-1))+1),INDEX(Attenuation!$J:$J,(AD$3-1+MIN(MAX(IFERROR(MATCH(LN($AA35),INDEX(Attenuation!$J:$J,AD$3):INDEX(Attenuation!$J:$J,AD$3+AD$4-1),1),1),1),AD$4-1))):INDEX(Attenuation!$J:$J,(AD$3-1+MIN(MAX(IFERROR(MATCH(LN($AA35),INDEX(Attenuation!$J:$J,AD$3):INDEX(Attenuation!$J:$J,AD$3+AD$4-1),1),1),1),AD$4-1))+1)))))</f>
        <v>11.675109437752038</v>
      </c>
      <c r="AE35" s="1">
        <f>IF($B$8="",NA(),IF(OR($AA35&lt;AE$5/2,$AA35&gt;2*AE$6),NA(),EXP(FORECAST(LN($AA35),INDEX(Attenuation!$K:$K,(AE$3-1+MIN(MAX(IFERROR(MATCH(LN($AA35),INDEX(Attenuation!$J:$J,AE$3):INDEX(Attenuation!$J:$J,AE$3+AE$4-1),1),1),1),AE$4-1))):INDEX(Attenuation!$K:$K,(AE$3-1+MIN(MAX(IFERROR(MATCH(LN($AA35),INDEX(Attenuation!$J:$J,AE$3):INDEX(Attenuation!$J:$J,AE$3+AE$4-1),1),1),1),AE$4-1))+1),INDEX(Attenuation!$J:$J,(AE$3-1+MIN(MAX(IFERROR(MATCH(LN($AA35),INDEX(Attenuation!$J:$J,AE$3):INDEX(Attenuation!$J:$J,AE$3+AE$4-1),1),1),1),AE$4-1))):INDEX(Attenuation!$J:$J,(AE$3-1+MIN(MAX(IFERROR(MATCH(LN($AA35),INDEX(Attenuation!$J:$J,AE$3):INDEX(Attenuation!$J:$J,AE$3+AE$4-1),1),1),1),AE$4-1))+1)))))</f>
        <v>7.4492983145180149</v>
      </c>
      <c r="AF35" s="1">
        <f>IF($B$9="",NA(),IF(OR($AA35&lt;AF$5/2,$AA35&gt;2*AF$6),NA(),EXP(FORECAST(LN($AA35),INDEX(Attenuation!$K:$K,(AF$3-1+MIN(MAX(IFERROR(MATCH(LN($AA35),INDEX(Attenuation!$J:$J,AF$3):INDEX(Attenuation!$J:$J,AF$3+AF$4-1),1),1),1),AF$4-1))):INDEX(Attenuation!$K:$K,(AF$3-1+MIN(MAX(IFERROR(MATCH(LN($AA35),INDEX(Attenuation!$J:$J,AF$3):INDEX(Attenuation!$J:$J,AF$3+AF$4-1),1),1),1),AF$4-1))+1),INDEX(Attenuation!$J:$J,(AF$3-1+MIN(MAX(IFERROR(MATCH(LN($AA35),INDEX(Attenuation!$J:$J,AF$3):INDEX(Attenuation!$J:$J,AF$3+AF$4-1),1),1),1),AF$4-1))):INDEX(Attenuation!$J:$J,(AF$3-1+MIN(MAX(IFERROR(MATCH(LN($AA35),INDEX(Attenuation!$J:$J,AF$3):INDEX(Attenuation!$J:$J,AF$3+AF$4-1),1),1),1),AF$4-1))+1)))))</f>
        <v>7.2634042579350071</v>
      </c>
      <c r="AG35" s="1">
        <f>IF($B$10="",NA(),IF(OR($AA35&lt;AG$5/2,$AA35&gt;2*AG$6),NA(),EXP(FORECAST(LN($AA35),INDEX(Attenuation!$K:$K,(AG$3-1+MIN(MAX(IFERROR(MATCH(LN($AA35),INDEX(Attenuation!$J:$J,AG$3):INDEX(Attenuation!$J:$J,AG$3+AG$4-1),1),1),1),AG$4-1))):INDEX(Attenuation!$K:$K,(AG$3-1+MIN(MAX(IFERROR(MATCH(LN($AA35),INDEX(Attenuation!$J:$J,AG$3):INDEX(Attenuation!$J:$J,AG$3+AG$4-1),1),1),1),AG$4-1))+1),INDEX(Attenuation!$J:$J,(AG$3-1+MIN(MAX(IFERROR(MATCH(LN($AA35),INDEX(Attenuation!$J:$J,AG$3):INDEX(Attenuation!$J:$J,AG$3+AG$4-1),1),1),1),AG$4-1))):INDEX(Attenuation!$J:$J,(AG$3-1+MIN(MAX(IFERROR(MATCH(LN($AA35),INDEX(Attenuation!$J:$J,AG$3):INDEX(Attenuation!$J:$J,AG$3+AG$4-1),1),1),1),AG$4-1))+1)))))</f>
        <v>6.3627069041463447</v>
      </c>
      <c r="AH35" s="1">
        <f>IF($B$11="",NA(),IF(OR($AA35&lt;AH$5/2,$AA35&gt;2*AH$6),NA(),EXP(FORECAST(LN($AA35),INDEX(Attenuation!$K:$K,(AH$3-1+MIN(MAX(IFERROR(MATCH(LN($AA35),INDEX(Attenuation!$J:$J,AH$3):INDEX(Attenuation!$J:$J,AH$3+AH$4-1),1),1),1),AH$4-1))):INDEX(Attenuation!$K:$K,(AH$3-1+MIN(MAX(IFERROR(MATCH(LN($AA35),INDEX(Attenuation!$J:$J,AH$3):INDEX(Attenuation!$J:$J,AH$3+AH$4-1),1),1),1),AH$4-1))+1),INDEX(Attenuation!$J:$J,(AH$3-1+MIN(MAX(IFERROR(MATCH(LN($AA35),INDEX(Attenuation!$J:$J,AH$3):INDEX(Attenuation!$J:$J,AH$3+AH$4-1),1),1),1),AH$4-1))):INDEX(Attenuation!$J:$J,(AH$3-1+MIN(MAX(IFERROR(MATCH(LN($AA35),INDEX(Attenuation!$J:$J,AH$3):INDEX(Attenuation!$J:$J,AH$3+AH$4-1),1),1),1),AH$4-1))+1)))))</f>
        <v>3.9428303340168656</v>
      </c>
      <c r="AI35" s="1">
        <f>IF($B$12="",NA(),IF(OR($AA35&lt;AI$5/2,$AA35&gt;2*AI$6),NA(),EXP(FORECAST(LN($AA35),INDEX(Attenuation!$K:$K,(AI$3-1+MIN(MAX(IFERROR(MATCH(LN($AA35),INDEX(Attenuation!$J:$J,AI$3):INDEX(Attenuation!$J:$J,AI$3+AI$4-1),1),1),1),AI$4-1))):INDEX(Attenuation!$K:$K,(AI$3-1+MIN(MAX(IFERROR(MATCH(LN($AA35),INDEX(Attenuation!$J:$J,AI$3):INDEX(Attenuation!$J:$J,AI$3+AI$4-1),1),1),1),AI$4-1))+1),INDEX(Attenuation!$J:$J,(AI$3-1+MIN(MAX(IFERROR(MATCH(LN($AA35),INDEX(Attenuation!$J:$J,AI$3):INDEX(Attenuation!$J:$J,AI$3+AI$4-1),1),1),1),AI$4-1))):INDEX(Attenuation!$J:$J,(AI$3-1+MIN(MAX(IFERROR(MATCH(LN($AA35),INDEX(Attenuation!$J:$J,AI$3):INDEX(Attenuation!$J:$J,AI$3+AI$4-1),1),1),1),AI$4-1))+1)))))</f>
        <v>2.1911437829045002</v>
      </c>
    </row>
    <row r="36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>
        <f>10^(26/10)</f>
        <v>398.10717055349761</v>
      </c>
      <c r="AB36" s="1">
        <f>IF($B$5="",NA(),IF(OR($AA36&lt;AB$5/2,$AA36&gt;2*AB$6),NA(),EXP(FORECAST(LN($AA36),INDEX(Attenuation!$K:$K,(AB$3-1+MIN(MAX(IFERROR(MATCH(LN($AA36),INDEX(Attenuation!$J:$J,AB$3):INDEX(Attenuation!$J:$J,AB$3+AB$4-1),1),1),1),AB$4-1))):INDEX(Attenuation!$K:$K,(AB$3-1+MIN(MAX(IFERROR(MATCH(LN($AA36),INDEX(Attenuation!$J:$J,AB$3):INDEX(Attenuation!$J:$J,AB$3+AB$4-1),1),1),1),AB$4-1))+1),INDEX(Attenuation!$J:$J,(AB$3-1+MIN(MAX(IFERROR(MATCH(LN($AA36),INDEX(Attenuation!$J:$J,AB$3):INDEX(Attenuation!$J:$J,AB$3+AB$4-1),1),1),1),AB$4-1))):INDEX(Attenuation!$J:$J,(AB$3-1+MIN(MAX(IFERROR(MATCH(LN($AA36),INDEX(Attenuation!$J:$J,AB$3):INDEX(Attenuation!$J:$J,AB$3+AB$4-1),1),1),1),AB$4-1))+1)))))</f>
        <v>40.564037396782645</v>
      </c>
      <c r="AC36" s="1">
        <f>IF($B$6="",NA(),IF(OR($AA36&lt;AC$5/2,$AA36&gt;2*AC$6),NA(),EXP(FORECAST(LN($AA36),INDEX(Attenuation!$K:$K,(AC$3-1+MIN(MAX(IFERROR(MATCH(LN($AA36),INDEX(Attenuation!$J:$J,AC$3):INDEX(Attenuation!$J:$J,AC$3+AC$4-1),1),1),1),AC$4-1))):INDEX(Attenuation!$K:$K,(AC$3-1+MIN(MAX(IFERROR(MATCH(LN($AA36),INDEX(Attenuation!$J:$J,AC$3):INDEX(Attenuation!$J:$J,AC$3+AC$4-1),1),1),1),AC$4-1))+1),INDEX(Attenuation!$J:$J,(AC$3-1+MIN(MAX(IFERROR(MATCH(LN($AA36),INDEX(Attenuation!$J:$J,AC$3):INDEX(Attenuation!$J:$J,AC$3+AC$4-1),1),1),1),AC$4-1))):INDEX(Attenuation!$J:$J,(AC$3-1+MIN(MAX(IFERROR(MATCH(LN($AA36),INDEX(Attenuation!$J:$J,AC$3):INDEX(Attenuation!$J:$J,AC$3+AC$4-1),1),1),1),AC$4-1))+1)))))</f>
        <v>21.596866472009957</v>
      </c>
      <c r="AD36" s="1">
        <f>IF($B$7="",NA(),IF(OR($AA36&lt;AD$5/2,$AA36&gt;2*AD$6),NA(),EXP(FORECAST(LN($AA36),INDEX(Attenuation!$K:$K,(AD$3-1+MIN(MAX(IFERROR(MATCH(LN($AA36),INDEX(Attenuation!$J:$J,AD$3):INDEX(Attenuation!$J:$J,AD$3+AD$4-1),1),1),1),AD$4-1))):INDEX(Attenuation!$K:$K,(AD$3-1+MIN(MAX(IFERROR(MATCH(LN($AA36),INDEX(Attenuation!$J:$J,AD$3):INDEX(Attenuation!$J:$J,AD$3+AD$4-1),1),1),1),AD$4-1))+1),INDEX(Attenuation!$J:$J,(AD$3-1+MIN(MAX(IFERROR(MATCH(LN($AA36),INDEX(Attenuation!$J:$J,AD$3):INDEX(Attenuation!$J:$J,AD$3+AD$4-1),1),1),1),AD$4-1))):INDEX(Attenuation!$J:$J,(AD$3-1+MIN(MAX(IFERROR(MATCH(LN($AA36),INDEX(Attenuation!$J:$J,AD$3):INDEX(Attenuation!$J:$J,AD$3+AD$4-1),1),1),1),AD$4-1))+1)))))</f>
        <v>13.413045888864797</v>
      </c>
      <c r="AE36" s="1">
        <f>IF($B$8="",NA(),IF(OR($AA36&lt;AE$5/2,$AA36&gt;2*AE$6),NA(),EXP(FORECAST(LN($AA36),INDEX(Attenuation!$K:$K,(AE$3-1+MIN(MAX(IFERROR(MATCH(LN($AA36),INDEX(Attenuation!$J:$J,AE$3):INDEX(Attenuation!$J:$J,AE$3+AE$4-1),1),1),1),AE$4-1))):INDEX(Attenuation!$K:$K,(AE$3-1+MIN(MAX(IFERROR(MATCH(LN($AA36),INDEX(Attenuation!$J:$J,AE$3):INDEX(Attenuation!$J:$J,AE$3+AE$4-1),1),1),1),AE$4-1))+1),INDEX(Attenuation!$J:$J,(AE$3-1+MIN(MAX(IFERROR(MATCH(LN($AA36),INDEX(Attenuation!$J:$J,AE$3):INDEX(Attenuation!$J:$J,AE$3+AE$4-1),1),1),1),AE$4-1))):INDEX(Attenuation!$J:$J,(AE$3-1+MIN(MAX(IFERROR(MATCH(LN($AA36),INDEX(Attenuation!$J:$J,AE$3):INDEX(Attenuation!$J:$J,AE$3+AE$4-1),1),1),1),AE$4-1))+1)))))</f>
        <v>8.3410234428541266</v>
      </c>
      <c r="AF36" s="1">
        <f>IF($B$9="",NA(),IF(OR($AA36&lt;AF$5/2,$AA36&gt;2*AF$6),NA(),EXP(FORECAST(LN($AA36),INDEX(Attenuation!$K:$K,(AF$3-1+MIN(MAX(IFERROR(MATCH(LN($AA36),INDEX(Attenuation!$J:$J,AF$3):INDEX(Attenuation!$J:$J,AF$3+AF$4-1),1),1),1),AF$4-1))):INDEX(Attenuation!$K:$K,(AF$3-1+MIN(MAX(IFERROR(MATCH(LN($AA36),INDEX(Attenuation!$J:$J,AF$3):INDEX(Attenuation!$J:$J,AF$3+AF$4-1),1),1),1),AF$4-1))+1),INDEX(Attenuation!$J:$J,(AF$3-1+MIN(MAX(IFERROR(MATCH(LN($AA36),INDEX(Attenuation!$J:$J,AF$3):INDEX(Attenuation!$J:$J,AF$3+AF$4-1),1),1),1),AF$4-1))):INDEX(Attenuation!$J:$J,(AF$3-1+MIN(MAX(IFERROR(MATCH(LN($AA36),INDEX(Attenuation!$J:$J,AF$3):INDEX(Attenuation!$J:$J,AF$3+AF$4-1),1),1),1),AF$4-1))+1)))))</f>
        <v>8.277680645233584</v>
      </c>
      <c r="AG36" s="1">
        <f>IF($B$10="",NA(),IF(OR($AA36&lt;AG$5/2,$AA36&gt;2*AG$6),NA(),EXP(FORECAST(LN($AA36),INDEX(Attenuation!$K:$K,(AG$3-1+MIN(MAX(IFERROR(MATCH(LN($AA36),INDEX(Attenuation!$J:$J,AG$3):INDEX(Attenuation!$J:$J,AG$3+AG$4-1),1),1),1),AG$4-1))):INDEX(Attenuation!$K:$K,(AG$3-1+MIN(MAX(IFERROR(MATCH(LN($AA36),INDEX(Attenuation!$J:$J,AG$3):INDEX(Attenuation!$J:$J,AG$3+AG$4-1),1),1),1),AG$4-1))+1),INDEX(Attenuation!$J:$J,(AG$3-1+MIN(MAX(IFERROR(MATCH(LN($AA36),INDEX(Attenuation!$J:$J,AG$3):INDEX(Attenuation!$J:$J,AG$3+AG$4-1),1),1),1),AG$4-1))):INDEX(Attenuation!$J:$J,(AG$3-1+MIN(MAX(IFERROR(MATCH(LN($AA36),INDEX(Attenuation!$J:$J,AG$3):INDEX(Attenuation!$J:$J,AG$3+AG$4-1),1),1),1),AG$4-1))+1)))))</f>
        <v>7.1820562009731184</v>
      </c>
      <c r="AH36" s="1">
        <f>IF($B$11="",NA(),IF(OR($AA36&lt;AH$5/2,$AA36&gt;2*AH$6),NA(),EXP(FORECAST(LN($AA36),INDEX(Attenuation!$K:$K,(AH$3-1+MIN(MAX(IFERROR(MATCH(LN($AA36),INDEX(Attenuation!$J:$J,AH$3):INDEX(Attenuation!$J:$J,AH$3+AH$4-1),1),1),1),AH$4-1))):INDEX(Attenuation!$K:$K,(AH$3-1+MIN(MAX(IFERROR(MATCH(LN($AA36),INDEX(Attenuation!$J:$J,AH$3):INDEX(Attenuation!$J:$J,AH$3+AH$4-1),1),1),1),AH$4-1))+1),INDEX(Attenuation!$J:$J,(AH$3-1+MIN(MAX(IFERROR(MATCH(LN($AA36),INDEX(Attenuation!$J:$J,AH$3):INDEX(Attenuation!$J:$J,AH$3+AH$4-1),1),1),1),AH$4-1))):INDEX(Attenuation!$J:$J,(AH$3-1+MIN(MAX(IFERROR(MATCH(LN($AA36),INDEX(Attenuation!$J:$J,AH$3):INDEX(Attenuation!$J:$J,AH$3+AH$4-1),1),1),1),AH$4-1))+1)))))</f>
        <v>4.4508734374145646</v>
      </c>
      <c r="AI36" s="1">
        <f>IF($B$12="",NA(),IF(OR($AA36&lt;AI$5/2,$AA36&gt;2*AI$6),NA(),EXP(FORECAST(LN($AA36),INDEX(Attenuation!$K:$K,(AI$3-1+MIN(MAX(IFERROR(MATCH(LN($AA36),INDEX(Attenuation!$J:$J,AI$3):INDEX(Attenuation!$J:$J,AI$3+AI$4-1),1),1),1),AI$4-1))):INDEX(Attenuation!$K:$K,(AI$3-1+MIN(MAX(IFERROR(MATCH(LN($AA36),INDEX(Attenuation!$J:$J,AI$3):INDEX(Attenuation!$J:$J,AI$3+AI$4-1),1),1),1),AI$4-1))+1),INDEX(Attenuation!$J:$J,(AI$3-1+MIN(MAX(IFERROR(MATCH(LN($AA36),INDEX(Attenuation!$J:$J,AI$3):INDEX(Attenuation!$J:$J,AI$3+AI$4-1),1),1),1),AI$4-1))):INDEX(Attenuation!$J:$J,(AI$3-1+MIN(MAX(IFERROR(MATCH(LN($AA36),INDEX(Attenuation!$J:$J,AI$3):INDEX(Attenuation!$J:$J,AI$3+AI$4-1),1),1),1),AI$4-1))+1)))))</f>
        <v>2.4796730609497644</v>
      </c>
    </row>
    <row r="37" spans="1:3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f>10^(27/10)</f>
        <v>501.18723362727269</v>
      </c>
      <c r="AB37" s="1">
        <f>IF($B$5="",NA(),IF(OR($AA37&lt;AB$5/2,$AA37&gt;2*AB$6),NA(),EXP(FORECAST(LN($AA37),INDEX(Attenuation!$K:$K,(AB$3-1+MIN(MAX(IFERROR(MATCH(LN($AA37),INDEX(Attenuation!$J:$J,AB$3):INDEX(Attenuation!$J:$J,AB$3+AB$4-1),1),1),1),AB$4-1))):INDEX(Attenuation!$K:$K,(AB$3-1+MIN(MAX(IFERROR(MATCH(LN($AA37),INDEX(Attenuation!$J:$J,AB$3):INDEX(Attenuation!$J:$J,AB$3+AB$4-1),1),1),1),AB$4-1))+1),INDEX(Attenuation!$J:$J,(AB$3-1+MIN(MAX(IFERROR(MATCH(LN($AA37),INDEX(Attenuation!$J:$J,AB$3):INDEX(Attenuation!$J:$J,AB$3+AB$4-1),1),1),1),AB$4-1))):INDEX(Attenuation!$J:$J,(AB$3-1+MIN(MAX(IFERROR(MATCH(LN($AA37),INDEX(Attenuation!$J:$J,AB$3):INDEX(Attenuation!$J:$J,AB$3+AB$4-1),1),1),1),AB$4-1))+1)))))</f>
        <v>46.955693531028132</v>
      </c>
      <c r="AC37" s="1">
        <f>IF($B$6="",NA(),IF(OR($AA37&lt;AC$5/2,$AA37&gt;2*AC$6),NA(),EXP(FORECAST(LN($AA37),INDEX(Attenuation!$K:$K,(AC$3-1+MIN(MAX(IFERROR(MATCH(LN($AA37),INDEX(Attenuation!$J:$J,AC$3):INDEX(Attenuation!$J:$J,AC$3+AC$4-1),1),1),1),AC$4-1))):INDEX(Attenuation!$K:$K,(AC$3-1+MIN(MAX(IFERROR(MATCH(LN($AA37),INDEX(Attenuation!$J:$J,AC$3):INDEX(Attenuation!$J:$J,AC$3+AC$4-1),1),1),1),AC$4-1))+1),INDEX(Attenuation!$J:$J,(AC$3-1+MIN(MAX(IFERROR(MATCH(LN($AA37),INDEX(Attenuation!$J:$J,AC$3):INDEX(Attenuation!$J:$J,AC$3+AC$4-1),1),1),1),AC$4-1))):INDEX(Attenuation!$J:$J,(AC$3-1+MIN(MAX(IFERROR(MATCH(LN($AA37),INDEX(Attenuation!$J:$J,AC$3):INDEX(Attenuation!$J:$J,AC$3+AC$4-1),1),1),1),AC$4-1))+1)))))</f>
        <v>24.645859341309173</v>
      </c>
      <c r="AD37" s="1">
        <f>IF($B$7="",NA(),IF(OR($AA37&lt;AD$5/2,$AA37&gt;2*AD$6),NA(),EXP(FORECAST(LN($AA37),INDEX(Attenuation!$K:$K,(AD$3-1+MIN(MAX(IFERROR(MATCH(LN($AA37),INDEX(Attenuation!$J:$J,AD$3):INDEX(Attenuation!$J:$J,AD$3+AD$4-1),1),1),1),AD$4-1))):INDEX(Attenuation!$K:$K,(AD$3-1+MIN(MAX(IFERROR(MATCH(LN($AA37),INDEX(Attenuation!$J:$J,AD$3):INDEX(Attenuation!$J:$J,AD$3+AD$4-1),1),1),1),AD$4-1))+1),INDEX(Attenuation!$J:$J,(AD$3-1+MIN(MAX(IFERROR(MATCH(LN($AA37),INDEX(Attenuation!$J:$J,AD$3):INDEX(Attenuation!$J:$J,AD$3+AD$4-1),1),1),1),AD$4-1))):INDEX(Attenuation!$J:$J,(AD$3-1+MIN(MAX(IFERROR(MATCH(LN($AA37),INDEX(Attenuation!$J:$J,AD$3):INDEX(Attenuation!$J:$J,AD$3+AD$4-1),1),1),1),AD$4-1))+1)))))</f>
        <v>16.196363721310231</v>
      </c>
      <c r="AE37" s="1">
        <f>IF($B$8="",NA(),IF(OR($AA37&lt;AE$5/2,$AA37&gt;2*AE$6),NA(),EXP(FORECAST(LN($AA37),INDEX(Attenuation!$K:$K,(AE$3-1+MIN(MAX(IFERROR(MATCH(LN($AA37),INDEX(Attenuation!$J:$J,AE$3):INDEX(Attenuation!$J:$J,AE$3+AE$4-1),1),1),1),AE$4-1))):INDEX(Attenuation!$K:$K,(AE$3-1+MIN(MAX(IFERROR(MATCH(LN($AA37),INDEX(Attenuation!$J:$J,AE$3):INDEX(Attenuation!$J:$J,AE$3+AE$4-1),1),1),1),AE$4-1))+1),INDEX(Attenuation!$J:$J,(AE$3-1+MIN(MAX(IFERROR(MATCH(LN($AA37),INDEX(Attenuation!$J:$J,AE$3):INDEX(Attenuation!$J:$J,AE$3+AE$4-1),1),1),1),AE$4-1))):INDEX(Attenuation!$J:$J,(AE$3-1+MIN(MAX(IFERROR(MATCH(LN($AA37),INDEX(Attenuation!$J:$J,AE$3):INDEX(Attenuation!$J:$J,AE$3+AE$4-1),1),1),1),AE$4-1))+1)))))</f>
        <v>9.3838483543128195</v>
      </c>
      <c r="AF37" s="1">
        <f>IF($B$9="",NA(),IF(OR($AA37&lt;AF$5/2,$AA37&gt;2*AF$6),NA(),EXP(FORECAST(LN($AA37),INDEX(Attenuation!$K:$K,(AF$3-1+MIN(MAX(IFERROR(MATCH(LN($AA37),INDEX(Attenuation!$J:$J,AF$3):INDEX(Attenuation!$J:$J,AF$3+AF$4-1),1),1),1),AF$4-1))):INDEX(Attenuation!$K:$K,(AF$3-1+MIN(MAX(IFERROR(MATCH(LN($AA37),INDEX(Attenuation!$J:$J,AF$3):INDEX(Attenuation!$J:$J,AF$3+AF$4-1),1),1),1),AF$4-1))+1),INDEX(Attenuation!$J:$J,(AF$3-1+MIN(MAX(IFERROR(MATCH(LN($AA37),INDEX(Attenuation!$J:$J,AF$3):INDEX(Attenuation!$J:$J,AF$3+AF$4-1),1),1),1),AF$4-1))):INDEX(Attenuation!$J:$J,(AF$3-1+MIN(MAX(IFERROR(MATCH(LN($AA37),INDEX(Attenuation!$J:$J,AF$3):INDEX(Attenuation!$J:$J,AF$3+AF$4-1),1),1),1),AF$4-1))+1)))))</f>
        <v>9.3175867128975245</v>
      </c>
      <c r="AG37" s="1">
        <f>IF($B$10="",NA(),IF(OR($AA37&lt;AG$5/2,$AA37&gt;2*AG$6),NA(),EXP(FORECAST(LN($AA37),INDEX(Attenuation!$K:$K,(AG$3-1+MIN(MAX(IFERROR(MATCH(LN($AA37),INDEX(Attenuation!$J:$J,AG$3):INDEX(Attenuation!$J:$J,AG$3+AG$4-1),1),1),1),AG$4-1))):INDEX(Attenuation!$K:$K,(AG$3-1+MIN(MAX(IFERROR(MATCH(LN($AA37),INDEX(Attenuation!$J:$J,AG$3):INDEX(Attenuation!$J:$J,AG$3+AG$4-1),1),1),1),AG$4-1))+1),INDEX(Attenuation!$J:$J,(AG$3-1+MIN(MAX(IFERROR(MATCH(LN($AA37),INDEX(Attenuation!$J:$J,AG$3):INDEX(Attenuation!$J:$J,AG$3+AG$4-1),1),1),1),AG$4-1))):INDEX(Attenuation!$J:$J,(AG$3-1+MIN(MAX(IFERROR(MATCH(LN($AA37),INDEX(Attenuation!$J:$J,AG$3):INDEX(Attenuation!$J:$J,AG$3+AG$4-1),1),1),1),AG$4-1))+1)))))</f>
        <v>8.2115859569662479</v>
      </c>
      <c r="AH37" s="1">
        <f>IF($B$11="",NA(),IF(OR($AA37&lt;AH$5/2,$AA37&gt;2*AH$6),NA(),EXP(FORECAST(LN($AA37),INDEX(Attenuation!$K:$K,(AH$3-1+MIN(MAX(IFERROR(MATCH(LN($AA37),INDEX(Attenuation!$J:$J,AH$3):INDEX(Attenuation!$J:$J,AH$3+AH$4-1),1),1),1),AH$4-1))):INDEX(Attenuation!$K:$K,(AH$3-1+MIN(MAX(IFERROR(MATCH(LN($AA37),INDEX(Attenuation!$J:$J,AH$3):INDEX(Attenuation!$J:$J,AH$3+AH$4-1),1),1),1),AH$4-1))+1),INDEX(Attenuation!$J:$J,(AH$3-1+MIN(MAX(IFERROR(MATCH(LN($AA37),INDEX(Attenuation!$J:$J,AH$3):INDEX(Attenuation!$J:$J,AH$3+AH$4-1),1),1),1),AH$4-1))):INDEX(Attenuation!$J:$J,(AH$3-1+MIN(MAX(IFERROR(MATCH(LN($AA37),INDEX(Attenuation!$J:$J,AH$3):INDEX(Attenuation!$J:$J,AH$3+AH$4-1),1),1),1),AH$4-1))+1)))))</f>
        <v>5.027363583819163</v>
      </c>
      <c r="AI37" s="1">
        <f>IF($B$12="",NA(),IF(OR($AA37&lt;AI$5/2,$AA37&gt;2*AI$6),NA(),EXP(FORECAST(LN($AA37),INDEX(Attenuation!$K:$K,(AI$3-1+MIN(MAX(IFERROR(MATCH(LN($AA37),INDEX(Attenuation!$J:$J,AI$3):INDEX(Attenuation!$J:$J,AI$3+AI$4-1),1),1),1),AI$4-1))):INDEX(Attenuation!$K:$K,(AI$3-1+MIN(MAX(IFERROR(MATCH(LN($AA37),INDEX(Attenuation!$J:$J,AI$3):INDEX(Attenuation!$J:$J,AI$3+AI$4-1),1),1),1),AI$4-1))+1),INDEX(Attenuation!$J:$J,(AI$3-1+MIN(MAX(IFERROR(MATCH(LN($AA37),INDEX(Attenuation!$J:$J,AI$3):INDEX(Attenuation!$J:$J,AI$3+AI$4-1),1),1),1),AI$4-1))):INDEX(Attenuation!$J:$J,(AI$3-1+MIN(MAX(IFERROR(MATCH(LN($AA37),INDEX(Attenuation!$J:$J,AI$3):INDEX(Attenuation!$J:$J,AI$3+AI$4-1),1),1),1),AI$4-1))+1)))))</f>
        <v>2.8095793832900497</v>
      </c>
    </row>
    <row r="38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>
        <f>10^(28/10)</f>
        <v>630.95734448019323</v>
      </c>
      <c r="AB38" s="1">
        <f>IF($B$5="",NA(),IF(OR($AA38&lt;AB$5/2,$AA38&gt;2*AB$6),NA(),EXP(FORECAST(LN($AA38),INDEX(Attenuation!$K:$K,(AB$3-1+MIN(MAX(IFERROR(MATCH(LN($AA38),INDEX(Attenuation!$J:$J,AB$3):INDEX(Attenuation!$J:$J,AB$3+AB$4-1),1),1),1),AB$4-1))):INDEX(Attenuation!$K:$K,(AB$3-1+MIN(MAX(IFERROR(MATCH(LN($AA38),INDEX(Attenuation!$J:$J,AB$3):INDEX(Attenuation!$J:$J,AB$3+AB$4-1),1),1),1),AB$4-1))+1),INDEX(Attenuation!$J:$J,(AB$3-1+MIN(MAX(IFERROR(MATCH(LN($AA38),INDEX(Attenuation!$J:$J,AB$3):INDEX(Attenuation!$J:$J,AB$3+AB$4-1),1),1),1),AB$4-1))):INDEX(Attenuation!$J:$J,(AB$3-1+MIN(MAX(IFERROR(MATCH(LN($AA38),INDEX(Attenuation!$J:$J,AB$3):INDEX(Attenuation!$J:$J,AB$3+AB$4-1),1),1),1),AB$4-1))+1)))))</f>
        <v>54.360041056376865</v>
      </c>
      <c r="AC38" s="1">
        <f>IF($B$6="",NA(),IF(OR($AA38&lt;AC$5/2,$AA38&gt;2*AC$6),NA(),EXP(FORECAST(LN($AA38),INDEX(Attenuation!$K:$K,(AC$3-1+MIN(MAX(IFERROR(MATCH(LN($AA38),INDEX(Attenuation!$J:$J,AC$3):INDEX(Attenuation!$J:$J,AC$3+AC$4-1),1),1),1),AC$4-1))):INDEX(Attenuation!$K:$K,(AC$3-1+MIN(MAX(IFERROR(MATCH(LN($AA38),INDEX(Attenuation!$J:$J,AC$3):INDEX(Attenuation!$J:$J,AC$3+AC$4-1),1),1),1),AC$4-1))+1),INDEX(Attenuation!$J:$J,(AC$3-1+MIN(MAX(IFERROR(MATCH(LN($AA38),INDEX(Attenuation!$J:$J,AC$3):INDEX(Attenuation!$J:$J,AC$3+AC$4-1),1),1),1),AC$4-1))):INDEX(Attenuation!$J:$J,(AC$3-1+MIN(MAX(IFERROR(MATCH(LN($AA38),INDEX(Attenuation!$J:$J,AC$3):INDEX(Attenuation!$J:$J,AC$3+AC$4-1),1),1),1),AC$4-1))+1)))))</f>
        <v>28.128160995277451</v>
      </c>
      <c r="AD38" s="1">
        <f>IF($B$7="",NA(),IF(OR($AA38&lt;AD$5/2,$AA38&gt;2*AD$6),NA(),EXP(FORECAST(LN($AA38),INDEX(Attenuation!$K:$K,(AD$3-1+MIN(MAX(IFERROR(MATCH(LN($AA38),INDEX(Attenuation!$J:$J,AD$3):INDEX(Attenuation!$J:$J,AD$3+AD$4-1),1),1),1),AD$4-1))):INDEX(Attenuation!$K:$K,(AD$3-1+MIN(MAX(IFERROR(MATCH(LN($AA38),INDEX(Attenuation!$J:$J,AD$3):INDEX(Attenuation!$J:$J,AD$3+AD$4-1),1),1),1),AD$4-1))+1),INDEX(Attenuation!$J:$J,(AD$3-1+MIN(MAX(IFERROR(MATCH(LN($AA38),INDEX(Attenuation!$J:$J,AD$3):INDEX(Attenuation!$J:$J,AD$3+AD$4-1),1),1),1),AD$4-1))):INDEX(Attenuation!$J:$J,(AD$3-1+MIN(MAX(IFERROR(MATCH(LN($AA38),INDEX(Attenuation!$J:$J,AD$3):INDEX(Attenuation!$J:$J,AD$3+AD$4-1),1),1),1),AD$4-1))+1)))))</f>
        <v>19.577735039068763</v>
      </c>
      <c r="AE38" s="1">
        <f>IF($B$8="",NA(),IF(OR($AA38&lt;AE$5/2,$AA38&gt;2*AE$6),NA(),EXP(FORECAST(LN($AA38),INDEX(Attenuation!$K:$K,(AE$3-1+MIN(MAX(IFERROR(MATCH(LN($AA38),INDEX(Attenuation!$J:$J,AE$3):INDEX(Attenuation!$J:$J,AE$3+AE$4-1),1),1),1),AE$4-1))):INDEX(Attenuation!$K:$K,(AE$3-1+MIN(MAX(IFERROR(MATCH(LN($AA38),INDEX(Attenuation!$J:$J,AE$3):INDEX(Attenuation!$J:$J,AE$3+AE$4-1),1),1),1),AE$4-1))+1),INDEX(Attenuation!$J:$J,(AE$3-1+MIN(MAX(IFERROR(MATCH(LN($AA38),INDEX(Attenuation!$J:$J,AE$3):INDEX(Attenuation!$J:$J,AE$3+AE$4-1),1),1),1),AE$4-1))):INDEX(Attenuation!$J:$J,(AE$3-1+MIN(MAX(IFERROR(MATCH(LN($AA38),INDEX(Attenuation!$J:$J,AE$3):INDEX(Attenuation!$J:$J,AE$3+AE$4-1),1),1),1),AE$4-1))+1)))))</f>
        <v>10.614092040951558</v>
      </c>
      <c r="AF38" s="1">
        <f>IF($B$9="",NA(),IF(OR($AA38&lt;AF$5/2,$AA38&gt;2*AF$6),NA(),EXP(FORECAST(LN($AA38),INDEX(Attenuation!$K:$K,(AF$3-1+MIN(MAX(IFERROR(MATCH(LN($AA38),INDEX(Attenuation!$J:$J,AF$3):INDEX(Attenuation!$J:$J,AF$3+AF$4-1),1),1),1),AF$4-1))):INDEX(Attenuation!$K:$K,(AF$3-1+MIN(MAX(IFERROR(MATCH(LN($AA38),INDEX(Attenuation!$J:$J,AF$3):INDEX(Attenuation!$J:$J,AF$3+AF$4-1),1),1),1),AF$4-1))+1),INDEX(Attenuation!$J:$J,(AF$3-1+MIN(MAX(IFERROR(MATCH(LN($AA38),INDEX(Attenuation!$J:$J,AF$3):INDEX(Attenuation!$J:$J,AF$3+AF$4-1),1),1),1),AF$4-1))):INDEX(Attenuation!$J:$J,(AF$3-1+MIN(MAX(IFERROR(MATCH(LN($AA38),INDEX(Attenuation!$J:$J,AF$3):INDEX(Attenuation!$J:$J,AF$3+AF$4-1),1),1),1),AF$4-1))+1)))))</f>
        <v>10.51034475598688</v>
      </c>
      <c r="AG38" s="1">
        <f>IF($B$10="",NA(),IF(OR($AA38&lt;AG$5/2,$AA38&gt;2*AG$6),NA(),EXP(FORECAST(LN($AA38),INDEX(Attenuation!$K:$K,(AG$3-1+MIN(MAX(IFERROR(MATCH(LN($AA38),INDEX(Attenuation!$J:$J,AG$3):INDEX(Attenuation!$J:$J,AG$3+AG$4-1),1),1),1),AG$4-1))):INDEX(Attenuation!$K:$K,(AG$3-1+MIN(MAX(IFERROR(MATCH(LN($AA38),INDEX(Attenuation!$J:$J,AG$3):INDEX(Attenuation!$J:$J,AG$3+AG$4-1),1),1),1),AG$4-1))+1),INDEX(Attenuation!$J:$J,(AG$3-1+MIN(MAX(IFERROR(MATCH(LN($AA38),INDEX(Attenuation!$J:$J,AG$3):INDEX(Attenuation!$J:$J,AG$3+AG$4-1),1),1),1),AG$4-1))):INDEX(Attenuation!$J:$J,(AG$3-1+MIN(MAX(IFERROR(MATCH(LN($AA38),INDEX(Attenuation!$J:$J,AG$3):INDEX(Attenuation!$J:$J,AG$3+AG$4-1),1),1),1),AG$4-1))+1)))))</f>
        <v>9.2246441282868634</v>
      </c>
      <c r="AH38" s="1">
        <f>IF($B$11="",NA(),IF(OR($AA38&lt;AH$5/2,$AA38&gt;2*AH$6),NA(),EXP(FORECAST(LN($AA38),INDEX(Attenuation!$K:$K,(AH$3-1+MIN(MAX(IFERROR(MATCH(LN($AA38),INDEX(Attenuation!$J:$J,AH$3):INDEX(Attenuation!$J:$J,AH$3+AH$4-1),1),1),1),AH$4-1))):INDEX(Attenuation!$K:$K,(AH$3-1+MIN(MAX(IFERROR(MATCH(LN($AA38),INDEX(Attenuation!$J:$J,AH$3):INDEX(Attenuation!$J:$J,AH$3+AH$4-1),1),1),1),AH$4-1))+1),INDEX(Attenuation!$J:$J,(AH$3-1+MIN(MAX(IFERROR(MATCH(LN($AA38),INDEX(Attenuation!$J:$J,AH$3):INDEX(Attenuation!$J:$J,AH$3+AH$4-1),1),1),1),AH$4-1))):INDEX(Attenuation!$J:$J,(AH$3-1+MIN(MAX(IFERROR(MATCH(LN($AA38),INDEX(Attenuation!$J:$J,AH$3):INDEX(Attenuation!$J:$J,AH$3+AH$4-1),1),1),1),AH$4-1))+1)))))</f>
        <v>5.6840502765969303</v>
      </c>
      <c r="AI38" s="1">
        <f>IF($B$12="",NA(),IF(OR($AA38&lt;AI$5/2,$AA38&gt;2*AI$6),NA(),EXP(FORECAST(LN($AA38),INDEX(Attenuation!$K:$K,(AI$3-1+MIN(MAX(IFERROR(MATCH(LN($AA38),INDEX(Attenuation!$J:$J,AI$3):INDEX(Attenuation!$J:$J,AI$3+AI$4-1),1),1),1),AI$4-1))):INDEX(Attenuation!$K:$K,(AI$3-1+MIN(MAX(IFERROR(MATCH(LN($AA38),INDEX(Attenuation!$J:$J,AI$3):INDEX(Attenuation!$J:$J,AI$3+AI$4-1),1),1),1),AI$4-1))+1),INDEX(Attenuation!$J:$J,(AI$3-1+MIN(MAX(IFERROR(MATCH(LN($AA38),INDEX(Attenuation!$J:$J,AI$3):INDEX(Attenuation!$J:$J,AI$3+AI$4-1),1),1),1),AI$4-1))):INDEX(Attenuation!$J:$J,(AI$3-1+MIN(MAX(IFERROR(MATCH(LN($AA38),INDEX(Attenuation!$J:$J,AI$3):INDEX(Attenuation!$J:$J,AI$3+AI$4-1),1),1),1),AI$4-1))+1)))))</f>
        <v>3.1868844463465229</v>
      </c>
    </row>
    <row r="39" spans="1:3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f>10^(29/10)</f>
        <v>794.32823472428208</v>
      </c>
      <c r="AB39" s="1">
        <f>IF($B$5="",NA(),IF(OR($AA39&lt;AB$5/2,$AA39&gt;2*AB$6),NA(),EXP(FORECAST(LN($AA39),INDEX(Attenuation!$K:$K,(AB$3-1+MIN(MAX(IFERROR(MATCH(LN($AA39),INDEX(Attenuation!$J:$J,AB$3):INDEX(Attenuation!$J:$J,AB$3+AB$4-1),1),1),1),AB$4-1))):INDEX(Attenuation!$K:$K,(AB$3-1+MIN(MAX(IFERROR(MATCH(LN($AA39),INDEX(Attenuation!$J:$J,AB$3):INDEX(Attenuation!$J:$J,AB$3+AB$4-1),1),1),1),AB$4-1))+1),INDEX(Attenuation!$J:$J,(AB$3-1+MIN(MAX(IFERROR(MATCH(LN($AA39),INDEX(Attenuation!$J:$J,AB$3):INDEX(Attenuation!$J:$J,AB$3+AB$4-1),1),1),1),AB$4-1))):INDEX(Attenuation!$J:$J,(AB$3-1+MIN(MAX(IFERROR(MATCH(LN($AA39),INDEX(Attenuation!$J:$J,AB$3):INDEX(Attenuation!$J:$J,AB$3+AB$4-1),1),1),1),AB$4-1))+1)))))</f>
        <v>63.437115618864347</v>
      </c>
      <c r="AC39" s="1">
        <f>IF($B$6="",NA(),IF(OR($AA39&lt;AC$5/2,$AA39&gt;2*AC$6),NA(),EXP(FORECAST(LN($AA39),INDEX(Attenuation!$K:$K,(AC$3-1+MIN(MAX(IFERROR(MATCH(LN($AA39),INDEX(Attenuation!$J:$J,AC$3):INDEX(Attenuation!$J:$J,AC$3+AC$4-1),1),1),1),AC$4-1))):INDEX(Attenuation!$K:$K,(AC$3-1+MIN(MAX(IFERROR(MATCH(LN($AA39),INDEX(Attenuation!$J:$J,AC$3):INDEX(Attenuation!$J:$J,AC$3+AC$4-1),1),1),1),AC$4-1))+1),INDEX(Attenuation!$J:$J,(AC$3-1+MIN(MAX(IFERROR(MATCH(LN($AA39),INDEX(Attenuation!$J:$J,AC$3):INDEX(Attenuation!$J:$J,AC$3+AC$4-1),1),1),1),AC$4-1))):INDEX(Attenuation!$J:$J,(AC$3-1+MIN(MAX(IFERROR(MATCH(LN($AA39),INDEX(Attenuation!$J:$J,AC$3):INDEX(Attenuation!$J:$J,AC$3+AC$4-1),1),1),1),AC$4-1))+1)))))</f>
        <v>32.389938736665556</v>
      </c>
      <c r="AD39" s="1">
        <f>IF($B$7="",NA(),IF(OR($AA39&lt;AD$5/2,$AA39&gt;2*AD$6),NA(),EXP(FORECAST(LN($AA39),INDEX(Attenuation!$K:$K,(AD$3-1+MIN(MAX(IFERROR(MATCH(LN($AA39),INDEX(Attenuation!$J:$J,AD$3):INDEX(Attenuation!$J:$J,AD$3+AD$4-1),1),1),1),AD$4-1))):INDEX(Attenuation!$K:$K,(AD$3-1+MIN(MAX(IFERROR(MATCH(LN($AA39),INDEX(Attenuation!$J:$J,AD$3):INDEX(Attenuation!$J:$J,AD$3+AD$4-1),1),1),1),AD$4-1))+1),INDEX(Attenuation!$J:$J,(AD$3-1+MIN(MAX(IFERROR(MATCH(LN($AA39),INDEX(Attenuation!$J:$J,AD$3):INDEX(Attenuation!$J:$J,AD$3+AD$4-1),1),1),1),AD$4-1))):INDEX(Attenuation!$J:$J,(AD$3-1+MIN(MAX(IFERROR(MATCH(LN($AA39),INDEX(Attenuation!$J:$J,AD$3):INDEX(Attenuation!$J:$J,AD$3+AD$4-1),1),1),1),AD$4-1))+1)))))</f>
        <v>23.070321051680821</v>
      </c>
      <c r="AE39" s="1">
        <f>IF($B$8="",NA(),IF(OR($AA39&lt;AE$5/2,$AA39&gt;2*AE$6),NA(),EXP(FORECAST(LN($AA39),INDEX(Attenuation!$K:$K,(AE$3-1+MIN(MAX(IFERROR(MATCH(LN($AA39),INDEX(Attenuation!$J:$J,AE$3):INDEX(Attenuation!$J:$J,AE$3+AE$4-1),1),1),1),AE$4-1))):INDEX(Attenuation!$K:$K,(AE$3-1+MIN(MAX(IFERROR(MATCH(LN($AA39),INDEX(Attenuation!$J:$J,AE$3):INDEX(Attenuation!$J:$J,AE$3+AE$4-1),1),1),1),AE$4-1))+1),INDEX(Attenuation!$J:$J,(AE$3-1+MIN(MAX(IFERROR(MATCH(LN($AA39),INDEX(Attenuation!$J:$J,AE$3):INDEX(Attenuation!$J:$J,AE$3+AE$4-1),1),1),1),AE$4-1))):INDEX(Attenuation!$J:$J,(AE$3-1+MIN(MAX(IFERROR(MATCH(LN($AA39),INDEX(Attenuation!$J:$J,AE$3):INDEX(Attenuation!$J:$J,AE$3+AE$4-1),1),1),1),AE$4-1))+1)))))</f>
        <v>11.986784762265978</v>
      </c>
      <c r="AF39" s="1">
        <f>IF($B$9="",NA(),IF(OR($AA39&lt;AF$5/2,$AA39&gt;2*AF$6),NA(),EXP(FORECAST(LN($AA39),INDEX(Attenuation!$K:$K,(AF$3-1+MIN(MAX(IFERROR(MATCH(LN($AA39),INDEX(Attenuation!$J:$J,AF$3):INDEX(Attenuation!$J:$J,AF$3+AF$4-1),1),1),1),AF$4-1))):INDEX(Attenuation!$K:$K,(AF$3-1+MIN(MAX(IFERROR(MATCH(LN($AA39),INDEX(Attenuation!$J:$J,AF$3):INDEX(Attenuation!$J:$J,AF$3+AF$4-1),1),1),1),AF$4-1))+1),INDEX(Attenuation!$J:$J,(AF$3-1+MIN(MAX(IFERROR(MATCH(LN($AA39),INDEX(Attenuation!$J:$J,AF$3):INDEX(Attenuation!$J:$J,AF$3+AF$4-1),1),1),1),AF$4-1))):INDEX(Attenuation!$J:$J,(AF$3-1+MIN(MAX(IFERROR(MATCH(LN($AA39),INDEX(Attenuation!$J:$J,AF$3):INDEX(Attenuation!$J:$J,AF$3+AF$4-1),1),1),1),AF$4-1))+1)))))</f>
        <v>11.855789518630464</v>
      </c>
      <c r="AG39" s="1">
        <f>IF($B$10="",NA(),IF(OR($AA39&lt;AG$5/2,$AA39&gt;2*AG$6),NA(),EXP(FORECAST(LN($AA39),INDEX(Attenuation!$K:$K,(AG$3-1+MIN(MAX(IFERROR(MATCH(LN($AA39),INDEX(Attenuation!$J:$J,AG$3):INDEX(Attenuation!$J:$J,AG$3+AG$4-1),1),1),1),AG$4-1))):INDEX(Attenuation!$K:$K,(AG$3-1+MIN(MAX(IFERROR(MATCH(LN($AA39),INDEX(Attenuation!$J:$J,AG$3):INDEX(Attenuation!$J:$J,AG$3+AG$4-1),1),1),1),AG$4-1))+1),INDEX(Attenuation!$J:$J,(AG$3-1+MIN(MAX(IFERROR(MATCH(LN($AA39),INDEX(Attenuation!$J:$J,AG$3):INDEX(Attenuation!$J:$J,AG$3+AG$4-1),1),1),1),AG$4-1))):INDEX(Attenuation!$J:$J,(AG$3-1+MIN(MAX(IFERROR(MATCH(LN($AA39),INDEX(Attenuation!$J:$J,AG$3):INDEX(Attenuation!$J:$J,AG$3+AG$4-1),1),1),1),AG$4-1))+1)))))</f>
        <v>10.362682646139548</v>
      </c>
      <c r="AH39" s="1">
        <f>IF($B$11="",NA(),IF(OR($AA39&lt;AH$5/2,$AA39&gt;2*AH$6),NA(),EXP(FORECAST(LN($AA39),INDEX(Attenuation!$K:$K,(AH$3-1+MIN(MAX(IFERROR(MATCH(LN($AA39),INDEX(Attenuation!$J:$J,AH$3):INDEX(Attenuation!$J:$J,AH$3+AH$4-1),1),1),1),AH$4-1))):INDEX(Attenuation!$K:$K,(AH$3-1+MIN(MAX(IFERROR(MATCH(LN($AA39),INDEX(Attenuation!$J:$J,AH$3):INDEX(Attenuation!$J:$J,AH$3+AH$4-1),1),1),1),AH$4-1))+1),INDEX(Attenuation!$J:$J,(AH$3-1+MIN(MAX(IFERROR(MATCH(LN($AA39),INDEX(Attenuation!$J:$J,AH$3):INDEX(Attenuation!$J:$J,AH$3+AH$4-1),1),1),1),AH$4-1))):INDEX(Attenuation!$J:$J,(AH$3-1+MIN(MAX(IFERROR(MATCH(LN($AA39),INDEX(Attenuation!$J:$J,AH$3):INDEX(Attenuation!$J:$J,AH$3+AH$4-1),1),1),1),AH$4-1))+1)))))</f>
        <v>6.4313649149626881</v>
      </c>
      <c r="AI39" s="1">
        <f>IF($B$12="",NA(),IF(OR($AA39&lt;AI$5/2,$AA39&gt;2*AI$6),NA(),EXP(FORECAST(LN($AA39),INDEX(Attenuation!$K:$K,(AI$3-1+MIN(MAX(IFERROR(MATCH(LN($AA39),INDEX(Attenuation!$J:$J,AI$3):INDEX(Attenuation!$J:$J,AI$3+AI$4-1),1),1),1),AI$4-1))):INDEX(Attenuation!$K:$K,(AI$3-1+MIN(MAX(IFERROR(MATCH(LN($AA39),INDEX(Attenuation!$J:$J,AI$3):INDEX(Attenuation!$J:$J,AI$3+AI$4-1),1),1),1),AI$4-1))+1),INDEX(Attenuation!$J:$J,(AI$3-1+MIN(MAX(IFERROR(MATCH(LN($AA39),INDEX(Attenuation!$J:$J,AI$3):INDEX(Attenuation!$J:$J,AI$3+AI$4-1),1),1),1),AI$4-1))):INDEX(Attenuation!$J:$J,(AI$3-1+MIN(MAX(IFERROR(MATCH(LN($AA39),INDEX(Attenuation!$J:$J,AI$3):INDEX(Attenuation!$J:$J,AI$3+AI$4-1),1),1),1),AI$4-1))+1)))))</f>
        <v>3.6187112429172461</v>
      </c>
    </row>
    <row r="40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f>10^(30/10)</f>
        <v>1000</v>
      </c>
      <c r="AB40" s="1">
        <f>IF($B$5="",NA(),IF(OR($AA40&lt;AB$5/2,$AA40&gt;2*AB$6),NA(),EXP(FORECAST(LN($AA40),INDEX(Attenuation!$K:$K,(AB$3-1+MIN(MAX(IFERROR(MATCH(LN($AA40),INDEX(Attenuation!$J:$J,AB$3):INDEX(Attenuation!$J:$J,AB$3+AB$4-1),1),1),1),AB$4-1))):INDEX(Attenuation!$K:$K,(AB$3-1+MIN(MAX(IFERROR(MATCH(LN($AA40),INDEX(Attenuation!$J:$J,AB$3):INDEX(Attenuation!$J:$J,AB$3+AB$4-1),1),1),1),AB$4-1))+1),INDEX(Attenuation!$J:$J,(AB$3-1+MIN(MAX(IFERROR(MATCH(LN($AA40),INDEX(Attenuation!$J:$J,AB$3):INDEX(Attenuation!$J:$J,AB$3+AB$4-1),1),1),1),AB$4-1))):INDEX(Attenuation!$J:$J,(AB$3-1+MIN(MAX(IFERROR(MATCH(LN($AA40),INDEX(Attenuation!$J:$J,AB$3):INDEX(Attenuation!$J:$J,AB$3+AB$4-1),1),1),1),AB$4-1))+1)))))</f>
        <v>74.803149606299186</v>
      </c>
      <c r="AC40" s="1">
        <f>IF($B$6="",NA(),IF(OR($AA40&lt;AC$5/2,$AA40&gt;2*AC$6),NA(),EXP(FORECAST(LN($AA40),INDEX(Attenuation!$K:$K,(AC$3-1+MIN(MAX(IFERROR(MATCH(LN($AA40),INDEX(Attenuation!$J:$J,AC$3):INDEX(Attenuation!$J:$J,AC$3+AC$4-1),1),1),1),AC$4-1))):INDEX(Attenuation!$K:$K,(AC$3-1+MIN(MAX(IFERROR(MATCH(LN($AA40),INDEX(Attenuation!$J:$J,AC$3):INDEX(Attenuation!$J:$J,AC$3+AC$4-1),1),1),1),AC$4-1))+1),INDEX(Attenuation!$J:$J,(AC$3-1+MIN(MAX(IFERROR(MATCH(LN($AA40),INDEX(Attenuation!$J:$J,AC$3):INDEX(Attenuation!$J:$J,AC$3+AC$4-1),1),1),1),AC$4-1))):INDEX(Attenuation!$J:$J,(AC$3-1+MIN(MAX(IFERROR(MATCH(LN($AA40),INDEX(Attenuation!$J:$J,AC$3):INDEX(Attenuation!$J:$J,AC$3+AC$4-1),1),1),1),AC$4-1))+1)))))</f>
        <v>36.745406824146976</v>
      </c>
      <c r="AD40" s="1">
        <f>IF($B$7="",NA(),IF(OR($AA40&lt;AD$5/2,$AA40&gt;2*AD$6),NA(),EXP(FORECAST(LN($AA40),INDEX(Attenuation!$K:$K,(AD$3-1+MIN(MAX(IFERROR(MATCH(LN($AA40),INDEX(Attenuation!$J:$J,AD$3):INDEX(Attenuation!$J:$J,AD$3+AD$4-1),1),1),1),AD$4-1))):INDEX(Attenuation!$K:$K,(AD$3-1+MIN(MAX(IFERROR(MATCH(LN($AA40),INDEX(Attenuation!$J:$J,AD$3):INDEX(Attenuation!$J:$J,AD$3+AD$4-1),1),1),1),AD$4-1))+1),INDEX(Attenuation!$J:$J,(AD$3-1+MIN(MAX(IFERROR(MATCH(LN($AA40),INDEX(Attenuation!$J:$J,AD$3):INDEX(Attenuation!$J:$J,AD$3+AD$4-1),1),1),1),AD$4-1))):INDEX(Attenuation!$J:$J,(AD$3-1+MIN(MAX(IFERROR(MATCH(LN($AA40),INDEX(Attenuation!$J:$J,AD$3):INDEX(Attenuation!$J:$J,AD$3+AD$4-1),1),1),1),AD$4-1))+1)))))</f>
        <v>26.246719160105002</v>
      </c>
      <c r="AE40" s="1">
        <f>IF($B$8="",NA(),IF(OR($AA40&lt;AE$5/2,$AA40&gt;2*AE$6),NA(),EXP(FORECAST(LN($AA40),INDEX(Attenuation!$K:$K,(AE$3-1+MIN(MAX(IFERROR(MATCH(LN($AA40),INDEX(Attenuation!$J:$J,AE$3):INDEX(Attenuation!$J:$J,AE$3+AE$4-1),1),1),1),AE$4-1))):INDEX(Attenuation!$K:$K,(AE$3-1+MIN(MAX(IFERROR(MATCH(LN($AA40),INDEX(Attenuation!$J:$J,AE$3):INDEX(Attenuation!$J:$J,AE$3+AE$4-1),1),1),1),AE$4-1))+1),INDEX(Attenuation!$J:$J,(AE$3-1+MIN(MAX(IFERROR(MATCH(LN($AA40),INDEX(Attenuation!$J:$J,AE$3):INDEX(Attenuation!$J:$J,AE$3+AE$4-1),1),1),1),AE$4-1))):INDEX(Attenuation!$J:$J,(AE$3-1+MIN(MAX(IFERROR(MATCH(LN($AA40),INDEX(Attenuation!$J:$J,AE$3):INDEX(Attenuation!$J:$J,AE$3+AE$4-1),1),1),1),AE$4-1))+1)))))</f>
        <v>13.523202172073812</v>
      </c>
      <c r="AF40" s="1">
        <f>IF($B$9="",NA(),IF(OR($AA40&lt;AF$5/2,$AA40&gt;2*AF$6),NA(),EXP(FORECAST(LN($AA40),INDEX(Attenuation!$K:$K,(AF$3-1+MIN(MAX(IFERROR(MATCH(LN($AA40),INDEX(Attenuation!$J:$J,AF$3):INDEX(Attenuation!$J:$J,AF$3+AF$4-1),1),1),1),AF$4-1))):INDEX(Attenuation!$K:$K,(AF$3-1+MIN(MAX(IFERROR(MATCH(LN($AA40),INDEX(Attenuation!$J:$J,AF$3):INDEX(Attenuation!$J:$J,AF$3+AF$4-1),1),1),1),AF$4-1))+1),INDEX(Attenuation!$J:$J,(AF$3-1+MIN(MAX(IFERROR(MATCH(LN($AA40),INDEX(Attenuation!$J:$J,AF$3):INDEX(Attenuation!$J:$J,AF$3+AF$4-1),1),1),1),AF$4-1))):INDEX(Attenuation!$J:$J,(AF$3-1+MIN(MAX(IFERROR(MATCH(LN($AA40),INDEX(Attenuation!$J:$J,AF$3):INDEX(Attenuation!$J:$J,AF$3+AF$4-1),1),1),1),AF$4-1))+1)))))</f>
        <v>13.4</v>
      </c>
      <c r="AG40" s="1">
        <f>IF($B$10="",NA(),IF(OR($AA40&lt;AG$5/2,$AA40&gt;2*AG$6),NA(),EXP(FORECAST(LN($AA40),INDEX(Attenuation!$K:$K,(AG$3-1+MIN(MAX(IFERROR(MATCH(LN($AA40),INDEX(Attenuation!$J:$J,AG$3):INDEX(Attenuation!$J:$J,AG$3+AG$4-1),1),1),1),AG$4-1))):INDEX(Attenuation!$K:$K,(AG$3-1+MIN(MAX(IFERROR(MATCH(LN($AA40),INDEX(Attenuation!$J:$J,AG$3):INDEX(Attenuation!$J:$J,AG$3+AG$4-1),1),1),1),AG$4-1))+1),INDEX(Attenuation!$J:$J,(AG$3-1+MIN(MAX(IFERROR(MATCH(LN($AA40),INDEX(Attenuation!$J:$J,AG$3):INDEX(Attenuation!$J:$J,AG$3+AG$4-1),1),1),1),AG$4-1))):INDEX(Attenuation!$J:$J,(AG$3-1+MIN(MAX(IFERROR(MATCH(LN($AA40),INDEX(Attenuation!$J:$J,AG$3):INDEX(Attenuation!$J:$J,AG$3+AG$4-1),1),1),1),AG$4-1))+1)))))</f>
        <v>11.8</v>
      </c>
      <c r="AH40" s="1">
        <f>IF($B$11="",NA(),IF(OR($AA40&lt;AH$5/2,$AA40&gt;2*AH$6),NA(),EXP(FORECAST(LN($AA40),INDEX(Attenuation!$K:$K,(AH$3-1+MIN(MAX(IFERROR(MATCH(LN($AA40),INDEX(Attenuation!$J:$J,AH$3):INDEX(Attenuation!$J:$J,AH$3+AH$4-1),1),1),1),AH$4-1))):INDEX(Attenuation!$K:$K,(AH$3-1+MIN(MAX(IFERROR(MATCH(LN($AA40),INDEX(Attenuation!$J:$J,AH$3):INDEX(Attenuation!$J:$J,AH$3+AH$4-1),1),1),1),AH$4-1))+1),INDEX(Attenuation!$J:$J,(AH$3-1+MIN(MAX(IFERROR(MATCH(LN($AA40),INDEX(Attenuation!$J:$J,AH$3):INDEX(Attenuation!$J:$J,AH$3+AH$4-1),1),1),1),AH$4-1))):INDEX(Attenuation!$J:$J,(AH$3-1+MIN(MAX(IFERROR(MATCH(LN($AA40),INDEX(Attenuation!$J:$J,AH$3):INDEX(Attenuation!$J:$J,AH$3+AH$4-1),1),1),1),AH$4-1))+1)))))</f>
        <v>7.2839999999999998</v>
      </c>
      <c r="AI40" s="1">
        <f>IF($B$12="",NA(),IF(OR($AA40&lt;AI$5/2,$AA40&gt;2*AI$6),NA(),EXP(FORECAST(LN($AA40),INDEX(Attenuation!$K:$K,(AI$3-1+MIN(MAX(IFERROR(MATCH(LN($AA40),INDEX(Attenuation!$J:$J,AI$3):INDEX(Attenuation!$J:$J,AI$3+AI$4-1),1),1),1),AI$4-1))):INDEX(Attenuation!$K:$K,(AI$3-1+MIN(MAX(IFERROR(MATCH(LN($AA40),INDEX(Attenuation!$J:$J,AI$3):INDEX(Attenuation!$J:$J,AI$3+AI$4-1),1),1),1),AI$4-1))+1),INDEX(Attenuation!$J:$J,(AI$3-1+MIN(MAX(IFERROR(MATCH(LN($AA40),INDEX(Attenuation!$J:$J,AI$3):INDEX(Attenuation!$J:$J,AI$3+AI$4-1),1),1),1),AI$4-1))):INDEX(Attenuation!$J:$J,(AI$3-1+MIN(MAX(IFERROR(MATCH(LN($AA40),INDEX(Attenuation!$J:$J,AI$3):INDEX(Attenuation!$J:$J,AI$3+AI$4-1),1),1),1),AI$4-1))+1)))))</f>
        <v>4.1150000000000011</v>
      </c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f>10^(31/10)</f>
        <v>1258.925411794168</v>
      </c>
      <c r="AB41" s="1">
        <f>IF($B$5="",NA(),IF(OR($AA41&lt;AB$5/2,$AA41&gt;2*AB$6),NA(),EXP(FORECAST(LN($AA41),INDEX(Attenuation!$K:$K,(AB$3-1+MIN(MAX(IFERROR(MATCH(LN($AA41),INDEX(Attenuation!$J:$J,AB$3):INDEX(Attenuation!$J:$J,AB$3+AB$4-1),1),1),1),AB$4-1))):INDEX(Attenuation!$K:$K,(AB$3-1+MIN(MAX(IFERROR(MATCH(LN($AA41),INDEX(Attenuation!$J:$J,AB$3):INDEX(Attenuation!$J:$J,AB$3+AB$4-1),1),1),1),AB$4-1))+1),INDEX(Attenuation!$J:$J,(AB$3-1+MIN(MAX(IFERROR(MATCH(LN($AA41),INDEX(Attenuation!$J:$J,AB$3):INDEX(Attenuation!$J:$J,AB$3+AB$4-1),1),1),1),AB$4-1))):INDEX(Attenuation!$J:$J,(AB$3-1+MIN(MAX(IFERROR(MATCH(LN($AA41),INDEX(Attenuation!$J:$J,AB$3):INDEX(Attenuation!$J:$J,AB$3+AB$4-1),1),1),1),AB$4-1))+1)))))</f>
        <v>88.6063778336962</v>
      </c>
      <c r="AC41" s="1">
        <f>IF($B$6="",NA(),IF(OR($AA41&lt;AC$5/2,$AA41&gt;2*AC$6),NA(),EXP(FORECAST(LN($AA41),INDEX(Attenuation!$K:$K,(AC$3-1+MIN(MAX(IFERROR(MATCH(LN($AA41),INDEX(Attenuation!$J:$J,AC$3):INDEX(Attenuation!$J:$J,AC$3+AC$4-1),1),1),1),AC$4-1))):INDEX(Attenuation!$K:$K,(AC$3-1+MIN(MAX(IFERROR(MATCH(LN($AA41),INDEX(Attenuation!$J:$J,AC$3):INDEX(Attenuation!$J:$J,AC$3+AC$4-1),1),1),1),AC$4-1))+1),INDEX(Attenuation!$J:$J,(AC$3-1+MIN(MAX(IFERROR(MATCH(LN($AA41),INDEX(Attenuation!$J:$J,AC$3):INDEX(Attenuation!$J:$J,AC$3+AC$4-1),1),1),1),AC$4-1))):INDEX(Attenuation!$J:$J,(AC$3-1+MIN(MAX(IFERROR(MATCH(LN($AA41),INDEX(Attenuation!$J:$J,AC$3):INDEX(Attenuation!$J:$J,AC$3+AC$4-1),1),1),1),AC$4-1))+1)))))</f>
        <v>40.602194183447111</v>
      </c>
      <c r="AD41" s="1">
        <f>IF($B$7="",NA(),IF(OR($AA41&lt;AD$5/2,$AA41&gt;2*AD$6),NA(),EXP(FORECAST(LN($AA41),INDEX(Attenuation!$K:$K,(AD$3-1+MIN(MAX(IFERROR(MATCH(LN($AA41),INDEX(Attenuation!$J:$J,AD$3):INDEX(Attenuation!$J:$J,AD$3+AD$4-1),1),1),1),AD$4-1))):INDEX(Attenuation!$K:$K,(AD$3-1+MIN(MAX(IFERROR(MATCH(LN($AA41),INDEX(Attenuation!$J:$J,AD$3):INDEX(Attenuation!$J:$J,AD$3+AD$4-1),1),1),1),AD$4-1))+1),INDEX(Attenuation!$J:$J,(AD$3-1+MIN(MAX(IFERROR(MATCH(LN($AA41),INDEX(Attenuation!$J:$J,AD$3):INDEX(Attenuation!$J:$J,AD$3+AD$4-1),1),1),1),AD$4-1))):INDEX(Attenuation!$J:$J,(AD$3-1+MIN(MAX(IFERROR(MATCH(LN($AA41),INDEX(Attenuation!$J:$J,AD$3):INDEX(Attenuation!$J:$J,AD$3+AD$4-1),1),1),1),AD$4-1))+1)))))</f>
        <v>30.930594118254785</v>
      </c>
      <c r="AE41" s="1">
        <f>IF($B$8="",NA(),IF(OR($AA41&lt;AE$5/2,$AA41&gt;2*AE$6),NA(),EXP(FORECAST(LN($AA41),INDEX(Attenuation!$K:$K,(AE$3-1+MIN(MAX(IFERROR(MATCH(LN($AA41),INDEX(Attenuation!$J:$J,AE$3):INDEX(Attenuation!$J:$J,AE$3+AE$4-1),1),1),1),AE$4-1))):INDEX(Attenuation!$K:$K,(AE$3-1+MIN(MAX(IFERROR(MATCH(LN($AA41),INDEX(Attenuation!$J:$J,AE$3):INDEX(Attenuation!$J:$J,AE$3+AE$4-1),1),1),1),AE$4-1))+1),INDEX(Attenuation!$J:$J,(AE$3-1+MIN(MAX(IFERROR(MATCH(LN($AA41),INDEX(Attenuation!$J:$J,AE$3):INDEX(Attenuation!$J:$J,AE$3+AE$4-1),1),1),1),AE$4-1))):INDEX(Attenuation!$J:$J,(AE$3-1+MIN(MAX(IFERROR(MATCH(LN($AA41),INDEX(Attenuation!$J:$J,AE$3):INDEX(Attenuation!$J:$J,AE$3+AE$4-1),1),1),1),AE$4-1))+1)))))</f>
        <v>15.261432714288876</v>
      </c>
      <c r="AF41" s="1">
        <f>IF($B$9="",NA(),IF(OR($AA41&lt;AF$5/2,$AA41&gt;2*AF$6),NA(),EXP(FORECAST(LN($AA41),INDEX(Attenuation!$K:$K,(AF$3-1+MIN(MAX(IFERROR(MATCH(LN($AA41),INDEX(Attenuation!$J:$J,AF$3):INDEX(Attenuation!$J:$J,AF$3+AF$4-1),1),1),1),AF$4-1))):INDEX(Attenuation!$K:$K,(AF$3-1+MIN(MAX(IFERROR(MATCH(LN($AA41),INDEX(Attenuation!$J:$J,AF$3):INDEX(Attenuation!$J:$J,AF$3+AF$4-1),1),1),1),AF$4-1))+1),INDEX(Attenuation!$J:$J,(AF$3-1+MIN(MAX(IFERROR(MATCH(LN($AA41),INDEX(Attenuation!$J:$J,AF$3):INDEX(Attenuation!$J:$J,AF$3+AF$4-1),1),1),1),AF$4-1))):INDEX(Attenuation!$J:$J,(AF$3-1+MIN(MAX(IFERROR(MATCH(LN($AA41),INDEX(Attenuation!$J:$J,AF$3):INDEX(Attenuation!$J:$J,AF$3+AF$4-1),1),1),1),AF$4-1))+1)))))</f>
        <v>15.162044387808407</v>
      </c>
      <c r="AG41" s="1">
        <f>IF($B$10="",NA(),IF(OR($AA41&lt;AG$5/2,$AA41&gt;2*AG$6),NA(),EXP(FORECAST(LN($AA41),INDEX(Attenuation!$K:$K,(AG$3-1+MIN(MAX(IFERROR(MATCH(LN($AA41),INDEX(Attenuation!$J:$J,AG$3):INDEX(Attenuation!$J:$J,AG$3+AG$4-1),1),1),1),AG$4-1))):INDEX(Attenuation!$K:$K,(AG$3-1+MIN(MAX(IFERROR(MATCH(LN($AA41),INDEX(Attenuation!$J:$J,AG$3):INDEX(Attenuation!$J:$J,AG$3+AG$4-1),1),1),1),AG$4-1))+1),INDEX(Attenuation!$J:$J,(AG$3-1+MIN(MAX(IFERROR(MATCH(LN($AA41),INDEX(Attenuation!$J:$J,AG$3):INDEX(Attenuation!$J:$J,AG$3+AG$4-1),1),1),1),AG$4-1))):INDEX(Attenuation!$J:$J,(AG$3-1+MIN(MAX(IFERROR(MATCH(LN($AA41),INDEX(Attenuation!$J:$J,AG$3):INDEX(Attenuation!$J:$J,AG$3+AG$4-1),1),1),1),AG$4-1))+1)))))</f>
        <v>13.385575134616133</v>
      </c>
      <c r="AH41" s="1">
        <f>IF($B$11="",NA(),IF(OR($AA41&lt;AH$5/2,$AA41&gt;2*AH$6),NA(),EXP(FORECAST(LN($AA41),INDEX(Attenuation!$K:$K,(AH$3-1+MIN(MAX(IFERROR(MATCH(LN($AA41),INDEX(Attenuation!$J:$J,AH$3):INDEX(Attenuation!$J:$J,AH$3+AH$4-1),1),1),1),AH$4-1))):INDEX(Attenuation!$K:$K,(AH$3-1+MIN(MAX(IFERROR(MATCH(LN($AA41),INDEX(Attenuation!$J:$J,AH$3):INDEX(Attenuation!$J:$J,AH$3+AH$4-1),1),1),1),AH$4-1))+1),INDEX(Attenuation!$J:$J,(AH$3-1+MIN(MAX(IFERROR(MATCH(LN($AA41),INDEX(Attenuation!$J:$J,AH$3):INDEX(Attenuation!$J:$J,AH$3+AH$4-1),1),1),1),AH$4-1))):INDEX(Attenuation!$J:$J,(AH$3-1+MIN(MAX(IFERROR(MATCH(LN($AA41),INDEX(Attenuation!$J:$J,AH$3):INDEX(Attenuation!$J:$J,AH$3+AH$4-1),1),1),1),AH$4-1))+1)))))</f>
        <v>8.2582301186764884</v>
      </c>
      <c r="AI41" s="1">
        <f>IF($B$12="",NA(),IF(OR($AA41&lt;AI$5/2,$AA41&gt;2*AI$6),NA(),EXP(FORECAST(LN($AA41),INDEX(Attenuation!$K:$K,(AI$3-1+MIN(MAX(IFERROR(MATCH(LN($AA41),INDEX(Attenuation!$J:$J,AI$3):INDEX(Attenuation!$J:$J,AI$3+AI$4-1),1),1),1),AI$4-1))):INDEX(Attenuation!$K:$K,(AI$3-1+MIN(MAX(IFERROR(MATCH(LN($AA41),INDEX(Attenuation!$J:$J,AI$3):INDEX(Attenuation!$J:$J,AI$3+AI$4-1),1),1),1),AI$4-1))+1),INDEX(Attenuation!$J:$J,(AI$3-1+MIN(MAX(IFERROR(MATCH(LN($AA41),INDEX(Attenuation!$J:$J,AI$3):INDEX(Attenuation!$J:$J,AI$3+AI$4-1),1),1),1),AI$4-1))):INDEX(Attenuation!$J:$J,(AI$3-1+MIN(MAX(IFERROR(MATCH(LN($AA41),INDEX(Attenuation!$J:$J,AI$3):INDEX(Attenuation!$J:$J,AI$3+AI$4-1),1),1),1),AI$4-1))+1)))))</f>
        <v>4.6859617548071055</v>
      </c>
    </row>
    <row r="42" spans="1:3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>
        <f>10^(32/10)</f>
        <v>1584.8931924611156</v>
      </c>
      <c r="AB42" s="1">
        <f>IF($B$5="",NA(),IF(OR($AA42&lt;AB$5/2,$AA42&gt;2*AB$6),NA(),EXP(FORECAST(LN($AA42),INDEX(Attenuation!$K:$K,(AB$3-1+MIN(MAX(IFERROR(MATCH(LN($AA42),INDEX(Attenuation!$J:$J,AB$3):INDEX(Attenuation!$J:$J,AB$3+AB$4-1),1),1),1),AB$4-1))):INDEX(Attenuation!$K:$K,(AB$3-1+MIN(MAX(IFERROR(MATCH(LN($AA42),INDEX(Attenuation!$J:$J,AB$3):INDEX(Attenuation!$J:$J,AB$3+AB$4-1),1),1),1),AB$4-1))+1),INDEX(Attenuation!$J:$J,(AB$3-1+MIN(MAX(IFERROR(MATCH(LN($AA42),INDEX(Attenuation!$J:$J,AB$3):INDEX(Attenuation!$J:$J,AB$3+AB$4-1),1),1),1),AB$4-1))):INDEX(Attenuation!$J:$J,(AB$3-1+MIN(MAX(IFERROR(MATCH(LN($AA42),INDEX(Attenuation!$J:$J,AB$3):INDEX(Attenuation!$J:$J,AB$3+AB$4-1),1),1),1),AB$4-1))+1)))))</f>
        <v>104.95667941964021</v>
      </c>
      <c r="AC42" s="1">
        <f>IF($B$6="",NA(),IF(OR($AA42&lt;AC$5/2,$AA42&gt;2*AC$6),NA(),EXP(FORECAST(LN($AA42),INDEX(Attenuation!$K:$K,(AC$3-1+MIN(MAX(IFERROR(MATCH(LN($AA42),INDEX(Attenuation!$J:$J,AC$3):INDEX(Attenuation!$J:$J,AC$3+AC$4-1),1),1),1),AC$4-1))):INDEX(Attenuation!$K:$K,(AC$3-1+MIN(MAX(IFERROR(MATCH(LN($AA42),INDEX(Attenuation!$J:$J,AC$3):INDEX(Attenuation!$J:$J,AC$3+AC$4-1),1),1),1),AC$4-1))+1),INDEX(Attenuation!$J:$J,(AC$3-1+MIN(MAX(IFERROR(MATCH(LN($AA42),INDEX(Attenuation!$J:$J,AC$3):INDEX(Attenuation!$J:$J,AC$3+AC$4-1),1),1),1),AC$4-1))):INDEX(Attenuation!$J:$J,(AC$3-1+MIN(MAX(IFERROR(MATCH(LN($AA42),INDEX(Attenuation!$J:$J,AC$3):INDEX(Attenuation!$J:$J,AC$3+AC$4-1),1),1),1),AC$4-1))+1)))))</f>
        <v>44.863788837603011</v>
      </c>
      <c r="AD42" s="1">
        <f>IF($B$7="",NA(),IF(OR($AA42&lt;AD$5/2,$AA42&gt;2*AD$6),NA(),EXP(FORECAST(LN($AA42),INDEX(Attenuation!$K:$K,(AD$3-1+MIN(MAX(IFERROR(MATCH(LN($AA42),INDEX(Attenuation!$J:$J,AD$3):INDEX(Attenuation!$J:$J,AD$3+AD$4-1),1),1),1),AD$4-1))):INDEX(Attenuation!$K:$K,(AD$3-1+MIN(MAX(IFERROR(MATCH(LN($AA42),INDEX(Attenuation!$J:$J,AD$3):INDEX(Attenuation!$J:$J,AD$3+AD$4-1),1),1),1),AD$4-1))+1),INDEX(Attenuation!$J:$J,(AD$3-1+MIN(MAX(IFERROR(MATCH(LN($AA42),INDEX(Attenuation!$J:$J,AD$3):INDEX(Attenuation!$J:$J,AD$3+AD$4-1),1),1),1),AD$4-1))):INDEX(Attenuation!$J:$J,(AD$3-1+MIN(MAX(IFERROR(MATCH(LN($AA42),INDEX(Attenuation!$J:$J,AD$3):INDEX(Attenuation!$J:$J,AD$3+AD$4-1),1),1),1),AD$4-1))+1)))))</f>
        <v>36.450332960563095</v>
      </c>
      <c r="AE42" s="1">
        <f>IF($B$8="",NA(),IF(OR($AA42&lt;AE$5/2,$AA42&gt;2*AE$6),NA(),EXP(FORECAST(LN($AA42),INDEX(Attenuation!$K:$K,(AE$3-1+MIN(MAX(IFERROR(MATCH(LN($AA42),INDEX(Attenuation!$J:$J,AE$3):INDEX(Attenuation!$J:$J,AE$3+AE$4-1),1),1),1),AE$4-1))):INDEX(Attenuation!$K:$K,(AE$3-1+MIN(MAX(IFERROR(MATCH(LN($AA42),INDEX(Attenuation!$J:$J,AE$3):INDEX(Attenuation!$J:$J,AE$3+AE$4-1),1),1),1),AE$4-1))+1),INDEX(Attenuation!$J:$J,(AE$3-1+MIN(MAX(IFERROR(MATCH(LN($AA42),INDEX(Attenuation!$J:$J,AE$3):INDEX(Attenuation!$J:$J,AE$3+AE$4-1),1),1),1),AE$4-1))):INDEX(Attenuation!$J:$J,(AE$3-1+MIN(MAX(IFERROR(MATCH(LN($AA42),INDEX(Attenuation!$J:$J,AE$3):INDEX(Attenuation!$J:$J,AE$3+AE$4-1),1),1),1),AE$4-1))+1)))))</f>
        <v>17.303772207845924</v>
      </c>
      <c r="AF42" s="1">
        <f>IF($B$9="",NA(),IF(OR($AA42&lt;AF$5/2,$AA42&gt;2*AF$6),NA(),EXP(FORECAST(LN($AA42),INDEX(Attenuation!$K:$K,(AF$3-1+MIN(MAX(IFERROR(MATCH(LN($AA42),INDEX(Attenuation!$J:$J,AF$3):INDEX(Attenuation!$J:$J,AF$3+AF$4-1),1),1),1),AF$4-1))):INDEX(Attenuation!$K:$K,(AF$3-1+MIN(MAX(IFERROR(MATCH(LN($AA42),INDEX(Attenuation!$J:$J,AF$3):INDEX(Attenuation!$J:$J,AF$3+AF$4-1),1),1),1),AF$4-1))+1),INDEX(Attenuation!$J:$J,(AF$3-1+MIN(MAX(IFERROR(MATCH(LN($AA42),INDEX(Attenuation!$J:$J,AF$3):INDEX(Attenuation!$J:$J,AF$3+AF$4-1),1),1),1),AF$4-1))):INDEX(Attenuation!$J:$J,(AF$3-1+MIN(MAX(IFERROR(MATCH(LN($AA42),INDEX(Attenuation!$J:$J,AF$3):INDEX(Attenuation!$J:$J,AF$3+AF$4-1),1),1),1),AF$4-1))+1)))))</f>
        <v>17.250965695269795</v>
      </c>
      <c r="AG42" s="1">
        <f>IF($B$10="",NA(),IF(OR($AA42&lt;AG$5/2,$AA42&gt;2*AG$6),NA(),EXP(FORECAST(LN($AA42),INDEX(Attenuation!$K:$K,(AG$3-1+MIN(MAX(IFERROR(MATCH(LN($AA42),INDEX(Attenuation!$J:$J,AG$3):INDEX(Attenuation!$J:$J,AG$3+AG$4-1),1),1),1),AG$4-1))):INDEX(Attenuation!$K:$K,(AG$3-1+MIN(MAX(IFERROR(MATCH(LN($AA42),INDEX(Attenuation!$J:$J,AG$3):INDEX(Attenuation!$J:$J,AG$3+AG$4-1),1),1),1),AG$4-1))+1),INDEX(Attenuation!$J:$J,(AG$3-1+MIN(MAX(IFERROR(MATCH(LN($AA42),INDEX(Attenuation!$J:$J,AG$3):INDEX(Attenuation!$J:$J,AG$3+AG$4-1),1),1),1),AG$4-1))):INDEX(Attenuation!$J:$J,(AG$3-1+MIN(MAX(IFERROR(MATCH(LN($AA42),INDEX(Attenuation!$J:$J,AG$3):INDEX(Attenuation!$J:$J,AG$3+AG$4-1),1),1),1),AG$4-1))+1)))))</f>
        <v>15.221181770773782</v>
      </c>
      <c r="AH42" s="1">
        <f>IF($B$11="",NA(),IF(OR($AA42&lt;AH$5/2,$AA42&gt;2*AH$6),NA(),EXP(FORECAST(LN($AA42),INDEX(Attenuation!$K:$K,(AH$3-1+MIN(MAX(IFERROR(MATCH(LN($AA42),INDEX(Attenuation!$J:$J,AH$3):INDEX(Attenuation!$J:$J,AH$3+AH$4-1),1),1),1),AH$4-1))):INDEX(Attenuation!$K:$K,(AH$3-1+MIN(MAX(IFERROR(MATCH(LN($AA42),INDEX(Attenuation!$J:$J,AH$3):INDEX(Attenuation!$J:$J,AH$3+AH$4-1),1),1),1),AH$4-1))+1),INDEX(Attenuation!$J:$J,(AH$3-1+MIN(MAX(IFERROR(MATCH(LN($AA42),INDEX(Attenuation!$J:$J,AH$3):INDEX(Attenuation!$J:$J,AH$3+AH$4-1),1),1),1),AH$4-1))):INDEX(Attenuation!$J:$J,(AH$3-1+MIN(MAX(IFERROR(MATCH(LN($AA42),INDEX(Attenuation!$J:$J,AH$3):INDEX(Attenuation!$J:$J,AH$3+AH$4-1),1),1),1),AH$4-1))+1)))))</f>
        <v>9.3737995046438414</v>
      </c>
      <c r="AI42" s="1">
        <f>IF($B$12="",NA(),IF(OR($AA42&lt;AI$5/2,$AA42&gt;2*AI$6),NA(),EXP(FORECAST(LN($AA42),INDEX(Attenuation!$K:$K,(AI$3-1+MIN(MAX(IFERROR(MATCH(LN($AA42),INDEX(Attenuation!$J:$J,AI$3):INDEX(Attenuation!$J:$J,AI$3+AI$4-1),1),1),1),AI$4-1))):INDEX(Attenuation!$K:$K,(AI$3-1+MIN(MAX(IFERROR(MATCH(LN($AA42),INDEX(Attenuation!$J:$J,AI$3):INDEX(Attenuation!$J:$J,AI$3+AI$4-1),1),1),1),AI$4-1))+1),INDEX(Attenuation!$J:$J,(AI$3-1+MIN(MAX(IFERROR(MATCH(LN($AA42),INDEX(Attenuation!$J:$J,AI$3):INDEX(Attenuation!$J:$J,AI$3+AI$4-1),1),1),1),AI$4-1))):INDEX(Attenuation!$J:$J,(AI$3-1+MIN(MAX(IFERROR(MATCH(LN($AA42),INDEX(Attenuation!$J:$J,AI$3):INDEX(Attenuation!$J:$J,AI$3+AI$4-1),1),1),1),AI$4-1))+1)))))</f>
        <v>5.3441640822357623</v>
      </c>
    </row>
    <row r="43" spans="1:3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>
        <f>10^(33/10)</f>
        <v>1995.2623149688804</v>
      </c>
      <c r="AB43" s="1">
        <f>IF($B$5="",NA(),IF(OR($AA43&lt;AB$5/2,$AA43&gt;2*AB$6),NA(),EXP(FORECAST(LN($AA43),INDEX(Attenuation!$K:$K,(AB$3-1+MIN(MAX(IFERROR(MATCH(LN($AA43),INDEX(Attenuation!$J:$J,AB$3):INDEX(Attenuation!$J:$J,AB$3+AB$4-1),1),1),1),AB$4-1))):INDEX(Attenuation!$K:$K,(AB$3-1+MIN(MAX(IFERROR(MATCH(LN($AA43),INDEX(Attenuation!$J:$J,AB$3):INDEX(Attenuation!$J:$J,AB$3+AB$4-1),1),1),1),AB$4-1))+1),INDEX(Attenuation!$J:$J,(AB$3-1+MIN(MAX(IFERROR(MATCH(LN($AA43),INDEX(Attenuation!$J:$J,AB$3):INDEX(Attenuation!$J:$J,AB$3+AB$4-1),1),1),1),AB$4-1))):INDEX(Attenuation!$J:$J,(AB$3-1+MIN(MAX(IFERROR(MATCH(LN($AA43),INDEX(Attenuation!$J:$J,AB$3):INDEX(Attenuation!$J:$J,AB$3+AB$4-1),1),1),1),AB$4-1))+1)))))</f>
        <v>124.32405910410502</v>
      </c>
      <c r="AC43" s="1">
        <f>IF($B$6="",NA(),IF(OR($AA43&lt;AC$5/2,$AA43&gt;2*AC$6),NA(),EXP(FORECAST(LN($AA43),INDEX(Attenuation!$K:$K,(AC$3-1+MIN(MAX(IFERROR(MATCH(LN($AA43),INDEX(Attenuation!$J:$J,AC$3):INDEX(Attenuation!$J:$J,AC$3+AC$4-1),1),1),1),AC$4-1))):INDEX(Attenuation!$K:$K,(AC$3-1+MIN(MAX(IFERROR(MATCH(LN($AA43),INDEX(Attenuation!$J:$J,AC$3):INDEX(Attenuation!$J:$J,AC$3+AC$4-1),1),1),1),AC$4-1))+1),INDEX(Attenuation!$J:$J,(AC$3-1+MIN(MAX(IFERROR(MATCH(LN($AA43),INDEX(Attenuation!$J:$J,AC$3):INDEX(Attenuation!$J:$J,AC$3+AC$4-1),1),1),1),AC$4-1))):INDEX(Attenuation!$J:$J,(AC$3-1+MIN(MAX(IFERROR(MATCH(LN($AA43),INDEX(Attenuation!$J:$J,AC$3):INDEX(Attenuation!$J:$J,AC$3+AC$4-1),1),1),1),AC$4-1))+1)))))</f>
        <v>49.572679244157733</v>
      </c>
      <c r="AD43" s="1">
        <f>IF($B$7="",NA(),IF(OR($AA43&lt;AD$5/2,$AA43&gt;2*AD$6),NA(),EXP(FORECAST(LN($AA43),INDEX(Attenuation!$K:$K,(AD$3-1+MIN(MAX(IFERROR(MATCH(LN($AA43),INDEX(Attenuation!$J:$J,AD$3):INDEX(Attenuation!$J:$J,AD$3+AD$4-1),1),1),1),AD$4-1))):INDEX(Attenuation!$K:$K,(AD$3-1+MIN(MAX(IFERROR(MATCH(LN($AA43),INDEX(Attenuation!$J:$J,AD$3):INDEX(Attenuation!$J:$J,AD$3+AD$4-1),1),1),1),AD$4-1))+1),INDEX(Attenuation!$J:$J,(AD$3-1+MIN(MAX(IFERROR(MATCH(LN($AA43),INDEX(Attenuation!$J:$J,AD$3):INDEX(Attenuation!$J:$J,AD$3+AD$4-1),1),1),1),AD$4-1))):INDEX(Attenuation!$J:$J,(AD$3-1+MIN(MAX(IFERROR(MATCH(LN($AA43),INDEX(Attenuation!$J:$J,AD$3):INDEX(Attenuation!$J:$J,AD$3+AD$4-1),1),1),1),AD$4-1))+1)))))</f>
        <v>42.955100308007786</v>
      </c>
      <c r="AE43" s="1">
        <f>IF($B$8="",NA(),IF(OR($AA43&lt;AE$5/2,$AA43&gt;2*AE$6),NA(),EXP(FORECAST(LN($AA43),INDEX(Attenuation!$K:$K,(AE$3-1+MIN(MAX(IFERROR(MATCH(LN($AA43),INDEX(Attenuation!$J:$J,AE$3):INDEX(Attenuation!$J:$J,AE$3+AE$4-1),1),1),1),AE$4-1))):INDEX(Attenuation!$K:$K,(AE$3-1+MIN(MAX(IFERROR(MATCH(LN($AA43),INDEX(Attenuation!$J:$J,AE$3):INDEX(Attenuation!$J:$J,AE$3+AE$4-1),1),1),1),AE$4-1))+1),INDEX(Attenuation!$J:$J,(AE$3-1+MIN(MAX(IFERROR(MATCH(LN($AA43),INDEX(Attenuation!$J:$J,AE$3):INDEX(Attenuation!$J:$J,AE$3+AE$4-1),1),1),1),AE$4-1))):INDEX(Attenuation!$J:$J,(AE$3-1+MIN(MAX(IFERROR(MATCH(LN($AA43),INDEX(Attenuation!$J:$J,AE$3):INDEX(Attenuation!$J:$J,AE$3+AE$4-1),1),1),1),AE$4-1))+1)))))</f>
        <v>19.662324022677815</v>
      </c>
      <c r="AF43" s="1">
        <f>IF($B$9="",NA(),IF(OR($AA43&lt;AF$5/2,$AA43&gt;2*AF$6),NA(),EXP(FORECAST(LN($AA43),INDEX(Attenuation!$K:$K,(AF$3-1+MIN(MAX(IFERROR(MATCH(LN($AA43),INDEX(Attenuation!$J:$J,AF$3):INDEX(Attenuation!$J:$J,AF$3+AF$4-1),1),1),1),AF$4-1))):INDEX(Attenuation!$K:$K,(AF$3-1+MIN(MAX(IFERROR(MATCH(LN($AA43),INDEX(Attenuation!$J:$J,AF$3):INDEX(Attenuation!$J:$J,AF$3+AF$4-1),1),1),1),AF$4-1))+1),INDEX(Attenuation!$J:$J,(AF$3-1+MIN(MAX(IFERROR(MATCH(LN($AA43),INDEX(Attenuation!$J:$J,AF$3):INDEX(Attenuation!$J:$J,AF$3+AF$4-1),1),1),1),AF$4-1))):INDEX(Attenuation!$J:$J,(AF$3-1+MIN(MAX(IFERROR(MATCH(LN($AA43),INDEX(Attenuation!$J:$J,AF$3):INDEX(Attenuation!$J:$J,AF$3+AF$4-1),1),1),1),AF$4-1))+1)))))</f>
        <v>19.643351988918912</v>
      </c>
      <c r="AG43" s="1">
        <f>IF($B$10="",NA(),IF(OR($AA43&lt;AG$5/2,$AA43&gt;2*AG$6),NA(),EXP(FORECAST(LN($AA43),INDEX(Attenuation!$K:$K,(AG$3-1+MIN(MAX(IFERROR(MATCH(LN($AA43),INDEX(Attenuation!$J:$J,AG$3):INDEX(Attenuation!$J:$J,AG$3+AG$4-1),1),1),1),AG$4-1))):INDEX(Attenuation!$K:$K,(AG$3-1+MIN(MAX(IFERROR(MATCH(LN($AA43),INDEX(Attenuation!$J:$J,AG$3):INDEX(Attenuation!$J:$J,AG$3+AG$4-1),1),1),1),AG$4-1))+1),INDEX(Attenuation!$J:$J,(AG$3-1+MIN(MAX(IFERROR(MATCH(LN($AA43),INDEX(Attenuation!$J:$J,AG$3):INDEX(Attenuation!$J:$J,AG$3+AG$4-1),1),1),1),AG$4-1))):INDEX(Attenuation!$J:$J,(AG$3-1+MIN(MAX(IFERROR(MATCH(LN($AA43),INDEX(Attenuation!$J:$J,AG$3):INDEX(Attenuation!$J:$J,AG$3+AG$4-1),1),1),1),AG$4-1))+1)))))</f>
        <v>17.31458393185482</v>
      </c>
      <c r="AH43" s="1">
        <f>IF($B$11="",NA(),IF(OR($AA43&lt;AH$5/2,$AA43&gt;2*AH$6),NA(),EXP(FORECAST(LN($AA43),INDEX(Attenuation!$K:$K,(AH$3-1+MIN(MAX(IFERROR(MATCH(LN($AA43),INDEX(Attenuation!$J:$J,AH$3):INDEX(Attenuation!$J:$J,AH$3+AH$4-1),1),1),1),AH$4-1))):INDEX(Attenuation!$K:$K,(AH$3-1+MIN(MAX(IFERROR(MATCH(LN($AA43),INDEX(Attenuation!$J:$J,AH$3):INDEX(Attenuation!$J:$J,AH$3+AH$4-1),1),1),1),AH$4-1))+1),INDEX(Attenuation!$J:$J,(AH$3-1+MIN(MAX(IFERROR(MATCH(LN($AA43),INDEX(Attenuation!$J:$J,AH$3):INDEX(Attenuation!$J:$J,AH$3+AH$4-1),1),1),1),AH$4-1))):INDEX(Attenuation!$J:$J,(AH$3-1+MIN(MAX(IFERROR(MATCH(LN($AA43),INDEX(Attenuation!$J:$J,AH$3):INDEX(Attenuation!$J:$J,AH$3+AH$4-1),1),1),1),AH$4-1))+1)))))</f>
        <v>10.65191773346379</v>
      </c>
      <c r="AI43" s="1">
        <f>IF($B$12="",NA(),IF(OR($AA43&lt;AI$5/2,$AA43&gt;2*AI$6),NA(),EXP(FORECAST(LN($AA43),INDEX(Attenuation!$K:$K,(AI$3-1+MIN(MAX(IFERROR(MATCH(LN($AA43),INDEX(Attenuation!$J:$J,AI$3):INDEX(Attenuation!$J:$J,AI$3+AI$4-1),1),1),1),AI$4-1))):INDEX(Attenuation!$K:$K,(AI$3-1+MIN(MAX(IFERROR(MATCH(LN($AA43),INDEX(Attenuation!$J:$J,AI$3):INDEX(Attenuation!$J:$J,AI$3+AI$4-1),1),1),1),AI$4-1))+1),INDEX(Attenuation!$J:$J,(AI$3-1+MIN(MAX(IFERROR(MATCH(LN($AA43),INDEX(Attenuation!$J:$J,AI$3):INDEX(Attenuation!$J:$J,AI$3+AI$4-1),1),1),1),AI$4-1))):INDEX(Attenuation!$J:$J,(AI$3-1+MIN(MAX(IFERROR(MATCH(LN($AA43),INDEX(Attenuation!$J:$J,AI$3):INDEX(Attenuation!$J:$J,AI$3+AI$4-1),1),1),1),AI$4-1))+1)))))</f>
        <v>6.1055820969344481</v>
      </c>
    </row>
    <row r="44" spans="1:3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f>10^(34/10)</f>
        <v>2511.8864315095811</v>
      </c>
      <c r="AB44" s="1" t="e">
        <f>IF($B$5="",NA(),IF(OR($AA44&lt;AB$5/2,$AA44&gt;2*AB$6),NA(),EXP(FORECAST(LN($AA44),INDEX(Attenuation!$K:$K,(AB$3-1+MIN(MAX(IFERROR(MATCH(LN($AA44),INDEX(Attenuation!$J:$J,AB$3):INDEX(Attenuation!$J:$J,AB$3+AB$4-1),1),1),1),AB$4-1))):INDEX(Attenuation!$K:$K,(AB$3-1+MIN(MAX(IFERROR(MATCH(LN($AA44),INDEX(Attenuation!$J:$J,AB$3):INDEX(Attenuation!$J:$J,AB$3+AB$4-1),1),1),1),AB$4-1))+1),INDEX(Attenuation!$J:$J,(AB$3-1+MIN(MAX(IFERROR(MATCH(LN($AA44),INDEX(Attenuation!$J:$J,AB$3):INDEX(Attenuation!$J:$J,AB$3+AB$4-1),1),1),1),AB$4-1))):INDEX(Attenuation!$J:$J,(AB$3-1+MIN(MAX(IFERROR(MATCH(LN($AA44),INDEX(Attenuation!$J:$J,AB$3):INDEX(Attenuation!$J:$J,AB$3+AB$4-1),1),1),1),AB$4-1))+1)))))</f>
        <v>#N/A</v>
      </c>
      <c r="AC44" s="1" t="e">
        <f>IF($B$6="",NA(),IF(OR($AA44&lt;AC$5/2,$AA44&gt;2*AC$6),NA(),EXP(FORECAST(LN($AA44),INDEX(Attenuation!$K:$K,(AC$3-1+MIN(MAX(IFERROR(MATCH(LN($AA44),INDEX(Attenuation!$J:$J,AC$3):INDEX(Attenuation!$J:$J,AC$3+AC$4-1),1),1),1),AC$4-1))):INDEX(Attenuation!$K:$K,(AC$3-1+MIN(MAX(IFERROR(MATCH(LN($AA44),INDEX(Attenuation!$J:$J,AC$3):INDEX(Attenuation!$J:$J,AC$3+AC$4-1),1),1),1),AC$4-1))+1),INDEX(Attenuation!$J:$J,(AC$3-1+MIN(MAX(IFERROR(MATCH(LN($AA44),INDEX(Attenuation!$J:$J,AC$3):INDEX(Attenuation!$J:$J,AC$3+AC$4-1),1),1),1),AC$4-1))):INDEX(Attenuation!$J:$J,(AC$3-1+MIN(MAX(IFERROR(MATCH(LN($AA44),INDEX(Attenuation!$J:$J,AC$3):INDEX(Attenuation!$J:$J,AC$3+AC$4-1),1),1),1),AC$4-1))+1)))))</f>
        <v>#N/A</v>
      </c>
      <c r="AD44" s="1">
        <f>IF($B$7="",NA(),IF(OR($AA44&lt;AD$5/2,$AA44&gt;2*AD$6),NA(),EXP(FORECAST(LN($AA44),INDEX(Attenuation!$K:$K,(AD$3-1+MIN(MAX(IFERROR(MATCH(LN($AA44),INDEX(Attenuation!$J:$J,AD$3):INDEX(Attenuation!$J:$J,AD$3+AD$4-1),1),1),1),AD$4-1))):INDEX(Attenuation!$K:$K,(AD$3-1+MIN(MAX(IFERROR(MATCH(LN($AA44),INDEX(Attenuation!$J:$J,AD$3):INDEX(Attenuation!$J:$J,AD$3+AD$4-1),1),1),1),AD$4-1))+1),INDEX(Attenuation!$J:$J,(AD$3-1+MIN(MAX(IFERROR(MATCH(LN($AA44),INDEX(Attenuation!$J:$J,AD$3):INDEX(Attenuation!$J:$J,AD$3+AD$4-1),1),1),1),AD$4-1))):INDEX(Attenuation!$J:$J,(AD$3-1+MIN(MAX(IFERROR(MATCH(LN($AA44),INDEX(Attenuation!$J:$J,AD$3):INDEX(Attenuation!$J:$J,AD$3+AD$4-1),1),1),1),AD$4-1))+1)))))</f>
        <v>50.620680048858091</v>
      </c>
      <c r="AE44" s="1">
        <f>IF($B$8="",NA(),IF(OR($AA44&lt;AE$5/2,$AA44&gt;2*AE$6),NA(),EXP(FORECAST(LN($AA44),INDEX(Attenuation!$K:$K,(AE$3-1+MIN(MAX(IFERROR(MATCH(LN($AA44),INDEX(Attenuation!$J:$J,AE$3):INDEX(Attenuation!$J:$J,AE$3+AE$4-1),1),1),1),AE$4-1))):INDEX(Attenuation!$K:$K,(AE$3-1+MIN(MAX(IFERROR(MATCH(LN($AA44),INDEX(Attenuation!$J:$J,AE$3):INDEX(Attenuation!$J:$J,AE$3+AE$4-1),1),1),1),AE$4-1))+1),INDEX(Attenuation!$J:$J,(AE$3-1+MIN(MAX(IFERROR(MATCH(LN($AA44),INDEX(Attenuation!$J:$J,AE$3):INDEX(Attenuation!$J:$J,AE$3+AE$4-1),1),1),1),AE$4-1))):INDEX(Attenuation!$J:$J,(AE$3-1+MIN(MAX(IFERROR(MATCH(LN($AA44),INDEX(Attenuation!$J:$J,AE$3):INDEX(Attenuation!$J:$J,AE$3+AE$4-1),1),1),1),AE$4-1))+1)))))</f>
        <v>22.367959186709555</v>
      </c>
      <c r="AF44" s="1">
        <f>IF($B$9="",NA(),IF(OR($AA44&lt;AF$5/2,$AA44&gt;2*AF$6),NA(),EXP(FORECAST(LN($AA44),INDEX(Attenuation!$K:$K,(AF$3-1+MIN(MAX(IFERROR(MATCH(LN($AA44),INDEX(Attenuation!$J:$J,AF$3):INDEX(Attenuation!$J:$J,AF$3+AF$4-1),1),1),1),AF$4-1))):INDEX(Attenuation!$K:$K,(AF$3-1+MIN(MAX(IFERROR(MATCH(LN($AA44),INDEX(Attenuation!$J:$J,AF$3):INDEX(Attenuation!$J:$J,AF$3+AF$4-1),1),1),1),AF$4-1))+1),INDEX(Attenuation!$J:$J,(AF$3-1+MIN(MAX(IFERROR(MATCH(LN($AA44),INDEX(Attenuation!$J:$J,AF$3):INDEX(Attenuation!$J:$J,AF$3+AF$4-1),1),1),1),AF$4-1))):INDEX(Attenuation!$J:$J,(AF$3-1+MIN(MAX(IFERROR(MATCH(LN($AA44),INDEX(Attenuation!$J:$J,AF$3):INDEX(Attenuation!$J:$J,AF$3+AF$4-1),1),1),1),AF$4-1))+1)))))</f>
        <v>22.344594734490947</v>
      </c>
      <c r="AG44" s="1">
        <f>IF($B$10="",NA(),IF(OR($AA44&lt;AG$5/2,$AA44&gt;2*AG$6),NA(),EXP(FORECAST(LN($AA44),INDEX(Attenuation!$K:$K,(AG$3-1+MIN(MAX(IFERROR(MATCH(LN($AA44),INDEX(Attenuation!$J:$J,AG$3):INDEX(Attenuation!$J:$J,AG$3+AG$4-1),1),1),1),AG$4-1))):INDEX(Attenuation!$K:$K,(AG$3-1+MIN(MAX(IFERROR(MATCH(LN($AA44),INDEX(Attenuation!$J:$J,AG$3):INDEX(Attenuation!$J:$J,AG$3+AG$4-1),1),1),1),AG$4-1))+1),INDEX(Attenuation!$J:$J,(AG$3-1+MIN(MAX(IFERROR(MATCH(LN($AA44),INDEX(Attenuation!$J:$J,AG$3):INDEX(Attenuation!$J:$J,AG$3+AG$4-1),1),1),1),AG$4-1))):INDEX(Attenuation!$J:$J,(AG$3-1+MIN(MAX(IFERROR(MATCH(LN($AA44),INDEX(Attenuation!$J:$J,AG$3):INDEX(Attenuation!$J:$J,AG$3+AG$4-1),1),1),1),AG$4-1))+1)))))</f>
        <v>19.667376566249779</v>
      </c>
      <c r="AH44" s="1">
        <f>IF($B$11="",NA(),IF(OR($AA44&lt;AH$5/2,$AA44&gt;2*AH$6),NA(),EXP(FORECAST(LN($AA44),INDEX(Attenuation!$K:$K,(AH$3-1+MIN(MAX(IFERROR(MATCH(LN($AA44),INDEX(Attenuation!$J:$J,AH$3):INDEX(Attenuation!$J:$J,AH$3+AH$4-1),1),1),1),AH$4-1))):INDEX(Attenuation!$K:$K,(AH$3-1+MIN(MAX(IFERROR(MATCH(LN($AA44),INDEX(Attenuation!$J:$J,AH$3):INDEX(Attenuation!$J:$J,AH$3+AH$4-1),1),1),1),AH$4-1))+1),INDEX(Attenuation!$J:$J,(AH$3-1+MIN(MAX(IFERROR(MATCH(LN($AA44),INDEX(Attenuation!$J:$J,AH$3):INDEX(Attenuation!$J:$J,AH$3+AH$4-1),1),1),1),AH$4-1))):INDEX(Attenuation!$J:$J,(AH$3-1+MIN(MAX(IFERROR(MATCH(LN($AA44),INDEX(Attenuation!$J:$J,AH$3):INDEX(Attenuation!$J:$J,AH$3+AH$4-1),1),1),1),AH$4-1))+1)))))</f>
        <v>12.122426126233027</v>
      </c>
      <c r="AI44" s="1">
        <f>IF($B$12="",NA(),IF(OR($AA44&lt;AI$5/2,$AA44&gt;2*AI$6),NA(),EXP(FORECAST(LN($AA44),INDEX(Attenuation!$K:$K,(AI$3-1+MIN(MAX(IFERROR(MATCH(LN($AA44),INDEX(Attenuation!$J:$J,AI$3):INDEX(Attenuation!$J:$J,AI$3+AI$4-1),1),1),1),AI$4-1))):INDEX(Attenuation!$K:$K,(AI$3-1+MIN(MAX(IFERROR(MATCH(LN($AA44),INDEX(Attenuation!$J:$J,AI$3):INDEX(Attenuation!$J:$J,AI$3+AI$4-1),1),1),1),AI$4-1))+1),INDEX(Attenuation!$J:$J,(AI$3-1+MIN(MAX(IFERROR(MATCH(LN($AA44),INDEX(Attenuation!$J:$J,AI$3):INDEX(Attenuation!$J:$J,AI$3+AI$4-1),1),1),1),AI$4-1))):INDEX(Attenuation!$J:$J,(AI$3-1+MIN(MAX(IFERROR(MATCH(LN($AA44),INDEX(Attenuation!$J:$J,AI$3):INDEX(Attenuation!$J:$J,AI$3+AI$4-1),1),1),1),AI$4-1))+1)))))</f>
        <v>6.987545956527498</v>
      </c>
    </row>
    <row r="45" spans="1:3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>
        <f>10^(35/10)</f>
        <v>3162.2776601683804</v>
      </c>
      <c r="AB45" s="1" t="e">
        <f>IF($B$5="",NA(),IF(OR($AA45&lt;AB$5/2,$AA45&gt;2*AB$6),NA(),EXP(FORECAST(LN($AA45),INDEX(Attenuation!$K:$K,(AB$3-1+MIN(MAX(IFERROR(MATCH(LN($AA45),INDEX(Attenuation!$J:$J,AB$3):INDEX(Attenuation!$J:$J,AB$3+AB$4-1),1),1),1),AB$4-1))):INDEX(Attenuation!$K:$K,(AB$3-1+MIN(MAX(IFERROR(MATCH(LN($AA45),INDEX(Attenuation!$J:$J,AB$3):INDEX(Attenuation!$J:$J,AB$3+AB$4-1),1),1),1),AB$4-1))+1),INDEX(Attenuation!$J:$J,(AB$3-1+MIN(MAX(IFERROR(MATCH(LN($AA45),INDEX(Attenuation!$J:$J,AB$3):INDEX(Attenuation!$J:$J,AB$3+AB$4-1),1),1),1),AB$4-1))):INDEX(Attenuation!$J:$J,(AB$3-1+MIN(MAX(IFERROR(MATCH(LN($AA45),INDEX(Attenuation!$J:$J,AB$3):INDEX(Attenuation!$J:$J,AB$3+AB$4-1),1),1),1),AB$4-1))+1)))))</f>
        <v>#N/A</v>
      </c>
      <c r="AC45" s="1" t="e">
        <f>IF($B$6="",NA(),IF(OR($AA45&lt;AC$5/2,$AA45&gt;2*AC$6),NA(),EXP(FORECAST(LN($AA45),INDEX(Attenuation!$K:$K,(AC$3-1+MIN(MAX(IFERROR(MATCH(LN($AA45),INDEX(Attenuation!$J:$J,AC$3):INDEX(Attenuation!$J:$J,AC$3+AC$4-1),1),1),1),AC$4-1))):INDEX(Attenuation!$K:$K,(AC$3-1+MIN(MAX(IFERROR(MATCH(LN($AA45),INDEX(Attenuation!$J:$J,AC$3):INDEX(Attenuation!$J:$J,AC$3+AC$4-1),1),1),1),AC$4-1))+1),INDEX(Attenuation!$J:$J,(AC$3-1+MIN(MAX(IFERROR(MATCH(LN($AA45),INDEX(Attenuation!$J:$J,AC$3):INDEX(Attenuation!$J:$J,AC$3+AC$4-1),1),1),1),AC$4-1))):INDEX(Attenuation!$J:$J,(AC$3-1+MIN(MAX(IFERROR(MATCH(LN($AA45),INDEX(Attenuation!$J:$J,AC$3):INDEX(Attenuation!$J:$J,AC$3+AC$4-1),1),1),1),AC$4-1))+1)))))</f>
        <v>#N/A</v>
      </c>
      <c r="AD45" s="1">
        <f>IF($B$7="",NA(),IF(OR($AA45&lt;AD$5/2,$AA45&gt;2*AD$6),NA(),EXP(FORECAST(LN($AA45),INDEX(Attenuation!$K:$K,(AD$3-1+MIN(MAX(IFERROR(MATCH(LN($AA45),INDEX(Attenuation!$J:$J,AD$3):INDEX(Attenuation!$J:$J,AD$3+AD$4-1),1),1),1),AD$4-1))):INDEX(Attenuation!$K:$K,(AD$3-1+MIN(MAX(IFERROR(MATCH(LN($AA45),INDEX(Attenuation!$J:$J,AD$3):INDEX(Attenuation!$J:$J,AD$3+AD$4-1),1),1),1),AD$4-1))+1),INDEX(Attenuation!$J:$J,(AD$3-1+MIN(MAX(IFERROR(MATCH(LN($AA45),INDEX(Attenuation!$J:$J,AD$3):INDEX(Attenuation!$J:$J,AD$3+AD$4-1),1),1),1),AD$4-1))):INDEX(Attenuation!$J:$J,(AD$3-1+MIN(MAX(IFERROR(MATCH(LN($AA45),INDEX(Attenuation!$J:$J,AD$3):INDEX(Attenuation!$J:$J,AD$3+AD$4-1),1),1),1),AD$4-1))+1)))))</f>
        <v>59.654225696946241</v>
      </c>
      <c r="AE45" s="1">
        <f>IF($B$8="",NA(),IF(OR($AA45&lt;AE$5/2,$AA45&gt;2*AE$6),NA(),EXP(FORECAST(LN($AA45),INDEX(Attenuation!$K:$K,(AE$3-1+MIN(MAX(IFERROR(MATCH(LN($AA45),INDEX(Attenuation!$J:$J,AE$3):INDEX(Attenuation!$J:$J,AE$3+AE$4-1),1),1),1),AE$4-1))):INDEX(Attenuation!$K:$K,(AE$3-1+MIN(MAX(IFERROR(MATCH(LN($AA45),INDEX(Attenuation!$J:$J,AE$3):INDEX(Attenuation!$J:$J,AE$3+AE$4-1),1),1),1),AE$4-1))+1),INDEX(Attenuation!$J:$J,(AE$3-1+MIN(MAX(IFERROR(MATCH(LN($AA45),INDEX(Attenuation!$J:$J,AE$3):INDEX(Attenuation!$J:$J,AE$3+AE$4-1),1),1),1),AE$4-1))):INDEX(Attenuation!$J:$J,(AE$3-1+MIN(MAX(IFERROR(MATCH(LN($AA45),INDEX(Attenuation!$J:$J,AE$3):INDEX(Attenuation!$J:$J,AE$3+AE$4-1),1),1),1),AE$4-1))+1)))))</f>
        <v>25.386219448992275</v>
      </c>
      <c r="AF45" s="1">
        <f>IF($B$9="",NA(),IF(OR($AA45&lt;AF$5/2,$AA45&gt;2*AF$6),NA(),EXP(FORECAST(LN($AA45),INDEX(Attenuation!$K:$K,(AF$3-1+MIN(MAX(IFERROR(MATCH(LN($AA45),INDEX(Attenuation!$J:$J,AF$3):INDEX(Attenuation!$J:$J,AF$3+AF$4-1),1),1),1),AF$4-1))):INDEX(Attenuation!$K:$K,(AF$3-1+MIN(MAX(IFERROR(MATCH(LN($AA45),INDEX(Attenuation!$J:$J,AF$3):INDEX(Attenuation!$J:$J,AF$3+AF$4-1),1),1),1),AF$4-1))+1),INDEX(Attenuation!$J:$J,(AF$3-1+MIN(MAX(IFERROR(MATCH(LN($AA45),INDEX(Attenuation!$J:$J,AF$3):INDEX(Attenuation!$J:$J,AF$3+AF$4-1),1),1),1),AF$4-1))):INDEX(Attenuation!$J:$J,(AF$3-1+MIN(MAX(IFERROR(MATCH(LN($AA45),INDEX(Attenuation!$J:$J,AF$3):INDEX(Attenuation!$J:$J,AF$3+AF$4-1),1),1),1),AF$4-1))+1)))))</f>
        <v>25.36852012280756</v>
      </c>
      <c r="AG45" s="1">
        <f>IF($B$10="",NA(),IF(OR($AA45&lt;AG$5/2,$AA45&gt;2*AG$6),NA(),EXP(FORECAST(LN($AA45),INDEX(Attenuation!$K:$K,(AG$3-1+MIN(MAX(IFERROR(MATCH(LN($AA45),INDEX(Attenuation!$J:$J,AG$3):INDEX(Attenuation!$J:$J,AG$3+AG$4-1),1),1),1),AG$4-1))):INDEX(Attenuation!$K:$K,(AG$3-1+MIN(MAX(IFERROR(MATCH(LN($AA45),INDEX(Attenuation!$J:$J,AG$3):INDEX(Attenuation!$J:$J,AG$3+AG$4-1),1),1),1),AG$4-1))+1),INDEX(Attenuation!$J:$J,(AG$3-1+MIN(MAX(IFERROR(MATCH(LN($AA45),INDEX(Attenuation!$J:$J,AG$3):INDEX(Attenuation!$J:$J,AG$3+AG$4-1),1),1),1),AG$4-1))):INDEX(Attenuation!$J:$J,(AG$3-1+MIN(MAX(IFERROR(MATCH(LN($AA45),INDEX(Attenuation!$J:$J,AG$3):INDEX(Attenuation!$J:$J,AG$3+AG$4-1),1),1),1),AG$4-1))+1)))))</f>
        <v>22.282579328132655</v>
      </c>
      <c r="AH45" s="1">
        <f>IF($B$11="",NA(),IF(OR($AA45&lt;AH$5/2,$AA45&gt;2*AH$6),NA(),EXP(FORECAST(LN($AA45),INDEX(Attenuation!$K:$K,(AH$3-1+MIN(MAX(IFERROR(MATCH(LN($AA45),INDEX(Attenuation!$J:$J,AH$3):INDEX(Attenuation!$J:$J,AH$3+AH$4-1),1),1),1),AH$4-1))):INDEX(Attenuation!$K:$K,(AH$3-1+MIN(MAX(IFERROR(MATCH(LN($AA45),INDEX(Attenuation!$J:$J,AH$3):INDEX(Attenuation!$J:$J,AH$3+AH$4-1),1),1),1),AH$4-1))+1),INDEX(Attenuation!$J:$J,(AH$3-1+MIN(MAX(IFERROR(MATCH(LN($AA45),INDEX(Attenuation!$J:$J,AH$3):INDEX(Attenuation!$J:$J,AH$3+AH$4-1),1),1),1),AH$4-1))):INDEX(Attenuation!$J:$J,(AH$3-1+MIN(MAX(IFERROR(MATCH(LN($AA45),INDEX(Attenuation!$J:$J,AH$3):INDEX(Attenuation!$J:$J,AH$3+AH$4-1),1),1),1),AH$4-1))+1)))))</f>
        <v>13.816720616459301</v>
      </c>
      <c r="AI45" s="1">
        <f>IF($B$12="",NA(),IF(OR($AA45&lt;AI$5/2,$AA45&gt;2*AI$6),NA(),EXP(FORECAST(LN($AA45),INDEX(Attenuation!$K:$K,(AI$3-1+MIN(MAX(IFERROR(MATCH(LN($AA45),INDEX(Attenuation!$J:$J,AI$3):INDEX(Attenuation!$J:$J,AI$3+AI$4-1),1),1),1),AI$4-1))):INDEX(Attenuation!$K:$K,(AI$3-1+MIN(MAX(IFERROR(MATCH(LN($AA45),INDEX(Attenuation!$J:$J,AI$3):INDEX(Attenuation!$J:$J,AI$3+AI$4-1),1),1),1),AI$4-1))+1),INDEX(Attenuation!$J:$J,(AI$3-1+MIN(MAX(IFERROR(MATCH(LN($AA45),INDEX(Attenuation!$J:$J,AI$3):INDEX(Attenuation!$J:$J,AI$3+AI$4-1),1),1),1),AI$4-1))):INDEX(Attenuation!$J:$J,(AI$3-1+MIN(MAX(IFERROR(MATCH(LN($AA45),INDEX(Attenuation!$J:$J,AI$3):INDEX(Attenuation!$J:$J,AI$3+AI$4-1),1),1),1),AI$4-1))+1)))))</f>
        <v>8.0128223341461826</v>
      </c>
    </row>
    <row r="46" spans="1:3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>
        <f>10^(36/10)</f>
        <v>3981.0717055349769</v>
      </c>
      <c r="AB46" s="1" t="e">
        <f>IF($B$5="",NA(),IF(OR($AA46&lt;AB$5/2,$AA46&gt;2*AB$6),NA(),EXP(FORECAST(LN($AA46),INDEX(Attenuation!$K:$K,(AB$3-1+MIN(MAX(IFERROR(MATCH(LN($AA46),INDEX(Attenuation!$J:$J,AB$3):INDEX(Attenuation!$J:$J,AB$3+AB$4-1),1),1),1),AB$4-1))):INDEX(Attenuation!$K:$K,(AB$3-1+MIN(MAX(IFERROR(MATCH(LN($AA46),INDEX(Attenuation!$J:$J,AB$3):INDEX(Attenuation!$J:$J,AB$3+AB$4-1),1),1),1),AB$4-1))+1),INDEX(Attenuation!$J:$J,(AB$3-1+MIN(MAX(IFERROR(MATCH(LN($AA46),INDEX(Attenuation!$J:$J,AB$3):INDEX(Attenuation!$J:$J,AB$3+AB$4-1),1),1),1),AB$4-1))):INDEX(Attenuation!$J:$J,(AB$3-1+MIN(MAX(IFERROR(MATCH(LN($AA46),INDEX(Attenuation!$J:$J,AB$3):INDEX(Attenuation!$J:$J,AB$3+AB$4-1),1),1),1),AB$4-1))+1)))))</f>
        <v>#N/A</v>
      </c>
      <c r="AC46" s="1" t="e">
        <f>IF($B$6="",NA(),IF(OR($AA46&lt;AC$5/2,$AA46&gt;2*AC$6),NA(),EXP(FORECAST(LN($AA46),INDEX(Attenuation!$K:$K,(AC$3-1+MIN(MAX(IFERROR(MATCH(LN($AA46),INDEX(Attenuation!$J:$J,AC$3):INDEX(Attenuation!$J:$J,AC$3+AC$4-1),1),1),1),AC$4-1))):INDEX(Attenuation!$K:$K,(AC$3-1+MIN(MAX(IFERROR(MATCH(LN($AA46),INDEX(Attenuation!$J:$J,AC$3):INDEX(Attenuation!$J:$J,AC$3+AC$4-1),1),1),1),AC$4-1))+1),INDEX(Attenuation!$J:$J,(AC$3-1+MIN(MAX(IFERROR(MATCH(LN($AA46),INDEX(Attenuation!$J:$J,AC$3):INDEX(Attenuation!$J:$J,AC$3+AC$4-1),1),1),1),AC$4-1))):INDEX(Attenuation!$J:$J,(AC$3-1+MIN(MAX(IFERROR(MATCH(LN($AA46),INDEX(Attenuation!$J:$J,AC$3):INDEX(Attenuation!$J:$J,AC$3+AC$4-1),1),1),1),AC$4-1))+1)))))</f>
        <v>#N/A</v>
      </c>
      <c r="AD46" s="1">
        <f>IF($B$7="",NA(),IF(OR($AA46&lt;AD$5/2,$AA46&gt;2*AD$6),NA(),EXP(FORECAST(LN($AA46),INDEX(Attenuation!$K:$K,(AD$3-1+MIN(MAX(IFERROR(MATCH(LN($AA46),INDEX(Attenuation!$J:$J,AD$3):INDEX(Attenuation!$J:$J,AD$3+AD$4-1),1),1),1),AD$4-1))):INDEX(Attenuation!$K:$K,(AD$3-1+MIN(MAX(IFERROR(MATCH(LN($AA46),INDEX(Attenuation!$J:$J,AD$3):INDEX(Attenuation!$J:$J,AD$3+AD$4-1),1),1),1),AD$4-1))+1),INDEX(Attenuation!$J:$J,(AD$3-1+MIN(MAX(IFERROR(MATCH(LN($AA46),INDEX(Attenuation!$J:$J,AD$3):INDEX(Attenuation!$J:$J,AD$3+AD$4-1),1),1),1),AD$4-1))):INDEX(Attenuation!$J:$J,(AD$3-1+MIN(MAX(IFERROR(MATCH(LN($AA46),INDEX(Attenuation!$J:$J,AD$3):INDEX(Attenuation!$J:$J,AD$3+AD$4-1),1),1),1),AD$4-1))+1)))))</f>
        <v>70.299858478145396</v>
      </c>
      <c r="AE46" s="1">
        <f>IF($B$8="",NA(),IF(OR($AA46&lt;AE$5/2,$AA46&gt;2*AE$6),NA(),EXP(FORECAST(LN($AA46),INDEX(Attenuation!$K:$K,(AE$3-1+MIN(MAX(IFERROR(MATCH(LN($AA46),INDEX(Attenuation!$J:$J,AE$3):INDEX(Attenuation!$J:$J,AE$3+AE$4-1),1),1),1),AE$4-1))):INDEX(Attenuation!$K:$K,(AE$3-1+MIN(MAX(IFERROR(MATCH(LN($AA46),INDEX(Attenuation!$J:$J,AE$3):INDEX(Attenuation!$J:$J,AE$3+AE$4-1),1),1),1),AE$4-1))+1),INDEX(Attenuation!$J:$J,(AE$3-1+MIN(MAX(IFERROR(MATCH(LN($AA46),INDEX(Attenuation!$J:$J,AE$3):INDEX(Attenuation!$J:$J,AE$3+AE$4-1),1),1),1),AE$4-1))):INDEX(Attenuation!$J:$J,(AE$3-1+MIN(MAX(IFERROR(MATCH(LN($AA46),INDEX(Attenuation!$J:$J,AE$3):INDEX(Attenuation!$J:$J,AE$3+AE$4-1),1),1),1),AE$4-1))+1)))))</f>
        <v>28.811754015328972</v>
      </c>
      <c r="AF46" s="1">
        <f>IF($B$9="",NA(),IF(OR($AA46&lt;AF$5/2,$AA46&gt;2*AF$6),NA(),EXP(FORECAST(LN($AA46),INDEX(Attenuation!$K:$K,(AF$3-1+MIN(MAX(IFERROR(MATCH(LN($AA46),INDEX(Attenuation!$J:$J,AF$3):INDEX(Attenuation!$J:$J,AF$3+AF$4-1),1),1),1),AF$4-1))):INDEX(Attenuation!$K:$K,(AF$3-1+MIN(MAX(IFERROR(MATCH(LN($AA46),INDEX(Attenuation!$J:$J,AF$3):INDEX(Attenuation!$J:$J,AF$3+AF$4-1),1),1),1),AF$4-1))+1),INDEX(Attenuation!$J:$J,(AF$3-1+MIN(MAX(IFERROR(MATCH(LN($AA46),INDEX(Attenuation!$J:$J,AF$3):INDEX(Attenuation!$J:$J,AF$3+AF$4-1),1),1),1),AF$4-1))):INDEX(Attenuation!$J:$J,(AF$3-1+MIN(MAX(IFERROR(MATCH(LN($AA46),INDEX(Attenuation!$J:$J,AF$3):INDEX(Attenuation!$J:$J,AF$3+AF$4-1),1),1),1),AF$4-1))+1)))))</f>
        <v>29.01950890224111</v>
      </c>
      <c r="AG46" s="1">
        <f>IF($B$10="",NA(),IF(OR($AA46&lt;AG$5/2,$AA46&gt;2*AG$6),NA(),EXP(FORECAST(LN($AA46),INDEX(Attenuation!$K:$K,(AG$3-1+MIN(MAX(IFERROR(MATCH(LN($AA46),INDEX(Attenuation!$J:$J,AG$3):INDEX(Attenuation!$J:$J,AG$3+AG$4-1),1),1),1),AG$4-1))):INDEX(Attenuation!$K:$K,(AG$3-1+MIN(MAX(IFERROR(MATCH(LN($AA46),INDEX(Attenuation!$J:$J,AG$3):INDEX(Attenuation!$J:$J,AG$3+AG$4-1),1),1),1),AG$4-1))+1),INDEX(Attenuation!$J:$J,(AG$3-1+MIN(MAX(IFERROR(MATCH(LN($AA46),INDEX(Attenuation!$J:$J,AG$3):INDEX(Attenuation!$J:$J,AG$3+AG$4-1),1),1),1),AG$4-1))):INDEX(Attenuation!$J:$J,(AG$3-1+MIN(MAX(IFERROR(MATCH(LN($AA46),INDEX(Attenuation!$J:$J,AG$3):INDEX(Attenuation!$J:$J,AG$3+AG$4-1),1),1),1),AG$4-1))+1)))))</f>
        <v>25.528387141038685</v>
      </c>
      <c r="AH46" s="1">
        <f>IF($B$11="",NA(),IF(OR($AA46&lt;AH$5/2,$AA46&gt;2*AH$6),NA(),EXP(FORECAST(LN($AA46),INDEX(Attenuation!$K:$K,(AH$3-1+MIN(MAX(IFERROR(MATCH(LN($AA46),INDEX(Attenuation!$J:$J,AH$3):INDEX(Attenuation!$J:$J,AH$3+AH$4-1),1),1),1),AH$4-1))):INDEX(Attenuation!$K:$K,(AH$3-1+MIN(MAX(IFERROR(MATCH(LN($AA46),INDEX(Attenuation!$J:$J,AH$3):INDEX(Attenuation!$J:$J,AH$3+AH$4-1),1),1),1),AH$4-1))+1),INDEX(Attenuation!$J:$J,(AH$3-1+MIN(MAX(IFERROR(MATCH(LN($AA46),INDEX(Attenuation!$J:$J,AH$3):INDEX(Attenuation!$J:$J,AH$3+AH$4-1),1),1),1),AH$4-1))):INDEX(Attenuation!$J:$J,(AH$3-1+MIN(MAX(IFERROR(MATCH(LN($AA46),INDEX(Attenuation!$J:$J,AH$3):INDEX(Attenuation!$J:$J,AH$3+AH$4-1),1),1),1),AH$4-1))+1)))))</f>
        <v>15.771652479176032</v>
      </c>
      <c r="AI46" s="1">
        <f>IF($B$12="",NA(),IF(OR($AA46&lt;AI$5/2,$AA46&gt;2*AI$6),NA(),EXP(FORECAST(LN($AA46),INDEX(Attenuation!$K:$K,(AI$3-1+MIN(MAX(IFERROR(MATCH(LN($AA46),INDEX(Attenuation!$J:$J,AI$3):INDEX(Attenuation!$J:$J,AI$3+AI$4-1),1),1),1),AI$4-1))):INDEX(Attenuation!$K:$K,(AI$3-1+MIN(MAX(IFERROR(MATCH(LN($AA46),INDEX(Attenuation!$J:$J,AI$3):INDEX(Attenuation!$J:$J,AI$3+AI$4-1),1),1),1),AI$4-1))+1),INDEX(Attenuation!$J:$J,(AI$3-1+MIN(MAX(IFERROR(MATCH(LN($AA46),INDEX(Attenuation!$J:$J,AI$3):INDEX(Attenuation!$J:$J,AI$3+AI$4-1),1),1),1),AI$4-1))):INDEX(Attenuation!$J:$J,(AI$3-1+MIN(MAX(IFERROR(MATCH(LN($AA46),INDEX(Attenuation!$J:$J,AI$3):INDEX(Attenuation!$J:$J,AI$3+AI$4-1),1),1),1),AI$4-1))+1)))))</f>
        <v>9.2075300497479962</v>
      </c>
    </row>
    <row r="47" spans="1:3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f>10^(37/10)</f>
        <v>5011.8723362727324</v>
      </c>
      <c r="AB47" s="1" t="e">
        <f>IF($B$5="",NA(),IF(OR($AA47&lt;AB$5/2,$AA47&gt;2*AB$6),NA(),EXP(FORECAST(LN($AA47),INDEX(Attenuation!$K:$K,(AB$3-1+MIN(MAX(IFERROR(MATCH(LN($AA47),INDEX(Attenuation!$J:$J,AB$3):INDEX(Attenuation!$J:$J,AB$3+AB$4-1),1),1),1),AB$4-1))):INDEX(Attenuation!$K:$K,(AB$3-1+MIN(MAX(IFERROR(MATCH(LN($AA47),INDEX(Attenuation!$J:$J,AB$3):INDEX(Attenuation!$J:$J,AB$3+AB$4-1),1),1),1),AB$4-1))+1),INDEX(Attenuation!$J:$J,(AB$3-1+MIN(MAX(IFERROR(MATCH(LN($AA47),INDEX(Attenuation!$J:$J,AB$3):INDEX(Attenuation!$J:$J,AB$3+AB$4-1),1),1),1),AB$4-1))):INDEX(Attenuation!$J:$J,(AB$3-1+MIN(MAX(IFERROR(MATCH(LN($AA47),INDEX(Attenuation!$J:$J,AB$3):INDEX(Attenuation!$J:$J,AB$3+AB$4-1),1),1),1),AB$4-1))+1)))))</f>
        <v>#N/A</v>
      </c>
      <c r="AC47" s="1" t="e">
        <f>IF($B$6="",NA(),IF(OR($AA47&lt;AC$5/2,$AA47&gt;2*AC$6),NA(),EXP(FORECAST(LN($AA47),INDEX(Attenuation!$K:$K,(AC$3-1+MIN(MAX(IFERROR(MATCH(LN($AA47),INDEX(Attenuation!$J:$J,AC$3):INDEX(Attenuation!$J:$J,AC$3+AC$4-1),1),1),1),AC$4-1))):INDEX(Attenuation!$K:$K,(AC$3-1+MIN(MAX(IFERROR(MATCH(LN($AA47),INDEX(Attenuation!$J:$J,AC$3):INDEX(Attenuation!$J:$J,AC$3+AC$4-1),1),1),1),AC$4-1))+1),INDEX(Attenuation!$J:$J,(AC$3-1+MIN(MAX(IFERROR(MATCH(LN($AA47),INDEX(Attenuation!$J:$J,AC$3):INDEX(Attenuation!$J:$J,AC$3+AC$4-1),1),1),1),AC$4-1))):INDEX(Attenuation!$J:$J,(AC$3-1+MIN(MAX(IFERROR(MATCH(LN($AA47),INDEX(Attenuation!$J:$J,AC$3):INDEX(Attenuation!$J:$J,AC$3+AC$4-1),1),1),1),AC$4-1))+1)))))</f>
        <v>#N/A</v>
      </c>
      <c r="AD47" s="1">
        <f>IF($B$7="",NA(),IF(OR($AA47&lt;AD$5/2,$AA47&gt;2*AD$6),NA(),EXP(FORECAST(LN($AA47),INDEX(Attenuation!$K:$K,(AD$3-1+MIN(MAX(IFERROR(MATCH(LN($AA47),INDEX(Attenuation!$J:$J,AD$3):INDEX(Attenuation!$J:$J,AD$3+AD$4-1),1),1),1),AD$4-1))):INDEX(Attenuation!$K:$K,(AD$3-1+MIN(MAX(IFERROR(MATCH(LN($AA47),INDEX(Attenuation!$J:$J,AD$3):INDEX(Attenuation!$J:$J,AD$3+AD$4-1),1),1),1),AD$4-1))+1),INDEX(Attenuation!$J:$J,(AD$3-1+MIN(MAX(IFERROR(MATCH(LN($AA47),INDEX(Attenuation!$J:$J,AD$3):INDEX(Attenuation!$J:$J,AD$3+AD$4-1),1),1),1),AD$4-1))):INDEX(Attenuation!$J:$J,(AD$3-1+MIN(MAX(IFERROR(MATCH(LN($AA47),INDEX(Attenuation!$J:$J,AD$3):INDEX(Attenuation!$J:$J,AD$3+AD$4-1),1),1),1),AD$4-1))+1)))))</f>
        <v>82.845264426930015</v>
      </c>
      <c r="AE47" s="1">
        <f>IF($B$8="",NA(),IF(OR($AA47&lt;AE$5/2,$AA47&gt;2*AE$6),NA(),EXP(FORECAST(LN($AA47),INDEX(Attenuation!$K:$K,(AE$3-1+MIN(MAX(IFERROR(MATCH(LN($AA47),INDEX(Attenuation!$J:$J,AE$3):INDEX(Attenuation!$J:$J,AE$3+AE$4-1),1),1),1),AE$4-1))):INDEX(Attenuation!$K:$K,(AE$3-1+MIN(MAX(IFERROR(MATCH(LN($AA47),INDEX(Attenuation!$J:$J,AE$3):INDEX(Attenuation!$J:$J,AE$3+AE$4-1),1),1),1),AE$4-1))+1),INDEX(Attenuation!$J:$J,(AE$3-1+MIN(MAX(IFERROR(MATCH(LN($AA47),INDEX(Attenuation!$J:$J,AE$3):INDEX(Attenuation!$J:$J,AE$3+AE$4-1),1),1),1),AE$4-1))):INDEX(Attenuation!$J:$J,(AE$3-1+MIN(MAX(IFERROR(MATCH(LN($AA47),INDEX(Attenuation!$J:$J,AE$3):INDEX(Attenuation!$J:$J,AE$3+AE$4-1),1),1),1),AE$4-1))+1)))))</f>
        <v>32.699519166599558</v>
      </c>
      <c r="AF47" s="1">
        <f>IF($B$9="",NA(),IF(OR($AA47&lt;AF$5/2,$AA47&gt;2*AF$6),NA(),EXP(FORECAST(LN($AA47),INDEX(Attenuation!$K:$K,(AF$3-1+MIN(MAX(IFERROR(MATCH(LN($AA47),INDEX(Attenuation!$J:$J,AF$3):INDEX(Attenuation!$J:$J,AF$3+AF$4-1),1),1),1),AF$4-1))):INDEX(Attenuation!$K:$K,(AF$3-1+MIN(MAX(IFERROR(MATCH(LN($AA47),INDEX(Attenuation!$J:$J,AF$3):INDEX(Attenuation!$J:$J,AF$3+AF$4-1),1),1),1),AF$4-1))+1),INDEX(Attenuation!$J:$J,(AF$3-1+MIN(MAX(IFERROR(MATCH(LN($AA47),INDEX(Attenuation!$J:$J,AF$3):INDEX(Attenuation!$J:$J,AF$3+AF$4-1),1),1),1),AF$4-1))):INDEX(Attenuation!$J:$J,(AF$3-1+MIN(MAX(IFERROR(MATCH(LN($AA47),INDEX(Attenuation!$J:$J,AF$3):INDEX(Attenuation!$J:$J,AF$3+AF$4-1),1),1),1),AF$4-1))+1)))))</f>
        <v>33.146826401624658</v>
      </c>
      <c r="AG47" s="1">
        <f>IF($B$10="",NA(),IF(OR($AA47&lt;AG$5/2,$AA47&gt;2*AG$6),NA(),EXP(FORECAST(LN($AA47),INDEX(Attenuation!$K:$K,(AG$3-1+MIN(MAX(IFERROR(MATCH(LN($AA47),INDEX(Attenuation!$J:$J,AG$3):INDEX(Attenuation!$J:$J,AG$3+AG$4-1),1),1),1),AG$4-1))):INDEX(Attenuation!$K:$K,(AG$3-1+MIN(MAX(IFERROR(MATCH(LN($AA47),INDEX(Attenuation!$J:$J,AG$3):INDEX(Attenuation!$J:$J,AG$3+AG$4-1),1),1),1),AG$4-1))+1),INDEX(Attenuation!$J:$J,(AG$3-1+MIN(MAX(IFERROR(MATCH(LN($AA47),INDEX(Attenuation!$J:$J,AG$3):INDEX(Attenuation!$J:$J,AG$3+AG$4-1),1),1),1),AG$4-1))):INDEX(Attenuation!$J:$J,(AG$3-1+MIN(MAX(IFERROR(MATCH(LN($AA47),INDEX(Attenuation!$J:$J,AG$3):INDEX(Attenuation!$J:$J,AG$3+AG$4-1),1),1),1),AG$4-1))+1)))))</f>
        <v>29.244193047105878</v>
      </c>
      <c r="AH47" s="1">
        <f>IF($B$11="",NA(),IF(OR($AA47&lt;AH$5/2,$AA47&gt;2*AH$6),NA(),EXP(FORECAST(LN($AA47),INDEX(Attenuation!$K:$K,(AH$3-1+MIN(MAX(IFERROR(MATCH(LN($AA47),INDEX(Attenuation!$J:$J,AH$3):INDEX(Attenuation!$J:$J,AH$3+AH$4-1),1),1),1),AH$4-1))):INDEX(Attenuation!$K:$K,(AH$3-1+MIN(MAX(IFERROR(MATCH(LN($AA47),INDEX(Attenuation!$J:$J,AH$3):INDEX(Attenuation!$J:$J,AH$3+AH$4-1),1),1),1),AH$4-1))+1),INDEX(Attenuation!$J:$J,(AH$3-1+MIN(MAX(IFERROR(MATCH(LN($AA47),INDEX(Attenuation!$J:$J,AH$3):INDEX(Attenuation!$J:$J,AH$3+AH$4-1),1),1),1),AH$4-1))):INDEX(Attenuation!$J:$J,(AH$3-1+MIN(MAX(IFERROR(MATCH(LN($AA47),INDEX(Attenuation!$J:$J,AH$3):INDEX(Attenuation!$J:$J,AH$3+AH$4-1),1),1),1),AH$4-1))+1)))))</f>
        <v>18.035214272117564</v>
      </c>
      <c r="AI47" s="1">
        <f>IF($B$12="",NA(),IF(OR($AA47&lt;AI$5/2,$AA47&gt;2*AI$6),NA(),EXP(FORECAST(LN($AA47),INDEX(Attenuation!$K:$K,(AI$3-1+MIN(MAX(IFERROR(MATCH(LN($AA47),INDEX(Attenuation!$J:$J,AI$3):INDEX(Attenuation!$J:$J,AI$3+AI$4-1),1),1),1),AI$4-1))):INDEX(Attenuation!$K:$K,(AI$3-1+MIN(MAX(IFERROR(MATCH(LN($AA47),INDEX(Attenuation!$J:$J,AI$3):INDEX(Attenuation!$J:$J,AI$3+AI$4-1),1),1),1),AI$4-1))+1),INDEX(Attenuation!$J:$J,(AI$3-1+MIN(MAX(IFERROR(MATCH(LN($AA47),INDEX(Attenuation!$J:$J,AI$3):INDEX(Attenuation!$J:$J,AI$3+AI$4-1),1),1),1),AI$4-1))):INDEX(Attenuation!$J:$J,(AI$3-1+MIN(MAX(IFERROR(MATCH(LN($AA47),INDEX(Attenuation!$J:$J,AI$3):INDEX(Attenuation!$J:$J,AI$3+AI$4-1),1),1),1),AI$4-1))+1)))))</f>
        <v>10.604485688875142</v>
      </c>
    </row>
    <row r="48" spans="1:3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f>10^(38/10)</f>
        <v>6309.5734448019384</v>
      </c>
      <c r="AB48" s="1" t="e">
        <f>IF($B$5="",NA(),IF(OR($AA48&lt;AB$5/2,$AA48&gt;2*AB$6),NA(),EXP(FORECAST(LN($AA48),INDEX(Attenuation!$K:$K,(AB$3-1+MIN(MAX(IFERROR(MATCH(LN($AA48),INDEX(Attenuation!$J:$J,AB$3):INDEX(Attenuation!$J:$J,AB$3+AB$4-1),1),1),1),AB$4-1))):INDEX(Attenuation!$K:$K,(AB$3-1+MIN(MAX(IFERROR(MATCH(LN($AA48),INDEX(Attenuation!$J:$J,AB$3):INDEX(Attenuation!$J:$J,AB$3+AB$4-1),1),1),1),AB$4-1))+1),INDEX(Attenuation!$J:$J,(AB$3-1+MIN(MAX(IFERROR(MATCH(LN($AA48),INDEX(Attenuation!$J:$J,AB$3):INDEX(Attenuation!$J:$J,AB$3+AB$4-1),1),1),1),AB$4-1))):INDEX(Attenuation!$J:$J,(AB$3-1+MIN(MAX(IFERROR(MATCH(LN($AA48),INDEX(Attenuation!$J:$J,AB$3):INDEX(Attenuation!$J:$J,AB$3+AB$4-1),1),1),1),AB$4-1))+1)))))</f>
        <v>#N/A</v>
      </c>
      <c r="AC48" s="1" t="e">
        <f>IF($B$6="",NA(),IF(OR($AA48&lt;AC$5/2,$AA48&gt;2*AC$6),NA(),EXP(FORECAST(LN($AA48),INDEX(Attenuation!$K:$K,(AC$3-1+MIN(MAX(IFERROR(MATCH(LN($AA48),INDEX(Attenuation!$J:$J,AC$3):INDEX(Attenuation!$J:$J,AC$3+AC$4-1),1),1),1),AC$4-1))):INDEX(Attenuation!$K:$K,(AC$3-1+MIN(MAX(IFERROR(MATCH(LN($AA48),INDEX(Attenuation!$J:$J,AC$3):INDEX(Attenuation!$J:$J,AC$3+AC$4-1),1),1),1),AC$4-1))+1),INDEX(Attenuation!$J:$J,(AC$3-1+MIN(MAX(IFERROR(MATCH(LN($AA48),INDEX(Attenuation!$J:$J,AC$3):INDEX(Attenuation!$J:$J,AC$3+AC$4-1),1),1),1),AC$4-1))):INDEX(Attenuation!$J:$J,(AC$3-1+MIN(MAX(IFERROR(MATCH(LN($AA48),INDEX(Attenuation!$J:$J,AC$3):INDEX(Attenuation!$J:$J,AC$3+AC$4-1),1),1),1),AC$4-1))+1)))))</f>
        <v>#N/A</v>
      </c>
      <c r="AD48" s="1">
        <f>IF($B$7="",NA(),IF(OR($AA48&lt;AD$5/2,$AA48&gt;2*AD$6),NA(),EXP(FORECAST(LN($AA48),INDEX(Attenuation!$K:$K,(AD$3-1+MIN(MAX(IFERROR(MATCH(LN($AA48),INDEX(Attenuation!$J:$J,AD$3):INDEX(Attenuation!$J:$J,AD$3+AD$4-1),1),1),1),AD$4-1))):INDEX(Attenuation!$K:$K,(AD$3-1+MIN(MAX(IFERROR(MATCH(LN($AA48),INDEX(Attenuation!$J:$J,AD$3):INDEX(Attenuation!$J:$J,AD$3+AD$4-1),1),1),1),AD$4-1))+1),INDEX(Attenuation!$J:$J,(AD$3-1+MIN(MAX(IFERROR(MATCH(LN($AA48),INDEX(Attenuation!$J:$J,AD$3):INDEX(Attenuation!$J:$J,AD$3+AD$4-1),1),1),1),AD$4-1))):INDEX(Attenuation!$J:$J,(AD$3-1+MIN(MAX(IFERROR(MATCH(LN($AA48),INDEX(Attenuation!$J:$J,AD$3):INDEX(Attenuation!$J:$J,AD$3+AD$4-1),1),1),1),AD$4-1))+1)))))</f>
        <v>97.629468771997566</v>
      </c>
      <c r="AE48" s="1">
        <f>IF($B$8="",NA(),IF(OR($AA48&lt;AE$5/2,$AA48&gt;2*AE$6),NA(),EXP(FORECAST(LN($AA48),INDEX(Attenuation!$K:$K,(AE$3-1+MIN(MAX(IFERROR(MATCH(LN($AA48),INDEX(Attenuation!$J:$J,AE$3):INDEX(Attenuation!$J:$J,AE$3+AE$4-1),1),1),1),AE$4-1))):INDEX(Attenuation!$K:$K,(AE$3-1+MIN(MAX(IFERROR(MATCH(LN($AA48),INDEX(Attenuation!$J:$J,AE$3):INDEX(Attenuation!$J:$J,AE$3+AE$4-1),1),1),1),AE$4-1))+1),INDEX(Attenuation!$J:$J,(AE$3-1+MIN(MAX(IFERROR(MATCH(LN($AA48),INDEX(Attenuation!$J:$J,AE$3):INDEX(Attenuation!$J:$J,AE$3+AE$4-1),1),1),1),AE$4-1))):INDEX(Attenuation!$J:$J,(AE$3-1+MIN(MAX(IFERROR(MATCH(LN($AA48),INDEX(Attenuation!$J:$J,AE$3):INDEX(Attenuation!$J:$J,AE$3+AE$4-1),1),1),1),AE$4-1))+1)))))</f>
        <v>37.111886806958175</v>
      </c>
      <c r="AF48" s="1">
        <f>IF($B$9="",NA(),IF(OR($AA48&lt;AF$5/2,$AA48&gt;2*AF$6),NA(),EXP(FORECAST(LN($AA48),INDEX(Attenuation!$K:$K,(AF$3-1+MIN(MAX(IFERROR(MATCH(LN($AA48),INDEX(Attenuation!$J:$J,AF$3):INDEX(Attenuation!$J:$J,AF$3+AF$4-1),1),1),1),AF$4-1))):INDEX(Attenuation!$K:$K,(AF$3-1+MIN(MAX(IFERROR(MATCH(LN($AA48),INDEX(Attenuation!$J:$J,AF$3):INDEX(Attenuation!$J:$J,AF$3+AF$4-1),1),1),1),AF$4-1))+1),INDEX(Attenuation!$J:$J,(AF$3-1+MIN(MAX(IFERROR(MATCH(LN($AA48),INDEX(Attenuation!$J:$J,AF$3):INDEX(Attenuation!$J:$J,AF$3+AF$4-1),1),1),1),AF$4-1))):INDEX(Attenuation!$J:$J,(AF$3-1+MIN(MAX(IFERROR(MATCH(LN($AA48),INDEX(Attenuation!$J:$J,AF$3):INDEX(Attenuation!$J:$J,AF$3+AF$4-1),1),1),1),AF$4-1))+1)))))</f>
        <v>38.09946433915615</v>
      </c>
      <c r="AG48" s="1">
        <f>IF($B$10="",NA(),IF(OR($AA48&lt;AG$5/2,$AA48&gt;2*AG$6),NA(),EXP(FORECAST(LN($AA48),INDEX(Attenuation!$K:$K,(AG$3-1+MIN(MAX(IFERROR(MATCH(LN($AA48),INDEX(Attenuation!$J:$J,AG$3):INDEX(Attenuation!$J:$J,AG$3+AG$4-1),1),1),1),AG$4-1))):INDEX(Attenuation!$K:$K,(AG$3-1+MIN(MAX(IFERROR(MATCH(LN($AA48),INDEX(Attenuation!$J:$J,AG$3):INDEX(Attenuation!$J:$J,AG$3+AG$4-1),1),1),1),AG$4-1))+1),INDEX(Attenuation!$J:$J,(AG$3-1+MIN(MAX(IFERROR(MATCH(LN($AA48),INDEX(Attenuation!$J:$J,AG$3):INDEX(Attenuation!$J:$J,AG$3+AG$4-1),1),1),1),AG$4-1))):INDEX(Attenuation!$J:$J,(AG$3-1+MIN(MAX(IFERROR(MATCH(LN($AA48),INDEX(Attenuation!$J:$J,AG$3):INDEX(Attenuation!$J:$J,AG$3+AG$4-1),1),1),1),AG$4-1))+1)))))</f>
        <v>33.688717256564523</v>
      </c>
      <c r="AH48" s="1">
        <f>IF($B$11="",NA(),IF(OR($AA48&lt;AH$5/2,$AA48&gt;2*AH$6),NA(),EXP(FORECAST(LN($AA48),INDEX(Attenuation!$K:$K,(AH$3-1+MIN(MAX(IFERROR(MATCH(LN($AA48),INDEX(Attenuation!$J:$J,AH$3):INDEX(Attenuation!$J:$J,AH$3+AH$4-1),1),1),1),AH$4-1))):INDEX(Attenuation!$K:$K,(AH$3-1+MIN(MAX(IFERROR(MATCH(LN($AA48),INDEX(Attenuation!$J:$J,AH$3):INDEX(Attenuation!$J:$J,AH$3+AH$4-1),1),1),1),AH$4-1))+1),INDEX(Attenuation!$J:$J,(AH$3-1+MIN(MAX(IFERROR(MATCH(LN($AA48),INDEX(Attenuation!$J:$J,AH$3):INDEX(Attenuation!$J:$J,AH$3+AH$4-1),1),1),1),AH$4-1))):INDEX(Attenuation!$J:$J,(AH$3-1+MIN(MAX(IFERROR(MATCH(LN($AA48),INDEX(Attenuation!$J:$J,AH$3):INDEX(Attenuation!$J:$J,AH$3+AH$4-1),1),1),1),AH$4-1))+1)))))</f>
        <v>20.668470910007322</v>
      </c>
      <c r="AI48" s="1">
        <f>IF($B$12="",NA(),IF(OR($AA48&lt;AI$5/2,$AA48&gt;2*AI$6),NA(),EXP(FORECAST(LN($AA48),INDEX(Attenuation!$K:$K,(AI$3-1+MIN(MAX(IFERROR(MATCH(LN($AA48),INDEX(Attenuation!$J:$J,AI$3):INDEX(Attenuation!$J:$J,AI$3+AI$4-1),1),1),1),AI$4-1))):INDEX(Attenuation!$K:$K,(AI$3-1+MIN(MAX(IFERROR(MATCH(LN($AA48),INDEX(Attenuation!$J:$J,AI$3):INDEX(Attenuation!$J:$J,AI$3+AI$4-1),1),1),1),AI$4-1))+1),INDEX(Attenuation!$J:$J,(AI$3-1+MIN(MAX(IFERROR(MATCH(LN($AA48),INDEX(Attenuation!$J:$J,AI$3):INDEX(Attenuation!$J:$J,AI$3+AI$4-1),1),1),1),AI$4-1))):INDEX(Attenuation!$J:$J,(AI$3-1+MIN(MAX(IFERROR(MATCH(LN($AA48),INDEX(Attenuation!$J:$J,AI$3):INDEX(Attenuation!$J:$J,AI$3+AI$4-1),1),1),1),AI$4-1))+1)))))</f>
        <v>12.22102249393901</v>
      </c>
    </row>
    <row r="49" spans="1:3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>
        <f>10^(39/10)</f>
        <v>7943.2823472428154</v>
      </c>
      <c r="AB49" s="1" t="e">
        <f>IF($B$5="",NA(),IF(OR($AA49&lt;AB$5/2,$AA49&gt;2*AB$6),NA(),EXP(FORECAST(LN($AA49),INDEX(Attenuation!$K:$K,(AB$3-1+MIN(MAX(IFERROR(MATCH(LN($AA49),INDEX(Attenuation!$J:$J,AB$3):INDEX(Attenuation!$J:$J,AB$3+AB$4-1),1),1),1),AB$4-1))):INDEX(Attenuation!$K:$K,(AB$3-1+MIN(MAX(IFERROR(MATCH(LN($AA49),INDEX(Attenuation!$J:$J,AB$3):INDEX(Attenuation!$J:$J,AB$3+AB$4-1),1),1),1),AB$4-1))+1),INDEX(Attenuation!$J:$J,(AB$3-1+MIN(MAX(IFERROR(MATCH(LN($AA49),INDEX(Attenuation!$J:$J,AB$3):INDEX(Attenuation!$J:$J,AB$3+AB$4-1),1),1),1),AB$4-1))):INDEX(Attenuation!$J:$J,(AB$3-1+MIN(MAX(IFERROR(MATCH(LN($AA49),INDEX(Attenuation!$J:$J,AB$3):INDEX(Attenuation!$J:$J,AB$3+AB$4-1),1),1),1),AB$4-1))+1)))))</f>
        <v>#N/A</v>
      </c>
      <c r="AC49" s="1" t="e">
        <f>IF($B$6="",NA(),IF(OR($AA49&lt;AC$5/2,$AA49&gt;2*AC$6),NA(),EXP(FORECAST(LN($AA49),INDEX(Attenuation!$K:$K,(AC$3-1+MIN(MAX(IFERROR(MATCH(LN($AA49),INDEX(Attenuation!$J:$J,AC$3):INDEX(Attenuation!$J:$J,AC$3+AC$4-1),1),1),1),AC$4-1))):INDEX(Attenuation!$K:$K,(AC$3-1+MIN(MAX(IFERROR(MATCH(LN($AA49),INDEX(Attenuation!$J:$J,AC$3):INDEX(Attenuation!$J:$J,AC$3+AC$4-1),1),1),1),AC$4-1))+1),INDEX(Attenuation!$J:$J,(AC$3-1+MIN(MAX(IFERROR(MATCH(LN($AA49),INDEX(Attenuation!$J:$J,AC$3):INDEX(Attenuation!$J:$J,AC$3+AC$4-1),1),1),1),AC$4-1))):INDEX(Attenuation!$J:$J,(AC$3-1+MIN(MAX(IFERROR(MATCH(LN($AA49),INDEX(Attenuation!$J:$J,AC$3):INDEX(Attenuation!$J:$J,AC$3+AC$4-1),1),1),1),AC$4-1))+1)))))</f>
        <v>#N/A</v>
      </c>
      <c r="AD49" s="1">
        <f>IF($B$7="",NA(),IF(OR($AA49&lt;AD$5/2,$AA49&gt;2*AD$6),NA(),EXP(FORECAST(LN($AA49),INDEX(Attenuation!$K:$K,(AD$3-1+MIN(MAX(IFERROR(MATCH(LN($AA49),INDEX(Attenuation!$J:$J,AD$3):INDEX(Attenuation!$J:$J,AD$3+AD$4-1),1),1),1),AD$4-1))):INDEX(Attenuation!$K:$K,(AD$3-1+MIN(MAX(IFERROR(MATCH(LN($AA49),INDEX(Attenuation!$J:$J,AD$3):INDEX(Attenuation!$J:$J,AD$3+AD$4-1),1),1),1),AD$4-1))+1),INDEX(Attenuation!$J:$J,(AD$3-1+MIN(MAX(IFERROR(MATCH(LN($AA49),INDEX(Attenuation!$J:$J,AD$3):INDEX(Attenuation!$J:$J,AD$3+AD$4-1),1),1),1),AD$4-1))):INDEX(Attenuation!$J:$J,(AD$3-1+MIN(MAX(IFERROR(MATCH(LN($AA49),INDEX(Attenuation!$J:$J,AD$3):INDEX(Attenuation!$J:$J,AD$3+AD$4-1),1),1),1),AD$4-1))+1)))))</f>
        <v>115.05199770482098</v>
      </c>
      <c r="AE49" s="1">
        <f>IF($B$8="",NA(),IF(OR($AA49&lt;AE$5/2,$AA49&gt;2*AE$6),NA(),EXP(FORECAST(LN($AA49),INDEX(Attenuation!$K:$K,(AE$3-1+MIN(MAX(IFERROR(MATCH(LN($AA49),INDEX(Attenuation!$J:$J,AE$3):INDEX(Attenuation!$J:$J,AE$3+AE$4-1),1),1),1),AE$4-1))):INDEX(Attenuation!$K:$K,(AE$3-1+MIN(MAX(IFERROR(MATCH(LN($AA49),INDEX(Attenuation!$J:$J,AE$3):INDEX(Attenuation!$J:$J,AE$3+AE$4-1),1),1),1),AE$4-1))+1),INDEX(Attenuation!$J:$J,(AE$3-1+MIN(MAX(IFERROR(MATCH(LN($AA49),INDEX(Attenuation!$J:$J,AE$3):INDEX(Attenuation!$J:$J,AE$3+AE$4-1),1),1),1),AE$4-1))):INDEX(Attenuation!$J:$J,(AE$3-1+MIN(MAX(IFERROR(MATCH(LN($AA49),INDEX(Attenuation!$J:$J,AE$3):INDEX(Attenuation!$J:$J,AE$3+AE$4-1),1),1),1),AE$4-1))+1)))))</f>
        <v>42.119645104117929</v>
      </c>
      <c r="AF49" s="1">
        <f>IF($B$9="",NA(),IF(OR($AA49&lt;AF$5/2,$AA49&gt;2*AF$6),NA(),EXP(FORECAST(LN($AA49),INDEX(Attenuation!$K:$K,(AF$3-1+MIN(MAX(IFERROR(MATCH(LN($AA49),INDEX(Attenuation!$J:$J,AF$3):INDEX(Attenuation!$J:$J,AF$3+AF$4-1),1),1),1),AF$4-1))):INDEX(Attenuation!$K:$K,(AF$3-1+MIN(MAX(IFERROR(MATCH(LN($AA49),INDEX(Attenuation!$J:$J,AF$3):INDEX(Attenuation!$J:$J,AF$3+AF$4-1),1),1),1),AF$4-1))+1),INDEX(Attenuation!$J:$J,(AF$3-1+MIN(MAX(IFERROR(MATCH(LN($AA49),INDEX(Attenuation!$J:$J,AF$3):INDEX(Attenuation!$J:$J,AF$3+AF$4-1),1),1),1),AF$4-1))):INDEX(Attenuation!$J:$J,(AF$3-1+MIN(MAX(IFERROR(MATCH(LN($AA49),INDEX(Attenuation!$J:$J,AF$3):INDEX(Attenuation!$J:$J,AF$3+AF$4-1),1),1),1),AF$4-1))+1)))))</f>
        <v>44.006137579621708</v>
      </c>
      <c r="AG49" s="1">
        <f>IF($B$10="",NA(),IF(OR($AA49&lt;AG$5/2,$AA49&gt;2*AG$6),NA(),EXP(FORECAST(LN($AA49),INDEX(Attenuation!$K:$K,(AG$3-1+MIN(MAX(IFERROR(MATCH(LN($AA49),INDEX(Attenuation!$J:$J,AG$3):INDEX(Attenuation!$J:$J,AG$3+AG$4-1),1),1),1),AG$4-1))):INDEX(Attenuation!$K:$K,(AG$3-1+MIN(MAX(IFERROR(MATCH(LN($AA49),INDEX(Attenuation!$J:$J,AG$3):INDEX(Attenuation!$J:$J,AG$3+AG$4-1),1),1),1),AG$4-1))+1),INDEX(Attenuation!$J:$J,(AG$3-1+MIN(MAX(IFERROR(MATCH(LN($AA49),INDEX(Attenuation!$J:$J,AG$3):INDEX(Attenuation!$J:$J,AG$3+AG$4-1),1),1),1),AG$4-1))):INDEX(Attenuation!$J:$J,(AG$3-1+MIN(MAX(IFERROR(MATCH(LN($AA49),INDEX(Attenuation!$J:$J,AG$3):INDEX(Attenuation!$J:$J,AG$3+AG$4-1),1),1),1),AG$4-1))+1)))))</f>
        <v>38.433955440871621</v>
      </c>
      <c r="AH49" s="1">
        <f>IF($B$11="",NA(),IF(OR($AA49&lt;AH$5/2,$AA49&gt;2*AH$6),NA(),EXP(FORECAST(LN($AA49),INDEX(Attenuation!$K:$K,(AH$3-1+MIN(MAX(IFERROR(MATCH(LN($AA49),INDEX(Attenuation!$J:$J,AH$3):INDEX(Attenuation!$J:$J,AH$3+AH$4-1),1),1),1),AH$4-1))):INDEX(Attenuation!$K:$K,(AH$3-1+MIN(MAX(IFERROR(MATCH(LN($AA49),INDEX(Attenuation!$J:$J,AH$3):INDEX(Attenuation!$J:$J,AH$3+AH$4-1),1),1),1),AH$4-1))+1),INDEX(Attenuation!$J:$J,(AH$3-1+MIN(MAX(IFERROR(MATCH(LN($AA49),INDEX(Attenuation!$J:$J,AH$3):INDEX(Attenuation!$J:$J,AH$3+AH$4-1),1),1),1),AH$4-1))):INDEX(Attenuation!$J:$J,(AH$3-1+MIN(MAX(IFERROR(MATCH(LN($AA49),INDEX(Attenuation!$J:$J,AH$3):INDEX(Attenuation!$J:$J,AH$3+AH$4-1),1),1),1),AH$4-1))+1)))))</f>
        <v>23.7246862855025</v>
      </c>
      <c r="AI49" s="1">
        <f>IF($B$12="",NA(),IF(OR($AA49&lt;AI$5/2,$AA49&gt;2*AI$6),NA(),EXP(FORECAST(LN($AA49),INDEX(Attenuation!$K:$K,(AI$3-1+MIN(MAX(IFERROR(MATCH(LN($AA49),INDEX(Attenuation!$J:$J,AI$3):INDEX(Attenuation!$J:$J,AI$3+AI$4-1),1),1),1),AI$4-1))):INDEX(Attenuation!$K:$K,(AI$3-1+MIN(MAX(IFERROR(MATCH(LN($AA49),INDEX(Attenuation!$J:$J,AI$3):INDEX(Attenuation!$J:$J,AI$3+AI$4-1),1),1),1),AI$4-1))+1),INDEX(Attenuation!$J:$J,(AI$3-1+MIN(MAX(IFERROR(MATCH(LN($AA49),INDEX(Attenuation!$J:$J,AI$3):INDEX(Attenuation!$J:$J,AI$3+AI$4-1),1),1),1),AI$4-1))):INDEX(Attenuation!$J:$J,(AI$3-1+MIN(MAX(IFERROR(MATCH(LN($AA49),INDEX(Attenuation!$J:$J,AI$3):INDEX(Attenuation!$J:$J,AI$3+AI$4-1),1),1),1),AI$4-1))+1)))))</f>
        <v>14.083982493752202</v>
      </c>
    </row>
    <row r="50" spans="1:3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>
        <f>10^(40/10)</f>
        <v>10000</v>
      </c>
      <c r="AB50" s="1" t="e">
        <f>IF($B$5="",NA(),IF(OR($AA50&lt;AB$5/2,$AA50&gt;2*AB$6),NA(),EXP(FORECAST(LN($AA50),INDEX(Attenuation!$K:$K,(AB$3-1+MIN(MAX(IFERROR(MATCH(LN($AA50),INDEX(Attenuation!$J:$J,AB$3):INDEX(Attenuation!$J:$J,AB$3+AB$4-1),1),1),1),AB$4-1))):INDEX(Attenuation!$K:$K,(AB$3-1+MIN(MAX(IFERROR(MATCH(LN($AA50),INDEX(Attenuation!$J:$J,AB$3):INDEX(Attenuation!$J:$J,AB$3+AB$4-1),1),1),1),AB$4-1))+1),INDEX(Attenuation!$J:$J,(AB$3-1+MIN(MAX(IFERROR(MATCH(LN($AA50),INDEX(Attenuation!$J:$J,AB$3):INDEX(Attenuation!$J:$J,AB$3+AB$4-1),1),1),1),AB$4-1))):INDEX(Attenuation!$J:$J,(AB$3-1+MIN(MAX(IFERROR(MATCH(LN($AA50),INDEX(Attenuation!$J:$J,AB$3):INDEX(Attenuation!$J:$J,AB$3+AB$4-1),1),1),1),AB$4-1))+1)))))</f>
        <v>#N/A</v>
      </c>
      <c r="AC50" s="1" t="e">
        <f>IF($B$6="",NA(),IF(OR($AA50&lt;AC$5/2,$AA50&gt;2*AC$6),NA(),EXP(FORECAST(LN($AA50),INDEX(Attenuation!$K:$K,(AC$3-1+MIN(MAX(IFERROR(MATCH(LN($AA50),INDEX(Attenuation!$J:$J,AC$3):INDEX(Attenuation!$J:$J,AC$3+AC$4-1),1),1),1),AC$4-1))):INDEX(Attenuation!$K:$K,(AC$3-1+MIN(MAX(IFERROR(MATCH(LN($AA50),INDEX(Attenuation!$J:$J,AC$3):INDEX(Attenuation!$J:$J,AC$3+AC$4-1),1),1),1),AC$4-1))+1),INDEX(Attenuation!$J:$J,(AC$3-1+MIN(MAX(IFERROR(MATCH(LN($AA50),INDEX(Attenuation!$J:$J,AC$3):INDEX(Attenuation!$J:$J,AC$3+AC$4-1),1),1),1),AC$4-1))):INDEX(Attenuation!$J:$J,(AC$3-1+MIN(MAX(IFERROR(MATCH(LN($AA50),INDEX(Attenuation!$J:$J,AC$3):INDEX(Attenuation!$J:$J,AC$3+AC$4-1),1),1),1),AC$4-1))+1)))))</f>
        <v>#N/A</v>
      </c>
      <c r="AD50" s="1" t="e">
        <f>IF($B$7="",NA(),IF(OR($AA50&lt;AD$5/2,$AA50&gt;2*AD$6),NA(),EXP(FORECAST(LN($AA50),INDEX(Attenuation!$K:$K,(AD$3-1+MIN(MAX(IFERROR(MATCH(LN($AA50),INDEX(Attenuation!$J:$J,AD$3):INDEX(Attenuation!$J:$J,AD$3+AD$4-1),1),1),1),AD$4-1))):INDEX(Attenuation!$K:$K,(AD$3-1+MIN(MAX(IFERROR(MATCH(LN($AA50),INDEX(Attenuation!$J:$J,AD$3):INDEX(Attenuation!$J:$J,AD$3+AD$4-1),1),1),1),AD$4-1))+1),INDEX(Attenuation!$J:$J,(AD$3-1+MIN(MAX(IFERROR(MATCH(LN($AA50),INDEX(Attenuation!$J:$J,AD$3):INDEX(Attenuation!$J:$J,AD$3+AD$4-1),1),1),1),AD$4-1))):INDEX(Attenuation!$J:$J,(AD$3-1+MIN(MAX(IFERROR(MATCH(LN($AA50),INDEX(Attenuation!$J:$J,AD$3):INDEX(Attenuation!$J:$J,AD$3+AD$4-1),1),1),1),AD$4-1))+1)))))</f>
        <v>#N/A</v>
      </c>
      <c r="AE50" s="1">
        <f>IF($B$8="",NA(),IF(OR($AA50&lt;AE$5/2,$AA50&gt;2*AE$6),NA(),EXP(FORECAST(LN($AA50),INDEX(Attenuation!$K:$K,(AE$3-1+MIN(MAX(IFERROR(MATCH(LN($AA50),INDEX(Attenuation!$J:$J,AE$3):INDEX(Attenuation!$J:$J,AE$3+AE$4-1),1),1),1),AE$4-1))):INDEX(Attenuation!$K:$K,(AE$3-1+MIN(MAX(IFERROR(MATCH(LN($AA50),INDEX(Attenuation!$J:$J,AE$3):INDEX(Attenuation!$J:$J,AE$3+AE$4-1),1),1),1),AE$4-1))+1),INDEX(Attenuation!$J:$J,(AE$3-1+MIN(MAX(IFERROR(MATCH(LN($AA50),INDEX(Attenuation!$J:$J,AE$3):INDEX(Attenuation!$J:$J,AE$3+AE$4-1),1),1),1),AE$4-1))):INDEX(Attenuation!$J:$J,(AE$3-1+MIN(MAX(IFERROR(MATCH(LN($AA50),INDEX(Attenuation!$J:$J,AE$3):INDEX(Attenuation!$J:$J,AE$3+AE$4-1),1),1),1),AE$4-1))+1)))))</f>
        <v>47.803134152807992</v>
      </c>
      <c r="AF50" s="1">
        <f>IF($B$9="",NA(),IF(OR($AA50&lt;AF$5/2,$AA50&gt;2*AF$6),NA(),EXP(FORECAST(LN($AA50),INDEX(Attenuation!$K:$K,(AF$3-1+MIN(MAX(IFERROR(MATCH(LN($AA50),INDEX(Attenuation!$J:$J,AF$3):INDEX(Attenuation!$J:$J,AF$3+AF$4-1),1),1),1),AF$4-1))):INDEX(Attenuation!$K:$K,(AF$3-1+MIN(MAX(IFERROR(MATCH(LN($AA50),INDEX(Attenuation!$J:$J,AF$3):INDEX(Attenuation!$J:$J,AF$3+AF$4-1),1),1),1),AF$4-1))+1),INDEX(Attenuation!$J:$J,(AF$3-1+MIN(MAX(IFERROR(MATCH(LN($AA50),INDEX(Attenuation!$J:$J,AF$3):INDEX(Attenuation!$J:$J,AF$3+AF$4-1),1),1),1),AF$4-1))):INDEX(Attenuation!$J:$J,(AF$3-1+MIN(MAX(IFERROR(MATCH(LN($AA50),INDEX(Attenuation!$J:$J,AF$3):INDEX(Attenuation!$J:$J,AF$3+AF$4-1),1),1),1),AF$4-1))+1)))))</f>
        <v>50.700000000000053</v>
      </c>
      <c r="AG50" s="1">
        <f>IF($B$10="",NA(),IF(OR($AA50&lt;AG$5/2,$AA50&gt;2*AG$6),NA(),EXP(FORECAST(LN($AA50),INDEX(Attenuation!$K:$K,(AG$3-1+MIN(MAX(IFERROR(MATCH(LN($AA50),INDEX(Attenuation!$J:$J,AG$3):INDEX(Attenuation!$J:$J,AG$3+AG$4-1),1),1),1),AG$4-1))):INDEX(Attenuation!$K:$K,(AG$3-1+MIN(MAX(IFERROR(MATCH(LN($AA50),INDEX(Attenuation!$J:$J,AG$3):INDEX(Attenuation!$J:$J,AG$3+AG$4-1),1),1),1),AG$4-1))+1),INDEX(Attenuation!$J:$J,(AG$3-1+MIN(MAX(IFERROR(MATCH(LN($AA50),INDEX(Attenuation!$J:$J,AG$3):INDEX(Attenuation!$J:$J,AG$3+AG$4-1),1),1),1),AG$4-1))):INDEX(Attenuation!$J:$J,(AG$3-1+MIN(MAX(IFERROR(MATCH(LN($AA50),INDEX(Attenuation!$J:$J,AG$3):INDEX(Attenuation!$J:$J,AG$3+AG$4-1),1),1),1),AG$4-1))+1)))))</f>
        <v>44.6</v>
      </c>
      <c r="AH50" s="1">
        <f>IF($B$11="",NA(),IF(OR($AA50&lt;AH$5/2,$AA50&gt;2*AH$6),NA(),EXP(FORECAST(LN($AA50),INDEX(Attenuation!$K:$K,(AH$3-1+MIN(MAX(IFERROR(MATCH(LN($AA50),INDEX(Attenuation!$J:$J,AH$3):INDEX(Attenuation!$J:$J,AH$3+AH$4-1),1),1),1),AH$4-1))):INDEX(Attenuation!$K:$K,(AH$3-1+MIN(MAX(IFERROR(MATCH(LN($AA50),INDEX(Attenuation!$J:$J,AH$3):INDEX(Attenuation!$J:$J,AH$3+AH$4-1),1),1),1),AH$4-1))+1),INDEX(Attenuation!$J:$J,(AH$3-1+MIN(MAX(IFERROR(MATCH(LN($AA50),INDEX(Attenuation!$J:$J,AH$3):INDEX(Attenuation!$J:$J,AH$3+AH$4-1),1),1),1),AH$4-1))):INDEX(Attenuation!$J:$J,(AH$3-1+MIN(MAX(IFERROR(MATCH(LN($AA50),INDEX(Attenuation!$J:$J,AH$3):INDEX(Attenuation!$J:$J,AH$3+AH$4-1),1),1),1),AH$4-1))+1)))))</f>
        <v>27.279261579214833</v>
      </c>
      <c r="AI50" s="1">
        <f>IF($B$12="",NA(),IF(OR($AA50&lt;AI$5/2,$AA50&gt;2*AI$6),NA(),EXP(FORECAST(LN($AA50),INDEX(Attenuation!$K:$K,(AI$3-1+MIN(MAX(IFERROR(MATCH(LN($AA50),INDEX(Attenuation!$J:$J,AI$3):INDEX(Attenuation!$J:$J,AI$3+AI$4-1),1),1),1),AI$4-1))):INDEX(Attenuation!$K:$K,(AI$3-1+MIN(MAX(IFERROR(MATCH(LN($AA50),INDEX(Attenuation!$J:$J,AI$3):INDEX(Attenuation!$J:$J,AI$3+AI$4-1),1),1),1),AI$4-1))+1),INDEX(Attenuation!$J:$J,(AI$3-1+MIN(MAX(IFERROR(MATCH(LN($AA50),INDEX(Attenuation!$J:$J,AI$3):INDEX(Attenuation!$J:$J,AI$3+AI$4-1),1),1),1),AI$4-1))):INDEX(Attenuation!$J:$J,(AI$3-1+MIN(MAX(IFERROR(MATCH(LN($AA50),INDEX(Attenuation!$J:$J,AI$3):INDEX(Attenuation!$J:$J,AI$3+AI$4-1),1),1),1),AI$4-1))+1)))))</f>
        <v>16.230930184662892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Cables!$B$2:$B$500</xm:f>
          </x14:formula1>
          <xm:sqref>B5 B6 B7 B8 B9 B10 B11 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0"/>
  <sheetViews>
    <sheetView workbookViewId="0"/>
  </sheetViews>
  <sheetFormatPr defaultRowHeight="15" x14ac:dyDescent="0.25"/>
  <cols>
    <col min="1" max="1" width="2" customWidth="1"/>
    <col min="2" max="2" width="34" customWidth="1"/>
    <col min="3" max="3" width="26" customWidth="1"/>
    <col min="4" max="4" width="16" customWidth="1"/>
    <col min="5" max="5" width="14" customWidth="1"/>
    <col min="6" max="6" width="16" customWidth="1"/>
    <col min="7" max="7" width="14" customWidth="1"/>
    <col min="8" max="8" width="34" customWidth="1"/>
    <col min="9" max="9" width="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1"/>
      <c r="B2" s="6" t="s">
        <v>73</v>
      </c>
      <c r="C2" s="1"/>
      <c r="D2" s="1"/>
      <c r="E2" s="1"/>
      <c r="F2" s="1"/>
      <c r="G2" s="1"/>
      <c r="H2" s="1"/>
      <c r="I2" s="1"/>
    </row>
    <row r="3" spans="1:9" x14ac:dyDescent="0.25">
      <c r="A3" s="1"/>
      <c r="B3" s="13" t="s">
        <v>74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4" t="s">
        <v>75</v>
      </c>
      <c r="G4" s="1"/>
      <c r="H4" s="1"/>
      <c r="I4" s="1"/>
    </row>
    <row r="5" spans="1:9" x14ac:dyDescent="0.25">
      <c r="A5" s="1"/>
      <c r="B5" s="14" t="s">
        <v>53</v>
      </c>
      <c r="C5" s="15" t="s">
        <v>67</v>
      </c>
      <c r="D5" s="1"/>
      <c r="E5" s="1"/>
      <c r="F5" s="16" t="s">
        <v>52</v>
      </c>
      <c r="G5" s="16" t="str">
        <f>INDEX(Cables!$A:$A,MATCH(C5,Cables!$B:$B,0))</f>
        <v>TMS-LMR400</v>
      </c>
      <c r="H5" s="1"/>
      <c r="I5" s="1"/>
    </row>
    <row r="6" spans="1:9" x14ac:dyDescent="0.25">
      <c r="A6" s="1"/>
      <c r="B6" s="14" t="s">
        <v>76</v>
      </c>
      <c r="C6" s="15">
        <v>145</v>
      </c>
      <c r="D6" s="1"/>
      <c r="E6" s="1"/>
      <c r="F6" s="16" t="s">
        <v>77</v>
      </c>
      <c r="G6" s="16">
        <f>INDEX(Cables!$AO:$AO,MATCH(G5,Cables!$A:$A,0))</f>
        <v>501</v>
      </c>
      <c r="H6" s="1"/>
      <c r="I6" s="1"/>
    </row>
    <row r="7" spans="1:9" x14ac:dyDescent="0.25">
      <c r="A7" s="1"/>
      <c r="B7" s="14" t="s">
        <v>78</v>
      </c>
      <c r="C7" s="15">
        <v>20</v>
      </c>
      <c r="D7" s="1"/>
      <c r="E7" s="1"/>
      <c r="F7" s="16" t="s">
        <v>79</v>
      </c>
      <c r="G7" s="16">
        <f>INDEX(Cables!$AP:$AP,MATCH(G5,Cables!$A:$A,0))</f>
        <v>12</v>
      </c>
      <c r="H7" s="1"/>
      <c r="I7" s="1"/>
    </row>
    <row r="8" spans="1:9" x14ac:dyDescent="0.25">
      <c r="A8" s="1"/>
      <c r="B8" s="14" t="s">
        <v>80</v>
      </c>
      <c r="C8" s="15">
        <v>100</v>
      </c>
      <c r="D8" s="1"/>
      <c r="E8" s="1"/>
      <c r="F8" s="16" t="s">
        <v>81</v>
      </c>
      <c r="G8" s="16">
        <f>INDEX(Cables!$AW:$AW,MATCH(G5,Cables!$A:$A,0))</f>
        <v>283</v>
      </c>
      <c r="H8" s="1"/>
      <c r="I8" s="1"/>
    </row>
    <row r="9" spans="1:9" x14ac:dyDescent="0.25">
      <c r="A9" s="1"/>
      <c r="B9" s="14" t="s">
        <v>82</v>
      </c>
      <c r="C9" s="15">
        <v>1.5</v>
      </c>
      <c r="D9" s="1"/>
      <c r="E9" s="1"/>
      <c r="F9" s="16" t="s">
        <v>83</v>
      </c>
      <c r="G9" s="16">
        <f>INDEX(Cables!$AX:$AX,MATCH(G5,Cables!$A:$A,0))</f>
        <v>10</v>
      </c>
      <c r="H9" s="1"/>
      <c r="I9" s="1"/>
    </row>
    <row r="10" spans="1:9" x14ac:dyDescent="0.25">
      <c r="A10" s="1"/>
      <c r="B10" s="1"/>
      <c r="C10" s="1"/>
      <c r="D10" s="1"/>
      <c r="E10" s="1"/>
      <c r="F10" s="16" t="s">
        <v>84</v>
      </c>
      <c r="G10" s="16">
        <f>INDEX(Cables!$Q:$Q,MATCH(G5,Cables!$A:$A,0))</f>
        <v>0.85</v>
      </c>
      <c r="H10" s="1"/>
      <c r="I10" s="1"/>
    </row>
    <row r="11" spans="1:9" x14ac:dyDescent="0.25">
      <c r="A11" s="1"/>
      <c r="B11" s="1"/>
      <c r="C11" s="1"/>
      <c r="D11" s="1"/>
      <c r="E11" s="1"/>
      <c r="F11" s="16" t="s">
        <v>85</v>
      </c>
      <c r="G11" s="16">
        <f>INDEX(Cables!$AQ:$AQ,MATCH(G5,Cables!$A:$A,0))</f>
        <v>30</v>
      </c>
      <c r="H11" s="1"/>
      <c r="I11" s="1"/>
    </row>
    <row r="12" spans="1:9" x14ac:dyDescent="0.25">
      <c r="A12" s="1"/>
      <c r="B12" s="17" t="s">
        <v>86</v>
      </c>
      <c r="C12" s="1"/>
      <c r="D12" s="1"/>
      <c r="E12" s="1"/>
      <c r="F12" s="16" t="s">
        <v>87</v>
      </c>
      <c r="G12" s="16">
        <f>INDEX(Cables!$AR:$AR,MATCH(G5,Cables!$A:$A,0))</f>
        <v>5800</v>
      </c>
      <c r="H12" s="1"/>
      <c r="I12" s="1"/>
    </row>
    <row r="13" spans="1:9" x14ac:dyDescent="0.25">
      <c r="A13" s="1"/>
      <c r="B13" s="14" t="s">
        <v>88</v>
      </c>
      <c r="C13" s="18">
        <f>EXP(FORECAST(LN(C6),INDEX(Attenuation!$K:$K,(G6-1+MIN(MAX(IFERROR(MATCH(LN(C6),INDEX(Attenuation!$J:$J,G6):INDEX(Attenuation!$J:$J,G6+G7-1),1),1),1),G7-1))):INDEX(Attenuation!$K:$K,(G6-1+MIN(MAX(IFERROR(MATCH(LN(C6),INDEX(Attenuation!$J:$J,G6):INDEX(Attenuation!$J:$J,G6+G7-1),1),1),1),G7-1))+1),INDEX(Attenuation!$J:$J,(G6-1+MIN(MAX(IFERROR(MATCH(LN(C6),INDEX(Attenuation!$J:$J,G6):INDEX(Attenuation!$J:$J,G6+G7-1),1),1),1),G7-1))):INDEX(Attenuation!$J:$J,(G6-1+MIN(MAX(IFERROR(MATCH(LN(C6),INDEX(Attenuation!$J:$J,G6):INDEX(Attenuation!$J:$J,G6+G7-1),1),1),1),G7-1))+1)))</f>
        <v>4.8442926530281971</v>
      </c>
      <c r="D13" s="1"/>
      <c r="E13" s="1"/>
      <c r="F13" s="16" t="s">
        <v>89</v>
      </c>
      <c r="G13" s="16">
        <f>(C9-1)/(C9+1)</f>
        <v>0.2</v>
      </c>
      <c r="H13" s="1"/>
      <c r="I13" s="1"/>
    </row>
    <row r="14" spans="1:9" x14ac:dyDescent="0.25">
      <c r="A14" s="1"/>
      <c r="B14" s="14" t="s">
        <v>90</v>
      </c>
      <c r="C14" s="18">
        <f>C13*0.3048</f>
        <v>1.4765404006429945</v>
      </c>
      <c r="D14" s="1"/>
      <c r="E14" s="1"/>
      <c r="F14" s="16" t="s">
        <v>91</v>
      </c>
      <c r="G14" s="16">
        <f>10^(C15/10)</f>
        <v>1.2499304640154933</v>
      </c>
      <c r="H14" s="1"/>
      <c r="I14" s="1"/>
    </row>
    <row r="15" spans="1:9" x14ac:dyDescent="0.25">
      <c r="A15" s="1"/>
      <c r="B15" s="14" t="s">
        <v>92</v>
      </c>
      <c r="C15" s="19">
        <f>C13*C7/100</f>
        <v>0.96885853060563942</v>
      </c>
      <c r="D15" s="1"/>
      <c r="E15" s="1"/>
      <c r="F15" s="1"/>
      <c r="G15" s="1"/>
      <c r="H15" s="1"/>
      <c r="I15" s="1"/>
    </row>
    <row r="16" spans="1:9" x14ac:dyDescent="0.25">
      <c r="A16" s="1"/>
      <c r="B16" s="14" t="s">
        <v>93</v>
      </c>
      <c r="C16" s="19">
        <f>C17-C15</f>
        <v>6.4647726885416201E-2</v>
      </c>
      <c r="D16" s="1"/>
      <c r="E16" s="1"/>
      <c r="F16" s="1"/>
      <c r="G16" s="1"/>
      <c r="H16" s="1"/>
      <c r="I16" s="1"/>
    </row>
    <row r="17" spans="1:9" x14ac:dyDescent="0.25">
      <c r="A17" s="1"/>
      <c r="B17" s="14" t="s">
        <v>94</v>
      </c>
      <c r="C17" s="19">
        <f>10*LOG10((G14^2-G13^2)/(G14*(1-G13^2)))</f>
        <v>1.0335062574910556</v>
      </c>
      <c r="D17" s="1"/>
      <c r="E17" s="1"/>
      <c r="F17" s="1"/>
      <c r="G17" s="1"/>
      <c r="H17" s="1"/>
      <c r="I17" s="1"/>
    </row>
    <row r="18" spans="1:9" x14ac:dyDescent="0.25">
      <c r="A18" s="1"/>
      <c r="B18" s="14" t="s">
        <v>95</v>
      </c>
      <c r="C18" s="20">
        <f>C8*10^(-C17/10)</f>
        <v>78.822349187843088</v>
      </c>
      <c r="D18" s="1"/>
      <c r="E18" s="1"/>
      <c r="F18" s="1"/>
      <c r="G18" s="1"/>
      <c r="H18" s="1"/>
      <c r="I18" s="1"/>
    </row>
    <row r="19" spans="1:9" x14ac:dyDescent="0.25">
      <c r="A19" s="1"/>
      <c r="B19" s="14" t="s">
        <v>96</v>
      </c>
      <c r="C19" s="21">
        <f>C18/C8</f>
        <v>0.78822349187843088</v>
      </c>
      <c r="D19" s="1"/>
      <c r="E19" s="1"/>
      <c r="F19" s="1"/>
      <c r="G19" s="1"/>
      <c r="H19" s="1"/>
      <c r="I19" s="1"/>
    </row>
    <row r="20" spans="1:9" x14ac:dyDescent="0.25">
      <c r="A20" s="1"/>
      <c r="B20" s="14" t="s">
        <v>97</v>
      </c>
      <c r="C20" s="19">
        <f>(1+G13/G14)/(1-G13/G14)</f>
        <v>1.3809776110983454</v>
      </c>
      <c r="D20" s="1"/>
      <c r="E20" s="1"/>
      <c r="F20" s="1"/>
      <c r="G20" s="1"/>
      <c r="H20" s="1"/>
      <c r="I20" s="1"/>
    </row>
    <row r="21" spans="1:9" x14ac:dyDescent="0.25">
      <c r="A21" s="1"/>
      <c r="B21" s="14" t="s">
        <v>98</v>
      </c>
      <c r="C21" s="22">
        <f>IF(G9&lt;2,"veri yok",EXP(FORECAST(LN(C6),INDEX(Power!$K:$K,(G8-1+MIN(MAX(IFERROR(MATCH(LN(C6),INDEX(Power!$J:$J,G8):INDEX(Power!$J:$J,G8+G9-1),1),1),1),G9-1))):INDEX(Power!$K:$K,(G8-1+MIN(MAX(IFERROR(MATCH(LN(C6),INDEX(Power!$J:$J,G8):INDEX(Power!$J:$J,G8+G9-1),1),1),1),G9-1))+1),INDEX(Power!$J:$J,(G8-1+MIN(MAX(IFERROR(MATCH(LN(C6),INDEX(Power!$J:$J,G8):INDEX(Power!$J:$J,G8+G9-1),1),1),1),G9-1))):INDEX(Power!$J:$J,(G8-1+MIN(MAX(IFERROR(MATCH(LN(C6),INDEX(Power!$J:$J,G8):INDEX(Power!$J:$J,G8+G9-1),1),1),1),G9-1))+1))))</f>
        <v>1495.5608897434888</v>
      </c>
      <c r="D21" s="1"/>
      <c r="E21" s="1"/>
      <c r="F21" s="1"/>
      <c r="G21" s="1"/>
      <c r="H21" s="1"/>
      <c r="I21" s="1"/>
    </row>
    <row r="22" spans="1:9" x14ac:dyDescent="0.25">
      <c r="A22" s="1"/>
      <c r="B22" s="14" t="s">
        <v>99</v>
      </c>
      <c r="C22" s="23" t="str">
        <f>IF(ISNUMBER(C21),IF(C8&gt;C21,"UYARI: giriş gücü sınırın üzerinde","Uygun"),"Datasheet güç vermiyor")</f>
        <v>Uygun</v>
      </c>
      <c r="D22" s="1"/>
      <c r="E22" s="1"/>
      <c r="F22" s="1"/>
      <c r="G22" s="1"/>
      <c r="H22" s="1"/>
      <c r="I22" s="1"/>
    </row>
    <row r="23" spans="1:9" x14ac:dyDescent="0.25">
      <c r="A23" s="1"/>
      <c r="B23" s="14" t="s">
        <v>100</v>
      </c>
      <c r="C23" s="18">
        <f>IF(N(G10)=0,"VF yayımlanmamış",299.792458/C6*G10)</f>
        <v>1.7574040641379312</v>
      </c>
      <c r="D23" s="1"/>
      <c r="E23" s="1"/>
      <c r="F23" s="1"/>
      <c r="G23" s="1"/>
      <c r="H23" s="1"/>
      <c r="I23" s="1"/>
    </row>
    <row r="24" spans="1:9" x14ac:dyDescent="0.25">
      <c r="A24" s="1"/>
      <c r="B24" s="14" t="s">
        <v>101</v>
      </c>
      <c r="C24" s="18">
        <f>IF(ISNUMBER(C23),C23/4,"-")</f>
        <v>0.43935101603448279</v>
      </c>
      <c r="D24" s="1"/>
      <c r="E24" s="1"/>
      <c r="F24" s="1"/>
      <c r="G24" s="1"/>
      <c r="H24" s="1"/>
      <c r="I24" s="1"/>
    </row>
    <row r="25" spans="1:9" x14ac:dyDescent="0.25">
      <c r="A25" s="1"/>
      <c r="B25" s="14" t="s">
        <v>102</v>
      </c>
      <c r="C25" s="18">
        <f>IF(ISNUMBER(C23),C7/C23,"-")</f>
        <v>11.380422071466363</v>
      </c>
      <c r="D25" s="1"/>
      <c r="E25" s="1"/>
      <c r="F25" s="1"/>
      <c r="G25" s="1"/>
      <c r="H25" s="1"/>
      <c r="I25" s="1"/>
    </row>
    <row r="26" spans="1:9" x14ac:dyDescent="0.25">
      <c r="A26" s="1"/>
      <c r="B26" s="14" t="s">
        <v>103</v>
      </c>
      <c r="C26" s="23" t="str">
        <f>IF(OR(C6&lt;G11,C6&gt;G12),"Ekstrapolasyon: datasheet aralığı "&amp;G11&amp;"-"&amp;G12&amp;" MHz dışında","Datasheet aralığında (interpolasyon)")</f>
        <v>Datasheet aralığında (interpolasyon)</v>
      </c>
      <c r="D26" s="1"/>
      <c r="E26" s="1"/>
      <c r="F26" s="1"/>
      <c r="G26" s="1"/>
      <c r="H26" s="1"/>
      <c r="I26" s="1"/>
    </row>
    <row r="27" spans="1:9" ht="42" customHeight="1" x14ac:dyDescent="0.25">
      <c r="A27" s="1"/>
      <c r="B27" s="48" t="s">
        <v>104</v>
      </c>
      <c r="C27" s="47"/>
      <c r="D27" s="47"/>
      <c r="E27" s="47"/>
      <c r="F27" s="47"/>
      <c r="G27" s="47"/>
      <c r="H27" s="47"/>
      <c r="I27" s="47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7" t="s">
        <v>105</v>
      </c>
      <c r="C29" s="1"/>
      <c r="D29" s="1"/>
      <c r="E29" s="1"/>
      <c r="F29" s="1"/>
      <c r="G29" s="1"/>
      <c r="H29" s="1"/>
      <c r="I29" s="1"/>
    </row>
    <row r="30" spans="1:9" ht="25.5" x14ac:dyDescent="0.25">
      <c r="A30" s="1"/>
      <c r="B30" s="8" t="s">
        <v>53</v>
      </c>
      <c r="C30" s="8" t="s">
        <v>106</v>
      </c>
      <c r="D30" s="8" t="s">
        <v>107</v>
      </c>
      <c r="E30" s="8" t="s">
        <v>108</v>
      </c>
      <c r="F30" s="8" t="s">
        <v>109</v>
      </c>
      <c r="G30" s="8" t="s">
        <v>110</v>
      </c>
      <c r="H30" s="8" t="s">
        <v>111</v>
      </c>
      <c r="I30" s="1"/>
    </row>
    <row r="31" spans="1:9" x14ac:dyDescent="0.25">
      <c r="A31" s="1"/>
      <c r="B31" s="11" t="str">
        <f>IF(ROWS($B$31:B31)&gt;COUNTA(Cables!$A:$A)-1,"",INDEX(Cables!$B:$B,ROWS($B$31:B31)+1))</f>
        <v>Belden 83265 (RG-178)</v>
      </c>
      <c r="C31" s="12">
        <f>IF(B31="","",EXP(FORECAST(LN($C$6),INDEX(Attenuation!$K:$K,(INDEX(Cables!$AO:$AO,ROWS($B$31:B31)+1)-1+MIN(MAX(IFERROR(MATCH(LN($C$6),INDEX(Attenuation!$J:$J,INDEX(Cables!$AO:$AO,ROWS($B$31:B31)+1)):INDEX(Attenuation!$J:$J,INDEX(Cables!$AO:$AO,ROWS($B$31:B31)+1)+INDEX(Cables!$AP:$AP,ROWS($B$31:B31)+1)-1),1),1),1),INDEX(Cables!$AP:$AP,ROWS($B$31:B31)+1)-1))):INDEX(Attenuation!$K:$K,(INDEX(Cables!$AO:$AO,ROWS($B$31:B31)+1)-1+MIN(MAX(IFERROR(MATCH(LN($C$6),INDEX(Attenuation!$J:$J,INDEX(Cables!$AO:$AO,ROWS($B$31:B31)+1)):INDEX(Attenuation!$J:$J,INDEX(Cables!$AO:$AO,ROWS($B$31:B31)+1)+INDEX(Cables!$AP:$AP,ROWS($B$31:B31)+1)-1),1),1),1),INDEX(Cables!$AP:$AP,ROWS($B$31:B31)+1)-1))+1),INDEX(Attenuation!$J:$J,(INDEX(Cables!$AO:$AO,ROWS($B$31:B31)+1)-1+MIN(MAX(IFERROR(MATCH(LN($C$6),INDEX(Attenuation!$J:$J,INDEX(Cables!$AO:$AO,ROWS($B$31:B31)+1)):INDEX(Attenuation!$J:$J,INDEX(Cables!$AO:$AO,ROWS($B$31:B31)+1)+INDEX(Cables!$AP:$AP,ROWS($B$31:B31)+1)-1),1),1),1),INDEX(Cables!$AP:$AP,ROWS($B$31:B31)+1)-1))):INDEX(Attenuation!$J:$J,(INDEX(Cables!$AO:$AO,ROWS($B$31:B31)+1)-1+MIN(MAX(IFERROR(MATCH(LN($C$6),INDEX(Attenuation!$J:$J,INDEX(Cables!$AO:$AO,ROWS($B$31:B31)+1)):INDEX(Attenuation!$J:$J,INDEX(Cables!$AO:$AO,ROWS($B$31:B31)+1)+INDEX(Cables!$AP:$AP,ROWS($B$31:B31)+1)-1),1),1),1),INDEX(Cables!$AP:$AP,ROWS($B$31:B31)+1)-1))+1))))</f>
        <v>54.101261510637308</v>
      </c>
      <c r="D31" s="12">
        <f t="shared" ref="D31:D62" si="0">IF(B31="","",10*LOG10((10^((C31*$C$7/100)/10)^2-$G$13^2)/(10^((C31*$C$7/100)/10)*(1-$G$13^2))))</f>
        <v>10.99634913181738</v>
      </c>
      <c r="E31" s="24">
        <f t="shared" ref="E31:E62" si="1">IF(B31="","",$C$8*10^(-D31/10))</f>
        <v>7.9499626231134073</v>
      </c>
      <c r="F31" s="25">
        <f t="shared" ref="F31:F62" si="2">IF(B31="","",E31/$C$8)</f>
        <v>7.9499626231134074E-2</v>
      </c>
      <c r="G31" s="26">
        <f>IF(B31="","",IF(INDEX(Cables!$AX:$AX,ROWS($B$31:B31)+1)&lt;2,"-",EXP(FORECAST(LN($C$6),INDEX(Power!$K:$K,(INDEX(Cables!$AW:$AW,ROWS($B$31:B31)+1)-1+MIN(MAX(IFERROR(MATCH(LN($C$6),INDEX(Power!$J:$J,INDEX(Cables!$AW:$AW,ROWS($B$31:B31)+1)):INDEX(Power!$J:$J,INDEX(Cables!$AW:$AW,ROWS($B$31:B31)+1)+INDEX(Cables!$AX:$AX,ROWS($B$31:B31)+1)-1),1),1),1),INDEX(Cables!$AX:$AX,ROWS($B$31:B31)+1)-1))):INDEX(Power!$K:$K,(INDEX(Cables!$AW:$AW,ROWS($B$31:B31)+1)-1+MIN(MAX(IFERROR(MATCH(LN($C$6),INDEX(Power!$J:$J,INDEX(Cables!$AW:$AW,ROWS($B$31:B31)+1)):INDEX(Power!$J:$J,INDEX(Cables!$AW:$AW,ROWS($B$31:B31)+1)+INDEX(Cables!$AX:$AX,ROWS($B$31:B31)+1)-1),1),1),1),INDEX(Cables!$AX:$AX,ROWS($B$31:B31)+1)-1))+1),INDEX(Power!$J:$J,(INDEX(Cables!$AW:$AW,ROWS($B$31:B31)+1)-1+MIN(MAX(IFERROR(MATCH(LN($C$6),INDEX(Power!$J:$J,INDEX(Cables!$AW:$AW,ROWS($B$31:B31)+1)):INDEX(Power!$J:$J,INDEX(Cables!$AW:$AW,ROWS($B$31:B31)+1)+INDEX(Cables!$AX:$AX,ROWS($B$31:B31)+1)-1),1),1),1),INDEX(Cables!$AX:$AX,ROWS($B$31:B31)+1)-1))):INDEX(Power!$J:$J,(INDEX(Cables!$AW:$AW,ROWS($B$31:B31)+1)-1+MIN(MAX(IFERROR(MATCH(LN($C$6),INDEX(Power!$J:$J,INDEX(Cables!$AW:$AW,ROWS($B$31:B31)+1)):INDEX(Power!$J:$J,INDEX(Cables!$AW:$AW,ROWS($B$31:B31)+1)+INDEX(Cables!$AX:$AX,ROWS($B$31:B31)+1)-1),1),1),1),INDEX(Cables!$AX:$AX,ROWS($B$31:B31)+1)-1))+1)))))</f>
        <v>204.43695764188627</v>
      </c>
      <c r="H31" s="11" t="str">
        <f>IF(B31="","",MID(IF(OR($C$6&lt;INDEX(Cables!$AQ:$AQ,ROWS($B$31:B31)+1),$C$6&gt;INDEX(Cables!$AR:$AR,ROWS($B$31:B31)+1))," / ekstrapolasyon","")&amp;IF(AND(ISNUMBER(G31),$C$8&gt;G31)," / güç sınırı aşılıyor","")&amp;IF(INDEX(Cables!$F:$F,ROWS($B$31:B31)+1)&lt;&gt;50," / Z0="&amp;INDEX(Cables!$F:$F,ROWS($B$31:B31)+1)&amp;" Ω",""),4,200))</f>
        <v/>
      </c>
      <c r="I31" s="1"/>
    </row>
    <row r="32" spans="1:9" x14ac:dyDescent="0.25">
      <c r="A32" s="1"/>
      <c r="B32" s="11" t="str">
        <f>IF(ROWS($B$31:B32)&gt;COUNTA(Cables!$A:$A)-1,"",INDEX(Cables!$B:$B,ROWS($B$31:B32)+1))</f>
        <v>Belden 8216 (RG-174)</v>
      </c>
      <c r="C32" s="12">
        <f>IF(B32="","",EXP(FORECAST(LN($C$6),INDEX(Attenuation!$K:$K,(INDEX(Cables!$AO:$AO,ROWS($B$31:B32)+1)-1+MIN(MAX(IFERROR(MATCH(LN($C$6),INDEX(Attenuation!$J:$J,INDEX(Cables!$AO:$AO,ROWS($B$31:B32)+1)):INDEX(Attenuation!$J:$J,INDEX(Cables!$AO:$AO,ROWS($B$31:B32)+1)+INDEX(Cables!$AP:$AP,ROWS($B$31:B32)+1)-1),1),1),1),INDEX(Cables!$AP:$AP,ROWS($B$31:B32)+1)-1))):INDEX(Attenuation!$K:$K,(INDEX(Cables!$AO:$AO,ROWS($B$31:B32)+1)-1+MIN(MAX(IFERROR(MATCH(LN($C$6),INDEX(Attenuation!$J:$J,INDEX(Cables!$AO:$AO,ROWS($B$31:B32)+1)):INDEX(Attenuation!$J:$J,INDEX(Cables!$AO:$AO,ROWS($B$31:B32)+1)+INDEX(Cables!$AP:$AP,ROWS($B$31:B32)+1)-1),1),1),1),INDEX(Cables!$AP:$AP,ROWS($B$31:B32)+1)-1))+1),INDEX(Attenuation!$J:$J,(INDEX(Cables!$AO:$AO,ROWS($B$31:B32)+1)-1+MIN(MAX(IFERROR(MATCH(LN($C$6),INDEX(Attenuation!$J:$J,INDEX(Cables!$AO:$AO,ROWS($B$31:B32)+1)):INDEX(Attenuation!$J:$J,INDEX(Cables!$AO:$AO,ROWS($B$31:B32)+1)+INDEX(Cables!$AP:$AP,ROWS($B$31:B32)+1)-1),1),1),1),INDEX(Cables!$AP:$AP,ROWS($B$31:B32)+1)-1))):INDEX(Attenuation!$J:$J,(INDEX(Cables!$AO:$AO,ROWS($B$31:B32)+1)-1+MIN(MAX(IFERROR(MATCH(LN($C$6),INDEX(Attenuation!$J:$J,INDEX(Cables!$AO:$AO,ROWS($B$31:B32)+1)):INDEX(Attenuation!$J:$J,INDEX(Cables!$AO:$AO,ROWS($B$31:B32)+1)+INDEX(Cables!$AP:$AP,ROWS($B$31:B32)+1)-1),1),1),1),INDEX(Cables!$AP:$AP,ROWS($B$31:B32)+1)-1))+1))))</f>
        <v>34.103859091210126</v>
      </c>
      <c r="D32" s="12">
        <f t="shared" si="0"/>
        <v>6.9905421208468796</v>
      </c>
      <c r="E32" s="24">
        <f t="shared" si="1"/>
        <v>19.996122465794368</v>
      </c>
      <c r="F32" s="25">
        <f t="shared" si="2"/>
        <v>0.19996122465794369</v>
      </c>
      <c r="G32" s="26">
        <f>IF(B32="","",IF(INDEX(Cables!$AX:$AX,ROWS($B$31:B32)+1)&lt;2,"-",EXP(FORECAST(LN($C$6),INDEX(Power!$K:$K,(INDEX(Cables!$AW:$AW,ROWS($B$31:B32)+1)-1+MIN(MAX(IFERROR(MATCH(LN($C$6),INDEX(Power!$J:$J,INDEX(Cables!$AW:$AW,ROWS($B$31:B32)+1)):INDEX(Power!$J:$J,INDEX(Cables!$AW:$AW,ROWS($B$31:B32)+1)+INDEX(Cables!$AX:$AX,ROWS($B$31:B32)+1)-1),1),1),1),INDEX(Cables!$AX:$AX,ROWS($B$31:B32)+1)-1))):INDEX(Power!$K:$K,(INDEX(Cables!$AW:$AW,ROWS($B$31:B32)+1)-1+MIN(MAX(IFERROR(MATCH(LN($C$6),INDEX(Power!$J:$J,INDEX(Cables!$AW:$AW,ROWS($B$31:B32)+1)):INDEX(Power!$J:$J,INDEX(Cables!$AW:$AW,ROWS($B$31:B32)+1)+INDEX(Cables!$AX:$AX,ROWS($B$31:B32)+1)-1),1),1),1),INDEX(Cables!$AX:$AX,ROWS($B$31:B32)+1)-1))+1),INDEX(Power!$J:$J,(INDEX(Cables!$AW:$AW,ROWS($B$31:B32)+1)-1+MIN(MAX(IFERROR(MATCH(LN($C$6),INDEX(Power!$J:$J,INDEX(Cables!$AW:$AW,ROWS($B$31:B32)+1)):INDEX(Power!$J:$J,INDEX(Cables!$AW:$AW,ROWS($B$31:B32)+1)+INDEX(Cables!$AX:$AX,ROWS($B$31:B32)+1)-1),1),1),1),INDEX(Cables!$AX:$AX,ROWS($B$31:B32)+1)-1))):INDEX(Power!$J:$J,(INDEX(Cables!$AW:$AW,ROWS($B$31:B32)+1)-1+MIN(MAX(IFERROR(MATCH(LN($C$6),INDEX(Power!$J:$J,INDEX(Cables!$AW:$AW,ROWS($B$31:B32)+1)):INDEX(Power!$J:$J,INDEX(Cables!$AW:$AW,ROWS($B$31:B32)+1)+INDEX(Cables!$AX:$AX,ROWS($B$31:B32)+1)-1),1),1),1),INDEX(Cables!$AX:$AX,ROWS($B$31:B32)+1)-1))+1)))))</f>
        <v>147.07544953083675</v>
      </c>
      <c r="H32" s="11" t="str">
        <f>IF(B32="","",MID(IF(OR($C$6&lt;INDEX(Cables!$AQ:$AQ,ROWS($B$31:B32)+1),$C$6&gt;INDEX(Cables!$AR:$AR,ROWS($B$31:B32)+1))," / ekstrapolasyon","")&amp;IF(AND(ISNUMBER(G32),$C$8&gt;G32)," / güç sınırı aşılıyor","")&amp;IF(INDEX(Cables!$F:$F,ROWS($B$31:B32)+1)&lt;&gt;50," / Z0="&amp;INDEX(Cables!$F:$F,ROWS($B$31:B32)+1)&amp;" Ω",""),4,200))</f>
        <v/>
      </c>
      <c r="I32" s="1"/>
    </row>
    <row r="33" spans="1:9" x14ac:dyDescent="0.25">
      <c r="A33" s="1"/>
      <c r="B33" s="11" t="str">
        <f>IF(ROWS($B$31:B33)&gt;COUNTA(Cables!$A:$A)-1,"",INDEX(Cables!$B:$B,ROWS($B$31:B33)+1))</f>
        <v>Belden 84316 (RG-316)</v>
      </c>
      <c r="C33" s="12">
        <f>IF(B33="","",EXP(FORECAST(LN($C$6),INDEX(Attenuation!$K:$K,(INDEX(Cables!$AO:$AO,ROWS($B$31:B33)+1)-1+MIN(MAX(IFERROR(MATCH(LN($C$6),INDEX(Attenuation!$J:$J,INDEX(Cables!$AO:$AO,ROWS($B$31:B33)+1)):INDEX(Attenuation!$J:$J,INDEX(Cables!$AO:$AO,ROWS($B$31:B33)+1)+INDEX(Cables!$AP:$AP,ROWS($B$31:B33)+1)-1),1),1),1),INDEX(Cables!$AP:$AP,ROWS($B$31:B33)+1)-1))):INDEX(Attenuation!$K:$K,(INDEX(Cables!$AO:$AO,ROWS($B$31:B33)+1)-1+MIN(MAX(IFERROR(MATCH(LN($C$6),INDEX(Attenuation!$J:$J,INDEX(Cables!$AO:$AO,ROWS($B$31:B33)+1)):INDEX(Attenuation!$J:$J,INDEX(Cables!$AO:$AO,ROWS($B$31:B33)+1)+INDEX(Cables!$AP:$AP,ROWS($B$31:B33)+1)-1),1),1),1),INDEX(Cables!$AP:$AP,ROWS($B$31:B33)+1)-1))+1),INDEX(Attenuation!$J:$J,(INDEX(Cables!$AO:$AO,ROWS($B$31:B33)+1)-1+MIN(MAX(IFERROR(MATCH(LN($C$6),INDEX(Attenuation!$J:$J,INDEX(Cables!$AO:$AO,ROWS($B$31:B33)+1)):INDEX(Attenuation!$J:$J,INDEX(Cables!$AO:$AO,ROWS($B$31:B33)+1)+INDEX(Cables!$AP:$AP,ROWS($B$31:B33)+1)-1),1),1),1),INDEX(Cables!$AP:$AP,ROWS($B$31:B33)+1)-1))):INDEX(Attenuation!$J:$J,(INDEX(Cables!$AO:$AO,ROWS($B$31:B33)+1)-1+MIN(MAX(IFERROR(MATCH(LN($C$6),INDEX(Attenuation!$J:$J,INDEX(Cables!$AO:$AO,ROWS($B$31:B33)+1)):INDEX(Attenuation!$J:$J,INDEX(Cables!$AO:$AO,ROWS($B$31:B33)+1)+INDEX(Cables!$AP:$AP,ROWS($B$31:B33)+1)-1),1),1),1),INDEX(Cables!$AP:$AP,ROWS($B$31:B33)+1)-1))+1))))</f>
        <v>33.180802809623188</v>
      </c>
      <c r="D33" s="12">
        <f t="shared" si="0"/>
        <v>6.8052631807415871</v>
      </c>
      <c r="E33" s="24">
        <f t="shared" si="1"/>
        <v>20.867656629072414</v>
      </c>
      <c r="F33" s="25">
        <f t="shared" si="2"/>
        <v>0.20867656629072415</v>
      </c>
      <c r="G33" s="26" t="str">
        <f>IF(B33="","",IF(INDEX(Cables!$AX:$AX,ROWS($B$31:B33)+1)&lt;2,"-",EXP(FORECAST(LN($C$6),INDEX(Power!$K:$K,(INDEX(Cables!$AW:$AW,ROWS($B$31:B33)+1)-1+MIN(MAX(IFERROR(MATCH(LN($C$6),INDEX(Power!$J:$J,INDEX(Cables!$AW:$AW,ROWS($B$31:B33)+1)):INDEX(Power!$J:$J,INDEX(Cables!$AW:$AW,ROWS($B$31:B33)+1)+INDEX(Cables!$AX:$AX,ROWS($B$31:B33)+1)-1),1),1),1),INDEX(Cables!$AX:$AX,ROWS($B$31:B33)+1)-1))):INDEX(Power!$K:$K,(INDEX(Cables!$AW:$AW,ROWS($B$31:B33)+1)-1+MIN(MAX(IFERROR(MATCH(LN($C$6),INDEX(Power!$J:$J,INDEX(Cables!$AW:$AW,ROWS($B$31:B33)+1)):INDEX(Power!$J:$J,INDEX(Cables!$AW:$AW,ROWS($B$31:B33)+1)+INDEX(Cables!$AX:$AX,ROWS($B$31:B33)+1)-1),1),1),1),INDEX(Cables!$AX:$AX,ROWS($B$31:B33)+1)-1))+1),INDEX(Power!$J:$J,(INDEX(Cables!$AW:$AW,ROWS($B$31:B33)+1)-1+MIN(MAX(IFERROR(MATCH(LN($C$6),INDEX(Power!$J:$J,INDEX(Cables!$AW:$AW,ROWS($B$31:B33)+1)):INDEX(Power!$J:$J,INDEX(Cables!$AW:$AW,ROWS($B$31:B33)+1)+INDEX(Cables!$AX:$AX,ROWS($B$31:B33)+1)-1),1),1),1),INDEX(Cables!$AX:$AX,ROWS($B$31:B33)+1)-1))):INDEX(Power!$J:$J,(INDEX(Cables!$AW:$AW,ROWS($B$31:B33)+1)-1+MIN(MAX(IFERROR(MATCH(LN($C$6),INDEX(Power!$J:$J,INDEX(Cables!$AW:$AW,ROWS($B$31:B33)+1)):INDEX(Power!$J:$J,INDEX(Cables!$AW:$AW,ROWS($B$31:B33)+1)+INDEX(Cables!$AX:$AX,ROWS($B$31:B33)+1)-1),1),1),1),INDEX(Cables!$AX:$AX,ROWS($B$31:B33)+1)-1))+1)))))</f>
        <v>-</v>
      </c>
      <c r="H33" s="11" t="str">
        <f>IF(B33="","",MID(IF(OR($C$6&lt;INDEX(Cables!$AQ:$AQ,ROWS($B$31:B33)+1),$C$6&gt;INDEX(Cables!$AR:$AR,ROWS($B$31:B33)+1))," / ekstrapolasyon","")&amp;IF(AND(ISNUMBER(G33),$C$8&gt;G33)," / güç sınırı aşılıyor","")&amp;IF(INDEX(Cables!$F:$F,ROWS($B$31:B33)+1)&lt;&gt;50," / Z0="&amp;INDEX(Cables!$F:$F,ROWS($B$31:B33)+1)&amp;" Ω",""),4,200))</f>
        <v/>
      </c>
      <c r="I33" s="1"/>
    </row>
    <row r="34" spans="1:9" x14ac:dyDescent="0.25">
      <c r="A34" s="1"/>
      <c r="B34" s="11" t="str">
        <f>IF(ROWS($B$31:B34)&gt;COUNTA(Cables!$A:$A)-1,"",INDEX(Cables!$B:$B,ROWS($B$31:B34)+1))</f>
        <v>Belden 83269 (RG-188)</v>
      </c>
      <c r="C34" s="12">
        <f>IF(B34="","",EXP(FORECAST(LN($C$6),INDEX(Attenuation!$K:$K,(INDEX(Cables!$AO:$AO,ROWS($B$31:B34)+1)-1+MIN(MAX(IFERROR(MATCH(LN($C$6),INDEX(Attenuation!$J:$J,INDEX(Cables!$AO:$AO,ROWS($B$31:B34)+1)):INDEX(Attenuation!$J:$J,INDEX(Cables!$AO:$AO,ROWS($B$31:B34)+1)+INDEX(Cables!$AP:$AP,ROWS($B$31:B34)+1)-1),1),1),1),INDEX(Cables!$AP:$AP,ROWS($B$31:B34)+1)-1))):INDEX(Attenuation!$K:$K,(INDEX(Cables!$AO:$AO,ROWS($B$31:B34)+1)-1+MIN(MAX(IFERROR(MATCH(LN($C$6),INDEX(Attenuation!$J:$J,INDEX(Cables!$AO:$AO,ROWS($B$31:B34)+1)):INDEX(Attenuation!$J:$J,INDEX(Cables!$AO:$AO,ROWS($B$31:B34)+1)+INDEX(Cables!$AP:$AP,ROWS($B$31:B34)+1)-1),1),1),1),INDEX(Cables!$AP:$AP,ROWS($B$31:B34)+1)-1))+1),INDEX(Attenuation!$J:$J,(INDEX(Cables!$AO:$AO,ROWS($B$31:B34)+1)-1+MIN(MAX(IFERROR(MATCH(LN($C$6),INDEX(Attenuation!$J:$J,INDEX(Cables!$AO:$AO,ROWS($B$31:B34)+1)):INDEX(Attenuation!$J:$J,INDEX(Cables!$AO:$AO,ROWS($B$31:B34)+1)+INDEX(Cables!$AP:$AP,ROWS($B$31:B34)+1)-1),1),1),1),INDEX(Cables!$AP:$AP,ROWS($B$31:B34)+1)-1))):INDEX(Attenuation!$J:$J,(INDEX(Cables!$AO:$AO,ROWS($B$31:B34)+1)-1+MIN(MAX(IFERROR(MATCH(LN($C$6),INDEX(Attenuation!$J:$J,INDEX(Cables!$AO:$AO,ROWS($B$31:B34)+1)):INDEX(Attenuation!$J:$J,INDEX(Cables!$AO:$AO,ROWS($B$31:B34)+1)+INDEX(Cables!$AP:$AP,ROWS($B$31:B34)+1)-1),1),1),1),INDEX(Cables!$AP:$AP,ROWS($B$31:B34)+1)-1))+1))))</f>
        <v>33.180802809623188</v>
      </c>
      <c r="D34" s="12">
        <f t="shared" si="0"/>
        <v>6.8052631807415871</v>
      </c>
      <c r="E34" s="24">
        <f t="shared" si="1"/>
        <v>20.867656629072414</v>
      </c>
      <c r="F34" s="25">
        <f t="shared" si="2"/>
        <v>0.20867656629072415</v>
      </c>
      <c r="G34" s="26" t="str">
        <f>IF(B34="","",IF(INDEX(Cables!$AX:$AX,ROWS($B$31:B34)+1)&lt;2,"-",EXP(FORECAST(LN($C$6),INDEX(Power!$K:$K,(INDEX(Cables!$AW:$AW,ROWS($B$31:B34)+1)-1+MIN(MAX(IFERROR(MATCH(LN($C$6),INDEX(Power!$J:$J,INDEX(Cables!$AW:$AW,ROWS($B$31:B34)+1)):INDEX(Power!$J:$J,INDEX(Cables!$AW:$AW,ROWS($B$31:B34)+1)+INDEX(Cables!$AX:$AX,ROWS($B$31:B34)+1)-1),1),1),1),INDEX(Cables!$AX:$AX,ROWS($B$31:B34)+1)-1))):INDEX(Power!$K:$K,(INDEX(Cables!$AW:$AW,ROWS($B$31:B34)+1)-1+MIN(MAX(IFERROR(MATCH(LN($C$6),INDEX(Power!$J:$J,INDEX(Cables!$AW:$AW,ROWS($B$31:B34)+1)):INDEX(Power!$J:$J,INDEX(Cables!$AW:$AW,ROWS($B$31:B34)+1)+INDEX(Cables!$AX:$AX,ROWS($B$31:B34)+1)-1),1),1),1),INDEX(Cables!$AX:$AX,ROWS($B$31:B34)+1)-1))+1),INDEX(Power!$J:$J,(INDEX(Cables!$AW:$AW,ROWS($B$31:B34)+1)-1+MIN(MAX(IFERROR(MATCH(LN($C$6),INDEX(Power!$J:$J,INDEX(Cables!$AW:$AW,ROWS($B$31:B34)+1)):INDEX(Power!$J:$J,INDEX(Cables!$AW:$AW,ROWS($B$31:B34)+1)+INDEX(Cables!$AX:$AX,ROWS($B$31:B34)+1)-1),1),1),1),INDEX(Cables!$AX:$AX,ROWS($B$31:B34)+1)-1))):INDEX(Power!$J:$J,(INDEX(Cables!$AW:$AW,ROWS($B$31:B34)+1)-1+MIN(MAX(IFERROR(MATCH(LN($C$6),INDEX(Power!$J:$J,INDEX(Cables!$AW:$AW,ROWS($B$31:B34)+1)):INDEX(Power!$J:$J,INDEX(Cables!$AW:$AW,ROWS($B$31:B34)+1)+INDEX(Cables!$AX:$AX,ROWS($B$31:B34)+1)-1),1),1),1),INDEX(Cables!$AX:$AX,ROWS($B$31:B34)+1)-1))+1)))))</f>
        <v>-</v>
      </c>
      <c r="H34" s="11" t="str">
        <f>IF(B34="","",MID(IF(OR($C$6&lt;INDEX(Cables!$AQ:$AQ,ROWS($B$31:B34)+1),$C$6&gt;INDEX(Cables!$AR:$AR,ROWS($B$31:B34)+1))," / ekstrapolasyon","")&amp;IF(AND(ISNUMBER(G34),$C$8&gt;G34)," / güç sınırı aşılıyor","")&amp;IF(INDEX(Cables!$F:$F,ROWS($B$31:B34)+1)&lt;&gt;50," / Z0="&amp;INDEX(Cables!$F:$F,ROWS($B$31:B34)+1)&amp;" Ω",""),4,200))</f>
        <v/>
      </c>
      <c r="I34" s="1"/>
    </row>
    <row r="35" spans="1:9" x14ac:dyDescent="0.25">
      <c r="A35" s="1"/>
      <c r="B35" s="11" t="str">
        <f>IF(ROWS($B$31:B35)&gt;COUNTA(Cables!$A:$A)-1,"",INDEX(Cables!$B:$B,ROWS($B$31:B35)+1))</f>
        <v>Times Microwave LMR-100A (Amphenol)</v>
      </c>
      <c r="C35" s="12">
        <f>IF(B35="","",EXP(FORECAST(LN($C$6),INDEX(Attenuation!$K:$K,(INDEX(Cables!$AO:$AO,ROWS($B$31:B35)+1)-1+MIN(MAX(IFERROR(MATCH(LN($C$6),INDEX(Attenuation!$J:$J,INDEX(Cables!$AO:$AO,ROWS($B$31:B35)+1)):INDEX(Attenuation!$J:$J,INDEX(Cables!$AO:$AO,ROWS($B$31:B35)+1)+INDEX(Cables!$AP:$AP,ROWS($B$31:B35)+1)-1),1),1),1),INDEX(Cables!$AP:$AP,ROWS($B$31:B35)+1)-1))):INDEX(Attenuation!$K:$K,(INDEX(Cables!$AO:$AO,ROWS($B$31:B35)+1)-1+MIN(MAX(IFERROR(MATCH(LN($C$6),INDEX(Attenuation!$J:$J,INDEX(Cables!$AO:$AO,ROWS($B$31:B35)+1)):INDEX(Attenuation!$J:$J,INDEX(Cables!$AO:$AO,ROWS($B$31:B35)+1)+INDEX(Cables!$AP:$AP,ROWS($B$31:B35)+1)-1),1),1),1),INDEX(Cables!$AP:$AP,ROWS($B$31:B35)+1)-1))+1),INDEX(Attenuation!$J:$J,(INDEX(Cables!$AO:$AO,ROWS($B$31:B35)+1)-1+MIN(MAX(IFERROR(MATCH(LN($C$6),INDEX(Attenuation!$J:$J,INDEX(Cables!$AO:$AO,ROWS($B$31:B35)+1)):INDEX(Attenuation!$J:$J,INDEX(Cables!$AO:$AO,ROWS($B$31:B35)+1)+INDEX(Cables!$AP:$AP,ROWS($B$31:B35)+1)-1),1),1),1),INDEX(Cables!$AP:$AP,ROWS($B$31:B35)+1)-1))):INDEX(Attenuation!$J:$J,(INDEX(Cables!$AO:$AO,ROWS($B$31:B35)+1)-1+MIN(MAX(IFERROR(MATCH(LN($C$6),INDEX(Attenuation!$J:$J,INDEX(Cables!$AO:$AO,ROWS($B$31:B35)+1)):INDEX(Attenuation!$J:$J,INDEX(Cables!$AO:$AO,ROWS($B$31:B35)+1)+INDEX(Cables!$AP:$AP,ROWS($B$31:B35)+1)-1),1),1),1),INDEX(Cables!$AP:$AP,ROWS($B$31:B35)+1)-1))+1))))</f>
        <v>28.702045024337281</v>
      </c>
      <c r="D35" s="12">
        <f t="shared" si="0"/>
        <v>5.9053263562808667</v>
      </c>
      <c r="E35" s="24">
        <f t="shared" si="1"/>
        <v>25.672452818456946</v>
      </c>
      <c r="F35" s="25">
        <f t="shared" si="2"/>
        <v>0.25672452818456948</v>
      </c>
      <c r="G35" s="26">
        <f>IF(B35="","",IF(INDEX(Cables!$AX:$AX,ROWS($B$31:B35)+1)&lt;2,"-",EXP(FORECAST(LN($C$6),INDEX(Power!$K:$K,(INDEX(Cables!$AW:$AW,ROWS($B$31:B35)+1)-1+MIN(MAX(IFERROR(MATCH(LN($C$6),INDEX(Power!$J:$J,INDEX(Cables!$AW:$AW,ROWS($B$31:B35)+1)):INDEX(Power!$J:$J,INDEX(Cables!$AW:$AW,ROWS($B$31:B35)+1)+INDEX(Cables!$AX:$AX,ROWS($B$31:B35)+1)-1),1),1),1),INDEX(Cables!$AX:$AX,ROWS($B$31:B35)+1)-1))):INDEX(Power!$K:$K,(INDEX(Cables!$AW:$AW,ROWS($B$31:B35)+1)-1+MIN(MAX(IFERROR(MATCH(LN($C$6),INDEX(Power!$J:$J,INDEX(Cables!$AW:$AW,ROWS($B$31:B35)+1)):INDEX(Power!$J:$J,INDEX(Cables!$AW:$AW,ROWS($B$31:B35)+1)+INDEX(Cables!$AX:$AX,ROWS($B$31:B35)+1)-1),1),1),1),INDEX(Cables!$AX:$AX,ROWS($B$31:B35)+1)-1))+1),INDEX(Power!$J:$J,(INDEX(Cables!$AW:$AW,ROWS($B$31:B35)+1)-1+MIN(MAX(IFERROR(MATCH(LN($C$6),INDEX(Power!$J:$J,INDEX(Cables!$AW:$AW,ROWS($B$31:B35)+1)):INDEX(Power!$J:$J,INDEX(Cables!$AW:$AW,ROWS($B$31:B35)+1)+INDEX(Cables!$AX:$AX,ROWS($B$31:B35)+1)-1),1),1),1),INDEX(Cables!$AX:$AX,ROWS($B$31:B35)+1)-1))):INDEX(Power!$J:$J,(INDEX(Cables!$AW:$AW,ROWS($B$31:B35)+1)-1+MIN(MAX(IFERROR(MATCH(LN($C$6),INDEX(Power!$J:$J,INDEX(Cables!$AW:$AW,ROWS($B$31:B35)+1)):INDEX(Power!$J:$J,INDEX(Cables!$AW:$AW,ROWS($B$31:B35)+1)+INDEX(Cables!$AX:$AX,ROWS($B$31:B35)+1)-1),1),1),1),INDEX(Cables!$AX:$AX,ROWS($B$31:B35)+1)-1))+1)))))</f>
        <v>101.8303724581376</v>
      </c>
      <c r="H35" s="11" t="str">
        <f>IF(B35="","",MID(IF(OR($C$6&lt;INDEX(Cables!$AQ:$AQ,ROWS($B$31:B35)+1),$C$6&gt;INDEX(Cables!$AR:$AR,ROWS($B$31:B35)+1))," / ekstrapolasyon","")&amp;IF(AND(ISNUMBER(G35),$C$8&gt;G35)," / güç sınırı aşılıyor","")&amp;IF(INDEX(Cables!$F:$F,ROWS($B$31:B35)+1)&lt;&gt;50," / Z0="&amp;INDEX(Cables!$F:$F,ROWS($B$31:B35)+1)&amp;" Ω",""),4,200))</f>
        <v/>
      </c>
      <c r="I35" s="1"/>
    </row>
    <row r="36" spans="1:9" x14ac:dyDescent="0.25">
      <c r="A36" s="1"/>
      <c r="B36" s="11" t="str">
        <f>IF(ROWS($B$31:B36)&gt;COUNTA(Cables!$A:$A)-1,"",INDEX(Cables!$B:$B,ROWS($B$31:B36)+1))</f>
        <v>Belden 8259 (RG-58)</v>
      </c>
      <c r="C36" s="12">
        <f>IF(B36="","",EXP(FORECAST(LN($C$6),INDEX(Attenuation!$K:$K,(INDEX(Cables!$AO:$AO,ROWS($B$31:B36)+1)-1+MIN(MAX(IFERROR(MATCH(LN($C$6),INDEX(Attenuation!$J:$J,INDEX(Cables!$AO:$AO,ROWS($B$31:B36)+1)):INDEX(Attenuation!$J:$J,INDEX(Cables!$AO:$AO,ROWS($B$31:B36)+1)+INDEX(Cables!$AP:$AP,ROWS($B$31:B36)+1)-1),1),1),1),INDEX(Cables!$AP:$AP,ROWS($B$31:B36)+1)-1))):INDEX(Attenuation!$K:$K,(INDEX(Cables!$AO:$AO,ROWS($B$31:B36)+1)-1+MIN(MAX(IFERROR(MATCH(LN($C$6),INDEX(Attenuation!$J:$J,INDEX(Cables!$AO:$AO,ROWS($B$31:B36)+1)):INDEX(Attenuation!$J:$J,INDEX(Cables!$AO:$AO,ROWS($B$31:B36)+1)+INDEX(Cables!$AP:$AP,ROWS($B$31:B36)+1)-1),1),1),1),INDEX(Cables!$AP:$AP,ROWS($B$31:B36)+1)-1))+1),INDEX(Attenuation!$J:$J,(INDEX(Cables!$AO:$AO,ROWS($B$31:B36)+1)-1+MIN(MAX(IFERROR(MATCH(LN($C$6),INDEX(Attenuation!$J:$J,INDEX(Cables!$AO:$AO,ROWS($B$31:B36)+1)):INDEX(Attenuation!$J:$J,INDEX(Cables!$AO:$AO,ROWS($B$31:B36)+1)+INDEX(Cables!$AP:$AP,ROWS($B$31:B36)+1)-1),1),1),1),INDEX(Cables!$AP:$AP,ROWS($B$31:B36)+1)-1))):INDEX(Attenuation!$J:$J,(INDEX(Cables!$AO:$AO,ROWS($B$31:B36)+1)-1+MIN(MAX(IFERROR(MATCH(LN($C$6),INDEX(Attenuation!$J:$J,INDEX(Cables!$AO:$AO,ROWS($B$31:B36)+1)):INDEX(Attenuation!$J:$J,INDEX(Cables!$AO:$AO,ROWS($B$31:B36)+1)+INDEX(Cables!$AP:$AP,ROWS($B$31:B36)+1)-1),1),1),1),INDEX(Cables!$AP:$AP,ROWS($B$31:B36)+1)-1))+1))))</f>
        <v>22.017754616025289</v>
      </c>
      <c r="D36" s="12">
        <f t="shared" si="0"/>
        <v>4.5579151530549629</v>
      </c>
      <c r="E36" s="24">
        <f t="shared" si="1"/>
        <v>35.011319984713758</v>
      </c>
      <c r="F36" s="25">
        <f t="shared" si="2"/>
        <v>0.35011319984713757</v>
      </c>
      <c r="G36" s="26" t="str">
        <f>IF(B36="","",IF(INDEX(Cables!$AX:$AX,ROWS($B$31:B36)+1)&lt;2,"-",EXP(FORECAST(LN($C$6),INDEX(Power!$K:$K,(INDEX(Cables!$AW:$AW,ROWS($B$31:B36)+1)-1+MIN(MAX(IFERROR(MATCH(LN($C$6),INDEX(Power!$J:$J,INDEX(Cables!$AW:$AW,ROWS($B$31:B36)+1)):INDEX(Power!$J:$J,INDEX(Cables!$AW:$AW,ROWS($B$31:B36)+1)+INDEX(Cables!$AX:$AX,ROWS($B$31:B36)+1)-1),1),1),1),INDEX(Cables!$AX:$AX,ROWS($B$31:B36)+1)-1))):INDEX(Power!$K:$K,(INDEX(Cables!$AW:$AW,ROWS($B$31:B36)+1)-1+MIN(MAX(IFERROR(MATCH(LN($C$6),INDEX(Power!$J:$J,INDEX(Cables!$AW:$AW,ROWS($B$31:B36)+1)):INDEX(Power!$J:$J,INDEX(Cables!$AW:$AW,ROWS($B$31:B36)+1)+INDEX(Cables!$AX:$AX,ROWS($B$31:B36)+1)-1),1),1),1),INDEX(Cables!$AX:$AX,ROWS($B$31:B36)+1)-1))+1),INDEX(Power!$J:$J,(INDEX(Cables!$AW:$AW,ROWS($B$31:B36)+1)-1+MIN(MAX(IFERROR(MATCH(LN($C$6),INDEX(Power!$J:$J,INDEX(Cables!$AW:$AW,ROWS($B$31:B36)+1)):INDEX(Power!$J:$J,INDEX(Cables!$AW:$AW,ROWS($B$31:B36)+1)+INDEX(Cables!$AX:$AX,ROWS($B$31:B36)+1)-1),1),1),1),INDEX(Cables!$AX:$AX,ROWS($B$31:B36)+1)-1))):INDEX(Power!$J:$J,(INDEX(Cables!$AW:$AW,ROWS($B$31:B36)+1)-1+MIN(MAX(IFERROR(MATCH(LN($C$6),INDEX(Power!$J:$J,INDEX(Cables!$AW:$AW,ROWS($B$31:B36)+1)):INDEX(Power!$J:$J,INDEX(Cables!$AW:$AW,ROWS($B$31:B36)+1)+INDEX(Cables!$AX:$AX,ROWS($B$31:B36)+1)-1),1),1),1),INDEX(Cables!$AX:$AX,ROWS($B$31:B36)+1)-1))+1)))))</f>
        <v>-</v>
      </c>
      <c r="H36" s="11" t="str">
        <f>IF(B36="","",MID(IF(OR($C$6&lt;INDEX(Cables!$AQ:$AQ,ROWS($B$31:B36)+1),$C$6&gt;INDEX(Cables!$AR:$AR,ROWS($B$31:B36)+1))," / ekstrapolasyon","")&amp;IF(AND(ISNUMBER(G36),$C$8&gt;G36)," / güç sınırı aşılıyor","")&amp;IF(INDEX(Cables!$F:$F,ROWS($B$31:B36)+1)&lt;&gt;50," / Z0="&amp;INDEX(Cables!$F:$F,ROWS($B$31:B36)+1)&amp;" Ω",""),4,200))</f>
        <v/>
      </c>
      <c r="I36" s="1"/>
    </row>
    <row r="37" spans="1:9" x14ac:dyDescent="0.25">
      <c r="A37" s="1"/>
      <c r="B37" s="11" t="str">
        <f>IF(ROWS($B$31:B37)&gt;COUNTA(Cables!$A:$A)-1,"",INDEX(Cables!$B:$B,ROWS($B$31:B37)+1))</f>
        <v>Messi &amp; Paoloni RG 58 C/U</v>
      </c>
      <c r="C37" s="12">
        <f>IF(B37="","",EXP(FORECAST(LN($C$6),INDEX(Attenuation!$K:$K,(INDEX(Cables!$AO:$AO,ROWS($B$31:B37)+1)-1+MIN(MAX(IFERROR(MATCH(LN($C$6),INDEX(Attenuation!$J:$J,INDEX(Cables!$AO:$AO,ROWS($B$31:B37)+1)):INDEX(Attenuation!$J:$J,INDEX(Cables!$AO:$AO,ROWS($B$31:B37)+1)+INDEX(Cables!$AP:$AP,ROWS($B$31:B37)+1)-1),1),1),1),INDEX(Cables!$AP:$AP,ROWS($B$31:B37)+1)-1))):INDEX(Attenuation!$K:$K,(INDEX(Cables!$AO:$AO,ROWS($B$31:B37)+1)-1+MIN(MAX(IFERROR(MATCH(LN($C$6),INDEX(Attenuation!$J:$J,INDEX(Cables!$AO:$AO,ROWS($B$31:B37)+1)):INDEX(Attenuation!$J:$J,INDEX(Cables!$AO:$AO,ROWS($B$31:B37)+1)+INDEX(Cables!$AP:$AP,ROWS($B$31:B37)+1)-1),1),1),1),INDEX(Cables!$AP:$AP,ROWS($B$31:B37)+1)-1))+1),INDEX(Attenuation!$J:$J,(INDEX(Cables!$AO:$AO,ROWS($B$31:B37)+1)-1+MIN(MAX(IFERROR(MATCH(LN($C$6),INDEX(Attenuation!$J:$J,INDEX(Cables!$AO:$AO,ROWS($B$31:B37)+1)):INDEX(Attenuation!$J:$J,INDEX(Cables!$AO:$AO,ROWS($B$31:B37)+1)+INDEX(Cables!$AP:$AP,ROWS($B$31:B37)+1)-1),1),1),1),INDEX(Cables!$AP:$AP,ROWS($B$31:B37)+1)-1))):INDEX(Attenuation!$J:$J,(INDEX(Cables!$AO:$AO,ROWS($B$31:B37)+1)-1+MIN(MAX(IFERROR(MATCH(LN($C$6),INDEX(Attenuation!$J:$J,INDEX(Cables!$AO:$AO,ROWS($B$31:B37)+1)):INDEX(Attenuation!$J:$J,INDEX(Cables!$AO:$AO,ROWS($B$31:B37)+1)+INDEX(Cables!$AP:$AP,ROWS($B$31:B37)+1)-1),1),1),1),INDEX(Cables!$AP:$AP,ROWS($B$31:B37)+1)-1))+1))))</f>
        <v>19.355159650046065</v>
      </c>
      <c r="D37" s="12">
        <f t="shared" si="0"/>
        <v>4.019003722947101</v>
      </c>
      <c r="E37" s="24">
        <f t="shared" si="1"/>
        <v>39.63689513672459</v>
      </c>
      <c r="F37" s="25">
        <f t="shared" si="2"/>
        <v>0.39636895136724593</v>
      </c>
      <c r="G37" s="26" t="str">
        <f>IF(B37="","",IF(INDEX(Cables!$AX:$AX,ROWS($B$31:B37)+1)&lt;2,"-",EXP(FORECAST(LN($C$6),INDEX(Power!$K:$K,(INDEX(Cables!$AW:$AW,ROWS($B$31:B37)+1)-1+MIN(MAX(IFERROR(MATCH(LN($C$6),INDEX(Power!$J:$J,INDEX(Cables!$AW:$AW,ROWS($B$31:B37)+1)):INDEX(Power!$J:$J,INDEX(Cables!$AW:$AW,ROWS($B$31:B37)+1)+INDEX(Cables!$AX:$AX,ROWS($B$31:B37)+1)-1),1),1),1),INDEX(Cables!$AX:$AX,ROWS($B$31:B37)+1)-1))):INDEX(Power!$K:$K,(INDEX(Cables!$AW:$AW,ROWS($B$31:B37)+1)-1+MIN(MAX(IFERROR(MATCH(LN($C$6),INDEX(Power!$J:$J,INDEX(Cables!$AW:$AW,ROWS($B$31:B37)+1)):INDEX(Power!$J:$J,INDEX(Cables!$AW:$AW,ROWS($B$31:B37)+1)+INDEX(Cables!$AX:$AX,ROWS($B$31:B37)+1)-1),1),1),1),INDEX(Cables!$AX:$AX,ROWS($B$31:B37)+1)-1))+1),INDEX(Power!$J:$J,(INDEX(Cables!$AW:$AW,ROWS($B$31:B37)+1)-1+MIN(MAX(IFERROR(MATCH(LN($C$6),INDEX(Power!$J:$J,INDEX(Cables!$AW:$AW,ROWS($B$31:B37)+1)):INDEX(Power!$J:$J,INDEX(Cables!$AW:$AW,ROWS($B$31:B37)+1)+INDEX(Cables!$AX:$AX,ROWS($B$31:B37)+1)-1),1),1),1),INDEX(Cables!$AX:$AX,ROWS($B$31:B37)+1)-1))):INDEX(Power!$J:$J,(INDEX(Cables!$AW:$AW,ROWS($B$31:B37)+1)-1+MIN(MAX(IFERROR(MATCH(LN($C$6),INDEX(Power!$J:$J,INDEX(Cables!$AW:$AW,ROWS($B$31:B37)+1)):INDEX(Power!$J:$J,INDEX(Cables!$AW:$AW,ROWS($B$31:B37)+1)+INDEX(Cables!$AX:$AX,ROWS($B$31:B37)+1)-1),1),1),1),INDEX(Cables!$AX:$AX,ROWS($B$31:B37)+1)-1))+1)))))</f>
        <v>-</v>
      </c>
      <c r="H37" s="11" t="str">
        <f>IF(B37="","",MID(IF(OR($C$6&lt;INDEX(Cables!$AQ:$AQ,ROWS($B$31:B37)+1),$C$6&gt;INDEX(Cables!$AR:$AR,ROWS($B$31:B37)+1))," / ekstrapolasyon","")&amp;IF(AND(ISNUMBER(G37),$C$8&gt;G37)," / güç sınırı aşılıyor","")&amp;IF(INDEX(Cables!$F:$F,ROWS($B$31:B37)+1)&lt;&gt;50," / Z0="&amp;INDEX(Cables!$F:$F,ROWS($B$31:B37)+1)&amp;" Ω",""),4,200))</f>
        <v/>
      </c>
      <c r="I37" s="1"/>
    </row>
    <row r="38" spans="1:9" x14ac:dyDescent="0.25">
      <c r="A38" s="1"/>
      <c r="B38" s="11" t="str">
        <f>IF(ROWS($B$31:B38)&gt;COUNTA(Cables!$A:$A)-1,"",INDEX(Cables!$B:$B,ROWS($B$31:B38)+1))</f>
        <v>Belden 8219 (RG-58, köpük PE)</v>
      </c>
      <c r="C38" s="12">
        <f>IF(B38="","",EXP(FORECAST(LN($C$6),INDEX(Attenuation!$K:$K,(INDEX(Cables!$AO:$AO,ROWS($B$31:B38)+1)-1+MIN(MAX(IFERROR(MATCH(LN($C$6),INDEX(Attenuation!$J:$J,INDEX(Cables!$AO:$AO,ROWS($B$31:B38)+1)):INDEX(Attenuation!$J:$J,INDEX(Cables!$AO:$AO,ROWS($B$31:B38)+1)+INDEX(Cables!$AP:$AP,ROWS($B$31:B38)+1)-1),1),1),1),INDEX(Cables!$AP:$AP,ROWS($B$31:B38)+1)-1))):INDEX(Attenuation!$K:$K,(INDEX(Cables!$AO:$AO,ROWS($B$31:B38)+1)-1+MIN(MAX(IFERROR(MATCH(LN($C$6),INDEX(Attenuation!$J:$J,INDEX(Cables!$AO:$AO,ROWS($B$31:B38)+1)):INDEX(Attenuation!$J:$J,INDEX(Cables!$AO:$AO,ROWS($B$31:B38)+1)+INDEX(Cables!$AP:$AP,ROWS($B$31:B38)+1)-1),1),1),1),INDEX(Cables!$AP:$AP,ROWS($B$31:B38)+1)-1))+1),INDEX(Attenuation!$J:$J,(INDEX(Cables!$AO:$AO,ROWS($B$31:B38)+1)-1+MIN(MAX(IFERROR(MATCH(LN($C$6),INDEX(Attenuation!$J:$J,INDEX(Cables!$AO:$AO,ROWS($B$31:B38)+1)):INDEX(Attenuation!$J:$J,INDEX(Cables!$AO:$AO,ROWS($B$31:B38)+1)+INDEX(Cables!$AP:$AP,ROWS($B$31:B38)+1)-1),1),1),1),INDEX(Cables!$AP:$AP,ROWS($B$31:B38)+1)-1))):INDEX(Attenuation!$J:$J,(INDEX(Cables!$AO:$AO,ROWS($B$31:B38)+1)-1+MIN(MAX(IFERROR(MATCH(LN($C$6),INDEX(Attenuation!$J:$J,INDEX(Cables!$AO:$AO,ROWS($B$31:B38)+1)):INDEX(Attenuation!$J:$J,INDEX(Cables!$AO:$AO,ROWS($B$31:B38)+1)+INDEX(Cables!$AP:$AP,ROWS($B$31:B38)+1)-1),1),1),1),INDEX(Cables!$AP:$AP,ROWS($B$31:B38)+1)-1))+1))))</f>
        <v>18.128421576104458</v>
      </c>
      <c r="D38" s="12">
        <f t="shared" si="0"/>
        <v>3.7701361397893436</v>
      </c>
      <c r="E38" s="24">
        <f t="shared" si="1"/>
        <v>41.974582586757748</v>
      </c>
      <c r="F38" s="25">
        <f t="shared" si="2"/>
        <v>0.41974582586757747</v>
      </c>
      <c r="G38" s="26" t="str">
        <f>IF(B38="","",IF(INDEX(Cables!$AX:$AX,ROWS($B$31:B38)+1)&lt;2,"-",EXP(FORECAST(LN($C$6),INDEX(Power!$K:$K,(INDEX(Cables!$AW:$AW,ROWS($B$31:B38)+1)-1+MIN(MAX(IFERROR(MATCH(LN($C$6),INDEX(Power!$J:$J,INDEX(Cables!$AW:$AW,ROWS($B$31:B38)+1)):INDEX(Power!$J:$J,INDEX(Cables!$AW:$AW,ROWS($B$31:B38)+1)+INDEX(Cables!$AX:$AX,ROWS($B$31:B38)+1)-1),1),1),1),INDEX(Cables!$AX:$AX,ROWS($B$31:B38)+1)-1))):INDEX(Power!$K:$K,(INDEX(Cables!$AW:$AW,ROWS($B$31:B38)+1)-1+MIN(MAX(IFERROR(MATCH(LN($C$6),INDEX(Power!$J:$J,INDEX(Cables!$AW:$AW,ROWS($B$31:B38)+1)):INDEX(Power!$J:$J,INDEX(Cables!$AW:$AW,ROWS($B$31:B38)+1)+INDEX(Cables!$AX:$AX,ROWS($B$31:B38)+1)-1),1),1),1),INDEX(Cables!$AX:$AX,ROWS($B$31:B38)+1)-1))+1),INDEX(Power!$J:$J,(INDEX(Cables!$AW:$AW,ROWS($B$31:B38)+1)-1+MIN(MAX(IFERROR(MATCH(LN($C$6),INDEX(Power!$J:$J,INDEX(Cables!$AW:$AW,ROWS($B$31:B38)+1)):INDEX(Power!$J:$J,INDEX(Cables!$AW:$AW,ROWS($B$31:B38)+1)+INDEX(Cables!$AX:$AX,ROWS($B$31:B38)+1)-1),1),1),1),INDEX(Cables!$AX:$AX,ROWS($B$31:B38)+1)-1))):INDEX(Power!$J:$J,(INDEX(Cables!$AW:$AW,ROWS($B$31:B38)+1)-1+MIN(MAX(IFERROR(MATCH(LN($C$6),INDEX(Power!$J:$J,INDEX(Cables!$AW:$AW,ROWS($B$31:B38)+1)):INDEX(Power!$J:$J,INDEX(Cables!$AW:$AW,ROWS($B$31:B38)+1)+INDEX(Cables!$AX:$AX,ROWS($B$31:B38)+1)-1),1),1),1),INDEX(Cables!$AX:$AX,ROWS($B$31:B38)+1)-1))+1)))))</f>
        <v>-</v>
      </c>
      <c r="H38" s="11" t="str">
        <f>IF(B38="","",MID(IF(OR($C$6&lt;INDEX(Cables!$AQ:$AQ,ROWS($B$31:B38)+1),$C$6&gt;INDEX(Cables!$AR:$AR,ROWS($B$31:B38)+1))," / ekstrapolasyon","")&amp;IF(AND(ISNUMBER(G38),$C$8&gt;G38)," / güç sınırı aşılıyor","")&amp;IF(INDEX(Cables!$F:$F,ROWS($B$31:B38)+1)&lt;&gt;50," / Z0="&amp;INDEX(Cables!$F:$F,ROWS($B$31:B38)+1)&amp;" Ω",""),4,200))</f>
        <v>Z0=54 Ω</v>
      </c>
      <c r="I38" s="1"/>
    </row>
    <row r="39" spans="1:9" x14ac:dyDescent="0.25">
      <c r="A39" s="1"/>
      <c r="B39" s="11" t="str">
        <f>IF(ROWS($B$31:B39)&gt;COUNTA(Cables!$A:$A)-1,"",INDEX(Cables!$B:$B,ROWS($B$31:B39)+1))</f>
        <v>Belden 9273 (RG-223/U)</v>
      </c>
      <c r="C39" s="12">
        <f>IF(B39="","",EXP(FORECAST(LN($C$6),INDEX(Attenuation!$K:$K,(INDEX(Cables!$AO:$AO,ROWS($B$31:B39)+1)-1+MIN(MAX(IFERROR(MATCH(LN($C$6),INDEX(Attenuation!$J:$J,INDEX(Cables!$AO:$AO,ROWS($B$31:B39)+1)):INDEX(Attenuation!$J:$J,INDEX(Cables!$AO:$AO,ROWS($B$31:B39)+1)+INDEX(Cables!$AP:$AP,ROWS($B$31:B39)+1)-1),1),1),1),INDEX(Cables!$AP:$AP,ROWS($B$31:B39)+1)-1))):INDEX(Attenuation!$K:$K,(INDEX(Cables!$AO:$AO,ROWS($B$31:B39)+1)-1+MIN(MAX(IFERROR(MATCH(LN($C$6),INDEX(Attenuation!$J:$J,INDEX(Cables!$AO:$AO,ROWS($B$31:B39)+1)):INDEX(Attenuation!$J:$J,INDEX(Cables!$AO:$AO,ROWS($B$31:B39)+1)+INDEX(Cables!$AP:$AP,ROWS($B$31:B39)+1)-1),1),1),1),INDEX(Cables!$AP:$AP,ROWS($B$31:B39)+1)-1))+1),INDEX(Attenuation!$J:$J,(INDEX(Cables!$AO:$AO,ROWS($B$31:B39)+1)-1+MIN(MAX(IFERROR(MATCH(LN($C$6),INDEX(Attenuation!$J:$J,INDEX(Cables!$AO:$AO,ROWS($B$31:B39)+1)):INDEX(Attenuation!$J:$J,INDEX(Cables!$AO:$AO,ROWS($B$31:B39)+1)+INDEX(Cables!$AP:$AP,ROWS($B$31:B39)+1)-1),1),1),1),INDEX(Cables!$AP:$AP,ROWS($B$31:B39)+1)-1))):INDEX(Attenuation!$J:$J,(INDEX(Cables!$AO:$AO,ROWS($B$31:B39)+1)-1+MIN(MAX(IFERROR(MATCH(LN($C$6),INDEX(Attenuation!$J:$J,INDEX(Cables!$AO:$AO,ROWS($B$31:B39)+1)):INDEX(Attenuation!$J:$J,INDEX(Cables!$AO:$AO,ROWS($B$31:B39)+1)+INDEX(Cables!$AP:$AP,ROWS($B$31:B39)+1)-1),1),1),1),INDEX(Cables!$AP:$AP,ROWS($B$31:B39)+1)-1))+1))))</f>
        <v>16.497364311235099</v>
      </c>
      <c r="D39" s="12">
        <f t="shared" si="0"/>
        <v>3.4385786415095208</v>
      </c>
      <c r="E39" s="24">
        <f t="shared" si="1"/>
        <v>45.304582843054106</v>
      </c>
      <c r="F39" s="25">
        <f t="shared" si="2"/>
        <v>0.45304582843054109</v>
      </c>
      <c r="G39" s="26">
        <f>IF(B39="","",IF(INDEX(Cables!$AX:$AX,ROWS($B$31:B39)+1)&lt;2,"-",EXP(FORECAST(LN($C$6),INDEX(Power!$K:$K,(INDEX(Cables!$AW:$AW,ROWS($B$31:B39)+1)-1+MIN(MAX(IFERROR(MATCH(LN($C$6),INDEX(Power!$J:$J,INDEX(Cables!$AW:$AW,ROWS($B$31:B39)+1)):INDEX(Power!$J:$J,INDEX(Cables!$AW:$AW,ROWS($B$31:B39)+1)+INDEX(Cables!$AX:$AX,ROWS($B$31:B39)+1)-1),1),1),1),INDEX(Cables!$AX:$AX,ROWS($B$31:B39)+1)-1))):INDEX(Power!$K:$K,(INDEX(Cables!$AW:$AW,ROWS($B$31:B39)+1)-1+MIN(MAX(IFERROR(MATCH(LN($C$6),INDEX(Power!$J:$J,INDEX(Cables!$AW:$AW,ROWS($B$31:B39)+1)):INDEX(Power!$J:$J,INDEX(Cables!$AW:$AW,ROWS($B$31:B39)+1)+INDEX(Cables!$AX:$AX,ROWS($B$31:B39)+1)-1),1),1),1),INDEX(Cables!$AX:$AX,ROWS($B$31:B39)+1)-1))+1),INDEX(Power!$J:$J,(INDEX(Cables!$AW:$AW,ROWS($B$31:B39)+1)-1+MIN(MAX(IFERROR(MATCH(LN($C$6),INDEX(Power!$J:$J,INDEX(Cables!$AW:$AW,ROWS($B$31:B39)+1)):INDEX(Power!$J:$J,INDEX(Cables!$AW:$AW,ROWS($B$31:B39)+1)+INDEX(Cables!$AX:$AX,ROWS($B$31:B39)+1)-1),1),1),1),INDEX(Cables!$AX:$AX,ROWS($B$31:B39)+1)-1))):INDEX(Power!$J:$J,(INDEX(Cables!$AW:$AW,ROWS($B$31:B39)+1)-1+MIN(MAX(IFERROR(MATCH(LN($C$6),INDEX(Power!$J:$J,INDEX(Cables!$AW:$AW,ROWS($B$31:B39)+1)):INDEX(Power!$J:$J,INDEX(Cables!$AW:$AW,ROWS($B$31:B39)+1)+INDEX(Cables!$AX:$AX,ROWS($B$31:B39)+1)-1),1),1),1),INDEX(Cables!$AX:$AX,ROWS($B$31:B39)+1)-1))+1)))))</f>
        <v>170.59160839281293</v>
      </c>
      <c r="H39" s="11" t="str">
        <f>IF(B39="","",MID(IF(OR($C$6&lt;INDEX(Cables!$AQ:$AQ,ROWS($B$31:B39)+1),$C$6&gt;INDEX(Cables!$AR:$AR,ROWS($B$31:B39)+1))," / ekstrapolasyon","")&amp;IF(AND(ISNUMBER(G39),$C$8&gt;G39)," / güç sınırı aşılıyor","")&amp;IF(INDEX(Cables!$F:$F,ROWS($B$31:B39)+1)&lt;&gt;50," / Z0="&amp;INDEX(Cables!$F:$F,ROWS($B$31:B39)+1)&amp;" Ω",""),4,200))</f>
        <v/>
      </c>
      <c r="I39" s="1"/>
    </row>
    <row r="40" spans="1:9" x14ac:dyDescent="0.25">
      <c r="A40" s="1"/>
      <c r="B40" s="11" t="str">
        <f>IF(ROWS($B$31:B40)&gt;COUNTA(Cables!$A:$A)-1,"",INDEX(Cables!$B:$B,ROWS($B$31:B40)+1))</f>
        <v>Harbour M17/128-RG400</v>
      </c>
      <c r="C40" s="12">
        <f>IF(B40="","",EXP(FORECAST(LN($C$6),INDEX(Attenuation!$K:$K,(INDEX(Cables!$AO:$AO,ROWS($B$31:B40)+1)-1+MIN(MAX(IFERROR(MATCH(LN($C$6),INDEX(Attenuation!$J:$J,INDEX(Cables!$AO:$AO,ROWS($B$31:B40)+1)):INDEX(Attenuation!$J:$J,INDEX(Cables!$AO:$AO,ROWS($B$31:B40)+1)+INDEX(Cables!$AP:$AP,ROWS($B$31:B40)+1)-1),1),1),1),INDEX(Cables!$AP:$AP,ROWS($B$31:B40)+1)-1))):INDEX(Attenuation!$K:$K,(INDEX(Cables!$AO:$AO,ROWS($B$31:B40)+1)-1+MIN(MAX(IFERROR(MATCH(LN($C$6),INDEX(Attenuation!$J:$J,INDEX(Cables!$AO:$AO,ROWS($B$31:B40)+1)):INDEX(Attenuation!$J:$J,INDEX(Cables!$AO:$AO,ROWS($B$31:B40)+1)+INDEX(Cables!$AP:$AP,ROWS($B$31:B40)+1)-1),1),1),1),INDEX(Cables!$AP:$AP,ROWS($B$31:B40)+1)-1))+1),INDEX(Attenuation!$J:$J,(INDEX(Cables!$AO:$AO,ROWS($B$31:B40)+1)-1+MIN(MAX(IFERROR(MATCH(LN($C$6),INDEX(Attenuation!$J:$J,INDEX(Cables!$AO:$AO,ROWS($B$31:B40)+1)):INDEX(Attenuation!$J:$J,INDEX(Cables!$AO:$AO,ROWS($B$31:B40)+1)+INDEX(Cables!$AP:$AP,ROWS($B$31:B40)+1)-1),1),1),1),INDEX(Cables!$AP:$AP,ROWS($B$31:B40)+1)-1))):INDEX(Attenuation!$J:$J,(INDEX(Cables!$AO:$AO,ROWS($B$31:B40)+1)-1+MIN(MAX(IFERROR(MATCH(LN($C$6),INDEX(Attenuation!$J:$J,INDEX(Cables!$AO:$AO,ROWS($B$31:B40)+1)):INDEX(Attenuation!$J:$J,INDEX(Cables!$AO:$AO,ROWS($B$31:B40)+1)+INDEX(Cables!$AP:$AP,ROWS($B$31:B40)+1)-1),1),1),1),INDEX(Cables!$AP:$AP,ROWS($B$31:B40)+1)-1))+1))))</f>
        <v>16.405781184995877</v>
      </c>
      <c r="D40" s="12">
        <f t="shared" si="0"/>
        <v>3.4199371472726336</v>
      </c>
      <c r="E40" s="24">
        <f t="shared" si="1"/>
        <v>45.499464495566478</v>
      </c>
      <c r="F40" s="25">
        <f t="shared" si="2"/>
        <v>0.45499464495566477</v>
      </c>
      <c r="G40" s="26" t="str">
        <f>IF(B40="","",IF(INDEX(Cables!$AX:$AX,ROWS($B$31:B40)+1)&lt;2,"-",EXP(FORECAST(LN($C$6),INDEX(Power!$K:$K,(INDEX(Cables!$AW:$AW,ROWS($B$31:B40)+1)-1+MIN(MAX(IFERROR(MATCH(LN($C$6),INDEX(Power!$J:$J,INDEX(Cables!$AW:$AW,ROWS($B$31:B40)+1)):INDEX(Power!$J:$J,INDEX(Cables!$AW:$AW,ROWS($B$31:B40)+1)+INDEX(Cables!$AX:$AX,ROWS($B$31:B40)+1)-1),1),1),1),INDEX(Cables!$AX:$AX,ROWS($B$31:B40)+1)-1))):INDEX(Power!$K:$K,(INDEX(Cables!$AW:$AW,ROWS($B$31:B40)+1)-1+MIN(MAX(IFERROR(MATCH(LN($C$6),INDEX(Power!$J:$J,INDEX(Cables!$AW:$AW,ROWS($B$31:B40)+1)):INDEX(Power!$J:$J,INDEX(Cables!$AW:$AW,ROWS($B$31:B40)+1)+INDEX(Cables!$AX:$AX,ROWS($B$31:B40)+1)-1),1),1),1),INDEX(Cables!$AX:$AX,ROWS($B$31:B40)+1)-1))+1),INDEX(Power!$J:$J,(INDEX(Cables!$AW:$AW,ROWS($B$31:B40)+1)-1+MIN(MAX(IFERROR(MATCH(LN($C$6),INDEX(Power!$J:$J,INDEX(Cables!$AW:$AW,ROWS($B$31:B40)+1)):INDEX(Power!$J:$J,INDEX(Cables!$AW:$AW,ROWS($B$31:B40)+1)+INDEX(Cables!$AX:$AX,ROWS($B$31:B40)+1)-1),1),1),1),INDEX(Cables!$AX:$AX,ROWS($B$31:B40)+1)-1))):INDEX(Power!$J:$J,(INDEX(Cables!$AW:$AW,ROWS($B$31:B40)+1)-1+MIN(MAX(IFERROR(MATCH(LN($C$6),INDEX(Power!$J:$J,INDEX(Cables!$AW:$AW,ROWS($B$31:B40)+1)):INDEX(Power!$J:$J,INDEX(Cables!$AW:$AW,ROWS($B$31:B40)+1)+INDEX(Cables!$AX:$AX,ROWS($B$31:B40)+1)-1),1),1),1),INDEX(Cables!$AX:$AX,ROWS($B$31:B40)+1)-1))+1)))))</f>
        <v>-</v>
      </c>
      <c r="H40" s="11" t="str">
        <f>IF(B40="","",MID(IF(OR($C$6&lt;INDEX(Cables!$AQ:$AQ,ROWS($B$31:B40)+1),$C$6&gt;INDEX(Cables!$AR:$AR,ROWS($B$31:B40)+1))," / ekstrapolasyon","")&amp;IF(AND(ISNUMBER(G40),$C$8&gt;G40)," / güç sınırı aşılıyor","")&amp;IF(INDEX(Cables!$F:$F,ROWS($B$31:B40)+1)&lt;&gt;50," / Z0="&amp;INDEX(Cables!$F:$F,ROWS($B$31:B40)+1)&amp;" Ω",""),4,200))</f>
        <v/>
      </c>
      <c r="I40" s="1"/>
    </row>
    <row r="41" spans="1:9" x14ac:dyDescent="0.25">
      <c r="A41" s="1"/>
      <c r="B41" s="11" t="str">
        <f>IF(ROWS($B$31:B41)&gt;COUNTA(Cables!$A:$A)-1,"",INDEX(Cables!$B:$B,ROWS($B$31:B41)+1))</f>
        <v>Times Microwave LMR-195 (Amphenol)</v>
      </c>
      <c r="C41" s="12">
        <f>IF(B41="","",EXP(FORECAST(LN($C$6),INDEX(Attenuation!$K:$K,(INDEX(Cables!$AO:$AO,ROWS($B$31:B41)+1)-1+MIN(MAX(IFERROR(MATCH(LN($C$6),INDEX(Attenuation!$J:$J,INDEX(Cables!$AO:$AO,ROWS($B$31:B41)+1)):INDEX(Attenuation!$J:$J,INDEX(Cables!$AO:$AO,ROWS($B$31:B41)+1)+INDEX(Cables!$AP:$AP,ROWS($B$31:B41)+1)-1),1),1),1),INDEX(Cables!$AP:$AP,ROWS($B$31:B41)+1)-1))):INDEX(Attenuation!$K:$K,(INDEX(Cables!$AO:$AO,ROWS($B$31:B41)+1)-1+MIN(MAX(IFERROR(MATCH(LN($C$6),INDEX(Attenuation!$J:$J,INDEX(Cables!$AO:$AO,ROWS($B$31:B41)+1)):INDEX(Attenuation!$J:$J,INDEX(Cables!$AO:$AO,ROWS($B$31:B41)+1)+INDEX(Cables!$AP:$AP,ROWS($B$31:B41)+1)-1),1),1),1),INDEX(Cables!$AP:$AP,ROWS($B$31:B41)+1)-1))+1),INDEX(Attenuation!$J:$J,(INDEX(Cables!$AO:$AO,ROWS($B$31:B41)+1)-1+MIN(MAX(IFERROR(MATCH(LN($C$6),INDEX(Attenuation!$J:$J,INDEX(Cables!$AO:$AO,ROWS($B$31:B41)+1)):INDEX(Attenuation!$J:$J,INDEX(Cables!$AO:$AO,ROWS($B$31:B41)+1)+INDEX(Cables!$AP:$AP,ROWS($B$31:B41)+1)-1),1),1),1),INDEX(Cables!$AP:$AP,ROWS($B$31:B41)+1)-1))):INDEX(Attenuation!$J:$J,(INDEX(Cables!$AO:$AO,ROWS($B$31:B41)+1)-1+MIN(MAX(IFERROR(MATCH(LN($C$6),INDEX(Attenuation!$J:$J,INDEX(Cables!$AO:$AO,ROWS($B$31:B41)+1)):INDEX(Attenuation!$J:$J,INDEX(Cables!$AO:$AO,ROWS($B$31:B41)+1)+INDEX(Cables!$AP:$AP,ROWS($B$31:B41)+1)-1),1),1),1),INDEX(Cables!$AP:$AP,ROWS($B$31:B41)+1)-1))+1))))</f>
        <v>14.20323194721046</v>
      </c>
      <c r="D41" s="12">
        <f t="shared" si="0"/>
        <v>2.9707197540377828</v>
      </c>
      <c r="E41" s="24">
        <f t="shared" si="1"/>
        <v>50.457766723334842</v>
      </c>
      <c r="F41" s="25">
        <f t="shared" si="2"/>
        <v>0.5045776672333484</v>
      </c>
      <c r="G41" s="26">
        <f>IF(B41="","",IF(INDEX(Cables!$AX:$AX,ROWS($B$31:B41)+1)&lt;2,"-",EXP(FORECAST(LN($C$6),INDEX(Power!$K:$K,(INDEX(Cables!$AW:$AW,ROWS($B$31:B41)+1)-1+MIN(MAX(IFERROR(MATCH(LN($C$6),INDEX(Power!$J:$J,INDEX(Cables!$AW:$AW,ROWS($B$31:B41)+1)):INDEX(Power!$J:$J,INDEX(Cables!$AW:$AW,ROWS($B$31:B41)+1)+INDEX(Cables!$AX:$AX,ROWS($B$31:B41)+1)-1),1),1),1),INDEX(Cables!$AX:$AX,ROWS($B$31:B41)+1)-1))):INDEX(Power!$K:$K,(INDEX(Cables!$AW:$AW,ROWS($B$31:B41)+1)-1+MIN(MAX(IFERROR(MATCH(LN($C$6),INDEX(Power!$J:$J,INDEX(Cables!$AW:$AW,ROWS($B$31:B41)+1)):INDEX(Power!$J:$J,INDEX(Cables!$AW:$AW,ROWS($B$31:B41)+1)+INDEX(Cables!$AX:$AX,ROWS($B$31:B41)+1)-1),1),1),1),INDEX(Cables!$AX:$AX,ROWS($B$31:B41)+1)-1))+1),INDEX(Power!$J:$J,(INDEX(Cables!$AW:$AW,ROWS($B$31:B41)+1)-1+MIN(MAX(IFERROR(MATCH(LN($C$6),INDEX(Power!$J:$J,INDEX(Cables!$AW:$AW,ROWS($B$31:B41)+1)):INDEX(Power!$J:$J,INDEX(Cables!$AW:$AW,ROWS($B$31:B41)+1)+INDEX(Cables!$AX:$AX,ROWS($B$31:B41)+1)-1),1),1),1),INDEX(Cables!$AX:$AX,ROWS($B$31:B41)+1)-1))):INDEX(Power!$J:$J,(INDEX(Cables!$AW:$AW,ROWS($B$31:B41)+1)-1+MIN(MAX(IFERROR(MATCH(LN($C$6),INDEX(Power!$J:$J,INDEX(Cables!$AW:$AW,ROWS($B$31:B41)+1)):INDEX(Power!$J:$J,INDEX(Cables!$AW:$AW,ROWS($B$31:B41)+1)+INDEX(Cables!$AX:$AX,ROWS($B$31:B41)+1)-1),1),1),1),INDEX(Cables!$AX:$AX,ROWS($B$31:B41)+1)-1))+1)))))</f>
        <v>396.74843423335358</v>
      </c>
      <c r="H41" s="11" t="str">
        <f>IF(B41="","",MID(IF(OR($C$6&lt;INDEX(Cables!$AQ:$AQ,ROWS($B$31:B41)+1),$C$6&gt;INDEX(Cables!$AR:$AR,ROWS($B$31:B41)+1))," / ekstrapolasyon","")&amp;IF(AND(ISNUMBER(G41),$C$8&gt;G41)," / güç sınırı aşılıyor","")&amp;IF(INDEX(Cables!$F:$F,ROWS($B$31:B41)+1)&lt;&gt;50," / Z0="&amp;INDEX(Cables!$F:$F,ROWS($B$31:B41)+1)&amp;" Ω",""),4,200))</f>
        <v/>
      </c>
      <c r="I41" s="1"/>
    </row>
    <row r="42" spans="1:9" x14ac:dyDescent="0.25">
      <c r="A42" s="1"/>
      <c r="B42" s="11" t="str">
        <f>IF(ROWS($B$31:B42)&gt;COUNTA(Cables!$A:$A)-1,"",INDEX(Cables!$B:$B,ROWS($B$31:B42)+1))</f>
        <v>Belden 83242 (RG-142)</v>
      </c>
      <c r="C42" s="12">
        <f>IF(B42="","",EXP(FORECAST(LN($C$6),INDEX(Attenuation!$K:$K,(INDEX(Cables!$AO:$AO,ROWS($B$31:B42)+1)-1+MIN(MAX(IFERROR(MATCH(LN($C$6),INDEX(Attenuation!$J:$J,INDEX(Cables!$AO:$AO,ROWS($B$31:B42)+1)):INDEX(Attenuation!$J:$J,INDEX(Cables!$AO:$AO,ROWS($B$31:B42)+1)+INDEX(Cables!$AP:$AP,ROWS($B$31:B42)+1)-1),1),1),1),INDEX(Cables!$AP:$AP,ROWS($B$31:B42)+1)-1))):INDEX(Attenuation!$K:$K,(INDEX(Cables!$AO:$AO,ROWS($B$31:B42)+1)-1+MIN(MAX(IFERROR(MATCH(LN($C$6),INDEX(Attenuation!$J:$J,INDEX(Cables!$AO:$AO,ROWS($B$31:B42)+1)):INDEX(Attenuation!$J:$J,INDEX(Cables!$AO:$AO,ROWS($B$31:B42)+1)+INDEX(Cables!$AP:$AP,ROWS($B$31:B42)+1)-1),1),1),1),INDEX(Cables!$AP:$AP,ROWS($B$31:B42)+1)-1))+1),INDEX(Attenuation!$J:$J,(INDEX(Cables!$AO:$AO,ROWS($B$31:B42)+1)-1+MIN(MAX(IFERROR(MATCH(LN($C$6),INDEX(Attenuation!$J:$J,INDEX(Cables!$AO:$AO,ROWS($B$31:B42)+1)):INDEX(Attenuation!$J:$J,INDEX(Cables!$AO:$AO,ROWS($B$31:B42)+1)+INDEX(Cables!$AP:$AP,ROWS($B$31:B42)+1)-1),1),1),1),INDEX(Cables!$AP:$AP,ROWS($B$31:B42)+1)-1))):INDEX(Attenuation!$J:$J,(INDEX(Cables!$AO:$AO,ROWS($B$31:B42)+1)-1+MIN(MAX(IFERROR(MATCH(LN($C$6),INDEX(Attenuation!$J:$J,INDEX(Cables!$AO:$AO,ROWS($B$31:B42)+1)):INDEX(Attenuation!$J:$J,INDEX(Cables!$AO:$AO,ROWS($B$31:B42)+1)+INDEX(Cables!$AP:$AP,ROWS($B$31:B42)+1)-1),1),1),1),INDEX(Cables!$AP:$AP,ROWS($B$31:B42)+1)-1))+1))))</f>
        <v>15.347665218152645</v>
      </c>
      <c r="D42" s="12">
        <f t="shared" si="0"/>
        <v>3.2043529535047743</v>
      </c>
      <c r="E42" s="24">
        <f t="shared" si="1"/>
        <v>47.815059952561271</v>
      </c>
      <c r="F42" s="25">
        <f t="shared" si="2"/>
        <v>0.47815059952561273</v>
      </c>
      <c r="G42" s="26" t="str">
        <f>IF(B42="","",IF(INDEX(Cables!$AX:$AX,ROWS($B$31:B42)+1)&lt;2,"-",EXP(FORECAST(LN($C$6),INDEX(Power!$K:$K,(INDEX(Cables!$AW:$AW,ROWS($B$31:B42)+1)-1+MIN(MAX(IFERROR(MATCH(LN($C$6),INDEX(Power!$J:$J,INDEX(Cables!$AW:$AW,ROWS($B$31:B42)+1)):INDEX(Power!$J:$J,INDEX(Cables!$AW:$AW,ROWS($B$31:B42)+1)+INDEX(Cables!$AX:$AX,ROWS($B$31:B42)+1)-1),1),1),1),INDEX(Cables!$AX:$AX,ROWS($B$31:B42)+1)-1))):INDEX(Power!$K:$K,(INDEX(Cables!$AW:$AW,ROWS($B$31:B42)+1)-1+MIN(MAX(IFERROR(MATCH(LN($C$6),INDEX(Power!$J:$J,INDEX(Cables!$AW:$AW,ROWS($B$31:B42)+1)):INDEX(Power!$J:$J,INDEX(Cables!$AW:$AW,ROWS($B$31:B42)+1)+INDEX(Cables!$AX:$AX,ROWS($B$31:B42)+1)-1),1),1),1),INDEX(Cables!$AX:$AX,ROWS($B$31:B42)+1)-1))+1),INDEX(Power!$J:$J,(INDEX(Cables!$AW:$AW,ROWS($B$31:B42)+1)-1+MIN(MAX(IFERROR(MATCH(LN($C$6),INDEX(Power!$J:$J,INDEX(Cables!$AW:$AW,ROWS($B$31:B42)+1)):INDEX(Power!$J:$J,INDEX(Cables!$AW:$AW,ROWS($B$31:B42)+1)+INDEX(Cables!$AX:$AX,ROWS($B$31:B42)+1)-1),1),1),1),INDEX(Cables!$AX:$AX,ROWS($B$31:B42)+1)-1))):INDEX(Power!$J:$J,(INDEX(Cables!$AW:$AW,ROWS($B$31:B42)+1)-1+MIN(MAX(IFERROR(MATCH(LN($C$6),INDEX(Power!$J:$J,INDEX(Cables!$AW:$AW,ROWS($B$31:B42)+1)):INDEX(Power!$J:$J,INDEX(Cables!$AW:$AW,ROWS($B$31:B42)+1)+INDEX(Cables!$AX:$AX,ROWS($B$31:B42)+1)-1),1),1),1),INDEX(Cables!$AX:$AX,ROWS($B$31:B42)+1)-1))+1)))))</f>
        <v>-</v>
      </c>
      <c r="H42" s="11" t="str">
        <f>IF(B42="","",MID(IF(OR($C$6&lt;INDEX(Cables!$AQ:$AQ,ROWS($B$31:B42)+1),$C$6&gt;INDEX(Cables!$AR:$AR,ROWS($B$31:B42)+1))," / ekstrapolasyon","")&amp;IF(AND(ISNUMBER(G42),$C$8&gt;G42)," / güç sınırı aşılıyor","")&amp;IF(INDEX(Cables!$F:$F,ROWS($B$31:B42)+1)&lt;&gt;50," / Z0="&amp;INDEX(Cables!$F:$F,ROWS($B$31:B42)+1)&amp;" Ω",""),4,200))</f>
        <v/>
      </c>
      <c r="I42" s="1"/>
    </row>
    <row r="43" spans="1:9" x14ac:dyDescent="0.25">
      <c r="A43" s="1"/>
      <c r="B43" s="11" t="str">
        <f>IF(ROWS($B$31:B43)&gt;COUNTA(Cables!$A:$A)-1,"",INDEX(Cables!$B:$B,ROWS($B$31:B43)+1))</f>
        <v>Belden 9258 (RG-8X)</v>
      </c>
      <c r="C43" s="12">
        <f>IF(B43="","",EXP(FORECAST(LN($C$6),INDEX(Attenuation!$K:$K,(INDEX(Cables!$AO:$AO,ROWS($B$31:B43)+1)-1+MIN(MAX(IFERROR(MATCH(LN($C$6),INDEX(Attenuation!$J:$J,INDEX(Cables!$AO:$AO,ROWS($B$31:B43)+1)):INDEX(Attenuation!$J:$J,INDEX(Cables!$AO:$AO,ROWS($B$31:B43)+1)+INDEX(Cables!$AP:$AP,ROWS($B$31:B43)+1)-1),1),1),1),INDEX(Cables!$AP:$AP,ROWS($B$31:B43)+1)-1))):INDEX(Attenuation!$K:$K,(INDEX(Cables!$AO:$AO,ROWS($B$31:B43)+1)-1+MIN(MAX(IFERROR(MATCH(LN($C$6),INDEX(Attenuation!$J:$J,INDEX(Cables!$AO:$AO,ROWS($B$31:B43)+1)):INDEX(Attenuation!$J:$J,INDEX(Cables!$AO:$AO,ROWS($B$31:B43)+1)+INDEX(Cables!$AP:$AP,ROWS($B$31:B43)+1)-1),1),1),1),INDEX(Cables!$AP:$AP,ROWS($B$31:B43)+1)-1))+1),INDEX(Attenuation!$J:$J,(INDEX(Cables!$AO:$AO,ROWS($B$31:B43)+1)-1+MIN(MAX(IFERROR(MATCH(LN($C$6),INDEX(Attenuation!$J:$J,INDEX(Cables!$AO:$AO,ROWS($B$31:B43)+1)):INDEX(Attenuation!$J:$J,INDEX(Cables!$AO:$AO,ROWS($B$31:B43)+1)+INDEX(Cables!$AP:$AP,ROWS($B$31:B43)+1)-1),1),1),1),INDEX(Cables!$AP:$AP,ROWS($B$31:B43)+1)-1))):INDEX(Attenuation!$J:$J,(INDEX(Cables!$AO:$AO,ROWS($B$31:B43)+1)-1+MIN(MAX(IFERROR(MATCH(LN($C$6),INDEX(Attenuation!$J:$J,INDEX(Cables!$AO:$AO,ROWS($B$31:B43)+1)):INDEX(Attenuation!$J:$J,INDEX(Cables!$AO:$AO,ROWS($B$31:B43)+1)+INDEX(Cables!$AP:$AP,ROWS($B$31:B43)+1)-1),1),1),1),INDEX(Cables!$AP:$AP,ROWS($B$31:B43)+1)-1))+1))))</f>
        <v>12.419592105088451</v>
      </c>
      <c r="D43" s="12">
        <f t="shared" si="0"/>
        <v>2.6055077109786695</v>
      </c>
      <c r="E43" s="24">
        <f t="shared" si="1"/>
        <v>54.884438932764226</v>
      </c>
      <c r="F43" s="25">
        <f t="shared" si="2"/>
        <v>0.54884438932764223</v>
      </c>
      <c r="G43" s="26">
        <f>IF(B43="","",IF(INDEX(Cables!$AX:$AX,ROWS($B$31:B43)+1)&lt;2,"-",EXP(FORECAST(LN($C$6),INDEX(Power!$K:$K,(INDEX(Cables!$AW:$AW,ROWS($B$31:B43)+1)-1+MIN(MAX(IFERROR(MATCH(LN($C$6),INDEX(Power!$J:$J,INDEX(Cables!$AW:$AW,ROWS($B$31:B43)+1)):INDEX(Power!$J:$J,INDEX(Cables!$AW:$AW,ROWS($B$31:B43)+1)+INDEX(Cables!$AX:$AX,ROWS($B$31:B43)+1)-1),1),1),1),INDEX(Cables!$AX:$AX,ROWS($B$31:B43)+1)-1))):INDEX(Power!$K:$K,(INDEX(Cables!$AW:$AW,ROWS($B$31:B43)+1)-1+MIN(MAX(IFERROR(MATCH(LN($C$6),INDEX(Power!$J:$J,INDEX(Cables!$AW:$AW,ROWS($B$31:B43)+1)):INDEX(Power!$J:$J,INDEX(Cables!$AW:$AW,ROWS($B$31:B43)+1)+INDEX(Cables!$AX:$AX,ROWS($B$31:B43)+1)-1),1),1),1),INDEX(Cables!$AX:$AX,ROWS($B$31:B43)+1)-1))+1),INDEX(Power!$J:$J,(INDEX(Cables!$AW:$AW,ROWS($B$31:B43)+1)-1+MIN(MAX(IFERROR(MATCH(LN($C$6),INDEX(Power!$J:$J,INDEX(Cables!$AW:$AW,ROWS($B$31:B43)+1)):INDEX(Power!$J:$J,INDEX(Cables!$AW:$AW,ROWS($B$31:B43)+1)+INDEX(Cables!$AX:$AX,ROWS($B$31:B43)+1)-1),1),1),1),INDEX(Cables!$AX:$AX,ROWS($B$31:B43)+1)-1))):INDEX(Power!$J:$J,(INDEX(Cables!$AW:$AW,ROWS($B$31:B43)+1)-1+MIN(MAX(IFERROR(MATCH(LN($C$6),INDEX(Power!$J:$J,INDEX(Cables!$AW:$AW,ROWS($B$31:B43)+1)):INDEX(Power!$J:$J,INDEX(Cables!$AW:$AW,ROWS($B$31:B43)+1)+INDEX(Cables!$AX:$AX,ROWS($B$31:B43)+1)-1),1),1),1),INDEX(Cables!$AX:$AX,ROWS($B$31:B43)+1)-1))+1)))))</f>
        <v>215.79917952284012</v>
      </c>
      <c r="H43" s="11" t="str">
        <f>IF(B43="","",MID(IF(OR($C$6&lt;INDEX(Cables!$AQ:$AQ,ROWS($B$31:B43)+1),$C$6&gt;INDEX(Cables!$AR:$AR,ROWS($B$31:B43)+1))," / ekstrapolasyon","")&amp;IF(AND(ISNUMBER(G43),$C$8&gt;G43)," / güç sınırı aşılıyor","")&amp;IF(INDEX(Cables!$F:$F,ROWS($B$31:B43)+1)&lt;&gt;50," / Z0="&amp;INDEX(Cables!$F:$F,ROWS($B$31:B43)+1)&amp;" Ω",""),4,200))</f>
        <v/>
      </c>
      <c r="I43" s="1"/>
    </row>
    <row r="44" spans="1:9" x14ac:dyDescent="0.25">
      <c r="A44" s="1"/>
      <c r="B44" s="11" t="str">
        <f>IF(ROWS($B$31:B44)&gt;COUNTA(Cables!$A:$A)-1,"",INDEX(Cables!$B:$B,ROWS($B$31:B44)+1))</f>
        <v>Times Microwave LMR-200 (Amphenol)</v>
      </c>
      <c r="C44" s="12">
        <f>IF(B44="","",EXP(FORECAST(LN($C$6),INDEX(Attenuation!$K:$K,(INDEX(Cables!$AO:$AO,ROWS($B$31:B44)+1)-1+MIN(MAX(IFERROR(MATCH(LN($C$6),INDEX(Attenuation!$J:$J,INDEX(Cables!$AO:$AO,ROWS($B$31:B44)+1)):INDEX(Attenuation!$J:$J,INDEX(Cables!$AO:$AO,ROWS($B$31:B44)+1)+INDEX(Cables!$AP:$AP,ROWS($B$31:B44)+1)-1),1),1),1),INDEX(Cables!$AP:$AP,ROWS($B$31:B44)+1)-1))):INDEX(Attenuation!$K:$K,(INDEX(Cables!$AO:$AO,ROWS($B$31:B44)+1)-1+MIN(MAX(IFERROR(MATCH(LN($C$6),INDEX(Attenuation!$J:$J,INDEX(Cables!$AO:$AO,ROWS($B$31:B44)+1)):INDEX(Attenuation!$J:$J,INDEX(Cables!$AO:$AO,ROWS($B$31:B44)+1)+INDEX(Cables!$AP:$AP,ROWS($B$31:B44)+1)-1),1),1),1),INDEX(Cables!$AP:$AP,ROWS($B$31:B44)+1)-1))+1),INDEX(Attenuation!$J:$J,(INDEX(Cables!$AO:$AO,ROWS($B$31:B44)+1)-1+MIN(MAX(IFERROR(MATCH(LN($C$6),INDEX(Attenuation!$J:$J,INDEX(Cables!$AO:$AO,ROWS($B$31:B44)+1)):INDEX(Attenuation!$J:$J,INDEX(Cables!$AO:$AO,ROWS($B$31:B44)+1)+INDEX(Cables!$AP:$AP,ROWS($B$31:B44)+1)-1),1),1),1),INDEX(Cables!$AP:$AP,ROWS($B$31:B44)+1)-1))):INDEX(Attenuation!$J:$J,(INDEX(Cables!$AO:$AO,ROWS($B$31:B44)+1)-1+MIN(MAX(IFERROR(MATCH(LN($C$6),INDEX(Attenuation!$J:$J,INDEX(Cables!$AO:$AO,ROWS($B$31:B44)+1)):INDEX(Attenuation!$J:$J,INDEX(Cables!$AO:$AO,ROWS($B$31:B44)+1)+INDEX(Cables!$AP:$AP,ROWS($B$31:B44)+1)-1),1),1),1),INDEX(Cables!$AP:$AP,ROWS($B$31:B44)+1)-1))+1))))</f>
        <v>12.901159172238005</v>
      </c>
      <c r="D44" s="12">
        <f t="shared" si="0"/>
        <v>2.7042524638768199</v>
      </c>
      <c r="E44" s="24">
        <f t="shared" si="1"/>
        <v>53.65062104579382</v>
      </c>
      <c r="F44" s="25">
        <f t="shared" si="2"/>
        <v>0.53650621045793823</v>
      </c>
      <c r="G44" s="26">
        <f>IF(B44="","",IF(INDEX(Cables!$AX:$AX,ROWS($B$31:B44)+1)&lt;2,"-",EXP(FORECAST(LN($C$6),INDEX(Power!$K:$K,(INDEX(Cables!$AW:$AW,ROWS($B$31:B44)+1)-1+MIN(MAX(IFERROR(MATCH(LN($C$6),INDEX(Power!$J:$J,INDEX(Cables!$AW:$AW,ROWS($B$31:B44)+1)):INDEX(Power!$J:$J,INDEX(Cables!$AW:$AW,ROWS($B$31:B44)+1)+INDEX(Cables!$AX:$AX,ROWS($B$31:B44)+1)-1),1),1),1),INDEX(Cables!$AX:$AX,ROWS($B$31:B44)+1)-1))):INDEX(Power!$K:$K,(INDEX(Cables!$AW:$AW,ROWS($B$31:B44)+1)-1+MIN(MAX(IFERROR(MATCH(LN($C$6),INDEX(Power!$J:$J,INDEX(Cables!$AW:$AW,ROWS($B$31:B44)+1)):INDEX(Power!$J:$J,INDEX(Cables!$AW:$AW,ROWS($B$31:B44)+1)+INDEX(Cables!$AX:$AX,ROWS($B$31:B44)+1)-1),1),1),1),INDEX(Cables!$AX:$AX,ROWS($B$31:B44)+1)-1))+1),INDEX(Power!$J:$J,(INDEX(Cables!$AW:$AW,ROWS($B$31:B44)+1)-1+MIN(MAX(IFERROR(MATCH(LN($C$6),INDEX(Power!$J:$J,INDEX(Cables!$AW:$AW,ROWS($B$31:B44)+1)):INDEX(Power!$J:$J,INDEX(Cables!$AW:$AW,ROWS($B$31:B44)+1)+INDEX(Cables!$AX:$AX,ROWS($B$31:B44)+1)-1),1),1),1),INDEX(Cables!$AX:$AX,ROWS($B$31:B44)+1)-1))):INDEX(Power!$J:$J,(INDEX(Cables!$AW:$AW,ROWS($B$31:B44)+1)-1+MIN(MAX(IFERROR(MATCH(LN($C$6),INDEX(Power!$J:$J,INDEX(Cables!$AW:$AW,ROWS($B$31:B44)+1)):INDEX(Power!$J:$J,INDEX(Cables!$AW:$AW,ROWS($B$31:B44)+1)+INDEX(Cables!$AX:$AX,ROWS($B$31:B44)+1)-1),1),1),1),INDEX(Cables!$AX:$AX,ROWS($B$31:B44)+1)-1))+1)))))</f>
        <v>457.88328132211228</v>
      </c>
      <c r="H44" s="11" t="str">
        <f>IF(B44="","",MID(IF(OR($C$6&lt;INDEX(Cables!$AQ:$AQ,ROWS($B$31:B44)+1),$C$6&gt;INDEX(Cables!$AR:$AR,ROWS($B$31:B44)+1))," / ekstrapolasyon","")&amp;IF(AND(ISNUMBER(G44),$C$8&gt;G44)," / güç sınırı aşılıyor","")&amp;IF(INDEX(Cables!$F:$F,ROWS($B$31:B44)+1)&lt;&gt;50," / Z0="&amp;INDEX(Cables!$F:$F,ROWS($B$31:B44)+1)&amp;" Ω",""),4,200))</f>
        <v/>
      </c>
      <c r="I44" s="1"/>
    </row>
    <row r="45" spans="1:9" x14ac:dyDescent="0.25">
      <c r="A45" s="1"/>
      <c r="B45" s="11" t="str">
        <f>IF(ROWS($B$31:B45)&gt;COUNTA(Cables!$A:$A)-1,"",INDEX(Cables!$B:$B,ROWS($B$31:B45)+1))</f>
        <v>Reçber RWC 200 PE (LMR-200 muadili)</v>
      </c>
      <c r="C45" s="12">
        <f>IF(B45="","",EXP(FORECAST(LN($C$6),INDEX(Attenuation!$K:$K,(INDEX(Cables!$AO:$AO,ROWS($B$31:B45)+1)-1+MIN(MAX(IFERROR(MATCH(LN($C$6),INDEX(Attenuation!$J:$J,INDEX(Cables!$AO:$AO,ROWS($B$31:B45)+1)):INDEX(Attenuation!$J:$J,INDEX(Cables!$AO:$AO,ROWS($B$31:B45)+1)+INDEX(Cables!$AP:$AP,ROWS($B$31:B45)+1)-1),1),1),1),INDEX(Cables!$AP:$AP,ROWS($B$31:B45)+1)-1))):INDEX(Attenuation!$K:$K,(INDEX(Cables!$AO:$AO,ROWS($B$31:B45)+1)-1+MIN(MAX(IFERROR(MATCH(LN($C$6),INDEX(Attenuation!$J:$J,INDEX(Cables!$AO:$AO,ROWS($B$31:B45)+1)):INDEX(Attenuation!$J:$J,INDEX(Cables!$AO:$AO,ROWS($B$31:B45)+1)+INDEX(Cables!$AP:$AP,ROWS($B$31:B45)+1)-1),1),1),1),INDEX(Cables!$AP:$AP,ROWS($B$31:B45)+1)-1))+1),INDEX(Attenuation!$J:$J,(INDEX(Cables!$AO:$AO,ROWS($B$31:B45)+1)-1+MIN(MAX(IFERROR(MATCH(LN($C$6),INDEX(Attenuation!$J:$J,INDEX(Cables!$AO:$AO,ROWS($B$31:B45)+1)):INDEX(Attenuation!$J:$J,INDEX(Cables!$AO:$AO,ROWS($B$31:B45)+1)+INDEX(Cables!$AP:$AP,ROWS($B$31:B45)+1)-1),1),1),1),INDEX(Cables!$AP:$AP,ROWS($B$31:B45)+1)-1))):INDEX(Attenuation!$J:$J,(INDEX(Cables!$AO:$AO,ROWS($B$31:B45)+1)-1+MIN(MAX(IFERROR(MATCH(LN($C$6),INDEX(Attenuation!$J:$J,INDEX(Cables!$AO:$AO,ROWS($B$31:B45)+1)):INDEX(Attenuation!$J:$J,INDEX(Cables!$AO:$AO,ROWS($B$31:B45)+1)+INDEX(Cables!$AP:$AP,ROWS($B$31:B45)+1)-1),1),1),1),INDEX(Cables!$AP:$AP,ROWS($B$31:B45)+1)-1))+1))))</f>
        <v>12.590593532604158</v>
      </c>
      <c r="D45" s="12">
        <f t="shared" si="0"/>
        <v>2.6405838803698849</v>
      </c>
      <c r="E45" s="24">
        <f t="shared" si="1"/>
        <v>54.442945296235678</v>
      </c>
      <c r="F45" s="25">
        <f t="shared" si="2"/>
        <v>0.54442945296235679</v>
      </c>
      <c r="G45" s="26" t="str">
        <f>IF(B45="","",IF(INDEX(Cables!$AX:$AX,ROWS($B$31:B45)+1)&lt;2,"-",EXP(FORECAST(LN($C$6),INDEX(Power!$K:$K,(INDEX(Cables!$AW:$AW,ROWS($B$31:B45)+1)-1+MIN(MAX(IFERROR(MATCH(LN($C$6),INDEX(Power!$J:$J,INDEX(Cables!$AW:$AW,ROWS($B$31:B45)+1)):INDEX(Power!$J:$J,INDEX(Cables!$AW:$AW,ROWS($B$31:B45)+1)+INDEX(Cables!$AX:$AX,ROWS($B$31:B45)+1)-1),1),1),1),INDEX(Cables!$AX:$AX,ROWS($B$31:B45)+1)-1))):INDEX(Power!$K:$K,(INDEX(Cables!$AW:$AW,ROWS($B$31:B45)+1)-1+MIN(MAX(IFERROR(MATCH(LN($C$6),INDEX(Power!$J:$J,INDEX(Cables!$AW:$AW,ROWS($B$31:B45)+1)):INDEX(Power!$J:$J,INDEX(Cables!$AW:$AW,ROWS($B$31:B45)+1)+INDEX(Cables!$AX:$AX,ROWS($B$31:B45)+1)-1),1),1),1),INDEX(Cables!$AX:$AX,ROWS($B$31:B45)+1)-1))+1),INDEX(Power!$J:$J,(INDEX(Cables!$AW:$AW,ROWS($B$31:B45)+1)-1+MIN(MAX(IFERROR(MATCH(LN($C$6),INDEX(Power!$J:$J,INDEX(Cables!$AW:$AW,ROWS($B$31:B45)+1)):INDEX(Power!$J:$J,INDEX(Cables!$AW:$AW,ROWS($B$31:B45)+1)+INDEX(Cables!$AX:$AX,ROWS($B$31:B45)+1)-1),1),1),1),INDEX(Cables!$AX:$AX,ROWS($B$31:B45)+1)-1))):INDEX(Power!$J:$J,(INDEX(Cables!$AW:$AW,ROWS($B$31:B45)+1)-1+MIN(MAX(IFERROR(MATCH(LN($C$6),INDEX(Power!$J:$J,INDEX(Cables!$AW:$AW,ROWS($B$31:B45)+1)):INDEX(Power!$J:$J,INDEX(Cables!$AW:$AW,ROWS($B$31:B45)+1)+INDEX(Cables!$AX:$AX,ROWS($B$31:B45)+1)-1),1),1),1),INDEX(Cables!$AX:$AX,ROWS($B$31:B45)+1)-1))+1)))))</f>
        <v>-</v>
      </c>
      <c r="H45" s="11" t="str">
        <f>IF(B45="","",MID(IF(OR($C$6&lt;INDEX(Cables!$AQ:$AQ,ROWS($B$31:B45)+1),$C$6&gt;INDEX(Cables!$AR:$AR,ROWS($B$31:B45)+1))," / ekstrapolasyon","")&amp;IF(AND(ISNUMBER(G45),$C$8&gt;G45)," / güç sınırı aşılıyor","")&amp;IF(INDEX(Cables!$F:$F,ROWS($B$31:B45)+1)&lt;&gt;50," / Z0="&amp;INDEX(Cables!$F:$F,ROWS($B$31:B45)+1)&amp;" Ω",""),4,200))</f>
        <v/>
      </c>
      <c r="I45" s="1"/>
    </row>
    <row r="46" spans="1:9" x14ac:dyDescent="0.25">
      <c r="A46" s="1"/>
      <c r="B46" s="11" t="str">
        <f>IF(ROWS($B$31:B46)&gt;COUNTA(Cables!$A:$A)-1,"",INDEX(Cables!$B:$B,ROWS($B$31:B46)+1))</f>
        <v>SSB Aircell 5</v>
      </c>
      <c r="C46" s="12">
        <f>IF(B46="","",EXP(FORECAST(LN($C$6),INDEX(Attenuation!$K:$K,(INDEX(Cables!$AO:$AO,ROWS($B$31:B46)+1)-1+MIN(MAX(IFERROR(MATCH(LN($C$6),INDEX(Attenuation!$J:$J,INDEX(Cables!$AO:$AO,ROWS($B$31:B46)+1)):INDEX(Attenuation!$J:$J,INDEX(Cables!$AO:$AO,ROWS($B$31:B46)+1)+INDEX(Cables!$AP:$AP,ROWS($B$31:B46)+1)-1),1),1),1),INDEX(Cables!$AP:$AP,ROWS($B$31:B46)+1)-1))):INDEX(Attenuation!$K:$K,(INDEX(Cables!$AO:$AO,ROWS($B$31:B46)+1)-1+MIN(MAX(IFERROR(MATCH(LN($C$6),INDEX(Attenuation!$J:$J,INDEX(Cables!$AO:$AO,ROWS($B$31:B46)+1)):INDEX(Attenuation!$J:$J,INDEX(Cables!$AO:$AO,ROWS($B$31:B46)+1)+INDEX(Cables!$AP:$AP,ROWS($B$31:B46)+1)-1),1),1),1),INDEX(Cables!$AP:$AP,ROWS($B$31:B46)+1)-1))+1),INDEX(Attenuation!$J:$J,(INDEX(Cables!$AO:$AO,ROWS($B$31:B46)+1)-1+MIN(MAX(IFERROR(MATCH(LN($C$6),INDEX(Attenuation!$J:$J,INDEX(Cables!$AO:$AO,ROWS($B$31:B46)+1)):INDEX(Attenuation!$J:$J,INDEX(Cables!$AO:$AO,ROWS($B$31:B46)+1)+INDEX(Cables!$AP:$AP,ROWS($B$31:B46)+1)-1),1),1),1),INDEX(Cables!$AP:$AP,ROWS($B$31:B46)+1)-1))):INDEX(Attenuation!$J:$J,(INDEX(Cables!$AO:$AO,ROWS($B$31:B46)+1)-1+MIN(MAX(IFERROR(MATCH(LN($C$6),INDEX(Attenuation!$J:$J,INDEX(Cables!$AO:$AO,ROWS($B$31:B46)+1)):INDEX(Attenuation!$J:$J,INDEX(Cables!$AO:$AO,ROWS($B$31:B46)+1)+INDEX(Cables!$AP:$AP,ROWS($B$31:B46)+1)-1),1),1),1),INDEX(Cables!$AP:$AP,ROWS($B$31:B46)+1)-1))+1))))</f>
        <v>11.370300863388332</v>
      </c>
      <c r="D46" s="12">
        <f t="shared" si="0"/>
        <v>2.3899577684033804</v>
      </c>
      <c r="E46" s="24">
        <f t="shared" si="1"/>
        <v>57.677207200301382</v>
      </c>
      <c r="F46" s="25">
        <f t="shared" si="2"/>
        <v>0.57677207200301384</v>
      </c>
      <c r="G46" s="26">
        <f>IF(B46="","",IF(INDEX(Cables!$AX:$AX,ROWS($B$31:B46)+1)&lt;2,"-",EXP(FORECAST(LN($C$6),INDEX(Power!$K:$K,(INDEX(Cables!$AW:$AW,ROWS($B$31:B46)+1)-1+MIN(MAX(IFERROR(MATCH(LN($C$6),INDEX(Power!$J:$J,INDEX(Cables!$AW:$AW,ROWS($B$31:B46)+1)):INDEX(Power!$J:$J,INDEX(Cables!$AW:$AW,ROWS($B$31:B46)+1)+INDEX(Cables!$AX:$AX,ROWS($B$31:B46)+1)-1),1),1),1),INDEX(Cables!$AX:$AX,ROWS($B$31:B46)+1)-1))):INDEX(Power!$K:$K,(INDEX(Cables!$AW:$AW,ROWS($B$31:B46)+1)-1+MIN(MAX(IFERROR(MATCH(LN($C$6),INDEX(Power!$J:$J,INDEX(Cables!$AW:$AW,ROWS($B$31:B46)+1)):INDEX(Power!$J:$J,INDEX(Cables!$AW:$AW,ROWS($B$31:B46)+1)+INDEX(Cables!$AX:$AX,ROWS($B$31:B46)+1)-1),1),1),1),INDEX(Cables!$AX:$AX,ROWS($B$31:B46)+1)-1))+1),INDEX(Power!$J:$J,(INDEX(Cables!$AW:$AW,ROWS($B$31:B46)+1)-1+MIN(MAX(IFERROR(MATCH(LN($C$6),INDEX(Power!$J:$J,INDEX(Cables!$AW:$AW,ROWS($B$31:B46)+1)):INDEX(Power!$J:$J,INDEX(Cables!$AW:$AW,ROWS($B$31:B46)+1)+INDEX(Cables!$AX:$AX,ROWS($B$31:B46)+1)-1),1),1),1),INDEX(Cables!$AX:$AX,ROWS($B$31:B46)+1)-1))):INDEX(Power!$J:$J,(INDEX(Cables!$AW:$AW,ROWS($B$31:B46)+1)-1+MIN(MAX(IFERROR(MATCH(LN($C$6),INDEX(Power!$J:$J,INDEX(Cables!$AW:$AW,ROWS($B$31:B46)+1)):INDEX(Power!$J:$J,INDEX(Cables!$AW:$AW,ROWS($B$31:B46)+1)+INDEX(Cables!$AX:$AX,ROWS($B$31:B46)+1)-1),1),1),1),INDEX(Cables!$AX:$AX,ROWS($B$31:B46)+1)-1))+1)))))</f>
        <v>443.42463414821498</v>
      </c>
      <c r="H46" s="11" t="str">
        <f>IF(B46="","",MID(IF(OR($C$6&lt;INDEX(Cables!$AQ:$AQ,ROWS($B$31:B46)+1),$C$6&gt;INDEX(Cables!$AR:$AR,ROWS($B$31:B46)+1))," / ekstrapolasyon","")&amp;IF(AND(ISNUMBER(G46),$C$8&gt;G46)," / güç sınırı aşılıyor","")&amp;IF(INDEX(Cables!$F:$F,ROWS($B$31:B46)+1)&lt;&gt;50," / Z0="&amp;INDEX(Cables!$F:$F,ROWS($B$31:B46)+1)&amp;" Ω",""),4,200))</f>
        <v/>
      </c>
      <c r="I46" s="1"/>
    </row>
    <row r="47" spans="1:9" x14ac:dyDescent="0.25">
      <c r="A47" s="1"/>
      <c r="B47" s="11" t="str">
        <f>IF(ROWS($B$31:B47)&gt;COUNTA(Cables!$A:$A)-1,"",INDEX(Cables!$B:$B,ROWS($B$31:B47)+1))</f>
        <v>Messi &amp; Paoloni Airborne 5</v>
      </c>
      <c r="C47" s="12">
        <f>IF(B47="","",EXP(FORECAST(LN($C$6),INDEX(Attenuation!$K:$K,(INDEX(Cables!$AO:$AO,ROWS($B$31:B47)+1)-1+MIN(MAX(IFERROR(MATCH(LN($C$6),INDEX(Attenuation!$J:$J,INDEX(Cables!$AO:$AO,ROWS($B$31:B47)+1)):INDEX(Attenuation!$J:$J,INDEX(Cables!$AO:$AO,ROWS($B$31:B47)+1)+INDEX(Cables!$AP:$AP,ROWS($B$31:B47)+1)-1),1),1),1),INDEX(Cables!$AP:$AP,ROWS($B$31:B47)+1)-1))):INDEX(Attenuation!$K:$K,(INDEX(Cables!$AO:$AO,ROWS($B$31:B47)+1)-1+MIN(MAX(IFERROR(MATCH(LN($C$6),INDEX(Attenuation!$J:$J,INDEX(Cables!$AO:$AO,ROWS($B$31:B47)+1)):INDEX(Attenuation!$J:$J,INDEX(Cables!$AO:$AO,ROWS($B$31:B47)+1)+INDEX(Cables!$AP:$AP,ROWS($B$31:B47)+1)-1),1),1),1),INDEX(Cables!$AP:$AP,ROWS($B$31:B47)+1)-1))+1),INDEX(Attenuation!$J:$J,(INDEX(Cables!$AO:$AO,ROWS($B$31:B47)+1)-1+MIN(MAX(IFERROR(MATCH(LN($C$6),INDEX(Attenuation!$J:$J,INDEX(Cables!$AO:$AO,ROWS($B$31:B47)+1)):INDEX(Attenuation!$J:$J,INDEX(Cables!$AO:$AO,ROWS($B$31:B47)+1)+INDEX(Cables!$AP:$AP,ROWS($B$31:B47)+1)-1),1),1),1),INDEX(Cables!$AP:$AP,ROWS($B$31:B47)+1)-1))):INDEX(Attenuation!$J:$J,(INDEX(Cables!$AO:$AO,ROWS($B$31:B47)+1)-1+MIN(MAX(IFERROR(MATCH(LN($C$6),INDEX(Attenuation!$J:$J,INDEX(Cables!$AO:$AO,ROWS($B$31:B47)+1)):INDEX(Attenuation!$J:$J,INDEX(Cables!$AO:$AO,ROWS($B$31:B47)+1)+INDEX(Cables!$AP:$AP,ROWS($B$31:B47)+1)-1),1),1),1),INDEX(Cables!$AP:$AP,ROWS($B$31:B47)+1)-1))+1))))</f>
        <v>11.133372074532568</v>
      </c>
      <c r="D47" s="12">
        <f t="shared" si="0"/>
        <v>2.341207803890986</v>
      </c>
      <c r="E47" s="24">
        <f t="shared" si="1"/>
        <v>58.328286659486849</v>
      </c>
      <c r="F47" s="25">
        <f t="shared" si="2"/>
        <v>0.5832828665948685</v>
      </c>
      <c r="G47" s="26">
        <f>IF(B47="","",IF(INDEX(Cables!$AX:$AX,ROWS($B$31:B47)+1)&lt;2,"-",EXP(FORECAST(LN($C$6),INDEX(Power!$K:$K,(INDEX(Cables!$AW:$AW,ROWS($B$31:B47)+1)-1+MIN(MAX(IFERROR(MATCH(LN($C$6),INDEX(Power!$J:$J,INDEX(Cables!$AW:$AW,ROWS($B$31:B47)+1)):INDEX(Power!$J:$J,INDEX(Cables!$AW:$AW,ROWS($B$31:B47)+1)+INDEX(Cables!$AX:$AX,ROWS($B$31:B47)+1)-1),1),1),1),INDEX(Cables!$AX:$AX,ROWS($B$31:B47)+1)-1))):INDEX(Power!$K:$K,(INDEX(Cables!$AW:$AW,ROWS($B$31:B47)+1)-1+MIN(MAX(IFERROR(MATCH(LN($C$6),INDEX(Power!$J:$J,INDEX(Cables!$AW:$AW,ROWS($B$31:B47)+1)):INDEX(Power!$J:$J,INDEX(Cables!$AW:$AW,ROWS($B$31:B47)+1)+INDEX(Cables!$AX:$AX,ROWS($B$31:B47)+1)-1),1),1),1),INDEX(Cables!$AX:$AX,ROWS($B$31:B47)+1)-1))+1),INDEX(Power!$J:$J,(INDEX(Cables!$AW:$AW,ROWS($B$31:B47)+1)-1+MIN(MAX(IFERROR(MATCH(LN($C$6),INDEX(Power!$J:$J,INDEX(Cables!$AW:$AW,ROWS($B$31:B47)+1)):INDEX(Power!$J:$J,INDEX(Cables!$AW:$AW,ROWS($B$31:B47)+1)+INDEX(Cables!$AX:$AX,ROWS($B$31:B47)+1)-1),1),1),1),INDEX(Cables!$AX:$AX,ROWS($B$31:B47)+1)-1))):INDEX(Power!$J:$J,(INDEX(Cables!$AW:$AW,ROWS($B$31:B47)+1)-1+MIN(MAX(IFERROR(MATCH(LN($C$6),INDEX(Power!$J:$J,INDEX(Cables!$AW:$AW,ROWS($B$31:B47)+1)):INDEX(Power!$J:$J,INDEX(Cables!$AW:$AW,ROWS($B$31:B47)+1)+INDEX(Cables!$AX:$AX,ROWS($B$31:B47)+1)-1),1),1),1),INDEX(Cables!$AX:$AX,ROWS($B$31:B47)+1)-1))+1)))))</f>
        <v>169.4558265702988</v>
      </c>
      <c r="H47" s="11" t="str">
        <f>IF(B47="","",MID(IF(OR($C$6&lt;INDEX(Cables!$AQ:$AQ,ROWS($B$31:B47)+1),$C$6&gt;INDEX(Cables!$AR:$AR,ROWS($B$31:B47)+1))," / ekstrapolasyon","")&amp;IF(AND(ISNUMBER(G47),$C$8&gt;G47)," / güç sınırı aşılıyor","")&amp;IF(INDEX(Cables!$F:$F,ROWS($B$31:B47)+1)&lt;&gt;50," / Z0="&amp;INDEX(Cables!$F:$F,ROWS($B$31:B47)+1)&amp;" Ω",""),4,200))</f>
        <v/>
      </c>
      <c r="I47" s="1"/>
    </row>
    <row r="48" spans="1:9" x14ac:dyDescent="0.25">
      <c r="A48" s="1"/>
      <c r="B48" s="11" t="str">
        <f>IF(ROWS($B$31:B48)&gt;COUNTA(Cables!$A:$A)-1,"",INDEX(Cables!$B:$B,ROWS($B$31:B48)+1))</f>
        <v>Belden H155A01 (H155 PE)</v>
      </c>
      <c r="C48" s="12">
        <f>IF(B48="","",EXP(FORECAST(LN($C$6),INDEX(Attenuation!$K:$K,(INDEX(Cables!$AO:$AO,ROWS($B$31:B48)+1)-1+MIN(MAX(IFERROR(MATCH(LN($C$6),INDEX(Attenuation!$J:$J,INDEX(Cables!$AO:$AO,ROWS($B$31:B48)+1)):INDEX(Attenuation!$J:$J,INDEX(Cables!$AO:$AO,ROWS($B$31:B48)+1)+INDEX(Cables!$AP:$AP,ROWS($B$31:B48)+1)-1),1),1),1),INDEX(Cables!$AP:$AP,ROWS($B$31:B48)+1)-1))):INDEX(Attenuation!$K:$K,(INDEX(Cables!$AO:$AO,ROWS($B$31:B48)+1)-1+MIN(MAX(IFERROR(MATCH(LN($C$6),INDEX(Attenuation!$J:$J,INDEX(Cables!$AO:$AO,ROWS($B$31:B48)+1)):INDEX(Attenuation!$J:$J,INDEX(Cables!$AO:$AO,ROWS($B$31:B48)+1)+INDEX(Cables!$AP:$AP,ROWS($B$31:B48)+1)-1),1),1),1),INDEX(Cables!$AP:$AP,ROWS($B$31:B48)+1)-1))+1),INDEX(Attenuation!$J:$J,(INDEX(Cables!$AO:$AO,ROWS($B$31:B48)+1)-1+MIN(MAX(IFERROR(MATCH(LN($C$6),INDEX(Attenuation!$J:$J,INDEX(Cables!$AO:$AO,ROWS($B$31:B48)+1)):INDEX(Attenuation!$J:$J,INDEX(Cables!$AO:$AO,ROWS($B$31:B48)+1)+INDEX(Cables!$AP:$AP,ROWS($B$31:B48)+1)-1),1),1),1),INDEX(Cables!$AP:$AP,ROWS($B$31:B48)+1)-1))):INDEX(Attenuation!$J:$J,(INDEX(Cables!$AO:$AO,ROWS($B$31:B48)+1)-1+MIN(MAX(IFERROR(MATCH(LN($C$6),INDEX(Attenuation!$J:$J,INDEX(Cables!$AO:$AO,ROWS($B$31:B48)+1)):INDEX(Attenuation!$J:$J,INDEX(Cables!$AO:$AO,ROWS($B$31:B48)+1)+INDEX(Cables!$AP:$AP,ROWS($B$31:B48)+1)-1),1),1),1),INDEX(Cables!$AP:$AP,ROWS($B$31:B48)+1)-1))+1))))</f>
        <v>10.814714081107354</v>
      </c>
      <c r="D48" s="12">
        <f t="shared" si="0"/>
        <v>2.2755931274967471</v>
      </c>
      <c r="E48" s="24">
        <f t="shared" si="1"/>
        <v>59.216220818943555</v>
      </c>
      <c r="F48" s="25">
        <f t="shared" si="2"/>
        <v>0.59216220818943555</v>
      </c>
      <c r="G48" s="26" t="str">
        <f>IF(B48="","",IF(INDEX(Cables!$AX:$AX,ROWS($B$31:B48)+1)&lt;2,"-",EXP(FORECAST(LN($C$6),INDEX(Power!$K:$K,(INDEX(Cables!$AW:$AW,ROWS($B$31:B48)+1)-1+MIN(MAX(IFERROR(MATCH(LN($C$6),INDEX(Power!$J:$J,INDEX(Cables!$AW:$AW,ROWS($B$31:B48)+1)):INDEX(Power!$J:$J,INDEX(Cables!$AW:$AW,ROWS($B$31:B48)+1)+INDEX(Cables!$AX:$AX,ROWS($B$31:B48)+1)-1),1),1),1),INDEX(Cables!$AX:$AX,ROWS($B$31:B48)+1)-1))):INDEX(Power!$K:$K,(INDEX(Cables!$AW:$AW,ROWS($B$31:B48)+1)-1+MIN(MAX(IFERROR(MATCH(LN($C$6),INDEX(Power!$J:$J,INDEX(Cables!$AW:$AW,ROWS($B$31:B48)+1)):INDEX(Power!$J:$J,INDEX(Cables!$AW:$AW,ROWS($B$31:B48)+1)+INDEX(Cables!$AX:$AX,ROWS($B$31:B48)+1)-1),1),1),1),INDEX(Cables!$AX:$AX,ROWS($B$31:B48)+1)-1))+1),INDEX(Power!$J:$J,(INDEX(Cables!$AW:$AW,ROWS($B$31:B48)+1)-1+MIN(MAX(IFERROR(MATCH(LN($C$6),INDEX(Power!$J:$J,INDEX(Cables!$AW:$AW,ROWS($B$31:B48)+1)):INDEX(Power!$J:$J,INDEX(Cables!$AW:$AW,ROWS($B$31:B48)+1)+INDEX(Cables!$AX:$AX,ROWS($B$31:B48)+1)-1),1),1),1),INDEX(Cables!$AX:$AX,ROWS($B$31:B48)+1)-1))):INDEX(Power!$J:$J,(INDEX(Cables!$AW:$AW,ROWS($B$31:B48)+1)-1+MIN(MAX(IFERROR(MATCH(LN($C$6),INDEX(Power!$J:$J,INDEX(Cables!$AW:$AW,ROWS($B$31:B48)+1)):INDEX(Power!$J:$J,INDEX(Cables!$AW:$AW,ROWS($B$31:B48)+1)+INDEX(Cables!$AX:$AX,ROWS($B$31:B48)+1)-1),1),1),1),INDEX(Cables!$AX:$AX,ROWS($B$31:B48)+1)-1))+1)))))</f>
        <v>-</v>
      </c>
      <c r="H48" s="11" t="str">
        <f>IF(B48="","",MID(IF(OR($C$6&lt;INDEX(Cables!$AQ:$AQ,ROWS($B$31:B48)+1),$C$6&gt;INDEX(Cables!$AR:$AR,ROWS($B$31:B48)+1))," / ekstrapolasyon","")&amp;IF(AND(ISNUMBER(G48),$C$8&gt;G48)," / güç sınırı aşılıyor","")&amp;IF(INDEX(Cables!$F:$F,ROWS($B$31:B48)+1)&lt;&gt;50," / Z0="&amp;INDEX(Cables!$F:$F,ROWS($B$31:B48)+1)&amp;" Ω",""),4,200))</f>
        <v/>
      </c>
      <c r="I48" s="1"/>
    </row>
    <row r="49" spans="1:9" x14ac:dyDescent="0.25">
      <c r="A49" s="1"/>
      <c r="B49" s="11" t="str">
        <f>IF(ROWS($B$31:B49)&gt;COUNTA(Cables!$A:$A)-1,"",INDEX(Cables!$B:$B,ROWS($B$31:B49)+1))</f>
        <v>Messi &amp; Paoloni Hyperflex 5</v>
      </c>
      <c r="C49" s="12">
        <f>IF(B49="","",EXP(FORECAST(LN($C$6),INDEX(Attenuation!$K:$K,(INDEX(Cables!$AO:$AO,ROWS($B$31:B49)+1)-1+MIN(MAX(IFERROR(MATCH(LN($C$6),INDEX(Attenuation!$J:$J,INDEX(Cables!$AO:$AO,ROWS($B$31:B49)+1)):INDEX(Attenuation!$J:$J,INDEX(Cables!$AO:$AO,ROWS($B$31:B49)+1)+INDEX(Cables!$AP:$AP,ROWS($B$31:B49)+1)-1),1),1),1),INDEX(Cables!$AP:$AP,ROWS($B$31:B49)+1)-1))):INDEX(Attenuation!$K:$K,(INDEX(Cables!$AO:$AO,ROWS($B$31:B49)+1)-1+MIN(MAX(IFERROR(MATCH(LN($C$6),INDEX(Attenuation!$J:$J,INDEX(Cables!$AO:$AO,ROWS($B$31:B49)+1)):INDEX(Attenuation!$J:$J,INDEX(Cables!$AO:$AO,ROWS($B$31:B49)+1)+INDEX(Cables!$AP:$AP,ROWS($B$31:B49)+1)-1),1),1),1),INDEX(Cables!$AP:$AP,ROWS($B$31:B49)+1)-1))+1),INDEX(Attenuation!$J:$J,(INDEX(Cables!$AO:$AO,ROWS($B$31:B49)+1)-1+MIN(MAX(IFERROR(MATCH(LN($C$6),INDEX(Attenuation!$J:$J,INDEX(Cables!$AO:$AO,ROWS($B$31:B49)+1)):INDEX(Attenuation!$J:$J,INDEX(Cables!$AO:$AO,ROWS($B$31:B49)+1)+INDEX(Cables!$AP:$AP,ROWS($B$31:B49)+1)-1),1),1),1),INDEX(Cables!$AP:$AP,ROWS($B$31:B49)+1)-1))):INDEX(Attenuation!$J:$J,(INDEX(Cables!$AO:$AO,ROWS($B$31:B49)+1)-1+MIN(MAX(IFERROR(MATCH(LN($C$6),INDEX(Attenuation!$J:$J,INDEX(Cables!$AO:$AO,ROWS($B$31:B49)+1)):INDEX(Attenuation!$J:$J,INDEX(Cables!$AO:$AO,ROWS($B$31:B49)+1)+INDEX(Cables!$AP:$AP,ROWS($B$31:B49)+1)-1),1),1),1),INDEX(Cables!$AP:$AP,ROWS($B$31:B49)+1)-1))+1))))</f>
        <v>9.6348177680264655</v>
      </c>
      <c r="D49" s="12">
        <f t="shared" si="0"/>
        <v>2.0321317450301173</v>
      </c>
      <c r="E49" s="24">
        <f t="shared" si="1"/>
        <v>62.630636520701323</v>
      </c>
      <c r="F49" s="25">
        <f t="shared" si="2"/>
        <v>0.62630636520701322</v>
      </c>
      <c r="G49" s="26">
        <f>IF(B49="","",IF(INDEX(Cables!$AX:$AX,ROWS($B$31:B49)+1)&lt;2,"-",EXP(FORECAST(LN($C$6),INDEX(Power!$K:$K,(INDEX(Cables!$AW:$AW,ROWS($B$31:B49)+1)-1+MIN(MAX(IFERROR(MATCH(LN($C$6),INDEX(Power!$J:$J,INDEX(Cables!$AW:$AW,ROWS($B$31:B49)+1)):INDEX(Power!$J:$J,INDEX(Cables!$AW:$AW,ROWS($B$31:B49)+1)+INDEX(Cables!$AX:$AX,ROWS($B$31:B49)+1)-1),1),1),1),INDEX(Cables!$AX:$AX,ROWS($B$31:B49)+1)-1))):INDEX(Power!$K:$K,(INDEX(Cables!$AW:$AW,ROWS($B$31:B49)+1)-1+MIN(MAX(IFERROR(MATCH(LN($C$6),INDEX(Power!$J:$J,INDEX(Cables!$AW:$AW,ROWS($B$31:B49)+1)):INDEX(Power!$J:$J,INDEX(Cables!$AW:$AW,ROWS($B$31:B49)+1)+INDEX(Cables!$AX:$AX,ROWS($B$31:B49)+1)-1),1),1),1),INDEX(Cables!$AX:$AX,ROWS($B$31:B49)+1)-1))+1),INDEX(Power!$J:$J,(INDEX(Cables!$AW:$AW,ROWS($B$31:B49)+1)-1+MIN(MAX(IFERROR(MATCH(LN($C$6),INDEX(Power!$J:$J,INDEX(Cables!$AW:$AW,ROWS($B$31:B49)+1)):INDEX(Power!$J:$J,INDEX(Cables!$AW:$AW,ROWS($B$31:B49)+1)+INDEX(Cables!$AX:$AX,ROWS($B$31:B49)+1)-1),1),1),1),INDEX(Cables!$AX:$AX,ROWS($B$31:B49)+1)-1))):INDEX(Power!$J:$J,(INDEX(Cables!$AW:$AW,ROWS($B$31:B49)+1)-1+MIN(MAX(IFERROR(MATCH(LN($C$6),INDEX(Power!$J:$J,INDEX(Cables!$AW:$AW,ROWS($B$31:B49)+1)):INDEX(Power!$J:$J,INDEX(Cables!$AW:$AW,ROWS($B$31:B49)+1)+INDEX(Cables!$AX:$AX,ROWS($B$31:B49)+1)-1),1),1),1),INDEX(Cables!$AX:$AX,ROWS($B$31:B49)+1)-1))+1)))))</f>
        <v>194.31495220224716</v>
      </c>
      <c r="H49" s="11" t="str">
        <f>IF(B49="","",MID(IF(OR($C$6&lt;INDEX(Cables!$AQ:$AQ,ROWS($B$31:B49)+1),$C$6&gt;INDEX(Cables!$AR:$AR,ROWS($B$31:B49)+1))," / ekstrapolasyon","")&amp;IF(AND(ISNUMBER(G49),$C$8&gt;G49)," / güç sınırı aşılıyor","")&amp;IF(INDEX(Cables!$F:$F,ROWS($B$31:B49)+1)&lt;&gt;50," / Z0="&amp;INDEX(Cables!$F:$F,ROWS($B$31:B49)+1)&amp;" Ω",""),4,200))</f>
        <v/>
      </c>
      <c r="I49" s="1"/>
    </row>
    <row r="50" spans="1:9" x14ac:dyDescent="0.25">
      <c r="A50" s="1"/>
      <c r="B50" s="11" t="str">
        <f>IF(ROWS($B$31:B50)&gt;COUNTA(Cables!$A:$A)-1,"",INDEX(Cables!$B:$B,ROWS($B$31:B50)+1))</f>
        <v>Times Microwave LMR-240 (Amphenol)</v>
      </c>
      <c r="C50" s="12">
        <f>IF(B50="","",EXP(FORECAST(LN($C$6),INDEX(Attenuation!$K:$K,(INDEX(Cables!$AO:$AO,ROWS($B$31:B50)+1)-1+MIN(MAX(IFERROR(MATCH(LN($C$6),INDEX(Attenuation!$J:$J,INDEX(Cables!$AO:$AO,ROWS($B$31:B50)+1)):INDEX(Attenuation!$J:$J,INDEX(Cables!$AO:$AO,ROWS($B$31:B50)+1)+INDEX(Cables!$AP:$AP,ROWS($B$31:B50)+1)-1),1),1),1),INDEX(Cables!$AP:$AP,ROWS($B$31:B50)+1)-1))):INDEX(Attenuation!$K:$K,(INDEX(Cables!$AO:$AO,ROWS($B$31:B50)+1)-1+MIN(MAX(IFERROR(MATCH(LN($C$6),INDEX(Attenuation!$J:$J,INDEX(Cables!$AO:$AO,ROWS($B$31:B50)+1)):INDEX(Attenuation!$J:$J,INDEX(Cables!$AO:$AO,ROWS($B$31:B50)+1)+INDEX(Cables!$AP:$AP,ROWS($B$31:B50)+1)-1),1),1),1),INDEX(Cables!$AP:$AP,ROWS($B$31:B50)+1)-1))+1),INDEX(Attenuation!$J:$J,(INDEX(Cables!$AO:$AO,ROWS($B$31:B50)+1)-1+MIN(MAX(IFERROR(MATCH(LN($C$6),INDEX(Attenuation!$J:$J,INDEX(Cables!$AO:$AO,ROWS($B$31:B50)+1)):INDEX(Attenuation!$J:$J,INDEX(Cables!$AO:$AO,ROWS($B$31:B50)+1)+INDEX(Cables!$AP:$AP,ROWS($B$31:B50)+1)-1),1),1),1),INDEX(Cables!$AP:$AP,ROWS($B$31:B50)+1)-1))):INDEX(Attenuation!$J:$J,(INDEX(Cables!$AO:$AO,ROWS($B$31:B50)+1)-1+MIN(MAX(IFERROR(MATCH(LN($C$6),INDEX(Attenuation!$J:$J,INDEX(Cables!$AO:$AO,ROWS($B$31:B50)+1)):INDEX(Attenuation!$J:$J,INDEX(Cables!$AO:$AO,ROWS($B$31:B50)+1)+INDEX(Cables!$AP:$AP,ROWS($B$31:B50)+1)-1),1),1),1),INDEX(Cables!$AP:$AP,ROWS($B$31:B50)+1)-1))+1))))</f>
        <v>9.6715114071165633</v>
      </c>
      <c r="D50" s="12">
        <f t="shared" si="0"/>
        <v>2.0397158217232696</v>
      </c>
      <c r="E50" s="24">
        <f t="shared" si="1"/>
        <v>62.521360195565045</v>
      </c>
      <c r="F50" s="25">
        <f t="shared" si="2"/>
        <v>0.62521360195565046</v>
      </c>
      <c r="G50" s="26">
        <f>IF(B50="","",IF(INDEX(Cables!$AX:$AX,ROWS($B$31:B50)+1)&lt;2,"-",EXP(FORECAST(LN($C$6),INDEX(Power!$K:$K,(INDEX(Cables!$AW:$AW,ROWS($B$31:B50)+1)-1+MIN(MAX(IFERROR(MATCH(LN($C$6),INDEX(Power!$J:$J,INDEX(Cables!$AW:$AW,ROWS($B$31:B50)+1)):INDEX(Power!$J:$J,INDEX(Cables!$AW:$AW,ROWS($B$31:B50)+1)+INDEX(Cables!$AX:$AX,ROWS($B$31:B50)+1)-1),1),1),1),INDEX(Cables!$AX:$AX,ROWS($B$31:B50)+1)-1))):INDEX(Power!$K:$K,(INDEX(Cables!$AW:$AW,ROWS($B$31:B50)+1)-1+MIN(MAX(IFERROR(MATCH(LN($C$6),INDEX(Power!$J:$J,INDEX(Cables!$AW:$AW,ROWS($B$31:B50)+1)):INDEX(Power!$J:$J,INDEX(Cables!$AW:$AW,ROWS($B$31:B50)+1)+INDEX(Cables!$AX:$AX,ROWS($B$31:B50)+1)-1),1),1),1),INDEX(Cables!$AX:$AX,ROWS($B$31:B50)+1)-1))+1),INDEX(Power!$J:$J,(INDEX(Cables!$AW:$AW,ROWS($B$31:B50)+1)-1+MIN(MAX(IFERROR(MATCH(LN($C$6),INDEX(Power!$J:$J,INDEX(Cables!$AW:$AW,ROWS($B$31:B50)+1)):INDEX(Power!$J:$J,INDEX(Cables!$AW:$AW,ROWS($B$31:B50)+1)+INDEX(Cables!$AX:$AX,ROWS($B$31:B50)+1)-1),1),1),1),INDEX(Cables!$AX:$AX,ROWS($B$31:B50)+1)-1))):INDEX(Power!$J:$J,(INDEX(Cables!$AW:$AW,ROWS($B$31:B50)+1)-1+MIN(MAX(IFERROR(MATCH(LN($C$6),INDEX(Power!$J:$J,INDEX(Cables!$AW:$AW,ROWS($B$31:B50)+1)):INDEX(Power!$J:$J,INDEX(Cables!$AW:$AW,ROWS($B$31:B50)+1)+INDEX(Cables!$AX:$AX,ROWS($B$31:B50)+1)-1),1),1),1),INDEX(Cables!$AX:$AX,ROWS($B$31:B50)+1)-1))+1)))))</f>
        <v>671.40657304902095</v>
      </c>
      <c r="H50" s="11" t="str">
        <f>IF(B50="","",MID(IF(OR($C$6&lt;INDEX(Cables!$AQ:$AQ,ROWS($B$31:B50)+1),$C$6&gt;INDEX(Cables!$AR:$AR,ROWS($B$31:B50)+1))," / ekstrapolasyon","")&amp;IF(AND(ISNUMBER(G50),$C$8&gt;G50)," / güç sınırı aşılıyor","")&amp;IF(INDEX(Cables!$F:$F,ROWS($B$31:B50)+1)&lt;&gt;50," / Z0="&amp;INDEX(Cables!$F:$F,ROWS($B$31:B50)+1)&amp;" Ω",""),4,200))</f>
        <v/>
      </c>
      <c r="I50" s="1"/>
    </row>
    <row r="51" spans="1:9" x14ac:dyDescent="0.25">
      <c r="A51" s="1"/>
      <c r="B51" s="11" t="str">
        <f>IF(ROWS($B$31:B51)&gt;COUNTA(Cables!$A:$A)-1,"",INDEX(Cables!$B:$B,ROWS($B$31:B51)+1))</f>
        <v>Reçber RWC 240 PE (LMR-240 muadili)</v>
      </c>
      <c r="C51" s="12">
        <f>IF(B51="","",EXP(FORECAST(LN($C$6),INDEX(Attenuation!$K:$K,(INDEX(Cables!$AO:$AO,ROWS($B$31:B51)+1)-1+MIN(MAX(IFERROR(MATCH(LN($C$6),INDEX(Attenuation!$J:$J,INDEX(Cables!$AO:$AO,ROWS($B$31:B51)+1)):INDEX(Attenuation!$J:$J,INDEX(Cables!$AO:$AO,ROWS($B$31:B51)+1)+INDEX(Cables!$AP:$AP,ROWS($B$31:B51)+1)-1),1),1),1),INDEX(Cables!$AP:$AP,ROWS($B$31:B51)+1)-1))):INDEX(Attenuation!$K:$K,(INDEX(Cables!$AO:$AO,ROWS($B$31:B51)+1)-1+MIN(MAX(IFERROR(MATCH(LN($C$6),INDEX(Attenuation!$J:$J,INDEX(Cables!$AO:$AO,ROWS($B$31:B51)+1)):INDEX(Attenuation!$J:$J,INDEX(Cables!$AO:$AO,ROWS($B$31:B51)+1)+INDEX(Cables!$AP:$AP,ROWS($B$31:B51)+1)-1),1),1),1),INDEX(Cables!$AP:$AP,ROWS($B$31:B51)+1)-1))+1),INDEX(Attenuation!$J:$J,(INDEX(Cables!$AO:$AO,ROWS($B$31:B51)+1)-1+MIN(MAX(IFERROR(MATCH(LN($C$6),INDEX(Attenuation!$J:$J,INDEX(Cables!$AO:$AO,ROWS($B$31:B51)+1)):INDEX(Attenuation!$J:$J,INDEX(Cables!$AO:$AO,ROWS($B$31:B51)+1)+INDEX(Cables!$AP:$AP,ROWS($B$31:B51)+1)-1),1),1),1),INDEX(Cables!$AP:$AP,ROWS($B$31:B51)+1)-1))):INDEX(Attenuation!$J:$J,(INDEX(Cables!$AO:$AO,ROWS($B$31:B51)+1)-1+MIN(MAX(IFERROR(MATCH(LN($C$6),INDEX(Attenuation!$J:$J,INDEX(Cables!$AO:$AO,ROWS($B$31:B51)+1)):INDEX(Attenuation!$J:$J,INDEX(Cables!$AO:$AO,ROWS($B$31:B51)+1)+INDEX(Cables!$AP:$AP,ROWS($B$31:B51)+1)-1),1),1),1),INDEX(Cables!$AP:$AP,ROWS($B$31:B51)+1)-1))+1))))</f>
        <v>9.8289636363443815</v>
      </c>
      <c r="D51" s="12">
        <f t="shared" si="0"/>
        <v>2.0722495414851001</v>
      </c>
      <c r="E51" s="24">
        <f t="shared" si="1"/>
        <v>62.054752220332645</v>
      </c>
      <c r="F51" s="25">
        <f t="shared" si="2"/>
        <v>0.62054752220332643</v>
      </c>
      <c r="G51" s="26" t="str">
        <f>IF(B51="","",IF(INDEX(Cables!$AX:$AX,ROWS($B$31:B51)+1)&lt;2,"-",EXP(FORECAST(LN($C$6),INDEX(Power!$K:$K,(INDEX(Cables!$AW:$AW,ROWS($B$31:B51)+1)-1+MIN(MAX(IFERROR(MATCH(LN($C$6),INDEX(Power!$J:$J,INDEX(Cables!$AW:$AW,ROWS($B$31:B51)+1)):INDEX(Power!$J:$J,INDEX(Cables!$AW:$AW,ROWS($B$31:B51)+1)+INDEX(Cables!$AX:$AX,ROWS($B$31:B51)+1)-1),1),1),1),INDEX(Cables!$AX:$AX,ROWS($B$31:B51)+1)-1))):INDEX(Power!$K:$K,(INDEX(Cables!$AW:$AW,ROWS($B$31:B51)+1)-1+MIN(MAX(IFERROR(MATCH(LN($C$6),INDEX(Power!$J:$J,INDEX(Cables!$AW:$AW,ROWS($B$31:B51)+1)):INDEX(Power!$J:$J,INDEX(Cables!$AW:$AW,ROWS($B$31:B51)+1)+INDEX(Cables!$AX:$AX,ROWS($B$31:B51)+1)-1),1),1),1),INDEX(Cables!$AX:$AX,ROWS($B$31:B51)+1)-1))+1),INDEX(Power!$J:$J,(INDEX(Cables!$AW:$AW,ROWS($B$31:B51)+1)-1+MIN(MAX(IFERROR(MATCH(LN($C$6),INDEX(Power!$J:$J,INDEX(Cables!$AW:$AW,ROWS($B$31:B51)+1)):INDEX(Power!$J:$J,INDEX(Cables!$AW:$AW,ROWS($B$31:B51)+1)+INDEX(Cables!$AX:$AX,ROWS($B$31:B51)+1)-1),1),1),1),INDEX(Cables!$AX:$AX,ROWS($B$31:B51)+1)-1))):INDEX(Power!$J:$J,(INDEX(Cables!$AW:$AW,ROWS($B$31:B51)+1)-1+MIN(MAX(IFERROR(MATCH(LN($C$6),INDEX(Power!$J:$J,INDEX(Cables!$AW:$AW,ROWS($B$31:B51)+1)):INDEX(Power!$J:$J,INDEX(Cables!$AW:$AW,ROWS($B$31:B51)+1)+INDEX(Cables!$AX:$AX,ROWS($B$31:B51)+1)-1),1),1),1),INDEX(Cables!$AX:$AX,ROWS($B$31:B51)+1)-1))+1)))))</f>
        <v>-</v>
      </c>
      <c r="H51" s="11" t="str">
        <f>IF(B51="","",MID(IF(OR($C$6&lt;INDEX(Cables!$AQ:$AQ,ROWS($B$31:B51)+1),$C$6&gt;INDEX(Cables!$AR:$AR,ROWS($B$31:B51)+1))," / ekstrapolasyon","")&amp;IF(AND(ISNUMBER(G51),$C$8&gt;G51)," / güç sınırı aşılıyor","")&amp;IF(INDEX(Cables!$F:$F,ROWS($B$31:B51)+1)&lt;&gt;50," / Z0="&amp;INDEX(Cables!$F:$F,ROWS($B$31:B51)+1)&amp;" Ω",""),4,200))</f>
        <v/>
      </c>
      <c r="I51" s="1"/>
    </row>
    <row r="52" spans="1:9" x14ac:dyDescent="0.25">
      <c r="A52" s="1"/>
      <c r="B52" s="11" t="str">
        <f>IF(ROWS($B$31:B52)&gt;COUNTA(Cables!$A:$A)-1,"",INDEX(Cables!$B:$B,ROWS($B$31:B52)+1))</f>
        <v>Reçber RG 213 U PE</v>
      </c>
      <c r="C52" s="12">
        <f>IF(B52="","",EXP(FORECAST(LN($C$6),INDEX(Attenuation!$K:$K,(INDEX(Cables!$AO:$AO,ROWS($B$31:B52)+1)-1+MIN(MAX(IFERROR(MATCH(LN($C$6),INDEX(Attenuation!$J:$J,INDEX(Cables!$AO:$AO,ROWS($B$31:B52)+1)):INDEX(Attenuation!$J:$J,INDEX(Cables!$AO:$AO,ROWS($B$31:B52)+1)+INDEX(Cables!$AP:$AP,ROWS($B$31:B52)+1)-1),1),1),1),INDEX(Cables!$AP:$AP,ROWS($B$31:B52)+1)-1))):INDEX(Attenuation!$K:$K,(INDEX(Cables!$AO:$AO,ROWS($B$31:B52)+1)-1+MIN(MAX(IFERROR(MATCH(LN($C$6),INDEX(Attenuation!$J:$J,INDEX(Cables!$AO:$AO,ROWS($B$31:B52)+1)):INDEX(Attenuation!$J:$J,INDEX(Cables!$AO:$AO,ROWS($B$31:B52)+1)+INDEX(Cables!$AP:$AP,ROWS($B$31:B52)+1)-1),1),1),1),INDEX(Cables!$AP:$AP,ROWS($B$31:B52)+1)-1))+1),INDEX(Attenuation!$J:$J,(INDEX(Cables!$AO:$AO,ROWS($B$31:B52)+1)-1+MIN(MAX(IFERROR(MATCH(LN($C$6),INDEX(Attenuation!$J:$J,INDEX(Cables!$AO:$AO,ROWS($B$31:B52)+1)):INDEX(Attenuation!$J:$J,INDEX(Cables!$AO:$AO,ROWS($B$31:B52)+1)+INDEX(Cables!$AP:$AP,ROWS($B$31:B52)+1)-1),1),1),1),INDEX(Cables!$AP:$AP,ROWS($B$31:B52)+1)-1))):INDEX(Attenuation!$J:$J,(INDEX(Cables!$AO:$AO,ROWS($B$31:B52)+1)-1+MIN(MAX(IFERROR(MATCH(LN($C$6),INDEX(Attenuation!$J:$J,INDEX(Cables!$AO:$AO,ROWS($B$31:B52)+1)):INDEX(Attenuation!$J:$J,INDEX(Cables!$AO:$AO,ROWS($B$31:B52)+1)+INDEX(Cables!$AP:$AP,ROWS($B$31:B52)+1)-1),1),1),1),INDEX(Cables!$AP:$AP,ROWS($B$31:B52)+1)-1))+1))))</f>
        <v>8.3464798525876045</v>
      </c>
      <c r="D52" s="12">
        <f t="shared" si="0"/>
        <v>1.7652924790505262</v>
      </c>
      <c r="E52" s="24">
        <f t="shared" si="1"/>
        <v>66.599466785093554</v>
      </c>
      <c r="F52" s="25">
        <f t="shared" si="2"/>
        <v>0.66599466785093553</v>
      </c>
      <c r="G52" s="26" t="str">
        <f>IF(B52="","",IF(INDEX(Cables!$AX:$AX,ROWS($B$31:B52)+1)&lt;2,"-",EXP(FORECAST(LN($C$6),INDEX(Power!$K:$K,(INDEX(Cables!$AW:$AW,ROWS($B$31:B52)+1)-1+MIN(MAX(IFERROR(MATCH(LN($C$6),INDEX(Power!$J:$J,INDEX(Cables!$AW:$AW,ROWS($B$31:B52)+1)):INDEX(Power!$J:$J,INDEX(Cables!$AW:$AW,ROWS($B$31:B52)+1)+INDEX(Cables!$AX:$AX,ROWS($B$31:B52)+1)-1),1),1),1),INDEX(Cables!$AX:$AX,ROWS($B$31:B52)+1)-1))):INDEX(Power!$K:$K,(INDEX(Cables!$AW:$AW,ROWS($B$31:B52)+1)-1+MIN(MAX(IFERROR(MATCH(LN($C$6),INDEX(Power!$J:$J,INDEX(Cables!$AW:$AW,ROWS($B$31:B52)+1)):INDEX(Power!$J:$J,INDEX(Cables!$AW:$AW,ROWS($B$31:B52)+1)+INDEX(Cables!$AX:$AX,ROWS($B$31:B52)+1)-1),1),1),1),INDEX(Cables!$AX:$AX,ROWS($B$31:B52)+1)-1))+1),INDEX(Power!$J:$J,(INDEX(Cables!$AW:$AW,ROWS($B$31:B52)+1)-1+MIN(MAX(IFERROR(MATCH(LN($C$6),INDEX(Power!$J:$J,INDEX(Cables!$AW:$AW,ROWS($B$31:B52)+1)):INDEX(Power!$J:$J,INDEX(Cables!$AW:$AW,ROWS($B$31:B52)+1)+INDEX(Cables!$AX:$AX,ROWS($B$31:B52)+1)-1),1),1),1),INDEX(Cables!$AX:$AX,ROWS($B$31:B52)+1)-1))):INDEX(Power!$J:$J,(INDEX(Cables!$AW:$AW,ROWS($B$31:B52)+1)-1+MIN(MAX(IFERROR(MATCH(LN($C$6),INDEX(Power!$J:$J,INDEX(Cables!$AW:$AW,ROWS($B$31:B52)+1)):INDEX(Power!$J:$J,INDEX(Cables!$AW:$AW,ROWS($B$31:B52)+1)+INDEX(Cables!$AX:$AX,ROWS($B$31:B52)+1)-1),1),1),1),INDEX(Cables!$AX:$AX,ROWS($B$31:B52)+1)-1))+1)))))</f>
        <v>-</v>
      </c>
      <c r="H52" s="11" t="str">
        <f>IF(B52="","",MID(IF(OR($C$6&lt;INDEX(Cables!$AQ:$AQ,ROWS($B$31:B52)+1),$C$6&gt;INDEX(Cables!$AR:$AR,ROWS($B$31:B52)+1))," / ekstrapolasyon","")&amp;IF(AND(ISNUMBER(G52),$C$8&gt;G52)," / güç sınırı aşılıyor","")&amp;IF(INDEX(Cables!$F:$F,ROWS($B$31:B52)+1)&lt;&gt;50," / Z0="&amp;INDEX(Cables!$F:$F,ROWS($B$31:B52)+1)&amp;" Ω",""),4,200))</f>
        <v/>
      </c>
      <c r="I52" s="1"/>
    </row>
    <row r="53" spans="1:9" x14ac:dyDescent="0.25">
      <c r="A53" s="1"/>
      <c r="B53" s="11" t="str">
        <f>IF(ROWS($B$31:B53)&gt;COUNTA(Cables!$A:$A)-1,"",INDEX(Cables!$B:$B,ROWS($B$31:B53)+1))</f>
        <v>Belden 8267 (RG-213/U)</v>
      </c>
      <c r="C53" s="12">
        <f>IF(B53="","",EXP(FORECAST(LN($C$6),INDEX(Attenuation!$K:$K,(INDEX(Cables!$AO:$AO,ROWS($B$31:B53)+1)-1+MIN(MAX(IFERROR(MATCH(LN($C$6),INDEX(Attenuation!$J:$J,INDEX(Cables!$AO:$AO,ROWS($B$31:B53)+1)):INDEX(Attenuation!$J:$J,INDEX(Cables!$AO:$AO,ROWS($B$31:B53)+1)+INDEX(Cables!$AP:$AP,ROWS($B$31:B53)+1)-1),1),1),1),INDEX(Cables!$AP:$AP,ROWS($B$31:B53)+1)-1))):INDEX(Attenuation!$K:$K,(INDEX(Cables!$AO:$AO,ROWS($B$31:B53)+1)-1+MIN(MAX(IFERROR(MATCH(LN($C$6),INDEX(Attenuation!$J:$J,INDEX(Cables!$AO:$AO,ROWS($B$31:B53)+1)):INDEX(Attenuation!$J:$J,INDEX(Cables!$AO:$AO,ROWS($B$31:B53)+1)+INDEX(Cables!$AP:$AP,ROWS($B$31:B53)+1)-1),1),1),1),INDEX(Cables!$AP:$AP,ROWS($B$31:B53)+1)-1))+1),INDEX(Attenuation!$J:$J,(INDEX(Cables!$AO:$AO,ROWS($B$31:B53)+1)-1+MIN(MAX(IFERROR(MATCH(LN($C$6),INDEX(Attenuation!$J:$J,INDEX(Cables!$AO:$AO,ROWS($B$31:B53)+1)):INDEX(Attenuation!$J:$J,INDEX(Cables!$AO:$AO,ROWS($B$31:B53)+1)+INDEX(Cables!$AP:$AP,ROWS($B$31:B53)+1)-1),1),1),1),INDEX(Cables!$AP:$AP,ROWS($B$31:B53)+1)-1))):INDEX(Attenuation!$J:$J,(INDEX(Cables!$AO:$AO,ROWS($B$31:B53)+1)-1+MIN(MAX(IFERROR(MATCH(LN($C$6),INDEX(Attenuation!$J:$J,INDEX(Cables!$AO:$AO,ROWS($B$31:B53)+1)):INDEX(Attenuation!$J:$J,INDEX(Cables!$AO:$AO,ROWS($B$31:B53)+1)+INDEX(Cables!$AP:$AP,ROWS($B$31:B53)+1)-1),1),1),1),INDEX(Cables!$AP:$AP,ROWS($B$31:B53)+1)-1))+1))))</f>
        <v>7.5256801935532573</v>
      </c>
      <c r="D53" s="12">
        <f t="shared" si="0"/>
        <v>1.5946838962744101</v>
      </c>
      <c r="E53" s="24">
        <f t="shared" si="1"/>
        <v>69.267834459255837</v>
      </c>
      <c r="F53" s="25">
        <f t="shared" si="2"/>
        <v>0.69267834459255839</v>
      </c>
      <c r="G53" s="26">
        <f>IF(B53="","",IF(INDEX(Cables!$AX:$AX,ROWS($B$31:B53)+1)&lt;2,"-",EXP(FORECAST(LN($C$6),INDEX(Power!$K:$K,(INDEX(Cables!$AW:$AW,ROWS($B$31:B53)+1)-1+MIN(MAX(IFERROR(MATCH(LN($C$6),INDEX(Power!$J:$J,INDEX(Cables!$AW:$AW,ROWS($B$31:B53)+1)):INDEX(Power!$J:$J,INDEX(Cables!$AW:$AW,ROWS($B$31:B53)+1)+INDEX(Cables!$AX:$AX,ROWS($B$31:B53)+1)-1),1),1),1),INDEX(Cables!$AX:$AX,ROWS($B$31:B53)+1)-1))):INDEX(Power!$K:$K,(INDEX(Cables!$AW:$AW,ROWS($B$31:B53)+1)-1+MIN(MAX(IFERROR(MATCH(LN($C$6),INDEX(Power!$J:$J,INDEX(Cables!$AW:$AW,ROWS($B$31:B53)+1)):INDEX(Power!$J:$J,INDEX(Cables!$AW:$AW,ROWS($B$31:B53)+1)+INDEX(Cables!$AX:$AX,ROWS($B$31:B53)+1)-1),1),1),1),INDEX(Cables!$AX:$AX,ROWS($B$31:B53)+1)-1))+1),INDEX(Power!$J:$J,(INDEX(Cables!$AW:$AW,ROWS($B$31:B53)+1)-1+MIN(MAX(IFERROR(MATCH(LN($C$6),INDEX(Power!$J:$J,INDEX(Cables!$AW:$AW,ROWS($B$31:B53)+1)):INDEX(Power!$J:$J,INDEX(Cables!$AW:$AW,ROWS($B$31:B53)+1)+INDEX(Cables!$AX:$AX,ROWS($B$31:B53)+1)-1),1),1),1),INDEX(Cables!$AX:$AX,ROWS($B$31:B53)+1)-1))):INDEX(Power!$J:$J,(INDEX(Cables!$AW:$AW,ROWS($B$31:B53)+1)-1+MIN(MAX(IFERROR(MATCH(LN($C$6),INDEX(Power!$J:$J,INDEX(Cables!$AW:$AW,ROWS($B$31:B53)+1)):INDEX(Power!$J:$J,INDEX(Cables!$AW:$AW,ROWS($B$31:B53)+1)+INDEX(Cables!$AX:$AX,ROWS($B$31:B53)+1)-1),1),1),1),INDEX(Cables!$AX:$AX,ROWS($B$31:B53)+1)-1))+1)))))</f>
        <v>598.85055274541469</v>
      </c>
      <c r="H53" s="11" t="str">
        <f>IF(B53="","",MID(IF(OR($C$6&lt;INDEX(Cables!$AQ:$AQ,ROWS($B$31:B53)+1),$C$6&gt;INDEX(Cables!$AR:$AR,ROWS($B$31:B53)+1))," / ekstrapolasyon","")&amp;IF(AND(ISNUMBER(G53),$C$8&gt;G53)," / güç sınırı aşılıyor","")&amp;IF(INDEX(Cables!$F:$F,ROWS($B$31:B53)+1)&lt;&gt;50," / Z0="&amp;INDEX(Cables!$F:$F,ROWS($B$31:B53)+1)&amp;" Ω",""),4,200))</f>
        <v/>
      </c>
      <c r="I53" s="1"/>
    </row>
    <row r="54" spans="1:9" x14ac:dyDescent="0.25">
      <c r="A54" s="1"/>
      <c r="B54" s="11" t="str">
        <f>IF(ROWS($B$31:B54)&gt;COUNTA(Cables!$A:$A)-1,"",INDEX(Cables!$B:$B,ROWS($B$31:B54)+1))</f>
        <v>Belden 8268 (RG-214/U)</v>
      </c>
      <c r="C54" s="12">
        <f>IF(B54="","",EXP(FORECAST(LN($C$6),INDEX(Attenuation!$K:$K,(INDEX(Cables!$AO:$AO,ROWS($B$31:B54)+1)-1+MIN(MAX(IFERROR(MATCH(LN($C$6),INDEX(Attenuation!$J:$J,INDEX(Cables!$AO:$AO,ROWS($B$31:B54)+1)):INDEX(Attenuation!$J:$J,INDEX(Cables!$AO:$AO,ROWS($B$31:B54)+1)+INDEX(Cables!$AP:$AP,ROWS($B$31:B54)+1)-1),1),1),1),INDEX(Cables!$AP:$AP,ROWS($B$31:B54)+1)-1))):INDEX(Attenuation!$K:$K,(INDEX(Cables!$AO:$AO,ROWS($B$31:B54)+1)-1+MIN(MAX(IFERROR(MATCH(LN($C$6),INDEX(Attenuation!$J:$J,INDEX(Cables!$AO:$AO,ROWS($B$31:B54)+1)):INDEX(Attenuation!$J:$J,INDEX(Cables!$AO:$AO,ROWS($B$31:B54)+1)+INDEX(Cables!$AP:$AP,ROWS($B$31:B54)+1)-1),1),1),1),INDEX(Cables!$AP:$AP,ROWS($B$31:B54)+1)-1))+1),INDEX(Attenuation!$J:$J,(INDEX(Cables!$AO:$AO,ROWS($B$31:B54)+1)-1+MIN(MAX(IFERROR(MATCH(LN($C$6),INDEX(Attenuation!$J:$J,INDEX(Cables!$AO:$AO,ROWS($B$31:B54)+1)):INDEX(Attenuation!$J:$J,INDEX(Cables!$AO:$AO,ROWS($B$31:B54)+1)+INDEX(Cables!$AP:$AP,ROWS($B$31:B54)+1)-1),1),1),1),INDEX(Cables!$AP:$AP,ROWS($B$31:B54)+1)-1))):INDEX(Attenuation!$J:$J,(INDEX(Cables!$AO:$AO,ROWS($B$31:B54)+1)-1+MIN(MAX(IFERROR(MATCH(LN($C$6),INDEX(Attenuation!$J:$J,INDEX(Cables!$AO:$AO,ROWS($B$31:B54)+1)):INDEX(Attenuation!$J:$J,INDEX(Cables!$AO:$AO,ROWS($B$31:B54)+1)+INDEX(Cables!$AP:$AP,ROWS($B$31:B54)+1)-1),1),1),1),INDEX(Cables!$AP:$AP,ROWS($B$31:B54)+1)-1))+1))))</f>
        <v>7.5256801935532573</v>
      </c>
      <c r="D54" s="12">
        <f t="shared" si="0"/>
        <v>1.5946838962744101</v>
      </c>
      <c r="E54" s="24">
        <f t="shared" si="1"/>
        <v>69.267834459255837</v>
      </c>
      <c r="F54" s="25">
        <f t="shared" si="2"/>
        <v>0.69267834459255839</v>
      </c>
      <c r="G54" s="26">
        <f>IF(B54="","",IF(INDEX(Cables!$AX:$AX,ROWS($B$31:B54)+1)&lt;2,"-",EXP(FORECAST(LN($C$6),INDEX(Power!$K:$K,(INDEX(Cables!$AW:$AW,ROWS($B$31:B54)+1)-1+MIN(MAX(IFERROR(MATCH(LN($C$6),INDEX(Power!$J:$J,INDEX(Cables!$AW:$AW,ROWS($B$31:B54)+1)):INDEX(Power!$J:$J,INDEX(Cables!$AW:$AW,ROWS($B$31:B54)+1)+INDEX(Cables!$AX:$AX,ROWS($B$31:B54)+1)-1),1),1),1),INDEX(Cables!$AX:$AX,ROWS($B$31:B54)+1)-1))):INDEX(Power!$K:$K,(INDEX(Cables!$AW:$AW,ROWS($B$31:B54)+1)-1+MIN(MAX(IFERROR(MATCH(LN($C$6),INDEX(Power!$J:$J,INDEX(Cables!$AW:$AW,ROWS($B$31:B54)+1)):INDEX(Power!$J:$J,INDEX(Cables!$AW:$AW,ROWS($B$31:B54)+1)+INDEX(Cables!$AX:$AX,ROWS($B$31:B54)+1)-1),1),1),1),INDEX(Cables!$AX:$AX,ROWS($B$31:B54)+1)-1))+1),INDEX(Power!$J:$J,(INDEX(Cables!$AW:$AW,ROWS($B$31:B54)+1)-1+MIN(MAX(IFERROR(MATCH(LN($C$6),INDEX(Power!$J:$J,INDEX(Cables!$AW:$AW,ROWS($B$31:B54)+1)):INDEX(Power!$J:$J,INDEX(Cables!$AW:$AW,ROWS($B$31:B54)+1)+INDEX(Cables!$AX:$AX,ROWS($B$31:B54)+1)-1),1),1),1),INDEX(Cables!$AX:$AX,ROWS($B$31:B54)+1)-1))):INDEX(Power!$J:$J,(INDEX(Cables!$AW:$AW,ROWS($B$31:B54)+1)-1+MIN(MAX(IFERROR(MATCH(LN($C$6),INDEX(Power!$J:$J,INDEX(Cables!$AW:$AW,ROWS($B$31:B54)+1)):INDEX(Power!$J:$J,INDEX(Cables!$AW:$AW,ROWS($B$31:B54)+1)+INDEX(Cables!$AX:$AX,ROWS($B$31:B54)+1)-1),1),1),1),INDEX(Cables!$AX:$AX,ROWS($B$31:B54)+1)-1))+1)))))</f>
        <v>692.99328074891082</v>
      </c>
      <c r="H54" s="11" t="str">
        <f>IF(B54="","",MID(IF(OR($C$6&lt;INDEX(Cables!$AQ:$AQ,ROWS($B$31:B54)+1),$C$6&gt;INDEX(Cables!$AR:$AR,ROWS($B$31:B54)+1))," / ekstrapolasyon","")&amp;IF(AND(ISNUMBER(G54),$C$8&gt;G54)," / güç sınırı aşılıyor","")&amp;IF(INDEX(Cables!$F:$F,ROWS($B$31:B54)+1)&lt;&gt;50," / Z0="&amp;INDEX(Cables!$F:$F,ROWS($B$31:B54)+1)&amp;" Ω",""),4,200))</f>
        <v/>
      </c>
      <c r="I54" s="1"/>
    </row>
    <row r="55" spans="1:9" x14ac:dyDescent="0.25">
      <c r="A55" s="1"/>
      <c r="B55" s="11" t="str">
        <f>IF(ROWS($B$31:B55)&gt;COUNTA(Cables!$A:$A)-1,"",INDEX(Cables!$B:$B,ROWS($B$31:B55)+1))</f>
        <v>Messi &amp; Paoloni RG 213/U</v>
      </c>
      <c r="C55" s="12">
        <f>IF(B55="","",EXP(FORECAST(LN($C$6),INDEX(Attenuation!$K:$K,(INDEX(Cables!$AO:$AO,ROWS($B$31:B55)+1)-1+MIN(MAX(IFERROR(MATCH(LN($C$6),INDEX(Attenuation!$J:$J,INDEX(Cables!$AO:$AO,ROWS($B$31:B55)+1)):INDEX(Attenuation!$J:$J,INDEX(Cables!$AO:$AO,ROWS($B$31:B55)+1)+INDEX(Cables!$AP:$AP,ROWS($B$31:B55)+1)-1),1),1),1),INDEX(Cables!$AP:$AP,ROWS($B$31:B55)+1)-1))):INDEX(Attenuation!$K:$K,(INDEX(Cables!$AO:$AO,ROWS($B$31:B55)+1)-1+MIN(MAX(IFERROR(MATCH(LN($C$6),INDEX(Attenuation!$J:$J,INDEX(Cables!$AO:$AO,ROWS($B$31:B55)+1)):INDEX(Attenuation!$J:$J,INDEX(Cables!$AO:$AO,ROWS($B$31:B55)+1)+INDEX(Cables!$AP:$AP,ROWS($B$31:B55)+1)-1),1),1),1),INDEX(Cables!$AP:$AP,ROWS($B$31:B55)+1)-1))+1),INDEX(Attenuation!$J:$J,(INDEX(Cables!$AO:$AO,ROWS($B$31:B55)+1)-1+MIN(MAX(IFERROR(MATCH(LN($C$6),INDEX(Attenuation!$J:$J,INDEX(Cables!$AO:$AO,ROWS($B$31:B55)+1)):INDEX(Attenuation!$J:$J,INDEX(Cables!$AO:$AO,ROWS($B$31:B55)+1)+INDEX(Cables!$AP:$AP,ROWS($B$31:B55)+1)-1),1),1),1),INDEX(Cables!$AP:$AP,ROWS($B$31:B55)+1)-1))):INDEX(Attenuation!$J:$J,(INDEX(Cables!$AO:$AO,ROWS($B$31:B55)+1)-1+MIN(MAX(IFERROR(MATCH(LN($C$6),INDEX(Attenuation!$J:$J,INDEX(Cables!$AO:$AO,ROWS($B$31:B55)+1)):INDEX(Attenuation!$J:$J,INDEX(Cables!$AO:$AO,ROWS($B$31:B55)+1)+INDEX(Cables!$AP:$AP,ROWS($B$31:B55)+1)-1),1),1),1),INDEX(Cables!$AP:$AP,ROWS($B$31:B55)+1)-1))+1))))</f>
        <v>7.5288620200284795</v>
      </c>
      <c r="D55" s="12">
        <f t="shared" si="0"/>
        <v>1.5953462319500225</v>
      </c>
      <c r="E55" s="24">
        <f t="shared" si="1"/>
        <v>69.257271336400066</v>
      </c>
      <c r="F55" s="25">
        <f t="shared" si="2"/>
        <v>0.69257271336400061</v>
      </c>
      <c r="G55" s="26" t="str">
        <f>IF(B55="","",IF(INDEX(Cables!$AX:$AX,ROWS($B$31:B55)+1)&lt;2,"-",EXP(FORECAST(LN($C$6),INDEX(Power!$K:$K,(INDEX(Cables!$AW:$AW,ROWS($B$31:B55)+1)-1+MIN(MAX(IFERROR(MATCH(LN($C$6),INDEX(Power!$J:$J,INDEX(Cables!$AW:$AW,ROWS($B$31:B55)+1)):INDEX(Power!$J:$J,INDEX(Cables!$AW:$AW,ROWS($B$31:B55)+1)+INDEX(Cables!$AX:$AX,ROWS($B$31:B55)+1)-1),1),1),1),INDEX(Cables!$AX:$AX,ROWS($B$31:B55)+1)-1))):INDEX(Power!$K:$K,(INDEX(Cables!$AW:$AW,ROWS($B$31:B55)+1)-1+MIN(MAX(IFERROR(MATCH(LN($C$6),INDEX(Power!$J:$J,INDEX(Cables!$AW:$AW,ROWS($B$31:B55)+1)):INDEX(Power!$J:$J,INDEX(Cables!$AW:$AW,ROWS($B$31:B55)+1)+INDEX(Cables!$AX:$AX,ROWS($B$31:B55)+1)-1),1),1),1),INDEX(Cables!$AX:$AX,ROWS($B$31:B55)+1)-1))+1),INDEX(Power!$J:$J,(INDEX(Cables!$AW:$AW,ROWS($B$31:B55)+1)-1+MIN(MAX(IFERROR(MATCH(LN($C$6),INDEX(Power!$J:$J,INDEX(Cables!$AW:$AW,ROWS($B$31:B55)+1)):INDEX(Power!$J:$J,INDEX(Cables!$AW:$AW,ROWS($B$31:B55)+1)+INDEX(Cables!$AX:$AX,ROWS($B$31:B55)+1)-1),1),1),1),INDEX(Cables!$AX:$AX,ROWS($B$31:B55)+1)-1))):INDEX(Power!$J:$J,(INDEX(Cables!$AW:$AW,ROWS($B$31:B55)+1)-1+MIN(MAX(IFERROR(MATCH(LN($C$6),INDEX(Power!$J:$J,INDEX(Cables!$AW:$AW,ROWS($B$31:B55)+1)):INDEX(Power!$J:$J,INDEX(Cables!$AW:$AW,ROWS($B$31:B55)+1)+INDEX(Cables!$AX:$AX,ROWS($B$31:B55)+1)-1),1),1),1),INDEX(Cables!$AX:$AX,ROWS($B$31:B55)+1)-1))+1)))))</f>
        <v>-</v>
      </c>
      <c r="H55" s="11" t="str">
        <f>IF(B55="","",MID(IF(OR($C$6&lt;INDEX(Cables!$AQ:$AQ,ROWS($B$31:B55)+1),$C$6&gt;INDEX(Cables!$AR:$AR,ROWS($B$31:B55)+1))," / ekstrapolasyon","")&amp;IF(AND(ISNUMBER(G55),$C$8&gt;G55)," / güç sınırı aşılıyor","")&amp;IF(INDEX(Cables!$F:$F,ROWS($B$31:B55)+1)&lt;&gt;50," / Z0="&amp;INDEX(Cables!$F:$F,ROWS($B$31:B55)+1)&amp;" Ω",""),4,200))</f>
        <v/>
      </c>
      <c r="I55" s="1"/>
    </row>
    <row r="56" spans="1:9" x14ac:dyDescent="0.25">
      <c r="A56" s="1"/>
      <c r="B56" s="11" t="str">
        <f>IF(ROWS($B$31:B56)&gt;COUNTA(Cables!$A:$A)-1,"",INDEX(Cables!$B:$B,ROWS($B$31:B56)+1))</f>
        <v>SSB Aircell 7</v>
      </c>
      <c r="C56" s="12">
        <f>IF(B56="","",EXP(FORECAST(LN($C$6),INDEX(Attenuation!$K:$K,(INDEX(Cables!$AO:$AO,ROWS($B$31:B56)+1)-1+MIN(MAX(IFERROR(MATCH(LN($C$6),INDEX(Attenuation!$J:$J,INDEX(Cables!$AO:$AO,ROWS($B$31:B56)+1)):INDEX(Attenuation!$J:$J,INDEX(Cables!$AO:$AO,ROWS($B$31:B56)+1)+INDEX(Cables!$AP:$AP,ROWS($B$31:B56)+1)-1),1),1),1),INDEX(Cables!$AP:$AP,ROWS($B$31:B56)+1)-1))):INDEX(Attenuation!$K:$K,(INDEX(Cables!$AO:$AO,ROWS($B$31:B56)+1)-1+MIN(MAX(IFERROR(MATCH(LN($C$6),INDEX(Attenuation!$J:$J,INDEX(Cables!$AO:$AO,ROWS($B$31:B56)+1)):INDEX(Attenuation!$J:$J,INDEX(Cables!$AO:$AO,ROWS($B$31:B56)+1)+INDEX(Cables!$AP:$AP,ROWS($B$31:B56)+1)-1),1),1),1),INDEX(Cables!$AP:$AP,ROWS($B$31:B56)+1)-1))+1),INDEX(Attenuation!$J:$J,(INDEX(Cables!$AO:$AO,ROWS($B$31:B56)+1)-1+MIN(MAX(IFERROR(MATCH(LN($C$6),INDEX(Attenuation!$J:$J,INDEX(Cables!$AO:$AO,ROWS($B$31:B56)+1)):INDEX(Attenuation!$J:$J,INDEX(Cables!$AO:$AO,ROWS($B$31:B56)+1)+INDEX(Cables!$AP:$AP,ROWS($B$31:B56)+1)-1),1),1),1),INDEX(Cables!$AP:$AP,ROWS($B$31:B56)+1)-1))):INDEX(Attenuation!$J:$J,(INDEX(Cables!$AO:$AO,ROWS($B$31:B56)+1)-1+MIN(MAX(IFERROR(MATCH(LN($C$6),INDEX(Attenuation!$J:$J,INDEX(Cables!$AO:$AO,ROWS($B$31:B56)+1)):INDEX(Attenuation!$J:$J,INDEX(Cables!$AO:$AO,ROWS($B$31:B56)+1)+INDEX(Cables!$AP:$AP,ROWS($B$31:B56)+1)-1),1),1),1),INDEX(Cables!$AP:$AP,ROWS($B$31:B56)+1)-1))+1))))</f>
        <v>7.6278309180612105</v>
      </c>
      <c r="D56" s="12">
        <f t="shared" si="0"/>
        <v>1.6159439402863724</v>
      </c>
      <c r="E56" s="24">
        <f t="shared" si="1"/>
        <v>68.929575825991066</v>
      </c>
      <c r="F56" s="25">
        <f t="shared" si="2"/>
        <v>0.68929575825991063</v>
      </c>
      <c r="G56" s="26">
        <f>IF(B56="","",IF(INDEX(Cables!$AX:$AX,ROWS($B$31:B56)+1)&lt;2,"-",EXP(FORECAST(LN($C$6),INDEX(Power!$K:$K,(INDEX(Cables!$AW:$AW,ROWS($B$31:B56)+1)-1+MIN(MAX(IFERROR(MATCH(LN($C$6),INDEX(Power!$J:$J,INDEX(Cables!$AW:$AW,ROWS($B$31:B56)+1)):INDEX(Power!$J:$J,INDEX(Cables!$AW:$AW,ROWS($B$31:B56)+1)+INDEX(Cables!$AX:$AX,ROWS($B$31:B56)+1)-1),1),1),1),INDEX(Cables!$AX:$AX,ROWS($B$31:B56)+1)-1))):INDEX(Power!$K:$K,(INDEX(Cables!$AW:$AW,ROWS($B$31:B56)+1)-1+MIN(MAX(IFERROR(MATCH(LN($C$6),INDEX(Power!$J:$J,INDEX(Cables!$AW:$AW,ROWS($B$31:B56)+1)):INDEX(Power!$J:$J,INDEX(Cables!$AW:$AW,ROWS($B$31:B56)+1)+INDEX(Cables!$AX:$AX,ROWS($B$31:B56)+1)-1),1),1),1),INDEX(Cables!$AX:$AX,ROWS($B$31:B56)+1)-1))+1),INDEX(Power!$J:$J,(INDEX(Cables!$AW:$AW,ROWS($B$31:B56)+1)-1+MIN(MAX(IFERROR(MATCH(LN($C$6),INDEX(Power!$J:$J,INDEX(Cables!$AW:$AW,ROWS($B$31:B56)+1)):INDEX(Power!$J:$J,INDEX(Cables!$AW:$AW,ROWS($B$31:B56)+1)+INDEX(Cables!$AX:$AX,ROWS($B$31:B56)+1)-1),1),1),1),INDEX(Cables!$AX:$AX,ROWS($B$31:B56)+1)-1))):INDEX(Power!$J:$J,(INDEX(Cables!$AW:$AW,ROWS($B$31:B56)+1)-1+MIN(MAX(IFERROR(MATCH(LN($C$6),INDEX(Power!$J:$J,INDEX(Cables!$AW:$AW,ROWS($B$31:B56)+1)):INDEX(Power!$J:$J,INDEX(Cables!$AW:$AW,ROWS($B$31:B56)+1)+INDEX(Cables!$AX:$AX,ROWS($B$31:B56)+1)-1),1),1),1),INDEX(Cables!$AX:$AX,ROWS($B$31:B56)+1)-1))+1)))))</f>
        <v>507.29297274521059</v>
      </c>
      <c r="H56" s="11" t="str">
        <f>IF(B56="","",MID(IF(OR($C$6&lt;INDEX(Cables!$AQ:$AQ,ROWS($B$31:B56)+1),$C$6&gt;INDEX(Cables!$AR:$AR,ROWS($B$31:B56)+1))," / ekstrapolasyon","")&amp;IF(AND(ISNUMBER(G56),$C$8&gt;G56)," / güç sınırı aşılıyor","")&amp;IF(INDEX(Cables!$F:$F,ROWS($B$31:B56)+1)&lt;&gt;50," / Z0="&amp;INDEX(Cables!$F:$F,ROWS($B$31:B56)+1)&amp;" Ω",""),4,200))</f>
        <v/>
      </c>
      <c r="I56" s="1"/>
    </row>
    <row r="57" spans="1:9" x14ac:dyDescent="0.25">
      <c r="A57" s="1"/>
      <c r="B57" s="11" t="str">
        <f>IF(ROWS($B$31:B57)&gt;COUNTA(Cables!$A:$A)-1,"",INDEX(Cables!$B:$B,ROWS($B$31:B57)+1))</f>
        <v>Times Microwave LMR-300 (Amphenol)</v>
      </c>
      <c r="C57" s="12">
        <f>IF(B57="","",EXP(FORECAST(LN($C$6),INDEX(Attenuation!$K:$K,(INDEX(Cables!$AO:$AO,ROWS($B$31:B57)+1)-1+MIN(MAX(IFERROR(MATCH(LN($C$6),INDEX(Attenuation!$J:$J,INDEX(Cables!$AO:$AO,ROWS($B$31:B57)+1)):INDEX(Attenuation!$J:$J,INDEX(Cables!$AO:$AO,ROWS($B$31:B57)+1)+INDEX(Cables!$AP:$AP,ROWS($B$31:B57)+1)-1),1),1),1),INDEX(Cables!$AP:$AP,ROWS($B$31:B57)+1)-1))):INDEX(Attenuation!$K:$K,(INDEX(Cables!$AO:$AO,ROWS($B$31:B57)+1)-1+MIN(MAX(IFERROR(MATCH(LN($C$6),INDEX(Attenuation!$J:$J,INDEX(Cables!$AO:$AO,ROWS($B$31:B57)+1)):INDEX(Attenuation!$J:$J,INDEX(Cables!$AO:$AO,ROWS($B$31:B57)+1)+INDEX(Cables!$AP:$AP,ROWS($B$31:B57)+1)-1),1),1),1),INDEX(Cables!$AP:$AP,ROWS($B$31:B57)+1)-1))+1),INDEX(Attenuation!$J:$J,(INDEX(Cables!$AO:$AO,ROWS($B$31:B57)+1)-1+MIN(MAX(IFERROR(MATCH(LN($C$6),INDEX(Attenuation!$J:$J,INDEX(Cables!$AO:$AO,ROWS($B$31:B57)+1)):INDEX(Attenuation!$J:$J,INDEX(Cables!$AO:$AO,ROWS($B$31:B57)+1)+INDEX(Cables!$AP:$AP,ROWS($B$31:B57)+1)-1),1),1),1),INDEX(Cables!$AP:$AP,ROWS($B$31:B57)+1)-1))):INDEX(Attenuation!$J:$J,(INDEX(Cables!$AO:$AO,ROWS($B$31:B57)+1)-1+MIN(MAX(IFERROR(MATCH(LN($C$6),INDEX(Attenuation!$J:$J,INDEX(Cables!$AO:$AO,ROWS($B$31:B57)+1)):INDEX(Attenuation!$J:$J,INDEX(Cables!$AO:$AO,ROWS($B$31:B57)+1)+INDEX(Cables!$AP:$AP,ROWS($B$31:B57)+1)-1),1),1),1),INDEX(Cables!$AP:$AP,ROWS($B$31:B57)+1)-1))+1))))</f>
        <v>7.7441332527519391</v>
      </c>
      <c r="D57" s="12">
        <f t="shared" si="0"/>
        <v>1.6401396307821137</v>
      </c>
      <c r="E57" s="24">
        <f t="shared" si="1"/>
        <v>68.546618755451405</v>
      </c>
      <c r="F57" s="25">
        <f t="shared" si="2"/>
        <v>0.68546618755451405</v>
      </c>
      <c r="G57" s="26">
        <f>IF(B57="","",IF(INDEX(Cables!$AX:$AX,ROWS($B$31:B57)+1)&lt;2,"-",EXP(FORECAST(LN($C$6),INDEX(Power!$K:$K,(INDEX(Cables!$AW:$AW,ROWS($B$31:B57)+1)-1+MIN(MAX(IFERROR(MATCH(LN($C$6),INDEX(Power!$J:$J,INDEX(Cables!$AW:$AW,ROWS($B$31:B57)+1)):INDEX(Power!$J:$J,INDEX(Cables!$AW:$AW,ROWS($B$31:B57)+1)+INDEX(Cables!$AX:$AX,ROWS($B$31:B57)+1)-1),1),1),1),INDEX(Cables!$AX:$AX,ROWS($B$31:B57)+1)-1))):INDEX(Power!$K:$K,(INDEX(Cables!$AW:$AW,ROWS($B$31:B57)+1)-1+MIN(MAX(IFERROR(MATCH(LN($C$6),INDEX(Power!$J:$J,INDEX(Cables!$AW:$AW,ROWS($B$31:B57)+1)):INDEX(Power!$J:$J,INDEX(Cables!$AW:$AW,ROWS($B$31:B57)+1)+INDEX(Cables!$AX:$AX,ROWS($B$31:B57)+1)-1),1),1),1),INDEX(Cables!$AX:$AX,ROWS($B$31:B57)+1)-1))+1),INDEX(Power!$J:$J,(INDEX(Cables!$AW:$AW,ROWS($B$31:B57)+1)-1+MIN(MAX(IFERROR(MATCH(LN($C$6),INDEX(Power!$J:$J,INDEX(Cables!$AW:$AW,ROWS($B$31:B57)+1)):INDEX(Power!$J:$J,INDEX(Cables!$AW:$AW,ROWS($B$31:B57)+1)+INDEX(Cables!$AX:$AX,ROWS($B$31:B57)+1)-1),1),1),1),INDEX(Cables!$AX:$AX,ROWS($B$31:B57)+1)-1))):INDEX(Power!$J:$J,(INDEX(Cables!$AW:$AW,ROWS($B$31:B57)+1)-1+MIN(MAX(IFERROR(MATCH(LN($C$6),INDEX(Power!$J:$J,INDEX(Cables!$AW:$AW,ROWS($B$31:B57)+1)):INDEX(Power!$J:$J,INDEX(Cables!$AW:$AW,ROWS($B$31:B57)+1)+INDEX(Cables!$AX:$AX,ROWS($B$31:B57)+1)-1),1),1),1),INDEX(Cables!$AX:$AX,ROWS($B$31:B57)+1)-1))+1)))))</f>
        <v>945.70211258018287</v>
      </c>
      <c r="H57" s="11" t="str">
        <f>IF(B57="","",MID(IF(OR($C$6&lt;INDEX(Cables!$AQ:$AQ,ROWS($B$31:B57)+1),$C$6&gt;INDEX(Cables!$AR:$AR,ROWS($B$31:B57)+1))," / ekstrapolasyon","")&amp;IF(AND(ISNUMBER(G57),$C$8&gt;G57)," / güç sınırı aşılıyor","")&amp;IF(INDEX(Cables!$F:$F,ROWS($B$31:B57)+1)&lt;&gt;50," / Z0="&amp;INDEX(Cables!$F:$F,ROWS($B$31:B57)+1)&amp;" Ω",""),4,200))</f>
        <v/>
      </c>
      <c r="I57" s="1"/>
    </row>
    <row r="58" spans="1:9" x14ac:dyDescent="0.25">
      <c r="A58" s="1"/>
      <c r="B58" s="11" t="str">
        <f>IF(ROWS($B$31:B58)&gt;COUNTA(Cables!$A:$A)-1,"",INDEX(Cables!$B:$B,ROWS($B$31:B58)+1))</f>
        <v>CommScope FSJ1-50A (1/4" Superflex)</v>
      </c>
      <c r="C58" s="12">
        <f>IF(B58="","",EXP(FORECAST(LN($C$6),INDEX(Attenuation!$K:$K,(INDEX(Cables!$AO:$AO,ROWS($B$31:B58)+1)-1+MIN(MAX(IFERROR(MATCH(LN($C$6),INDEX(Attenuation!$J:$J,INDEX(Cables!$AO:$AO,ROWS($B$31:B58)+1)):INDEX(Attenuation!$J:$J,INDEX(Cables!$AO:$AO,ROWS($B$31:B58)+1)+INDEX(Cables!$AP:$AP,ROWS($B$31:B58)+1)-1),1),1),1),INDEX(Cables!$AP:$AP,ROWS($B$31:B58)+1)-1))):INDEX(Attenuation!$K:$K,(INDEX(Cables!$AO:$AO,ROWS($B$31:B58)+1)-1+MIN(MAX(IFERROR(MATCH(LN($C$6),INDEX(Attenuation!$J:$J,INDEX(Cables!$AO:$AO,ROWS($B$31:B58)+1)):INDEX(Attenuation!$J:$J,INDEX(Cables!$AO:$AO,ROWS($B$31:B58)+1)+INDEX(Cables!$AP:$AP,ROWS($B$31:B58)+1)-1),1),1),1),INDEX(Cables!$AP:$AP,ROWS($B$31:B58)+1)-1))+1),INDEX(Attenuation!$J:$J,(INDEX(Cables!$AO:$AO,ROWS($B$31:B58)+1)-1+MIN(MAX(IFERROR(MATCH(LN($C$6),INDEX(Attenuation!$J:$J,INDEX(Cables!$AO:$AO,ROWS($B$31:B58)+1)):INDEX(Attenuation!$J:$J,INDEX(Cables!$AO:$AO,ROWS($B$31:B58)+1)+INDEX(Cables!$AP:$AP,ROWS($B$31:B58)+1)-1),1),1),1),INDEX(Cables!$AP:$AP,ROWS($B$31:B58)+1)-1))):INDEX(Attenuation!$J:$J,(INDEX(Cables!$AO:$AO,ROWS($B$31:B58)+1)-1+MIN(MAX(IFERROR(MATCH(LN($C$6),INDEX(Attenuation!$J:$J,INDEX(Cables!$AO:$AO,ROWS($B$31:B58)+1)):INDEX(Attenuation!$J:$J,INDEX(Cables!$AO:$AO,ROWS($B$31:B58)+1)+INDEX(Cables!$AP:$AP,ROWS($B$31:B58)+1)-1),1),1),1),INDEX(Cables!$AP:$AP,ROWS($B$31:B58)+1)-1))+1))))</f>
        <v>7.124928135557675</v>
      </c>
      <c r="D58" s="12">
        <f t="shared" si="0"/>
        <v>1.5111996128829042</v>
      </c>
      <c r="E58" s="24">
        <f t="shared" si="1"/>
        <v>70.612248141228619</v>
      </c>
      <c r="F58" s="25">
        <f t="shared" si="2"/>
        <v>0.70612248141228617</v>
      </c>
      <c r="G58" s="26">
        <f>IF(B58="","",IF(INDEX(Cables!$AX:$AX,ROWS($B$31:B58)+1)&lt;2,"-",EXP(FORECAST(LN($C$6),INDEX(Power!$K:$K,(INDEX(Cables!$AW:$AW,ROWS($B$31:B58)+1)-1+MIN(MAX(IFERROR(MATCH(LN($C$6),INDEX(Power!$J:$J,INDEX(Cables!$AW:$AW,ROWS($B$31:B58)+1)):INDEX(Power!$J:$J,INDEX(Cables!$AW:$AW,ROWS($B$31:B58)+1)+INDEX(Cables!$AX:$AX,ROWS($B$31:B58)+1)-1),1),1),1),INDEX(Cables!$AX:$AX,ROWS($B$31:B58)+1)-1))):INDEX(Power!$K:$K,(INDEX(Cables!$AW:$AW,ROWS($B$31:B58)+1)-1+MIN(MAX(IFERROR(MATCH(LN($C$6),INDEX(Power!$J:$J,INDEX(Cables!$AW:$AW,ROWS($B$31:B58)+1)):INDEX(Power!$J:$J,INDEX(Cables!$AW:$AW,ROWS($B$31:B58)+1)+INDEX(Cables!$AX:$AX,ROWS($B$31:B58)+1)-1),1),1),1),INDEX(Cables!$AX:$AX,ROWS($B$31:B58)+1)-1))+1),INDEX(Power!$J:$J,(INDEX(Cables!$AW:$AW,ROWS($B$31:B58)+1)-1+MIN(MAX(IFERROR(MATCH(LN($C$6),INDEX(Power!$J:$J,INDEX(Cables!$AW:$AW,ROWS($B$31:B58)+1)):INDEX(Power!$J:$J,INDEX(Cables!$AW:$AW,ROWS($B$31:B58)+1)+INDEX(Cables!$AX:$AX,ROWS($B$31:B58)+1)-1),1),1),1),INDEX(Cables!$AX:$AX,ROWS($B$31:B58)+1)-1))):INDEX(Power!$J:$J,(INDEX(Cables!$AW:$AW,ROWS($B$31:B58)+1)-1+MIN(MAX(IFERROR(MATCH(LN($C$6),INDEX(Power!$J:$J,INDEX(Cables!$AW:$AW,ROWS($B$31:B58)+1)):INDEX(Power!$J:$J,INDEX(Cables!$AW:$AW,ROWS($B$31:B58)+1)+INDEX(Cables!$AX:$AX,ROWS($B$31:B58)+1)-1),1),1),1),INDEX(Cables!$AX:$AX,ROWS($B$31:B58)+1)-1))+1)))))</f>
        <v>1027.2398048578759</v>
      </c>
      <c r="H58" s="11" t="str">
        <f>IF(B58="","",MID(IF(OR($C$6&lt;INDEX(Cables!$AQ:$AQ,ROWS($B$31:B58)+1),$C$6&gt;INDEX(Cables!$AR:$AR,ROWS($B$31:B58)+1))," / ekstrapolasyon","")&amp;IF(AND(ISNUMBER(G58),$C$8&gt;G58)," / güç sınırı aşılıyor","")&amp;IF(INDEX(Cables!$F:$F,ROWS($B$31:B58)+1)&lt;&gt;50," / Z0="&amp;INDEX(Cables!$F:$F,ROWS($B$31:B58)+1)&amp;" Ω",""),4,200))</f>
        <v/>
      </c>
      <c r="I58" s="1"/>
    </row>
    <row r="59" spans="1:9" x14ac:dyDescent="0.25">
      <c r="A59" s="1"/>
      <c r="B59" s="11" t="str">
        <f>IF(ROWS($B$31:B59)&gt;COUNTA(Cables!$A:$A)-1,"",INDEX(Cables!$B:$B,ROWS($B$31:B59)+1))</f>
        <v>RFS CELLFLEX SCF14-50J (1/4")</v>
      </c>
      <c r="C59" s="12">
        <f>IF(B59="","",EXP(FORECAST(LN($C$6),INDEX(Attenuation!$K:$K,(INDEX(Cables!$AO:$AO,ROWS($B$31:B59)+1)-1+MIN(MAX(IFERROR(MATCH(LN($C$6),INDEX(Attenuation!$J:$J,INDEX(Cables!$AO:$AO,ROWS($B$31:B59)+1)):INDEX(Attenuation!$J:$J,INDEX(Cables!$AO:$AO,ROWS($B$31:B59)+1)+INDEX(Cables!$AP:$AP,ROWS($B$31:B59)+1)-1),1),1),1),INDEX(Cables!$AP:$AP,ROWS($B$31:B59)+1)-1))):INDEX(Attenuation!$K:$K,(INDEX(Cables!$AO:$AO,ROWS($B$31:B59)+1)-1+MIN(MAX(IFERROR(MATCH(LN($C$6),INDEX(Attenuation!$J:$J,INDEX(Cables!$AO:$AO,ROWS($B$31:B59)+1)):INDEX(Attenuation!$J:$J,INDEX(Cables!$AO:$AO,ROWS($B$31:B59)+1)+INDEX(Cables!$AP:$AP,ROWS($B$31:B59)+1)-1),1),1),1),INDEX(Cables!$AP:$AP,ROWS($B$31:B59)+1)-1))+1),INDEX(Attenuation!$J:$J,(INDEX(Cables!$AO:$AO,ROWS($B$31:B59)+1)-1+MIN(MAX(IFERROR(MATCH(LN($C$6),INDEX(Attenuation!$J:$J,INDEX(Cables!$AO:$AO,ROWS($B$31:B59)+1)):INDEX(Attenuation!$J:$J,INDEX(Cables!$AO:$AO,ROWS($B$31:B59)+1)+INDEX(Cables!$AP:$AP,ROWS($B$31:B59)+1)-1),1),1),1),INDEX(Cables!$AP:$AP,ROWS($B$31:B59)+1)-1))):INDEX(Attenuation!$J:$J,(INDEX(Cables!$AO:$AO,ROWS($B$31:B59)+1)-1+MIN(MAX(IFERROR(MATCH(LN($C$6),INDEX(Attenuation!$J:$J,INDEX(Cables!$AO:$AO,ROWS($B$31:B59)+1)):INDEX(Attenuation!$J:$J,INDEX(Cables!$AO:$AO,ROWS($B$31:B59)+1)+INDEX(Cables!$AP:$AP,ROWS($B$31:B59)+1)-1),1),1),1),INDEX(Cables!$AP:$AP,ROWS($B$31:B59)+1)-1))+1))))</f>
        <v>7.0533952880953361</v>
      </c>
      <c r="D59" s="12">
        <f t="shared" si="0"/>
        <v>1.4962846316284693</v>
      </c>
      <c r="E59" s="24">
        <f t="shared" si="1"/>
        <v>70.855168772905301</v>
      </c>
      <c r="F59" s="25">
        <f t="shared" si="2"/>
        <v>0.70855168772905297</v>
      </c>
      <c r="G59" s="26">
        <f>IF(B59="","",IF(INDEX(Cables!$AX:$AX,ROWS($B$31:B59)+1)&lt;2,"-",EXP(FORECAST(LN($C$6),INDEX(Power!$K:$K,(INDEX(Cables!$AW:$AW,ROWS($B$31:B59)+1)-1+MIN(MAX(IFERROR(MATCH(LN($C$6),INDEX(Power!$J:$J,INDEX(Cables!$AW:$AW,ROWS($B$31:B59)+1)):INDEX(Power!$J:$J,INDEX(Cables!$AW:$AW,ROWS($B$31:B59)+1)+INDEX(Cables!$AX:$AX,ROWS($B$31:B59)+1)-1),1),1),1),INDEX(Cables!$AX:$AX,ROWS($B$31:B59)+1)-1))):INDEX(Power!$K:$K,(INDEX(Cables!$AW:$AW,ROWS($B$31:B59)+1)-1+MIN(MAX(IFERROR(MATCH(LN($C$6),INDEX(Power!$J:$J,INDEX(Cables!$AW:$AW,ROWS($B$31:B59)+1)):INDEX(Power!$J:$J,INDEX(Cables!$AW:$AW,ROWS($B$31:B59)+1)+INDEX(Cables!$AX:$AX,ROWS($B$31:B59)+1)-1),1),1),1),INDEX(Cables!$AX:$AX,ROWS($B$31:B59)+1)-1))+1),INDEX(Power!$J:$J,(INDEX(Cables!$AW:$AW,ROWS($B$31:B59)+1)-1+MIN(MAX(IFERROR(MATCH(LN($C$6),INDEX(Power!$J:$J,INDEX(Cables!$AW:$AW,ROWS($B$31:B59)+1)):INDEX(Power!$J:$J,INDEX(Cables!$AW:$AW,ROWS($B$31:B59)+1)+INDEX(Cables!$AX:$AX,ROWS($B$31:B59)+1)-1),1),1),1),INDEX(Cables!$AX:$AX,ROWS($B$31:B59)+1)-1))):INDEX(Power!$J:$J,(INDEX(Cables!$AW:$AW,ROWS($B$31:B59)+1)-1+MIN(MAX(IFERROR(MATCH(LN($C$6),INDEX(Power!$J:$J,INDEX(Cables!$AW:$AW,ROWS($B$31:B59)+1)):INDEX(Power!$J:$J,INDEX(Cables!$AW:$AW,ROWS($B$31:B59)+1)+INDEX(Cables!$AX:$AX,ROWS($B$31:B59)+1)-1),1),1),1),INDEX(Cables!$AX:$AX,ROWS($B$31:B59)+1)-1))+1)))))</f>
        <v>936.53399452994631</v>
      </c>
      <c r="H59" s="11" t="str">
        <f>IF(B59="","",MID(IF(OR($C$6&lt;INDEX(Cables!$AQ:$AQ,ROWS($B$31:B59)+1),$C$6&gt;INDEX(Cables!$AR:$AR,ROWS($B$31:B59)+1))," / ekstrapolasyon","")&amp;IF(AND(ISNUMBER(G59),$C$8&gt;G59)," / güç sınırı aşılıyor","")&amp;IF(INDEX(Cables!$F:$F,ROWS($B$31:B59)+1)&lt;&gt;50," / Z0="&amp;INDEX(Cables!$F:$F,ROWS($B$31:B59)+1)&amp;" Ω",""),4,200))</f>
        <v/>
      </c>
      <c r="I59" s="1"/>
    </row>
    <row r="60" spans="1:9" x14ac:dyDescent="0.25">
      <c r="A60" s="1"/>
      <c r="B60" s="11" t="str">
        <f>IF(ROWS($B$31:B60)&gt;COUNTA(Cables!$A:$A)-1,"",INDEX(Cables!$B:$B,ROWS($B$31:B60)+1))</f>
        <v>Messi &amp; Paoloni Ultraflex 7</v>
      </c>
      <c r="C60" s="12">
        <f>IF(B60="","",EXP(FORECAST(LN($C$6),INDEX(Attenuation!$K:$K,(INDEX(Cables!$AO:$AO,ROWS($B$31:B60)+1)-1+MIN(MAX(IFERROR(MATCH(LN($C$6),INDEX(Attenuation!$J:$J,INDEX(Cables!$AO:$AO,ROWS($B$31:B60)+1)):INDEX(Attenuation!$J:$J,INDEX(Cables!$AO:$AO,ROWS($B$31:B60)+1)+INDEX(Cables!$AP:$AP,ROWS($B$31:B60)+1)-1),1),1),1),INDEX(Cables!$AP:$AP,ROWS($B$31:B60)+1)-1))):INDEX(Attenuation!$K:$K,(INDEX(Cables!$AO:$AO,ROWS($B$31:B60)+1)-1+MIN(MAX(IFERROR(MATCH(LN($C$6),INDEX(Attenuation!$J:$J,INDEX(Cables!$AO:$AO,ROWS($B$31:B60)+1)):INDEX(Attenuation!$J:$J,INDEX(Cables!$AO:$AO,ROWS($B$31:B60)+1)+INDEX(Cables!$AP:$AP,ROWS($B$31:B60)+1)-1),1),1),1),INDEX(Cables!$AP:$AP,ROWS($B$31:B60)+1)-1))+1),INDEX(Attenuation!$J:$J,(INDEX(Cables!$AO:$AO,ROWS($B$31:B60)+1)-1+MIN(MAX(IFERROR(MATCH(LN($C$6),INDEX(Attenuation!$J:$J,INDEX(Cables!$AO:$AO,ROWS($B$31:B60)+1)):INDEX(Attenuation!$J:$J,INDEX(Cables!$AO:$AO,ROWS($B$31:B60)+1)+INDEX(Cables!$AP:$AP,ROWS($B$31:B60)+1)-1),1),1),1),INDEX(Cables!$AP:$AP,ROWS($B$31:B60)+1)-1))):INDEX(Attenuation!$J:$J,(INDEX(Cables!$AO:$AO,ROWS($B$31:B60)+1)-1+MIN(MAX(IFERROR(MATCH(LN($C$6),INDEX(Attenuation!$J:$J,INDEX(Cables!$AO:$AO,ROWS($B$31:B60)+1)):INDEX(Attenuation!$J:$J,INDEX(Cables!$AO:$AO,ROWS($B$31:B60)+1)+INDEX(Cables!$AP:$AP,ROWS($B$31:B60)+1)-1),1),1),1),INDEX(Cables!$AP:$AP,ROWS($B$31:B60)+1)-1))+1))))</f>
        <v>6.9251365078828995</v>
      </c>
      <c r="D60" s="12">
        <f t="shared" si="0"/>
        <v>1.4695316856207876</v>
      </c>
      <c r="E60" s="24">
        <f t="shared" si="1"/>
        <v>71.292990361636157</v>
      </c>
      <c r="F60" s="25">
        <f t="shared" si="2"/>
        <v>0.71292990361636155</v>
      </c>
      <c r="G60" s="26">
        <f>IF(B60="","",IF(INDEX(Cables!$AX:$AX,ROWS($B$31:B60)+1)&lt;2,"-",EXP(FORECAST(LN($C$6),INDEX(Power!$K:$K,(INDEX(Cables!$AW:$AW,ROWS($B$31:B60)+1)-1+MIN(MAX(IFERROR(MATCH(LN($C$6),INDEX(Power!$J:$J,INDEX(Cables!$AW:$AW,ROWS($B$31:B60)+1)):INDEX(Power!$J:$J,INDEX(Cables!$AW:$AW,ROWS($B$31:B60)+1)+INDEX(Cables!$AX:$AX,ROWS($B$31:B60)+1)-1),1),1),1),INDEX(Cables!$AX:$AX,ROWS($B$31:B60)+1)-1))):INDEX(Power!$K:$K,(INDEX(Cables!$AW:$AW,ROWS($B$31:B60)+1)-1+MIN(MAX(IFERROR(MATCH(LN($C$6),INDEX(Power!$J:$J,INDEX(Cables!$AW:$AW,ROWS($B$31:B60)+1)):INDEX(Power!$J:$J,INDEX(Cables!$AW:$AW,ROWS($B$31:B60)+1)+INDEX(Cables!$AX:$AX,ROWS($B$31:B60)+1)-1),1),1),1),INDEX(Cables!$AX:$AX,ROWS($B$31:B60)+1)-1))+1),INDEX(Power!$J:$J,(INDEX(Cables!$AW:$AW,ROWS($B$31:B60)+1)-1+MIN(MAX(IFERROR(MATCH(LN($C$6),INDEX(Power!$J:$J,INDEX(Cables!$AW:$AW,ROWS($B$31:B60)+1)):INDEX(Power!$J:$J,INDEX(Cables!$AW:$AW,ROWS($B$31:B60)+1)+INDEX(Cables!$AX:$AX,ROWS($B$31:B60)+1)-1),1),1),1),INDEX(Cables!$AX:$AX,ROWS($B$31:B60)+1)-1))):INDEX(Power!$J:$J,(INDEX(Cables!$AW:$AW,ROWS($B$31:B60)+1)-1+MIN(MAX(IFERROR(MATCH(LN($C$6),INDEX(Power!$J:$J,INDEX(Cables!$AW:$AW,ROWS($B$31:B60)+1)):INDEX(Power!$J:$J,INDEX(Cables!$AW:$AW,ROWS($B$31:B60)+1)+INDEX(Cables!$AX:$AX,ROWS($B$31:B60)+1)-1),1),1),1),INDEX(Cables!$AX:$AX,ROWS($B$31:B60)+1)-1))+1)))))</f>
        <v>626.73482392654205</v>
      </c>
      <c r="H60" s="11" t="str">
        <f>IF(B60="","",MID(IF(OR($C$6&lt;INDEX(Cables!$AQ:$AQ,ROWS($B$31:B60)+1),$C$6&gt;INDEX(Cables!$AR:$AR,ROWS($B$31:B60)+1))," / ekstrapolasyon","")&amp;IF(AND(ISNUMBER(G60),$C$8&gt;G60)," / güç sınırı aşılıyor","")&amp;IF(INDEX(Cables!$F:$F,ROWS($B$31:B60)+1)&lt;&gt;50," / Z0="&amp;INDEX(Cables!$F:$F,ROWS($B$31:B60)+1)&amp;" Ω",""),4,200))</f>
        <v/>
      </c>
      <c r="I60" s="1"/>
    </row>
    <row r="61" spans="1:9" x14ac:dyDescent="0.25">
      <c r="A61" s="1"/>
      <c r="B61" s="11" t="str">
        <f>IF(ROWS($B$31:B61)&gt;COUNTA(Cables!$A:$A)-1,"",INDEX(Cables!$B:$B,ROWS($B$31:B61)+1))</f>
        <v>Ericsson TZC 500 32 (RG-8 tipi)</v>
      </c>
      <c r="C61" s="12">
        <f>IF(B61="","",EXP(FORECAST(LN($C$6),INDEX(Attenuation!$K:$K,(INDEX(Cables!$AO:$AO,ROWS($B$31:B61)+1)-1+MIN(MAX(IFERROR(MATCH(LN($C$6),INDEX(Attenuation!$J:$J,INDEX(Cables!$AO:$AO,ROWS($B$31:B61)+1)):INDEX(Attenuation!$J:$J,INDEX(Cables!$AO:$AO,ROWS($B$31:B61)+1)+INDEX(Cables!$AP:$AP,ROWS($B$31:B61)+1)-1),1),1),1),INDEX(Cables!$AP:$AP,ROWS($B$31:B61)+1)-1))):INDEX(Attenuation!$K:$K,(INDEX(Cables!$AO:$AO,ROWS($B$31:B61)+1)-1+MIN(MAX(IFERROR(MATCH(LN($C$6),INDEX(Attenuation!$J:$J,INDEX(Cables!$AO:$AO,ROWS($B$31:B61)+1)):INDEX(Attenuation!$J:$J,INDEX(Cables!$AO:$AO,ROWS($B$31:B61)+1)+INDEX(Cables!$AP:$AP,ROWS($B$31:B61)+1)-1),1),1),1),INDEX(Cables!$AP:$AP,ROWS($B$31:B61)+1)-1))+1),INDEX(Attenuation!$J:$J,(INDEX(Cables!$AO:$AO,ROWS($B$31:B61)+1)-1+MIN(MAX(IFERROR(MATCH(LN($C$6),INDEX(Attenuation!$J:$J,INDEX(Cables!$AO:$AO,ROWS($B$31:B61)+1)):INDEX(Attenuation!$J:$J,INDEX(Cables!$AO:$AO,ROWS($B$31:B61)+1)+INDEX(Cables!$AP:$AP,ROWS($B$31:B61)+1)-1),1),1),1),INDEX(Cables!$AP:$AP,ROWS($B$31:B61)+1)-1))):INDEX(Attenuation!$J:$J,(INDEX(Cables!$AO:$AO,ROWS($B$31:B61)+1)-1+MIN(MAX(IFERROR(MATCH(LN($C$6),INDEX(Attenuation!$J:$J,INDEX(Cables!$AO:$AO,ROWS($B$31:B61)+1)):INDEX(Attenuation!$J:$J,INDEX(Cables!$AO:$AO,ROWS($B$31:B61)+1)+INDEX(Cables!$AP:$AP,ROWS($B$31:B61)+1)-1),1),1),1),INDEX(Cables!$AP:$AP,ROWS($B$31:B61)+1)-1))+1))))</f>
        <v>6.0938960680332377</v>
      </c>
      <c r="D61" s="12">
        <f t="shared" si="0"/>
        <v>1.2958152633879136</v>
      </c>
      <c r="E61" s="24">
        <f t="shared" si="1"/>
        <v>74.202489076269046</v>
      </c>
      <c r="F61" s="25">
        <f t="shared" si="2"/>
        <v>0.74202489076269051</v>
      </c>
      <c r="G61" s="26" t="str">
        <f>IF(B61="","",IF(INDEX(Cables!$AX:$AX,ROWS($B$31:B61)+1)&lt;2,"-",EXP(FORECAST(LN($C$6),INDEX(Power!$K:$K,(INDEX(Cables!$AW:$AW,ROWS($B$31:B61)+1)-1+MIN(MAX(IFERROR(MATCH(LN($C$6),INDEX(Power!$J:$J,INDEX(Cables!$AW:$AW,ROWS($B$31:B61)+1)):INDEX(Power!$J:$J,INDEX(Cables!$AW:$AW,ROWS($B$31:B61)+1)+INDEX(Cables!$AX:$AX,ROWS($B$31:B61)+1)-1),1),1),1),INDEX(Cables!$AX:$AX,ROWS($B$31:B61)+1)-1))):INDEX(Power!$K:$K,(INDEX(Cables!$AW:$AW,ROWS($B$31:B61)+1)-1+MIN(MAX(IFERROR(MATCH(LN($C$6),INDEX(Power!$J:$J,INDEX(Cables!$AW:$AW,ROWS($B$31:B61)+1)):INDEX(Power!$J:$J,INDEX(Cables!$AW:$AW,ROWS($B$31:B61)+1)+INDEX(Cables!$AX:$AX,ROWS($B$31:B61)+1)-1),1),1),1),INDEX(Cables!$AX:$AX,ROWS($B$31:B61)+1)-1))+1),INDEX(Power!$J:$J,(INDEX(Cables!$AW:$AW,ROWS($B$31:B61)+1)-1+MIN(MAX(IFERROR(MATCH(LN($C$6),INDEX(Power!$J:$J,INDEX(Cables!$AW:$AW,ROWS($B$31:B61)+1)):INDEX(Power!$J:$J,INDEX(Cables!$AW:$AW,ROWS($B$31:B61)+1)+INDEX(Cables!$AX:$AX,ROWS($B$31:B61)+1)-1),1),1),1),INDEX(Cables!$AX:$AX,ROWS($B$31:B61)+1)-1))):INDEX(Power!$J:$J,(INDEX(Cables!$AW:$AW,ROWS($B$31:B61)+1)-1+MIN(MAX(IFERROR(MATCH(LN($C$6),INDEX(Power!$J:$J,INDEX(Cables!$AW:$AW,ROWS($B$31:B61)+1)):INDEX(Power!$J:$J,INDEX(Cables!$AW:$AW,ROWS($B$31:B61)+1)+INDEX(Cables!$AX:$AX,ROWS($B$31:B61)+1)-1),1),1),1),INDEX(Cables!$AX:$AX,ROWS($B$31:B61)+1)-1))+1)))))</f>
        <v>-</v>
      </c>
      <c r="H61" s="11" t="str">
        <f>IF(B61="","",MID(IF(OR($C$6&lt;INDEX(Cables!$AQ:$AQ,ROWS($B$31:B61)+1),$C$6&gt;INDEX(Cables!$AR:$AR,ROWS($B$31:B61)+1))," / ekstrapolasyon","")&amp;IF(AND(ISNUMBER(G61),$C$8&gt;G61)," / güç sınırı aşılıyor","")&amp;IF(INDEX(Cables!$F:$F,ROWS($B$31:B61)+1)&lt;&gt;50," / Z0="&amp;INDEX(Cables!$F:$F,ROWS($B$31:B61)+1)&amp;" Ω",""),4,200))</f>
        <v/>
      </c>
      <c r="I61" s="1"/>
    </row>
    <row r="62" spans="1:9" x14ac:dyDescent="0.25">
      <c r="A62" s="1"/>
      <c r="B62" s="11" t="str">
        <f>IF(ROWS($B$31:B62)&gt;COUNTA(Cables!$A:$A)-1,"",INDEX(Cables!$B:$B,ROWS($B$31:B62)+1))</f>
        <v>Davis RF BURY-FLEX</v>
      </c>
      <c r="C62" s="12">
        <f>IF(B62="","",EXP(FORECAST(LN($C$6),INDEX(Attenuation!$K:$K,(INDEX(Cables!$AO:$AO,ROWS($B$31:B62)+1)-1+MIN(MAX(IFERROR(MATCH(LN($C$6),INDEX(Attenuation!$J:$J,INDEX(Cables!$AO:$AO,ROWS($B$31:B62)+1)):INDEX(Attenuation!$J:$J,INDEX(Cables!$AO:$AO,ROWS($B$31:B62)+1)+INDEX(Cables!$AP:$AP,ROWS($B$31:B62)+1)-1),1),1),1),INDEX(Cables!$AP:$AP,ROWS($B$31:B62)+1)-1))):INDEX(Attenuation!$K:$K,(INDEX(Cables!$AO:$AO,ROWS($B$31:B62)+1)-1+MIN(MAX(IFERROR(MATCH(LN($C$6),INDEX(Attenuation!$J:$J,INDEX(Cables!$AO:$AO,ROWS($B$31:B62)+1)):INDEX(Attenuation!$J:$J,INDEX(Cables!$AO:$AO,ROWS($B$31:B62)+1)+INDEX(Cables!$AP:$AP,ROWS($B$31:B62)+1)-1),1),1),1),INDEX(Cables!$AP:$AP,ROWS($B$31:B62)+1)-1))+1),INDEX(Attenuation!$J:$J,(INDEX(Cables!$AO:$AO,ROWS($B$31:B62)+1)-1+MIN(MAX(IFERROR(MATCH(LN($C$6),INDEX(Attenuation!$J:$J,INDEX(Cables!$AO:$AO,ROWS($B$31:B62)+1)):INDEX(Attenuation!$J:$J,INDEX(Cables!$AO:$AO,ROWS($B$31:B62)+1)+INDEX(Cables!$AP:$AP,ROWS($B$31:B62)+1)-1),1),1),1),INDEX(Cables!$AP:$AP,ROWS($B$31:B62)+1)-1))):INDEX(Attenuation!$J:$J,(INDEX(Cables!$AO:$AO,ROWS($B$31:B62)+1)-1+MIN(MAX(IFERROR(MATCH(LN($C$6),INDEX(Attenuation!$J:$J,INDEX(Cables!$AO:$AO,ROWS($B$31:B62)+1)):INDEX(Attenuation!$J:$J,INDEX(Cables!$AO:$AO,ROWS($B$31:B62)+1)+INDEX(Cables!$AP:$AP,ROWS($B$31:B62)+1)-1),1),1),1),INDEX(Cables!$AP:$AP,ROWS($B$31:B62)+1)-1))+1))))</f>
        <v>5.7418265417601342</v>
      </c>
      <c r="D62" s="12">
        <f t="shared" si="0"/>
        <v>1.222057519301696</v>
      </c>
      <c r="E62" s="24">
        <f t="shared" si="1"/>
        <v>75.473457889621628</v>
      </c>
      <c r="F62" s="25">
        <f t="shared" si="2"/>
        <v>0.75473457889621631</v>
      </c>
      <c r="G62" s="26" t="str">
        <f>IF(B62="","",IF(INDEX(Cables!$AX:$AX,ROWS($B$31:B62)+1)&lt;2,"-",EXP(FORECAST(LN($C$6),INDEX(Power!$K:$K,(INDEX(Cables!$AW:$AW,ROWS($B$31:B62)+1)-1+MIN(MAX(IFERROR(MATCH(LN($C$6),INDEX(Power!$J:$J,INDEX(Cables!$AW:$AW,ROWS($B$31:B62)+1)):INDEX(Power!$J:$J,INDEX(Cables!$AW:$AW,ROWS($B$31:B62)+1)+INDEX(Cables!$AX:$AX,ROWS($B$31:B62)+1)-1),1),1),1),INDEX(Cables!$AX:$AX,ROWS($B$31:B62)+1)-1))):INDEX(Power!$K:$K,(INDEX(Cables!$AW:$AW,ROWS($B$31:B62)+1)-1+MIN(MAX(IFERROR(MATCH(LN($C$6),INDEX(Power!$J:$J,INDEX(Cables!$AW:$AW,ROWS($B$31:B62)+1)):INDEX(Power!$J:$J,INDEX(Cables!$AW:$AW,ROWS($B$31:B62)+1)+INDEX(Cables!$AX:$AX,ROWS($B$31:B62)+1)-1),1),1),1),INDEX(Cables!$AX:$AX,ROWS($B$31:B62)+1)-1))+1),INDEX(Power!$J:$J,(INDEX(Cables!$AW:$AW,ROWS($B$31:B62)+1)-1+MIN(MAX(IFERROR(MATCH(LN($C$6),INDEX(Power!$J:$J,INDEX(Cables!$AW:$AW,ROWS($B$31:B62)+1)):INDEX(Power!$J:$J,INDEX(Cables!$AW:$AW,ROWS($B$31:B62)+1)+INDEX(Cables!$AX:$AX,ROWS($B$31:B62)+1)-1),1),1),1),INDEX(Cables!$AX:$AX,ROWS($B$31:B62)+1)-1))):INDEX(Power!$J:$J,(INDEX(Cables!$AW:$AW,ROWS($B$31:B62)+1)-1+MIN(MAX(IFERROR(MATCH(LN($C$6),INDEX(Power!$J:$J,INDEX(Cables!$AW:$AW,ROWS($B$31:B62)+1)):INDEX(Power!$J:$J,INDEX(Cables!$AW:$AW,ROWS($B$31:B62)+1)+INDEX(Cables!$AX:$AX,ROWS($B$31:B62)+1)-1),1),1),1),INDEX(Cables!$AX:$AX,ROWS($B$31:B62)+1)-1))+1)))))</f>
        <v>-</v>
      </c>
      <c r="H62" s="11" t="str">
        <f>IF(B62="","",MID(IF(OR($C$6&lt;INDEX(Cables!$AQ:$AQ,ROWS($B$31:B62)+1),$C$6&gt;INDEX(Cables!$AR:$AR,ROWS($B$31:B62)+1))," / ekstrapolasyon","")&amp;IF(AND(ISNUMBER(G62),$C$8&gt;G62)," / güç sınırı aşılıyor","")&amp;IF(INDEX(Cables!$F:$F,ROWS($B$31:B62)+1)&lt;&gt;50," / Z0="&amp;INDEX(Cables!$F:$F,ROWS($B$31:B62)+1)&amp;" Ω",""),4,200))</f>
        <v/>
      </c>
      <c r="I62" s="1"/>
    </row>
    <row r="63" spans="1:9" x14ac:dyDescent="0.25">
      <c r="A63" s="1"/>
      <c r="B63" s="11" t="str">
        <f>IF(ROWS($B$31:B63)&gt;COUNTA(Cables!$A:$A)-1,"",INDEX(Cables!$B:$B,ROWS($B$31:B63)+1))</f>
        <v>RFS CELLFLEX SCF38-50J (3/8")</v>
      </c>
      <c r="C63" s="12">
        <f>IF(B63="","",EXP(FORECAST(LN($C$6),INDEX(Attenuation!$K:$K,(INDEX(Cables!$AO:$AO,ROWS($B$31:B63)+1)-1+MIN(MAX(IFERROR(MATCH(LN($C$6),INDEX(Attenuation!$J:$J,INDEX(Cables!$AO:$AO,ROWS($B$31:B63)+1)):INDEX(Attenuation!$J:$J,INDEX(Cables!$AO:$AO,ROWS($B$31:B63)+1)+INDEX(Cables!$AP:$AP,ROWS($B$31:B63)+1)-1),1),1),1),INDEX(Cables!$AP:$AP,ROWS($B$31:B63)+1)-1))):INDEX(Attenuation!$K:$K,(INDEX(Cables!$AO:$AO,ROWS($B$31:B63)+1)-1+MIN(MAX(IFERROR(MATCH(LN($C$6),INDEX(Attenuation!$J:$J,INDEX(Cables!$AO:$AO,ROWS($B$31:B63)+1)):INDEX(Attenuation!$J:$J,INDEX(Cables!$AO:$AO,ROWS($B$31:B63)+1)+INDEX(Cables!$AP:$AP,ROWS($B$31:B63)+1)-1),1),1),1),INDEX(Cables!$AP:$AP,ROWS($B$31:B63)+1)-1))+1),INDEX(Attenuation!$J:$J,(INDEX(Cables!$AO:$AO,ROWS($B$31:B63)+1)-1+MIN(MAX(IFERROR(MATCH(LN($C$6),INDEX(Attenuation!$J:$J,INDEX(Cables!$AO:$AO,ROWS($B$31:B63)+1)):INDEX(Attenuation!$J:$J,INDEX(Cables!$AO:$AO,ROWS($B$31:B63)+1)+INDEX(Cables!$AP:$AP,ROWS($B$31:B63)+1)-1),1),1),1),INDEX(Cables!$AP:$AP,ROWS($B$31:B63)+1)-1))):INDEX(Attenuation!$J:$J,(INDEX(Cables!$AO:$AO,ROWS($B$31:B63)+1)-1+MIN(MAX(IFERROR(MATCH(LN($C$6),INDEX(Attenuation!$J:$J,INDEX(Cables!$AO:$AO,ROWS($B$31:B63)+1)):INDEX(Attenuation!$J:$J,INDEX(Cables!$AO:$AO,ROWS($B$31:B63)+1)+INDEX(Cables!$AP:$AP,ROWS($B$31:B63)+1)-1),1),1),1),INDEX(Cables!$AP:$AP,ROWS($B$31:B63)+1)-1))+1))))</f>
        <v>5.1089822192688068</v>
      </c>
      <c r="D63" s="12">
        <f t="shared" ref="D63:D94" si="3">IF(B63="","",10*LOG10((10^((C63*$C$7/100)/10)^2-$G$13^2)/(10^((C63*$C$7/100)/10)*(1-$G$13^2))))</f>
        <v>1.0891916136500559</v>
      </c>
      <c r="E63" s="24">
        <f t="shared" ref="E63:E94" si="4">IF(B63="","",$C$8*10^(-D63/10))</f>
        <v>77.818138655891389</v>
      </c>
      <c r="F63" s="25">
        <f t="shared" ref="F63:F94" si="5">IF(B63="","",E63/$C$8)</f>
        <v>0.77818138655891389</v>
      </c>
      <c r="G63" s="26">
        <f>IF(B63="","",IF(INDEX(Cables!$AX:$AX,ROWS($B$31:B63)+1)&lt;2,"-",EXP(FORECAST(LN($C$6),INDEX(Power!$K:$K,(INDEX(Cables!$AW:$AW,ROWS($B$31:B63)+1)-1+MIN(MAX(IFERROR(MATCH(LN($C$6),INDEX(Power!$J:$J,INDEX(Cables!$AW:$AW,ROWS($B$31:B63)+1)):INDEX(Power!$J:$J,INDEX(Cables!$AW:$AW,ROWS($B$31:B63)+1)+INDEX(Cables!$AX:$AX,ROWS($B$31:B63)+1)-1),1),1),1),INDEX(Cables!$AX:$AX,ROWS($B$31:B63)+1)-1))):INDEX(Power!$K:$K,(INDEX(Cables!$AW:$AW,ROWS($B$31:B63)+1)-1+MIN(MAX(IFERROR(MATCH(LN($C$6),INDEX(Power!$J:$J,INDEX(Cables!$AW:$AW,ROWS($B$31:B63)+1)):INDEX(Power!$J:$J,INDEX(Cables!$AW:$AW,ROWS($B$31:B63)+1)+INDEX(Cables!$AX:$AX,ROWS($B$31:B63)+1)-1),1),1),1),INDEX(Cables!$AX:$AX,ROWS($B$31:B63)+1)-1))+1),INDEX(Power!$J:$J,(INDEX(Cables!$AW:$AW,ROWS($B$31:B63)+1)-1+MIN(MAX(IFERROR(MATCH(LN($C$6),INDEX(Power!$J:$J,INDEX(Cables!$AW:$AW,ROWS($B$31:B63)+1)):INDEX(Power!$J:$J,INDEX(Cables!$AW:$AW,ROWS($B$31:B63)+1)+INDEX(Cables!$AX:$AX,ROWS($B$31:B63)+1)-1),1),1),1),INDEX(Cables!$AX:$AX,ROWS($B$31:B63)+1)-1))):INDEX(Power!$J:$J,(INDEX(Cables!$AW:$AW,ROWS($B$31:B63)+1)-1+MIN(MAX(IFERROR(MATCH(LN($C$6),INDEX(Power!$J:$J,INDEX(Cables!$AW:$AW,ROWS($B$31:B63)+1)):INDEX(Power!$J:$J,INDEX(Cables!$AW:$AW,ROWS($B$31:B63)+1)+INDEX(Cables!$AX:$AX,ROWS($B$31:B63)+1)-1),1),1),1),INDEX(Cables!$AX:$AX,ROWS($B$31:B63)+1)-1))+1)))))</f>
        <v>1547.2558134347832</v>
      </c>
      <c r="H63" s="11" t="str">
        <f>IF(B63="","",MID(IF(OR($C$6&lt;INDEX(Cables!$AQ:$AQ,ROWS($B$31:B63)+1),$C$6&gt;INDEX(Cables!$AR:$AR,ROWS($B$31:B63)+1))," / ekstrapolasyon","")&amp;IF(AND(ISNUMBER(G63),$C$8&gt;G63)," / güç sınırı aşılıyor","")&amp;IF(INDEX(Cables!$F:$F,ROWS($B$31:B63)+1)&lt;&gt;50," / Z0="&amp;INDEX(Cables!$F:$F,ROWS($B$31:B63)+1)&amp;" Ω",""),4,200))</f>
        <v/>
      </c>
      <c r="I63" s="1"/>
    </row>
    <row r="64" spans="1:9" x14ac:dyDescent="0.25">
      <c r="A64" s="1"/>
      <c r="B64" s="11" t="str">
        <f>IF(ROWS($B$31:B64)&gt;COUNTA(Cables!$A:$A)-1,"",INDEX(Cables!$B:$B,ROWS($B$31:B64)+1))</f>
        <v>Belden 9914 (RG-8, köpük PE)</v>
      </c>
      <c r="C64" s="12">
        <f>IF(B64="","",EXP(FORECAST(LN($C$6),INDEX(Attenuation!$K:$K,(INDEX(Cables!$AO:$AO,ROWS($B$31:B64)+1)-1+MIN(MAX(IFERROR(MATCH(LN($C$6),INDEX(Attenuation!$J:$J,INDEX(Cables!$AO:$AO,ROWS($B$31:B64)+1)):INDEX(Attenuation!$J:$J,INDEX(Cables!$AO:$AO,ROWS($B$31:B64)+1)+INDEX(Cables!$AP:$AP,ROWS($B$31:B64)+1)-1),1),1),1),INDEX(Cables!$AP:$AP,ROWS($B$31:B64)+1)-1))):INDEX(Attenuation!$K:$K,(INDEX(Cables!$AO:$AO,ROWS($B$31:B64)+1)-1+MIN(MAX(IFERROR(MATCH(LN($C$6),INDEX(Attenuation!$J:$J,INDEX(Cables!$AO:$AO,ROWS($B$31:B64)+1)):INDEX(Attenuation!$J:$J,INDEX(Cables!$AO:$AO,ROWS($B$31:B64)+1)+INDEX(Cables!$AP:$AP,ROWS($B$31:B64)+1)-1),1),1),1),INDEX(Cables!$AP:$AP,ROWS($B$31:B64)+1)-1))+1),INDEX(Attenuation!$J:$J,(INDEX(Cables!$AO:$AO,ROWS($B$31:B64)+1)-1+MIN(MAX(IFERROR(MATCH(LN($C$6),INDEX(Attenuation!$J:$J,INDEX(Cables!$AO:$AO,ROWS($B$31:B64)+1)):INDEX(Attenuation!$J:$J,INDEX(Cables!$AO:$AO,ROWS($B$31:B64)+1)+INDEX(Cables!$AP:$AP,ROWS($B$31:B64)+1)-1),1),1),1),INDEX(Cables!$AP:$AP,ROWS($B$31:B64)+1)-1))):INDEX(Attenuation!$J:$J,(INDEX(Cables!$AO:$AO,ROWS($B$31:B64)+1)-1+MIN(MAX(IFERROR(MATCH(LN($C$6),INDEX(Attenuation!$J:$J,INDEX(Cables!$AO:$AO,ROWS($B$31:B64)+1)):INDEX(Attenuation!$J:$J,INDEX(Cables!$AO:$AO,ROWS($B$31:B64)+1)+INDEX(Cables!$AP:$AP,ROWS($B$31:B64)+1)-1),1),1),1),INDEX(Cables!$AP:$AP,ROWS($B$31:B64)+1)-1))+1))))</f>
        <v>5.2555755360667931</v>
      </c>
      <c r="D64" s="12">
        <f t="shared" si="3"/>
        <v>1.1200025934709126</v>
      </c>
      <c r="E64" s="24">
        <f t="shared" si="4"/>
        <v>77.268012367514388</v>
      </c>
      <c r="F64" s="25">
        <f t="shared" si="5"/>
        <v>0.77268012367514383</v>
      </c>
      <c r="G64" s="26">
        <f>IF(B64="","",IF(INDEX(Cables!$AX:$AX,ROWS($B$31:B64)+1)&lt;2,"-",EXP(FORECAST(LN($C$6),INDEX(Power!$K:$K,(INDEX(Cables!$AW:$AW,ROWS($B$31:B64)+1)-1+MIN(MAX(IFERROR(MATCH(LN($C$6),INDEX(Power!$J:$J,INDEX(Cables!$AW:$AW,ROWS($B$31:B64)+1)):INDEX(Power!$J:$J,INDEX(Cables!$AW:$AW,ROWS($B$31:B64)+1)+INDEX(Cables!$AX:$AX,ROWS($B$31:B64)+1)-1),1),1),1),INDEX(Cables!$AX:$AX,ROWS($B$31:B64)+1)-1))):INDEX(Power!$K:$K,(INDEX(Cables!$AW:$AW,ROWS($B$31:B64)+1)-1+MIN(MAX(IFERROR(MATCH(LN($C$6),INDEX(Power!$J:$J,INDEX(Cables!$AW:$AW,ROWS($B$31:B64)+1)):INDEX(Power!$J:$J,INDEX(Cables!$AW:$AW,ROWS($B$31:B64)+1)+INDEX(Cables!$AX:$AX,ROWS($B$31:B64)+1)-1),1),1),1),INDEX(Cables!$AX:$AX,ROWS($B$31:B64)+1)-1))+1),INDEX(Power!$J:$J,(INDEX(Cables!$AW:$AW,ROWS($B$31:B64)+1)-1+MIN(MAX(IFERROR(MATCH(LN($C$6),INDEX(Power!$J:$J,INDEX(Cables!$AW:$AW,ROWS($B$31:B64)+1)):INDEX(Power!$J:$J,INDEX(Cables!$AW:$AW,ROWS($B$31:B64)+1)+INDEX(Cables!$AX:$AX,ROWS($B$31:B64)+1)-1),1),1),1),INDEX(Cables!$AX:$AX,ROWS($B$31:B64)+1)-1))):INDEX(Power!$J:$J,(INDEX(Cables!$AW:$AW,ROWS($B$31:B64)+1)-1+MIN(MAX(IFERROR(MATCH(LN($C$6),INDEX(Power!$J:$J,INDEX(Cables!$AW:$AW,ROWS($B$31:B64)+1)):INDEX(Power!$J:$J,INDEX(Cables!$AW:$AW,ROWS($B$31:B64)+1)+INDEX(Cables!$AX:$AX,ROWS($B$31:B64)+1)-1),1),1),1),INDEX(Cables!$AX:$AX,ROWS($B$31:B64)+1)-1))+1)))))</f>
        <v>1004.383658811728</v>
      </c>
      <c r="H64" s="11" t="str">
        <f>IF(B64="","",MID(IF(OR($C$6&lt;INDEX(Cables!$AQ:$AQ,ROWS($B$31:B64)+1),$C$6&gt;INDEX(Cables!$AR:$AR,ROWS($B$31:B64)+1))," / ekstrapolasyon","")&amp;IF(AND(ISNUMBER(G64),$C$8&gt;G64)," / güç sınırı aşılıyor","")&amp;IF(INDEX(Cables!$F:$F,ROWS($B$31:B64)+1)&lt;&gt;50," / Z0="&amp;INDEX(Cables!$F:$F,ROWS($B$31:B64)+1)&amp;" Ω",""),4,200))</f>
        <v/>
      </c>
      <c r="I64" s="1"/>
    </row>
    <row r="65" spans="1:9" x14ac:dyDescent="0.25">
      <c r="A65" s="1"/>
      <c r="B65" s="11" t="str">
        <f>IF(ROWS($B$31:B65)&gt;COUNTA(Cables!$A:$A)-1,"",INDEX(Cables!$B:$B,ROWS($B$31:B65)+1))</f>
        <v>SSB Ecoflex 10</v>
      </c>
      <c r="C65" s="12">
        <f>IF(B65="","",EXP(FORECAST(LN($C$6),INDEX(Attenuation!$K:$K,(INDEX(Cables!$AO:$AO,ROWS($B$31:B65)+1)-1+MIN(MAX(IFERROR(MATCH(LN($C$6),INDEX(Attenuation!$J:$J,INDEX(Cables!$AO:$AO,ROWS($B$31:B65)+1)):INDEX(Attenuation!$J:$J,INDEX(Cables!$AO:$AO,ROWS($B$31:B65)+1)+INDEX(Cables!$AP:$AP,ROWS($B$31:B65)+1)-1),1),1),1),INDEX(Cables!$AP:$AP,ROWS($B$31:B65)+1)-1))):INDEX(Attenuation!$K:$K,(INDEX(Cables!$AO:$AO,ROWS($B$31:B65)+1)-1+MIN(MAX(IFERROR(MATCH(LN($C$6),INDEX(Attenuation!$J:$J,INDEX(Cables!$AO:$AO,ROWS($B$31:B65)+1)):INDEX(Attenuation!$J:$J,INDEX(Cables!$AO:$AO,ROWS($B$31:B65)+1)+INDEX(Cables!$AP:$AP,ROWS($B$31:B65)+1)-1),1),1),1),INDEX(Cables!$AP:$AP,ROWS($B$31:B65)+1)-1))+1),INDEX(Attenuation!$J:$J,(INDEX(Cables!$AO:$AO,ROWS($B$31:B65)+1)-1+MIN(MAX(IFERROR(MATCH(LN($C$6),INDEX(Attenuation!$J:$J,INDEX(Cables!$AO:$AO,ROWS($B$31:B65)+1)):INDEX(Attenuation!$J:$J,INDEX(Cables!$AO:$AO,ROWS($B$31:B65)+1)+INDEX(Cables!$AP:$AP,ROWS($B$31:B65)+1)-1),1),1),1),INDEX(Cables!$AP:$AP,ROWS($B$31:B65)+1)-1))):INDEX(Attenuation!$J:$J,(INDEX(Cables!$AO:$AO,ROWS($B$31:B65)+1)-1+MIN(MAX(IFERROR(MATCH(LN($C$6),INDEX(Attenuation!$J:$J,INDEX(Cables!$AO:$AO,ROWS($B$31:B65)+1)):INDEX(Attenuation!$J:$J,INDEX(Cables!$AO:$AO,ROWS($B$31:B65)+1)+INDEX(Cables!$AP:$AP,ROWS($B$31:B65)+1)-1),1),1),1),INDEX(Cables!$AP:$AP,ROWS($B$31:B65)+1)-1))+1))))</f>
        <v>4.9174372055214093</v>
      </c>
      <c r="D65" s="12">
        <f t="shared" si="3"/>
        <v>1.0489012828420636</v>
      </c>
      <c r="E65" s="24">
        <f t="shared" si="4"/>
        <v>78.543431569935166</v>
      </c>
      <c r="F65" s="25">
        <f t="shared" si="5"/>
        <v>0.78543431569935163</v>
      </c>
      <c r="G65" s="26">
        <f>IF(B65="","",IF(INDEX(Cables!$AX:$AX,ROWS($B$31:B65)+1)&lt;2,"-",EXP(FORECAST(LN($C$6),INDEX(Power!$K:$K,(INDEX(Cables!$AW:$AW,ROWS($B$31:B65)+1)-1+MIN(MAX(IFERROR(MATCH(LN($C$6),INDEX(Power!$J:$J,INDEX(Cables!$AW:$AW,ROWS($B$31:B65)+1)):INDEX(Power!$J:$J,INDEX(Cables!$AW:$AW,ROWS($B$31:B65)+1)+INDEX(Cables!$AX:$AX,ROWS($B$31:B65)+1)-1),1),1),1),INDEX(Cables!$AX:$AX,ROWS($B$31:B65)+1)-1))):INDEX(Power!$K:$K,(INDEX(Cables!$AW:$AW,ROWS($B$31:B65)+1)-1+MIN(MAX(IFERROR(MATCH(LN($C$6),INDEX(Power!$J:$J,INDEX(Cables!$AW:$AW,ROWS($B$31:B65)+1)):INDEX(Power!$J:$J,INDEX(Cables!$AW:$AW,ROWS($B$31:B65)+1)+INDEX(Cables!$AX:$AX,ROWS($B$31:B65)+1)-1),1),1),1),INDEX(Cables!$AX:$AX,ROWS($B$31:B65)+1)-1))+1),INDEX(Power!$J:$J,(INDEX(Cables!$AW:$AW,ROWS($B$31:B65)+1)-1+MIN(MAX(IFERROR(MATCH(LN($C$6),INDEX(Power!$J:$J,INDEX(Cables!$AW:$AW,ROWS($B$31:B65)+1)):INDEX(Power!$J:$J,INDEX(Cables!$AW:$AW,ROWS($B$31:B65)+1)+INDEX(Cables!$AX:$AX,ROWS($B$31:B65)+1)-1),1),1),1),INDEX(Cables!$AX:$AX,ROWS($B$31:B65)+1)-1))):INDEX(Power!$J:$J,(INDEX(Cables!$AW:$AW,ROWS($B$31:B65)+1)-1+MIN(MAX(IFERROR(MATCH(LN($C$6),INDEX(Power!$J:$J,INDEX(Cables!$AW:$AW,ROWS($B$31:B65)+1)):INDEX(Power!$J:$J,INDEX(Cables!$AW:$AW,ROWS($B$31:B65)+1)+INDEX(Cables!$AX:$AX,ROWS($B$31:B65)+1)-1),1),1),1),INDEX(Cables!$AX:$AX,ROWS($B$31:B65)+1)-1))+1)))))</f>
        <v>991.19969026029207</v>
      </c>
      <c r="H65" s="11" t="str">
        <f>IF(B65="","",MID(IF(OR($C$6&lt;INDEX(Cables!$AQ:$AQ,ROWS($B$31:B65)+1),$C$6&gt;INDEX(Cables!$AR:$AR,ROWS($B$31:B65)+1))," / ekstrapolasyon","")&amp;IF(AND(ISNUMBER(G65),$C$8&gt;G65)," / güç sınırı aşılıyor","")&amp;IF(INDEX(Cables!$F:$F,ROWS($B$31:B65)+1)&lt;&gt;50," / Z0="&amp;INDEX(Cables!$F:$F,ROWS($B$31:B65)+1)&amp;" Ω",""),4,200))</f>
        <v/>
      </c>
      <c r="I65" s="1"/>
    </row>
    <row r="66" spans="1:9" x14ac:dyDescent="0.25">
      <c r="A66" s="1"/>
      <c r="B66" s="11" t="str">
        <f>IF(ROWS($B$31:B66)&gt;COUNTA(Cables!$A:$A)-1,"",INDEX(Cables!$B:$B,ROWS($B$31:B66)+1))</f>
        <v>Belden H1000C1 (H1000)</v>
      </c>
      <c r="C66" s="12">
        <f>IF(B66="","",EXP(FORECAST(LN($C$6),INDEX(Attenuation!$K:$K,(INDEX(Cables!$AO:$AO,ROWS($B$31:B66)+1)-1+MIN(MAX(IFERROR(MATCH(LN($C$6),INDEX(Attenuation!$J:$J,INDEX(Cables!$AO:$AO,ROWS($B$31:B66)+1)):INDEX(Attenuation!$J:$J,INDEX(Cables!$AO:$AO,ROWS($B$31:B66)+1)+INDEX(Cables!$AP:$AP,ROWS($B$31:B66)+1)-1),1),1),1),INDEX(Cables!$AP:$AP,ROWS($B$31:B66)+1)-1))):INDEX(Attenuation!$K:$K,(INDEX(Cables!$AO:$AO,ROWS($B$31:B66)+1)-1+MIN(MAX(IFERROR(MATCH(LN($C$6),INDEX(Attenuation!$J:$J,INDEX(Cables!$AO:$AO,ROWS($B$31:B66)+1)):INDEX(Attenuation!$J:$J,INDEX(Cables!$AO:$AO,ROWS($B$31:B66)+1)+INDEX(Cables!$AP:$AP,ROWS($B$31:B66)+1)-1),1),1),1),INDEX(Cables!$AP:$AP,ROWS($B$31:B66)+1)-1))+1),INDEX(Attenuation!$J:$J,(INDEX(Cables!$AO:$AO,ROWS($B$31:B66)+1)-1+MIN(MAX(IFERROR(MATCH(LN($C$6),INDEX(Attenuation!$J:$J,INDEX(Cables!$AO:$AO,ROWS($B$31:B66)+1)):INDEX(Attenuation!$J:$J,INDEX(Cables!$AO:$AO,ROWS($B$31:B66)+1)+INDEX(Cables!$AP:$AP,ROWS($B$31:B66)+1)-1),1),1),1),INDEX(Cables!$AP:$AP,ROWS($B$31:B66)+1)-1))):INDEX(Attenuation!$J:$J,(INDEX(Cables!$AO:$AO,ROWS($B$31:B66)+1)-1+MIN(MAX(IFERROR(MATCH(LN($C$6),INDEX(Attenuation!$J:$J,INDEX(Cables!$AO:$AO,ROWS($B$31:B66)+1)):INDEX(Attenuation!$J:$J,INDEX(Cables!$AO:$AO,ROWS($B$31:B66)+1)+INDEX(Cables!$AP:$AP,ROWS($B$31:B66)+1)-1),1),1),1),INDEX(Cables!$AP:$AP,ROWS($B$31:B66)+1)-1))+1))))</f>
        <v>4.8362962445189224</v>
      </c>
      <c r="D66" s="12">
        <f t="shared" si="3"/>
        <v>1.0318228999162551</v>
      </c>
      <c r="E66" s="24">
        <f t="shared" si="4"/>
        <v>78.852907236010481</v>
      </c>
      <c r="F66" s="25">
        <f t="shared" si="5"/>
        <v>0.78852907236010483</v>
      </c>
      <c r="G66" s="26" t="str">
        <f>IF(B66="","",IF(INDEX(Cables!$AX:$AX,ROWS($B$31:B66)+1)&lt;2,"-",EXP(FORECAST(LN($C$6),INDEX(Power!$K:$K,(INDEX(Cables!$AW:$AW,ROWS($B$31:B66)+1)-1+MIN(MAX(IFERROR(MATCH(LN($C$6),INDEX(Power!$J:$J,INDEX(Cables!$AW:$AW,ROWS($B$31:B66)+1)):INDEX(Power!$J:$J,INDEX(Cables!$AW:$AW,ROWS($B$31:B66)+1)+INDEX(Cables!$AX:$AX,ROWS($B$31:B66)+1)-1),1),1),1),INDEX(Cables!$AX:$AX,ROWS($B$31:B66)+1)-1))):INDEX(Power!$K:$K,(INDEX(Cables!$AW:$AW,ROWS($B$31:B66)+1)-1+MIN(MAX(IFERROR(MATCH(LN($C$6),INDEX(Power!$J:$J,INDEX(Cables!$AW:$AW,ROWS($B$31:B66)+1)):INDEX(Power!$J:$J,INDEX(Cables!$AW:$AW,ROWS($B$31:B66)+1)+INDEX(Cables!$AX:$AX,ROWS($B$31:B66)+1)-1),1),1),1),INDEX(Cables!$AX:$AX,ROWS($B$31:B66)+1)-1))+1),INDEX(Power!$J:$J,(INDEX(Cables!$AW:$AW,ROWS($B$31:B66)+1)-1+MIN(MAX(IFERROR(MATCH(LN($C$6),INDEX(Power!$J:$J,INDEX(Cables!$AW:$AW,ROWS($B$31:B66)+1)):INDEX(Power!$J:$J,INDEX(Cables!$AW:$AW,ROWS($B$31:B66)+1)+INDEX(Cables!$AX:$AX,ROWS($B$31:B66)+1)-1),1),1),1),INDEX(Cables!$AX:$AX,ROWS($B$31:B66)+1)-1))):INDEX(Power!$J:$J,(INDEX(Cables!$AW:$AW,ROWS($B$31:B66)+1)-1+MIN(MAX(IFERROR(MATCH(LN($C$6),INDEX(Power!$J:$J,INDEX(Cables!$AW:$AW,ROWS($B$31:B66)+1)):INDEX(Power!$J:$J,INDEX(Cables!$AW:$AW,ROWS($B$31:B66)+1)+INDEX(Cables!$AX:$AX,ROWS($B$31:B66)+1)-1),1),1),1),INDEX(Cables!$AX:$AX,ROWS($B$31:B66)+1)-1))+1)))))</f>
        <v>-</v>
      </c>
      <c r="H66" s="11" t="str">
        <f>IF(B66="","",MID(IF(OR($C$6&lt;INDEX(Cables!$AQ:$AQ,ROWS($B$31:B66)+1),$C$6&gt;INDEX(Cables!$AR:$AR,ROWS($B$31:B66)+1))," / ekstrapolasyon","")&amp;IF(AND(ISNUMBER(G66),$C$8&gt;G66)," / güç sınırı aşılıyor","")&amp;IF(INDEX(Cables!$F:$F,ROWS($B$31:B66)+1)&lt;&gt;50," / Z0="&amp;INDEX(Cables!$F:$F,ROWS($B$31:B66)+1)&amp;" Ω",""),4,200))</f>
        <v/>
      </c>
      <c r="I66" s="1"/>
    </row>
    <row r="67" spans="1:9" x14ac:dyDescent="0.25">
      <c r="A67" s="1"/>
      <c r="B67" s="11" t="str">
        <f>IF(ROWS($B$31:B67)&gt;COUNTA(Cables!$A:$A)-1,"",INDEX(Cables!$B:$B,ROWS($B$31:B67)+1))</f>
        <v>Reçber RWC 400 PE (LMR-400 muadili)</v>
      </c>
      <c r="C67" s="12">
        <f>IF(B67="","",EXP(FORECAST(LN($C$6),INDEX(Attenuation!$K:$K,(INDEX(Cables!$AO:$AO,ROWS($B$31:B67)+1)-1+MIN(MAX(IFERROR(MATCH(LN($C$6),INDEX(Attenuation!$J:$J,INDEX(Cables!$AO:$AO,ROWS($B$31:B67)+1)):INDEX(Attenuation!$J:$J,INDEX(Cables!$AO:$AO,ROWS($B$31:B67)+1)+INDEX(Cables!$AP:$AP,ROWS($B$31:B67)+1)-1),1),1),1),INDEX(Cables!$AP:$AP,ROWS($B$31:B67)+1)-1))):INDEX(Attenuation!$K:$K,(INDEX(Cables!$AO:$AO,ROWS($B$31:B67)+1)-1+MIN(MAX(IFERROR(MATCH(LN($C$6),INDEX(Attenuation!$J:$J,INDEX(Cables!$AO:$AO,ROWS($B$31:B67)+1)):INDEX(Attenuation!$J:$J,INDEX(Cables!$AO:$AO,ROWS($B$31:B67)+1)+INDEX(Cables!$AP:$AP,ROWS($B$31:B67)+1)-1),1),1),1),INDEX(Cables!$AP:$AP,ROWS($B$31:B67)+1)-1))+1),INDEX(Attenuation!$J:$J,(INDEX(Cables!$AO:$AO,ROWS($B$31:B67)+1)-1+MIN(MAX(IFERROR(MATCH(LN($C$6),INDEX(Attenuation!$J:$J,INDEX(Cables!$AO:$AO,ROWS($B$31:B67)+1)):INDEX(Attenuation!$J:$J,INDEX(Cables!$AO:$AO,ROWS($B$31:B67)+1)+INDEX(Cables!$AP:$AP,ROWS($B$31:B67)+1)-1),1),1),1),INDEX(Cables!$AP:$AP,ROWS($B$31:B67)+1)-1))):INDEX(Attenuation!$J:$J,(INDEX(Cables!$AO:$AO,ROWS($B$31:B67)+1)-1+MIN(MAX(IFERROR(MATCH(LN($C$6),INDEX(Attenuation!$J:$J,INDEX(Cables!$AO:$AO,ROWS($B$31:B67)+1)):INDEX(Attenuation!$J:$J,INDEX(Cables!$AO:$AO,ROWS($B$31:B67)+1)+INDEX(Cables!$AP:$AP,ROWS($B$31:B67)+1)-1),1),1),1),INDEX(Cables!$AP:$AP,ROWS($B$31:B67)+1)-1))+1))))</f>
        <v>5.0176857767391754</v>
      </c>
      <c r="D67" s="12">
        <f t="shared" si="3"/>
        <v>1.0699924330403285</v>
      </c>
      <c r="E67" s="24">
        <f t="shared" si="4"/>
        <v>78.162916646407851</v>
      </c>
      <c r="F67" s="25">
        <f t="shared" si="5"/>
        <v>0.78162916646407854</v>
      </c>
      <c r="G67" s="26" t="str">
        <f>IF(B67="","",IF(INDEX(Cables!$AX:$AX,ROWS($B$31:B67)+1)&lt;2,"-",EXP(FORECAST(LN($C$6),INDEX(Power!$K:$K,(INDEX(Cables!$AW:$AW,ROWS($B$31:B67)+1)-1+MIN(MAX(IFERROR(MATCH(LN($C$6),INDEX(Power!$J:$J,INDEX(Cables!$AW:$AW,ROWS($B$31:B67)+1)):INDEX(Power!$J:$J,INDEX(Cables!$AW:$AW,ROWS($B$31:B67)+1)+INDEX(Cables!$AX:$AX,ROWS($B$31:B67)+1)-1),1),1),1),INDEX(Cables!$AX:$AX,ROWS($B$31:B67)+1)-1))):INDEX(Power!$K:$K,(INDEX(Cables!$AW:$AW,ROWS($B$31:B67)+1)-1+MIN(MAX(IFERROR(MATCH(LN($C$6),INDEX(Power!$J:$J,INDEX(Cables!$AW:$AW,ROWS($B$31:B67)+1)):INDEX(Power!$J:$J,INDEX(Cables!$AW:$AW,ROWS($B$31:B67)+1)+INDEX(Cables!$AX:$AX,ROWS($B$31:B67)+1)-1),1),1),1),INDEX(Cables!$AX:$AX,ROWS($B$31:B67)+1)-1))+1),INDEX(Power!$J:$J,(INDEX(Cables!$AW:$AW,ROWS($B$31:B67)+1)-1+MIN(MAX(IFERROR(MATCH(LN($C$6),INDEX(Power!$J:$J,INDEX(Cables!$AW:$AW,ROWS($B$31:B67)+1)):INDEX(Power!$J:$J,INDEX(Cables!$AW:$AW,ROWS($B$31:B67)+1)+INDEX(Cables!$AX:$AX,ROWS($B$31:B67)+1)-1),1),1),1),INDEX(Cables!$AX:$AX,ROWS($B$31:B67)+1)-1))):INDEX(Power!$J:$J,(INDEX(Cables!$AW:$AW,ROWS($B$31:B67)+1)-1+MIN(MAX(IFERROR(MATCH(LN($C$6),INDEX(Power!$J:$J,INDEX(Cables!$AW:$AW,ROWS($B$31:B67)+1)):INDEX(Power!$J:$J,INDEX(Cables!$AW:$AW,ROWS($B$31:B67)+1)+INDEX(Cables!$AX:$AX,ROWS($B$31:B67)+1)-1),1),1),1),INDEX(Cables!$AX:$AX,ROWS($B$31:B67)+1)-1))+1)))))</f>
        <v>-</v>
      </c>
      <c r="H67" s="11" t="str">
        <f>IF(B67="","",MID(IF(OR($C$6&lt;INDEX(Cables!$AQ:$AQ,ROWS($B$31:B67)+1),$C$6&gt;INDEX(Cables!$AR:$AR,ROWS($B$31:B67)+1))," / ekstrapolasyon","")&amp;IF(AND(ISNUMBER(G67),$C$8&gt;G67)," / güç sınırı aşılıyor","")&amp;IF(INDEX(Cables!$F:$F,ROWS($B$31:B67)+1)&lt;&gt;50," / Z0="&amp;INDEX(Cables!$F:$F,ROWS($B$31:B67)+1)&amp;" Ω",""),4,200))</f>
        <v/>
      </c>
      <c r="I67" s="1"/>
    </row>
    <row r="68" spans="1:9" x14ac:dyDescent="0.25">
      <c r="A68" s="1"/>
      <c r="B68" s="11" t="str">
        <f>IF(ROWS($B$31:B68)&gt;COUNTA(Cables!$A:$A)-1,"",INDEX(Cables!$B:$B,ROWS($B$31:B68)+1))</f>
        <v>Times Microwave LMR-400 (Amphenol)</v>
      </c>
      <c r="C68" s="12">
        <f>IF(B68="","",EXP(FORECAST(LN($C$6),INDEX(Attenuation!$K:$K,(INDEX(Cables!$AO:$AO,ROWS($B$31:B68)+1)-1+MIN(MAX(IFERROR(MATCH(LN($C$6),INDEX(Attenuation!$J:$J,INDEX(Cables!$AO:$AO,ROWS($B$31:B68)+1)):INDEX(Attenuation!$J:$J,INDEX(Cables!$AO:$AO,ROWS($B$31:B68)+1)+INDEX(Cables!$AP:$AP,ROWS($B$31:B68)+1)-1),1),1),1),INDEX(Cables!$AP:$AP,ROWS($B$31:B68)+1)-1))):INDEX(Attenuation!$K:$K,(INDEX(Cables!$AO:$AO,ROWS($B$31:B68)+1)-1+MIN(MAX(IFERROR(MATCH(LN($C$6),INDEX(Attenuation!$J:$J,INDEX(Cables!$AO:$AO,ROWS($B$31:B68)+1)):INDEX(Attenuation!$J:$J,INDEX(Cables!$AO:$AO,ROWS($B$31:B68)+1)+INDEX(Cables!$AP:$AP,ROWS($B$31:B68)+1)-1),1),1),1),INDEX(Cables!$AP:$AP,ROWS($B$31:B68)+1)-1))+1),INDEX(Attenuation!$J:$J,(INDEX(Cables!$AO:$AO,ROWS($B$31:B68)+1)-1+MIN(MAX(IFERROR(MATCH(LN($C$6),INDEX(Attenuation!$J:$J,INDEX(Cables!$AO:$AO,ROWS($B$31:B68)+1)):INDEX(Attenuation!$J:$J,INDEX(Cables!$AO:$AO,ROWS($B$31:B68)+1)+INDEX(Cables!$AP:$AP,ROWS($B$31:B68)+1)-1),1),1),1),INDEX(Cables!$AP:$AP,ROWS($B$31:B68)+1)-1))):INDEX(Attenuation!$J:$J,(INDEX(Cables!$AO:$AO,ROWS($B$31:B68)+1)-1+MIN(MAX(IFERROR(MATCH(LN($C$6),INDEX(Attenuation!$J:$J,INDEX(Cables!$AO:$AO,ROWS($B$31:B68)+1)):INDEX(Attenuation!$J:$J,INDEX(Cables!$AO:$AO,ROWS($B$31:B68)+1)+INDEX(Cables!$AP:$AP,ROWS($B$31:B68)+1)-1),1),1),1),INDEX(Cables!$AP:$AP,ROWS($B$31:B68)+1)-1))+1))))</f>
        <v>4.8442926530281971</v>
      </c>
      <c r="D68" s="12">
        <f t="shared" si="3"/>
        <v>1.0335062574910556</v>
      </c>
      <c r="E68" s="24">
        <f t="shared" si="4"/>
        <v>78.822349187843088</v>
      </c>
      <c r="F68" s="25">
        <f t="shared" si="5"/>
        <v>0.78822349187843088</v>
      </c>
      <c r="G68" s="26">
        <f>IF(B68="","",IF(INDEX(Cables!$AX:$AX,ROWS($B$31:B68)+1)&lt;2,"-",EXP(FORECAST(LN($C$6),INDEX(Power!$K:$K,(INDEX(Cables!$AW:$AW,ROWS($B$31:B68)+1)-1+MIN(MAX(IFERROR(MATCH(LN($C$6),INDEX(Power!$J:$J,INDEX(Cables!$AW:$AW,ROWS($B$31:B68)+1)):INDEX(Power!$J:$J,INDEX(Cables!$AW:$AW,ROWS($B$31:B68)+1)+INDEX(Cables!$AX:$AX,ROWS($B$31:B68)+1)-1),1),1),1),INDEX(Cables!$AX:$AX,ROWS($B$31:B68)+1)-1))):INDEX(Power!$K:$K,(INDEX(Cables!$AW:$AW,ROWS($B$31:B68)+1)-1+MIN(MAX(IFERROR(MATCH(LN($C$6),INDEX(Power!$J:$J,INDEX(Cables!$AW:$AW,ROWS($B$31:B68)+1)):INDEX(Power!$J:$J,INDEX(Cables!$AW:$AW,ROWS($B$31:B68)+1)+INDEX(Cables!$AX:$AX,ROWS($B$31:B68)+1)-1),1),1),1),INDEX(Cables!$AX:$AX,ROWS($B$31:B68)+1)-1))+1),INDEX(Power!$J:$J,(INDEX(Cables!$AW:$AW,ROWS($B$31:B68)+1)-1+MIN(MAX(IFERROR(MATCH(LN($C$6),INDEX(Power!$J:$J,INDEX(Cables!$AW:$AW,ROWS($B$31:B68)+1)):INDEX(Power!$J:$J,INDEX(Cables!$AW:$AW,ROWS($B$31:B68)+1)+INDEX(Cables!$AX:$AX,ROWS($B$31:B68)+1)-1),1),1),1),INDEX(Cables!$AX:$AX,ROWS($B$31:B68)+1)-1))):INDEX(Power!$J:$J,(INDEX(Cables!$AW:$AW,ROWS($B$31:B68)+1)-1+MIN(MAX(IFERROR(MATCH(LN($C$6),INDEX(Power!$J:$J,INDEX(Cables!$AW:$AW,ROWS($B$31:B68)+1)):INDEX(Power!$J:$J,INDEX(Cables!$AW:$AW,ROWS($B$31:B68)+1)+INDEX(Cables!$AX:$AX,ROWS($B$31:B68)+1)-1),1),1),1),INDEX(Cables!$AX:$AX,ROWS($B$31:B68)+1)-1))+1)))))</f>
        <v>1495.5608897434888</v>
      </c>
      <c r="H68" s="11" t="str">
        <f>IF(B68="","",MID(IF(OR($C$6&lt;INDEX(Cables!$AQ:$AQ,ROWS($B$31:B68)+1),$C$6&gt;INDEX(Cables!$AR:$AR,ROWS($B$31:B68)+1))," / ekstrapolasyon","")&amp;IF(AND(ISNUMBER(G68),$C$8&gt;G68)," / güç sınırı aşılıyor","")&amp;IF(INDEX(Cables!$F:$F,ROWS($B$31:B68)+1)&lt;&gt;50," / Z0="&amp;INDEX(Cables!$F:$F,ROWS($B$31:B68)+1)&amp;" Ω",""),4,200))</f>
        <v/>
      </c>
      <c r="I68" s="1"/>
    </row>
    <row r="69" spans="1:9" x14ac:dyDescent="0.25">
      <c r="A69" s="1"/>
      <c r="B69" s="11" t="str">
        <f>IF(ROWS($B$31:B69)&gt;COUNTA(Cables!$A:$A)-1,"",INDEX(Cables!$B:$B,ROWS($B$31:B69)+1))</f>
        <v>Messi &amp; Paoloni Ultraflex 10</v>
      </c>
      <c r="C69" s="12">
        <f>IF(B69="","",EXP(FORECAST(LN($C$6),INDEX(Attenuation!$K:$K,(INDEX(Cables!$AO:$AO,ROWS($B$31:B69)+1)-1+MIN(MAX(IFERROR(MATCH(LN($C$6),INDEX(Attenuation!$J:$J,INDEX(Cables!$AO:$AO,ROWS($B$31:B69)+1)):INDEX(Attenuation!$J:$J,INDEX(Cables!$AO:$AO,ROWS($B$31:B69)+1)+INDEX(Cables!$AP:$AP,ROWS($B$31:B69)+1)-1),1),1),1),INDEX(Cables!$AP:$AP,ROWS($B$31:B69)+1)-1))):INDEX(Attenuation!$K:$K,(INDEX(Cables!$AO:$AO,ROWS($B$31:B69)+1)-1+MIN(MAX(IFERROR(MATCH(LN($C$6),INDEX(Attenuation!$J:$J,INDEX(Cables!$AO:$AO,ROWS($B$31:B69)+1)):INDEX(Attenuation!$J:$J,INDEX(Cables!$AO:$AO,ROWS($B$31:B69)+1)+INDEX(Cables!$AP:$AP,ROWS($B$31:B69)+1)-1),1),1),1),INDEX(Cables!$AP:$AP,ROWS($B$31:B69)+1)-1))+1),INDEX(Attenuation!$J:$J,(INDEX(Cables!$AO:$AO,ROWS($B$31:B69)+1)-1+MIN(MAX(IFERROR(MATCH(LN($C$6),INDEX(Attenuation!$J:$J,INDEX(Cables!$AO:$AO,ROWS($B$31:B69)+1)):INDEX(Attenuation!$J:$J,INDEX(Cables!$AO:$AO,ROWS($B$31:B69)+1)+INDEX(Cables!$AP:$AP,ROWS($B$31:B69)+1)-1),1),1),1),INDEX(Cables!$AP:$AP,ROWS($B$31:B69)+1)-1))):INDEX(Attenuation!$J:$J,(INDEX(Cables!$AO:$AO,ROWS($B$31:B69)+1)-1+MIN(MAX(IFERROR(MATCH(LN($C$6),INDEX(Attenuation!$J:$J,INDEX(Cables!$AO:$AO,ROWS($B$31:B69)+1)):INDEX(Attenuation!$J:$J,INDEX(Cables!$AO:$AO,ROWS($B$31:B69)+1)+INDEX(Cables!$AP:$AP,ROWS($B$31:B69)+1)-1),1),1),1),INDEX(Cables!$AP:$AP,ROWS($B$31:B69)+1)-1))+1))))</f>
        <v>4.719138778640211</v>
      </c>
      <c r="D69" s="12">
        <f t="shared" si="3"/>
        <v>1.0071522743327179</v>
      </c>
      <c r="E69" s="24">
        <f t="shared" si="4"/>
        <v>79.302115436754832</v>
      </c>
      <c r="F69" s="25">
        <f t="shared" si="5"/>
        <v>0.79302115436754828</v>
      </c>
      <c r="G69" s="26">
        <f>IF(B69="","",IF(INDEX(Cables!$AX:$AX,ROWS($B$31:B69)+1)&lt;2,"-",EXP(FORECAST(LN($C$6),INDEX(Power!$K:$K,(INDEX(Cables!$AW:$AW,ROWS($B$31:B69)+1)-1+MIN(MAX(IFERROR(MATCH(LN($C$6),INDEX(Power!$J:$J,INDEX(Cables!$AW:$AW,ROWS($B$31:B69)+1)):INDEX(Power!$J:$J,INDEX(Cables!$AW:$AW,ROWS($B$31:B69)+1)+INDEX(Cables!$AX:$AX,ROWS($B$31:B69)+1)-1),1),1),1),INDEX(Cables!$AX:$AX,ROWS($B$31:B69)+1)-1))):INDEX(Power!$K:$K,(INDEX(Cables!$AW:$AW,ROWS($B$31:B69)+1)-1+MIN(MAX(IFERROR(MATCH(LN($C$6),INDEX(Power!$J:$J,INDEX(Cables!$AW:$AW,ROWS($B$31:B69)+1)):INDEX(Power!$J:$J,INDEX(Cables!$AW:$AW,ROWS($B$31:B69)+1)+INDEX(Cables!$AX:$AX,ROWS($B$31:B69)+1)-1),1),1),1),INDEX(Cables!$AX:$AX,ROWS($B$31:B69)+1)-1))+1),INDEX(Power!$J:$J,(INDEX(Cables!$AW:$AW,ROWS($B$31:B69)+1)-1+MIN(MAX(IFERROR(MATCH(LN($C$6),INDEX(Power!$J:$J,INDEX(Cables!$AW:$AW,ROWS($B$31:B69)+1)):INDEX(Power!$J:$J,INDEX(Cables!$AW:$AW,ROWS($B$31:B69)+1)+INDEX(Cables!$AX:$AX,ROWS($B$31:B69)+1)-1),1),1),1),INDEX(Cables!$AX:$AX,ROWS($B$31:B69)+1)-1))):INDEX(Power!$J:$J,(INDEX(Cables!$AW:$AW,ROWS($B$31:B69)+1)-1+MIN(MAX(IFERROR(MATCH(LN($C$6),INDEX(Power!$J:$J,INDEX(Cables!$AW:$AW,ROWS($B$31:B69)+1)):INDEX(Power!$J:$J,INDEX(Cables!$AW:$AW,ROWS($B$31:B69)+1)+INDEX(Cables!$AX:$AX,ROWS($B$31:B69)+1)-1),1),1),1),INDEX(Cables!$AX:$AX,ROWS($B$31:B69)+1)-1))+1)))))</f>
        <v>1460.2117279092531</v>
      </c>
      <c r="H69" s="11" t="str">
        <f>IF(B69="","",MID(IF(OR($C$6&lt;INDEX(Cables!$AQ:$AQ,ROWS($B$31:B69)+1),$C$6&gt;INDEX(Cables!$AR:$AR,ROWS($B$31:B69)+1))," / ekstrapolasyon","")&amp;IF(AND(ISNUMBER(G69),$C$8&gt;G69)," / güç sınırı aşılıyor","")&amp;IF(INDEX(Cables!$F:$F,ROWS($B$31:B69)+1)&lt;&gt;50," / Z0="&amp;INDEX(Cables!$F:$F,ROWS($B$31:B69)+1)&amp;" Ω",""),4,200))</f>
        <v/>
      </c>
      <c r="I69" s="1"/>
    </row>
    <row r="70" spans="1:9" x14ac:dyDescent="0.25">
      <c r="A70" s="1"/>
      <c r="B70" s="11" t="str">
        <f>IF(ROWS($B$31:B70)&gt;COUNTA(Cables!$A:$A)-1,"",INDEX(Cables!$B:$B,ROWS($B$31:B70)+1))</f>
        <v>Messi &amp; Paoloni Hyperflex 10</v>
      </c>
      <c r="C70" s="12">
        <f>IF(B70="","",EXP(FORECAST(LN($C$6),INDEX(Attenuation!$K:$K,(INDEX(Cables!$AO:$AO,ROWS($B$31:B70)+1)-1+MIN(MAX(IFERROR(MATCH(LN($C$6),INDEX(Attenuation!$J:$J,INDEX(Cables!$AO:$AO,ROWS($B$31:B70)+1)):INDEX(Attenuation!$J:$J,INDEX(Cables!$AO:$AO,ROWS($B$31:B70)+1)+INDEX(Cables!$AP:$AP,ROWS($B$31:B70)+1)-1),1),1),1),INDEX(Cables!$AP:$AP,ROWS($B$31:B70)+1)-1))):INDEX(Attenuation!$K:$K,(INDEX(Cables!$AO:$AO,ROWS($B$31:B70)+1)-1+MIN(MAX(IFERROR(MATCH(LN($C$6),INDEX(Attenuation!$J:$J,INDEX(Cables!$AO:$AO,ROWS($B$31:B70)+1)):INDEX(Attenuation!$J:$J,INDEX(Cables!$AO:$AO,ROWS($B$31:B70)+1)+INDEX(Cables!$AP:$AP,ROWS($B$31:B70)+1)-1),1),1),1),INDEX(Cables!$AP:$AP,ROWS($B$31:B70)+1)-1))+1),INDEX(Attenuation!$J:$J,(INDEX(Cables!$AO:$AO,ROWS($B$31:B70)+1)-1+MIN(MAX(IFERROR(MATCH(LN($C$6),INDEX(Attenuation!$J:$J,INDEX(Cables!$AO:$AO,ROWS($B$31:B70)+1)):INDEX(Attenuation!$J:$J,INDEX(Cables!$AO:$AO,ROWS($B$31:B70)+1)+INDEX(Cables!$AP:$AP,ROWS($B$31:B70)+1)-1),1),1),1),INDEX(Cables!$AP:$AP,ROWS($B$31:B70)+1)-1))):INDEX(Attenuation!$J:$J,(INDEX(Cables!$AO:$AO,ROWS($B$31:B70)+1)-1+MIN(MAX(IFERROR(MATCH(LN($C$6),INDEX(Attenuation!$J:$J,INDEX(Cables!$AO:$AO,ROWS($B$31:B70)+1)):INDEX(Attenuation!$J:$J,INDEX(Cables!$AO:$AO,ROWS($B$31:B70)+1)+INDEX(Cables!$AP:$AP,ROWS($B$31:B70)+1)-1),1),1),1),INDEX(Cables!$AP:$AP,ROWS($B$31:B70)+1)-1))+1))))</f>
        <v>4.7173794871194499</v>
      </c>
      <c r="D70" s="12">
        <f t="shared" si="3"/>
        <v>1.0067817038360023</v>
      </c>
      <c r="E70" s="24">
        <f t="shared" si="4"/>
        <v>79.308882337860354</v>
      </c>
      <c r="F70" s="25">
        <f t="shared" si="5"/>
        <v>0.79308882337860354</v>
      </c>
      <c r="G70" s="26">
        <f>IF(B70="","",IF(INDEX(Cables!$AX:$AX,ROWS($B$31:B70)+1)&lt;2,"-",EXP(FORECAST(LN($C$6),INDEX(Power!$K:$K,(INDEX(Cables!$AW:$AW,ROWS($B$31:B70)+1)-1+MIN(MAX(IFERROR(MATCH(LN($C$6),INDEX(Power!$J:$J,INDEX(Cables!$AW:$AW,ROWS($B$31:B70)+1)):INDEX(Power!$J:$J,INDEX(Cables!$AW:$AW,ROWS($B$31:B70)+1)+INDEX(Cables!$AX:$AX,ROWS($B$31:B70)+1)-1),1),1),1),INDEX(Cables!$AX:$AX,ROWS($B$31:B70)+1)-1))):INDEX(Power!$K:$K,(INDEX(Cables!$AW:$AW,ROWS($B$31:B70)+1)-1+MIN(MAX(IFERROR(MATCH(LN($C$6),INDEX(Power!$J:$J,INDEX(Cables!$AW:$AW,ROWS($B$31:B70)+1)):INDEX(Power!$J:$J,INDEX(Cables!$AW:$AW,ROWS($B$31:B70)+1)+INDEX(Cables!$AX:$AX,ROWS($B$31:B70)+1)-1),1),1),1),INDEX(Cables!$AX:$AX,ROWS($B$31:B70)+1)-1))+1),INDEX(Power!$J:$J,(INDEX(Cables!$AW:$AW,ROWS($B$31:B70)+1)-1+MIN(MAX(IFERROR(MATCH(LN($C$6),INDEX(Power!$J:$J,INDEX(Cables!$AW:$AW,ROWS($B$31:B70)+1)):INDEX(Power!$J:$J,INDEX(Cables!$AW:$AW,ROWS($B$31:B70)+1)+INDEX(Cables!$AX:$AX,ROWS($B$31:B70)+1)-1),1),1),1),INDEX(Cables!$AX:$AX,ROWS($B$31:B70)+1)-1))):INDEX(Power!$J:$J,(INDEX(Cables!$AW:$AW,ROWS($B$31:B70)+1)-1+MIN(MAX(IFERROR(MATCH(LN($C$6),INDEX(Power!$J:$J,INDEX(Cables!$AW:$AW,ROWS($B$31:B70)+1)):INDEX(Power!$J:$J,INDEX(Cables!$AW:$AW,ROWS($B$31:B70)+1)+INDEX(Cables!$AX:$AX,ROWS($B$31:B70)+1)-1),1),1),1),INDEX(Cables!$AX:$AX,ROWS($B$31:B70)+1)-1))+1)))))</f>
        <v>1454.6372278929819</v>
      </c>
      <c r="H70" s="11" t="str">
        <f>IF(B70="","",MID(IF(OR($C$6&lt;INDEX(Cables!$AQ:$AQ,ROWS($B$31:B70)+1),$C$6&gt;INDEX(Cables!$AR:$AR,ROWS($B$31:B70)+1))," / ekstrapolasyon","")&amp;IF(AND(ISNUMBER(G70),$C$8&gt;G70)," / güç sınırı aşılıyor","")&amp;IF(INDEX(Cables!$F:$F,ROWS($B$31:B70)+1)&lt;&gt;50," / Z0="&amp;INDEX(Cables!$F:$F,ROWS($B$31:B70)+1)&amp;" Ω",""),4,200))</f>
        <v/>
      </c>
      <c r="I70" s="1"/>
    </row>
    <row r="71" spans="1:9" x14ac:dyDescent="0.25">
      <c r="A71" s="1"/>
      <c r="B71" s="11" t="str">
        <f>IF(ROWS($B$31:B71)&gt;COUNTA(Cables!$A:$A)-1,"",INDEX(Cables!$B:$B,ROWS($B$31:B71)+1))</f>
        <v>Belden H2000 Flex</v>
      </c>
      <c r="C71" s="12">
        <f>IF(B71="","",EXP(FORECAST(LN($C$6),INDEX(Attenuation!$K:$K,(INDEX(Cables!$AO:$AO,ROWS($B$31:B71)+1)-1+MIN(MAX(IFERROR(MATCH(LN($C$6),INDEX(Attenuation!$J:$J,INDEX(Cables!$AO:$AO,ROWS($B$31:B71)+1)):INDEX(Attenuation!$J:$J,INDEX(Cables!$AO:$AO,ROWS($B$31:B71)+1)+INDEX(Cables!$AP:$AP,ROWS($B$31:B71)+1)-1),1),1),1),INDEX(Cables!$AP:$AP,ROWS($B$31:B71)+1)-1))):INDEX(Attenuation!$K:$K,(INDEX(Cables!$AO:$AO,ROWS($B$31:B71)+1)-1+MIN(MAX(IFERROR(MATCH(LN($C$6),INDEX(Attenuation!$J:$J,INDEX(Cables!$AO:$AO,ROWS($B$31:B71)+1)):INDEX(Attenuation!$J:$J,INDEX(Cables!$AO:$AO,ROWS($B$31:B71)+1)+INDEX(Cables!$AP:$AP,ROWS($B$31:B71)+1)-1),1),1),1),INDEX(Cables!$AP:$AP,ROWS($B$31:B71)+1)-1))+1),INDEX(Attenuation!$J:$J,(INDEX(Cables!$AO:$AO,ROWS($B$31:B71)+1)-1+MIN(MAX(IFERROR(MATCH(LN($C$6),INDEX(Attenuation!$J:$J,INDEX(Cables!$AO:$AO,ROWS($B$31:B71)+1)):INDEX(Attenuation!$J:$J,INDEX(Cables!$AO:$AO,ROWS($B$31:B71)+1)+INDEX(Cables!$AP:$AP,ROWS($B$31:B71)+1)-1),1),1),1),INDEX(Cables!$AP:$AP,ROWS($B$31:B71)+1)-1))):INDEX(Attenuation!$J:$J,(INDEX(Cables!$AO:$AO,ROWS($B$31:B71)+1)-1+MIN(MAX(IFERROR(MATCH(LN($C$6),INDEX(Attenuation!$J:$J,INDEX(Cables!$AO:$AO,ROWS($B$31:B71)+1)):INDEX(Attenuation!$J:$J,INDEX(Cables!$AO:$AO,ROWS($B$31:B71)+1)+INDEX(Cables!$AP:$AP,ROWS($B$31:B71)+1)-1),1),1),1),INDEX(Cables!$AP:$AP,ROWS($B$31:B71)+1)-1))+1))))</f>
        <v>4.8170321988361557</v>
      </c>
      <c r="D71" s="12">
        <f t="shared" si="3"/>
        <v>1.0277672835127936</v>
      </c>
      <c r="E71" s="24">
        <f t="shared" si="4"/>
        <v>78.926577642516321</v>
      </c>
      <c r="F71" s="25">
        <f t="shared" si="5"/>
        <v>0.78926577642516316</v>
      </c>
      <c r="G71" s="26">
        <f>IF(B71="","",IF(INDEX(Cables!$AX:$AX,ROWS($B$31:B71)+1)&lt;2,"-",EXP(FORECAST(LN($C$6),INDEX(Power!$K:$K,(INDEX(Cables!$AW:$AW,ROWS($B$31:B71)+1)-1+MIN(MAX(IFERROR(MATCH(LN($C$6),INDEX(Power!$J:$J,INDEX(Cables!$AW:$AW,ROWS($B$31:B71)+1)):INDEX(Power!$J:$J,INDEX(Cables!$AW:$AW,ROWS($B$31:B71)+1)+INDEX(Cables!$AX:$AX,ROWS($B$31:B71)+1)-1),1),1),1),INDEX(Cables!$AX:$AX,ROWS($B$31:B71)+1)-1))):INDEX(Power!$K:$K,(INDEX(Cables!$AW:$AW,ROWS($B$31:B71)+1)-1+MIN(MAX(IFERROR(MATCH(LN($C$6),INDEX(Power!$J:$J,INDEX(Cables!$AW:$AW,ROWS($B$31:B71)+1)):INDEX(Power!$J:$J,INDEX(Cables!$AW:$AW,ROWS($B$31:B71)+1)+INDEX(Cables!$AX:$AX,ROWS($B$31:B71)+1)-1),1),1),1),INDEX(Cables!$AX:$AX,ROWS($B$31:B71)+1)-1))+1),INDEX(Power!$J:$J,(INDEX(Cables!$AW:$AW,ROWS($B$31:B71)+1)-1+MIN(MAX(IFERROR(MATCH(LN($C$6),INDEX(Power!$J:$J,INDEX(Cables!$AW:$AW,ROWS($B$31:B71)+1)):INDEX(Power!$J:$J,INDEX(Cables!$AW:$AW,ROWS($B$31:B71)+1)+INDEX(Cables!$AX:$AX,ROWS($B$31:B71)+1)-1),1),1),1),INDEX(Cables!$AX:$AX,ROWS($B$31:B71)+1)-1))):INDEX(Power!$J:$J,(INDEX(Cables!$AW:$AW,ROWS($B$31:B71)+1)-1+MIN(MAX(IFERROR(MATCH(LN($C$6),INDEX(Power!$J:$J,INDEX(Cables!$AW:$AW,ROWS($B$31:B71)+1)):INDEX(Power!$J:$J,INDEX(Cables!$AW:$AW,ROWS($B$31:B71)+1)+INDEX(Cables!$AX:$AX,ROWS($B$31:B71)+1)-1),1),1),1),INDEX(Cables!$AX:$AX,ROWS($B$31:B71)+1)-1))+1)))))</f>
        <v>946.5140663124879</v>
      </c>
      <c r="H71" s="11" t="str">
        <f>IF(B71="","",MID(IF(OR($C$6&lt;INDEX(Cables!$AQ:$AQ,ROWS($B$31:B71)+1),$C$6&gt;INDEX(Cables!$AR:$AR,ROWS($B$31:B71)+1))," / ekstrapolasyon","")&amp;IF(AND(ISNUMBER(G71),$C$8&gt;G71)," / güç sınırı aşılıyor","")&amp;IF(INDEX(Cables!$F:$F,ROWS($B$31:B71)+1)&lt;&gt;50," / Z0="&amp;INDEX(Cables!$F:$F,ROWS($B$31:B71)+1)&amp;" Ω",""),4,200))</f>
        <v/>
      </c>
      <c r="I71" s="1"/>
    </row>
    <row r="72" spans="1:9" x14ac:dyDescent="0.25">
      <c r="A72" s="1"/>
      <c r="B72" s="11" t="str">
        <f>IF(ROWS($B$31:B72)&gt;COUNTA(Cables!$A:$A)-1,"",INDEX(Cables!$B:$B,ROWS($B$31:B72)+1))</f>
        <v>CommScope FSJ2-50 (3/8" Superflex)</v>
      </c>
      <c r="C72" s="12">
        <f>IF(B72="","",EXP(FORECAST(LN($C$6),INDEX(Attenuation!$K:$K,(INDEX(Cables!$AO:$AO,ROWS($B$31:B72)+1)-1+MIN(MAX(IFERROR(MATCH(LN($C$6),INDEX(Attenuation!$J:$J,INDEX(Cables!$AO:$AO,ROWS($B$31:B72)+1)):INDEX(Attenuation!$J:$J,INDEX(Cables!$AO:$AO,ROWS($B$31:B72)+1)+INDEX(Cables!$AP:$AP,ROWS($B$31:B72)+1)-1),1),1),1),INDEX(Cables!$AP:$AP,ROWS($B$31:B72)+1)-1))):INDEX(Attenuation!$K:$K,(INDEX(Cables!$AO:$AO,ROWS($B$31:B72)+1)-1+MIN(MAX(IFERROR(MATCH(LN($C$6),INDEX(Attenuation!$J:$J,INDEX(Cables!$AO:$AO,ROWS($B$31:B72)+1)):INDEX(Attenuation!$J:$J,INDEX(Cables!$AO:$AO,ROWS($B$31:B72)+1)+INDEX(Cables!$AP:$AP,ROWS($B$31:B72)+1)-1),1),1),1),INDEX(Cables!$AP:$AP,ROWS($B$31:B72)+1)-1))+1),INDEX(Attenuation!$J:$J,(INDEX(Cables!$AO:$AO,ROWS($B$31:B72)+1)-1+MIN(MAX(IFERROR(MATCH(LN($C$6),INDEX(Attenuation!$J:$J,INDEX(Cables!$AO:$AO,ROWS($B$31:B72)+1)):INDEX(Attenuation!$J:$J,INDEX(Cables!$AO:$AO,ROWS($B$31:B72)+1)+INDEX(Cables!$AP:$AP,ROWS($B$31:B72)+1)-1),1),1),1),INDEX(Cables!$AP:$AP,ROWS($B$31:B72)+1)-1))):INDEX(Attenuation!$J:$J,(INDEX(Cables!$AO:$AO,ROWS($B$31:B72)+1)-1+MIN(MAX(IFERROR(MATCH(LN($C$6),INDEX(Attenuation!$J:$J,INDEX(Cables!$AO:$AO,ROWS($B$31:B72)+1)):INDEX(Attenuation!$J:$J,INDEX(Cables!$AO:$AO,ROWS($B$31:B72)+1)+INDEX(Cables!$AP:$AP,ROWS($B$31:B72)+1)-1),1),1),1),INDEX(Cables!$AP:$AP,ROWS($B$31:B72)+1)-1))+1))))</f>
        <v>4.7783385418792799</v>
      </c>
      <c r="D72" s="12">
        <f t="shared" si="3"/>
        <v>1.0196200769338175</v>
      </c>
      <c r="E72" s="24">
        <f t="shared" si="4"/>
        <v>79.074780000201727</v>
      </c>
      <c r="F72" s="25">
        <f t="shared" si="5"/>
        <v>0.79074780000201728</v>
      </c>
      <c r="G72" s="26">
        <f>IF(B72="","",IF(INDEX(Cables!$AX:$AX,ROWS($B$31:B72)+1)&lt;2,"-",EXP(FORECAST(LN($C$6),INDEX(Power!$K:$K,(INDEX(Cables!$AW:$AW,ROWS($B$31:B72)+1)-1+MIN(MAX(IFERROR(MATCH(LN($C$6),INDEX(Power!$J:$J,INDEX(Cables!$AW:$AW,ROWS($B$31:B72)+1)):INDEX(Power!$J:$J,INDEX(Cables!$AW:$AW,ROWS($B$31:B72)+1)+INDEX(Cables!$AX:$AX,ROWS($B$31:B72)+1)-1),1),1),1),INDEX(Cables!$AX:$AX,ROWS($B$31:B72)+1)-1))):INDEX(Power!$K:$K,(INDEX(Cables!$AW:$AW,ROWS($B$31:B72)+1)-1+MIN(MAX(IFERROR(MATCH(LN($C$6),INDEX(Power!$J:$J,INDEX(Cables!$AW:$AW,ROWS($B$31:B72)+1)):INDEX(Power!$J:$J,INDEX(Cables!$AW:$AW,ROWS($B$31:B72)+1)+INDEX(Cables!$AX:$AX,ROWS($B$31:B72)+1)-1),1),1),1),INDEX(Cables!$AX:$AX,ROWS($B$31:B72)+1)-1))+1),INDEX(Power!$J:$J,(INDEX(Cables!$AW:$AW,ROWS($B$31:B72)+1)-1+MIN(MAX(IFERROR(MATCH(LN($C$6),INDEX(Power!$J:$J,INDEX(Cables!$AW:$AW,ROWS($B$31:B72)+1)):INDEX(Power!$J:$J,INDEX(Cables!$AW:$AW,ROWS($B$31:B72)+1)+INDEX(Cables!$AX:$AX,ROWS($B$31:B72)+1)-1),1),1),1),INDEX(Cables!$AX:$AX,ROWS($B$31:B72)+1)-1))):INDEX(Power!$J:$J,(INDEX(Cables!$AW:$AW,ROWS($B$31:B72)+1)-1+MIN(MAX(IFERROR(MATCH(LN($C$6),INDEX(Power!$J:$J,INDEX(Cables!$AW:$AW,ROWS($B$31:B72)+1)):INDEX(Power!$J:$J,INDEX(Cables!$AW:$AW,ROWS($B$31:B72)+1)+INDEX(Cables!$AX:$AX,ROWS($B$31:B72)+1)-1),1),1),1),INDEX(Cables!$AX:$AX,ROWS($B$31:B72)+1)-1))+1)))))</f>
        <v>1780.5929380721975</v>
      </c>
      <c r="H72" s="11" t="str">
        <f>IF(B72="","",MID(IF(OR($C$6&lt;INDEX(Cables!$AQ:$AQ,ROWS($B$31:B72)+1),$C$6&gt;INDEX(Cables!$AR:$AR,ROWS($B$31:B72)+1))," / ekstrapolasyon","")&amp;IF(AND(ISNUMBER(G72),$C$8&gt;G72)," / güç sınırı aşılıyor","")&amp;IF(INDEX(Cables!$F:$F,ROWS($B$31:B72)+1)&lt;&gt;50," / Z0="&amp;INDEX(Cables!$F:$F,ROWS($B$31:B72)+1)&amp;" Ω",""),4,200))</f>
        <v/>
      </c>
      <c r="I72" s="1"/>
    </row>
    <row r="73" spans="1:9" x14ac:dyDescent="0.25">
      <c r="A73" s="1"/>
      <c r="B73" s="11" t="str">
        <f>IF(ROWS($B$31:B73)&gt;COUNTA(Cables!$A:$A)-1,"",INDEX(Cables!$B:$B,ROWS($B$31:B73)+1))</f>
        <v>Messi &amp; Paoloni Airborne 10</v>
      </c>
      <c r="C73" s="12">
        <f>IF(B73="","",EXP(FORECAST(LN($C$6),INDEX(Attenuation!$K:$K,(INDEX(Cables!$AO:$AO,ROWS($B$31:B73)+1)-1+MIN(MAX(IFERROR(MATCH(LN($C$6),INDEX(Attenuation!$J:$J,INDEX(Cables!$AO:$AO,ROWS($B$31:B73)+1)):INDEX(Attenuation!$J:$J,INDEX(Cables!$AO:$AO,ROWS($B$31:B73)+1)+INDEX(Cables!$AP:$AP,ROWS($B$31:B73)+1)-1),1),1),1),INDEX(Cables!$AP:$AP,ROWS($B$31:B73)+1)-1))):INDEX(Attenuation!$K:$K,(INDEX(Cables!$AO:$AO,ROWS($B$31:B73)+1)-1+MIN(MAX(IFERROR(MATCH(LN($C$6),INDEX(Attenuation!$J:$J,INDEX(Cables!$AO:$AO,ROWS($B$31:B73)+1)):INDEX(Attenuation!$J:$J,INDEX(Cables!$AO:$AO,ROWS($B$31:B73)+1)+INDEX(Cables!$AP:$AP,ROWS($B$31:B73)+1)-1),1),1),1),INDEX(Cables!$AP:$AP,ROWS($B$31:B73)+1)-1))+1),INDEX(Attenuation!$J:$J,(INDEX(Cables!$AO:$AO,ROWS($B$31:B73)+1)-1+MIN(MAX(IFERROR(MATCH(LN($C$6),INDEX(Attenuation!$J:$J,INDEX(Cables!$AO:$AO,ROWS($B$31:B73)+1)):INDEX(Attenuation!$J:$J,INDEX(Cables!$AO:$AO,ROWS($B$31:B73)+1)+INDEX(Cables!$AP:$AP,ROWS($B$31:B73)+1)-1),1),1),1),INDEX(Cables!$AP:$AP,ROWS($B$31:B73)+1)-1))):INDEX(Attenuation!$J:$J,(INDEX(Cables!$AO:$AO,ROWS($B$31:B73)+1)-1+MIN(MAX(IFERROR(MATCH(LN($C$6),INDEX(Attenuation!$J:$J,INDEX(Cables!$AO:$AO,ROWS($B$31:B73)+1)):INDEX(Attenuation!$J:$J,INDEX(Cables!$AO:$AO,ROWS($B$31:B73)+1)+INDEX(Cables!$AP:$AP,ROWS($B$31:B73)+1)-1),1),1),1),INDEX(Cables!$AP:$AP,ROWS($B$31:B73)+1)-1))+1))))</f>
        <v>4.2154550582221599</v>
      </c>
      <c r="D73" s="12">
        <f t="shared" si="3"/>
        <v>0.90092902783322759</v>
      </c>
      <c r="E73" s="24">
        <f t="shared" si="4"/>
        <v>81.265665684934262</v>
      </c>
      <c r="F73" s="25">
        <f t="shared" si="5"/>
        <v>0.81265665684934263</v>
      </c>
      <c r="G73" s="26">
        <f>IF(B73="","",IF(INDEX(Cables!$AX:$AX,ROWS($B$31:B73)+1)&lt;2,"-",EXP(FORECAST(LN($C$6),INDEX(Power!$K:$K,(INDEX(Cables!$AW:$AW,ROWS($B$31:B73)+1)-1+MIN(MAX(IFERROR(MATCH(LN($C$6),INDEX(Power!$J:$J,INDEX(Cables!$AW:$AW,ROWS($B$31:B73)+1)):INDEX(Power!$J:$J,INDEX(Cables!$AW:$AW,ROWS($B$31:B73)+1)+INDEX(Cables!$AX:$AX,ROWS($B$31:B73)+1)-1),1),1),1),INDEX(Cables!$AX:$AX,ROWS($B$31:B73)+1)-1))):INDEX(Power!$K:$K,(INDEX(Cables!$AW:$AW,ROWS($B$31:B73)+1)-1+MIN(MAX(IFERROR(MATCH(LN($C$6),INDEX(Power!$J:$J,INDEX(Cables!$AW:$AW,ROWS($B$31:B73)+1)):INDEX(Power!$J:$J,INDEX(Cables!$AW:$AW,ROWS($B$31:B73)+1)+INDEX(Cables!$AX:$AX,ROWS($B$31:B73)+1)-1),1),1),1),INDEX(Cables!$AX:$AX,ROWS($B$31:B73)+1)-1))+1),INDEX(Power!$J:$J,(INDEX(Cables!$AW:$AW,ROWS($B$31:B73)+1)-1+MIN(MAX(IFERROR(MATCH(LN($C$6),INDEX(Power!$J:$J,INDEX(Cables!$AW:$AW,ROWS($B$31:B73)+1)):INDEX(Power!$J:$J,INDEX(Cables!$AW:$AW,ROWS($B$31:B73)+1)+INDEX(Cables!$AX:$AX,ROWS($B$31:B73)+1)-1),1),1),1),INDEX(Cables!$AX:$AX,ROWS($B$31:B73)+1)-1))):INDEX(Power!$J:$J,(INDEX(Cables!$AW:$AW,ROWS($B$31:B73)+1)-1+MIN(MAX(IFERROR(MATCH(LN($C$6),INDEX(Power!$J:$J,INDEX(Cables!$AW:$AW,ROWS($B$31:B73)+1)):INDEX(Power!$J:$J,INDEX(Cables!$AW:$AW,ROWS($B$31:B73)+1)+INDEX(Cables!$AX:$AX,ROWS($B$31:B73)+1)-1),1),1),1),INDEX(Cables!$AX:$AX,ROWS($B$31:B73)+1)-1))+1)))))</f>
        <v>1703.8204972051651</v>
      </c>
      <c r="H73" s="11" t="str">
        <f>IF(B73="","",MID(IF(OR($C$6&lt;INDEX(Cables!$AQ:$AQ,ROWS($B$31:B73)+1),$C$6&gt;INDEX(Cables!$AR:$AR,ROWS($B$31:B73)+1))," / ekstrapolasyon","")&amp;IF(AND(ISNUMBER(G73),$C$8&gt;G73)," / güç sınırı aşılıyor","")&amp;IF(INDEX(Cables!$F:$F,ROWS($B$31:B73)+1)&lt;&gt;50," / Z0="&amp;INDEX(Cables!$F:$F,ROWS($B$31:B73)+1)&amp;" Ω",""),4,200))</f>
        <v/>
      </c>
      <c r="I73" s="1"/>
    </row>
    <row r="74" spans="1:9" x14ac:dyDescent="0.25">
      <c r="A74" s="1"/>
      <c r="B74" s="11" t="str">
        <f>IF(ROWS($B$31:B74)&gt;COUNTA(Cables!$A:$A)-1,"",INDEX(Cables!$B:$B,ROWS($B$31:B74)+1))</f>
        <v>Westflex 103</v>
      </c>
      <c r="C74" s="12">
        <f>IF(B74="","",EXP(FORECAST(LN($C$6),INDEX(Attenuation!$K:$K,(INDEX(Cables!$AO:$AO,ROWS($B$31:B74)+1)-1+MIN(MAX(IFERROR(MATCH(LN($C$6),INDEX(Attenuation!$J:$J,INDEX(Cables!$AO:$AO,ROWS($B$31:B74)+1)):INDEX(Attenuation!$J:$J,INDEX(Cables!$AO:$AO,ROWS($B$31:B74)+1)+INDEX(Cables!$AP:$AP,ROWS($B$31:B74)+1)-1),1),1),1),INDEX(Cables!$AP:$AP,ROWS($B$31:B74)+1)-1))):INDEX(Attenuation!$K:$K,(INDEX(Cables!$AO:$AO,ROWS($B$31:B74)+1)-1+MIN(MAX(IFERROR(MATCH(LN($C$6),INDEX(Attenuation!$J:$J,INDEX(Cables!$AO:$AO,ROWS($B$31:B74)+1)):INDEX(Attenuation!$J:$J,INDEX(Cables!$AO:$AO,ROWS($B$31:B74)+1)+INDEX(Cables!$AP:$AP,ROWS($B$31:B74)+1)-1),1),1),1),INDEX(Cables!$AP:$AP,ROWS($B$31:B74)+1)-1))+1),INDEX(Attenuation!$J:$J,(INDEX(Cables!$AO:$AO,ROWS($B$31:B74)+1)-1+MIN(MAX(IFERROR(MATCH(LN($C$6),INDEX(Attenuation!$J:$J,INDEX(Cables!$AO:$AO,ROWS($B$31:B74)+1)):INDEX(Attenuation!$J:$J,INDEX(Cables!$AO:$AO,ROWS($B$31:B74)+1)+INDEX(Cables!$AP:$AP,ROWS($B$31:B74)+1)-1),1),1),1),INDEX(Cables!$AP:$AP,ROWS($B$31:B74)+1)-1))):INDEX(Attenuation!$J:$J,(INDEX(Cables!$AO:$AO,ROWS($B$31:B74)+1)-1+MIN(MAX(IFERROR(MATCH(LN($C$6),INDEX(Attenuation!$J:$J,INDEX(Cables!$AO:$AO,ROWS($B$31:B74)+1)):INDEX(Attenuation!$J:$J,INDEX(Cables!$AO:$AO,ROWS($B$31:B74)+1)+INDEX(Cables!$AP:$AP,ROWS($B$31:B74)+1)-1),1),1),1),INDEX(Cables!$AP:$AP,ROWS($B$31:B74)+1)-1))+1))))</f>
        <v>4.5173172120170886</v>
      </c>
      <c r="D74" s="12">
        <f t="shared" si="3"/>
        <v>0.96462090891341168</v>
      </c>
      <c r="E74" s="24">
        <f t="shared" si="4"/>
        <v>80.082552867421967</v>
      </c>
      <c r="F74" s="25">
        <f t="shared" si="5"/>
        <v>0.80082552867421963</v>
      </c>
      <c r="G74" s="26" t="str">
        <f>IF(B74="","",IF(INDEX(Cables!$AX:$AX,ROWS($B$31:B74)+1)&lt;2,"-",EXP(FORECAST(LN($C$6),INDEX(Power!$K:$K,(INDEX(Cables!$AW:$AW,ROWS($B$31:B74)+1)-1+MIN(MAX(IFERROR(MATCH(LN($C$6),INDEX(Power!$J:$J,INDEX(Cables!$AW:$AW,ROWS($B$31:B74)+1)):INDEX(Power!$J:$J,INDEX(Cables!$AW:$AW,ROWS($B$31:B74)+1)+INDEX(Cables!$AX:$AX,ROWS($B$31:B74)+1)-1),1),1),1),INDEX(Cables!$AX:$AX,ROWS($B$31:B74)+1)-1))):INDEX(Power!$K:$K,(INDEX(Cables!$AW:$AW,ROWS($B$31:B74)+1)-1+MIN(MAX(IFERROR(MATCH(LN($C$6),INDEX(Power!$J:$J,INDEX(Cables!$AW:$AW,ROWS($B$31:B74)+1)):INDEX(Power!$J:$J,INDEX(Cables!$AW:$AW,ROWS($B$31:B74)+1)+INDEX(Cables!$AX:$AX,ROWS($B$31:B74)+1)-1),1),1),1),INDEX(Cables!$AX:$AX,ROWS($B$31:B74)+1)-1))+1),INDEX(Power!$J:$J,(INDEX(Cables!$AW:$AW,ROWS($B$31:B74)+1)-1+MIN(MAX(IFERROR(MATCH(LN($C$6),INDEX(Power!$J:$J,INDEX(Cables!$AW:$AW,ROWS($B$31:B74)+1)):INDEX(Power!$J:$J,INDEX(Cables!$AW:$AW,ROWS($B$31:B74)+1)+INDEX(Cables!$AX:$AX,ROWS($B$31:B74)+1)-1),1),1),1),INDEX(Cables!$AX:$AX,ROWS($B$31:B74)+1)-1))):INDEX(Power!$J:$J,(INDEX(Cables!$AW:$AW,ROWS($B$31:B74)+1)-1+MIN(MAX(IFERROR(MATCH(LN($C$6),INDEX(Power!$J:$J,INDEX(Cables!$AW:$AW,ROWS($B$31:B74)+1)):INDEX(Power!$J:$J,INDEX(Cables!$AW:$AW,ROWS($B$31:B74)+1)+INDEX(Cables!$AX:$AX,ROWS($B$31:B74)+1)-1),1),1),1),INDEX(Cables!$AX:$AX,ROWS($B$31:B74)+1)-1))+1)))))</f>
        <v>-</v>
      </c>
      <c r="H74" s="11" t="str">
        <f>IF(B74="","",MID(IF(OR($C$6&lt;INDEX(Cables!$AQ:$AQ,ROWS($B$31:B74)+1),$C$6&gt;INDEX(Cables!$AR:$AR,ROWS($B$31:B74)+1))," / ekstrapolasyon","")&amp;IF(AND(ISNUMBER(G74),$C$8&gt;G74)," / güç sınırı aşılıyor","")&amp;IF(INDEX(Cables!$F:$F,ROWS($B$31:B74)+1)&lt;&gt;50," / Z0="&amp;INDEX(Cables!$F:$F,ROWS($B$31:B74)+1)&amp;" Ω",""),4,200))</f>
        <v/>
      </c>
      <c r="I74" s="1"/>
    </row>
    <row r="75" spans="1:9" x14ac:dyDescent="0.25">
      <c r="A75" s="1"/>
      <c r="B75" s="11" t="str">
        <f>IF(ROWS($B$31:B75)&gt;COUNTA(Cables!$A:$A)-1,"",INDEX(Cables!$B:$B,ROWS($B$31:B75)+1))</f>
        <v>CommScope FSJ4-50B (1/2" Superflex)</v>
      </c>
      <c r="C75" s="12">
        <f>IF(B75="","",EXP(FORECAST(LN($C$6),INDEX(Attenuation!$K:$K,(INDEX(Cables!$AO:$AO,ROWS($B$31:B75)+1)-1+MIN(MAX(IFERROR(MATCH(LN($C$6),INDEX(Attenuation!$J:$J,INDEX(Cables!$AO:$AO,ROWS($B$31:B75)+1)):INDEX(Attenuation!$J:$J,INDEX(Cables!$AO:$AO,ROWS($B$31:B75)+1)+INDEX(Cables!$AP:$AP,ROWS($B$31:B75)+1)-1),1),1),1),INDEX(Cables!$AP:$AP,ROWS($B$31:B75)+1)-1))):INDEX(Attenuation!$K:$K,(INDEX(Cables!$AO:$AO,ROWS($B$31:B75)+1)-1+MIN(MAX(IFERROR(MATCH(LN($C$6),INDEX(Attenuation!$J:$J,INDEX(Cables!$AO:$AO,ROWS($B$31:B75)+1)):INDEX(Attenuation!$J:$J,INDEX(Cables!$AO:$AO,ROWS($B$31:B75)+1)+INDEX(Cables!$AP:$AP,ROWS($B$31:B75)+1)-1),1),1),1),INDEX(Cables!$AP:$AP,ROWS($B$31:B75)+1)-1))+1),INDEX(Attenuation!$J:$J,(INDEX(Cables!$AO:$AO,ROWS($B$31:B75)+1)-1+MIN(MAX(IFERROR(MATCH(LN($C$6),INDEX(Attenuation!$J:$J,INDEX(Cables!$AO:$AO,ROWS($B$31:B75)+1)):INDEX(Attenuation!$J:$J,INDEX(Cables!$AO:$AO,ROWS($B$31:B75)+1)+INDEX(Cables!$AP:$AP,ROWS($B$31:B75)+1)-1),1),1),1),INDEX(Cables!$AP:$AP,ROWS($B$31:B75)+1)-1))):INDEX(Attenuation!$J:$J,(INDEX(Cables!$AO:$AO,ROWS($B$31:B75)+1)-1+MIN(MAX(IFERROR(MATCH(LN($C$6),INDEX(Attenuation!$J:$J,INDEX(Cables!$AO:$AO,ROWS($B$31:B75)+1)):INDEX(Attenuation!$J:$J,INDEX(Cables!$AO:$AO,ROWS($B$31:B75)+1)+INDEX(Cables!$AP:$AP,ROWS($B$31:B75)+1)-1),1),1),1),INDEX(Cables!$AP:$AP,ROWS($B$31:B75)+1)-1))+1))))</f>
        <v>4.1365641609179313</v>
      </c>
      <c r="D75" s="12">
        <f t="shared" si="3"/>
        <v>0.88426757207202211</v>
      </c>
      <c r="E75" s="24">
        <f t="shared" si="4"/>
        <v>81.578035506407048</v>
      </c>
      <c r="F75" s="25">
        <f t="shared" si="5"/>
        <v>0.81578035506407043</v>
      </c>
      <c r="G75" s="26">
        <f>IF(B75="","",IF(INDEX(Cables!$AX:$AX,ROWS($B$31:B75)+1)&lt;2,"-",EXP(FORECAST(LN($C$6),INDEX(Power!$K:$K,(INDEX(Cables!$AW:$AW,ROWS($B$31:B75)+1)-1+MIN(MAX(IFERROR(MATCH(LN($C$6),INDEX(Power!$J:$J,INDEX(Cables!$AW:$AW,ROWS($B$31:B75)+1)):INDEX(Power!$J:$J,INDEX(Cables!$AW:$AW,ROWS($B$31:B75)+1)+INDEX(Cables!$AX:$AX,ROWS($B$31:B75)+1)-1),1),1),1),INDEX(Cables!$AX:$AX,ROWS($B$31:B75)+1)-1))):INDEX(Power!$K:$K,(INDEX(Cables!$AW:$AW,ROWS($B$31:B75)+1)-1+MIN(MAX(IFERROR(MATCH(LN($C$6),INDEX(Power!$J:$J,INDEX(Cables!$AW:$AW,ROWS($B$31:B75)+1)):INDEX(Power!$J:$J,INDEX(Cables!$AW:$AW,ROWS($B$31:B75)+1)+INDEX(Cables!$AX:$AX,ROWS($B$31:B75)+1)-1),1),1),1),INDEX(Cables!$AX:$AX,ROWS($B$31:B75)+1)-1))+1),INDEX(Power!$J:$J,(INDEX(Cables!$AW:$AW,ROWS($B$31:B75)+1)-1+MIN(MAX(IFERROR(MATCH(LN($C$6),INDEX(Power!$J:$J,INDEX(Cables!$AW:$AW,ROWS($B$31:B75)+1)):INDEX(Power!$J:$J,INDEX(Cables!$AW:$AW,ROWS($B$31:B75)+1)+INDEX(Cables!$AX:$AX,ROWS($B$31:B75)+1)-1),1),1),1),INDEX(Cables!$AX:$AX,ROWS($B$31:B75)+1)-1))):INDEX(Power!$J:$J,(INDEX(Cables!$AW:$AW,ROWS($B$31:B75)+1)-1+MIN(MAX(IFERROR(MATCH(LN($C$6),INDEX(Power!$J:$J,INDEX(Cables!$AW:$AW,ROWS($B$31:B75)+1)):INDEX(Power!$J:$J,INDEX(Cables!$AW:$AW,ROWS($B$31:B75)+1)+INDEX(Cables!$AX:$AX,ROWS($B$31:B75)+1)-1),1),1),1),INDEX(Cables!$AX:$AX,ROWS($B$31:B75)+1)-1))+1)))))</f>
        <v>2534.8301464799738</v>
      </c>
      <c r="H75" s="11" t="str">
        <f>IF(B75="","",MID(IF(OR($C$6&lt;INDEX(Cables!$AQ:$AQ,ROWS($B$31:B75)+1),$C$6&gt;INDEX(Cables!$AR:$AR,ROWS($B$31:B75)+1))," / ekstrapolasyon","")&amp;IF(AND(ISNUMBER(G75),$C$8&gt;G75)," / güç sınırı aşılıyor","")&amp;IF(INDEX(Cables!$F:$F,ROWS($B$31:B75)+1)&lt;&gt;50," / Z0="&amp;INDEX(Cables!$F:$F,ROWS($B$31:B75)+1)&amp;" Ω",""),4,200))</f>
        <v/>
      </c>
      <c r="I75" s="1"/>
    </row>
    <row r="76" spans="1:9" x14ac:dyDescent="0.25">
      <c r="A76" s="1"/>
      <c r="B76" s="11" t="str">
        <f>IF(ROWS($B$31:B76)&gt;COUNTA(Cables!$A:$A)-1,"",INDEX(Cables!$B:$B,ROWS($B$31:B76)+1))</f>
        <v>CommScope LDF2-50 (3/8" HELIAX)</v>
      </c>
      <c r="C76" s="12">
        <f>IF(B76="","",EXP(FORECAST(LN($C$6),INDEX(Attenuation!$K:$K,(INDEX(Cables!$AO:$AO,ROWS($B$31:B76)+1)-1+MIN(MAX(IFERROR(MATCH(LN($C$6),INDEX(Attenuation!$J:$J,INDEX(Cables!$AO:$AO,ROWS($B$31:B76)+1)):INDEX(Attenuation!$J:$J,INDEX(Cables!$AO:$AO,ROWS($B$31:B76)+1)+INDEX(Cables!$AP:$AP,ROWS($B$31:B76)+1)-1),1),1),1),INDEX(Cables!$AP:$AP,ROWS($B$31:B76)+1)-1))):INDEX(Attenuation!$K:$K,(INDEX(Cables!$AO:$AO,ROWS($B$31:B76)+1)-1+MIN(MAX(IFERROR(MATCH(LN($C$6),INDEX(Attenuation!$J:$J,INDEX(Cables!$AO:$AO,ROWS($B$31:B76)+1)):INDEX(Attenuation!$J:$J,INDEX(Cables!$AO:$AO,ROWS($B$31:B76)+1)+INDEX(Cables!$AP:$AP,ROWS($B$31:B76)+1)-1),1),1),1),INDEX(Cables!$AP:$AP,ROWS($B$31:B76)+1)-1))+1),INDEX(Attenuation!$J:$J,(INDEX(Cables!$AO:$AO,ROWS($B$31:B76)+1)-1+MIN(MAX(IFERROR(MATCH(LN($C$6),INDEX(Attenuation!$J:$J,INDEX(Cables!$AO:$AO,ROWS($B$31:B76)+1)):INDEX(Attenuation!$J:$J,INDEX(Cables!$AO:$AO,ROWS($B$31:B76)+1)+INDEX(Cables!$AP:$AP,ROWS($B$31:B76)+1)-1),1),1),1),INDEX(Cables!$AP:$AP,ROWS($B$31:B76)+1)-1))):INDEX(Attenuation!$J:$J,(INDEX(Cables!$AO:$AO,ROWS($B$31:B76)+1)-1+MIN(MAX(IFERROR(MATCH(LN($C$6),INDEX(Attenuation!$J:$J,INDEX(Cables!$AO:$AO,ROWS($B$31:B76)+1)):INDEX(Attenuation!$J:$J,INDEX(Cables!$AO:$AO,ROWS($B$31:B76)+1)+INDEX(Cables!$AP:$AP,ROWS($B$31:B76)+1)-1),1),1),1),INDEX(Cables!$AP:$AP,ROWS($B$31:B76)+1)-1))+1))))</f>
        <v>4.1455768079319553</v>
      </c>
      <c r="D76" s="12">
        <f t="shared" si="3"/>
        <v>0.88617134278776433</v>
      </c>
      <c r="E76" s="24">
        <f t="shared" si="4"/>
        <v>81.542282843964244</v>
      </c>
      <c r="F76" s="25">
        <f t="shared" si="5"/>
        <v>0.81542282843964242</v>
      </c>
      <c r="G76" s="26">
        <f>IF(B76="","",IF(INDEX(Cables!$AX:$AX,ROWS($B$31:B76)+1)&lt;2,"-",EXP(FORECAST(LN($C$6),INDEX(Power!$K:$K,(INDEX(Cables!$AW:$AW,ROWS($B$31:B76)+1)-1+MIN(MAX(IFERROR(MATCH(LN($C$6),INDEX(Power!$J:$J,INDEX(Cables!$AW:$AW,ROWS($B$31:B76)+1)):INDEX(Power!$J:$J,INDEX(Cables!$AW:$AW,ROWS($B$31:B76)+1)+INDEX(Cables!$AX:$AX,ROWS($B$31:B76)+1)-1),1),1),1),INDEX(Cables!$AX:$AX,ROWS($B$31:B76)+1)-1))):INDEX(Power!$K:$K,(INDEX(Cables!$AW:$AW,ROWS($B$31:B76)+1)-1+MIN(MAX(IFERROR(MATCH(LN($C$6),INDEX(Power!$J:$J,INDEX(Cables!$AW:$AW,ROWS($B$31:B76)+1)):INDEX(Power!$J:$J,INDEX(Cables!$AW:$AW,ROWS($B$31:B76)+1)+INDEX(Cables!$AX:$AX,ROWS($B$31:B76)+1)-1),1),1),1),INDEX(Cables!$AX:$AX,ROWS($B$31:B76)+1)-1))+1),INDEX(Power!$J:$J,(INDEX(Cables!$AW:$AW,ROWS($B$31:B76)+1)-1+MIN(MAX(IFERROR(MATCH(LN($C$6),INDEX(Power!$J:$J,INDEX(Cables!$AW:$AW,ROWS($B$31:B76)+1)):INDEX(Power!$J:$J,INDEX(Cables!$AW:$AW,ROWS($B$31:B76)+1)+INDEX(Cables!$AX:$AX,ROWS($B$31:B76)+1)-1),1),1),1),INDEX(Cables!$AX:$AX,ROWS($B$31:B76)+1)-1))):INDEX(Power!$J:$J,(INDEX(Cables!$AW:$AW,ROWS($B$31:B76)+1)-1+MIN(MAX(IFERROR(MATCH(LN($C$6),INDEX(Power!$J:$J,INDEX(Cables!$AW:$AW,ROWS($B$31:B76)+1)):INDEX(Power!$J:$J,INDEX(Cables!$AW:$AW,ROWS($B$31:B76)+1)+INDEX(Cables!$AX:$AX,ROWS($B$31:B76)+1)-1),1),1),1),INDEX(Cables!$AX:$AX,ROWS($B$31:B76)+1)-1))+1)))))</f>
        <v>1862.4677719520116</v>
      </c>
      <c r="H76" s="11" t="str">
        <f>IF(B76="","",MID(IF(OR($C$6&lt;INDEX(Cables!$AQ:$AQ,ROWS($B$31:B76)+1),$C$6&gt;INDEX(Cables!$AR:$AR,ROWS($B$31:B76)+1))," / ekstrapolasyon","")&amp;IF(AND(ISNUMBER(G76),$C$8&gt;G76)," / güç sınırı aşılıyor","")&amp;IF(INDEX(Cables!$F:$F,ROWS($B$31:B76)+1)&lt;&gt;50," / Z0="&amp;INDEX(Cables!$F:$F,ROWS($B$31:B76)+1)&amp;" Ω",""),4,200))</f>
        <v/>
      </c>
      <c r="I76" s="1"/>
    </row>
    <row r="77" spans="1:9" x14ac:dyDescent="0.25">
      <c r="A77" s="1"/>
      <c r="B77" s="11" t="str">
        <f>IF(ROWS($B$31:B77)&gt;COUNTA(Cables!$A:$A)-1,"",INDEX(Cables!$B:$B,ROWS($B$31:B77)+1))</f>
        <v>Times Microwave LMR-500 (Amphenol)</v>
      </c>
      <c r="C77" s="12">
        <f>IF(B77="","",EXP(FORECAST(LN($C$6),INDEX(Attenuation!$K:$K,(INDEX(Cables!$AO:$AO,ROWS($B$31:B77)+1)-1+MIN(MAX(IFERROR(MATCH(LN($C$6),INDEX(Attenuation!$J:$J,INDEX(Cables!$AO:$AO,ROWS($B$31:B77)+1)):INDEX(Attenuation!$J:$J,INDEX(Cables!$AO:$AO,ROWS($B$31:B77)+1)+INDEX(Cables!$AP:$AP,ROWS($B$31:B77)+1)-1),1),1),1),INDEX(Cables!$AP:$AP,ROWS($B$31:B77)+1)-1))):INDEX(Attenuation!$K:$K,(INDEX(Cables!$AO:$AO,ROWS($B$31:B77)+1)-1+MIN(MAX(IFERROR(MATCH(LN($C$6),INDEX(Attenuation!$J:$J,INDEX(Cables!$AO:$AO,ROWS($B$31:B77)+1)):INDEX(Attenuation!$J:$J,INDEX(Cables!$AO:$AO,ROWS($B$31:B77)+1)+INDEX(Cables!$AP:$AP,ROWS($B$31:B77)+1)-1),1),1),1),INDEX(Cables!$AP:$AP,ROWS($B$31:B77)+1)-1))+1),INDEX(Attenuation!$J:$J,(INDEX(Cables!$AO:$AO,ROWS($B$31:B77)+1)-1+MIN(MAX(IFERROR(MATCH(LN($C$6),INDEX(Attenuation!$J:$J,INDEX(Cables!$AO:$AO,ROWS($B$31:B77)+1)):INDEX(Attenuation!$J:$J,INDEX(Cables!$AO:$AO,ROWS($B$31:B77)+1)+INDEX(Cables!$AP:$AP,ROWS($B$31:B77)+1)-1),1),1),1),INDEX(Cables!$AP:$AP,ROWS($B$31:B77)+1)-1))):INDEX(Attenuation!$J:$J,(INDEX(Cables!$AO:$AO,ROWS($B$31:B77)+1)-1+MIN(MAX(IFERROR(MATCH(LN($C$6),INDEX(Attenuation!$J:$J,INDEX(Cables!$AO:$AO,ROWS($B$31:B77)+1)):INDEX(Attenuation!$J:$J,INDEX(Cables!$AO:$AO,ROWS($B$31:B77)+1)+INDEX(Cables!$AP:$AP,ROWS($B$31:B77)+1)-1),1),1),1),INDEX(Cables!$AP:$AP,ROWS($B$31:B77)+1)-1))+1))))</f>
        <v>3.9345936407150082</v>
      </c>
      <c r="D77" s="12">
        <f t="shared" si="3"/>
        <v>0.8415818673619696</v>
      </c>
      <c r="E77" s="24">
        <f t="shared" si="4"/>
        <v>82.383798690998191</v>
      </c>
      <c r="F77" s="25">
        <f t="shared" si="5"/>
        <v>0.82383798690998189</v>
      </c>
      <c r="G77" s="26">
        <f>IF(B77="","",IF(INDEX(Cables!$AX:$AX,ROWS($B$31:B77)+1)&lt;2,"-",EXP(FORECAST(LN($C$6),INDEX(Power!$K:$K,(INDEX(Cables!$AW:$AW,ROWS($B$31:B77)+1)-1+MIN(MAX(IFERROR(MATCH(LN($C$6),INDEX(Power!$J:$J,INDEX(Cables!$AW:$AW,ROWS($B$31:B77)+1)):INDEX(Power!$J:$J,INDEX(Cables!$AW:$AW,ROWS($B$31:B77)+1)+INDEX(Cables!$AX:$AX,ROWS($B$31:B77)+1)-1),1),1),1),INDEX(Cables!$AX:$AX,ROWS($B$31:B77)+1)-1))):INDEX(Power!$K:$K,(INDEX(Cables!$AW:$AW,ROWS($B$31:B77)+1)-1+MIN(MAX(IFERROR(MATCH(LN($C$6),INDEX(Power!$J:$J,INDEX(Cables!$AW:$AW,ROWS($B$31:B77)+1)):INDEX(Power!$J:$J,INDEX(Cables!$AW:$AW,ROWS($B$31:B77)+1)+INDEX(Cables!$AX:$AX,ROWS($B$31:B77)+1)-1),1),1),1),INDEX(Cables!$AX:$AX,ROWS($B$31:B77)+1)-1))+1),INDEX(Power!$J:$J,(INDEX(Cables!$AW:$AW,ROWS($B$31:B77)+1)-1+MIN(MAX(IFERROR(MATCH(LN($C$6),INDEX(Power!$J:$J,INDEX(Cables!$AW:$AW,ROWS($B$31:B77)+1)):INDEX(Power!$J:$J,INDEX(Cables!$AW:$AW,ROWS($B$31:B77)+1)+INDEX(Cables!$AX:$AX,ROWS($B$31:B77)+1)-1),1),1),1),INDEX(Cables!$AX:$AX,ROWS($B$31:B77)+1)-1))):INDEX(Power!$J:$J,(INDEX(Cables!$AW:$AW,ROWS($B$31:B77)+1)-1+MIN(MAX(IFERROR(MATCH(LN($C$6),INDEX(Power!$J:$J,INDEX(Cables!$AW:$AW,ROWS($B$31:B77)+1)):INDEX(Power!$J:$J,INDEX(Cables!$AW:$AW,ROWS($B$31:B77)+1)+INDEX(Cables!$AX:$AX,ROWS($B$31:B77)+1)-1),1),1),1),INDEX(Cables!$AX:$AX,ROWS($B$31:B77)+1)-1))+1)))))</f>
        <v>1934.4269351803957</v>
      </c>
      <c r="H77" s="11" t="str">
        <f>IF(B77="","",MID(IF(OR($C$6&lt;INDEX(Cables!$AQ:$AQ,ROWS($B$31:B77)+1),$C$6&gt;INDEX(Cables!$AR:$AR,ROWS($B$31:B77)+1))," / ekstrapolasyon","")&amp;IF(AND(ISNUMBER(G77),$C$8&gt;G77)," / güç sınırı aşılıyor","")&amp;IF(INDEX(Cables!$F:$F,ROWS($B$31:B77)+1)&lt;&gt;50," / Z0="&amp;INDEX(Cables!$F:$F,ROWS($B$31:B77)+1)&amp;" Ω",""),4,200))</f>
        <v/>
      </c>
      <c r="I77" s="1"/>
    </row>
    <row r="78" spans="1:9" x14ac:dyDescent="0.25">
      <c r="A78" s="1"/>
      <c r="B78" s="11" t="str">
        <f>IF(ROWS($B$31:B78)&gt;COUNTA(Cables!$A:$A)-1,"",INDEX(Cables!$B:$B,ROWS($B$31:B78)+1))</f>
        <v>10D-FB (2020 numune spesifikasyonu)</v>
      </c>
      <c r="C78" s="12">
        <f>IF(B78="","",EXP(FORECAST(LN($C$6),INDEX(Attenuation!$K:$K,(INDEX(Cables!$AO:$AO,ROWS($B$31:B78)+1)-1+MIN(MAX(IFERROR(MATCH(LN($C$6),INDEX(Attenuation!$J:$J,INDEX(Cables!$AO:$AO,ROWS($B$31:B78)+1)):INDEX(Attenuation!$J:$J,INDEX(Cables!$AO:$AO,ROWS($B$31:B78)+1)+INDEX(Cables!$AP:$AP,ROWS($B$31:B78)+1)-1),1),1),1),INDEX(Cables!$AP:$AP,ROWS($B$31:B78)+1)-1))):INDEX(Attenuation!$K:$K,(INDEX(Cables!$AO:$AO,ROWS($B$31:B78)+1)-1+MIN(MAX(IFERROR(MATCH(LN($C$6),INDEX(Attenuation!$J:$J,INDEX(Cables!$AO:$AO,ROWS($B$31:B78)+1)):INDEX(Attenuation!$J:$J,INDEX(Cables!$AO:$AO,ROWS($B$31:B78)+1)+INDEX(Cables!$AP:$AP,ROWS($B$31:B78)+1)-1),1),1),1),INDEX(Cables!$AP:$AP,ROWS($B$31:B78)+1)-1))+1),INDEX(Attenuation!$J:$J,(INDEX(Cables!$AO:$AO,ROWS($B$31:B78)+1)-1+MIN(MAX(IFERROR(MATCH(LN($C$6),INDEX(Attenuation!$J:$J,INDEX(Cables!$AO:$AO,ROWS($B$31:B78)+1)):INDEX(Attenuation!$J:$J,INDEX(Cables!$AO:$AO,ROWS($B$31:B78)+1)+INDEX(Cables!$AP:$AP,ROWS($B$31:B78)+1)-1),1),1),1),INDEX(Cables!$AP:$AP,ROWS($B$31:B78)+1)-1))):INDEX(Attenuation!$J:$J,(INDEX(Cables!$AO:$AO,ROWS($B$31:B78)+1)-1+MIN(MAX(IFERROR(MATCH(LN($C$6),INDEX(Attenuation!$J:$J,INDEX(Cables!$AO:$AO,ROWS($B$31:B78)+1)):INDEX(Attenuation!$J:$J,INDEX(Cables!$AO:$AO,ROWS($B$31:B78)+1)+INDEX(Cables!$AP:$AP,ROWS($B$31:B78)+1)-1),1),1),1),INDEX(Cables!$AP:$AP,ROWS($B$31:B78)+1)-1))+1))))</f>
        <v>3.635892797793379</v>
      </c>
      <c r="D78" s="12">
        <f t="shared" si="3"/>
        <v>0.77837116427541297</v>
      </c>
      <c r="E78" s="24">
        <f t="shared" si="4"/>
        <v>83.591647266627461</v>
      </c>
      <c r="F78" s="25">
        <f t="shared" si="5"/>
        <v>0.83591647266627467</v>
      </c>
      <c r="G78" s="26" t="str">
        <f>IF(B78="","",IF(INDEX(Cables!$AX:$AX,ROWS($B$31:B78)+1)&lt;2,"-",EXP(FORECAST(LN($C$6),INDEX(Power!$K:$K,(INDEX(Cables!$AW:$AW,ROWS($B$31:B78)+1)-1+MIN(MAX(IFERROR(MATCH(LN($C$6),INDEX(Power!$J:$J,INDEX(Cables!$AW:$AW,ROWS($B$31:B78)+1)):INDEX(Power!$J:$J,INDEX(Cables!$AW:$AW,ROWS($B$31:B78)+1)+INDEX(Cables!$AX:$AX,ROWS($B$31:B78)+1)-1),1),1),1),INDEX(Cables!$AX:$AX,ROWS($B$31:B78)+1)-1))):INDEX(Power!$K:$K,(INDEX(Cables!$AW:$AW,ROWS($B$31:B78)+1)-1+MIN(MAX(IFERROR(MATCH(LN($C$6),INDEX(Power!$J:$J,INDEX(Cables!$AW:$AW,ROWS($B$31:B78)+1)):INDEX(Power!$J:$J,INDEX(Cables!$AW:$AW,ROWS($B$31:B78)+1)+INDEX(Cables!$AX:$AX,ROWS($B$31:B78)+1)-1),1),1),1),INDEX(Cables!$AX:$AX,ROWS($B$31:B78)+1)-1))+1),INDEX(Power!$J:$J,(INDEX(Cables!$AW:$AW,ROWS($B$31:B78)+1)-1+MIN(MAX(IFERROR(MATCH(LN($C$6),INDEX(Power!$J:$J,INDEX(Cables!$AW:$AW,ROWS($B$31:B78)+1)):INDEX(Power!$J:$J,INDEX(Cables!$AW:$AW,ROWS($B$31:B78)+1)+INDEX(Cables!$AX:$AX,ROWS($B$31:B78)+1)-1),1),1),1),INDEX(Cables!$AX:$AX,ROWS($B$31:B78)+1)-1))):INDEX(Power!$J:$J,(INDEX(Cables!$AW:$AW,ROWS($B$31:B78)+1)-1+MIN(MAX(IFERROR(MATCH(LN($C$6),INDEX(Power!$J:$J,INDEX(Cables!$AW:$AW,ROWS($B$31:B78)+1)):INDEX(Power!$J:$J,INDEX(Cables!$AW:$AW,ROWS($B$31:B78)+1)+INDEX(Cables!$AX:$AX,ROWS($B$31:B78)+1)-1),1),1),1),INDEX(Cables!$AX:$AX,ROWS($B$31:B78)+1)-1))+1)))))</f>
        <v>-</v>
      </c>
      <c r="H78" s="11" t="str">
        <f>IF(B78="","",MID(IF(OR($C$6&lt;INDEX(Cables!$AQ:$AQ,ROWS($B$31:B78)+1),$C$6&gt;INDEX(Cables!$AR:$AR,ROWS($B$31:B78)+1))," / ekstrapolasyon","")&amp;IF(AND(ISNUMBER(G78),$C$8&gt;G78)," / güç sınırı aşılıyor","")&amp;IF(INDEX(Cables!$F:$F,ROWS($B$31:B78)+1)&lt;&gt;50," / Z0="&amp;INDEX(Cables!$F:$F,ROWS($B$31:B78)+1)&amp;" Ω",""),4,200))</f>
        <v/>
      </c>
      <c r="I78" s="1"/>
    </row>
    <row r="79" spans="1:9" x14ac:dyDescent="0.25">
      <c r="A79" s="1"/>
      <c r="B79" s="11" t="str">
        <f>IF(ROWS($B$31:B79)&gt;COUNTA(Cables!$A:$A)-1,"",INDEX(Cables!$B:$B,ROWS($B$31:B79)+1))</f>
        <v>Messi &amp; Paoloni Ultraflex 13</v>
      </c>
      <c r="C79" s="12">
        <f>IF(B79="","",EXP(FORECAST(LN($C$6),INDEX(Attenuation!$K:$K,(INDEX(Cables!$AO:$AO,ROWS($B$31:B79)+1)-1+MIN(MAX(IFERROR(MATCH(LN($C$6),INDEX(Attenuation!$J:$J,INDEX(Cables!$AO:$AO,ROWS($B$31:B79)+1)):INDEX(Attenuation!$J:$J,INDEX(Cables!$AO:$AO,ROWS($B$31:B79)+1)+INDEX(Cables!$AP:$AP,ROWS($B$31:B79)+1)-1),1),1),1),INDEX(Cables!$AP:$AP,ROWS($B$31:B79)+1)-1))):INDEX(Attenuation!$K:$K,(INDEX(Cables!$AO:$AO,ROWS($B$31:B79)+1)-1+MIN(MAX(IFERROR(MATCH(LN($C$6),INDEX(Attenuation!$J:$J,INDEX(Cables!$AO:$AO,ROWS($B$31:B79)+1)):INDEX(Attenuation!$J:$J,INDEX(Cables!$AO:$AO,ROWS($B$31:B79)+1)+INDEX(Cables!$AP:$AP,ROWS($B$31:B79)+1)-1),1),1),1),INDEX(Cables!$AP:$AP,ROWS($B$31:B79)+1)-1))+1),INDEX(Attenuation!$J:$J,(INDEX(Cables!$AO:$AO,ROWS($B$31:B79)+1)-1+MIN(MAX(IFERROR(MATCH(LN($C$6),INDEX(Attenuation!$J:$J,INDEX(Cables!$AO:$AO,ROWS($B$31:B79)+1)):INDEX(Attenuation!$J:$J,INDEX(Cables!$AO:$AO,ROWS($B$31:B79)+1)+INDEX(Cables!$AP:$AP,ROWS($B$31:B79)+1)-1),1),1),1),INDEX(Cables!$AP:$AP,ROWS($B$31:B79)+1)-1))):INDEX(Attenuation!$J:$J,(INDEX(Cables!$AO:$AO,ROWS($B$31:B79)+1)-1+MIN(MAX(IFERROR(MATCH(LN($C$6),INDEX(Attenuation!$J:$J,INDEX(Cables!$AO:$AO,ROWS($B$31:B79)+1)):INDEX(Attenuation!$J:$J,INDEX(Cables!$AO:$AO,ROWS($B$31:B79)+1)+INDEX(Cables!$AP:$AP,ROWS($B$31:B79)+1)-1),1),1),1),INDEX(Cables!$AP:$AP,ROWS($B$31:B79)+1)-1))+1))))</f>
        <v>3.6135005083742597</v>
      </c>
      <c r="D79" s="12">
        <f t="shared" si="3"/>
        <v>0.77362855469389058</v>
      </c>
      <c r="E79" s="24">
        <f t="shared" si="4"/>
        <v>83.682981397138661</v>
      </c>
      <c r="F79" s="25">
        <f t="shared" si="5"/>
        <v>0.83682981397138656</v>
      </c>
      <c r="G79" s="26" t="str">
        <f>IF(B79="","",IF(INDEX(Cables!$AX:$AX,ROWS($B$31:B79)+1)&lt;2,"-",EXP(FORECAST(LN($C$6),INDEX(Power!$K:$K,(INDEX(Cables!$AW:$AW,ROWS($B$31:B79)+1)-1+MIN(MAX(IFERROR(MATCH(LN($C$6),INDEX(Power!$J:$J,INDEX(Cables!$AW:$AW,ROWS($B$31:B79)+1)):INDEX(Power!$J:$J,INDEX(Cables!$AW:$AW,ROWS($B$31:B79)+1)+INDEX(Cables!$AX:$AX,ROWS($B$31:B79)+1)-1),1),1),1),INDEX(Cables!$AX:$AX,ROWS($B$31:B79)+1)-1))):INDEX(Power!$K:$K,(INDEX(Cables!$AW:$AW,ROWS($B$31:B79)+1)-1+MIN(MAX(IFERROR(MATCH(LN($C$6),INDEX(Power!$J:$J,INDEX(Cables!$AW:$AW,ROWS($B$31:B79)+1)):INDEX(Power!$J:$J,INDEX(Cables!$AW:$AW,ROWS($B$31:B79)+1)+INDEX(Cables!$AX:$AX,ROWS($B$31:B79)+1)-1),1),1),1),INDEX(Cables!$AX:$AX,ROWS($B$31:B79)+1)-1))+1),INDEX(Power!$J:$J,(INDEX(Cables!$AW:$AW,ROWS($B$31:B79)+1)-1+MIN(MAX(IFERROR(MATCH(LN($C$6),INDEX(Power!$J:$J,INDEX(Cables!$AW:$AW,ROWS($B$31:B79)+1)):INDEX(Power!$J:$J,INDEX(Cables!$AW:$AW,ROWS($B$31:B79)+1)+INDEX(Cables!$AX:$AX,ROWS($B$31:B79)+1)-1),1),1),1),INDEX(Cables!$AX:$AX,ROWS($B$31:B79)+1)-1))):INDEX(Power!$J:$J,(INDEX(Cables!$AW:$AW,ROWS($B$31:B79)+1)-1+MIN(MAX(IFERROR(MATCH(LN($C$6),INDEX(Power!$J:$J,INDEX(Cables!$AW:$AW,ROWS($B$31:B79)+1)):INDEX(Power!$J:$J,INDEX(Cables!$AW:$AW,ROWS($B$31:B79)+1)+INDEX(Cables!$AX:$AX,ROWS($B$31:B79)+1)-1),1),1),1),INDEX(Cables!$AX:$AX,ROWS($B$31:B79)+1)-1))+1)))))</f>
        <v>-</v>
      </c>
      <c r="H79" s="11" t="str">
        <f>IF(B79="","",MID(IF(OR($C$6&lt;INDEX(Cables!$AQ:$AQ,ROWS($B$31:B79)+1),$C$6&gt;INDEX(Cables!$AR:$AR,ROWS($B$31:B79)+1))," / ekstrapolasyon","")&amp;IF(AND(ISNUMBER(G79),$C$8&gt;G79)," / güç sınırı aşılıyor","")&amp;IF(INDEX(Cables!$F:$F,ROWS($B$31:B79)+1)&lt;&gt;50," / Z0="&amp;INDEX(Cables!$F:$F,ROWS($B$31:B79)+1)&amp;" Ω",""),4,200))</f>
        <v/>
      </c>
      <c r="I79" s="1"/>
    </row>
    <row r="80" spans="1:9" x14ac:dyDescent="0.25">
      <c r="A80" s="1"/>
      <c r="B80" s="11" t="str">
        <f>IF(ROWS($B$31:B80)&gt;COUNTA(Cables!$A:$A)-1,"",INDEX(Cables!$B:$B,ROWS($B$31:B80)+1))</f>
        <v>Messi &amp; Paoloni Hyperflex 13</v>
      </c>
      <c r="C80" s="12">
        <f>IF(B80="","",EXP(FORECAST(LN($C$6),INDEX(Attenuation!$K:$K,(INDEX(Cables!$AO:$AO,ROWS($B$31:B80)+1)-1+MIN(MAX(IFERROR(MATCH(LN($C$6),INDEX(Attenuation!$J:$J,INDEX(Cables!$AO:$AO,ROWS($B$31:B80)+1)):INDEX(Attenuation!$J:$J,INDEX(Cables!$AO:$AO,ROWS($B$31:B80)+1)+INDEX(Cables!$AP:$AP,ROWS($B$31:B80)+1)-1),1),1),1),INDEX(Cables!$AP:$AP,ROWS($B$31:B80)+1)-1))):INDEX(Attenuation!$K:$K,(INDEX(Cables!$AO:$AO,ROWS($B$31:B80)+1)-1+MIN(MAX(IFERROR(MATCH(LN($C$6),INDEX(Attenuation!$J:$J,INDEX(Cables!$AO:$AO,ROWS($B$31:B80)+1)):INDEX(Attenuation!$J:$J,INDEX(Cables!$AO:$AO,ROWS($B$31:B80)+1)+INDEX(Cables!$AP:$AP,ROWS($B$31:B80)+1)-1),1),1),1),INDEX(Cables!$AP:$AP,ROWS($B$31:B80)+1)-1))+1),INDEX(Attenuation!$J:$J,(INDEX(Cables!$AO:$AO,ROWS($B$31:B80)+1)-1+MIN(MAX(IFERROR(MATCH(LN($C$6),INDEX(Attenuation!$J:$J,INDEX(Cables!$AO:$AO,ROWS($B$31:B80)+1)):INDEX(Attenuation!$J:$J,INDEX(Cables!$AO:$AO,ROWS($B$31:B80)+1)+INDEX(Cables!$AP:$AP,ROWS($B$31:B80)+1)-1),1),1),1),INDEX(Cables!$AP:$AP,ROWS($B$31:B80)+1)-1))):INDEX(Attenuation!$J:$J,(INDEX(Cables!$AO:$AO,ROWS($B$31:B80)+1)-1+MIN(MAX(IFERROR(MATCH(LN($C$6),INDEX(Attenuation!$J:$J,INDEX(Cables!$AO:$AO,ROWS($B$31:B80)+1)):INDEX(Attenuation!$J:$J,INDEX(Cables!$AO:$AO,ROWS($B$31:B80)+1)+INDEX(Cables!$AP:$AP,ROWS($B$31:B80)+1)-1),1),1),1),INDEX(Cables!$AP:$AP,ROWS($B$31:B80)+1)-1))+1))))</f>
        <v>3.6117097181012379</v>
      </c>
      <c r="D80" s="12">
        <f t="shared" si="3"/>
        <v>0.77324924726687927</v>
      </c>
      <c r="E80" s="24">
        <f t="shared" si="4"/>
        <v>83.690290484372426</v>
      </c>
      <c r="F80" s="25">
        <f t="shared" si="5"/>
        <v>0.8369029048437242</v>
      </c>
      <c r="G80" s="26">
        <f>IF(B80="","",IF(INDEX(Cables!$AX:$AX,ROWS($B$31:B80)+1)&lt;2,"-",EXP(FORECAST(LN($C$6),INDEX(Power!$K:$K,(INDEX(Cables!$AW:$AW,ROWS($B$31:B80)+1)-1+MIN(MAX(IFERROR(MATCH(LN($C$6),INDEX(Power!$J:$J,INDEX(Cables!$AW:$AW,ROWS($B$31:B80)+1)):INDEX(Power!$J:$J,INDEX(Cables!$AW:$AW,ROWS($B$31:B80)+1)+INDEX(Cables!$AX:$AX,ROWS($B$31:B80)+1)-1),1),1),1),INDEX(Cables!$AX:$AX,ROWS($B$31:B80)+1)-1))):INDEX(Power!$K:$K,(INDEX(Cables!$AW:$AW,ROWS($B$31:B80)+1)-1+MIN(MAX(IFERROR(MATCH(LN($C$6),INDEX(Power!$J:$J,INDEX(Cables!$AW:$AW,ROWS($B$31:B80)+1)):INDEX(Power!$J:$J,INDEX(Cables!$AW:$AW,ROWS($B$31:B80)+1)+INDEX(Cables!$AX:$AX,ROWS($B$31:B80)+1)-1),1),1),1),INDEX(Cables!$AX:$AX,ROWS($B$31:B80)+1)-1))+1),INDEX(Power!$J:$J,(INDEX(Cables!$AW:$AW,ROWS($B$31:B80)+1)-1+MIN(MAX(IFERROR(MATCH(LN($C$6),INDEX(Power!$J:$J,INDEX(Cables!$AW:$AW,ROWS($B$31:B80)+1)):INDEX(Power!$J:$J,INDEX(Cables!$AW:$AW,ROWS($B$31:B80)+1)+INDEX(Cables!$AX:$AX,ROWS($B$31:B80)+1)-1),1),1),1),INDEX(Cables!$AX:$AX,ROWS($B$31:B80)+1)-1))):INDEX(Power!$J:$J,(INDEX(Cables!$AW:$AW,ROWS($B$31:B80)+1)-1+MIN(MAX(IFERROR(MATCH(LN($C$6),INDEX(Power!$J:$J,INDEX(Cables!$AW:$AW,ROWS($B$31:B80)+1)):INDEX(Power!$J:$J,INDEX(Cables!$AW:$AW,ROWS($B$31:B80)+1)+INDEX(Cables!$AX:$AX,ROWS($B$31:B80)+1)-1),1),1),1),INDEX(Cables!$AX:$AX,ROWS($B$31:B80)+1)-1))+1)))))</f>
        <v>2390.5380893468759</v>
      </c>
      <c r="H80" s="11" t="str">
        <f>IF(B80="","",MID(IF(OR($C$6&lt;INDEX(Cables!$AQ:$AQ,ROWS($B$31:B80)+1),$C$6&gt;INDEX(Cables!$AR:$AR,ROWS($B$31:B80)+1))," / ekstrapolasyon","")&amp;IF(AND(ISNUMBER(G80),$C$8&gt;G80)," / güç sınırı aşılıyor","")&amp;IF(INDEX(Cables!$F:$F,ROWS($B$31:B80)+1)&lt;&gt;50," / Z0="&amp;INDEX(Cables!$F:$F,ROWS($B$31:B80)+1)&amp;" Ω",""),4,200))</f>
        <v/>
      </c>
      <c r="I80" s="1"/>
    </row>
    <row r="81" spans="1:9" x14ac:dyDescent="0.25">
      <c r="A81" s="1"/>
      <c r="B81" s="11" t="str">
        <f>IF(ROWS($B$31:B81)&gt;COUNTA(Cables!$A:$A)-1,"",INDEX(Cables!$B:$B,ROWS($B$31:B81)+1))</f>
        <v>SSB Ecoflex 15</v>
      </c>
      <c r="C81" s="12">
        <f>IF(B81="","",EXP(FORECAST(LN($C$6),INDEX(Attenuation!$K:$K,(INDEX(Cables!$AO:$AO,ROWS($B$31:B81)+1)-1+MIN(MAX(IFERROR(MATCH(LN($C$6),INDEX(Attenuation!$J:$J,INDEX(Cables!$AO:$AO,ROWS($B$31:B81)+1)):INDEX(Attenuation!$J:$J,INDEX(Cables!$AO:$AO,ROWS($B$31:B81)+1)+INDEX(Cables!$AP:$AP,ROWS($B$31:B81)+1)-1),1),1),1),INDEX(Cables!$AP:$AP,ROWS($B$31:B81)+1)-1))):INDEX(Attenuation!$K:$K,(INDEX(Cables!$AO:$AO,ROWS($B$31:B81)+1)-1+MIN(MAX(IFERROR(MATCH(LN($C$6),INDEX(Attenuation!$J:$J,INDEX(Cables!$AO:$AO,ROWS($B$31:B81)+1)):INDEX(Attenuation!$J:$J,INDEX(Cables!$AO:$AO,ROWS($B$31:B81)+1)+INDEX(Cables!$AP:$AP,ROWS($B$31:B81)+1)-1),1),1),1),INDEX(Cables!$AP:$AP,ROWS($B$31:B81)+1)-1))+1),INDEX(Attenuation!$J:$J,(INDEX(Cables!$AO:$AO,ROWS($B$31:B81)+1)-1+MIN(MAX(IFERROR(MATCH(LN($C$6),INDEX(Attenuation!$J:$J,INDEX(Cables!$AO:$AO,ROWS($B$31:B81)+1)):INDEX(Attenuation!$J:$J,INDEX(Cables!$AO:$AO,ROWS($B$31:B81)+1)+INDEX(Cables!$AP:$AP,ROWS($B$31:B81)+1)-1),1),1),1),INDEX(Cables!$AP:$AP,ROWS($B$31:B81)+1)-1))):INDEX(Attenuation!$J:$J,(INDEX(Cables!$AO:$AO,ROWS($B$31:B81)+1)-1+MIN(MAX(IFERROR(MATCH(LN($C$6),INDEX(Attenuation!$J:$J,INDEX(Cables!$AO:$AO,ROWS($B$31:B81)+1)):INDEX(Attenuation!$J:$J,INDEX(Cables!$AO:$AO,ROWS($B$31:B81)+1)+INDEX(Cables!$AP:$AP,ROWS($B$31:B81)+1)-1),1),1),1),INDEX(Cables!$AP:$AP,ROWS($B$31:B81)+1)-1))+1))))</f>
        <v>3.4125535135502933</v>
      </c>
      <c r="D81" s="12">
        <f t="shared" si="3"/>
        <v>0.73104340118663391</v>
      </c>
      <c r="E81" s="24">
        <f t="shared" si="4"/>
        <v>84.50757896188577</v>
      </c>
      <c r="F81" s="25">
        <f t="shared" si="5"/>
        <v>0.84507578961885765</v>
      </c>
      <c r="G81" s="26">
        <f>IF(B81="","",IF(INDEX(Cables!$AX:$AX,ROWS($B$31:B81)+1)&lt;2,"-",EXP(FORECAST(LN($C$6),INDEX(Power!$K:$K,(INDEX(Cables!$AW:$AW,ROWS($B$31:B81)+1)-1+MIN(MAX(IFERROR(MATCH(LN($C$6),INDEX(Power!$J:$J,INDEX(Cables!$AW:$AW,ROWS($B$31:B81)+1)):INDEX(Power!$J:$J,INDEX(Cables!$AW:$AW,ROWS($B$31:B81)+1)+INDEX(Cables!$AX:$AX,ROWS($B$31:B81)+1)-1),1),1),1),INDEX(Cables!$AX:$AX,ROWS($B$31:B81)+1)-1))):INDEX(Power!$K:$K,(INDEX(Cables!$AW:$AW,ROWS($B$31:B81)+1)-1+MIN(MAX(IFERROR(MATCH(LN($C$6),INDEX(Power!$J:$J,INDEX(Cables!$AW:$AW,ROWS($B$31:B81)+1)):INDEX(Power!$J:$J,INDEX(Cables!$AW:$AW,ROWS($B$31:B81)+1)+INDEX(Cables!$AX:$AX,ROWS($B$31:B81)+1)-1),1),1),1),INDEX(Cables!$AX:$AX,ROWS($B$31:B81)+1)-1))+1),INDEX(Power!$J:$J,(INDEX(Cables!$AW:$AW,ROWS($B$31:B81)+1)-1+MIN(MAX(IFERROR(MATCH(LN($C$6),INDEX(Power!$J:$J,INDEX(Cables!$AW:$AW,ROWS($B$31:B81)+1)):INDEX(Power!$J:$J,INDEX(Cables!$AW:$AW,ROWS($B$31:B81)+1)+INDEX(Cables!$AX:$AX,ROWS($B$31:B81)+1)-1),1),1),1),INDEX(Cables!$AX:$AX,ROWS($B$31:B81)+1)-1))):INDEX(Power!$J:$J,(INDEX(Cables!$AW:$AW,ROWS($B$31:B81)+1)-1+MIN(MAX(IFERROR(MATCH(LN($C$6),INDEX(Power!$J:$J,INDEX(Cables!$AW:$AW,ROWS($B$31:B81)+1)):INDEX(Power!$J:$J,INDEX(Cables!$AW:$AW,ROWS($B$31:B81)+1)+INDEX(Cables!$AX:$AX,ROWS($B$31:B81)+1)-1),1),1),1),INDEX(Cables!$AX:$AX,ROWS($B$31:B81)+1)-1))+1)))))</f>
        <v>1613.6230453645198</v>
      </c>
      <c r="H81" s="11" t="str">
        <f>IF(B81="","",MID(IF(OR($C$6&lt;INDEX(Cables!$AQ:$AQ,ROWS($B$31:B81)+1),$C$6&gt;INDEX(Cables!$AR:$AR,ROWS($B$31:B81)+1))," / ekstrapolasyon","")&amp;IF(AND(ISNUMBER(G81),$C$8&gt;G81)," / güç sınırı aşılıyor","")&amp;IF(INDEX(Cables!$F:$F,ROWS($B$31:B81)+1)&lt;&gt;50," / Z0="&amp;INDEX(Cables!$F:$F,ROWS($B$31:B81)+1)&amp;" Ω",""),4,200))</f>
        <v/>
      </c>
      <c r="I81" s="1"/>
    </row>
    <row r="82" spans="1:9" x14ac:dyDescent="0.25">
      <c r="A82" s="1"/>
      <c r="B82" s="11" t="str">
        <f>IF(ROWS($B$31:B82)&gt;COUNTA(Cables!$A:$A)-1,"",INDEX(Cables!$B:$B,ROWS($B$31:B82)+1))</f>
        <v>Times Microwave LMR-600 (Amphenol)</v>
      </c>
      <c r="C82" s="12">
        <f>IF(B82="","",EXP(FORECAST(LN($C$6),INDEX(Attenuation!$K:$K,(INDEX(Cables!$AO:$AO,ROWS($B$31:B82)+1)-1+MIN(MAX(IFERROR(MATCH(LN($C$6),INDEX(Attenuation!$J:$J,INDEX(Cables!$AO:$AO,ROWS($B$31:B82)+1)):INDEX(Attenuation!$J:$J,INDEX(Cables!$AO:$AO,ROWS($B$31:B82)+1)+INDEX(Cables!$AP:$AP,ROWS($B$31:B82)+1)-1),1),1),1),INDEX(Cables!$AP:$AP,ROWS($B$31:B82)+1)-1))):INDEX(Attenuation!$K:$K,(INDEX(Cables!$AO:$AO,ROWS($B$31:B82)+1)-1+MIN(MAX(IFERROR(MATCH(LN($C$6),INDEX(Attenuation!$J:$J,INDEX(Cables!$AO:$AO,ROWS($B$31:B82)+1)):INDEX(Attenuation!$J:$J,INDEX(Cables!$AO:$AO,ROWS($B$31:B82)+1)+INDEX(Cables!$AP:$AP,ROWS($B$31:B82)+1)-1),1),1),1),INDEX(Cables!$AP:$AP,ROWS($B$31:B82)+1)-1))+1),INDEX(Attenuation!$J:$J,(INDEX(Cables!$AO:$AO,ROWS($B$31:B82)+1)-1+MIN(MAX(IFERROR(MATCH(LN($C$6),INDEX(Attenuation!$J:$J,INDEX(Cables!$AO:$AO,ROWS($B$31:B82)+1)):INDEX(Attenuation!$J:$J,INDEX(Cables!$AO:$AO,ROWS($B$31:B82)+1)+INDEX(Cables!$AP:$AP,ROWS($B$31:B82)+1)-1),1),1),1),INDEX(Cables!$AP:$AP,ROWS($B$31:B82)+1)-1))):INDEX(Attenuation!$J:$J,(INDEX(Cables!$AO:$AO,ROWS($B$31:B82)+1)-1+MIN(MAX(IFERROR(MATCH(LN($C$6),INDEX(Attenuation!$J:$J,INDEX(Cables!$AO:$AO,ROWS($B$31:B82)+1)):INDEX(Attenuation!$J:$J,INDEX(Cables!$AO:$AO,ROWS($B$31:B82)+1)+INDEX(Cables!$AP:$AP,ROWS($B$31:B82)+1)-1),1),1),1),INDEX(Cables!$AP:$AP,ROWS($B$31:B82)+1)-1))+1))))</f>
        <v>3.1079076576570106</v>
      </c>
      <c r="D82" s="12">
        <f t="shared" si="3"/>
        <v>0.66639389729402976</v>
      </c>
      <c r="E82" s="24">
        <f t="shared" si="4"/>
        <v>85.774976999130971</v>
      </c>
      <c r="F82" s="25">
        <f t="shared" si="5"/>
        <v>0.8577497699913097</v>
      </c>
      <c r="G82" s="26">
        <f>IF(B82="","",IF(INDEX(Cables!$AX:$AX,ROWS($B$31:B82)+1)&lt;2,"-",EXP(FORECAST(LN($C$6),INDEX(Power!$K:$K,(INDEX(Cables!$AW:$AW,ROWS($B$31:B82)+1)-1+MIN(MAX(IFERROR(MATCH(LN($C$6),INDEX(Power!$J:$J,INDEX(Cables!$AW:$AW,ROWS($B$31:B82)+1)):INDEX(Power!$J:$J,INDEX(Cables!$AW:$AW,ROWS($B$31:B82)+1)+INDEX(Cables!$AX:$AX,ROWS($B$31:B82)+1)-1),1),1),1),INDEX(Cables!$AX:$AX,ROWS($B$31:B82)+1)-1))):INDEX(Power!$K:$K,(INDEX(Cables!$AW:$AW,ROWS($B$31:B82)+1)-1+MIN(MAX(IFERROR(MATCH(LN($C$6),INDEX(Power!$J:$J,INDEX(Cables!$AW:$AW,ROWS($B$31:B82)+1)):INDEX(Power!$J:$J,INDEX(Cables!$AW:$AW,ROWS($B$31:B82)+1)+INDEX(Cables!$AX:$AX,ROWS($B$31:B82)+1)-1),1),1),1),INDEX(Cables!$AX:$AX,ROWS($B$31:B82)+1)-1))+1),INDEX(Power!$J:$J,(INDEX(Cables!$AW:$AW,ROWS($B$31:B82)+1)-1+MIN(MAX(IFERROR(MATCH(LN($C$6),INDEX(Power!$J:$J,INDEX(Cables!$AW:$AW,ROWS($B$31:B82)+1)):INDEX(Power!$J:$J,INDEX(Cables!$AW:$AW,ROWS($B$31:B82)+1)+INDEX(Cables!$AX:$AX,ROWS($B$31:B82)+1)-1),1),1),1),INDEX(Cables!$AX:$AX,ROWS($B$31:B82)+1)-1))):INDEX(Power!$J:$J,(INDEX(Cables!$AW:$AW,ROWS($B$31:B82)+1)-1+MIN(MAX(IFERROR(MATCH(LN($C$6),INDEX(Power!$J:$J,INDEX(Cables!$AW:$AW,ROWS($B$31:B82)+1)):INDEX(Power!$J:$J,INDEX(Cables!$AW:$AW,ROWS($B$31:B82)+1)+INDEX(Cables!$AX:$AX,ROWS($B$31:B82)+1)-1),1),1),1),INDEX(Cables!$AX:$AX,ROWS($B$31:B82)+1)-1))+1)))))</f>
        <v>2443.5790050215915</v>
      </c>
      <c r="H82" s="11" t="str">
        <f>IF(B82="","",MID(IF(OR($C$6&lt;INDEX(Cables!$AQ:$AQ,ROWS($B$31:B82)+1),$C$6&gt;INDEX(Cables!$AR:$AR,ROWS($B$31:B82)+1))," / ekstrapolasyon","")&amp;IF(AND(ISNUMBER(G82),$C$8&gt;G82)," / güç sınırı aşılıyor","")&amp;IF(INDEX(Cables!$F:$F,ROWS($B$31:B82)+1)&lt;&gt;50," / Z0="&amp;INDEX(Cables!$F:$F,ROWS($B$31:B82)+1)&amp;" Ω",""),4,200))</f>
        <v/>
      </c>
      <c r="I82" s="1"/>
    </row>
    <row r="83" spans="1:9" x14ac:dyDescent="0.25">
      <c r="A83" s="1"/>
      <c r="B83" s="11" t="str">
        <f>IF(ROWS($B$31:B83)&gt;COUNTA(Cables!$A:$A)-1,"",INDEX(Cables!$B:$B,ROWS($B$31:B83)+1))</f>
        <v>CommScope LDF4-50A (1/2" HELIAX)</v>
      </c>
      <c r="C83" s="12">
        <f>IF(B83="","",EXP(FORECAST(LN($C$6),INDEX(Attenuation!$K:$K,(INDEX(Cables!$AO:$AO,ROWS($B$31:B83)+1)-1+MIN(MAX(IFERROR(MATCH(LN($C$6),INDEX(Attenuation!$J:$J,INDEX(Cables!$AO:$AO,ROWS($B$31:B83)+1)):INDEX(Attenuation!$J:$J,INDEX(Cables!$AO:$AO,ROWS($B$31:B83)+1)+INDEX(Cables!$AP:$AP,ROWS($B$31:B83)+1)-1),1),1),1),INDEX(Cables!$AP:$AP,ROWS($B$31:B83)+1)-1))):INDEX(Attenuation!$K:$K,(INDEX(Cables!$AO:$AO,ROWS($B$31:B83)+1)-1+MIN(MAX(IFERROR(MATCH(LN($C$6),INDEX(Attenuation!$J:$J,INDEX(Cables!$AO:$AO,ROWS($B$31:B83)+1)):INDEX(Attenuation!$J:$J,INDEX(Cables!$AO:$AO,ROWS($B$31:B83)+1)+INDEX(Cables!$AP:$AP,ROWS($B$31:B83)+1)-1),1),1),1),INDEX(Cables!$AP:$AP,ROWS($B$31:B83)+1)-1))+1),INDEX(Attenuation!$J:$J,(INDEX(Cables!$AO:$AO,ROWS($B$31:B83)+1)-1+MIN(MAX(IFERROR(MATCH(LN($C$6),INDEX(Attenuation!$J:$J,INDEX(Cables!$AO:$AO,ROWS($B$31:B83)+1)):INDEX(Attenuation!$J:$J,INDEX(Cables!$AO:$AO,ROWS($B$31:B83)+1)+INDEX(Cables!$AP:$AP,ROWS($B$31:B83)+1)-1),1),1),1),INDEX(Cables!$AP:$AP,ROWS($B$31:B83)+1)-1))):INDEX(Attenuation!$J:$J,(INDEX(Cables!$AO:$AO,ROWS($B$31:B83)+1)-1+MIN(MAX(IFERROR(MATCH(LN($C$6),INDEX(Attenuation!$J:$J,INDEX(Cables!$AO:$AO,ROWS($B$31:B83)+1)):INDEX(Attenuation!$J:$J,INDEX(Cables!$AO:$AO,ROWS($B$31:B83)+1)+INDEX(Cables!$AP:$AP,ROWS($B$31:B83)+1)-1),1),1),1),INDEX(Cables!$AP:$AP,ROWS($B$31:B83)+1)-1))+1))))</f>
        <v>2.6266201771766338</v>
      </c>
      <c r="D83" s="12">
        <f t="shared" si="3"/>
        <v>0.56403510502556642</v>
      </c>
      <c r="E83" s="24">
        <f t="shared" si="4"/>
        <v>87.820618112601466</v>
      </c>
      <c r="F83" s="25">
        <f t="shared" si="5"/>
        <v>0.87820618112601467</v>
      </c>
      <c r="G83" s="26">
        <f>IF(B83="","",IF(INDEX(Cables!$AX:$AX,ROWS($B$31:B83)+1)&lt;2,"-",EXP(FORECAST(LN($C$6),INDEX(Power!$K:$K,(INDEX(Cables!$AW:$AW,ROWS($B$31:B83)+1)-1+MIN(MAX(IFERROR(MATCH(LN($C$6),INDEX(Power!$J:$J,INDEX(Cables!$AW:$AW,ROWS($B$31:B83)+1)):INDEX(Power!$J:$J,INDEX(Cables!$AW:$AW,ROWS($B$31:B83)+1)+INDEX(Cables!$AX:$AX,ROWS($B$31:B83)+1)-1),1),1),1),INDEX(Cables!$AX:$AX,ROWS($B$31:B83)+1)-1))):INDEX(Power!$K:$K,(INDEX(Cables!$AW:$AW,ROWS($B$31:B83)+1)-1+MIN(MAX(IFERROR(MATCH(LN($C$6),INDEX(Power!$J:$J,INDEX(Cables!$AW:$AW,ROWS($B$31:B83)+1)):INDEX(Power!$J:$J,INDEX(Cables!$AW:$AW,ROWS($B$31:B83)+1)+INDEX(Cables!$AX:$AX,ROWS($B$31:B83)+1)-1),1),1),1),INDEX(Cables!$AX:$AX,ROWS($B$31:B83)+1)-1))+1),INDEX(Power!$J:$J,(INDEX(Cables!$AW:$AW,ROWS($B$31:B83)+1)-1+MIN(MAX(IFERROR(MATCH(LN($C$6),INDEX(Power!$J:$J,INDEX(Cables!$AW:$AW,ROWS($B$31:B83)+1)):INDEX(Power!$J:$J,INDEX(Cables!$AW:$AW,ROWS($B$31:B83)+1)+INDEX(Cables!$AX:$AX,ROWS($B$31:B83)+1)-1),1),1),1),INDEX(Cables!$AX:$AX,ROWS($B$31:B83)+1)-1))):INDEX(Power!$J:$J,(INDEX(Cables!$AW:$AW,ROWS($B$31:B83)+1)-1+MIN(MAX(IFERROR(MATCH(LN($C$6),INDEX(Power!$J:$J,INDEX(Cables!$AW:$AW,ROWS($B$31:B83)+1)):INDEX(Power!$J:$J,INDEX(Cables!$AW:$AW,ROWS($B$31:B83)+1)+INDEX(Cables!$AX:$AX,ROWS($B$31:B83)+1)-1),1),1),1),INDEX(Cables!$AX:$AX,ROWS($B$31:B83)+1)-1))+1)))))</f>
        <v>2900.6081211779638</v>
      </c>
      <c r="H83" s="11" t="str">
        <f>IF(B83="","",MID(IF(OR($C$6&lt;INDEX(Cables!$AQ:$AQ,ROWS($B$31:B83)+1),$C$6&gt;INDEX(Cables!$AR:$AR,ROWS($B$31:B83)+1))," / ekstrapolasyon","")&amp;IF(AND(ISNUMBER(G83),$C$8&gt;G83)," / güç sınırı aşılıyor","")&amp;IF(INDEX(Cables!$F:$F,ROWS($B$31:B83)+1)&lt;&gt;50," / Z0="&amp;INDEX(Cables!$F:$F,ROWS($B$31:B83)+1)&amp;" Ω",""),4,200))</f>
        <v/>
      </c>
      <c r="I83" s="1"/>
    </row>
    <row r="84" spans="1:9" x14ac:dyDescent="0.25">
      <c r="A84" s="1"/>
      <c r="B84" s="11" t="str">
        <f>IF(ROWS($B$31:B84)&gt;COUNTA(Cables!$A:$A)-1,"",INDEX(Cables!$B:$B,ROWS($B$31:B84)+1))</f>
        <v>Times Microwave LMR-900 (Amphenol)</v>
      </c>
      <c r="C84" s="12">
        <f>IF(B84="","",EXP(FORECAST(LN($C$6),INDEX(Attenuation!$K:$K,(INDEX(Cables!$AO:$AO,ROWS($B$31:B84)+1)-1+MIN(MAX(IFERROR(MATCH(LN($C$6),INDEX(Attenuation!$J:$J,INDEX(Cables!$AO:$AO,ROWS($B$31:B84)+1)):INDEX(Attenuation!$J:$J,INDEX(Cables!$AO:$AO,ROWS($B$31:B84)+1)+INDEX(Cables!$AP:$AP,ROWS($B$31:B84)+1)-1),1),1),1),INDEX(Cables!$AP:$AP,ROWS($B$31:B84)+1)-1))):INDEX(Attenuation!$K:$K,(INDEX(Cables!$AO:$AO,ROWS($B$31:B84)+1)-1+MIN(MAX(IFERROR(MATCH(LN($C$6),INDEX(Attenuation!$J:$J,INDEX(Cables!$AO:$AO,ROWS($B$31:B84)+1)):INDEX(Attenuation!$J:$J,INDEX(Cables!$AO:$AO,ROWS($B$31:B84)+1)+INDEX(Cables!$AP:$AP,ROWS($B$31:B84)+1)-1),1),1),1),INDEX(Cables!$AP:$AP,ROWS($B$31:B84)+1)-1))+1),INDEX(Attenuation!$J:$J,(INDEX(Cables!$AO:$AO,ROWS($B$31:B84)+1)-1+MIN(MAX(IFERROR(MATCH(LN($C$6),INDEX(Attenuation!$J:$J,INDEX(Cables!$AO:$AO,ROWS($B$31:B84)+1)):INDEX(Attenuation!$J:$J,INDEX(Cables!$AO:$AO,ROWS($B$31:B84)+1)+INDEX(Cables!$AP:$AP,ROWS($B$31:B84)+1)-1),1),1),1),INDEX(Cables!$AP:$AP,ROWS($B$31:B84)+1)-1))):INDEX(Attenuation!$J:$J,(INDEX(Cables!$AO:$AO,ROWS($B$31:B84)+1)-1+MIN(MAX(IFERROR(MATCH(LN($C$6),INDEX(Attenuation!$J:$J,INDEX(Cables!$AO:$AO,ROWS($B$31:B84)+1)):INDEX(Attenuation!$J:$J,INDEX(Cables!$AO:$AO,ROWS($B$31:B84)+1)+INDEX(Cables!$AP:$AP,ROWS($B$31:B84)+1)-1),1),1),1),INDEX(Cables!$AP:$AP,ROWS($B$31:B84)+1)-1))+1))))</f>
        <v>2.1214835085285788</v>
      </c>
      <c r="D84" s="12">
        <f t="shared" si="3"/>
        <v>0.45629658725009259</v>
      </c>
      <c r="E84" s="24">
        <f t="shared" si="4"/>
        <v>90.026494830230902</v>
      </c>
      <c r="F84" s="25">
        <f t="shared" si="5"/>
        <v>0.90026494830230908</v>
      </c>
      <c r="G84" s="26">
        <f>IF(B84="","",IF(INDEX(Cables!$AX:$AX,ROWS($B$31:B84)+1)&lt;2,"-",EXP(FORECAST(LN($C$6),INDEX(Power!$K:$K,(INDEX(Cables!$AW:$AW,ROWS($B$31:B84)+1)-1+MIN(MAX(IFERROR(MATCH(LN($C$6),INDEX(Power!$J:$J,INDEX(Cables!$AW:$AW,ROWS($B$31:B84)+1)):INDEX(Power!$J:$J,INDEX(Cables!$AW:$AW,ROWS($B$31:B84)+1)+INDEX(Cables!$AX:$AX,ROWS($B$31:B84)+1)-1),1),1),1),INDEX(Cables!$AX:$AX,ROWS($B$31:B84)+1)-1))):INDEX(Power!$K:$K,(INDEX(Cables!$AW:$AW,ROWS($B$31:B84)+1)-1+MIN(MAX(IFERROR(MATCH(LN($C$6),INDEX(Power!$J:$J,INDEX(Cables!$AW:$AW,ROWS($B$31:B84)+1)):INDEX(Power!$J:$J,INDEX(Cables!$AW:$AW,ROWS($B$31:B84)+1)+INDEX(Cables!$AX:$AX,ROWS($B$31:B84)+1)-1),1),1),1),INDEX(Cables!$AX:$AX,ROWS($B$31:B84)+1)-1))+1),INDEX(Power!$J:$J,(INDEX(Cables!$AW:$AW,ROWS($B$31:B84)+1)-1+MIN(MAX(IFERROR(MATCH(LN($C$6),INDEX(Power!$J:$J,INDEX(Cables!$AW:$AW,ROWS($B$31:B84)+1)):INDEX(Power!$J:$J,INDEX(Cables!$AW:$AW,ROWS($B$31:B84)+1)+INDEX(Cables!$AX:$AX,ROWS($B$31:B84)+1)-1),1),1),1),INDEX(Cables!$AX:$AX,ROWS($B$31:B84)+1)-1))):INDEX(Power!$J:$J,(INDEX(Cables!$AW:$AW,ROWS($B$31:B84)+1)-1+MIN(MAX(IFERROR(MATCH(LN($C$6),INDEX(Power!$J:$J,INDEX(Cables!$AW:$AW,ROWS($B$31:B84)+1)):INDEX(Power!$J:$J,INDEX(Cables!$AW:$AW,ROWS($B$31:B84)+1)+INDEX(Cables!$AX:$AX,ROWS($B$31:B84)+1)-1),1),1),1),INDEX(Cables!$AX:$AX,ROWS($B$31:B84)+1)-1))+1)))))</f>
        <v>3967.4843423335401</v>
      </c>
      <c r="H84" s="11" t="str">
        <f>IF(B84="","",MID(IF(OR($C$6&lt;INDEX(Cables!$AQ:$AQ,ROWS($B$31:B84)+1),$C$6&gt;INDEX(Cables!$AR:$AR,ROWS($B$31:B84)+1))," / ekstrapolasyon","")&amp;IF(AND(ISNUMBER(G84),$C$8&gt;G84)," / güç sınırı aşılıyor","")&amp;IF(INDEX(Cables!$F:$F,ROWS($B$31:B84)+1)&lt;&gt;50," / Z0="&amp;INDEX(Cables!$F:$F,ROWS($B$31:B84)+1)&amp;" Ω",""),4,200))</f>
        <v/>
      </c>
      <c r="I84" s="1"/>
    </row>
    <row r="85" spans="1:9" x14ac:dyDescent="0.25">
      <c r="A85" s="1"/>
      <c r="B85" s="11" t="str">
        <f>IF(ROWS($B$31:B85)&gt;COUNTA(Cables!$A:$A)-1,"",INDEX(Cables!$B:$B,ROWS($B$31:B85)+1))</f>
        <v>Times Microwave LMR-1200 (Amphenol)</v>
      </c>
      <c r="C85" s="12">
        <f>IF(B85="","",EXP(FORECAST(LN($C$6),INDEX(Attenuation!$K:$K,(INDEX(Cables!$AO:$AO,ROWS($B$31:B85)+1)-1+MIN(MAX(IFERROR(MATCH(LN($C$6),INDEX(Attenuation!$J:$J,INDEX(Cables!$AO:$AO,ROWS($B$31:B85)+1)):INDEX(Attenuation!$J:$J,INDEX(Cables!$AO:$AO,ROWS($B$31:B85)+1)+INDEX(Cables!$AP:$AP,ROWS($B$31:B85)+1)-1),1),1),1),INDEX(Cables!$AP:$AP,ROWS($B$31:B85)+1)-1))):INDEX(Attenuation!$K:$K,(INDEX(Cables!$AO:$AO,ROWS($B$31:B85)+1)-1+MIN(MAX(IFERROR(MATCH(LN($C$6),INDEX(Attenuation!$J:$J,INDEX(Cables!$AO:$AO,ROWS($B$31:B85)+1)):INDEX(Attenuation!$J:$J,INDEX(Cables!$AO:$AO,ROWS($B$31:B85)+1)+INDEX(Cables!$AP:$AP,ROWS($B$31:B85)+1)-1),1),1),1),INDEX(Cables!$AP:$AP,ROWS($B$31:B85)+1)-1))+1),INDEX(Attenuation!$J:$J,(INDEX(Cables!$AO:$AO,ROWS($B$31:B85)+1)-1+MIN(MAX(IFERROR(MATCH(LN($C$6),INDEX(Attenuation!$J:$J,INDEX(Cables!$AO:$AO,ROWS($B$31:B85)+1)):INDEX(Attenuation!$J:$J,INDEX(Cables!$AO:$AO,ROWS($B$31:B85)+1)+INDEX(Cables!$AP:$AP,ROWS($B$31:B85)+1)-1),1),1),1),INDEX(Cables!$AP:$AP,ROWS($B$31:B85)+1)-1))):INDEX(Attenuation!$J:$J,(INDEX(Cables!$AO:$AO,ROWS($B$31:B85)+1)-1+MIN(MAX(IFERROR(MATCH(LN($C$6),INDEX(Attenuation!$J:$J,INDEX(Cables!$AO:$AO,ROWS($B$31:B85)+1)):INDEX(Attenuation!$J:$J,INDEX(Cables!$AO:$AO,ROWS($B$31:B85)+1)+INDEX(Cables!$AP:$AP,ROWS($B$31:B85)+1)-1),1),1),1),INDEX(Cables!$AP:$AP,ROWS($B$31:B85)+1)-1))+1))))</f>
        <v>1.5505660790662597</v>
      </c>
      <c r="D85" s="12">
        <f t="shared" si="3"/>
        <v>0.33412892259019067</v>
      </c>
      <c r="E85" s="24">
        <f t="shared" si="4"/>
        <v>92.594908686994003</v>
      </c>
      <c r="F85" s="25">
        <f t="shared" si="5"/>
        <v>0.92594908686994004</v>
      </c>
      <c r="G85" s="26">
        <f>IF(B85="","",IF(INDEX(Cables!$AX:$AX,ROWS($B$31:B85)+1)&lt;2,"-",EXP(FORECAST(LN($C$6),INDEX(Power!$K:$K,(INDEX(Cables!$AW:$AW,ROWS($B$31:B85)+1)-1+MIN(MAX(IFERROR(MATCH(LN($C$6),INDEX(Power!$J:$J,INDEX(Cables!$AW:$AW,ROWS($B$31:B85)+1)):INDEX(Power!$J:$J,INDEX(Cables!$AW:$AW,ROWS($B$31:B85)+1)+INDEX(Cables!$AX:$AX,ROWS($B$31:B85)+1)-1),1),1),1),INDEX(Cables!$AX:$AX,ROWS($B$31:B85)+1)-1))):INDEX(Power!$K:$K,(INDEX(Cables!$AW:$AW,ROWS($B$31:B85)+1)-1+MIN(MAX(IFERROR(MATCH(LN($C$6),INDEX(Power!$J:$J,INDEX(Cables!$AW:$AW,ROWS($B$31:B85)+1)):INDEX(Power!$J:$J,INDEX(Cables!$AW:$AW,ROWS($B$31:B85)+1)+INDEX(Cables!$AX:$AX,ROWS($B$31:B85)+1)-1),1),1),1),INDEX(Cables!$AX:$AX,ROWS($B$31:B85)+1)-1))+1),INDEX(Power!$J:$J,(INDEX(Cables!$AW:$AW,ROWS($B$31:B85)+1)-1+MIN(MAX(IFERROR(MATCH(LN($C$6),INDEX(Power!$J:$J,INDEX(Cables!$AW:$AW,ROWS($B$31:B85)+1)):INDEX(Power!$J:$J,INDEX(Cables!$AW:$AW,ROWS($B$31:B85)+1)+INDEX(Cables!$AX:$AX,ROWS($B$31:B85)+1)-1),1),1),1),INDEX(Cables!$AX:$AX,ROWS($B$31:B85)+1)-1))):INDEX(Power!$J:$J,(INDEX(Cables!$AW:$AW,ROWS($B$31:B85)+1)-1+MIN(MAX(IFERROR(MATCH(LN($C$6),INDEX(Power!$J:$J,INDEX(Cables!$AW:$AW,ROWS($B$31:B85)+1)):INDEX(Power!$J:$J,INDEX(Cables!$AW:$AW,ROWS($B$31:B85)+1)+INDEX(Cables!$AX:$AX,ROWS($B$31:B85)+1)-1),1),1),1),INDEX(Cables!$AX:$AX,ROWS($B$31:B85)+1)-1))+1)))))</f>
        <v>5597.1443627448771</v>
      </c>
      <c r="H85" s="11" t="str">
        <f>IF(B85="","",MID(IF(OR($C$6&lt;INDEX(Cables!$AQ:$AQ,ROWS($B$31:B85)+1),$C$6&gt;INDEX(Cables!$AR:$AR,ROWS($B$31:B85)+1))," / ekstrapolasyon","")&amp;IF(AND(ISNUMBER(G85),$C$8&gt;G85)," / güç sınırı aşılıyor","")&amp;IF(INDEX(Cables!$F:$F,ROWS($B$31:B85)+1)&lt;&gt;50," / Z0="&amp;INDEX(Cables!$F:$F,ROWS($B$31:B85)+1)&amp;" Ω",""),4,200))</f>
        <v/>
      </c>
      <c r="I85" s="1"/>
    </row>
    <row r="86" spans="1:9" x14ac:dyDescent="0.25">
      <c r="A86" s="1"/>
      <c r="B86" s="11" t="str">
        <f>IF(ROWS($B$31:B86)&gt;COUNTA(Cables!$A:$A)-1,"",INDEX(Cables!$B:$B,ROWS($B$31:B86)+1))</f>
        <v>CommScope LDF5-50A (7/8" HELIAX)</v>
      </c>
      <c r="C86" s="12">
        <f>IF(B86="","",EXP(FORECAST(LN($C$6),INDEX(Attenuation!$K:$K,(INDEX(Cables!$AO:$AO,ROWS($B$31:B86)+1)-1+MIN(MAX(IFERROR(MATCH(LN($C$6),INDEX(Attenuation!$J:$J,INDEX(Cables!$AO:$AO,ROWS($B$31:B86)+1)):INDEX(Attenuation!$J:$J,INDEX(Cables!$AO:$AO,ROWS($B$31:B86)+1)+INDEX(Cables!$AP:$AP,ROWS($B$31:B86)+1)-1),1),1),1),INDEX(Cables!$AP:$AP,ROWS($B$31:B86)+1)-1))):INDEX(Attenuation!$K:$K,(INDEX(Cables!$AO:$AO,ROWS($B$31:B86)+1)-1+MIN(MAX(IFERROR(MATCH(LN($C$6),INDEX(Attenuation!$J:$J,INDEX(Cables!$AO:$AO,ROWS($B$31:B86)+1)):INDEX(Attenuation!$J:$J,INDEX(Cables!$AO:$AO,ROWS($B$31:B86)+1)+INDEX(Cables!$AP:$AP,ROWS($B$31:B86)+1)-1),1),1),1),INDEX(Cables!$AP:$AP,ROWS($B$31:B86)+1)-1))+1),INDEX(Attenuation!$J:$J,(INDEX(Cables!$AO:$AO,ROWS($B$31:B86)+1)-1+MIN(MAX(IFERROR(MATCH(LN($C$6),INDEX(Attenuation!$J:$J,INDEX(Cables!$AO:$AO,ROWS($B$31:B86)+1)):INDEX(Attenuation!$J:$J,INDEX(Cables!$AO:$AO,ROWS($B$31:B86)+1)+INDEX(Cables!$AP:$AP,ROWS($B$31:B86)+1)-1),1),1),1),INDEX(Cables!$AP:$AP,ROWS($B$31:B86)+1)-1))):INDEX(Attenuation!$J:$J,(INDEX(Cables!$AO:$AO,ROWS($B$31:B86)+1)-1+MIN(MAX(IFERROR(MATCH(LN($C$6),INDEX(Attenuation!$J:$J,INDEX(Cables!$AO:$AO,ROWS($B$31:B86)+1)):INDEX(Attenuation!$J:$J,INDEX(Cables!$AO:$AO,ROWS($B$31:B86)+1)+INDEX(Cables!$AP:$AP,ROWS($B$31:B86)+1)-1),1),1),1),INDEX(Cables!$AP:$AP,ROWS($B$31:B86)+1)-1))+1))))</f>
        <v>1.4490589311795339</v>
      </c>
      <c r="D86" s="12">
        <f t="shared" si="3"/>
        <v>0.31236185687266832</v>
      </c>
      <c r="E86" s="24">
        <f t="shared" si="4"/>
        <v>93.060164162274333</v>
      </c>
      <c r="F86" s="25">
        <f t="shared" si="5"/>
        <v>0.93060164162274328</v>
      </c>
      <c r="G86" s="26">
        <f>IF(B86="","",IF(INDEX(Cables!$AX:$AX,ROWS($B$31:B86)+1)&lt;2,"-",EXP(FORECAST(LN($C$6),INDEX(Power!$K:$K,(INDEX(Cables!$AW:$AW,ROWS($B$31:B86)+1)-1+MIN(MAX(IFERROR(MATCH(LN($C$6),INDEX(Power!$J:$J,INDEX(Cables!$AW:$AW,ROWS($B$31:B86)+1)):INDEX(Power!$J:$J,INDEX(Cables!$AW:$AW,ROWS($B$31:B86)+1)+INDEX(Cables!$AX:$AX,ROWS($B$31:B86)+1)-1),1),1),1),INDEX(Cables!$AX:$AX,ROWS($B$31:B86)+1)-1))):INDEX(Power!$K:$K,(INDEX(Cables!$AW:$AW,ROWS($B$31:B86)+1)-1+MIN(MAX(IFERROR(MATCH(LN($C$6),INDEX(Power!$J:$J,INDEX(Cables!$AW:$AW,ROWS($B$31:B86)+1)):INDEX(Power!$J:$J,INDEX(Cables!$AW:$AW,ROWS($B$31:B86)+1)+INDEX(Cables!$AX:$AX,ROWS($B$31:B86)+1)-1),1),1),1),INDEX(Cables!$AX:$AX,ROWS($B$31:B86)+1)-1))+1),INDEX(Power!$J:$J,(INDEX(Cables!$AW:$AW,ROWS($B$31:B86)+1)-1+MIN(MAX(IFERROR(MATCH(LN($C$6),INDEX(Power!$J:$J,INDEX(Cables!$AW:$AW,ROWS($B$31:B86)+1)):INDEX(Power!$J:$J,INDEX(Cables!$AW:$AW,ROWS($B$31:B86)+1)+INDEX(Cables!$AX:$AX,ROWS($B$31:B86)+1)-1),1),1),1),INDEX(Cables!$AX:$AX,ROWS($B$31:B86)+1)-1))):INDEX(Power!$J:$J,(INDEX(Cables!$AW:$AW,ROWS($B$31:B86)+1)-1+MIN(MAX(IFERROR(MATCH(LN($C$6),INDEX(Power!$J:$J,INDEX(Cables!$AW:$AW,ROWS($B$31:B86)+1)):INDEX(Power!$J:$J,INDEX(Cables!$AW:$AW,ROWS($B$31:B86)+1)+INDEX(Cables!$AX:$AX,ROWS($B$31:B86)+1)-1),1),1),1),INDEX(Cables!$AX:$AX,ROWS($B$31:B86)+1)-1))+1)))))</f>
        <v>6270.6637119405186</v>
      </c>
      <c r="H86" s="11" t="str">
        <f>IF(B86="","",MID(IF(OR($C$6&lt;INDEX(Cables!$AQ:$AQ,ROWS($B$31:B86)+1),$C$6&gt;INDEX(Cables!$AR:$AR,ROWS($B$31:B86)+1))," / ekstrapolasyon","")&amp;IF(AND(ISNUMBER(G86),$C$8&gt;G86)," / güç sınırı aşılıyor","")&amp;IF(INDEX(Cables!$F:$F,ROWS($B$31:B86)+1)&lt;&gt;50," / Z0="&amp;INDEX(Cables!$F:$F,ROWS($B$31:B86)+1)&amp;" Ω",""),4,200))</f>
        <v/>
      </c>
      <c r="I86" s="1"/>
    </row>
    <row r="87" spans="1:9" x14ac:dyDescent="0.25">
      <c r="A87" s="1"/>
      <c r="B87" s="11" t="str">
        <f>IF(ROWS($B$31:B87)&gt;COUNTA(Cables!$A:$A)-1,"",INDEX(Cables!$B:$B,ROWS($B$31:B87)+1))</f>
        <v>Times Microwave LMR-1700 (Amphenol)</v>
      </c>
      <c r="C87" s="12">
        <f>IF(B87="","",EXP(FORECAST(LN($C$6),INDEX(Attenuation!$K:$K,(INDEX(Cables!$AO:$AO,ROWS($B$31:B87)+1)-1+MIN(MAX(IFERROR(MATCH(LN($C$6),INDEX(Attenuation!$J:$J,INDEX(Cables!$AO:$AO,ROWS($B$31:B87)+1)):INDEX(Attenuation!$J:$J,INDEX(Cables!$AO:$AO,ROWS($B$31:B87)+1)+INDEX(Cables!$AP:$AP,ROWS($B$31:B87)+1)-1),1),1),1),INDEX(Cables!$AP:$AP,ROWS($B$31:B87)+1)-1))):INDEX(Attenuation!$K:$K,(INDEX(Cables!$AO:$AO,ROWS($B$31:B87)+1)-1+MIN(MAX(IFERROR(MATCH(LN($C$6),INDEX(Attenuation!$J:$J,INDEX(Cables!$AO:$AO,ROWS($B$31:B87)+1)):INDEX(Attenuation!$J:$J,INDEX(Cables!$AO:$AO,ROWS($B$31:B87)+1)+INDEX(Cables!$AP:$AP,ROWS($B$31:B87)+1)-1),1),1),1),INDEX(Cables!$AP:$AP,ROWS($B$31:B87)+1)-1))+1),INDEX(Attenuation!$J:$J,(INDEX(Cables!$AO:$AO,ROWS($B$31:B87)+1)-1+MIN(MAX(IFERROR(MATCH(LN($C$6),INDEX(Attenuation!$J:$J,INDEX(Cables!$AO:$AO,ROWS($B$31:B87)+1)):INDEX(Attenuation!$J:$J,INDEX(Cables!$AO:$AO,ROWS($B$31:B87)+1)+INDEX(Cables!$AP:$AP,ROWS($B$31:B87)+1)-1),1),1),1),INDEX(Cables!$AP:$AP,ROWS($B$31:B87)+1)-1))):INDEX(Attenuation!$J:$J,(INDEX(Cables!$AO:$AO,ROWS($B$31:B87)+1)-1+MIN(MAX(IFERROR(MATCH(LN($C$6),INDEX(Attenuation!$J:$J,INDEX(Cables!$AO:$AO,ROWS($B$31:B87)+1)):INDEX(Attenuation!$J:$J,INDEX(Cables!$AO:$AO,ROWS($B$31:B87)+1)+INDEX(Cables!$AP:$AP,ROWS($B$31:B87)+1)-1),1),1),1),INDEX(Cables!$AP:$AP,ROWS($B$31:B87)+1)-1))+1))))</f>
        <v>1.1183835809021487</v>
      </c>
      <c r="D87" s="12">
        <f t="shared" si="3"/>
        <v>0.24135254367800507</v>
      </c>
      <c r="E87" s="24">
        <f t="shared" si="4"/>
        <v>94.594251617152281</v>
      </c>
      <c r="F87" s="25">
        <f t="shared" si="5"/>
        <v>0.94594251617152281</v>
      </c>
      <c r="G87" s="26">
        <f>IF(B87="","",IF(INDEX(Cables!$AX:$AX,ROWS($B$31:B87)+1)&lt;2,"-",EXP(FORECAST(LN($C$6),INDEX(Power!$K:$K,(INDEX(Cables!$AW:$AW,ROWS($B$31:B87)+1)-1+MIN(MAX(IFERROR(MATCH(LN($C$6),INDEX(Power!$J:$J,INDEX(Cables!$AW:$AW,ROWS($B$31:B87)+1)):INDEX(Power!$J:$J,INDEX(Cables!$AW:$AW,ROWS($B$31:B87)+1)+INDEX(Cables!$AX:$AX,ROWS($B$31:B87)+1)-1),1),1),1),INDEX(Cables!$AX:$AX,ROWS($B$31:B87)+1)-1))):INDEX(Power!$K:$K,(INDEX(Cables!$AW:$AW,ROWS($B$31:B87)+1)-1+MIN(MAX(IFERROR(MATCH(LN($C$6),INDEX(Power!$J:$J,INDEX(Cables!$AW:$AW,ROWS($B$31:B87)+1)):INDEX(Power!$J:$J,INDEX(Cables!$AW:$AW,ROWS($B$31:B87)+1)+INDEX(Cables!$AX:$AX,ROWS($B$31:B87)+1)-1),1),1),1),INDEX(Cables!$AX:$AX,ROWS($B$31:B87)+1)-1))+1),INDEX(Power!$J:$J,(INDEX(Cables!$AW:$AW,ROWS($B$31:B87)+1)-1+MIN(MAX(IFERROR(MATCH(LN($C$6),INDEX(Power!$J:$J,INDEX(Cables!$AW:$AW,ROWS($B$31:B87)+1)):INDEX(Power!$J:$J,INDEX(Cables!$AW:$AW,ROWS($B$31:B87)+1)+INDEX(Cables!$AX:$AX,ROWS($B$31:B87)+1)-1),1),1),1),INDEX(Cables!$AX:$AX,ROWS($B$31:B87)+1)-1))):INDEX(Power!$J:$J,(INDEX(Cables!$AW:$AW,ROWS($B$31:B87)+1)-1+MIN(MAX(IFERROR(MATCH(LN($C$6),INDEX(Power!$J:$J,INDEX(Cables!$AW:$AW,ROWS($B$31:B87)+1)):INDEX(Power!$J:$J,INDEX(Cables!$AW:$AW,ROWS($B$31:B87)+1)+INDEX(Cables!$AX:$AX,ROWS($B$31:B87)+1)-1),1),1),1),INDEX(Cables!$AX:$AX,ROWS($B$31:B87)+1)-1))+1)))))</f>
        <v>8858.1930093389601</v>
      </c>
      <c r="H87" s="11" t="str">
        <f>IF(B87="","",MID(IF(OR($C$6&lt;INDEX(Cables!$AQ:$AQ,ROWS($B$31:B87)+1),$C$6&gt;INDEX(Cables!$AR:$AR,ROWS($B$31:B87)+1))," / ekstrapolasyon","")&amp;IF(AND(ISNUMBER(G87),$C$8&gt;G87)," / güç sınırı aşılıyor","")&amp;IF(INDEX(Cables!$F:$F,ROWS($B$31:B87)+1)&lt;&gt;50," / Z0="&amp;INDEX(Cables!$F:$F,ROWS($B$31:B87)+1)&amp;" Ω",""),4,200))</f>
        <v/>
      </c>
      <c r="I87" s="1"/>
    </row>
    <row r="88" spans="1:9" x14ac:dyDescent="0.25">
      <c r="A88" s="1"/>
      <c r="B88" s="11" t="str">
        <f>IF(ROWS($B$31:B88)&gt;COUNTA(Cables!$A:$A)-1,"",INDEX(Cables!$B:$B,ROWS($B$31:B88)+1))</f>
        <v>CommScope LDF6-50 (1-1/4" HELIAX)</v>
      </c>
      <c r="C88" s="12">
        <f>IF(B88="","",EXP(FORECAST(LN($C$6),INDEX(Attenuation!$K:$K,(INDEX(Cables!$AO:$AO,ROWS($B$31:B88)+1)-1+MIN(MAX(IFERROR(MATCH(LN($C$6),INDEX(Attenuation!$J:$J,INDEX(Cables!$AO:$AO,ROWS($B$31:B88)+1)):INDEX(Attenuation!$J:$J,INDEX(Cables!$AO:$AO,ROWS($B$31:B88)+1)+INDEX(Cables!$AP:$AP,ROWS($B$31:B88)+1)-1),1),1),1),INDEX(Cables!$AP:$AP,ROWS($B$31:B88)+1)-1))):INDEX(Attenuation!$K:$K,(INDEX(Cables!$AO:$AO,ROWS($B$31:B88)+1)-1+MIN(MAX(IFERROR(MATCH(LN($C$6),INDEX(Attenuation!$J:$J,INDEX(Cables!$AO:$AO,ROWS($B$31:B88)+1)):INDEX(Attenuation!$J:$J,INDEX(Cables!$AO:$AO,ROWS($B$31:B88)+1)+INDEX(Cables!$AP:$AP,ROWS($B$31:B88)+1)-1),1),1),1),INDEX(Cables!$AP:$AP,ROWS($B$31:B88)+1)-1))+1),INDEX(Attenuation!$J:$J,(INDEX(Cables!$AO:$AO,ROWS($B$31:B88)+1)-1+MIN(MAX(IFERROR(MATCH(LN($C$6),INDEX(Attenuation!$J:$J,INDEX(Cables!$AO:$AO,ROWS($B$31:B88)+1)):INDEX(Attenuation!$J:$J,INDEX(Cables!$AO:$AO,ROWS($B$31:B88)+1)+INDEX(Cables!$AP:$AP,ROWS($B$31:B88)+1)-1),1),1),1),INDEX(Cables!$AP:$AP,ROWS($B$31:B88)+1)-1))):INDEX(Attenuation!$J:$J,(INDEX(Cables!$AO:$AO,ROWS($B$31:B88)+1)-1+MIN(MAX(IFERROR(MATCH(LN($C$6),INDEX(Attenuation!$J:$J,INDEX(Cables!$AO:$AO,ROWS($B$31:B88)+1)):INDEX(Attenuation!$J:$J,INDEX(Cables!$AO:$AO,ROWS($B$31:B88)+1)+INDEX(Cables!$AP:$AP,ROWS($B$31:B88)+1)-1),1),1),1),INDEX(Cables!$AP:$AP,ROWS($B$31:B88)+1)-1))+1))))</f>
        <v>0.96550460906329005</v>
      </c>
      <c r="D88" s="12">
        <f t="shared" si="3"/>
        <v>0.20847069228870599</v>
      </c>
      <c r="E88" s="24">
        <f t="shared" si="4"/>
        <v>95.313173704237613</v>
      </c>
      <c r="F88" s="25">
        <f t="shared" si="5"/>
        <v>0.95313173704237608</v>
      </c>
      <c r="G88" s="26">
        <f>IF(B88="","",IF(INDEX(Cables!$AX:$AX,ROWS($B$31:B88)+1)&lt;2,"-",EXP(FORECAST(LN($C$6),INDEX(Power!$K:$K,(INDEX(Cables!$AW:$AW,ROWS($B$31:B88)+1)-1+MIN(MAX(IFERROR(MATCH(LN($C$6),INDEX(Power!$J:$J,INDEX(Cables!$AW:$AW,ROWS($B$31:B88)+1)):INDEX(Power!$J:$J,INDEX(Cables!$AW:$AW,ROWS($B$31:B88)+1)+INDEX(Cables!$AX:$AX,ROWS($B$31:B88)+1)-1),1),1),1),INDEX(Cables!$AX:$AX,ROWS($B$31:B88)+1)-1))):INDEX(Power!$K:$K,(INDEX(Cables!$AW:$AW,ROWS($B$31:B88)+1)-1+MIN(MAX(IFERROR(MATCH(LN($C$6),INDEX(Power!$J:$J,INDEX(Cables!$AW:$AW,ROWS($B$31:B88)+1)):INDEX(Power!$J:$J,INDEX(Cables!$AW:$AW,ROWS($B$31:B88)+1)+INDEX(Cables!$AX:$AX,ROWS($B$31:B88)+1)-1),1),1),1),INDEX(Cables!$AX:$AX,ROWS($B$31:B88)+1)-1))+1),INDEX(Power!$J:$J,(INDEX(Cables!$AW:$AW,ROWS($B$31:B88)+1)-1+MIN(MAX(IFERROR(MATCH(LN($C$6),INDEX(Power!$J:$J,INDEX(Cables!$AW:$AW,ROWS($B$31:B88)+1)):INDEX(Power!$J:$J,INDEX(Cables!$AW:$AW,ROWS($B$31:B88)+1)+INDEX(Cables!$AX:$AX,ROWS($B$31:B88)+1)-1),1),1),1),INDEX(Cables!$AX:$AX,ROWS($B$31:B88)+1)-1))):INDEX(Power!$J:$J,(INDEX(Cables!$AW:$AW,ROWS($B$31:B88)+1)-1+MIN(MAX(IFERROR(MATCH(LN($C$6),INDEX(Power!$J:$J,INDEX(Cables!$AW:$AW,ROWS($B$31:B88)+1)):INDEX(Power!$J:$J,INDEX(Cables!$AW:$AW,ROWS($B$31:B88)+1)+INDEX(Cables!$AX:$AX,ROWS($B$31:B88)+1)-1),1),1),1),INDEX(Cables!$AX:$AX,ROWS($B$31:B88)+1)-1))+1)))))</f>
        <v>9944.6497931803242</v>
      </c>
      <c r="H88" s="11" t="str">
        <f>IF(B88="","",MID(IF(OR($C$6&lt;INDEX(Cables!$AQ:$AQ,ROWS($B$31:B88)+1),$C$6&gt;INDEX(Cables!$AR:$AR,ROWS($B$31:B88)+1))," / ekstrapolasyon","")&amp;IF(AND(ISNUMBER(G88),$C$8&gt;G88)," / güç sınırı aşılıyor","")&amp;IF(INDEX(Cables!$F:$F,ROWS($B$31:B88)+1)&lt;&gt;50," / Z0="&amp;INDEX(Cables!$F:$F,ROWS($B$31:B88)+1)&amp;" Ω",""),4,200))</f>
        <v/>
      </c>
      <c r="I88" s="1"/>
    </row>
    <row r="89" spans="1:9" x14ac:dyDescent="0.25">
      <c r="A89" s="1"/>
      <c r="B89" s="11" t="str">
        <f>IF(ROWS($B$31:B89)&gt;COUNTA(Cables!$A:$A)-1,"",INDEX(Cables!$B:$B,ROWS($B$31:B89)+1))</f>
        <v>CommScope LDF7-50A (1-5/8" HELIAX)</v>
      </c>
      <c r="C89" s="12">
        <f>IF(B89="","",EXP(FORECAST(LN($C$6),INDEX(Attenuation!$K:$K,(INDEX(Cables!$AO:$AO,ROWS($B$31:B89)+1)-1+MIN(MAX(IFERROR(MATCH(LN($C$6),INDEX(Attenuation!$J:$J,INDEX(Cables!$AO:$AO,ROWS($B$31:B89)+1)):INDEX(Attenuation!$J:$J,INDEX(Cables!$AO:$AO,ROWS($B$31:B89)+1)+INDEX(Cables!$AP:$AP,ROWS($B$31:B89)+1)-1),1),1),1),INDEX(Cables!$AP:$AP,ROWS($B$31:B89)+1)-1))):INDEX(Attenuation!$K:$K,(INDEX(Cables!$AO:$AO,ROWS($B$31:B89)+1)-1+MIN(MAX(IFERROR(MATCH(LN($C$6),INDEX(Attenuation!$J:$J,INDEX(Cables!$AO:$AO,ROWS($B$31:B89)+1)):INDEX(Attenuation!$J:$J,INDEX(Cables!$AO:$AO,ROWS($B$31:B89)+1)+INDEX(Cables!$AP:$AP,ROWS($B$31:B89)+1)-1),1),1),1),INDEX(Cables!$AP:$AP,ROWS($B$31:B89)+1)-1))+1),INDEX(Attenuation!$J:$J,(INDEX(Cables!$AO:$AO,ROWS($B$31:B89)+1)-1+MIN(MAX(IFERROR(MATCH(LN($C$6),INDEX(Attenuation!$J:$J,INDEX(Cables!$AO:$AO,ROWS($B$31:B89)+1)):INDEX(Attenuation!$J:$J,INDEX(Cables!$AO:$AO,ROWS($B$31:B89)+1)+INDEX(Cables!$AP:$AP,ROWS($B$31:B89)+1)-1),1),1),1),INDEX(Cables!$AP:$AP,ROWS($B$31:B89)+1)-1))):INDEX(Attenuation!$J:$J,(INDEX(Cables!$AO:$AO,ROWS($B$31:B89)+1)-1+MIN(MAX(IFERROR(MATCH(LN($C$6),INDEX(Attenuation!$J:$J,INDEX(Cables!$AO:$AO,ROWS($B$31:B89)+1)):INDEX(Attenuation!$J:$J,INDEX(Cables!$AO:$AO,ROWS($B$31:B89)+1)+INDEX(Cables!$AP:$AP,ROWS($B$31:B89)+1)-1),1),1),1),INDEX(Cables!$AP:$AP,ROWS($B$31:B89)+1)-1))+1))))</f>
        <v>0.81893941634935352</v>
      </c>
      <c r="D89" s="12">
        <f t="shared" si="3"/>
        <v>0.17691496417953548</v>
      </c>
      <c r="E89" s="24">
        <f t="shared" si="4"/>
        <v>96.008238938691719</v>
      </c>
      <c r="F89" s="25">
        <f t="shared" si="5"/>
        <v>0.96008238938691715</v>
      </c>
      <c r="G89" s="26">
        <f>IF(B89="","",IF(INDEX(Cables!$AX:$AX,ROWS($B$31:B89)+1)&lt;2,"-",EXP(FORECAST(LN($C$6),INDEX(Power!$K:$K,(INDEX(Cables!$AW:$AW,ROWS($B$31:B89)+1)-1+MIN(MAX(IFERROR(MATCH(LN($C$6),INDEX(Power!$J:$J,INDEX(Cables!$AW:$AW,ROWS($B$31:B89)+1)):INDEX(Power!$J:$J,INDEX(Cables!$AW:$AW,ROWS($B$31:B89)+1)+INDEX(Cables!$AX:$AX,ROWS($B$31:B89)+1)-1),1),1),1),INDEX(Cables!$AX:$AX,ROWS($B$31:B89)+1)-1))):INDEX(Power!$K:$K,(INDEX(Cables!$AW:$AW,ROWS($B$31:B89)+1)-1+MIN(MAX(IFERROR(MATCH(LN($C$6),INDEX(Power!$J:$J,INDEX(Cables!$AW:$AW,ROWS($B$31:B89)+1)):INDEX(Power!$J:$J,INDEX(Cables!$AW:$AW,ROWS($B$31:B89)+1)+INDEX(Cables!$AX:$AX,ROWS($B$31:B89)+1)-1),1),1),1),INDEX(Cables!$AX:$AX,ROWS($B$31:B89)+1)-1))+1),INDEX(Power!$J:$J,(INDEX(Cables!$AW:$AW,ROWS($B$31:B89)+1)-1+MIN(MAX(IFERROR(MATCH(LN($C$6),INDEX(Power!$J:$J,INDEX(Cables!$AW:$AW,ROWS($B$31:B89)+1)):INDEX(Power!$J:$J,INDEX(Cables!$AW:$AW,ROWS($B$31:B89)+1)+INDEX(Cables!$AX:$AX,ROWS($B$31:B89)+1)-1),1),1),1),INDEX(Cables!$AX:$AX,ROWS($B$31:B89)+1)-1))):INDEX(Power!$J:$J,(INDEX(Cables!$AW:$AW,ROWS($B$31:B89)+1)-1+MIN(MAX(IFERROR(MATCH(LN($C$6),INDEX(Power!$J:$J,INDEX(Cables!$AW:$AW,ROWS($B$31:B89)+1)):INDEX(Power!$J:$J,INDEX(Cables!$AW:$AW,ROWS($B$31:B89)+1)+INDEX(Cables!$AX:$AX,ROWS($B$31:B89)+1)-1),1),1),1),INDEX(Cables!$AX:$AX,ROWS($B$31:B89)+1)-1))+1)))))</f>
        <v>13421.900852817555</v>
      </c>
      <c r="H89" s="11" t="str">
        <f>IF(B89="","",MID(IF(OR($C$6&lt;INDEX(Cables!$AQ:$AQ,ROWS($B$31:B89)+1),$C$6&gt;INDEX(Cables!$AR:$AR,ROWS($B$31:B89)+1))," / ekstrapolasyon","")&amp;IF(AND(ISNUMBER(G89),$C$8&gt;G89)," / güç sınırı aşılıyor","")&amp;IF(INDEX(Cables!$F:$F,ROWS($B$31:B89)+1)&lt;&gt;50," / Z0="&amp;INDEX(Cables!$F:$F,ROWS($B$31:B89)+1)&amp;" Ω",""),4,200))</f>
        <v/>
      </c>
      <c r="I89" s="1"/>
    </row>
    <row r="90" spans="1:9" x14ac:dyDescent="0.25">
      <c r="A90" s="1"/>
      <c r="B90" s="11" t="str">
        <f>IF(ROWS($B$31:B90)&gt;COUNTA(Cables!$A:$A)-1,"",INDEX(Cables!$B:$B,ROWS($B$31:B90)+1))</f>
        <v>Belden 83264 (RG-179, 75 Ω)</v>
      </c>
      <c r="C90" s="12">
        <f>IF(B90="","",EXP(FORECAST(LN($C$6),INDEX(Attenuation!$K:$K,(INDEX(Cables!$AO:$AO,ROWS($B$31:B90)+1)-1+MIN(MAX(IFERROR(MATCH(LN($C$6),INDEX(Attenuation!$J:$J,INDEX(Cables!$AO:$AO,ROWS($B$31:B90)+1)):INDEX(Attenuation!$J:$J,INDEX(Cables!$AO:$AO,ROWS($B$31:B90)+1)+INDEX(Cables!$AP:$AP,ROWS($B$31:B90)+1)-1),1),1),1),INDEX(Cables!$AP:$AP,ROWS($B$31:B90)+1)-1))):INDEX(Attenuation!$K:$K,(INDEX(Cables!$AO:$AO,ROWS($B$31:B90)+1)-1+MIN(MAX(IFERROR(MATCH(LN($C$6),INDEX(Attenuation!$J:$J,INDEX(Cables!$AO:$AO,ROWS($B$31:B90)+1)):INDEX(Attenuation!$J:$J,INDEX(Cables!$AO:$AO,ROWS($B$31:B90)+1)+INDEX(Cables!$AP:$AP,ROWS($B$31:B90)+1)-1),1),1),1),INDEX(Cables!$AP:$AP,ROWS($B$31:B90)+1)-1))+1),INDEX(Attenuation!$J:$J,(INDEX(Cables!$AO:$AO,ROWS($B$31:B90)+1)-1+MIN(MAX(IFERROR(MATCH(LN($C$6),INDEX(Attenuation!$J:$J,INDEX(Cables!$AO:$AO,ROWS($B$31:B90)+1)):INDEX(Attenuation!$J:$J,INDEX(Cables!$AO:$AO,ROWS($B$31:B90)+1)+INDEX(Cables!$AP:$AP,ROWS($B$31:B90)+1)-1),1),1),1),INDEX(Cables!$AP:$AP,ROWS($B$31:B90)+1)-1))):INDEX(Attenuation!$J:$J,(INDEX(Cables!$AO:$AO,ROWS($B$31:B90)+1)-1+MIN(MAX(IFERROR(MATCH(LN($C$6),INDEX(Attenuation!$J:$J,INDEX(Cables!$AO:$AO,ROWS($B$31:B90)+1)):INDEX(Attenuation!$J:$J,INDEX(Cables!$AO:$AO,ROWS($B$31:B90)+1)+INDEX(Cables!$AP:$AP,ROWS($B$31:B90)+1)-1),1),1),1),INDEX(Cables!$AP:$AP,ROWS($B$31:B90)+1)-1))+1))))</f>
        <v>36.977192217291616</v>
      </c>
      <c r="D90" s="12">
        <f t="shared" si="3"/>
        <v>7.5669578508382571</v>
      </c>
      <c r="E90" s="24">
        <f t="shared" si="4"/>
        <v>17.510728519140702</v>
      </c>
      <c r="F90" s="25">
        <f t="shared" si="5"/>
        <v>0.17510728519140703</v>
      </c>
      <c r="G90" s="26">
        <f>IF(B90="","",IF(INDEX(Cables!$AX:$AX,ROWS($B$31:B90)+1)&lt;2,"-",EXP(FORECAST(LN($C$6),INDEX(Power!$K:$K,(INDEX(Cables!$AW:$AW,ROWS($B$31:B90)+1)-1+MIN(MAX(IFERROR(MATCH(LN($C$6),INDEX(Power!$J:$J,INDEX(Cables!$AW:$AW,ROWS($B$31:B90)+1)):INDEX(Power!$J:$J,INDEX(Cables!$AW:$AW,ROWS($B$31:B90)+1)+INDEX(Cables!$AX:$AX,ROWS($B$31:B90)+1)-1),1),1),1),INDEX(Cables!$AX:$AX,ROWS($B$31:B90)+1)-1))):INDEX(Power!$K:$K,(INDEX(Cables!$AW:$AW,ROWS($B$31:B90)+1)-1+MIN(MAX(IFERROR(MATCH(LN($C$6),INDEX(Power!$J:$J,INDEX(Cables!$AW:$AW,ROWS($B$31:B90)+1)):INDEX(Power!$J:$J,INDEX(Cables!$AW:$AW,ROWS($B$31:B90)+1)+INDEX(Cables!$AX:$AX,ROWS($B$31:B90)+1)-1),1),1),1),INDEX(Cables!$AX:$AX,ROWS($B$31:B90)+1)-1))+1),INDEX(Power!$J:$J,(INDEX(Cables!$AW:$AW,ROWS($B$31:B90)+1)-1+MIN(MAX(IFERROR(MATCH(LN($C$6),INDEX(Power!$J:$J,INDEX(Cables!$AW:$AW,ROWS($B$31:B90)+1)):INDEX(Power!$J:$J,INDEX(Cables!$AW:$AW,ROWS($B$31:B90)+1)+INDEX(Cables!$AX:$AX,ROWS($B$31:B90)+1)-1),1),1),1),INDEX(Cables!$AX:$AX,ROWS($B$31:B90)+1)-1))):INDEX(Power!$J:$J,(INDEX(Cables!$AW:$AW,ROWS($B$31:B90)+1)-1+MIN(MAX(IFERROR(MATCH(LN($C$6),INDEX(Power!$J:$J,INDEX(Cables!$AW:$AW,ROWS($B$31:B90)+1)):INDEX(Power!$J:$J,INDEX(Cables!$AW:$AW,ROWS($B$31:B90)+1)+INDEX(Cables!$AX:$AX,ROWS($B$31:B90)+1)-1),1),1),1),INDEX(Cables!$AX:$AX,ROWS($B$31:B90)+1)-1))+1)))))</f>
        <v>710.34251461801398</v>
      </c>
      <c r="H90" s="11" t="str">
        <f>IF(B90="","",MID(IF(OR($C$6&lt;INDEX(Cables!$AQ:$AQ,ROWS($B$31:B90)+1),$C$6&gt;INDEX(Cables!$AR:$AR,ROWS($B$31:B90)+1))," / ekstrapolasyon","")&amp;IF(AND(ISNUMBER(G90),$C$8&gt;G90)," / güç sınırı aşılıyor","")&amp;IF(INDEX(Cables!$F:$F,ROWS($B$31:B90)+1)&lt;&gt;50," / Z0="&amp;INDEX(Cables!$F:$F,ROWS($B$31:B90)+1)&amp;" Ω",""),4,200))</f>
        <v>Z0=75 Ω</v>
      </c>
      <c r="I90" s="1"/>
    </row>
    <row r="91" spans="1:9" x14ac:dyDescent="0.25">
      <c r="A91" s="1"/>
      <c r="B91" s="11" t="str">
        <f>IF(ROWS($B$31:B91)&gt;COUNTA(Cables!$A:$A)-1,"",INDEX(Cables!$B:$B,ROWS($B$31:B91)+1))</f>
        <v>Belden 8263 (RG-59B/U, 75 Ω)</v>
      </c>
      <c r="C91" s="12">
        <f>IF(B91="","",EXP(FORECAST(LN($C$6),INDEX(Attenuation!$K:$K,(INDEX(Cables!$AO:$AO,ROWS($B$31:B91)+1)-1+MIN(MAX(IFERROR(MATCH(LN($C$6),INDEX(Attenuation!$J:$J,INDEX(Cables!$AO:$AO,ROWS($B$31:B91)+1)):INDEX(Attenuation!$J:$J,INDEX(Cables!$AO:$AO,ROWS($B$31:B91)+1)+INDEX(Cables!$AP:$AP,ROWS($B$31:B91)+1)-1),1),1),1),INDEX(Cables!$AP:$AP,ROWS($B$31:B91)+1)-1))):INDEX(Attenuation!$K:$K,(INDEX(Cables!$AO:$AO,ROWS($B$31:B91)+1)-1+MIN(MAX(IFERROR(MATCH(LN($C$6),INDEX(Attenuation!$J:$J,INDEX(Cables!$AO:$AO,ROWS($B$31:B91)+1)):INDEX(Attenuation!$J:$J,INDEX(Cables!$AO:$AO,ROWS($B$31:B91)+1)+INDEX(Cables!$AP:$AP,ROWS($B$31:B91)+1)-1),1),1),1),INDEX(Cables!$AP:$AP,ROWS($B$31:B91)+1)-1))+1),INDEX(Attenuation!$J:$J,(INDEX(Cables!$AO:$AO,ROWS($B$31:B91)+1)-1+MIN(MAX(IFERROR(MATCH(LN($C$6),INDEX(Attenuation!$J:$J,INDEX(Cables!$AO:$AO,ROWS($B$31:B91)+1)):INDEX(Attenuation!$J:$J,INDEX(Cables!$AO:$AO,ROWS($B$31:B91)+1)+INDEX(Cables!$AP:$AP,ROWS($B$31:B91)+1)-1),1),1),1),INDEX(Cables!$AP:$AP,ROWS($B$31:B91)+1)-1))):INDEX(Attenuation!$J:$J,(INDEX(Cables!$AO:$AO,ROWS($B$31:B91)+1)-1+MIN(MAX(IFERROR(MATCH(LN($C$6),INDEX(Attenuation!$J:$J,INDEX(Cables!$AO:$AO,ROWS($B$31:B91)+1)):INDEX(Attenuation!$J:$J,INDEX(Cables!$AO:$AO,ROWS($B$31:B91)+1)+INDEX(Cables!$AP:$AP,ROWS($B$31:B91)+1)-1),1),1),1),INDEX(Cables!$AP:$AP,ROWS($B$31:B91)+1)-1))+1))))</f>
        <v>13.568903377269626</v>
      </c>
      <c r="D91" s="12">
        <f t="shared" si="3"/>
        <v>2.8409969917110023</v>
      </c>
      <c r="E91" s="24">
        <f t="shared" si="4"/>
        <v>51.987663692445999</v>
      </c>
      <c r="F91" s="25">
        <f t="shared" si="5"/>
        <v>0.51987663692445996</v>
      </c>
      <c r="G91" s="26" t="str">
        <f>IF(B91="","",IF(INDEX(Cables!$AX:$AX,ROWS($B$31:B91)+1)&lt;2,"-",EXP(FORECAST(LN($C$6),INDEX(Power!$K:$K,(INDEX(Cables!$AW:$AW,ROWS($B$31:B91)+1)-1+MIN(MAX(IFERROR(MATCH(LN($C$6),INDEX(Power!$J:$J,INDEX(Cables!$AW:$AW,ROWS($B$31:B91)+1)):INDEX(Power!$J:$J,INDEX(Cables!$AW:$AW,ROWS($B$31:B91)+1)+INDEX(Cables!$AX:$AX,ROWS($B$31:B91)+1)-1),1),1),1),INDEX(Cables!$AX:$AX,ROWS($B$31:B91)+1)-1))):INDEX(Power!$K:$K,(INDEX(Cables!$AW:$AW,ROWS($B$31:B91)+1)-1+MIN(MAX(IFERROR(MATCH(LN($C$6),INDEX(Power!$J:$J,INDEX(Cables!$AW:$AW,ROWS($B$31:B91)+1)):INDEX(Power!$J:$J,INDEX(Cables!$AW:$AW,ROWS($B$31:B91)+1)+INDEX(Cables!$AX:$AX,ROWS($B$31:B91)+1)-1),1),1),1),INDEX(Cables!$AX:$AX,ROWS($B$31:B91)+1)-1))+1),INDEX(Power!$J:$J,(INDEX(Cables!$AW:$AW,ROWS($B$31:B91)+1)-1+MIN(MAX(IFERROR(MATCH(LN($C$6),INDEX(Power!$J:$J,INDEX(Cables!$AW:$AW,ROWS($B$31:B91)+1)):INDEX(Power!$J:$J,INDEX(Cables!$AW:$AW,ROWS($B$31:B91)+1)+INDEX(Cables!$AX:$AX,ROWS($B$31:B91)+1)-1),1),1),1),INDEX(Cables!$AX:$AX,ROWS($B$31:B91)+1)-1))):INDEX(Power!$J:$J,(INDEX(Cables!$AW:$AW,ROWS($B$31:B91)+1)-1+MIN(MAX(IFERROR(MATCH(LN($C$6),INDEX(Power!$J:$J,INDEX(Cables!$AW:$AW,ROWS($B$31:B91)+1)):INDEX(Power!$J:$J,INDEX(Cables!$AW:$AW,ROWS($B$31:B91)+1)+INDEX(Cables!$AX:$AX,ROWS($B$31:B91)+1)-1),1),1),1),INDEX(Cables!$AX:$AX,ROWS($B$31:B91)+1)-1))+1)))))</f>
        <v>-</v>
      </c>
      <c r="H91" s="11" t="str">
        <f>IF(B91="","",MID(IF(OR($C$6&lt;INDEX(Cables!$AQ:$AQ,ROWS($B$31:B91)+1),$C$6&gt;INDEX(Cables!$AR:$AR,ROWS($B$31:B91)+1))," / ekstrapolasyon","")&amp;IF(AND(ISNUMBER(G91),$C$8&gt;G91)," / güç sınırı aşılıyor","")&amp;IF(INDEX(Cables!$F:$F,ROWS($B$31:B91)+1)&lt;&gt;50," / Z0="&amp;INDEX(Cables!$F:$F,ROWS($B$31:B91)+1)&amp;" Ω",""),4,200))</f>
        <v>Z0=75 Ω</v>
      </c>
      <c r="I91" s="1"/>
    </row>
    <row r="92" spans="1:9" x14ac:dyDescent="0.25">
      <c r="A92" s="1"/>
      <c r="B92" s="11" t="str">
        <f>IF(ROWS($B$31:B92)&gt;COUNTA(Cables!$A:$A)-1,"",INDEX(Cables!$B:$B,ROWS($B$31:B92)+1))</f>
        <v>Belden 8261 (RG-11/U dolu PE, 75 Ω)</v>
      </c>
      <c r="C92" s="12">
        <f>IF(B92="","",EXP(FORECAST(LN($C$6),INDEX(Attenuation!$K:$K,(INDEX(Cables!$AO:$AO,ROWS($B$31:B92)+1)-1+MIN(MAX(IFERROR(MATCH(LN($C$6),INDEX(Attenuation!$J:$J,INDEX(Cables!$AO:$AO,ROWS($B$31:B92)+1)):INDEX(Attenuation!$J:$J,INDEX(Cables!$AO:$AO,ROWS($B$31:B92)+1)+INDEX(Cables!$AP:$AP,ROWS($B$31:B92)+1)-1),1),1),1),INDEX(Cables!$AP:$AP,ROWS($B$31:B92)+1)-1))):INDEX(Attenuation!$K:$K,(INDEX(Cables!$AO:$AO,ROWS($B$31:B92)+1)-1+MIN(MAX(IFERROR(MATCH(LN($C$6),INDEX(Attenuation!$J:$J,INDEX(Cables!$AO:$AO,ROWS($B$31:B92)+1)):INDEX(Attenuation!$J:$J,INDEX(Cables!$AO:$AO,ROWS($B$31:B92)+1)+INDEX(Cables!$AP:$AP,ROWS($B$31:B92)+1)-1),1),1),1),INDEX(Cables!$AP:$AP,ROWS($B$31:B92)+1)-1))+1),INDEX(Attenuation!$J:$J,(INDEX(Cables!$AO:$AO,ROWS($B$31:B92)+1)-1+MIN(MAX(IFERROR(MATCH(LN($C$6),INDEX(Attenuation!$J:$J,INDEX(Cables!$AO:$AO,ROWS($B$31:B92)+1)):INDEX(Attenuation!$J:$J,INDEX(Cables!$AO:$AO,ROWS($B$31:B92)+1)+INDEX(Cables!$AP:$AP,ROWS($B$31:B92)+1)-1),1),1),1),INDEX(Cables!$AP:$AP,ROWS($B$31:B92)+1)-1))):INDEX(Attenuation!$J:$J,(INDEX(Cables!$AO:$AO,ROWS($B$31:B92)+1)-1+MIN(MAX(IFERROR(MATCH(LN($C$6),INDEX(Attenuation!$J:$J,INDEX(Cables!$AO:$AO,ROWS($B$31:B92)+1)):INDEX(Attenuation!$J:$J,INDEX(Cables!$AO:$AO,ROWS($B$31:B92)+1)+INDEX(Cables!$AP:$AP,ROWS($B$31:B92)+1)-1),1),1),1),INDEX(Cables!$AP:$AP,ROWS($B$31:B92)+1)-1))+1))))</f>
        <v>8.0078663937676602</v>
      </c>
      <c r="D92" s="12">
        <f t="shared" si="3"/>
        <v>1.6949695439258408</v>
      </c>
      <c r="E92" s="24">
        <f t="shared" si="4"/>
        <v>67.686653961262451</v>
      </c>
      <c r="F92" s="25">
        <f t="shared" si="5"/>
        <v>0.67686653961262455</v>
      </c>
      <c r="G92" s="26" t="str">
        <f>IF(B92="","",IF(INDEX(Cables!$AX:$AX,ROWS($B$31:B92)+1)&lt;2,"-",EXP(FORECAST(LN($C$6),INDEX(Power!$K:$K,(INDEX(Cables!$AW:$AW,ROWS($B$31:B92)+1)-1+MIN(MAX(IFERROR(MATCH(LN($C$6),INDEX(Power!$J:$J,INDEX(Cables!$AW:$AW,ROWS($B$31:B92)+1)):INDEX(Power!$J:$J,INDEX(Cables!$AW:$AW,ROWS($B$31:B92)+1)+INDEX(Cables!$AX:$AX,ROWS($B$31:B92)+1)-1),1),1),1),INDEX(Cables!$AX:$AX,ROWS($B$31:B92)+1)-1))):INDEX(Power!$K:$K,(INDEX(Cables!$AW:$AW,ROWS($B$31:B92)+1)-1+MIN(MAX(IFERROR(MATCH(LN($C$6),INDEX(Power!$J:$J,INDEX(Cables!$AW:$AW,ROWS($B$31:B92)+1)):INDEX(Power!$J:$J,INDEX(Cables!$AW:$AW,ROWS($B$31:B92)+1)+INDEX(Cables!$AX:$AX,ROWS($B$31:B92)+1)-1),1),1),1),INDEX(Cables!$AX:$AX,ROWS($B$31:B92)+1)-1))+1),INDEX(Power!$J:$J,(INDEX(Cables!$AW:$AW,ROWS($B$31:B92)+1)-1+MIN(MAX(IFERROR(MATCH(LN($C$6),INDEX(Power!$J:$J,INDEX(Cables!$AW:$AW,ROWS($B$31:B92)+1)):INDEX(Power!$J:$J,INDEX(Cables!$AW:$AW,ROWS($B$31:B92)+1)+INDEX(Cables!$AX:$AX,ROWS($B$31:B92)+1)-1),1),1),1),INDEX(Cables!$AX:$AX,ROWS($B$31:B92)+1)-1))):INDEX(Power!$J:$J,(INDEX(Cables!$AW:$AW,ROWS($B$31:B92)+1)-1+MIN(MAX(IFERROR(MATCH(LN($C$6),INDEX(Power!$J:$J,INDEX(Cables!$AW:$AW,ROWS($B$31:B92)+1)):INDEX(Power!$J:$J,INDEX(Cables!$AW:$AW,ROWS($B$31:B92)+1)+INDEX(Cables!$AX:$AX,ROWS($B$31:B92)+1)-1),1),1),1),INDEX(Cables!$AX:$AX,ROWS($B$31:B92)+1)-1))+1)))))</f>
        <v>-</v>
      </c>
      <c r="H92" s="11" t="str">
        <f>IF(B92="","",MID(IF(OR($C$6&lt;INDEX(Cables!$AQ:$AQ,ROWS($B$31:B92)+1),$C$6&gt;INDEX(Cables!$AR:$AR,ROWS($B$31:B92)+1))," / ekstrapolasyon","")&amp;IF(AND(ISNUMBER(G92),$C$8&gt;G92)," / güç sınırı aşılıyor","")&amp;IF(INDEX(Cables!$F:$F,ROWS($B$31:B92)+1)&lt;&gt;50," / Z0="&amp;INDEX(Cables!$F:$F,ROWS($B$31:B92)+1)&amp;" Ω",""),4,200))</f>
        <v>Z0=75 Ω</v>
      </c>
      <c r="I92" s="1"/>
    </row>
    <row r="93" spans="1:9" x14ac:dyDescent="0.25">
      <c r="A93" s="1"/>
      <c r="B93" s="11" t="str">
        <f>IF(ROWS($B$31:B93)&gt;COUNTA(Cables!$A:$A)-1,"",INDEX(Cables!$B:$B,ROWS($B$31:B93)+1))</f>
        <v>Belden 1694A (RG-6, 75 Ω)</v>
      </c>
      <c r="C93" s="12">
        <f>IF(B93="","",EXP(FORECAST(LN($C$6),INDEX(Attenuation!$K:$K,(INDEX(Cables!$AO:$AO,ROWS($B$31:B93)+1)-1+MIN(MAX(IFERROR(MATCH(LN($C$6),INDEX(Attenuation!$J:$J,INDEX(Cables!$AO:$AO,ROWS($B$31:B93)+1)):INDEX(Attenuation!$J:$J,INDEX(Cables!$AO:$AO,ROWS($B$31:B93)+1)+INDEX(Cables!$AP:$AP,ROWS($B$31:B93)+1)-1),1),1),1),INDEX(Cables!$AP:$AP,ROWS($B$31:B93)+1)-1))):INDEX(Attenuation!$K:$K,(INDEX(Cables!$AO:$AO,ROWS($B$31:B93)+1)-1+MIN(MAX(IFERROR(MATCH(LN($C$6),INDEX(Attenuation!$J:$J,INDEX(Cables!$AO:$AO,ROWS($B$31:B93)+1)):INDEX(Attenuation!$J:$J,INDEX(Cables!$AO:$AO,ROWS($B$31:B93)+1)+INDEX(Cables!$AP:$AP,ROWS($B$31:B93)+1)-1),1),1),1),INDEX(Cables!$AP:$AP,ROWS($B$31:B93)+1)-1))+1),INDEX(Attenuation!$J:$J,(INDEX(Cables!$AO:$AO,ROWS($B$31:B93)+1)-1+MIN(MAX(IFERROR(MATCH(LN($C$6),INDEX(Attenuation!$J:$J,INDEX(Cables!$AO:$AO,ROWS($B$31:B93)+1)):INDEX(Attenuation!$J:$J,INDEX(Cables!$AO:$AO,ROWS($B$31:B93)+1)+INDEX(Cables!$AP:$AP,ROWS($B$31:B93)+1)-1),1),1),1),INDEX(Cables!$AP:$AP,ROWS($B$31:B93)+1)-1))):INDEX(Attenuation!$J:$J,(INDEX(Cables!$AO:$AO,ROWS($B$31:B93)+1)-1+MIN(MAX(IFERROR(MATCH(LN($C$6),INDEX(Attenuation!$J:$J,INDEX(Cables!$AO:$AO,ROWS($B$31:B93)+1)):INDEX(Attenuation!$J:$J,INDEX(Cables!$AO:$AO,ROWS($B$31:B93)+1)+INDEX(Cables!$AP:$AP,ROWS($B$31:B93)+1)-1),1),1),1),INDEX(Cables!$AP:$AP,ROWS($B$31:B93)+1)-1))+1))))</f>
        <v>7.5966557754505084</v>
      </c>
      <c r="D93" s="12">
        <f t="shared" si="3"/>
        <v>1.6094564808968475</v>
      </c>
      <c r="E93" s="24">
        <f t="shared" si="4"/>
        <v>69.032619268727586</v>
      </c>
      <c r="F93" s="25">
        <f t="shared" si="5"/>
        <v>0.69032619268727591</v>
      </c>
      <c r="G93" s="26" t="str">
        <f>IF(B93="","",IF(INDEX(Cables!$AX:$AX,ROWS($B$31:B93)+1)&lt;2,"-",EXP(FORECAST(LN($C$6),INDEX(Power!$K:$K,(INDEX(Cables!$AW:$AW,ROWS($B$31:B93)+1)-1+MIN(MAX(IFERROR(MATCH(LN($C$6),INDEX(Power!$J:$J,INDEX(Cables!$AW:$AW,ROWS($B$31:B93)+1)):INDEX(Power!$J:$J,INDEX(Cables!$AW:$AW,ROWS($B$31:B93)+1)+INDEX(Cables!$AX:$AX,ROWS($B$31:B93)+1)-1),1),1),1),INDEX(Cables!$AX:$AX,ROWS($B$31:B93)+1)-1))):INDEX(Power!$K:$K,(INDEX(Cables!$AW:$AW,ROWS($B$31:B93)+1)-1+MIN(MAX(IFERROR(MATCH(LN($C$6),INDEX(Power!$J:$J,INDEX(Cables!$AW:$AW,ROWS($B$31:B93)+1)):INDEX(Power!$J:$J,INDEX(Cables!$AW:$AW,ROWS($B$31:B93)+1)+INDEX(Cables!$AX:$AX,ROWS($B$31:B93)+1)-1),1),1),1),INDEX(Cables!$AX:$AX,ROWS($B$31:B93)+1)-1))+1),INDEX(Power!$J:$J,(INDEX(Cables!$AW:$AW,ROWS($B$31:B93)+1)-1+MIN(MAX(IFERROR(MATCH(LN($C$6),INDEX(Power!$J:$J,INDEX(Cables!$AW:$AW,ROWS($B$31:B93)+1)):INDEX(Power!$J:$J,INDEX(Cables!$AW:$AW,ROWS($B$31:B93)+1)+INDEX(Cables!$AX:$AX,ROWS($B$31:B93)+1)-1),1),1),1),INDEX(Cables!$AX:$AX,ROWS($B$31:B93)+1)-1))):INDEX(Power!$J:$J,(INDEX(Cables!$AW:$AW,ROWS($B$31:B93)+1)-1+MIN(MAX(IFERROR(MATCH(LN($C$6),INDEX(Power!$J:$J,INDEX(Cables!$AW:$AW,ROWS($B$31:B93)+1)):INDEX(Power!$J:$J,INDEX(Cables!$AW:$AW,ROWS($B$31:B93)+1)+INDEX(Cables!$AX:$AX,ROWS($B$31:B93)+1)-1),1),1),1),INDEX(Cables!$AX:$AX,ROWS($B$31:B93)+1)-1))+1)))))</f>
        <v>-</v>
      </c>
      <c r="H93" s="11" t="str">
        <f>IF(B93="","",MID(IF(OR($C$6&lt;INDEX(Cables!$AQ:$AQ,ROWS($B$31:B93)+1),$C$6&gt;INDEX(Cables!$AR:$AR,ROWS($B$31:B93)+1))," / ekstrapolasyon","")&amp;IF(AND(ISNUMBER(G93),$C$8&gt;G93)," / güç sınırı aşılıyor","")&amp;IF(INDEX(Cables!$F:$F,ROWS($B$31:B93)+1)&lt;&gt;50," / Z0="&amp;INDEX(Cables!$F:$F,ROWS($B$31:B93)+1)&amp;" Ω",""),4,200))</f>
        <v>Z0=75 Ω</v>
      </c>
      <c r="I93" s="1"/>
    </row>
    <row r="94" spans="1:9" x14ac:dyDescent="0.25">
      <c r="A94" s="1"/>
      <c r="B94" s="11" t="str">
        <f>IF(ROWS($B$31:B94)&gt;COUNTA(Cables!$A:$A)-1,"",INDEX(Cables!$B:$B,ROWS($B$31:B94)+1))</f>
        <v>Belden 9292 (RG-11, 75 Ω)</v>
      </c>
      <c r="C94" s="12">
        <f>IF(B94="","",EXP(FORECAST(LN($C$6),INDEX(Attenuation!$K:$K,(INDEX(Cables!$AO:$AO,ROWS($B$31:B94)+1)-1+MIN(MAX(IFERROR(MATCH(LN($C$6),INDEX(Attenuation!$J:$J,INDEX(Cables!$AO:$AO,ROWS($B$31:B94)+1)):INDEX(Attenuation!$J:$J,INDEX(Cables!$AO:$AO,ROWS($B$31:B94)+1)+INDEX(Cables!$AP:$AP,ROWS($B$31:B94)+1)-1),1),1),1),INDEX(Cables!$AP:$AP,ROWS($B$31:B94)+1)-1))):INDEX(Attenuation!$K:$K,(INDEX(Cables!$AO:$AO,ROWS($B$31:B94)+1)-1+MIN(MAX(IFERROR(MATCH(LN($C$6),INDEX(Attenuation!$J:$J,INDEX(Cables!$AO:$AO,ROWS($B$31:B94)+1)):INDEX(Attenuation!$J:$J,INDEX(Cables!$AO:$AO,ROWS($B$31:B94)+1)+INDEX(Cables!$AP:$AP,ROWS($B$31:B94)+1)-1),1),1),1),INDEX(Cables!$AP:$AP,ROWS($B$31:B94)+1)-1))+1),INDEX(Attenuation!$J:$J,(INDEX(Cables!$AO:$AO,ROWS($B$31:B94)+1)-1+MIN(MAX(IFERROR(MATCH(LN($C$6),INDEX(Attenuation!$J:$J,INDEX(Cables!$AO:$AO,ROWS($B$31:B94)+1)):INDEX(Attenuation!$J:$J,INDEX(Cables!$AO:$AO,ROWS($B$31:B94)+1)+INDEX(Cables!$AP:$AP,ROWS($B$31:B94)+1)-1),1),1),1),INDEX(Cables!$AP:$AP,ROWS($B$31:B94)+1)-1))):INDEX(Attenuation!$J:$J,(INDEX(Cables!$AO:$AO,ROWS($B$31:B94)+1)-1+MIN(MAX(IFERROR(MATCH(LN($C$6),INDEX(Attenuation!$J:$J,INDEX(Cables!$AO:$AO,ROWS($B$31:B94)+1)):INDEX(Attenuation!$J:$J,INDEX(Cables!$AO:$AO,ROWS($B$31:B94)+1)+INDEX(Cables!$AP:$AP,ROWS($B$31:B94)+1)-1),1),1),1),INDEX(Cables!$AP:$AP,ROWS($B$31:B94)+1)-1))+1))))</f>
        <v>4.7672489731246905</v>
      </c>
      <c r="D94" s="12">
        <f t="shared" si="3"/>
        <v>1.0172848187997299</v>
      </c>
      <c r="E94" s="24">
        <f t="shared" si="4"/>
        <v>79.117310975575805</v>
      </c>
      <c r="F94" s="25">
        <f t="shared" si="5"/>
        <v>0.79117310975575805</v>
      </c>
      <c r="G94" s="26" t="str">
        <f>IF(B94="","",IF(INDEX(Cables!$AX:$AX,ROWS($B$31:B94)+1)&lt;2,"-",EXP(FORECAST(LN($C$6),INDEX(Power!$K:$K,(INDEX(Cables!$AW:$AW,ROWS($B$31:B94)+1)-1+MIN(MAX(IFERROR(MATCH(LN($C$6),INDEX(Power!$J:$J,INDEX(Cables!$AW:$AW,ROWS($B$31:B94)+1)):INDEX(Power!$J:$J,INDEX(Cables!$AW:$AW,ROWS($B$31:B94)+1)+INDEX(Cables!$AX:$AX,ROWS($B$31:B94)+1)-1),1),1),1),INDEX(Cables!$AX:$AX,ROWS($B$31:B94)+1)-1))):INDEX(Power!$K:$K,(INDEX(Cables!$AW:$AW,ROWS($B$31:B94)+1)-1+MIN(MAX(IFERROR(MATCH(LN($C$6),INDEX(Power!$J:$J,INDEX(Cables!$AW:$AW,ROWS($B$31:B94)+1)):INDEX(Power!$J:$J,INDEX(Cables!$AW:$AW,ROWS($B$31:B94)+1)+INDEX(Cables!$AX:$AX,ROWS($B$31:B94)+1)-1),1),1),1),INDEX(Cables!$AX:$AX,ROWS($B$31:B94)+1)-1))+1),INDEX(Power!$J:$J,(INDEX(Cables!$AW:$AW,ROWS($B$31:B94)+1)-1+MIN(MAX(IFERROR(MATCH(LN($C$6),INDEX(Power!$J:$J,INDEX(Cables!$AW:$AW,ROWS($B$31:B94)+1)):INDEX(Power!$J:$J,INDEX(Cables!$AW:$AW,ROWS($B$31:B94)+1)+INDEX(Cables!$AX:$AX,ROWS($B$31:B94)+1)-1),1),1),1),INDEX(Cables!$AX:$AX,ROWS($B$31:B94)+1)-1))):INDEX(Power!$J:$J,(INDEX(Cables!$AW:$AW,ROWS($B$31:B94)+1)-1+MIN(MAX(IFERROR(MATCH(LN($C$6),INDEX(Power!$J:$J,INDEX(Cables!$AW:$AW,ROWS($B$31:B94)+1)):INDEX(Power!$J:$J,INDEX(Cables!$AW:$AW,ROWS($B$31:B94)+1)+INDEX(Cables!$AX:$AX,ROWS($B$31:B94)+1)-1),1),1),1),INDEX(Cables!$AX:$AX,ROWS($B$31:B94)+1)-1))+1)))))</f>
        <v>-</v>
      </c>
      <c r="H94" s="11" t="str">
        <f>IF(B94="","",MID(IF(OR($C$6&lt;INDEX(Cables!$AQ:$AQ,ROWS($B$31:B94)+1),$C$6&gt;INDEX(Cables!$AR:$AR,ROWS($B$31:B94)+1))," / ekstrapolasyon","")&amp;IF(AND(ISNUMBER(G94),$C$8&gt;G94)," / güç sınırı aşılıyor","")&amp;IF(INDEX(Cables!$F:$F,ROWS($B$31:B94)+1)&lt;&gt;50," / Z0="&amp;INDEX(Cables!$F:$F,ROWS($B$31:B94)+1)&amp;" Ω",""),4,200))</f>
        <v>Z0=75 Ω</v>
      </c>
      <c r="I94" s="1"/>
    </row>
    <row r="95" spans="1:9" x14ac:dyDescent="0.25">
      <c r="A95" s="1"/>
      <c r="B95" s="11" t="str">
        <f>IF(ROWS($B$31:B95)&gt;COUNTA(Cables!$A:$A)-1,"",INDEX(Cables!$B:$B,ROWS($B$31:B95)+1))</f>
        <v>Belden 9269 (RG-62A/U, 93 Ω)</v>
      </c>
      <c r="C95" s="12">
        <f>IF(B95="","",EXP(FORECAST(LN($C$6),INDEX(Attenuation!$K:$K,(INDEX(Cables!$AO:$AO,ROWS($B$31:B95)+1)-1+MIN(MAX(IFERROR(MATCH(LN($C$6),INDEX(Attenuation!$J:$J,INDEX(Cables!$AO:$AO,ROWS($B$31:B95)+1)):INDEX(Attenuation!$J:$J,INDEX(Cables!$AO:$AO,ROWS($B$31:B95)+1)+INDEX(Cables!$AP:$AP,ROWS($B$31:B95)+1)-1),1),1),1),INDEX(Cables!$AP:$AP,ROWS($B$31:B95)+1)-1))):INDEX(Attenuation!$K:$K,(INDEX(Cables!$AO:$AO,ROWS($B$31:B95)+1)-1+MIN(MAX(IFERROR(MATCH(LN($C$6),INDEX(Attenuation!$J:$J,INDEX(Cables!$AO:$AO,ROWS($B$31:B95)+1)):INDEX(Attenuation!$J:$J,INDEX(Cables!$AO:$AO,ROWS($B$31:B95)+1)+INDEX(Cables!$AP:$AP,ROWS($B$31:B95)+1)-1),1),1),1),INDEX(Cables!$AP:$AP,ROWS($B$31:B95)+1)-1))+1),INDEX(Attenuation!$J:$J,(INDEX(Cables!$AO:$AO,ROWS($B$31:B95)+1)-1+MIN(MAX(IFERROR(MATCH(LN($C$6),INDEX(Attenuation!$J:$J,INDEX(Cables!$AO:$AO,ROWS($B$31:B95)+1)):INDEX(Attenuation!$J:$J,INDEX(Cables!$AO:$AO,ROWS($B$31:B95)+1)+INDEX(Cables!$AP:$AP,ROWS($B$31:B95)+1)-1),1),1),1),INDEX(Cables!$AP:$AP,ROWS($B$31:B95)+1)-1))):INDEX(Attenuation!$J:$J,(INDEX(Cables!$AO:$AO,ROWS($B$31:B95)+1)-1+MIN(MAX(IFERROR(MATCH(LN($C$6),INDEX(Attenuation!$J:$J,INDEX(Cables!$AO:$AO,ROWS($B$31:B95)+1)):INDEX(Attenuation!$J:$J,INDEX(Cables!$AO:$AO,ROWS($B$31:B95)+1)+INDEX(Cables!$AP:$AP,ROWS($B$31:B95)+1)-1),1),1),1),INDEX(Cables!$AP:$AP,ROWS($B$31:B95)+1)-1))+1))))</f>
        <v>10.639217396360211</v>
      </c>
      <c r="D95" s="12">
        <f t="shared" ref="D95:D126" si="6">IF(B95="","",10*LOG10((10^((C95*$C$7/100)/10)^2-$G$13^2)/(10^((C95*$C$7/100)/10)*(1-$G$13^2))))</f>
        <v>2.2394325061078404</v>
      </c>
      <c r="E95" s="24">
        <f t="shared" ref="E95:E126" si="7">IF(B95="","",$C$8*10^(-D95/10))</f>
        <v>59.711330645976858</v>
      </c>
      <c r="F95" s="25">
        <f t="shared" ref="F95:F126" si="8">IF(B95="","",E95/$C$8)</f>
        <v>0.59711330645976857</v>
      </c>
      <c r="G95" s="26" t="str">
        <f>IF(B95="","",IF(INDEX(Cables!$AX:$AX,ROWS($B$31:B95)+1)&lt;2,"-",EXP(FORECAST(LN($C$6),INDEX(Power!$K:$K,(INDEX(Cables!$AW:$AW,ROWS($B$31:B95)+1)-1+MIN(MAX(IFERROR(MATCH(LN($C$6),INDEX(Power!$J:$J,INDEX(Cables!$AW:$AW,ROWS($B$31:B95)+1)):INDEX(Power!$J:$J,INDEX(Cables!$AW:$AW,ROWS($B$31:B95)+1)+INDEX(Cables!$AX:$AX,ROWS($B$31:B95)+1)-1),1),1),1),INDEX(Cables!$AX:$AX,ROWS($B$31:B95)+1)-1))):INDEX(Power!$K:$K,(INDEX(Cables!$AW:$AW,ROWS($B$31:B95)+1)-1+MIN(MAX(IFERROR(MATCH(LN($C$6),INDEX(Power!$J:$J,INDEX(Cables!$AW:$AW,ROWS($B$31:B95)+1)):INDEX(Power!$J:$J,INDEX(Cables!$AW:$AW,ROWS($B$31:B95)+1)+INDEX(Cables!$AX:$AX,ROWS($B$31:B95)+1)-1),1),1),1),INDEX(Cables!$AX:$AX,ROWS($B$31:B95)+1)-1))+1),INDEX(Power!$J:$J,(INDEX(Cables!$AW:$AW,ROWS($B$31:B95)+1)-1+MIN(MAX(IFERROR(MATCH(LN($C$6),INDEX(Power!$J:$J,INDEX(Cables!$AW:$AW,ROWS($B$31:B95)+1)):INDEX(Power!$J:$J,INDEX(Cables!$AW:$AW,ROWS($B$31:B95)+1)+INDEX(Cables!$AX:$AX,ROWS($B$31:B95)+1)-1),1),1),1),INDEX(Cables!$AX:$AX,ROWS($B$31:B95)+1)-1))):INDEX(Power!$J:$J,(INDEX(Cables!$AW:$AW,ROWS($B$31:B95)+1)-1+MIN(MAX(IFERROR(MATCH(LN($C$6),INDEX(Power!$J:$J,INDEX(Cables!$AW:$AW,ROWS($B$31:B95)+1)):INDEX(Power!$J:$J,INDEX(Cables!$AW:$AW,ROWS($B$31:B95)+1)+INDEX(Cables!$AX:$AX,ROWS($B$31:B95)+1)-1),1),1),1),INDEX(Cables!$AX:$AX,ROWS($B$31:B95)+1)-1))+1)))))</f>
        <v>-</v>
      </c>
      <c r="H95" s="11" t="str">
        <f>IF(B95="","",MID(IF(OR($C$6&lt;INDEX(Cables!$AQ:$AQ,ROWS($B$31:B95)+1),$C$6&gt;INDEX(Cables!$AR:$AR,ROWS($B$31:B95)+1))," / ekstrapolasyon","")&amp;IF(AND(ISNUMBER(G95),$C$8&gt;G95)," / güç sınırı aşılıyor","")&amp;IF(INDEX(Cables!$F:$F,ROWS($B$31:B95)+1)&lt;&gt;50," / Z0="&amp;INDEX(Cables!$F:$F,ROWS($B$31:B95)+1)&amp;" Ω",""),4,200))</f>
        <v>Z0=93 Ω</v>
      </c>
      <c r="I95" s="1"/>
    </row>
    <row r="96" spans="1:9" x14ac:dyDescent="0.25">
      <c r="A96" s="1"/>
      <c r="B96" s="11" t="str">
        <f>IF(ROWS($B$31:B96)&gt;COUNTA(Cables!$A:$A)-1,"",INDEX(Cables!$B:$B,ROWS($B$31:B96)+1))</f>
        <v/>
      </c>
      <c r="C96" s="12" t="str">
        <f>IF(B96="","",EXP(FORECAST(LN($C$6),INDEX(Attenuation!$K:$K,(INDEX(Cables!$AO:$AO,ROWS($B$31:B96)+1)-1+MIN(MAX(IFERROR(MATCH(LN($C$6),INDEX(Attenuation!$J:$J,INDEX(Cables!$AO:$AO,ROWS($B$31:B96)+1)):INDEX(Attenuation!$J:$J,INDEX(Cables!$AO:$AO,ROWS($B$31:B96)+1)+INDEX(Cables!$AP:$AP,ROWS($B$31:B96)+1)-1),1),1),1),INDEX(Cables!$AP:$AP,ROWS($B$31:B96)+1)-1))):INDEX(Attenuation!$K:$K,(INDEX(Cables!$AO:$AO,ROWS($B$31:B96)+1)-1+MIN(MAX(IFERROR(MATCH(LN($C$6),INDEX(Attenuation!$J:$J,INDEX(Cables!$AO:$AO,ROWS($B$31:B96)+1)):INDEX(Attenuation!$J:$J,INDEX(Cables!$AO:$AO,ROWS($B$31:B96)+1)+INDEX(Cables!$AP:$AP,ROWS($B$31:B96)+1)-1),1),1),1),INDEX(Cables!$AP:$AP,ROWS($B$31:B96)+1)-1))+1),INDEX(Attenuation!$J:$J,(INDEX(Cables!$AO:$AO,ROWS($B$31:B96)+1)-1+MIN(MAX(IFERROR(MATCH(LN($C$6),INDEX(Attenuation!$J:$J,INDEX(Cables!$AO:$AO,ROWS($B$31:B96)+1)):INDEX(Attenuation!$J:$J,INDEX(Cables!$AO:$AO,ROWS($B$31:B96)+1)+INDEX(Cables!$AP:$AP,ROWS($B$31:B96)+1)-1),1),1),1),INDEX(Cables!$AP:$AP,ROWS($B$31:B96)+1)-1))):INDEX(Attenuation!$J:$J,(INDEX(Cables!$AO:$AO,ROWS($B$31:B96)+1)-1+MIN(MAX(IFERROR(MATCH(LN($C$6),INDEX(Attenuation!$J:$J,INDEX(Cables!$AO:$AO,ROWS($B$31:B96)+1)):INDEX(Attenuation!$J:$J,INDEX(Cables!$AO:$AO,ROWS($B$31:B96)+1)+INDEX(Cables!$AP:$AP,ROWS($B$31:B96)+1)-1),1),1),1),INDEX(Cables!$AP:$AP,ROWS($B$31:B96)+1)-1))+1))))</f>
        <v/>
      </c>
      <c r="D96" s="12" t="str">
        <f t="shared" si="6"/>
        <v/>
      </c>
      <c r="E96" s="24" t="str">
        <f t="shared" si="7"/>
        <v/>
      </c>
      <c r="F96" s="25" t="str">
        <f t="shared" si="8"/>
        <v/>
      </c>
      <c r="G96" s="26" t="str">
        <f>IF(B96="","",IF(INDEX(Cables!$AX:$AX,ROWS($B$31:B96)+1)&lt;2,"-",EXP(FORECAST(LN($C$6),INDEX(Power!$K:$K,(INDEX(Cables!$AW:$AW,ROWS($B$31:B96)+1)-1+MIN(MAX(IFERROR(MATCH(LN($C$6),INDEX(Power!$J:$J,INDEX(Cables!$AW:$AW,ROWS($B$31:B96)+1)):INDEX(Power!$J:$J,INDEX(Cables!$AW:$AW,ROWS($B$31:B96)+1)+INDEX(Cables!$AX:$AX,ROWS($B$31:B96)+1)-1),1),1),1),INDEX(Cables!$AX:$AX,ROWS($B$31:B96)+1)-1))):INDEX(Power!$K:$K,(INDEX(Cables!$AW:$AW,ROWS($B$31:B96)+1)-1+MIN(MAX(IFERROR(MATCH(LN($C$6),INDEX(Power!$J:$J,INDEX(Cables!$AW:$AW,ROWS($B$31:B96)+1)):INDEX(Power!$J:$J,INDEX(Cables!$AW:$AW,ROWS($B$31:B96)+1)+INDEX(Cables!$AX:$AX,ROWS($B$31:B96)+1)-1),1),1),1),INDEX(Cables!$AX:$AX,ROWS($B$31:B96)+1)-1))+1),INDEX(Power!$J:$J,(INDEX(Cables!$AW:$AW,ROWS($B$31:B96)+1)-1+MIN(MAX(IFERROR(MATCH(LN($C$6),INDEX(Power!$J:$J,INDEX(Cables!$AW:$AW,ROWS($B$31:B96)+1)):INDEX(Power!$J:$J,INDEX(Cables!$AW:$AW,ROWS($B$31:B96)+1)+INDEX(Cables!$AX:$AX,ROWS($B$31:B96)+1)-1),1),1),1),INDEX(Cables!$AX:$AX,ROWS($B$31:B96)+1)-1))):INDEX(Power!$J:$J,(INDEX(Cables!$AW:$AW,ROWS($B$31:B96)+1)-1+MIN(MAX(IFERROR(MATCH(LN($C$6),INDEX(Power!$J:$J,INDEX(Cables!$AW:$AW,ROWS($B$31:B96)+1)):INDEX(Power!$J:$J,INDEX(Cables!$AW:$AW,ROWS($B$31:B96)+1)+INDEX(Cables!$AX:$AX,ROWS($B$31:B96)+1)-1),1),1),1),INDEX(Cables!$AX:$AX,ROWS($B$31:B96)+1)-1))+1)))))</f>
        <v/>
      </c>
      <c r="H96" s="11" t="str">
        <f>IF(B96="","",MID(IF(OR($C$6&lt;INDEX(Cables!$AQ:$AQ,ROWS($B$31:B96)+1),$C$6&gt;INDEX(Cables!$AR:$AR,ROWS($B$31:B96)+1))," / ekstrapolasyon","")&amp;IF(AND(ISNUMBER(G96),$C$8&gt;G96)," / güç sınırı aşılıyor","")&amp;IF(INDEX(Cables!$F:$F,ROWS($B$31:B96)+1)&lt;&gt;50," / Z0="&amp;INDEX(Cables!$F:$F,ROWS($B$31:B96)+1)&amp;" Ω",""),4,200))</f>
        <v/>
      </c>
      <c r="I96" s="1"/>
    </row>
    <row r="97" spans="1:9" x14ac:dyDescent="0.25">
      <c r="A97" s="1"/>
      <c r="B97" s="11" t="str">
        <f>IF(ROWS($B$31:B97)&gt;COUNTA(Cables!$A:$A)-1,"",INDEX(Cables!$B:$B,ROWS($B$31:B97)+1))</f>
        <v/>
      </c>
      <c r="C97" s="12" t="str">
        <f>IF(B97="","",EXP(FORECAST(LN($C$6),INDEX(Attenuation!$K:$K,(INDEX(Cables!$AO:$AO,ROWS($B$31:B97)+1)-1+MIN(MAX(IFERROR(MATCH(LN($C$6),INDEX(Attenuation!$J:$J,INDEX(Cables!$AO:$AO,ROWS($B$31:B97)+1)):INDEX(Attenuation!$J:$J,INDEX(Cables!$AO:$AO,ROWS($B$31:B97)+1)+INDEX(Cables!$AP:$AP,ROWS($B$31:B97)+1)-1),1),1),1),INDEX(Cables!$AP:$AP,ROWS($B$31:B97)+1)-1))):INDEX(Attenuation!$K:$K,(INDEX(Cables!$AO:$AO,ROWS($B$31:B97)+1)-1+MIN(MAX(IFERROR(MATCH(LN($C$6),INDEX(Attenuation!$J:$J,INDEX(Cables!$AO:$AO,ROWS($B$31:B97)+1)):INDEX(Attenuation!$J:$J,INDEX(Cables!$AO:$AO,ROWS($B$31:B97)+1)+INDEX(Cables!$AP:$AP,ROWS($B$31:B97)+1)-1),1),1),1),INDEX(Cables!$AP:$AP,ROWS($B$31:B97)+1)-1))+1),INDEX(Attenuation!$J:$J,(INDEX(Cables!$AO:$AO,ROWS($B$31:B97)+1)-1+MIN(MAX(IFERROR(MATCH(LN($C$6),INDEX(Attenuation!$J:$J,INDEX(Cables!$AO:$AO,ROWS($B$31:B97)+1)):INDEX(Attenuation!$J:$J,INDEX(Cables!$AO:$AO,ROWS($B$31:B97)+1)+INDEX(Cables!$AP:$AP,ROWS($B$31:B97)+1)-1),1),1),1),INDEX(Cables!$AP:$AP,ROWS($B$31:B97)+1)-1))):INDEX(Attenuation!$J:$J,(INDEX(Cables!$AO:$AO,ROWS($B$31:B97)+1)-1+MIN(MAX(IFERROR(MATCH(LN($C$6),INDEX(Attenuation!$J:$J,INDEX(Cables!$AO:$AO,ROWS($B$31:B97)+1)):INDEX(Attenuation!$J:$J,INDEX(Cables!$AO:$AO,ROWS($B$31:B97)+1)+INDEX(Cables!$AP:$AP,ROWS($B$31:B97)+1)-1),1),1),1),INDEX(Cables!$AP:$AP,ROWS($B$31:B97)+1)-1))+1))))</f>
        <v/>
      </c>
      <c r="D97" s="12" t="str">
        <f t="shared" si="6"/>
        <v/>
      </c>
      <c r="E97" s="24" t="str">
        <f t="shared" si="7"/>
        <v/>
      </c>
      <c r="F97" s="25" t="str">
        <f t="shared" si="8"/>
        <v/>
      </c>
      <c r="G97" s="26" t="str">
        <f>IF(B97="","",IF(INDEX(Cables!$AX:$AX,ROWS($B$31:B97)+1)&lt;2,"-",EXP(FORECAST(LN($C$6),INDEX(Power!$K:$K,(INDEX(Cables!$AW:$AW,ROWS($B$31:B97)+1)-1+MIN(MAX(IFERROR(MATCH(LN($C$6),INDEX(Power!$J:$J,INDEX(Cables!$AW:$AW,ROWS($B$31:B97)+1)):INDEX(Power!$J:$J,INDEX(Cables!$AW:$AW,ROWS($B$31:B97)+1)+INDEX(Cables!$AX:$AX,ROWS($B$31:B97)+1)-1),1),1),1),INDEX(Cables!$AX:$AX,ROWS($B$31:B97)+1)-1))):INDEX(Power!$K:$K,(INDEX(Cables!$AW:$AW,ROWS($B$31:B97)+1)-1+MIN(MAX(IFERROR(MATCH(LN($C$6),INDEX(Power!$J:$J,INDEX(Cables!$AW:$AW,ROWS($B$31:B97)+1)):INDEX(Power!$J:$J,INDEX(Cables!$AW:$AW,ROWS($B$31:B97)+1)+INDEX(Cables!$AX:$AX,ROWS($B$31:B97)+1)-1),1),1),1),INDEX(Cables!$AX:$AX,ROWS($B$31:B97)+1)-1))+1),INDEX(Power!$J:$J,(INDEX(Cables!$AW:$AW,ROWS($B$31:B97)+1)-1+MIN(MAX(IFERROR(MATCH(LN($C$6),INDEX(Power!$J:$J,INDEX(Cables!$AW:$AW,ROWS($B$31:B97)+1)):INDEX(Power!$J:$J,INDEX(Cables!$AW:$AW,ROWS($B$31:B97)+1)+INDEX(Cables!$AX:$AX,ROWS($B$31:B97)+1)-1),1),1),1),INDEX(Cables!$AX:$AX,ROWS($B$31:B97)+1)-1))):INDEX(Power!$J:$J,(INDEX(Cables!$AW:$AW,ROWS($B$31:B97)+1)-1+MIN(MAX(IFERROR(MATCH(LN($C$6),INDEX(Power!$J:$J,INDEX(Cables!$AW:$AW,ROWS($B$31:B97)+1)):INDEX(Power!$J:$J,INDEX(Cables!$AW:$AW,ROWS($B$31:B97)+1)+INDEX(Cables!$AX:$AX,ROWS($B$31:B97)+1)-1),1),1),1),INDEX(Cables!$AX:$AX,ROWS($B$31:B97)+1)-1))+1)))))</f>
        <v/>
      </c>
      <c r="H97" s="11" t="str">
        <f>IF(B97="","",MID(IF(OR($C$6&lt;INDEX(Cables!$AQ:$AQ,ROWS($B$31:B97)+1),$C$6&gt;INDEX(Cables!$AR:$AR,ROWS($B$31:B97)+1))," / ekstrapolasyon","")&amp;IF(AND(ISNUMBER(G97),$C$8&gt;G97)," / güç sınırı aşılıyor","")&amp;IF(INDEX(Cables!$F:$F,ROWS($B$31:B97)+1)&lt;&gt;50," / Z0="&amp;INDEX(Cables!$F:$F,ROWS($B$31:B97)+1)&amp;" Ω",""),4,200))</f>
        <v/>
      </c>
      <c r="I97" s="1"/>
    </row>
    <row r="98" spans="1:9" x14ac:dyDescent="0.25">
      <c r="A98" s="1"/>
      <c r="B98" s="11" t="str">
        <f>IF(ROWS($B$31:B98)&gt;COUNTA(Cables!$A:$A)-1,"",INDEX(Cables!$B:$B,ROWS($B$31:B98)+1))</f>
        <v/>
      </c>
      <c r="C98" s="12" t="str">
        <f>IF(B98="","",EXP(FORECAST(LN($C$6),INDEX(Attenuation!$K:$K,(INDEX(Cables!$AO:$AO,ROWS($B$31:B98)+1)-1+MIN(MAX(IFERROR(MATCH(LN($C$6),INDEX(Attenuation!$J:$J,INDEX(Cables!$AO:$AO,ROWS($B$31:B98)+1)):INDEX(Attenuation!$J:$J,INDEX(Cables!$AO:$AO,ROWS($B$31:B98)+1)+INDEX(Cables!$AP:$AP,ROWS($B$31:B98)+1)-1),1),1),1),INDEX(Cables!$AP:$AP,ROWS($B$31:B98)+1)-1))):INDEX(Attenuation!$K:$K,(INDEX(Cables!$AO:$AO,ROWS($B$31:B98)+1)-1+MIN(MAX(IFERROR(MATCH(LN($C$6),INDEX(Attenuation!$J:$J,INDEX(Cables!$AO:$AO,ROWS($B$31:B98)+1)):INDEX(Attenuation!$J:$J,INDEX(Cables!$AO:$AO,ROWS($B$31:B98)+1)+INDEX(Cables!$AP:$AP,ROWS($B$31:B98)+1)-1),1),1),1),INDEX(Cables!$AP:$AP,ROWS($B$31:B98)+1)-1))+1),INDEX(Attenuation!$J:$J,(INDEX(Cables!$AO:$AO,ROWS($B$31:B98)+1)-1+MIN(MAX(IFERROR(MATCH(LN($C$6),INDEX(Attenuation!$J:$J,INDEX(Cables!$AO:$AO,ROWS($B$31:B98)+1)):INDEX(Attenuation!$J:$J,INDEX(Cables!$AO:$AO,ROWS($B$31:B98)+1)+INDEX(Cables!$AP:$AP,ROWS($B$31:B98)+1)-1),1),1),1),INDEX(Cables!$AP:$AP,ROWS($B$31:B98)+1)-1))):INDEX(Attenuation!$J:$J,(INDEX(Cables!$AO:$AO,ROWS($B$31:B98)+1)-1+MIN(MAX(IFERROR(MATCH(LN($C$6),INDEX(Attenuation!$J:$J,INDEX(Cables!$AO:$AO,ROWS($B$31:B98)+1)):INDEX(Attenuation!$J:$J,INDEX(Cables!$AO:$AO,ROWS($B$31:B98)+1)+INDEX(Cables!$AP:$AP,ROWS($B$31:B98)+1)-1),1),1),1),INDEX(Cables!$AP:$AP,ROWS($B$31:B98)+1)-1))+1))))</f>
        <v/>
      </c>
      <c r="D98" s="12" t="str">
        <f t="shared" si="6"/>
        <v/>
      </c>
      <c r="E98" s="24" t="str">
        <f t="shared" si="7"/>
        <v/>
      </c>
      <c r="F98" s="25" t="str">
        <f t="shared" si="8"/>
        <v/>
      </c>
      <c r="G98" s="26" t="str">
        <f>IF(B98="","",IF(INDEX(Cables!$AX:$AX,ROWS($B$31:B98)+1)&lt;2,"-",EXP(FORECAST(LN($C$6),INDEX(Power!$K:$K,(INDEX(Cables!$AW:$AW,ROWS($B$31:B98)+1)-1+MIN(MAX(IFERROR(MATCH(LN($C$6),INDEX(Power!$J:$J,INDEX(Cables!$AW:$AW,ROWS($B$31:B98)+1)):INDEX(Power!$J:$J,INDEX(Cables!$AW:$AW,ROWS($B$31:B98)+1)+INDEX(Cables!$AX:$AX,ROWS($B$31:B98)+1)-1),1),1),1),INDEX(Cables!$AX:$AX,ROWS($B$31:B98)+1)-1))):INDEX(Power!$K:$K,(INDEX(Cables!$AW:$AW,ROWS($B$31:B98)+1)-1+MIN(MAX(IFERROR(MATCH(LN($C$6),INDEX(Power!$J:$J,INDEX(Cables!$AW:$AW,ROWS($B$31:B98)+1)):INDEX(Power!$J:$J,INDEX(Cables!$AW:$AW,ROWS($B$31:B98)+1)+INDEX(Cables!$AX:$AX,ROWS($B$31:B98)+1)-1),1),1),1),INDEX(Cables!$AX:$AX,ROWS($B$31:B98)+1)-1))+1),INDEX(Power!$J:$J,(INDEX(Cables!$AW:$AW,ROWS($B$31:B98)+1)-1+MIN(MAX(IFERROR(MATCH(LN($C$6),INDEX(Power!$J:$J,INDEX(Cables!$AW:$AW,ROWS($B$31:B98)+1)):INDEX(Power!$J:$J,INDEX(Cables!$AW:$AW,ROWS($B$31:B98)+1)+INDEX(Cables!$AX:$AX,ROWS($B$31:B98)+1)-1),1),1),1),INDEX(Cables!$AX:$AX,ROWS($B$31:B98)+1)-1))):INDEX(Power!$J:$J,(INDEX(Cables!$AW:$AW,ROWS($B$31:B98)+1)-1+MIN(MAX(IFERROR(MATCH(LN($C$6),INDEX(Power!$J:$J,INDEX(Cables!$AW:$AW,ROWS($B$31:B98)+1)):INDEX(Power!$J:$J,INDEX(Cables!$AW:$AW,ROWS($B$31:B98)+1)+INDEX(Cables!$AX:$AX,ROWS($B$31:B98)+1)-1),1),1),1),INDEX(Cables!$AX:$AX,ROWS($B$31:B98)+1)-1))+1)))))</f>
        <v/>
      </c>
      <c r="H98" s="11" t="str">
        <f>IF(B98="","",MID(IF(OR($C$6&lt;INDEX(Cables!$AQ:$AQ,ROWS($B$31:B98)+1),$C$6&gt;INDEX(Cables!$AR:$AR,ROWS($B$31:B98)+1))," / ekstrapolasyon","")&amp;IF(AND(ISNUMBER(G98),$C$8&gt;G98)," / güç sınırı aşılıyor","")&amp;IF(INDEX(Cables!$F:$F,ROWS($B$31:B98)+1)&lt;&gt;50," / Z0="&amp;INDEX(Cables!$F:$F,ROWS($B$31:B98)+1)&amp;" Ω",""),4,200))</f>
        <v/>
      </c>
      <c r="I98" s="1"/>
    </row>
    <row r="99" spans="1:9" x14ac:dyDescent="0.25">
      <c r="A99" s="1"/>
      <c r="B99" s="11" t="str">
        <f>IF(ROWS($B$31:B99)&gt;COUNTA(Cables!$A:$A)-1,"",INDEX(Cables!$B:$B,ROWS($B$31:B99)+1))</f>
        <v/>
      </c>
      <c r="C99" s="12" t="str">
        <f>IF(B99="","",EXP(FORECAST(LN($C$6),INDEX(Attenuation!$K:$K,(INDEX(Cables!$AO:$AO,ROWS($B$31:B99)+1)-1+MIN(MAX(IFERROR(MATCH(LN($C$6),INDEX(Attenuation!$J:$J,INDEX(Cables!$AO:$AO,ROWS($B$31:B99)+1)):INDEX(Attenuation!$J:$J,INDEX(Cables!$AO:$AO,ROWS($B$31:B99)+1)+INDEX(Cables!$AP:$AP,ROWS($B$31:B99)+1)-1),1),1),1),INDEX(Cables!$AP:$AP,ROWS($B$31:B99)+1)-1))):INDEX(Attenuation!$K:$K,(INDEX(Cables!$AO:$AO,ROWS($B$31:B99)+1)-1+MIN(MAX(IFERROR(MATCH(LN($C$6),INDEX(Attenuation!$J:$J,INDEX(Cables!$AO:$AO,ROWS($B$31:B99)+1)):INDEX(Attenuation!$J:$J,INDEX(Cables!$AO:$AO,ROWS($B$31:B99)+1)+INDEX(Cables!$AP:$AP,ROWS($B$31:B99)+1)-1),1),1),1),INDEX(Cables!$AP:$AP,ROWS($B$31:B99)+1)-1))+1),INDEX(Attenuation!$J:$J,(INDEX(Cables!$AO:$AO,ROWS($B$31:B99)+1)-1+MIN(MAX(IFERROR(MATCH(LN($C$6),INDEX(Attenuation!$J:$J,INDEX(Cables!$AO:$AO,ROWS($B$31:B99)+1)):INDEX(Attenuation!$J:$J,INDEX(Cables!$AO:$AO,ROWS($B$31:B99)+1)+INDEX(Cables!$AP:$AP,ROWS($B$31:B99)+1)-1),1),1),1),INDEX(Cables!$AP:$AP,ROWS($B$31:B99)+1)-1))):INDEX(Attenuation!$J:$J,(INDEX(Cables!$AO:$AO,ROWS($B$31:B99)+1)-1+MIN(MAX(IFERROR(MATCH(LN($C$6),INDEX(Attenuation!$J:$J,INDEX(Cables!$AO:$AO,ROWS($B$31:B99)+1)):INDEX(Attenuation!$J:$J,INDEX(Cables!$AO:$AO,ROWS($B$31:B99)+1)+INDEX(Cables!$AP:$AP,ROWS($B$31:B99)+1)-1),1),1),1),INDEX(Cables!$AP:$AP,ROWS($B$31:B99)+1)-1))+1))))</f>
        <v/>
      </c>
      <c r="D99" s="12" t="str">
        <f t="shared" si="6"/>
        <v/>
      </c>
      <c r="E99" s="24" t="str">
        <f t="shared" si="7"/>
        <v/>
      </c>
      <c r="F99" s="25" t="str">
        <f t="shared" si="8"/>
        <v/>
      </c>
      <c r="G99" s="26" t="str">
        <f>IF(B99="","",IF(INDEX(Cables!$AX:$AX,ROWS($B$31:B99)+1)&lt;2,"-",EXP(FORECAST(LN($C$6),INDEX(Power!$K:$K,(INDEX(Cables!$AW:$AW,ROWS($B$31:B99)+1)-1+MIN(MAX(IFERROR(MATCH(LN($C$6),INDEX(Power!$J:$J,INDEX(Cables!$AW:$AW,ROWS($B$31:B99)+1)):INDEX(Power!$J:$J,INDEX(Cables!$AW:$AW,ROWS($B$31:B99)+1)+INDEX(Cables!$AX:$AX,ROWS($B$31:B99)+1)-1),1),1),1),INDEX(Cables!$AX:$AX,ROWS($B$31:B99)+1)-1))):INDEX(Power!$K:$K,(INDEX(Cables!$AW:$AW,ROWS($B$31:B99)+1)-1+MIN(MAX(IFERROR(MATCH(LN($C$6),INDEX(Power!$J:$J,INDEX(Cables!$AW:$AW,ROWS($B$31:B99)+1)):INDEX(Power!$J:$J,INDEX(Cables!$AW:$AW,ROWS($B$31:B99)+1)+INDEX(Cables!$AX:$AX,ROWS($B$31:B99)+1)-1),1),1),1),INDEX(Cables!$AX:$AX,ROWS($B$31:B99)+1)-1))+1),INDEX(Power!$J:$J,(INDEX(Cables!$AW:$AW,ROWS($B$31:B99)+1)-1+MIN(MAX(IFERROR(MATCH(LN($C$6),INDEX(Power!$J:$J,INDEX(Cables!$AW:$AW,ROWS($B$31:B99)+1)):INDEX(Power!$J:$J,INDEX(Cables!$AW:$AW,ROWS($B$31:B99)+1)+INDEX(Cables!$AX:$AX,ROWS($B$31:B99)+1)-1),1),1),1),INDEX(Cables!$AX:$AX,ROWS($B$31:B99)+1)-1))):INDEX(Power!$J:$J,(INDEX(Cables!$AW:$AW,ROWS($B$31:B99)+1)-1+MIN(MAX(IFERROR(MATCH(LN($C$6),INDEX(Power!$J:$J,INDEX(Cables!$AW:$AW,ROWS($B$31:B99)+1)):INDEX(Power!$J:$J,INDEX(Cables!$AW:$AW,ROWS($B$31:B99)+1)+INDEX(Cables!$AX:$AX,ROWS($B$31:B99)+1)-1),1),1),1),INDEX(Cables!$AX:$AX,ROWS($B$31:B99)+1)-1))+1)))))</f>
        <v/>
      </c>
      <c r="H99" s="11" t="str">
        <f>IF(B99="","",MID(IF(OR($C$6&lt;INDEX(Cables!$AQ:$AQ,ROWS($B$31:B99)+1),$C$6&gt;INDEX(Cables!$AR:$AR,ROWS($B$31:B99)+1))," / ekstrapolasyon","")&amp;IF(AND(ISNUMBER(G99),$C$8&gt;G99)," / güç sınırı aşılıyor","")&amp;IF(INDEX(Cables!$F:$F,ROWS($B$31:B99)+1)&lt;&gt;50," / Z0="&amp;INDEX(Cables!$F:$F,ROWS($B$31:B99)+1)&amp;" Ω",""),4,200))</f>
        <v/>
      </c>
      <c r="I99" s="1"/>
    </row>
    <row r="100" spans="1:9" x14ac:dyDescent="0.25">
      <c r="A100" s="1"/>
      <c r="B100" s="11" t="str">
        <f>IF(ROWS($B$31:B100)&gt;COUNTA(Cables!$A:$A)-1,"",INDEX(Cables!$B:$B,ROWS($B$31:B100)+1))</f>
        <v/>
      </c>
      <c r="C100" s="12" t="str">
        <f>IF(B100="","",EXP(FORECAST(LN($C$6),INDEX(Attenuation!$K:$K,(INDEX(Cables!$AO:$AO,ROWS($B$31:B100)+1)-1+MIN(MAX(IFERROR(MATCH(LN($C$6),INDEX(Attenuation!$J:$J,INDEX(Cables!$AO:$AO,ROWS($B$31:B100)+1)):INDEX(Attenuation!$J:$J,INDEX(Cables!$AO:$AO,ROWS($B$31:B100)+1)+INDEX(Cables!$AP:$AP,ROWS($B$31:B100)+1)-1),1),1),1),INDEX(Cables!$AP:$AP,ROWS($B$31:B100)+1)-1))):INDEX(Attenuation!$K:$K,(INDEX(Cables!$AO:$AO,ROWS($B$31:B100)+1)-1+MIN(MAX(IFERROR(MATCH(LN($C$6),INDEX(Attenuation!$J:$J,INDEX(Cables!$AO:$AO,ROWS($B$31:B100)+1)):INDEX(Attenuation!$J:$J,INDEX(Cables!$AO:$AO,ROWS($B$31:B100)+1)+INDEX(Cables!$AP:$AP,ROWS($B$31:B100)+1)-1),1),1),1),INDEX(Cables!$AP:$AP,ROWS($B$31:B100)+1)-1))+1),INDEX(Attenuation!$J:$J,(INDEX(Cables!$AO:$AO,ROWS($B$31:B100)+1)-1+MIN(MAX(IFERROR(MATCH(LN($C$6),INDEX(Attenuation!$J:$J,INDEX(Cables!$AO:$AO,ROWS($B$31:B100)+1)):INDEX(Attenuation!$J:$J,INDEX(Cables!$AO:$AO,ROWS($B$31:B100)+1)+INDEX(Cables!$AP:$AP,ROWS($B$31:B100)+1)-1),1),1),1),INDEX(Cables!$AP:$AP,ROWS($B$31:B100)+1)-1))):INDEX(Attenuation!$J:$J,(INDEX(Cables!$AO:$AO,ROWS($B$31:B100)+1)-1+MIN(MAX(IFERROR(MATCH(LN($C$6),INDEX(Attenuation!$J:$J,INDEX(Cables!$AO:$AO,ROWS($B$31:B100)+1)):INDEX(Attenuation!$J:$J,INDEX(Cables!$AO:$AO,ROWS($B$31:B100)+1)+INDEX(Cables!$AP:$AP,ROWS($B$31:B100)+1)-1),1),1),1),INDEX(Cables!$AP:$AP,ROWS($B$31:B100)+1)-1))+1))))</f>
        <v/>
      </c>
      <c r="D100" s="12" t="str">
        <f t="shared" si="6"/>
        <v/>
      </c>
      <c r="E100" s="24" t="str">
        <f t="shared" si="7"/>
        <v/>
      </c>
      <c r="F100" s="25" t="str">
        <f t="shared" si="8"/>
        <v/>
      </c>
      <c r="G100" s="26" t="str">
        <f>IF(B100="","",IF(INDEX(Cables!$AX:$AX,ROWS($B$31:B100)+1)&lt;2,"-",EXP(FORECAST(LN($C$6),INDEX(Power!$K:$K,(INDEX(Cables!$AW:$AW,ROWS($B$31:B100)+1)-1+MIN(MAX(IFERROR(MATCH(LN($C$6),INDEX(Power!$J:$J,INDEX(Cables!$AW:$AW,ROWS($B$31:B100)+1)):INDEX(Power!$J:$J,INDEX(Cables!$AW:$AW,ROWS($B$31:B100)+1)+INDEX(Cables!$AX:$AX,ROWS($B$31:B100)+1)-1),1),1),1),INDEX(Cables!$AX:$AX,ROWS($B$31:B100)+1)-1))):INDEX(Power!$K:$K,(INDEX(Cables!$AW:$AW,ROWS($B$31:B100)+1)-1+MIN(MAX(IFERROR(MATCH(LN($C$6),INDEX(Power!$J:$J,INDEX(Cables!$AW:$AW,ROWS($B$31:B100)+1)):INDEX(Power!$J:$J,INDEX(Cables!$AW:$AW,ROWS($B$31:B100)+1)+INDEX(Cables!$AX:$AX,ROWS($B$31:B100)+1)-1),1),1),1),INDEX(Cables!$AX:$AX,ROWS($B$31:B100)+1)-1))+1),INDEX(Power!$J:$J,(INDEX(Cables!$AW:$AW,ROWS($B$31:B100)+1)-1+MIN(MAX(IFERROR(MATCH(LN($C$6),INDEX(Power!$J:$J,INDEX(Cables!$AW:$AW,ROWS($B$31:B100)+1)):INDEX(Power!$J:$J,INDEX(Cables!$AW:$AW,ROWS($B$31:B100)+1)+INDEX(Cables!$AX:$AX,ROWS($B$31:B100)+1)-1),1),1),1),INDEX(Cables!$AX:$AX,ROWS($B$31:B100)+1)-1))):INDEX(Power!$J:$J,(INDEX(Cables!$AW:$AW,ROWS($B$31:B100)+1)-1+MIN(MAX(IFERROR(MATCH(LN($C$6),INDEX(Power!$J:$J,INDEX(Cables!$AW:$AW,ROWS($B$31:B100)+1)):INDEX(Power!$J:$J,INDEX(Cables!$AW:$AW,ROWS($B$31:B100)+1)+INDEX(Cables!$AX:$AX,ROWS($B$31:B100)+1)-1),1),1),1),INDEX(Cables!$AX:$AX,ROWS($B$31:B100)+1)-1))+1)))))</f>
        <v/>
      </c>
      <c r="H100" s="11" t="str">
        <f>IF(B100="","",MID(IF(OR($C$6&lt;INDEX(Cables!$AQ:$AQ,ROWS($B$31:B100)+1),$C$6&gt;INDEX(Cables!$AR:$AR,ROWS($B$31:B100)+1))," / ekstrapolasyon","")&amp;IF(AND(ISNUMBER(G100),$C$8&gt;G100)," / güç sınırı aşılıyor","")&amp;IF(INDEX(Cables!$F:$F,ROWS($B$31:B100)+1)&lt;&gt;50," / Z0="&amp;INDEX(Cables!$F:$F,ROWS($B$31:B100)+1)&amp;" Ω",""),4,200))</f>
        <v/>
      </c>
      <c r="I100" s="1"/>
    </row>
    <row r="101" spans="1:9" x14ac:dyDescent="0.25">
      <c r="A101" s="1"/>
      <c r="B101" s="11" t="str">
        <f>IF(ROWS($B$31:B101)&gt;COUNTA(Cables!$A:$A)-1,"",INDEX(Cables!$B:$B,ROWS($B$31:B101)+1))</f>
        <v/>
      </c>
      <c r="C101" s="12" t="str">
        <f>IF(B101="","",EXP(FORECAST(LN($C$6),INDEX(Attenuation!$K:$K,(INDEX(Cables!$AO:$AO,ROWS($B$31:B101)+1)-1+MIN(MAX(IFERROR(MATCH(LN($C$6),INDEX(Attenuation!$J:$J,INDEX(Cables!$AO:$AO,ROWS($B$31:B101)+1)):INDEX(Attenuation!$J:$J,INDEX(Cables!$AO:$AO,ROWS($B$31:B101)+1)+INDEX(Cables!$AP:$AP,ROWS($B$31:B101)+1)-1),1),1),1),INDEX(Cables!$AP:$AP,ROWS($B$31:B101)+1)-1))):INDEX(Attenuation!$K:$K,(INDEX(Cables!$AO:$AO,ROWS($B$31:B101)+1)-1+MIN(MAX(IFERROR(MATCH(LN($C$6),INDEX(Attenuation!$J:$J,INDEX(Cables!$AO:$AO,ROWS($B$31:B101)+1)):INDEX(Attenuation!$J:$J,INDEX(Cables!$AO:$AO,ROWS($B$31:B101)+1)+INDEX(Cables!$AP:$AP,ROWS($B$31:B101)+1)-1),1),1),1),INDEX(Cables!$AP:$AP,ROWS($B$31:B101)+1)-1))+1),INDEX(Attenuation!$J:$J,(INDEX(Cables!$AO:$AO,ROWS($B$31:B101)+1)-1+MIN(MAX(IFERROR(MATCH(LN($C$6),INDEX(Attenuation!$J:$J,INDEX(Cables!$AO:$AO,ROWS($B$31:B101)+1)):INDEX(Attenuation!$J:$J,INDEX(Cables!$AO:$AO,ROWS($B$31:B101)+1)+INDEX(Cables!$AP:$AP,ROWS($B$31:B101)+1)-1),1),1),1),INDEX(Cables!$AP:$AP,ROWS($B$31:B101)+1)-1))):INDEX(Attenuation!$J:$J,(INDEX(Cables!$AO:$AO,ROWS($B$31:B101)+1)-1+MIN(MAX(IFERROR(MATCH(LN($C$6),INDEX(Attenuation!$J:$J,INDEX(Cables!$AO:$AO,ROWS($B$31:B101)+1)):INDEX(Attenuation!$J:$J,INDEX(Cables!$AO:$AO,ROWS($B$31:B101)+1)+INDEX(Cables!$AP:$AP,ROWS($B$31:B101)+1)-1),1),1),1),INDEX(Cables!$AP:$AP,ROWS($B$31:B101)+1)-1))+1))))</f>
        <v/>
      </c>
      <c r="D101" s="12" t="str">
        <f t="shared" si="6"/>
        <v/>
      </c>
      <c r="E101" s="24" t="str">
        <f t="shared" si="7"/>
        <v/>
      </c>
      <c r="F101" s="25" t="str">
        <f t="shared" si="8"/>
        <v/>
      </c>
      <c r="G101" s="26" t="str">
        <f>IF(B101="","",IF(INDEX(Cables!$AX:$AX,ROWS($B$31:B101)+1)&lt;2,"-",EXP(FORECAST(LN($C$6),INDEX(Power!$K:$K,(INDEX(Cables!$AW:$AW,ROWS($B$31:B101)+1)-1+MIN(MAX(IFERROR(MATCH(LN($C$6),INDEX(Power!$J:$J,INDEX(Cables!$AW:$AW,ROWS($B$31:B101)+1)):INDEX(Power!$J:$J,INDEX(Cables!$AW:$AW,ROWS($B$31:B101)+1)+INDEX(Cables!$AX:$AX,ROWS($B$31:B101)+1)-1),1),1),1),INDEX(Cables!$AX:$AX,ROWS($B$31:B101)+1)-1))):INDEX(Power!$K:$K,(INDEX(Cables!$AW:$AW,ROWS($B$31:B101)+1)-1+MIN(MAX(IFERROR(MATCH(LN($C$6),INDEX(Power!$J:$J,INDEX(Cables!$AW:$AW,ROWS($B$31:B101)+1)):INDEX(Power!$J:$J,INDEX(Cables!$AW:$AW,ROWS($B$31:B101)+1)+INDEX(Cables!$AX:$AX,ROWS($B$31:B101)+1)-1),1),1),1),INDEX(Cables!$AX:$AX,ROWS($B$31:B101)+1)-1))+1),INDEX(Power!$J:$J,(INDEX(Cables!$AW:$AW,ROWS($B$31:B101)+1)-1+MIN(MAX(IFERROR(MATCH(LN($C$6),INDEX(Power!$J:$J,INDEX(Cables!$AW:$AW,ROWS($B$31:B101)+1)):INDEX(Power!$J:$J,INDEX(Cables!$AW:$AW,ROWS($B$31:B101)+1)+INDEX(Cables!$AX:$AX,ROWS($B$31:B101)+1)-1),1),1),1),INDEX(Cables!$AX:$AX,ROWS($B$31:B101)+1)-1))):INDEX(Power!$J:$J,(INDEX(Cables!$AW:$AW,ROWS($B$31:B101)+1)-1+MIN(MAX(IFERROR(MATCH(LN($C$6),INDEX(Power!$J:$J,INDEX(Cables!$AW:$AW,ROWS($B$31:B101)+1)):INDEX(Power!$J:$J,INDEX(Cables!$AW:$AW,ROWS($B$31:B101)+1)+INDEX(Cables!$AX:$AX,ROWS($B$31:B101)+1)-1),1),1),1),INDEX(Cables!$AX:$AX,ROWS($B$31:B101)+1)-1))+1)))))</f>
        <v/>
      </c>
      <c r="H101" s="11" t="str">
        <f>IF(B101="","",MID(IF(OR($C$6&lt;INDEX(Cables!$AQ:$AQ,ROWS($B$31:B101)+1),$C$6&gt;INDEX(Cables!$AR:$AR,ROWS($B$31:B101)+1))," / ekstrapolasyon","")&amp;IF(AND(ISNUMBER(G101),$C$8&gt;G101)," / güç sınırı aşılıyor","")&amp;IF(INDEX(Cables!$F:$F,ROWS($B$31:B101)+1)&lt;&gt;50," / Z0="&amp;INDEX(Cables!$F:$F,ROWS($B$31:B101)+1)&amp;" Ω",""),4,200))</f>
        <v/>
      </c>
      <c r="I101" s="1"/>
    </row>
    <row r="102" spans="1:9" x14ac:dyDescent="0.25">
      <c r="A102" s="1"/>
      <c r="B102" s="11" t="str">
        <f>IF(ROWS($B$31:B102)&gt;COUNTA(Cables!$A:$A)-1,"",INDEX(Cables!$B:$B,ROWS($B$31:B102)+1))</f>
        <v/>
      </c>
      <c r="C102" s="12" t="str">
        <f>IF(B102="","",EXP(FORECAST(LN($C$6),INDEX(Attenuation!$K:$K,(INDEX(Cables!$AO:$AO,ROWS($B$31:B102)+1)-1+MIN(MAX(IFERROR(MATCH(LN($C$6),INDEX(Attenuation!$J:$J,INDEX(Cables!$AO:$AO,ROWS($B$31:B102)+1)):INDEX(Attenuation!$J:$J,INDEX(Cables!$AO:$AO,ROWS($B$31:B102)+1)+INDEX(Cables!$AP:$AP,ROWS($B$31:B102)+1)-1),1),1),1),INDEX(Cables!$AP:$AP,ROWS($B$31:B102)+1)-1))):INDEX(Attenuation!$K:$K,(INDEX(Cables!$AO:$AO,ROWS($B$31:B102)+1)-1+MIN(MAX(IFERROR(MATCH(LN($C$6),INDEX(Attenuation!$J:$J,INDEX(Cables!$AO:$AO,ROWS($B$31:B102)+1)):INDEX(Attenuation!$J:$J,INDEX(Cables!$AO:$AO,ROWS($B$31:B102)+1)+INDEX(Cables!$AP:$AP,ROWS($B$31:B102)+1)-1),1),1),1),INDEX(Cables!$AP:$AP,ROWS($B$31:B102)+1)-1))+1),INDEX(Attenuation!$J:$J,(INDEX(Cables!$AO:$AO,ROWS($B$31:B102)+1)-1+MIN(MAX(IFERROR(MATCH(LN($C$6),INDEX(Attenuation!$J:$J,INDEX(Cables!$AO:$AO,ROWS($B$31:B102)+1)):INDEX(Attenuation!$J:$J,INDEX(Cables!$AO:$AO,ROWS($B$31:B102)+1)+INDEX(Cables!$AP:$AP,ROWS($B$31:B102)+1)-1),1),1),1),INDEX(Cables!$AP:$AP,ROWS($B$31:B102)+1)-1))):INDEX(Attenuation!$J:$J,(INDEX(Cables!$AO:$AO,ROWS($B$31:B102)+1)-1+MIN(MAX(IFERROR(MATCH(LN($C$6),INDEX(Attenuation!$J:$J,INDEX(Cables!$AO:$AO,ROWS($B$31:B102)+1)):INDEX(Attenuation!$J:$J,INDEX(Cables!$AO:$AO,ROWS($B$31:B102)+1)+INDEX(Cables!$AP:$AP,ROWS($B$31:B102)+1)-1),1),1),1),INDEX(Cables!$AP:$AP,ROWS($B$31:B102)+1)-1))+1))))</f>
        <v/>
      </c>
      <c r="D102" s="12" t="str">
        <f t="shared" si="6"/>
        <v/>
      </c>
      <c r="E102" s="24" t="str">
        <f t="shared" si="7"/>
        <v/>
      </c>
      <c r="F102" s="25" t="str">
        <f t="shared" si="8"/>
        <v/>
      </c>
      <c r="G102" s="26" t="str">
        <f>IF(B102="","",IF(INDEX(Cables!$AX:$AX,ROWS($B$31:B102)+1)&lt;2,"-",EXP(FORECAST(LN($C$6),INDEX(Power!$K:$K,(INDEX(Cables!$AW:$AW,ROWS($B$31:B102)+1)-1+MIN(MAX(IFERROR(MATCH(LN($C$6),INDEX(Power!$J:$J,INDEX(Cables!$AW:$AW,ROWS($B$31:B102)+1)):INDEX(Power!$J:$J,INDEX(Cables!$AW:$AW,ROWS($B$31:B102)+1)+INDEX(Cables!$AX:$AX,ROWS($B$31:B102)+1)-1),1),1),1),INDEX(Cables!$AX:$AX,ROWS($B$31:B102)+1)-1))):INDEX(Power!$K:$K,(INDEX(Cables!$AW:$AW,ROWS($B$31:B102)+1)-1+MIN(MAX(IFERROR(MATCH(LN($C$6),INDEX(Power!$J:$J,INDEX(Cables!$AW:$AW,ROWS($B$31:B102)+1)):INDEX(Power!$J:$J,INDEX(Cables!$AW:$AW,ROWS($B$31:B102)+1)+INDEX(Cables!$AX:$AX,ROWS($B$31:B102)+1)-1),1),1),1),INDEX(Cables!$AX:$AX,ROWS($B$31:B102)+1)-1))+1),INDEX(Power!$J:$J,(INDEX(Cables!$AW:$AW,ROWS($B$31:B102)+1)-1+MIN(MAX(IFERROR(MATCH(LN($C$6),INDEX(Power!$J:$J,INDEX(Cables!$AW:$AW,ROWS($B$31:B102)+1)):INDEX(Power!$J:$J,INDEX(Cables!$AW:$AW,ROWS($B$31:B102)+1)+INDEX(Cables!$AX:$AX,ROWS($B$31:B102)+1)-1),1),1),1),INDEX(Cables!$AX:$AX,ROWS($B$31:B102)+1)-1))):INDEX(Power!$J:$J,(INDEX(Cables!$AW:$AW,ROWS($B$31:B102)+1)-1+MIN(MAX(IFERROR(MATCH(LN($C$6),INDEX(Power!$J:$J,INDEX(Cables!$AW:$AW,ROWS($B$31:B102)+1)):INDEX(Power!$J:$J,INDEX(Cables!$AW:$AW,ROWS($B$31:B102)+1)+INDEX(Cables!$AX:$AX,ROWS($B$31:B102)+1)-1),1),1),1),INDEX(Cables!$AX:$AX,ROWS($B$31:B102)+1)-1))+1)))))</f>
        <v/>
      </c>
      <c r="H102" s="11" t="str">
        <f>IF(B102="","",MID(IF(OR($C$6&lt;INDEX(Cables!$AQ:$AQ,ROWS($B$31:B102)+1),$C$6&gt;INDEX(Cables!$AR:$AR,ROWS($B$31:B102)+1))," / ekstrapolasyon","")&amp;IF(AND(ISNUMBER(G102),$C$8&gt;G102)," / güç sınırı aşılıyor","")&amp;IF(INDEX(Cables!$F:$F,ROWS($B$31:B102)+1)&lt;&gt;50," / Z0="&amp;INDEX(Cables!$F:$F,ROWS($B$31:B102)+1)&amp;" Ω",""),4,200))</f>
        <v/>
      </c>
      <c r="I102" s="1"/>
    </row>
    <row r="103" spans="1:9" x14ac:dyDescent="0.25">
      <c r="A103" s="1"/>
      <c r="B103" s="11" t="str">
        <f>IF(ROWS($B$31:B103)&gt;COUNTA(Cables!$A:$A)-1,"",INDEX(Cables!$B:$B,ROWS($B$31:B103)+1))</f>
        <v/>
      </c>
      <c r="C103" s="12" t="str">
        <f>IF(B103="","",EXP(FORECAST(LN($C$6),INDEX(Attenuation!$K:$K,(INDEX(Cables!$AO:$AO,ROWS($B$31:B103)+1)-1+MIN(MAX(IFERROR(MATCH(LN($C$6),INDEX(Attenuation!$J:$J,INDEX(Cables!$AO:$AO,ROWS($B$31:B103)+1)):INDEX(Attenuation!$J:$J,INDEX(Cables!$AO:$AO,ROWS($B$31:B103)+1)+INDEX(Cables!$AP:$AP,ROWS($B$31:B103)+1)-1),1),1),1),INDEX(Cables!$AP:$AP,ROWS($B$31:B103)+1)-1))):INDEX(Attenuation!$K:$K,(INDEX(Cables!$AO:$AO,ROWS($B$31:B103)+1)-1+MIN(MAX(IFERROR(MATCH(LN($C$6),INDEX(Attenuation!$J:$J,INDEX(Cables!$AO:$AO,ROWS($B$31:B103)+1)):INDEX(Attenuation!$J:$J,INDEX(Cables!$AO:$AO,ROWS($B$31:B103)+1)+INDEX(Cables!$AP:$AP,ROWS($B$31:B103)+1)-1),1),1),1),INDEX(Cables!$AP:$AP,ROWS($B$31:B103)+1)-1))+1),INDEX(Attenuation!$J:$J,(INDEX(Cables!$AO:$AO,ROWS($B$31:B103)+1)-1+MIN(MAX(IFERROR(MATCH(LN($C$6),INDEX(Attenuation!$J:$J,INDEX(Cables!$AO:$AO,ROWS($B$31:B103)+1)):INDEX(Attenuation!$J:$J,INDEX(Cables!$AO:$AO,ROWS($B$31:B103)+1)+INDEX(Cables!$AP:$AP,ROWS($B$31:B103)+1)-1),1),1),1),INDEX(Cables!$AP:$AP,ROWS($B$31:B103)+1)-1))):INDEX(Attenuation!$J:$J,(INDEX(Cables!$AO:$AO,ROWS($B$31:B103)+1)-1+MIN(MAX(IFERROR(MATCH(LN($C$6),INDEX(Attenuation!$J:$J,INDEX(Cables!$AO:$AO,ROWS($B$31:B103)+1)):INDEX(Attenuation!$J:$J,INDEX(Cables!$AO:$AO,ROWS($B$31:B103)+1)+INDEX(Cables!$AP:$AP,ROWS($B$31:B103)+1)-1),1),1),1),INDEX(Cables!$AP:$AP,ROWS($B$31:B103)+1)-1))+1))))</f>
        <v/>
      </c>
      <c r="D103" s="12" t="str">
        <f t="shared" si="6"/>
        <v/>
      </c>
      <c r="E103" s="24" t="str">
        <f t="shared" si="7"/>
        <v/>
      </c>
      <c r="F103" s="25" t="str">
        <f t="shared" si="8"/>
        <v/>
      </c>
      <c r="G103" s="26" t="str">
        <f>IF(B103="","",IF(INDEX(Cables!$AX:$AX,ROWS($B$31:B103)+1)&lt;2,"-",EXP(FORECAST(LN($C$6),INDEX(Power!$K:$K,(INDEX(Cables!$AW:$AW,ROWS($B$31:B103)+1)-1+MIN(MAX(IFERROR(MATCH(LN($C$6),INDEX(Power!$J:$J,INDEX(Cables!$AW:$AW,ROWS($B$31:B103)+1)):INDEX(Power!$J:$J,INDEX(Cables!$AW:$AW,ROWS($B$31:B103)+1)+INDEX(Cables!$AX:$AX,ROWS($B$31:B103)+1)-1),1),1),1),INDEX(Cables!$AX:$AX,ROWS($B$31:B103)+1)-1))):INDEX(Power!$K:$K,(INDEX(Cables!$AW:$AW,ROWS($B$31:B103)+1)-1+MIN(MAX(IFERROR(MATCH(LN($C$6),INDEX(Power!$J:$J,INDEX(Cables!$AW:$AW,ROWS($B$31:B103)+1)):INDEX(Power!$J:$J,INDEX(Cables!$AW:$AW,ROWS($B$31:B103)+1)+INDEX(Cables!$AX:$AX,ROWS($B$31:B103)+1)-1),1),1),1),INDEX(Cables!$AX:$AX,ROWS($B$31:B103)+1)-1))+1),INDEX(Power!$J:$J,(INDEX(Cables!$AW:$AW,ROWS($B$31:B103)+1)-1+MIN(MAX(IFERROR(MATCH(LN($C$6),INDEX(Power!$J:$J,INDEX(Cables!$AW:$AW,ROWS($B$31:B103)+1)):INDEX(Power!$J:$J,INDEX(Cables!$AW:$AW,ROWS($B$31:B103)+1)+INDEX(Cables!$AX:$AX,ROWS($B$31:B103)+1)-1),1),1),1),INDEX(Cables!$AX:$AX,ROWS($B$31:B103)+1)-1))):INDEX(Power!$J:$J,(INDEX(Cables!$AW:$AW,ROWS($B$31:B103)+1)-1+MIN(MAX(IFERROR(MATCH(LN($C$6),INDEX(Power!$J:$J,INDEX(Cables!$AW:$AW,ROWS($B$31:B103)+1)):INDEX(Power!$J:$J,INDEX(Cables!$AW:$AW,ROWS($B$31:B103)+1)+INDEX(Cables!$AX:$AX,ROWS($B$31:B103)+1)-1),1),1),1),INDEX(Cables!$AX:$AX,ROWS($B$31:B103)+1)-1))+1)))))</f>
        <v/>
      </c>
      <c r="H103" s="11" t="str">
        <f>IF(B103="","",MID(IF(OR($C$6&lt;INDEX(Cables!$AQ:$AQ,ROWS($B$31:B103)+1),$C$6&gt;INDEX(Cables!$AR:$AR,ROWS($B$31:B103)+1))," / ekstrapolasyon","")&amp;IF(AND(ISNUMBER(G103),$C$8&gt;G103)," / güç sınırı aşılıyor","")&amp;IF(INDEX(Cables!$F:$F,ROWS($B$31:B103)+1)&lt;&gt;50," / Z0="&amp;INDEX(Cables!$F:$F,ROWS($B$31:B103)+1)&amp;" Ω",""),4,200))</f>
        <v/>
      </c>
      <c r="I103" s="1"/>
    </row>
    <row r="104" spans="1:9" x14ac:dyDescent="0.25">
      <c r="A104" s="1"/>
      <c r="B104" s="11" t="str">
        <f>IF(ROWS($B$31:B104)&gt;COUNTA(Cables!$A:$A)-1,"",INDEX(Cables!$B:$B,ROWS($B$31:B104)+1))</f>
        <v/>
      </c>
      <c r="C104" s="12" t="str">
        <f>IF(B104="","",EXP(FORECAST(LN($C$6),INDEX(Attenuation!$K:$K,(INDEX(Cables!$AO:$AO,ROWS($B$31:B104)+1)-1+MIN(MAX(IFERROR(MATCH(LN($C$6),INDEX(Attenuation!$J:$J,INDEX(Cables!$AO:$AO,ROWS($B$31:B104)+1)):INDEX(Attenuation!$J:$J,INDEX(Cables!$AO:$AO,ROWS($B$31:B104)+1)+INDEX(Cables!$AP:$AP,ROWS($B$31:B104)+1)-1),1),1),1),INDEX(Cables!$AP:$AP,ROWS($B$31:B104)+1)-1))):INDEX(Attenuation!$K:$K,(INDEX(Cables!$AO:$AO,ROWS($B$31:B104)+1)-1+MIN(MAX(IFERROR(MATCH(LN($C$6),INDEX(Attenuation!$J:$J,INDEX(Cables!$AO:$AO,ROWS($B$31:B104)+1)):INDEX(Attenuation!$J:$J,INDEX(Cables!$AO:$AO,ROWS($B$31:B104)+1)+INDEX(Cables!$AP:$AP,ROWS($B$31:B104)+1)-1),1),1),1),INDEX(Cables!$AP:$AP,ROWS($B$31:B104)+1)-1))+1),INDEX(Attenuation!$J:$J,(INDEX(Cables!$AO:$AO,ROWS($B$31:B104)+1)-1+MIN(MAX(IFERROR(MATCH(LN($C$6),INDEX(Attenuation!$J:$J,INDEX(Cables!$AO:$AO,ROWS($B$31:B104)+1)):INDEX(Attenuation!$J:$J,INDEX(Cables!$AO:$AO,ROWS($B$31:B104)+1)+INDEX(Cables!$AP:$AP,ROWS($B$31:B104)+1)-1),1),1),1),INDEX(Cables!$AP:$AP,ROWS($B$31:B104)+1)-1))):INDEX(Attenuation!$J:$J,(INDEX(Cables!$AO:$AO,ROWS($B$31:B104)+1)-1+MIN(MAX(IFERROR(MATCH(LN($C$6),INDEX(Attenuation!$J:$J,INDEX(Cables!$AO:$AO,ROWS($B$31:B104)+1)):INDEX(Attenuation!$J:$J,INDEX(Cables!$AO:$AO,ROWS($B$31:B104)+1)+INDEX(Cables!$AP:$AP,ROWS($B$31:B104)+1)-1),1),1),1),INDEX(Cables!$AP:$AP,ROWS($B$31:B104)+1)-1))+1))))</f>
        <v/>
      </c>
      <c r="D104" s="12" t="str">
        <f t="shared" si="6"/>
        <v/>
      </c>
      <c r="E104" s="24" t="str">
        <f t="shared" si="7"/>
        <v/>
      </c>
      <c r="F104" s="25" t="str">
        <f t="shared" si="8"/>
        <v/>
      </c>
      <c r="G104" s="26" t="str">
        <f>IF(B104="","",IF(INDEX(Cables!$AX:$AX,ROWS($B$31:B104)+1)&lt;2,"-",EXP(FORECAST(LN($C$6),INDEX(Power!$K:$K,(INDEX(Cables!$AW:$AW,ROWS($B$31:B104)+1)-1+MIN(MAX(IFERROR(MATCH(LN($C$6),INDEX(Power!$J:$J,INDEX(Cables!$AW:$AW,ROWS($B$31:B104)+1)):INDEX(Power!$J:$J,INDEX(Cables!$AW:$AW,ROWS($B$31:B104)+1)+INDEX(Cables!$AX:$AX,ROWS($B$31:B104)+1)-1),1),1),1),INDEX(Cables!$AX:$AX,ROWS($B$31:B104)+1)-1))):INDEX(Power!$K:$K,(INDEX(Cables!$AW:$AW,ROWS($B$31:B104)+1)-1+MIN(MAX(IFERROR(MATCH(LN($C$6),INDEX(Power!$J:$J,INDEX(Cables!$AW:$AW,ROWS($B$31:B104)+1)):INDEX(Power!$J:$J,INDEX(Cables!$AW:$AW,ROWS($B$31:B104)+1)+INDEX(Cables!$AX:$AX,ROWS($B$31:B104)+1)-1),1),1),1),INDEX(Cables!$AX:$AX,ROWS($B$31:B104)+1)-1))+1),INDEX(Power!$J:$J,(INDEX(Cables!$AW:$AW,ROWS($B$31:B104)+1)-1+MIN(MAX(IFERROR(MATCH(LN($C$6),INDEX(Power!$J:$J,INDEX(Cables!$AW:$AW,ROWS($B$31:B104)+1)):INDEX(Power!$J:$J,INDEX(Cables!$AW:$AW,ROWS($B$31:B104)+1)+INDEX(Cables!$AX:$AX,ROWS($B$31:B104)+1)-1),1),1),1),INDEX(Cables!$AX:$AX,ROWS($B$31:B104)+1)-1))):INDEX(Power!$J:$J,(INDEX(Cables!$AW:$AW,ROWS($B$31:B104)+1)-1+MIN(MAX(IFERROR(MATCH(LN($C$6),INDEX(Power!$J:$J,INDEX(Cables!$AW:$AW,ROWS($B$31:B104)+1)):INDEX(Power!$J:$J,INDEX(Cables!$AW:$AW,ROWS($B$31:B104)+1)+INDEX(Cables!$AX:$AX,ROWS($B$31:B104)+1)-1),1),1),1),INDEX(Cables!$AX:$AX,ROWS($B$31:B104)+1)-1))+1)))))</f>
        <v/>
      </c>
      <c r="H104" s="11" t="str">
        <f>IF(B104="","",MID(IF(OR($C$6&lt;INDEX(Cables!$AQ:$AQ,ROWS($B$31:B104)+1),$C$6&gt;INDEX(Cables!$AR:$AR,ROWS($B$31:B104)+1))," / ekstrapolasyon","")&amp;IF(AND(ISNUMBER(G104),$C$8&gt;G104)," / güç sınırı aşılıyor","")&amp;IF(INDEX(Cables!$F:$F,ROWS($B$31:B104)+1)&lt;&gt;50," / Z0="&amp;INDEX(Cables!$F:$F,ROWS($B$31:B104)+1)&amp;" Ω",""),4,200))</f>
        <v/>
      </c>
      <c r="I104" s="1"/>
    </row>
    <row r="105" spans="1:9" x14ac:dyDescent="0.25">
      <c r="A105" s="1"/>
      <c r="B105" s="11" t="str">
        <f>IF(ROWS($B$31:B105)&gt;COUNTA(Cables!$A:$A)-1,"",INDEX(Cables!$B:$B,ROWS($B$31:B105)+1))</f>
        <v/>
      </c>
      <c r="C105" s="12" t="str">
        <f>IF(B105="","",EXP(FORECAST(LN($C$6),INDEX(Attenuation!$K:$K,(INDEX(Cables!$AO:$AO,ROWS($B$31:B105)+1)-1+MIN(MAX(IFERROR(MATCH(LN($C$6),INDEX(Attenuation!$J:$J,INDEX(Cables!$AO:$AO,ROWS($B$31:B105)+1)):INDEX(Attenuation!$J:$J,INDEX(Cables!$AO:$AO,ROWS($B$31:B105)+1)+INDEX(Cables!$AP:$AP,ROWS($B$31:B105)+1)-1),1),1),1),INDEX(Cables!$AP:$AP,ROWS($B$31:B105)+1)-1))):INDEX(Attenuation!$K:$K,(INDEX(Cables!$AO:$AO,ROWS($B$31:B105)+1)-1+MIN(MAX(IFERROR(MATCH(LN($C$6),INDEX(Attenuation!$J:$J,INDEX(Cables!$AO:$AO,ROWS($B$31:B105)+1)):INDEX(Attenuation!$J:$J,INDEX(Cables!$AO:$AO,ROWS($B$31:B105)+1)+INDEX(Cables!$AP:$AP,ROWS($B$31:B105)+1)-1),1),1),1),INDEX(Cables!$AP:$AP,ROWS($B$31:B105)+1)-1))+1),INDEX(Attenuation!$J:$J,(INDEX(Cables!$AO:$AO,ROWS($B$31:B105)+1)-1+MIN(MAX(IFERROR(MATCH(LN($C$6),INDEX(Attenuation!$J:$J,INDEX(Cables!$AO:$AO,ROWS($B$31:B105)+1)):INDEX(Attenuation!$J:$J,INDEX(Cables!$AO:$AO,ROWS($B$31:B105)+1)+INDEX(Cables!$AP:$AP,ROWS($B$31:B105)+1)-1),1),1),1),INDEX(Cables!$AP:$AP,ROWS($B$31:B105)+1)-1))):INDEX(Attenuation!$J:$J,(INDEX(Cables!$AO:$AO,ROWS($B$31:B105)+1)-1+MIN(MAX(IFERROR(MATCH(LN($C$6),INDEX(Attenuation!$J:$J,INDEX(Cables!$AO:$AO,ROWS($B$31:B105)+1)):INDEX(Attenuation!$J:$J,INDEX(Cables!$AO:$AO,ROWS($B$31:B105)+1)+INDEX(Cables!$AP:$AP,ROWS($B$31:B105)+1)-1),1),1),1),INDEX(Cables!$AP:$AP,ROWS($B$31:B105)+1)-1))+1))))</f>
        <v/>
      </c>
      <c r="D105" s="12" t="str">
        <f t="shared" si="6"/>
        <v/>
      </c>
      <c r="E105" s="24" t="str">
        <f t="shared" si="7"/>
        <v/>
      </c>
      <c r="F105" s="25" t="str">
        <f t="shared" si="8"/>
        <v/>
      </c>
      <c r="G105" s="26" t="str">
        <f>IF(B105="","",IF(INDEX(Cables!$AX:$AX,ROWS($B$31:B105)+1)&lt;2,"-",EXP(FORECAST(LN($C$6),INDEX(Power!$K:$K,(INDEX(Cables!$AW:$AW,ROWS($B$31:B105)+1)-1+MIN(MAX(IFERROR(MATCH(LN($C$6),INDEX(Power!$J:$J,INDEX(Cables!$AW:$AW,ROWS($B$31:B105)+1)):INDEX(Power!$J:$J,INDEX(Cables!$AW:$AW,ROWS($B$31:B105)+1)+INDEX(Cables!$AX:$AX,ROWS($B$31:B105)+1)-1),1),1),1),INDEX(Cables!$AX:$AX,ROWS($B$31:B105)+1)-1))):INDEX(Power!$K:$K,(INDEX(Cables!$AW:$AW,ROWS($B$31:B105)+1)-1+MIN(MAX(IFERROR(MATCH(LN($C$6),INDEX(Power!$J:$J,INDEX(Cables!$AW:$AW,ROWS($B$31:B105)+1)):INDEX(Power!$J:$J,INDEX(Cables!$AW:$AW,ROWS($B$31:B105)+1)+INDEX(Cables!$AX:$AX,ROWS($B$31:B105)+1)-1),1),1),1),INDEX(Cables!$AX:$AX,ROWS($B$31:B105)+1)-1))+1),INDEX(Power!$J:$J,(INDEX(Cables!$AW:$AW,ROWS($B$31:B105)+1)-1+MIN(MAX(IFERROR(MATCH(LN($C$6),INDEX(Power!$J:$J,INDEX(Cables!$AW:$AW,ROWS($B$31:B105)+1)):INDEX(Power!$J:$J,INDEX(Cables!$AW:$AW,ROWS($B$31:B105)+1)+INDEX(Cables!$AX:$AX,ROWS($B$31:B105)+1)-1),1),1),1),INDEX(Cables!$AX:$AX,ROWS($B$31:B105)+1)-1))):INDEX(Power!$J:$J,(INDEX(Cables!$AW:$AW,ROWS($B$31:B105)+1)-1+MIN(MAX(IFERROR(MATCH(LN($C$6),INDEX(Power!$J:$J,INDEX(Cables!$AW:$AW,ROWS($B$31:B105)+1)):INDEX(Power!$J:$J,INDEX(Cables!$AW:$AW,ROWS($B$31:B105)+1)+INDEX(Cables!$AX:$AX,ROWS($B$31:B105)+1)-1),1),1),1),INDEX(Cables!$AX:$AX,ROWS($B$31:B105)+1)-1))+1)))))</f>
        <v/>
      </c>
      <c r="H105" s="11" t="str">
        <f>IF(B105="","",MID(IF(OR($C$6&lt;INDEX(Cables!$AQ:$AQ,ROWS($B$31:B105)+1),$C$6&gt;INDEX(Cables!$AR:$AR,ROWS($B$31:B105)+1))," / ekstrapolasyon","")&amp;IF(AND(ISNUMBER(G105),$C$8&gt;G105)," / güç sınırı aşılıyor","")&amp;IF(INDEX(Cables!$F:$F,ROWS($B$31:B105)+1)&lt;&gt;50," / Z0="&amp;INDEX(Cables!$F:$F,ROWS($B$31:B105)+1)&amp;" Ω",""),4,200))</f>
        <v/>
      </c>
      <c r="I105" s="1"/>
    </row>
    <row r="106" spans="1:9" x14ac:dyDescent="0.25">
      <c r="A106" s="1"/>
      <c r="B106" s="11" t="str">
        <f>IF(ROWS($B$31:B106)&gt;COUNTA(Cables!$A:$A)-1,"",INDEX(Cables!$B:$B,ROWS($B$31:B106)+1))</f>
        <v/>
      </c>
      <c r="C106" s="12" t="str">
        <f>IF(B106="","",EXP(FORECAST(LN($C$6),INDEX(Attenuation!$K:$K,(INDEX(Cables!$AO:$AO,ROWS($B$31:B106)+1)-1+MIN(MAX(IFERROR(MATCH(LN($C$6),INDEX(Attenuation!$J:$J,INDEX(Cables!$AO:$AO,ROWS($B$31:B106)+1)):INDEX(Attenuation!$J:$J,INDEX(Cables!$AO:$AO,ROWS($B$31:B106)+1)+INDEX(Cables!$AP:$AP,ROWS($B$31:B106)+1)-1),1),1),1),INDEX(Cables!$AP:$AP,ROWS($B$31:B106)+1)-1))):INDEX(Attenuation!$K:$K,(INDEX(Cables!$AO:$AO,ROWS($B$31:B106)+1)-1+MIN(MAX(IFERROR(MATCH(LN($C$6),INDEX(Attenuation!$J:$J,INDEX(Cables!$AO:$AO,ROWS($B$31:B106)+1)):INDEX(Attenuation!$J:$J,INDEX(Cables!$AO:$AO,ROWS($B$31:B106)+1)+INDEX(Cables!$AP:$AP,ROWS($B$31:B106)+1)-1),1),1),1),INDEX(Cables!$AP:$AP,ROWS($B$31:B106)+1)-1))+1),INDEX(Attenuation!$J:$J,(INDEX(Cables!$AO:$AO,ROWS($B$31:B106)+1)-1+MIN(MAX(IFERROR(MATCH(LN($C$6),INDEX(Attenuation!$J:$J,INDEX(Cables!$AO:$AO,ROWS($B$31:B106)+1)):INDEX(Attenuation!$J:$J,INDEX(Cables!$AO:$AO,ROWS($B$31:B106)+1)+INDEX(Cables!$AP:$AP,ROWS($B$31:B106)+1)-1),1),1),1),INDEX(Cables!$AP:$AP,ROWS($B$31:B106)+1)-1))):INDEX(Attenuation!$J:$J,(INDEX(Cables!$AO:$AO,ROWS($B$31:B106)+1)-1+MIN(MAX(IFERROR(MATCH(LN($C$6),INDEX(Attenuation!$J:$J,INDEX(Cables!$AO:$AO,ROWS($B$31:B106)+1)):INDEX(Attenuation!$J:$J,INDEX(Cables!$AO:$AO,ROWS($B$31:B106)+1)+INDEX(Cables!$AP:$AP,ROWS($B$31:B106)+1)-1),1),1),1),INDEX(Cables!$AP:$AP,ROWS($B$31:B106)+1)-1))+1))))</f>
        <v/>
      </c>
      <c r="D106" s="12" t="str">
        <f t="shared" si="6"/>
        <v/>
      </c>
      <c r="E106" s="24" t="str">
        <f t="shared" si="7"/>
        <v/>
      </c>
      <c r="F106" s="25" t="str">
        <f t="shared" si="8"/>
        <v/>
      </c>
      <c r="G106" s="26" t="str">
        <f>IF(B106="","",IF(INDEX(Cables!$AX:$AX,ROWS($B$31:B106)+1)&lt;2,"-",EXP(FORECAST(LN($C$6),INDEX(Power!$K:$K,(INDEX(Cables!$AW:$AW,ROWS($B$31:B106)+1)-1+MIN(MAX(IFERROR(MATCH(LN($C$6),INDEX(Power!$J:$J,INDEX(Cables!$AW:$AW,ROWS($B$31:B106)+1)):INDEX(Power!$J:$J,INDEX(Cables!$AW:$AW,ROWS($B$31:B106)+1)+INDEX(Cables!$AX:$AX,ROWS($B$31:B106)+1)-1),1),1),1),INDEX(Cables!$AX:$AX,ROWS($B$31:B106)+1)-1))):INDEX(Power!$K:$K,(INDEX(Cables!$AW:$AW,ROWS($B$31:B106)+1)-1+MIN(MAX(IFERROR(MATCH(LN($C$6),INDEX(Power!$J:$J,INDEX(Cables!$AW:$AW,ROWS($B$31:B106)+1)):INDEX(Power!$J:$J,INDEX(Cables!$AW:$AW,ROWS($B$31:B106)+1)+INDEX(Cables!$AX:$AX,ROWS($B$31:B106)+1)-1),1),1),1),INDEX(Cables!$AX:$AX,ROWS($B$31:B106)+1)-1))+1),INDEX(Power!$J:$J,(INDEX(Cables!$AW:$AW,ROWS($B$31:B106)+1)-1+MIN(MAX(IFERROR(MATCH(LN($C$6),INDEX(Power!$J:$J,INDEX(Cables!$AW:$AW,ROWS($B$31:B106)+1)):INDEX(Power!$J:$J,INDEX(Cables!$AW:$AW,ROWS($B$31:B106)+1)+INDEX(Cables!$AX:$AX,ROWS($B$31:B106)+1)-1),1),1),1),INDEX(Cables!$AX:$AX,ROWS($B$31:B106)+1)-1))):INDEX(Power!$J:$J,(INDEX(Cables!$AW:$AW,ROWS($B$31:B106)+1)-1+MIN(MAX(IFERROR(MATCH(LN($C$6),INDEX(Power!$J:$J,INDEX(Cables!$AW:$AW,ROWS($B$31:B106)+1)):INDEX(Power!$J:$J,INDEX(Cables!$AW:$AW,ROWS($B$31:B106)+1)+INDEX(Cables!$AX:$AX,ROWS($B$31:B106)+1)-1),1),1),1),INDEX(Cables!$AX:$AX,ROWS($B$31:B106)+1)-1))+1)))))</f>
        <v/>
      </c>
      <c r="H106" s="11" t="str">
        <f>IF(B106="","",MID(IF(OR($C$6&lt;INDEX(Cables!$AQ:$AQ,ROWS($B$31:B106)+1),$C$6&gt;INDEX(Cables!$AR:$AR,ROWS($B$31:B106)+1))," / ekstrapolasyon","")&amp;IF(AND(ISNUMBER(G106),$C$8&gt;G106)," / güç sınırı aşılıyor","")&amp;IF(INDEX(Cables!$F:$F,ROWS($B$31:B106)+1)&lt;&gt;50," / Z0="&amp;INDEX(Cables!$F:$F,ROWS($B$31:B106)+1)&amp;" Ω",""),4,200))</f>
        <v/>
      </c>
      <c r="I106" s="1"/>
    </row>
    <row r="107" spans="1:9" x14ac:dyDescent="0.25">
      <c r="A107" s="1"/>
      <c r="B107" s="11" t="str">
        <f>IF(ROWS($B$31:B107)&gt;COUNTA(Cables!$A:$A)-1,"",INDEX(Cables!$B:$B,ROWS($B$31:B107)+1))</f>
        <v/>
      </c>
      <c r="C107" s="12" t="str">
        <f>IF(B107="","",EXP(FORECAST(LN($C$6),INDEX(Attenuation!$K:$K,(INDEX(Cables!$AO:$AO,ROWS($B$31:B107)+1)-1+MIN(MAX(IFERROR(MATCH(LN($C$6),INDEX(Attenuation!$J:$J,INDEX(Cables!$AO:$AO,ROWS($B$31:B107)+1)):INDEX(Attenuation!$J:$J,INDEX(Cables!$AO:$AO,ROWS($B$31:B107)+1)+INDEX(Cables!$AP:$AP,ROWS($B$31:B107)+1)-1),1),1),1),INDEX(Cables!$AP:$AP,ROWS($B$31:B107)+1)-1))):INDEX(Attenuation!$K:$K,(INDEX(Cables!$AO:$AO,ROWS($B$31:B107)+1)-1+MIN(MAX(IFERROR(MATCH(LN($C$6),INDEX(Attenuation!$J:$J,INDEX(Cables!$AO:$AO,ROWS($B$31:B107)+1)):INDEX(Attenuation!$J:$J,INDEX(Cables!$AO:$AO,ROWS($B$31:B107)+1)+INDEX(Cables!$AP:$AP,ROWS($B$31:B107)+1)-1),1),1),1),INDEX(Cables!$AP:$AP,ROWS($B$31:B107)+1)-1))+1),INDEX(Attenuation!$J:$J,(INDEX(Cables!$AO:$AO,ROWS($B$31:B107)+1)-1+MIN(MAX(IFERROR(MATCH(LN($C$6),INDEX(Attenuation!$J:$J,INDEX(Cables!$AO:$AO,ROWS($B$31:B107)+1)):INDEX(Attenuation!$J:$J,INDEX(Cables!$AO:$AO,ROWS($B$31:B107)+1)+INDEX(Cables!$AP:$AP,ROWS($B$31:B107)+1)-1),1),1),1),INDEX(Cables!$AP:$AP,ROWS($B$31:B107)+1)-1))):INDEX(Attenuation!$J:$J,(INDEX(Cables!$AO:$AO,ROWS($B$31:B107)+1)-1+MIN(MAX(IFERROR(MATCH(LN($C$6),INDEX(Attenuation!$J:$J,INDEX(Cables!$AO:$AO,ROWS($B$31:B107)+1)):INDEX(Attenuation!$J:$J,INDEX(Cables!$AO:$AO,ROWS($B$31:B107)+1)+INDEX(Cables!$AP:$AP,ROWS($B$31:B107)+1)-1),1),1),1),INDEX(Cables!$AP:$AP,ROWS($B$31:B107)+1)-1))+1))))</f>
        <v/>
      </c>
      <c r="D107" s="12" t="str">
        <f t="shared" si="6"/>
        <v/>
      </c>
      <c r="E107" s="24" t="str">
        <f t="shared" si="7"/>
        <v/>
      </c>
      <c r="F107" s="25" t="str">
        <f t="shared" si="8"/>
        <v/>
      </c>
      <c r="G107" s="26" t="str">
        <f>IF(B107="","",IF(INDEX(Cables!$AX:$AX,ROWS($B$31:B107)+1)&lt;2,"-",EXP(FORECAST(LN($C$6),INDEX(Power!$K:$K,(INDEX(Cables!$AW:$AW,ROWS($B$31:B107)+1)-1+MIN(MAX(IFERROR(MATCH(LN($C$6),INDEX(Power!$J:$J,INDEX(Cables!$AW:$AW,ROWS($B$31:B107)+1)):INDEX(Power!$J:$J,INDEX(Cables!$AW:$AW,ROWS($B$31:B107)+1)+INDEX(Cables!$AX:$AX,ROWS($B$31:B107)+1)-1),1),1),1),INDEX(Cables!$AX:$AX,ROWS($B$31:B107)+1)-1))):INDEX(Power!$K:$K,(INDEX(Cables!$AW:$AW,ROWS($B$31:B107)+1)-1+MIN(MAX(IFERROR(MATCH(LN($C$6),INDEX(Power!$J:$J,INDEX(Cables!$AW:$AW,ROWS($B$31:B107)+1)):INDEX(Power!$J:$J,INDEX(Cables!$AW:$AW,ROWS($B$31:B107)+1)+INDEX(Cables!$AX:$AX,ROWS($B$31:B107)+1)-1),1),1),1),INDEX(Cables!$AX:$AX,ROWS($B$31:B107)+1)-1))+1),INDEX(Power!$J:$J,(INDEX(Cables!$AW:$AW,ROWS($B$31:B107)+1)-1+MIN(MAX(IFERROR(MATCH(LN($C$6),INDEX(Power!$J:$J,INDEX(Cables!$AW:$AW,ROWS($B$31:B107)+1)):INDEX(Power!$J:$J,INDEX(Cables!$AW:$AW,ROWS($B$31:B107)+1)+INDEX(Cables!$AX:$AX,ROWS($B$31:B107)+1)-1),1),1),1),INDEX(Cables!$AX:$AX,ROWS($B$31:B107)+1)-1))):INDEX(Power!$J:$J,(INDEX(Cables!$AW:$AW,ROWS($B$31:B107)+1)-1+MIN(MAX(IFERROR(MATCH(LN($C$6),INDEX(Power!$J:$J,INDEX(Cables!$AW:$AW,ROWS($B$31:B107)+1)):INDEX(Power!$J:$J,INDEX(Cables!$AW:$AW,ROWS($B$31:B107)+1)+INDEX(Cables!$AX:$AX,ROWS($B$31:B107)+1)-1),1),1),1),INDEX(Cables!$AX:$AX,ROWS($B$31:B107)+1)-1))+1)))))</f>
        <v/>
      </c>
      <c r="H107" s="11" t="str">
        <f>IF(B107="","",MID(IF(OR($C$6&lt;INDEX(Cables!$AQ:$AQ,ROWS($B$31:B107)+1),$C$6&gt;INDEX(Cables!$AR:$AR,ROWS($B$31:B107)+1))," / ekstrapolasyon","")&amp;IF(AND(ISNUMBER(G107),$C$8&gt;G107)," / güç sınırı aşılıyor","")&amp;IF(INDEX(Cables!$F:$F,ROWS($B$31:B107)+1)&lt;&gt;50," / Z0="&amp;INDEX(Cables!$F:$F,ROWS($B$31:B107)+1)&amp;" Ω",""),4,200))</f>
        <v/>
      </c>
      <c r="I107" s="1"/>
    </row>
    <row r="108" spans="1:9" x14ac:dyDescent="0.25">
      <c r="A108" s="1"/>
      <c r="B108" s="11" t="str">
        <f>IF(ROWS($B$31:B108)&gt;COUNTA(Cables!$A:$A)-1,"",INDEX(Cables!$B:$B,ROWS($B$31:B108)+1))</f>
        <v/>
      </c>
      <c r="C108" s="12" t="str">
        <f>IF(B108="","",EXP(FORECAST(LN($C$6),INDEX(Attenuation!$K:$K,(INDEX(Cables!$AO:$AO,ROWS($B$31:B108)+1)-1+MIN(MAX(IFERROR(MATCH(LN($C$6),INDEX(Attenuation!$J:$J,INDEX(Cables!$AO:$AO,ROWS($B$31:B108)+1)):INDEX(Attenuation!$J:$J,INDEX(Cables!$AO:$AO,ROWS($B$31:B108)+1)+INDEX(Cables!$AP:$AP,ROWS($B$31:B108)+1)-1),1),1),1),INDEX(Cables!$AP:$AP,ROWS($B$31:B108)+1)-1))):INDEX(Attenuation!$K:$K,(INDEX(Cables!$AO:$AO,ROWS($B$31:B108)+1)-1+MIN(MAX(IFERROR(MATCH(LN($C$6),INDEX(Attenuation!$J:$J,INDEX(Cables!$AO:$AO,ROWS($B$31:B108)+1)):INDEX(Attenuation!$J:$J,INDEX(Cables!$AO:$AO,ROWS($B$31:B108)+1)+INDEX(Cables!$AP:$AP,ROWS($B$31:B108)+1)-1),1),1),1),INDEX(Cables!$AP:$AP,ROWS($B$31:B108)+1)-1))+1),INDEX(Attenuation!$J:$J,(INDEX(Cables!$AO:$AO,ROWS($B$31:B108)+1)-1+MIN(MAX(IFERROR(MATCH(LN($C$6),INDEX(Attenuation!$J:$J,INDEX(Cables!$AO:$AO,ROWS($B$31:B108)+1)):INDEX(Attenuation!$J:$J,INDEX(Cables!$AO:$AO,ROWS($B$31:B108)+1)+INDEX(Cables!$AP:$AP,ROWS($B$31:B108)+1)-1),1),1),1),INDEX(Cables!$AP:$AP,ROWS($B$31:B108)+1)-1))):INDEX(Attenuation!$J:$J,(INDEX(Cables!$AO:$AO,ROWS($B$31:B108)+1)-1+MIN(MAX(IFERROR(MATCH(LN($C$6),INDEX(Attenuation!$J:$J,INDEX(Cables!$AO:$AO,ROWS($B$31:B108)+1)):INDEX(Attenuation!$J:$J,INDEX(Cables!$AO:$AO,ROWS($B$31:B108)+1)+INDEX(Cables!$AP:$AP,ROWS($B$31:B108)+1)-1),1),1),1),INDEX(Cables!$AP:$AP,ROWS($B$31:B108)+1)-1))+1))))</f>
        <v/>
      </c>
      <c r="D108" s="12" t="str">
        <f t="shared" si="6"/>
        <v/>
      </c>
      <c r="E108" s="24" t="str">
        <f t="shared" si="7"/>
        <v/>
      </c>
      <c r="F108" s="25" t="str">
        <f t="shared" si="8"/>
        <v/>
      </c>
      <c r="G108" s="26" t="str">
        <f>IF(B108="","",IF(INDEX(Cables!$AX:$AX,ROWS($B$31:B108)+1)&lt;2,"-",EXP(FORECAST(LN($C$6),INDEX(Power!$K:$K,(INDEX(Cables!$AW:$AW,ROWS($B$31:B108)+1)-1+MIN(MAX(IFERROR(MATCH(LN($C$6),INDEX(Power!$J:$J,INDEX(Cables!$AW:$AW,ROWS($B$31:B108)+1)):INDEX(Power!$J:$J,INDEX(Cables!$AW:$AW,ROWS($B$31:B108)+1)+INDEX(Cables!$AX:$AX,ROWS($B$31:B108)+1)-1),1),1),1),INDEX(Cables!$AX:$AX,ROWS($B$31:B108)+1)-1))):INDEX(Power!$K:$K,(INDEX(Cables!$AW:$AW,ROWS($B$31:B108)+1)-1+MIN(MAX(IFERROR(MATCH(LN($C$6),INDEX(Power!$J:$J,INDEX(Cables!$AW:$AW,ROWS($B$31:B108)+1)):INDEX(Power!$J:$J,INDEX(Cables!$AW:$AW,ROWS($B$31:B108)+1)+INDEX(Cables!$AX:$AX,ROWS($B$31:B108)+1)-1),1),1),1),INDEX(Cables!$AX:$AX,ROWS($B$31:B108)+1)-1))+1),INDEX(Power!$J:$J,(INDEX(Cables!$AW:$AW,ROWS($B$31:B108)+1)-1+MIN(MAX(IFERROR(MATCH(LN($C$6),INDEX(Power!$J:$J,INDEX(Cables!$AW:$AW,ROWS($B$31:B108)+1)):INDEX(Power!$J:$J,INDEX(Cables!$AW:$AW,ROWS($B$31:B108)+1)+INDEX(Cables!$AX:$AX,ROWS($B$31:B108)+1)-1),1),1),1),INDEX(Cables!$AX:$AX,ROWS($B$31:B108)+1)-1))):INDEX(Power!$J:$J,(INDEX(Cables!$AW:$AW,ROWS($B$31:B108)+1)-1+MIN(MAX(IFERROR(MATCH(LN($C$6),INDEX(Power!$J:$J,INDEX(Cables!$AW:$AW,ROWS($B$31:B108)+1)):INDEX(Power!$J:$J,INDEX(Cables!$AW:$AW,ROWS($B$31:B108)+1)+INDEX(Cables!$AX:$AX,ROWS($B$31:B108)+1)-1),1),1),1),INDEX(Cables!$AX:$AX,ROWS($B$31:B108)+1)-1))+1)))))</f>
        <v/>
      </c>
      <c r="H108" s="11" t="str">
        <f>IF(B108="","",MID(IF(OR($C$6&lt;INDEX(Cables!$AQ:$AQ,ROWS($B$31:B108)+1),$C$6&gt;INDEX(Cables!$AR:$AR,ROWS($B$31:B108)+1))," / ekstrapolasyon","")&amp;IF(AND(ISNUMBER(G108),$C$8&gt;G108)," / güç sınırı aşılıyor","")&amp;IF(INDEX(Cables!$F:$F,ROWS($B$31:B108)+1)&lt;&gt;50," / Z0="&amp;INDEX(Cables!$F:$F,ROWS($B$31:B108)+1)&amp;" Ω",""),4,200))</f>
        <v/>
      </c>
      <c r="I108" s="1"/>
    </row>
    <row r="109" spans="1:9" x14ac:dyDescent="0.25">
      <c r="A109" s="1"/>
      <c r="B109" s="11" t="str">
        <f>IF(ROWS($B$31:B109)&gt;COUNTA(Cables!$A:$A)-1,"",INDEX(Cables!$B:$B,ROWS($B$31:B109)+1))</f>
        <v/>
      </c>
      <c r="C109" s="12" t="str">
        <f>IF(B109="","",EXP(FORECAST(LN($C$6),INDEX(Attenuation!$K:$K,(INDEX(Cables!$AO:$AO,ROWS($B$31:B109)+1)-1+MIN(MAX(IFERROR(MATCH(LN($C$6),INDEX(Attenuation!$J:$J,INDEX(Cables!$AO:$AO,ROWS($B$31:B109)+1)):INDEX(Attenuation!$J:$J,INDEX(Cables!$AO:$AO,ROWS($B$31:B109)+1)+INDEX(Cables!$AP:$AP,ROWS($B$31:B109)+1)-1),1),1),1),INDEX(Cables!$AP:$AP,ROWS($B$31:B109)+1)-1))):INDEX(Attenuation!$K:$K,(INDEX(Cables!$AO:$AO,ROWS($B$31:B109)+1)-1+MIN(MAX(IFERROR(MATCH(LN($C$6),INDEX(Attenuation!$J:$J,INDEX(Cables!$AO:$AO,ROWS($B$31:B109)+1)):INDEX(Attenuation!$J:$J,INDEX(Cables!$AO:$AO,ROWS($B$31:B109)+1)+INDEX(Cables!$AP:$AP,ROWS($B$31:B109)+1)-1),1),1),1),INDEX(Cables!$AP:$AP,ROWS($B$31:B109)+1)-1))+1),INDEX(Attenuation!$J:$J,(INDEX(Cables!$AO:$AO,ROWS($B$31:B109)+1)-1+MIN(MAX(IFERROR(MATCH(LN($C$6),INDEX(Attenuation!$J:$J,INDEX(Cables!$AO:$AO,ROWS($B$31:B109)+1)):INDEX(Attenuation!$J:$J,INDEX(Cables!$AO:$AO,ROWS($B$31:B109)+1)+INDEX(Cables!$AP:$AP,ROWS($B$31:B109)+1)-1),1),1),1),INDEX(Cables!$AP:$AP,ROWS($B$31:B109)+1)-1))):INDEX(Attenuation!$J:$J,(INDEX(Cables!$AO:$AO,ROWS($B$31:B109)+1)-1+MIN(MAX(IFERROR(MATCH(LN($C$6),INDEX(Attenuation!$J:$J,INDEX(Cables!$AO:$AO,ROWS($B$31:B109)+1)):INDEX(Attenuation!$J:$J,INDEX(Cables!$AO:$AO,ROWS($B$31:B109)+1)+INDEX(Cables!$AP:$AP,ROWS($B$31:B109)+1)-1),1),1),1),INDEX(Cables!$AP:$AP,ROWS($B$31:B109)+1)-1))+1))))</f>
        <v/>
      </c>
      <c r="D109" s="12" t="str">
        <f t="shared" si="6"/>
        <v/>
      </c>
      <c r="E109" s="24" t="str">
        <f t="shared" si="7"/>
        <v/>
      </c>
      <c r="F109" s="25" t="str">
        <f t="shared" si="8"/>
        <v/>
      </c>
      <c r="G109" s="26" t="str">
        <f>IF(B109="","",IF(INDEX(Cables!$AX:$AX,ROWS($B$31:B109)+1)&lt;2,"-",EXP(FORECAST(LN($C$6),INDEX(Power!$K:$K,(INDEX(Cables!$AW:$AW,ROWS($B$31:B109)+1)-1+MIN(MAX(IFERROR(MATCH(LN($C$6),INDEX(Power!$J:$J,INDEX(Cables!$AW:$AW,ROWS($B$31:B109)+1)):INDEX(Power!$J:$J,INDEX(Cables!$AW:$AW,ROWS($B$31:B109)+1)+INDEX(Cables!$AX:$AX,ROWS($B$31:B109)+1)-1),1),1),1),INDEX(Cables!$AX:$AX,ROWS($B$31:B109)+1)-1))):INDEX(Power!$K:$K,(INDEX(Cables!$AW:$AW,ROWS($B$31:B109)+1)-1+MIN(MAX(IFERROR(MATCH(LN($C$6),INDEX(Power!$J:$J,INDEX(Cables!$AW:$AW,ROWS($B$31:B109)+1)):INDEX(Power!$J:$J,INDEX(Cables!$AW:$AW,ROWS($B$31:B109)+1)+INDEX(Cables!$AX:$AX,ROWS($B$31:B109)+1)-1),1),1),1),INDEX(Cables!$AX:$AX,ROWS($B$31:B109)+1)-1))+1),INDEX(Power!$J:$J,(INDEX(Cables!$AW:$AW,ROWS($B$31:B109)+1)-1+MIN(MAX(IFERROR(MATCH(LN($C$6),INDEX(Power!$J:$J,INDEX(Cables!$AW:$AW,ROWS($B$31:B109)+1)):INDEX(Power!$J:$J,INDEX(Cables!$AW:$AW,ROWS($B$31:B109)+1)+INDEX(Cables!$AX:$AX,ROWS($B$31:B109)+1)-1),1),1),1),INDEX(Cables!$AX:$AX,ROWS($B$31:B109)+1)-1))):INDEX(Power!$J:$J,(INDEX(Cables!$AW:$AW,ROWS($B$31:B109)+1)-1+MIN(MAX(IFERROR(MATCH(LN($C$6),INDEX(Power!$J:$J,INDEX(Cables!$AW:$AW,ROWS($B$31:B109)+1)):INDEX(Power!$J:$J,INDEX(Cables!$AW:$AW,ROWS($B$31:B109)+1)+INDEX(Cables!$AX:$AX,ROWS($B$31:B109)+1)-1),1),1),1),INDEX(Cables!$AX:$AX,ROWS($B$31:B109)+1)-1))+1)))))</f>
        <v/>
      </c>
      <c r="H109" s="11" t="str">
        <f>IF(B109="","",MID(IF(OR($C$6&lt;INDEX(Cables!$AQ:$AQ,ROWS($B$31:B109)+1),$C$6&gt;INDEX(Cables!$AR:$AR,ROWS($B$31:B109)+1))," / ekstrapolasyon","")&amp;IF(AND(ISNUMBER(G109),$C$8&gt;G109)," / güç sınırı aşılıyor","")&amp;IF(INDEX(Cables!$F:$F,ROWS($B$31:B109)+1)&lt;&gt;50," / Z0="&amp;INDEX(Cables!$F:$F,ROWS($B$31:B109)+1)&amp;" Ω",""),4,200))</f>
        <v/>
      </c>
      <c r="I109" s="1"/>
    </row>
    <row r="110" spans="1:9" x14ac:dyDescent="0.25">
      <c r="A110" s="1"/>
      <c r="B110" s="11" t="str">
        <f>IF(ROWS($B$31:B110)&gt;COUNTA(Cables!$A:$A)-1,"",INDEX(Cables!$B:$B,ROWS($B$31:B110)+1))</f>
        <v/>
      </c>
      <c r="C110" s="12" t="str">
        <f>IF(B110="","",EXP(FORECAST(LN($C$6),INDEX(Attenuation!$K:$K,(INDEX(Cables!$AO:$AO,ROWS($B$31:B110)+1)-1+MIN(MAX(IFERROR(MATCH(LN($C$6),INDEX(Attenuation!$J:$J,INDEX(Cables!$AO:$AO,ROWS($B$31:B110)+1)):INDEX(Attenuation!$J:$J,INDEX(Cables!$AO:$AO,ROWS($B$31:B110)+1)+INDEX(Cables!$AP:$AP,ROWS($B$31:B110)+1)-1),1),1),1),INDEX(Cables!$AP:$AP,ROWS($B$31:B110)+1)-1))):INDEX(Attenuation!$K:$K,(INDEX(Cables!$AO:$AO,ROWS($B$31:B110)+1)-1+MIN(MAX(IFERROR(MATCH(LN($C$6),INDEX(Attenuation!$J:$J,INDEX(Cables!$AO:$AO,ROWS($B$31:B110)+1)):INDEX(Attenuation!$J:$J,INDEX(Cables!$AO:$AO,ROWS($B$31:B110)+1)+INDEX(Cables!$AP:$AP,ROWS($B$31:B110)+1)-1),1),1),1),INDEX(Cables!$AP:$AP,ROWS($B$31:B110)+1)-1))+1),INDEX(Attenuation!$J:$J,(INDEX(Cables!$AO:$AO,ROWS($B$31:B110)+1)-1+MIN(MAX(IFERROR(MATCH(LN($C$6),INDEX(Attenuation!$J:$J,INDEX(Cables!$AO:$AO,ROWS($B$31:B110)+1)):INDEX(Attenuation!$J:$J,INDEX(Cables!$AO:$AO,ROWS($B$31:B110)+1)+INDEX(Cables!$AP:$AP,ROWS($B$31:B110)+1)-1),1),1),1),INDEX(Cables!$AP:$AP,ROWS($B$31:B110)+1)-1))):INDEX(Attenuation!$J:$J,(INDEX(Cables!$AO:$AO,ROWS($B$31:B110)+1)-1+MIN(MAX(IFERROR(MATCH(LN($C$6),INDEX(Attenuation!$J:$J,INDEX(Cables!$AO:$AO,ROWS($B$31:B110)+1)):INDEX(Attenuation!$J:$J,INDEX(Cables!$AO:$AO,ROWS($B$31:B110)+1)+INDEX(Cables!$AP:$AP,ROWS($B$31:B110)+1)-1),1),1),1),INDEX(Cables!$AP:$AP,ROWS($B$31:B110)+1)-1))+1))))</f>
        <v/>
      </c>
      <c r="D110" s="12" t="str">
        <f t="shared" si="6"/>
        <v/>
      </c>
      <c r="E110" s="24" t="str">
        <f t="shared" si="7"/>
        <v/>
      </c>
      <c r="F110" s="25" t="str">
        <f t="shared" si="8"/>
        <v/>
      </c>
      <c r="G110" s="26" t="str">
        <f>IF(B110="","",IF(INDEX(Cables!$AX:$AX,ROWS($B$31:B110)+1)&lt;2,"-",EXP(FORECAST(LN($C$6),INDEX(Power!$K:$K,(INDEX(Cables!$AW:$AW,ROWS($B$31:B110)+1)-1+MIN(MAX(IFERROR(MATCH(LN($C$6),INDEX(Power!$J:$J,INDEX(Cables!$AW:$AW,ROWS($B$31:B110)+1)):INDEX(Power!$J:$J,INDEX(Cables!$AW:$AW,ROWS($B$31:B110)+1)+INDEX(Cables!$AX:$AX,ROWS($B$31:B110)+1)-1),1),1),1),INDEX(Cables!$AX:$AX,ROWS($B$31:B110)+1)-1))):INDEX(Power!$K:$K,(INDEX(Cables!$AW:$AW,ROWS($B$31:B110)+1)-1+MIN(MAX(IFERROR(MATCH(LN($C$6),INDEX(Power!$J:$J,INDEX(Cables!$AW:$AW,ROWS($B$31:B110)+1)):INDEX(Power!$J:$J,INDEX(Cables!$AW:$AW,ROWS($B$31:B110)+1)+INDEX(Cables!$AX:$AX,ROWS($B$31:B110)+1)-1),1),1),1),INDEX(Cables!$AX:$AX,ROWS($B$31:B110)+1)-1))+1),INDEX(Power!$J:$J,(INDEX(Cables!$AW:$AW,ROWS($B$31:B110)+1)-1+MIN(MAX(IFERROR(MATCH(LN($C$6),INDEX(Power!$J:$J,INDEX(Cables!$AW:$AW,ROWS($B$31:B110)+1)):INDEX(Power!$J:$J,INDEX(Cables!$AW:$AW,ROWS($B$31:B110)+1)+INDEX(Cables!$AX:$AX,ROWS($B$31:B110)+1)-1),1),1),1),INDEX(Cables!$AX:$AX,ROWS($B$31:B110)+1)-1))):INDEX(Power!$J:$J,(INDEX(Cables!$AW:$AW,ROWS($B$31:B110)+1)-1+MIN(MAX(IFERROR(MATCH(LN($C$6),INDEX(Power!$J:$J,INDEX(Cables!$AW:$AW,ROWS($B$31:B110)+1)):INDEX(Power!$J:$J,INDEX(Cables!$AW:$AW,ROWS($B$31:B110)+1)+INDEX(Cables!$AX:$AX,ROWS($B$31:B110)+1)-1),1),1),1),INDEX(Cables!$AX:$AX,ROWS($B$31:B110)+1)-1))+1)))))</f>
        <v/>
      </c>
      <c r="H110" s="11" t="str">
        <f>IF(B110="","",MID(IF(OR($C$6&lt;INDEX(Cables!$AQ:$AQ,ROWS($B$31:B110)+1),$C$6&gt;INDEX(Cables!$AR:$AR,ROWS($B$31:B110)+1))," / ekstrapolasyon","")&amp;IF(AND(ISNUMBER(G110),$C$8&gt;G110)," / güç sınırı aşılıyor","")&amp;IF(INDEX(Cables!$F:$F,ROWS($B$31:B110)+1)&lt;&gt;50," / Z0="&amp;INDEX(Cables!$F:$F,ROWS($B$31:B110)+1)&amp;" Ω",""),4,200))</f>
        <v/>
      </c>
      <c r="I110" s="1"/>
    </row>
    <row r="111" spans="1:9" x14ac:dyDescent="0.25">
      <c r="A111" s="1"/>
      <c r="B111" s="11" t="str">
        <f>IF(ROWS($B$31:B111)&gt;COUNTA(Cables!$A:$A)-1,"",INDEX(Cables!$B:$B,ROWS($B$31:B111)+1))</f>
        <v/>
      </c>
      <c r="C111" s="12" t="str">
        <f>IF(B111="","",EXP(FORECAST(LN($C$6),INDEX(Attenuation!$K:$K,(INDEX(Cables!$AO:$AO,ROWS($B$31:B111)+1)-1+MIN(MAX(IFERROR(MATCH(LN($C$6),INDEX(Attenuation!$J:$J,INDEX(Cables!$AO:$AO,ROWS($B$31:B111)+1)):INDEX(Attenuation!$J:$J,INDEX(Cables!$AO:$AO,ROWS($B$31:B111)+1)+INDEX(Cables!$AP:$AP,ROWS($B$31:B111)+1)-1),1),1),1),INDEX(Cables!$AP:$AP,ROWS($B$31:B111)+1)-1))):INDEX(Attenuation!$K:$K,(INDEX(Cables!$AO:$AO,ROWS($B$31:B111)+1)-1+MIN(MAX(IFERROR(MATCH(LN($C$6),INDEX(Attenuation!$J:$J,INDEX(Cables!$AO:$AO,ROWS($B$31:B111)+1)):INDEX(Attenuation!$J:$J,INDEX(Cables!$AO:$AO,ROWS($B$31:B111)+1)+INDEX(Cables!$AP:$AP,ROWS($B$31:B111)+1)-1),1),1),1),INDEX(Cables!$AP:$AP,ROWS($B$31:B111)+1)-1))+1),INDEX(Attenuation!$J:$J,(INDEX(Cables!$AO:$AO,ROWS($B$31:B111)+1)-1+MIN(MAX(IFERROR(MATCH(LN($C$6),INDEX(Attenuation!$J:$J,INDEX(Cables!$AO:$AO,ROWS($B$31:B111)+1)):INDEX(Attenuation!$J:$J,INDEX(Cables!$AO:$AO,ROWS($B$31:B111)+1)+INDEX(Cables!$AP:$AP,ROWS($B$31:B111)+1)-1),1),1),1),INDEX(Cables!$AP:$AP,ROWS($B$31:B111)+1)-1))):INDEX(Attenuation!$J:$J,(INDEX(Cables!$AO:$AO,ROWS($B$31:B111)+1)-1+MIN(MAX(IFERROR(MATCH(LN($C$6),INDEX(Attenuation!$J:$J,INDEX(Cables!$AO:$AO,ROWS($B$31:B111)+1)):INDEX(Attenuation!$J:$J,INDEX(Cables!$AO:$AO,ROWS($B$31:B111)+1)+INDEX(Cables!$AP:$AP,ROWS($B$31:B111)+1)-1),1),1),1),INDEX(Cables!$AP:$AP,ROWS($B$31:B111)+1)-1))+1))))</f>
        <v/>
      </c>
      <c r="D111" s="12" t="str">
        <f t="shared" si="6"/>
        <v/>
      </c>
      <c r="E111" s="24" t="str">
        <f t="shared" si="7"/>
        <v/>
      </c>
      <c r="F111" s="25" t="str">
        <f t="shared" si="8"/>
        <v/>
      </c>
      <c r="G111" s="26" t="str">
        <f>IF(B111="","",IF(INDEX(Cables!$AX:$AX,ROWS($B$31:B111)+1)&lt;2,"-",EXP(FORECAST(LN($C$6),INDEX(Power!$K:$K,(INDEX(Cables!$AW:$AW,ROWS($B$31:B111)+1)-1+MIN(MAX(IFERROR(MATCH(LN($C$6),INDEX(Power!$J:$J,INDEX(Cables!$AW:$AW,ROWS($B$31:B111)+1)):INDEX(Power!$J:$J,INDEX(Cables!$AW:$AW,ROWS($B$31:B111)+1)+INDEX(Cables!$AX:$AX,ROWS($B$31:B111)+1)-1),1),1),1),INDEX(Cables!$AX:$AX,ROWS($B$31:B111)+1)-1))):INDEX(Power!$K:$K,(INDEX(Cables!$AW:$AW,ROWS($B$31:B111)+1)-1+MIN(MAX(IFERROR(MATCH(LN($C$6),INDEX(Power!$J:$J,INDEX(Cables!$AW:$AW,ROWS($B$31:B111)+1)):INDEX(Power!$J:$J,INDEX(Cables!$AW:$AW,ROWS($B$31:B111)+1)+INDEX(Cables!$AX:$AX,ROWS($B$31:B111)+1)-1),1),1),1),INDEX(Cables!$AX:$AX,ROWS($B$31:B111)+1)-1))+1),INDEX(Power!$J:$J,(INDEX(Cables!$AW:$AW,ROWS($B$31:B111)+1)-1+MIN(MAX(IFERROR(MATCH(LN($C$6),INDEX(Power!$J:$J,INDEX(Cables!$AW:$AW,ROWS($B$31:B111)+1)):INDEX(Power!$J:$J,INDEX(Cables!$AW:$AW,ROWS($B$31:B111)+1)+INDEX(Cables!$AX:$AX,ROWS($B$31:B111)+1)-1),1),1),1),INDEX(Cables!$AX:$AX,ROWS($B$31:B111)+1)-1))):INDEX(Power!$J:$J,(INDEX(Cables!$AW:$AW,ROWS($B$31:B111)+1)-1+MIN(MAX(IFERROR(MATCH(LN($C$6),INDEX(Power!$J:$J,INDEX(Cables!$AW:$AW,ROWS($B$31:B111)+1)):INDEX(Power!$J:$J,INDEX(Cables!$AW:$AW,ROWS($B$31:B111)+1)+INDEX(Cables!$AX:$AX,ROWS($B$31:B111)+1)-1),1),1),1),INDEX(Cables!$AX:$AX,ROWS($B$31:B111)+1)-1))+1)))))</f>
        <v/>
      </c>
      <c r="H111" s="11" t="str">
        <f>IF(B111="","",MID(IF(OR($C$6&lt;INDEX(Cables!$AQ:$AQ,ROWS($B$31:B111)+1),$C$6&gt;INDEX(Cables!$AR:$AR,ROWS($B$31:B111)+1))," / ekstrapolasyon","")&amp;IF(AND(ISNUMBER(G111),$C$8&gt;G111)," / güç sınırı aşılıyor","")&amp;IF(INDEX(Cables!$F:$F,ROWS($B$31:B111)+1)&lt;&gt;50," / Z0="&amp;INDEX(Cables!$F:$F,ROWS($B$31:B111)+1)&amp;" Ω",""),4,200))</f>
        <v/>
      </c>
      <c r="I111" s="1"/>
    </row>
    <row r="112" spans="1:9" x14ac:dyDescent="0.25">
      <c r="A112" s="1"/>
      <c r="B112" s="11" t="str">
        <f>IF(ROWS($B$31:B112)&gt;COUNTA(Cables!$A:$A)-1,"",INDEX(Cables!$B:$B,ROWS($B$31:B112)+1))</f>
        <v/>
      </c>
      <c r="C112" s="12" t="str">
        <f>IF(B112="","",EXP(FORECAST(LN($C$6),INDEX(Attenuation!$K:$K,(INDEX(Cables!$AO:$AO,ROWS($B$31:B112)+1)-1+MIN(MAX(IFERROR(MATCH(LN($C$6),INDEX(Attenuation!$J:$J,INDEX(Cables!$AO:$AO,ROWS($B$31:B112)+1)):INDEX(Attenuation!$J:$J,INDEX(Cables!$AO:$AO,ROWS($B$31:B112)+1)+INDEX(Cables!$AP:$AP,ROWS($B$31:B112)+1)-1),1),1),1),INDEX(Cables!$AP:$AP,ROWS($B$31:B112)+1)-1))):INDEX(Attenuation!$K:$K,(INDEX(Cables!$AO:$AO,ROWS($B$31:B112)+1)-1+MIN(MAX(IFERROR(MATCH(LN($C$6),INDEX(Attenuation!$J:$J,INDEX(Cables!$AO:$AO,ROWS($B$31:B112)+1)):INDEX(Attenuation!$J:$J,INDEX(Cables!$AO:$AO,ROWS($B$31:B112)+1)+INDEX(Cables!$AP:$AP,ROWS($B$31:B112)+1)-1),1),1),1),INDEX(Cables!$AP:$AP,ROWS($B$31:B112)+1)-1))+1),INDEX(Attenuation!$J:$J,(INDEX(Cables!$AO:$AO,ROWS($B$31:B112)+1)-1+MIN(MAX(IFERROR(MATCH(LN($C$6),INDEX(Attenuation!$J:$J,INDEX(Cables!$AO:$AO,ROWS($B$31:B112)+1)):INDEX(Attenuation!$J:$J,INDEX(Cables!$AO:$AO,ROWS($B$31:B112)+1)+INDEX(Cables!$AP:$AP,ROWS($B$31:B112)+1)-1),1),1),1),INDEX(Cables!$AP:$AP,ROWS($B$31:B112)+1)-1))):INDEX(Attenuation!$J:$J,(INDEX(Cables!$AO:$AO,ROWS($B$31:B112)+1)-1+MIN(MAX(IFERROR(MATCH(LN($C$6),INDEX(Attenuation!$J:$J,INDEX(Cables!$AO:$AO,ROWS($B$31:B112)+1)):INDEX(Attenuation!$J:$J,INDEX(Cables!$AO:$AO,ROWS($B$31:B112)+1)+INDEX(Cables!$AP:$AP,ROWS($B$31:B112)+1)-1),1),1),1),INDEX(Cables!$AP:$AP,ROWS($B$31:B112)+1)-1))+1))))</f>
        <v/>
      </c>
      <c r="D112" s="12" t="str">
        <f t="shared" si="6"/>
        <v/>
      </c>
      <c r="E112" s="24" t="str">
        <f t="shared" si="7"/>
        <v/>
      </c>
      <c r="F112" s="25" t="str">
        <f t="shared" si="8"/>
        <v/>
      </c>
      <c r="G112" s="26" t="str">
        <f>IF(B112="","",IF(INDEX(Cables!$AX:$AX,ROWS($B$31:B112)+1)&lt;2,"-",EXP(FORECAST(LN($C$6),INDEX(Power!$K:$K,(INDEX(Cables!$AW:$AW,ROWS($B$31:B112)+1)-1+MIN(MAX(IFERROR(MATCH(LN($C$6),INDEX(Power!$J:$J,INDEX(Cables!$AW:$AW,ROWS($B$31:B112)+1)):INDEX(Power!$J:$J,INDEX(Cables!$AW:$AW,ROWS($B$31:B112)+1)+INDEX(Cables!$AX:$AX,ROWS($B$31:B112)+1)-1),1),1),1),INDEX(Cables!$AX:$AX,ROWS($B$31:B112)+1)-1))):INDEX(Power!$K:$K,(INDEX(Cables!$AW:$AW,ROWS($B$31:B112)+1)-1+MIN(MAX(IFERROR(MATCH(LN($C$6),INDEX(Power!$J:$J,INDEX(Cables!$AW:$AW,ROWS($B$31:B112)+1)):INDEX(Power!$J:$J,INDEX(Cables!$AW:$AW,ROWS($B$31:B112)+1)+INDEX(Cables!$AX:$AX,ROWS($B$31:B112)+1)-1),1),1),1),INDEX(Cables!$AX:$AX,ROWS($B$31:B112)+1)-1))+1),INDEX(Power!$J:$J,(INDEX(Cables!$AW:$AW,ROWS($B$31:B112)+1)-1+MIN(MAX(IFERROR(MATCH(LN($C$6),INDEX(Power!$J:$J,INDEX(Cables!$AW:$AW,ROWS($B$31:B112)+1)):INDEX(Power!$J:$J,INDEX(Cables!$AW:$AW,ROWS($B$31:B112)+1)+INDEX(Cables!$AX:$AX,ROWS($B$31:B112)+1)-1),1),1),1),INDEX(Cables!$AX:$AX,ROWS($B$31:B112)+1)-1))):INDEX(Power!$J:$J,(INDEX(Cables!$AW:$AW,ROWS($B$31:B112)+1)-1+MIN(MAX(IFERROR(MATCH(LN($C$6),INDEX(Power!$J:$J,INDEX(Cables!$AW:$AW,ROWS($B$31:B112)+1)):INDEX(Power!$J:$J,INDEX(Cables!$AW:$AW,ROWS($B$31:B112)+1)+INDEX(Cables!$AX:$AX,ROWS($B$31:B112)+1)-1),1),1),1),INDEX(Cables!$AX:$AX,ROWS($B$31:B112)+1)-1))+1)))))</f>
        <v/>
      </c>
      <c r="H112" s="11" t="str">
        <f>IF(B112="","",MID(IF(OR($C$6&lt;INDEX(Cables!$AQ:$AQ,ROWS($B$31:B112)+1),$C$6&gt;INDEX(Cables!$AR:$AR,ROWS($B$31:B112)+1))," / ekstrapolasyon","")&amp;IF(AND(ISNUMBER(G112),$C$8&gt;G112)," / güç sınırı aşılıyor","")&amp;IF(INDEX(Cables!$F:$F,ROWS($B$31:B112)+1)&lt;&gt;50," / Z0="&amp;INDEX(Cables!$F:$F,ROWS($B$31:B112)+1)&amp;" Ω",""),4,200))</f>
        <v/>
      </c>
      <c r="I112" s="1"/>
    </row>
    <row r="113" spans="1:9" x14ac:dyDescent="0.25">
      <c r="A113" s="1"/>
      <c r="B113" s="11" t="str">
        <f>IF(ROWS($B$31:B113)&gt;COUNTA(Cables!$A:$A)-1,"",INDEX(Cables!$B:$B,ROWS($B$31:B113)+1))</f>
        <v/>
      </c>
      <c r="C113" s="12" t="str">
        <f>IF(B113="","",EXP(FORECAST(LN($C$6),INDEX(Attenuation!$K:$K,(INDEX(Cables!$AO:$AO,ROWS($B$31:B113)+1)-1+MIN(MAX(IFERROR(MATCH(LN($C$6),INDEX(Attenuation!$J:$J,INDEX(Cables!$AO:$AO,ROWS($B$31:B113)+1)):INDEX(Attenuation!$J:$J,INDEX(Cables!$AO:$AO,ROWS($B$31:B113)+1)+INDEX(Cables!$AP:$AP,ROWS($B$31:B113)+1)-1),1),1),1),INDEX(Cables!$AP:$AP,ROWS($B$31:B113)+1)-1))):INDEX(Attenuation!$K:$K,(INDEX(Cables!$AO:$AO,ROWS($B$31:B113)+1)-1+MIN(MAX(IFERROR(MATCH(LN($C$6),INDEX(Attenuation!$J:$J,INDEX(Cables!$AO:$AO,ROWS($B$31:B113)+1)):INDEX(Attenuation!$J:$J,INDEX(Cables!$AO:$AO,ROWS($B$31:B113)+1)+INDEX(Cables!$AP:$AP,ROWS($B$31:B113)+1)-1),1),1),1),INDEX(Cables!$AP:$AP,ROWS($B$31:B113)+1)-1))+1),INDEX(Attenuation!$J:$J,(INDEX(Cables!$AO:$AO,ROWS($B$31:B113)+1)-1+MIN(MAX(IFERROR(MATCH(LN($C$6),INDEX(Attenuation!$J:$J,INDEX(Cables!$AO:$AO,ROWS($B$31:B113)+1)):INDEX(Attenuation!$J:$J,INDEX(Cables!$AO:$AO,ROWS($B$31:B113)+1)+INDEX(Cables!$AP:$AP,ROWS($B$31:B113)+1)-1),1),1),1),INDEX(Cables!$AP:$AP,ROWS($B$31:B113)+1)-1))):INDEX(Attenuation!$J:$J,(INDEX(Cables!$AO:$AO,ROWS($B$31:B113)+1)-1+MIN(MAX(IFERROR(MATCH(LN($C$6),INDEX(Attenuation!$J:$J,INDEX(Cables!$AO:$AO,ROWS($B$31:B113)+1)):INDEX(Attenuation!$J:$J,INDEX(Cables!$AO:$AO,ROWS($B$31:B113)+1)+INDEX(Cables!$AP:$AP,ROWS($B$31:B113)+1)-1),1),1),1),INDEX(Cables!$AP:$AP,ROWS($B$31:B113)+1)-1))+1))))</f>
        <v/>
      </c>
      <c r="D113" s="12" t="str">
        <f t="shared" si="6"/>
        <v/>
      </c>
      <c r="E113" s="24" t="str">
        <f t="shared" si="7"/>
        <v/>
      </c>
      <c r="F113" s="25" t="str">
        <f t="shared" si="8"/>
        <v/>
      </c>
      <c r="G113" s="26" t="str">
        <f>IF(B113="","",IF(INDEX(Cables!$AX:$AX,ROWS($B$31:B113)+1)&lt;2,"-",EXP(FORECAST(LN($C$6),INDEX(Power!$K:$K,(INDEX(Cables!$AW:$AW,ROWS($B$31:B113)+1)-1+MIN(MAX(IFERROR(MATCH(LN($C$6),INDEX(Power!$J:$J,INDEX(Cables!$AW:$AW,ROWS($B$31:B113)+1)):INDEX(Power!$J:$J,INDEX(Cables!$AW:$AW,ROWS($B$31:B113)+1)+INDEX(Cables!$AX:$AX,ROWS($B$31:B113)+1)-1),1),1),1),INDEX(Cables!$AX:$AX,ROWS($B$31:B113)+1)-1))):INDEX(Power!$K:$K,(INDEX(Cables!$AW:$AW,ROWS($B$31:B113)+1)-1+MIN(MAX(IFERROR(MATCH(LN($C$6),INDEX(Power!$J:$J,INDEX(Cables!$AW:$AW,ROWS($B$31:B113)+1)):INDEX(Power!$J:$J,INDEX(Cables!$AW:$AW,ROWS($B$31:B113)+1)+INDEX(Cables!$AX:$AX,ROWS($B$31:B113)+1)-1),1),1),1),INDEX(Cables!$AX:$AX,ROWS($B$31:B113)+1)-1))+1),INDEX(Power!$J:$J,(INDEX(Cables!$AW:$AW,ROWS($B$31:B113)+1)-1+MIN(MAX(IFERROR(MATCH(LN($C$6),INDEX(Power!$J:$J,INDEX(Cables!$AW:$AW,ROWS($B$31:B113)+1)):INDEX(Power!$J:$J,INDEX(Cables!$AW:$AW,ROWS($B$31:B113)+1)+INDEX(Cables!$AX:$AX,ROWS($B$31:B113)+1)-1),1),1),1),INDEX(Cables!$AX:$AX,ROWS($B$31:B113)+1)-1))):INDEX(Power!$J:$J,(INDEX(Cables!$AW:$AW,ROWS($B$31:B113)+1)-1+MIN(MAX(IFERROR(MATCH(LN($C$6),INDEX(Power!$J:$J,INDEX(Cables!$AW:$AW,ROWS($B$31:B113)+1)):INDEX(Power!$J:$J,INDEX(Cables!$AW:$AW,ROWS($B$31:B113)+1)+INDEX(Cables!$AX:$AX,ROWS($B$31:B113)+1)-1),1),1),1),INDEX(Cables!$AX:$AX,ROWS($B$31:B113)+1)-1))+1)))))</f>
        <v/>
      </c>
      <c r="H113" s="11" t="str">
        <f>IF(B113="","",MID(IF(OR($C$6&lt;INDEX(Cables!$AQ:$AQ,ROWS($B$31:B113)+1),$C$6&gt;INDEX(Cables!$AR:$AR,ROWS($B$31:B113)+1))," / ekstrapolasyon","")&amp;IF(AND(ISNUMBER(G113),$C$8&gt;G113)," / güç sınırı aşılıyor","")&amp;IF(INDEX(Cables!$F:$F,ROWS($B$31:B113)+1)&lt;&gt;50," / Z0="&amp;INDEX(Cables!$F:$F,ROWS($B$31:B113)+1)&amp;" Ω",""),4,200))</f>
        <v/>
      </c>
      <c r="I113" s="1"/>
    </row>
    <row r="114" spans="1:9" x14ac:dyDescent="0.25">
      <c r="A114" s="1"/>
      <c r="B114" s="11" t="str">
        <f>IF(ROWS($B$31:B114)&gt;COUNTA(Cables!$A:$A)-1,"",INDEX(Cables!$B:$B,ROWS($B$31:B114)+1))</f>
        <v/>
      </c>
      <c r="C114" s="12" t="str">
        <f>IF(B114="","",EXP(FORECAST(LN($C$6),INDEX(Attenuation!$K:$K,(INDEX(Cables!$AO:$AO,ROWS($B$31:B114)+1)-1+MIN(MAX(IFERROR(MATCH(LN($C$6),INDEX(Attenuation!$J:$J,INDEX(Cables!$AO:$AO,ROWS($B$31:B114)+1)):INDEX(Attenuation!$J:$J,INDEX(Cables!$AO:$AO,ROWS($B$31:B114)+1)+INDEX(Cables!$AP:$AP,ROWS($B$31:B114)+1)-1),1),1),1),INDEX(Cables!$AP:$AP,ROWS($B$31:B114)+1)-1))):INDEX(Attenuation!$K:$K,(INDEX(Cables!$AO:$AO,ROWS($B$31:B114)+1)-1+MIN(MAX(IFERROR(MATCH(LN($C$6),INDEX(Attenuation!$J:$J,INDEX(Cables!$AO:$AO,ROWS($B$31:B114)+1)):INDEX(Attenuation!$J:$J,INDEX(Cables!$AO:$AO,ROWS($B$31:B114)+1)+INDEX(Cables!$AP:$AP,ROWS($B$31:B114)+1)-1),1),1),1),INDEX(Cables!$AP:$AP,ROWS($B$31:B114)+1)-1))+1),INDEX(Attenuation!$J:$J,(INDEX(Cables!$AO:$AO,ROWS($B$31:B114)+1)-1+MIN(MAX(IFERROR(MATCH(LN($C$6),INDEX(Attenuation!$J:$J,INDEX(Cables!$AO:$AO,ROWS($B$31:B114)+1)):INDEX(Attenuation!$J:$J,INDEX(Cables!$AO:$AO,ROWS($B$31:B114)+1)+INDEX(Cables!$AP:$AP,ROWS($B$31:B114)+1)-1),1),1),1),INDEX(Cables!$AP:$AP,ROWS($B$31:B114)+1)-1))):INDEX(Attenuation!$J:$J,(INDEX(Cables!$AO:$AO,ROWS($B$31:B114)+1)-1+MIN(MAX(IFERROR(MATCH(LN($C$6),INDEX(Attenuation!$J:$J,INDEX(Cables!$AO:$AO,ROWS($B$31:B114)+1)):INDEX(Attenuation!$J:$J,INDEX(Cables!$AO:$AO,ROWS($B$31:B114)+1)+INDEX(Cables!$AP:$AP,ROWS($B$31:B114)+1)-1),1),1),1),INDEX(Cables!$AP:$AP,ROWS($B$31:B114)+1)-1))+1))))</f>
        <v/>
      </c>
      <c r="D114" s="12" t="str">
        <f t="shared" si="6"/>
        <v/>
      </c>
      <c r="E114" s="24" t="str">
        <f t="shared" si="7"/>
        <v/>
      </c>
      <c r="F114" s="25" t="str">
        <f t="shared" si="8"/>
        <v/>
      </c>
      <c r="G114" s="26" t="str">
        <f>IF(B114="","",IF(INDEX(Cables!$AX:$AX,ROWS($B$31:B114)+1)&lt;2,"-",EXP(FORECAST(LN($C$6),INDEX(Power!$K:$K,(INDEX(Cables!$AW:$AW,ROWS($B$31:B114)+1)-1+MIN(MAX(IFERROR(MATCH(LN($C$6),INDEX(Power!$J:$J,INDEX(Cables!$AW:$AW,ROWS($B$31:B114)+1)):INDEX(Power!$J:$J,INDEX(Cables!$AW:$AW,ROWS($B$31:B114)+1)+INDEX(Cables!$AX:$AX,ROWS($B$31:B114)+1)-1),1),1),1),INDEX(Cables!$AX:$AX,ROWS($B$31:B114)+1)-1))):INDEX(Power!$K:$K,(INDEX(Cables!$AW:$AW,ROWS($B$31:B114)+1)-1+MIN(MAX(IFERROR(MATCH(LN($C$6),INDEX(Power!$J:$J,INDEX(Cables!$AW:$AW,ROWS($B$31:B114)+1)):INDEX(Power!$J:$J,INDEX(Cables!$AW:$AW,ROWS($B$31:B114)+1)+INDEX(Cables!$AX:$AX,ROWS($B$31:B114)+1)-1),1),1),1),INDEX(Cables!$AX:$AX,ROWS($B$31:B114)+1)-1))+1),INDEX(Power!$J:$J,(INDEX(Cables!$AW:$AW,ROWS($B$31:B114)+1)-1+MIN(MAX(IFERROR(MATCH(LN($C$6),INDEX(Power!$J:$J,INDEX(Cables!$AW:$AW,ROWS($B$31:B114)+1)):INDEX(Power!$J:$J,INDEX(Cables!$AW:$AW,ROWS($B$31:B114)+1)+INDEX(Cables!$AX:$AX,ROWS($B$31:B114)+1)-1),1),1),1),INDEX(Cables!$AX:$AX,ROWS($B$31:B114)+1)-1))):INDEX(Power!$J:$J,(INDEX(Cables!$AW:$AW,ROWS($B$31:B114)+1)-1+MIN(MAX(IFERROR(MATCH(LN($C$6),INDEX(Power!$J:$J,INDEX(Cables!$AW:$AW,ROWS($B$31:B114)+1)):INDEX(Power!$J:$J,INDEX(Cables!$AW:$AW,ROWS($B$31:B114)+1)+INDEX(Cables!$AX:$AX,ROWS($B$31:B114)+1)-1),1),1),1),INDEX(Cables!$AX:$AX,ROWS($B$31:B114)+1)-1))+1)))))</f>
        <v/>
      </c>
      <c r="H114" s="11" t="str">
        <f>IF(B114="","",MID(IF(OR($C$6&lt;INDEX(Cables!$AQ:$AQ,ROWS($B$31:B114)+1),$C$6&gt;INDEX(Cables!$AR:$AR,ROWS($B$31:B114)+1))," / ekstrapolasyon","")&amp;IF(AND(ISNUMBER(G114),$C$8&gt;G114)," / güç sınırı aşılıyor","")&amp;IF(INDEX(Cables!$F:$F,ROWS($B$31:B114)+1)&lt;&gt;50," / Z0="&amp;INDEX(Cables!$F:$F,ROWS($B$31:B114)+1)&amp;" Ω",""),4,200))</f>
        <v/>
      </c>
      <c r="I114" s="1"/>
    </row>
    <row r="115" spans="1:9" x14ac:dyDescent="0.25">
      <c r="A115" s="1"/>
      <c r="B115" s="11" t="str">
        <f>IF(ROWS($B$31:B115)&gt;COUNTA(Cables!$A:$A)-1,"",INDEX(Cables!$B:$B,ROWS($B$31:B115)+1))</f>
        <v/>
      </c>
      <c r="C115" s="12" t="str">
        <f>IF(B115="","",EXP(FORECAST(LN($C$6),INDEX(Attenuation!$K:$K,(INDEX(Cables!$AO:$AO,ROWS($B$31:B115)+1)-1+MIN(MAX(IFERROR(MATCH(LN($C$6),INDEX(Attenuation!$J:$J,INDEX(Cables!$AO:$AO,ROWS($B$31:B115)+1)):INDEX(Attenuation!$J:$J,INDEX(Cables!$AO:$AO,ROWS($B$31:B115)+1)+INDEX(Cables!$AP:$AP,ROWS($B$31:B115)+1)-1),1),1),1),INDEX(Cables!$AP:$AP,ROWS($B$31:B115)+1)-1))):INDEX(Attenuation!$K:$K,(INDEX(Cables!$AO:$AO,ROWS($B$31:B115)+1)-1+MIN(MAX(IFERROR(MATCH(LN($C$6),INDEX(Attenuation!$J:$J,INDEX(Cables!$AO:$AO,ROWS($B$31:B115)+1)):INDEX(Attenuation!$J:$J,INDEX(Cables!$AO:$AO,ROWS($B$31:B115)+1)+INDEX(Cables!$AP:$AP,ROWS($B$31:B115)+1)-1),1),1),1),INDEX(Cables!$AP:$AP,ROWS($B$31:B115)+1)-1))+1),INDEX(Attenuation!$J:$J,(INDEX(Cables!$AO:$AO,ROWS($B$31:B115)+1)-1+MIN(MAX(IFERROR(MATCH(LN($C$6),INDEX(Attenuation!$J:$J,INDEX(Cables!$AO:$AO,ROWS($B$31:B115)+1)):INDEX(Attenuation!$J:$J,INDEX(Cables!$AO:$AO,ROWS($B$31:B115)+1)+INDEX(Cables!$AP:$AP,ROWS($B$31:B115)+1)-1),1),1),1),INDEX(Cables!$AP:$AP,ROWS($B$31:B115)+1)-1))):INDEX(Attenuation!$J:$J,(INDEX(Cables!$AO:$AO,ROWS($B$31:B115)+1)-1+MIN(MAX(IFERROR(MATCH(LN($C$6),INDEX(Attenuation!$J:$J,INDEX(Cables!$AO:$AO,ROWS($B$31:B115)+1)):INDEX(Attenuation!$J:$J,INDEX(Cables!$AO:$AO,ROWS($B$31:B115)+1)+INDEX(Cables!$AP:$AP,ROWS($B$31:B115)+1)-1),1),1),1),INDEX(Cables!$AP:$AP,ROWS($B$31:B115)+1)-1))+1))))</f>
        <v/>
      </c>
      <c r="D115" s="12" t="str">
        <f t="shared" si="6"/>
        <v/>
      </c>
      <c r="E115" s="24" t="str">
        <f t="shared" si="7"/>
        <v/>
      </c>
      <c r="F115" s="25" t="str">
        <f t="shared" si="8"/>
        <v/>
      </c>
      <c r="G115" s="26" t="str">
        <f>IF(B115="","",IF(INDEX(Cables!$AX:$AX,ROWS($B$31:B115)+1)&lt;2,"-",EXP(FORECAST(LN($C$6),INDEX(Power!$K:$K,(INDEX(Cables!$AW:$AW,ROWS($B$31:B115)+1)-1+MIN(MAX(IFERROR(MATCH(LN($C$6),INDEX(Power!$J:$J,INDEX(Cables!$AW:$AW,ROWS($B$31:B115)+1)):INDEX(Power!$J:$J,INDEX(Cables!$AW:$AW,ROWS($B$31:B115)+1)+INDEX(Cables!$AX:$AX,ROWS($B$31:B115)+1)-1),1),1),1),INDEX(Cables!$AX:$AX,ROWS($B$31:B115)+1)-1))):INDEX(Power!$K:$K,(INDEX(Cables!$AW:$AW,ROWS($B$31:B115)+1)-1+MIN(MAX(IFERROR(MATCH(LN($C$6),INDEX(Power!$J:$J,INDEX(Cables!$AW:$AW,ROWS($B$31:B115)+1)):INDEX(Power!$J:$J,INDEX(Cables!$AW:$AW,ROWS($B$31:B115)+1)+INDEX(Cables!$AX:$AX,ROWS($B$31:B115)+1)-1),1),1),1),INDEX(Cables!$AX:$AX,ROWS($B$31:B115)+1)-1))+1),INDEX(Power!$J:$J,(INDEX(Cables!$AW:$AW,ROWS($B$31:B115)+1)-1+MIN(MAX(IFERROR(MATCH(LN($C$6),INDEX(Power!$J:$J,INDEX(Cables!$AW:$AW,ROWS($B$31:B115)+1)):INDEX(Power!$J:$J,INDEX(Cables!$AW:$AW,ROWS($B$31:B115)+1)+INDEX(Cables!$AX:$AX,ROWS($B$31:B115)+1)-1),1),1),1),INDEX(Cables!$AX:$AX,ROWS($B$31:B115)+1)-1))):INDEX(Power!$J:$J,(INDEX(Cables!$AW:$AW,ROWS($B$31:B115)+1)-1+MIN(MAX(IFERROR(MATCH(LN($C$6),INDEX(Power!$J:$J,INDEX(Cables!$AW:$AW,ROWS($B$31:B115)+1)):INDEX(Power!$J:$J,INDEX(Cables!$AW:$AW,ROWS($B$31:B115)+1)+INDEX(Cables!$AX:$AX,ROWS($B$31:B115)+1)-1),1),1),1),INDEX(Cables!$AX:$AX,ROWS($B$31:B115)+1)-1))+1)))))</f>
        <v/>
      </c>
      <c r="H115" s="11" t="str">
        <f>IF(B115="","",MID(IF(OR($C$6&lt;INDEX(Cables!$AQ:$AQ,ROWS($B$31:B115)+1),$C$6&gt;INDEX(Cables!$AR:$AR,ROWS($B$31:B115)+1))," / ekstrapolasyon","")&amp;IF(AND(ISNUMBER(G115),$C$8&gt;G115)," / güç sınırı aşılıyor","")&amp;IF(INDEX(Cables!$F:$F,ROWS($B$31:B115)+1)&lt;&gt;50," / Z0="&amp;INDEX(Cables!$F:$F,ROWS($B$31:B115)+1)&amp;" Ω",""),4,200))</f>
        <v/>
      </c>
      <c r="I115" s="1"/>
    </row>
    <row r="116" spans="1:9" x14ac:dyDescent="0.25">
      <c r="A116" s="1"/>
      <c r="B116" s="11" t="str">
        <f>IF(ROWS($B$31:B116)&gt;COUNTA(Cables!$A:$A)-1,"",INDEX(Cables!$B:$B,ROWS($B$31:B116)+1))</f>
        <v/>
      </c>
      <c r="C116" s="12" t="str">
        <f>IF(B116="","",EXP(FORECAST(LN($C$6),INDEX(Attenuation!$K:$K,(INDEX(Cables!$AO:$AO,ROWS($B$31:B116)+1)-1+MIN(MAX(IFERROR(MATCH(LN($C$6),INDEX(Attenuation!$J:$J,INDEX(Cables!$AO:$AO,ROWS($B$31:B116)+1)):INDEX(Attenuation!$J:$J,INDEX(Cables!$AO:$AO,ROWS($B$31:B116)+1)+INDEX(Cables!$AP:$AP,ROWS($B$31:B116)+1)-1),1),1),1),INDEX(Cables!$AP:$AP,ROWS($B$31:B116)+1)-1))):INDEX(Attenuation!$K:$K,(INDEX(Cables!$AO:$AO,ROWS($B$31:B116)+1)-1+MIN(MAX(IFERROR(MATCH(LN($C$6),INDEX(Attenuation!$J:$J,INDEX(Cables!$AO:$AO,ROWS($B$31:B116)+1)):INDEX(Attenuation!$J:$J,INDEX(Cables!$AO:$AO,ROWS($B$31:B116)+1)+INDEX(Cables!$AP:$AP,ROWS($B$31:B116)+1)-1),1),1),1),INDEX(Cables!$AP:$AP,ROWS($B$31:B116)+1)-1))+1),INDEX(Attenuation!$J:$J,(INDEX(Cables!$AO:$AO,ROWS($B$31:B116)+1)-1+MIN(MAX(IFERROR(MATCH(LN($C$6),INDEX(Attenuation!$J:$J,INDEX(Cables!$AO:$AO,ROWS($B$31:B116)+1)):INDEX(Attenuation!$J:$J,INDEX(Cables!$AO:$AO,ROWS($B$31:B116)+1)+INDEX(Cables!$AP:$AP,ROWS($B$31:B116)+1)-1),1),1),1),INDEX(Cables!$AP:$AP,ROWS($B$31:B116)+1)-1))):INDEX(Attenuation!$J:$J,(INDEX(Cables!$AO:$AO,ROWS($B$31:B116)+1)-1+MIN(MAX(IFERROR(MATCH(LN($C$6),INDEX(Attenuation!$J:$J,INDEX(Cables!$AO:$AO,ROWS($B$31:B116)+1)):INDEX(Attenuation!$J:$J,INDEX(Cables!$AO:$AO,ROWS($B$31:B116)+1)+INDEX(Cables!$AP:$AP,ROWS($B$31:B116)+1)-1),1),1),1),INDEX(Cables!$AP:$AP,ROWS($B$31:B116)+1)-1))+1))))</f>
        <v/>
      </c>
      <c r="D116" s="12" t="str">
        <f t="shared" si="6"/>
        <v/>
      </c>
      <c r="E116" s="24" t="str">
        <f t="shared" si="7"/>
        <v/>
      </c>
      <c r="F116" s="25" t="str">
        <f t="shared" si="8"/>
        <v/>
      </c>
      <c r="G116" s="26" t="str">
        <f>IF(B116="","",IF(INDEX(Cables!$AX:$AX,ROWS($B$31:B116)+1)&lt;2,"-",EXP(FORECAST(LN($C$6),INDEX(Power!$K:$K,(INDEX(Cables!$AW:$AW,ROWS($B$31:B116)+1)-1+MIN(MAX(IFERROR(MATCH(LN($C$6),INDEX(Power!$J:$J,INDEX(Cables!$AW:$AW,ROWS($B$31:B116)+1)):INDEX(Power!$J:$J,INDEX(Cables!$AW:$AW,ROWS($B$31:B116)+1)+INDEX(Cables!$AX:$AX,ROWS($B$31:B116)+1)-1),1),1),1),INDEX(Cables!$AX:$AX,ROWS($B$31:B116)+1)-1))):INDEX(Power!$K:$K,(INDEX(Cables!$AW:$AW,ROWS($B$31:B116)+1)-1+MIN(MAX(IFERROR(MATCH(LN($C$6),INDEX(Power!$J:$J,INDEX(Cables!$AW:$AW,ROWS($B$31:B116)+1)):INDEX(Power!$J:$J,INDEX(Cables!$AW:$AW,ROWS($B$31:B116)+1)+INDEX(Cables!$AX:$AX,ROWS($B$31:B116)+1)-1),1),1),1),INDEX(Cables!$AX:$AX,ROWS($B$31:B116)+1)-1))+1),INDEX(Power!$J:$J,(INDEX(Cables!$AW:$AW,ROWS($B$31:B116)+1)-1+MIN(MAX(IFERROR(MATCH(LN($C$6),INDEX(Power!$J:$J,INDEX(Cables!$AW:$AW,ROWS($B$31:B116)+1)):INDEX(Power!$J:$J,INDEX(Cables!$AW:$AW,ROWS($B$31:B116)+1)+INDEX(Cables!$AX:$AX,ROWS($B$31:B116)+1)-1),1),1),1),INDEX(Cables!$AX:$AX,ROWS($B$31:B116)+1)-1))):INDEX(Power!$J:$J,(INDEX(Cables!$AW:$AW,ROWS($B$31:B116)+1)-1+MIN(MAX(IFERROR(MATCH(LN($C$6),INDEX(Power!$J:$J,INDEX(Cables!$AW:$AW,ROWS($B$31:B116)+1)):INDEX(Power!$J:$J,INDEX(Cables!$AW:$AW,ROWS($B$31:B116)+1)+INDEX(Cables!$AX:$AX,ROWS($B$31:B116)+1)-1),1),1),1),INDEX(Cables!$AX:$AX,ROWS($B$31:B116)+1)-1))+1)))))</f>
        <v/>
      </c>
      <c r="H116" s="11" t="str">
        <f>IF(B116="","",MID(IF(OR($C$6&lt;INDEX(Cables!$AQ:$AQ,ROWS($B$31:B116)+1),$C$6&gt;INDEX(Cables!$AR:$AR,ROWS($B$31:B116)+1))," / ekstrapolasyon","")&amp;IF(AND(ISNUMBER(G116),$C$8&gt;G116)," / güç sınırı aşılıyor","")&amp;IF(INDEX(Cables!$F:$F,ROWS($B$31:B116)+1)&lt;&gt;50," / Z0="&amp;INDEX(Cables!$F:$F,ROWS($B$31:B116)+1)&amp;" Ω",""),4,200))</f>
        <v/>
      </c>
      <c r="I116" s="1"/>
    </row>
    <row r="117" spans="1:9" x14ac:dyDescent="0.25">
      <c r="A117" s="1"/>
      <c r="B117" s="11" t="str">
        <f>IF(ROWS($B$31:B117)&gt;COUNTA(Cables!$A:$A)-1,"",INDEX(Cables!$B:$B,ROWS($B$31:B117)+1))</f>
        <v/>
      </c>
      <c r="C117" s="12" t="str">
        <f>IF(B117="","",EXP(FORECAST(LN($C$6),INDEX(Attenuation!$K:$K,(INDEX(Cables!$AO:$AO,ROWS($B$31:B117)+1)-1+MIN(MAX(IFERROR(MATCH(LN($C$6),INDEX(Attenuation!$J:$J,INDEX(Cables!$AO:$AO,ROWS($B$31:B117)+1)):INDEX(Attenuation!$J:$J,INDEX(Cables!$AO:$AO,ROWS($B$31:B117)+1)+INDEX(Cables!$AP:$AP,ROWS($B$31:B117)+1)-1),1),1),1),INDEX(Cables!$AP:$AP,ROWS($B$31:B117)+1)-1))):INDEX(Attenuation!$K:$K,(INDEX(Cables!$AO:$AO,ROWS($B$31:B117)+1)-1+MIN(MAX(IFERROR(MATCH(LN($C$6),INDEX(Attenuation!$J:$J,INDEX(Cables!$AO:$AO,ROWS($B$31:B117)+1)):INDEX(Attenuation!$J:$J,INDEX(Cables!$AO:$AO,ROWS($B$31:B117)+1)+INDEX(Cables!$AP:$AP,ROWS($B$31:B117)+1)-1),1),1),1),INDEX(Cables!$AP:$AP,ROWS($B$31:B117)+1)-1))+1),INDEX(Attenuation!$J:$J,(INDEX(Cables!$AO:$AO,ROWS($B$31:B117)+1)-1+MIN(MAX(IFERROR(MATCH(LN($C$6),INDEX(Attenuation!$J:$J,INDEX(Cables!$AO:$AO,ROWS($B$31:B117)+1)):INDEX(Attenuation!$J:$J,INDEX(Cables!$AO:$AO,ROWS($B$31:B117)+1)+INDEX(Cables!$AP:$AP,ROWS($B$31:B117)+1)-1),1),1),1),INDEX(Cables!$AP:$AP,ROWS($B$31:B117)+1)-1))):INDEX(Attenuation!$J:$J,(INDEX(Cables!$AO:$AO,ROWS($B$31:B117)+1)-1+MIN(MAX(IFERROR(MATCH(LN($C$6),INDEX(Attenuation!$J:$J,INDEX(Cables!$AO:$AO,ROWS($B$31:B117)+1)):INDEX(Attenuation!$J:$J,INDEX(Cables!$AO:$AO,ROWS($B$31:B117)+1)+INDEX(Cables!$AP:$AP,ROWS($B$31:B117)+1)-1),1),1),1),INDEX(Cables!$AP:$AP,ROWS($B$31:B117)+1)-1))+1))))</f>
        <v/>
      </c>
      <c r="D117" s="12" t="str">
        <f t="shared" si="6"/>
        <v/>
      </c>
      <c r="E117" s="24" t="str">
        <f t="shared" si="7"/>
        <v/>
      </c>
      <c r="F117" s="25" t="str">
        <f t="shared" si="8"/>
        <v/>
      </c>
      <c r="G117" s="26" t="str">
        <f>IF(B117="","",IF(INDEX(Cables!$AX:$AX,ROWS($B$31:B117)+1)&lt;2,"-",EXP(FORECAST(LN($C$6),INDEX(Power!$K:$K,(INDEX(Cables!$AW:$AW,ROWS($B$31:B117)+1)-1+MIN(MAX(IFERROR(MATCH(LN($C$6),INDEX(Power!$J:$J,INDEX(Cables!$AW:$AW,ROWS($B$31:B117)+1)):INDEX(Power!$J:$J,INDEX(Cables!$AW:$AW,ROWS($B$31:B117)+1)+INDEX(Cables!$AX:$AX,ROWS($B$31:B117)+1)-1),1),1),1),INDEX(Cables!$AX:$AX,ROWS($B$31:B117)+1)-1))):INDEX(Power!$K:$K,(INDEX(Cables!$AW:$AW,ROWS($B$31:B117)+1)-1+MIN(MAX(IFERROR(MATCH(LN($C$6),INDEX(Power!$J:$J,INDEX(Cables!$AW:$AW,ROWS($B$31:B117)+1)):INDEX(Power!$J:$J,INDEX(Cables!$AW:$AW,ROWS($B$31:B117)+1)+INDEX(Cables!$AX:$AX,ROWS($B$31:B117)+1)-1),1),1),1),INDEX(Cables!$AX:$AX,ROWS($B$31:B117)+1)-1))+1),INDEX(Power!$J:$J,(INDEX(Cables!$AW:$AW,ROWS($B$31:B117)+1)-1+MIN(MAX(IFERROR(MATCH(LN($C$6),INDEX(Power!$J:$J,INDEX(Cables!$AW:$AW,ROWS($B$31:B117)+1)):INDEX(Power!$J:$J,INDEX(Cables!$AW:$AW,ROWS($B$31:B117)+1)+INDEX(Cables!$AX:$AX,ROWS($B$31:B117)+1)-1),1),1),1),INDEX(Cables!$AX:$AX,ROWS($B$31:B117)+1)-1))):INDEX(Power!$J:$J,(INDEX(Cables!$AW:$AW,ROWS($B$31:B117)+1)-1+MIN(MAX(IFERROR(MATCH(LN($C$6),INDEX(Power!$J:$J,INDEX(Cables!$AW:$AW,ROWS($B$31:B117)+1)):INDEX(Power!$J:$J,INDEX(Cables!$AW:$AW,ROWS($B$31:B117)+1)+INDEX(Cables!$AX:$AX,ROWS($B$31:B117)+1)-1),1),1),1),INDEX(Cables!$AX:$AX,ROWS($B$31:B117)+1)-1))+1)))))</f>
        <v/>
      </c>
      <c r="H117" s="11" t="str">
        <f>IF(B117="","",MID(IF(OR($C$6&lt;INDEX(Cables!$AQ:$AQ,ROWS($B$31:B117)+1),$C$6&gt;INDEX(Cables!$AR:$AR,ROWS($B$31:B117)+1))," / ekstrapolasyon","")&amp;IF(AND(ISNUMBER(G117),$C$8&gt;G117)," / güç sınırı aşılıyor","")&amp;IF(INDEX(Cables!$F:$F,ROWS($B$31:B117)+1)&lt;&gt;50," / Z0="&amp;INDEX(Cables!$F:$F,ROWS($B$31:B117)+1)&amp;" Ω",""),4,200))</f>
        <v/>
      </c>
      <c r="I117" s="1"/>
    </row>
    <row r="118" spans="1:9" x14ac:dyDescent="0.25">
      <c r="A118" s="1"/>
      <c r="B118" s="11" t="str">
        <f>IF(ROWS($B$31:B118)&gt;COUNTA(Cables!$A:$A)-1,"",INDEX(Cables!$B:$B,ROWS($B$31:B118)+1))</f>
        <v/>
      </c>
      <c r="C118" s="12" t="str">
        <f>IF(B118="","",EXP(FORECAST(LN($C$6),INDEX(Attenuation!$K:$K,(INDEX(Cables!$AO:$AO,ROWS($B$31:B118)+1)-1+MIN(MAX(IFERROR(MATCH(LN($C$6),INDEX(Attenuation!$J:$J,INDEX(Cables!$AO:$AO,ROWS($B$31:B118)+1)):INDEX(Attenuation!$J:$J,INDEX(Cables!$AO:$AO,ROWS($B$31:B118)+1)+INDEX(Cables!$AP:$AP,ROWS($B$31:B118)+1)-1),1),1),1),INDEX(Cables!$AP:$AP,ROWS($B$31:B118)+1)-1))):INDEX(Attenuation!$K:$K,(INDEX(Cables!$AO:$AO,ROWS($B$31:B118)+1)-1+MIN(MAX(IFERROR(MATCH(LN($C$6),INDEX(Attenuation!$J:$J,INDEX(Cables!$AO:$AO,ROWS($B$31:B118)+1)):INDEX(Attenuation!$J:$J,INDEX(Cables!$AO:$AO,ROWS($B$31:B118)+1)+INDEX(Cables!$AP:$AP,ROWS($B$31:B118)+1)-1),1),1),1),INDEX(Cables!$AP:$AP,ROWS($B$31:B118)+1)-1))+1),INDEX(Attenuation!$J:$J,(INDEX(Cables!$AO:$AO,ROWS($B$31:B118)+1)-1+MIN(MAX(IFERROR(MATCH(LN($C$6),INDEX(Attenuation!$J:$J,INDEX(Cables!$AO:$AO,ROWS($B$31:B118)+1)):INDEX(Attenuation!$J:$J,INDEX(Cables!$AO:$AO,ROWS($B$31:B118)+1)+INDEX(Cables!$AP:$AP,ROWS($B$31:B118)+1)-1),1),1),1),INDEX(Cables!$AP:$AP,ROWS($B$31:B118)+1)-1))):INDEX(Attenuation!$J:$J,(INDEX(Cables!$AO:$AO,ROWS($B$31:B118)+1)-1+MIN(MAX(IFERROR(MATCH(LN($C$6),INDEX(Attenuation!$J:$J,INDEX(Cables!$AO:$AO,ROWS($B$31:B118)+1)):INDEX(Attenuation!$J:$J,INDEX(Cables!$AO:$AO,ROWS($B$31:B118)+1)+INDEX(Cables!$AP:$AP,ROWS($B$31:B118)+1)-1),1),1),1),INDEX(Cables!$AP:$AP,ROWS($B$31:B118)+1)-1))+1))))</f>
        <v/>
      </c>
      <c r="D118" s="12" t="str">
        <f t="shared" si="6"/>
        <v/>
      </c>
      <c r="E118" s="24" t="str">
        <f t="shared" si="7"/>
        <v/>
      </c>
      <c r="F118" s="25" t="str">
        <f t="shared" si="8"/>
        <v/>
      </c>
      <c r="G118" s="26" t="str">
        <f>IF(B118="","",IF(INDEX(Cables!$AX:$AX,ROWS($B$31:B118)+1)&lt;2,"-",EXP(FORECAST(LN($C$6),INDEX(Power!$K:$K,(INDEX(Cables!$AW:$AW,ROWS($B$31:B118)+1)-1+MIN(MAX(IFERROR(MATCH(LN($C$6),INDEX(Power!$J:$J,INDEX(Cables!$AW:$AW,ROWS($B$31:B118)+1)):INDEX(Power!$J:$J,INDEX(Cables!$AW:$AW,ROWS($B$31:B118)+1)+INDEX(Cables!$AX:$AX,ROWS($B$31:B118)+1)-1),1),1),1),INDEX(Cables!$AX:$AX,ROWS($B$31:B118)+1)-1))):INDEX(Power!$K:$K,(INDEX(Cables!$AW:$AW,ROWS($B$31:B118)+1)-1+MIN(MAX(IFERROR(MATCH(LN($C$6),INDEX(Power!$J:$J,INDEX(Cables!$AW:$AW,ROWS($B$31:B118)+1)):INDEX(Power!$J:$J,INDEX(Cables!$AW:$AW,ROWS($B$31:B118)+1)+INDEX(Cables!$AX:$AX,ROWS($B$31:B118)+1)-1),1),1),1),INDEX(Cables!$AX:$AX,ROWS($B$31:B118)+1)-1))+1),INDEX(Power!$J:$J,(INDEX(Cables!$AW:$AW,ROWS($B$31:B118)+1)-1+MIN(MAX(IFERROR(MATCH(LN($C$6),INDEX(Power!$J:$J,INDEX(Cables!$AW:$AW,ROWS($B$31:B118)+1)):INDEX(Power!$J:$J,INDEX(Cables!$AW:$AW,ROWS($B$31:B118)+1)+INDEX(Cables!$AX:$AX,ROWS($B$31:B118)+1)-1),1),1),1),INDEX(Cables!$AX:$AX,ROWS($B$31:B118)+1)-1))):INDEX(Power!$J:$J,(INDEX(Cables!$AW:$AW,ROWS($B$31:B118)+1)-1+MIN(MAX(IFERROR(MATCH(LN($C$6),INDEX(Power!$J:$J,INDEX(Cables!$AW:$AW,ROWS($B$31:B118)+1)):INDEX(Power!$J:$J,INDEX(Cables!$AW:$AW,ROWS($B$31:B118)+1)+INDEX(Cables!$AX:$AX,ROWS($B$31:B118)+1)-1),1),1),1),INDEX(Cables!$AX:$AX,ROWS($B$31:B118)+1)-1))+1)))))</f>
        <v/>
      </c>
      <c r="H118" s="11" t="str">
        <f>IF(B118="","",MID(IF(OR($C$6&lt;INDEX(Cables!$AQ:$AQ,ROWS($B$31:B118)+1),$C$6&gt;INDEX(Cables!$AR:$AR,ROWS($B$31:B118)+1))," / ekstrapolasyon","")&amp;IF(AND(ISNUMBER(G118),$C$8&gt;G118)," / güç sınırı aşılıyor","")&amp;IF(INDEX(Cables!$F:$F,ROWS($B$31:B118)+1)&lt;&gt;50," / Z0="&amp;INDEX(Cables!$F:$F,ROWS($B$31:B118)+1)&amp;" Ω",""),4,200))</f>
        <v/>
      </c>
      <c r="I118" s="1"/>
    </row>
    <row r="119" spans="1:9" x14ac:dyDescent="0.25">
      <c r="A119" s="1"/>
      <c r="B119" s="11" t="str">
        <f>IF(ROWS($B$31:B119)&gt;COUNTA(Cables!$A:$A)-1,"",INDEX(Cables!$B:$B,ROWS($B$31:B119)+1))</f>
        <v/>
      </c>
      <c r="C119" s="12" t="str">
        <f>IF(B119="","",EXP(FORECAST(LN($C$6),INDEX(Attenuation!$K:$K,(INDEX(Cables!$AO:$AO,ROWS($B$31:B119)+1)-1+MIN(MAX(IFERROR(MATCH(LN($C$6),INDEX(Attenuation!$J:$J,INDEX(Cables!$AO:$AO,ROWS($B$31:B119)+1)):INDEX(Attenuation!$J:$J,INDEX(Cables!$AO:$AO,ROWS($B$31:B119)+1)+INDEX(Cables!$AP:$AP,ROWS($B$31:B119)+1)-1),1),1),1),INDEX(Cables!$AP:$AP,ROWS($B$31:B119)+1)-1))):INDEX(Attenuation!$K:$K,(INDEX(Cables!$AO:$AO,ROWS($B$31:B119)+1)-1+MIN(MAX(IFERROR(MATCH(LN($C$6),INDEX(Attenuation!$J:$J,INDEX(Cables!$AO:$AO,ROWS($B$31:B119)+1)):INDEX(Attenuation!$J:$J,INDEX(Cables!$AO:$AO,ROWS($B$31:B119)+1)+INDEX(Cables!$AP:$AP,ROWS($B$31:B119)+1)-1),1),1),1),INDEX(Cables!$AP:$AP,ROWS($B$31:B119)+1)-1))+1),INDEX(Attenuation!$J:$J,(INDEX(Cables!$AO:$AO,ROWS($B$31:B119)+1)-1+MIN(MAX(IFERROR(MATCH(LN($C$6),INDEX(Attenuation!$J:$J,INDEX(Cables!$AO:$AO,ROWS($B$31:B119)+1)):INDEX(Attenuation!$J:$J,INDEX(Cables!$AO:$AO,ROWS($B$31:B119)+1)+INDEX(Cables!$AP:$AP,ROWS($B$31:B119)+1)-1),1),1),1),INDEX(Cables!$AP:$AP,ROWS($B$31:B119)+1)-1))):INDEX(Attenuation!$J:$J,(INDEX(Cables!$AO:$AO,ROWS($B$31:B119)+1)-1+MIN(MAX(IFERROR(MATCH(LN($C$6),INDEX(Attenuation!$J:$J,INDEX(Cables!$AO:$AO,ROWS($B$31:B119)+1)):INDEX(Attenuation!$J:$J,INDEX(Cables!$AO:$AO,ROWS($B$31:B119)+1)+INDEX(Cables!$AP:$AP,ROWS($B$31:B119)+1)-1),1),1),1),INDEX(Cables!$AP:$AP,ROWS($B$31:B119)+1)-1))+1))))</f>
        <v/>
      </c>
      <c r="D119" s="12" t="str">
        <f t="shared" si="6"/>
        <v/>
      </c>
      <c r="E119" s="24" t="str">
        <f t="shared" si="7"/>
        <v/>
      </c>
      <c r="F119" s="25" t="str">
        <f t="shared" si="8"/>
        <v/>
      </c>
      <c r="G119" s="26" t="str">
        <f>IF(B119="","",IF(INDEX(Cables!$AX:$AX,ROWS($B$31:B119)+1)&lt;2,"-",EXP(FORECAST(LN($C$6),INDEX(Power!$K:$K,(INDEX(Cables!$AW:$AW,ROWS($B$31:B119)+1)-1+MIN(MAX(IFERROR(MATCH(LN($C$6),INDEX(Power!$J:$J,INDEX(Cables!$AW:$AW,ROWS($B$31:B119)+1)):INDEX(Power!$J:$J,INDEX(Cables!$AW:$AW,ROWS($B$31:B119)+1)+INDEX(Cables!$AX:$AX,ROWS($B$31:B119)+1)-1),1),1),1),INDEX(Cables!$AX:$AX,ROWS($B$31:B119)+1)-1))):INDEX(Power!$K:$K,(INDEX(Cables!$AW:$AW,ROWS($B$31:B119)+1)-1+MIN(MAX(IFERROR(MATCH(LN($C$6),INDEX(Power!$J:$J,INDEX(Cables!$AW:$AW,ROWS($B$31:B119)+1)):INDEX(Power!$J:$J,INDEX(Cables!$AW:$AW,ROWS($B$31:B119)+1)+INDEX(Cables!$AX:$AX,ROWS($B$31:B119)+1)-1),1),1),1),INDEX(Cables!$AX:$AX,ROWS($B$31:B119)+1)-1))+1),INDEX(Power!$J:$J,(INDEX(Cables!$AW:$AW,ROWS($B$31:B119)+1)-1+MIN(MAX(IFERROR(MATCH(LN($C$6),INDEX(Power!$J:$J,INDEX(Cables!$AW:$AW,ROWS($B$31:B119)+1)):INDEX(Power!$J:$J,INDEX(Cables!$AW:$AW,ROWS($B$31:B119)+1)+INDEX(Cables!$AX:$AX,ROWS($B$31:B119)+1)-1),1),1),1),INDEX(Cables!$AX:$AX,ROWS($B$31:B119)+1)-1))):INDEX(Power!$J:$J,(INDEX(Cables!$AW:$AW,ROWS($B$31:B119)+1)-1+MIN(MAX(IFERROR(MATCH(LN($C$6),INDEX(Power!$J:$J,INDEX(Cables!$AW:$AW,ROWS($B$31:B119)+1)):INDEX(Power!$J:$J,INDEX(Cables!$AW:$AW,ROWS($B$31:B119)+1)+INDEX(Cables!$AX:$AX,ROWS($B$31:B119)+1)-1),1),1),1),INDEX(Cables!$AX:$AX,ROWS($B$31:B119)+1)-1))+1)))))</f>
        <v/>
      </c>
      <c r="H119" s="11" t="str">
        <f>IF(B119="","",MID(IF(OR($C$6&lt;INDEX(Cables!$AQ:$AQ,ROWS($B$31:B119)+1),$C$6&gt;INDEX(Cables!$AR:$AR,ROWS($B$31:B119)+1))," / ekstrapolasyon","")&amp;IF(AND(ISNUMBER(G119),$C$8&gt;G119)," / güç sınırı aşılıyor","")&amp;IF(INDEX(Cables!$F:$F,ROWS($B$31:B119)+1)&lt;&gt;50," / Z0="&amp;INDEX(Cables!$F:$F,ROWS($B$31:B119)+1)&amp;" Ω",""),4,200))</f>
        <v/>
      </c>
      <c r="I119" s="1"/>
    </row>
    <row r="120" spans="1:9" x14ac:dyDescent="0.25">
      <c r="A120" s="1"/>
      <c r="B120" s="11" t="str">
        <f>IF(ROWS($B$31:B120)&gt;COUNTA(Cables!$A:$A)-1,"",INDEX(Cables!$B:$B,ROWS($B$31:B120)+1))</f>
        <v/>
      </c>
      <c r="C120" s="12" t="str">
        <f>IF(B120="","",EXP(FORECAST(LN($C$6),INDEX(Attenuation!$K:$K,(INDEX(Cables!$AO:$AO,ROWS($B$31:B120)+1)-1+MIN(MAX(IFERROR(MATCH(LN($C$6),INDEX(Attenuation!$J:$J,INDEX(Cables!$AO:$AO,ROWS($B$31:B120)+1)):INDEX(Attenuation!$J:$J,INDEX(Cables!$AO:$AO,ROWS($B$31:B120)+1)+INDEX(Cables!$AP:$AP,ROWS($B$31:B120)+1)-1),1),1),1),INDEX(Cables!$AP:$AP,ROWS($B$31:B120)+1)-1))):INDEX(Attenuation!$K:$K,(INDEX(Cables!$AO:$AO,ROWS($B$31:B120)+1)-1+MIN(MAX(IFERROR(MATCH(LN($C$6),INDEX(Attenuation!$J:$J,INDEX(Cables!$AO:$AO,ROWS($B$31:B120)+1)):INDEX(Attenuation!$J:$J,INDEX(Cables!$AO:$AO,ROWS($B$31:B120)+1)+INDEX(Cables!$AP:$AP,ROWS($B$31:B120)+1)-1),1),1),1),INDEX(Cables!$AP:$AP,ROWS($B$31:B120)+1)-1))+1),INDEX(Attenuation!$J:$J,(INDEX(Cables!$AO:$AO,ROWS($B$31:B120)+1)-1+MIN(MAX(IFERROR(MATCH(LN($C$6),INDEX(Attenuation!$J:$J,INDEX(Cables!$AO:$AO,ROWS($B$31:B120)+1)):INDEX(Attenuation!$J:$J,INDEX(Cables!$AO:$AO,ROWS($B$31:B120)+1)+INDEX(Cables!$AP:$AP,ROWS($B$31:B120)+1)-1),1),1),1),INDEX(Cables!$AP:$AP,ROWS($B$31:B120)+1)-1))):INDEX(Attenuation!$J:$J,(INDEX(Cables!$AO:$AO,ROWS($B$31:B120)+1)-1+MIN(MAX(IFERROR(MATCH(LN($C$6),INDEX(Attenuation!$J:$J,INDEX(Cables!$AO:$AO,ROWS($B$31:B120)+1)):INDEX(Attenuation!$J:$J,INDEX(Cables!$AO:$AO,ROWS($B$31:B120)+1)+INDEX(Cables!$AP:$AP,ROWS($B$31:B120)+1)-1),1),1),1),INDEX(Cables!$AP:$AP,ROWS($B$31:B120)+1)-1))+1))))</f>
        <v/>
      </c>
      <c r="D120" s="12" t="str">
        <f t="shared" si="6"/>
        <v/>
      </c>
      <c r="E120" s="24" t="str">
        <f t="shared" si="7"/>
        <v/>
      </c>
      <c r="F120" s="25" t="str">
        <f t="shared" si="8"/>
        <v/>
      </c>
      <c r="G120" s="26" t="str">
        <f>IF(B120="","",IF(INDEX(Cables!$AX:$AX,ROWS($B$31:B120)+1)&lt;2,"-",EXP(FORECAST(LN($C$6),INDEX(Power!$K:$K,(INDEX(Cables!$AW:$AW,ROWS($B$31:B120)+1)-1+MIN(MAX(IFERROR(MATCH(LN($C$6),INDEX(Power!$J:$J,INDEX(Cables!$AW:$AW,ROWS($B$31:B120)+1)):INDEX(Power!$J:$J,INDEX(Cables!$AW:$AW,ROWS($B$31:B120)+1)+INDEX(Cables!$AX:$AX,ROWS($B$31:B120)+1)-1),1),1),1),INDEX(Cables!$AX:$AX,ROWS($B$31:B120)+1)-1))):INDEX(Power!$K:$K,(INDEX(Cables!$AW:$AW,ROWS($B$31:B120)+1)-1+MIN(MAX(IFERROR(MATCH(LN($C$6),INDEX(Power!$J:$J,INDEX(Cables!$AW:$AW,ROWS($B$31:B120)+1)):INDEX(Power!$J:$J,INDEX(Cables!$AW:$AW,ROWS($B$31:B120)+1)+INDEX(Cables!$AX:$AX,ROWS($B$31:B120)+1)-1),1),1),1),INDEX(Cables!$AX:$AX,ROWS($B$31:B120)+1)-1))+1),INDEX(Power!$J:$J,(INDEX(Cables!$AW:$AW,ROWS($B$31:B120)+1)-1+MIN(MAX(IFERROR(MATCH(LN($C$6),INDEX(Power!$J:$J,INDEX(Cables!$AW:$AW,ROWS($B$31:B120)+1)):INDEX(Power!$J:$J,INDEX(Cables!$AW:$AW,ROWS($B$31:B120)+1)+INDEX(Cables!$AX:$AX,ROWS($B$31:B120)+1)-1),1),1),1),INDEX(Cables!$AX:$AX,ROWS($B$31:B120)+1)-1))):INDEX(Power!$J:$J,(INDEX(Cables!$AW:$AW,ROWS($B$31:B120)+1)-1+MIN(MAX(IFERROR(MATCH(LN($C$6),INDEX(Power!$J:$J,INDEX(Cables!$AW:$AW,ROWS($B$31:B120)+1)):INDEX(Power!$J:$J,INDEX(Cables!$AW:$AW,ROWS($B$31:B120)+1)+INDEX(Cables!$AX:$AX,ROWS($B$31:B120)+1)-1),1),1),1),INDEX(Cables!$AX:$AX,ROWS($B$31:B120)+1)-1))+1)))))</f>
        <v/>
      </c>
      <c r="H120" s="11" t="str">
        <f>IF(B120="","",MID(IF(OR($C$6&lt;INDEX(Cables!$AQ:$AQ,ROWS($B$31:B120)+1),$C$6&gt;INDEX(Cables!$AR:$AR,ROWS($B$31:B120)+1))," / ekstrapolasyon","")&amp;IF(AND(ISNUMBER(G120),$C$8&gt;G120)," / güç sınırı aşılıyor","")&amp;IF(INDEX(Cables!$F:$F,ROWS($B$31:B120)+1)&lt;&gt;50," / Z0="&amp;INDEX(Cables!$F:$F,ROWS($B$31:B120)+1)&amp;" Ω",""),4,200))</f>
        <v/>
      </c>
      <c r="I120" s="1"/>
    </row>
    <row r="121" spans="1:9" x14ac:dyDescent="0.25">
      <c r="A121" s="1"/>
      <c r="B121" s="11" t="str">
        <f>IF(ROWS($B$31:B121)&gt;COUNTA(Cables!$A:$A)-1,"",INDEX(Cables!$B:$B,ROWS($B$31:B121)+1))</f>
        <v/>
      </c>
      <c r="C121" s="12" t="str">
        <f>IF(B121="","",EXP(FORECAST(LN($C$6),INDEX(Attenuation!$K:$K,(INDEX(Cables!$AO:$AO,ROWS($B$31:B121)+1)-1+MIN(MAX(IFERROR(MATCH(LN($C$6),INDEX(Attenuation!$J:$J,INDEX(Cables!$AO:$AO,ROWS($B$31:B121)+1)):INDEX(Attenuation!$J:$J,INDEX(Cables!$AO:$AO,ROWS($B$31:B121)+1)+INDEX(Cables!$AP:$AP,ROWS($B$31:B121)+1)-1),1),1),1),INDEX(Cables!$AP:$AP,ROWS($B$31:B121)+1)-1))):INDEX(Attenuation!$K:$K,(INDEX(Cables!$AO:$AO,ROWS($B$31:B121)+1)-1+MIN(MAX(IFERROR(MATCH(LN($C$6),INDEX(Attenuation!$J:$J,INDEX(Cables!$AO:$AO,ROWS($B$31:B121)+1)):INDEX(Attenuation!$J:$J,INDEX(Cables!$AO:$AO,ROWS($B$31:B121)+1)+INDEX(Cables!$AP:$AP,ROWS($B$31:B121)+1)-1),1),1),1),INDEX(Cables!$AP:$AP,ROWS($B$31:B121)+1)-1))+1),INDEX(Attenuation!$J:$J,(INDEX(Cables!$AO:$AO,ROWS($B$31:B121)+1)-1+MIN(MAX(IFERROR(MATCH(LN($C$6),INDEX(Attenuation!$J:$J,INDEX(Cables!$AO:$AO,ROWS($B$31:B121)+1)):INDEX(Attenuation!$J:$J,INDEX(Cables!$AO:$AO,ROWS($B$31:B121)+1)+INDEX(Cables!$AP:$AP,ROWS($B$31:B121)+1)-1),1),1),1),INDEX(Cables!$AP:$AP,ROWS($B$31:B121)+1)-1))):INDEX(Attenuation!$J:$J,(INDEX(Cables!$AO:$AO,ROWS($B$31:B121)+1)-1+MIN(MAX(IFERROR(MATCH(LN($C$6),INDEX(Attenuation!$J:$J,INDEX(Cables!$AO:$AO,ROWS($B$31:B121)+1)):INDEX(Attenuation!$J:$J,INDEX(Cables!$AO:$AO,ROWS($B$31:B121)+1)+INDEX(Cables!$AP:$AP,ROWS($B$31:B121)+1)-1),1),1),1),INDEX(Cables!$AP:$AP,ROWS($B$31:B121)+1)-1))+1))))</f>
        <v/>
      </c>
      <c r="D121" s="12" t="str">
        <f t="shared" si="6"/>
        <v/>
      </c>
      <c r="E121" s="24" t="str">
        <f t="shared" si="7"/>
        <v/>
      </c>
      <c r="F121" s="25" t="str">
        <f t="shared" si="8"/>
        <v/>
      </c>
      <c r="G121" s="26" t="str">
        <f>IF(B121="","",IF(INDEX(Cables!$AX:$AX,ROWS($B$31:B121)+1)&lt;2,"-",EXP(FORECAST(LN($C$6),INDEX(Power!$K:$K,(INDEX(Cables!$AW:$AW,ROWS($B$31:B121)+1)-1+MIN(MAX(IFERROR(MATCH(LN($C$6),INDEX(Power!$J:$J,INDEX(Cables!$AW:$AW,ROWS($B$31:B121)+1)):INDEX(Power!$J:$J,INDEX(Cables!$AW:$AW,ROWS($B$31:B121)+1)+INDEX(Cables!$AX:$AX,ROWS($B$31:B121)+1)-1),1),1),1),INDEX(Cables!$AX:$AX,ROWS($B$31:B121)+1)-1))):INDEX(Power!$K:$K,(INDEX(Cables!$AW:$AW,ROWS($B$31:B121)+1)-1+MIN(MAX(IFERROR(MATCH(LN($C$6),INDEX(Power!$J:$J,INDEX(Cables!$AW:$AW,ROWS($B$31:B121)+1)):INDEX(Power!$J:$J,INDEX(Cables!$AW:$AW,ROWS($B$31:B121)+1)+INDEX(Cables!$AX:$AX,ROWS($B$31:B121)+1)-1),1),1),1),INDEX(Cables!$AX:$AX,ROWS($B$31:B121)+1)-1))+1),INDEX(Power!$J:$J,(INDEX(Cables!$AW:$AW,ROWS($B$31:B121)+1)-1+MIN(MAX(IFERROR(MATCH(LN($C$6),INDEX(Power!$J:$J,INDEX(Cables!$AW:$AW,ROWS($B$31:B121)+1)):INDEX(Power!$J:$J,INDEX(Cables!$AW:$AW,ROWS($B$31:B121)+1)+INDEX(Cables!$AX:$AX,ROWS($B$31:B121)+1)-1),1),1),1),INDEX(Cables!$AX:$AX,ROWS($B$31:B121)+1)-1))):INDEX(Power!$J:$J,(INDEX(Cables!$AW:$AW,ROWS($B$31:B121)+1)-1+MIN(MAX(IFERROR(MATCH(LN($C$6),INDEX(Power!$J:$J,INDEX(Cables!$AW:$AW,ROWS($B$31:B121)+1)):INDEX(Power!$J:$J,INDEX(Cables!$AW:$AW,ROWS($B$31:B121)+1)+INDEX(Cables!$AX:$AX,ROWS($B$31:B121)+1)-1),1),1),1),INDEX(Cables!$AX:$AX,ROWS($B$31:B121)+1)-1))+1)))))</f>
        <v/>
      </c>
      <c r="H121" s="11" t="str">
        <f>IF(B121="","",MID(IF(OR($C$6&lt;INDEX(Cables!$AQ:$AQ,ROWS($B$31:B121)+1),$C$6&gt;INDEX(Cables!$AR:$AR,ROWS($B$31:B121)+1))," / ekstrapolasyon","")&amp;IF(AND(ISNUMBER(G121),$C$8&gt;G121)," / güç sınırı aşılıyor","")&amp;IF(INDEX(Cables!$F:$F,ROWS($B$31:B121)+1)&lt;&gt;50," / Z0="&amp;INDEX(Cables!$F:$F,ROWS($B$31:B121)+1)&amp;" Ω",""),4,200))</f>
        <v/>
      </c>
      <c r="I121" s="1"/>
    </row>
    <row r="122" spans="1:9" x14ac:dyDescent="0.25">
      <c r="A122" s="1"/>
      <c r="B122" s="11" t="str">
        <f>IF(ROWS($B$31:B122)&gt;COUNTA(Cables!$A:$A)-1,"",INDEX(Cables!$B:$B,ROWS($B$31:B122)+1))</f>
        <v/>
      </c>
      <c r="C122" s="12" t="str">
        <f>IF(B122="","",EXP(FORECAST(LN($C$6),INDEX(Attenuation!$K:$K,(INDEX(Cables!$AO:$AO,ROWS($B$31:B122)+1)-1+MIN(MAX(IFERROR(MATCH(LN($C$6),INDEX(Attenuation!$J:$J,INDEX(Cables!$AO:$AO,ROWS($B$31:B122)+1)):INDEX(Attenuation!$J:$J,INDEX(Cables!$AO:$AO,ROWS($B$31:B122)+1)+INDEX(Cables!$AP:$AP,ROWS($B$31:B122)+1)-1),1),1),1),INDEX(Cables!$AP:$AP,ROWS($B$31:B122)+1)-1))):INDEX(Attenuation!$K:$K,(INDEX(Cables!$AO:$AO,ROWS($B$31:B122)+1)-1+MIN(MAX(IFERROR(MATCH(LN($C$6),INDEX(Attenuation!$J:$J,INDEX(Cables!$AO:$AO,ROWS($B$31:B122)+1)):INDEX(Attenuation!$J:$J,INDEX(Cables!$AO:$AO,ROWS($B$31:B122)+1)+INDEX(Cables!$AP:$AP,ROWS($B$31:B122)+1)-1),1),1),1),INDEX(Cables!$AP:$AP,ROWS($B$31:B122)+1)-1))+1),INDEX(Attenuation!$J:$J,(INDEX(Cables!$AO:$AO,ROWS($B$31:B122)+1)-1+MIN(MAX(IFERROR(MATCH(LN($C$6),INDEX(Attenuation!$J:$J,INDEX(Cables!$AO:$AO,ROWS($B$31:B122)+1)):INDEX(Attenuation!$J:$J,INDEX(Cables!$AO:$AO,ROWS($B$31:B122)+1)+INDEX(Cables!$AP:$AP,ROWS($B$31:B122)+1)-1),1),1),1),INDEX(Cables!$AP:$AP,ROWS($B$31:B122)+1)-1))):INDEX(Attenuation!$J:$J,(INDEX(Cables!$AO:$AO,ROWS($B$31:B122)+1)-1+MIN(MAX(IFERROR(MATCH(LN($C$6),INDEX(Attenuation!$J:$J,INDEX(Cables!$AO:$AO,ROWS($B$31:B122)+1)):INDEX(Attenuation!$J:$J,INDEX(Cables!$AO:$AO,ROWS($B$31:B122)+1)+INDEX(Cables!$AP:$AP,ROWS($B$31:B122)+1)-1),1),1),1),INDEX(Cables!$AP:$AP,ROWS($B$31:B122)+1)-1))+1))))</f>
        <v/>
      </c>
      <c r="D122" s="12" t="str">
        <f t="shared" si="6"/>
        <v/>
      </c>
      <c r="E122" s="24" t="str">
        <f t="shared" si="7"/>
        <v/>
      </c>
      <c r="F122" s="25" t="str">
        <f t="shared" si="8"/>
        <v/>
      </c>
      <c r="G122" s="26" t="str">
        <f>IF(B122="","",IF(INDEX(Cables!$AX:$AX,ROWS($B$31:B122)+1)&lt;2,"-",EXP(FORECAST(LN($C$6),INDEX(Power!$K:$K,(INDEX(Cables!$AW:$AW,ROWS($B$31:B122)+1)-1+MIN(MAX(IFERROR(MATCH(LN($C$6),INDEX(Power!$J:$J,INDEX(Cables!$AW:$AW,ROWS($B$31:B122)+1)):INDEX(Power!$J:$J,INDEX(Cables!$AW:$AW,ROWS($B$31:B122)+1)+INDEX(Cables!$AX:$AX,ROWS($B$31:B122)+1)-1),1),1),1),INDEX(Cables!$AX:$AX,ROWS($B$31:B122)+1)-1))):INDEX(Power!$K:$K,(INDEX(Cables!$AW:$AW,ROWS($B$31:B122)+1)-1+MIN(MAX(IFERROR(MATCH(LN($C$6),INDEX(Power!$J:$J,INDEX(Cables!$AW:$AW,ROWS($B$31:B122)+1)):INDEX(Power!$J:$J,INDEX(Cables!$AW:$AW,ROWS($B$31:B122)+1)+INDEX(Cables!$AX:$AX,ROWS($B$31:B122)+1)-1),1),1),1),INDEX(Cables!$AX:$AX,ROWS($B$31:B122)+1)-1))+1),INDEX(Power!$J:$J,(INDEX(Cables!$AW:$AW,ROWS($B$31:B122)+1)-1+MIN(MAX(IFERROR(MATCH(LN($C$6),INDEX(Power!$J:$J,INDEX(Cables!$AW:$AW,ROWS($B$31:B122)+1)):INDEX(Power!$J:$J,INDEX(Cables!$AW:$AW,ROWS($B$31:B122)+1)+INDEX(Cables!$AX:$AX,ROWS($B$31:B122)+1)-1),1),1),1),INDEX(Cables!$AX:$AX,ROWS($B$31:B122)+1)-1))):INDEX(Power!$J:$J,(INDEX(Cables!$AW:$AW,ROWS($B$31:B122)+1)-1+MIN(MAX(IFERROR(MATCH(LN($C$6),INDEX(Power!$J:$J,INDEX(Cables!$AW:$AW,ROWS($B$31:B122)+1)):INDEX(Power!$J:$J,INDEX(Cables!$AW:$AW,ROWS($B$31:B122)+1)+INDEX(Cables!$AX:$AX,ROWS($B$31:B122)+1)-1),1),1),1),INDEX(Cables!$AX:$AX,ROWS($B$31:B122)+1)-1))+1)))))</f>
        <v/>
      </c>
      <c r="H122" s="11" t="str">
        <f>IF(B122="","",MID(IF(OR($C$6&lt;INDEX(Cables!$AQ:$AQ,ROWS($B$31:B122)+1),$C$6&gt;INDEX(Cables!$AR:$AR,ROWS($B$31:B122)+1))," / ekstrapolasyon","")&amp;IF(AND(ISNUMBER(G122),$C$8&gt;G122)," / güç sınırı aşılıyor","")&amp;IF(INDEX(Cables!$F:$F,ROWS($B$31:B122)+1)&lt;&gt;50," / Z0="&amp;INDEX(Cables!$F:$F,ROWS($B$31:B122)+1)&amp;" Ω",""),4,200))</f>
        <v/>
      </c>
      <c r="I122" s="1"/>
    </row>
    <row r="123" spans="1:9" x14ac:dyDescent="0.25">
      <c r="A123" s="1"/>
      <c r="B123" s="11" t="str">
        <f>IF(ROWS($B$31:B123)&gt;COUNTA(Cables!$A:$A)-1,"",INDEX(Cables!$B:$B,ROWS($B$31:B123)+1))</f>
        <v/>
      </c>
      <c r="C123" s="12" t="str">
        <f>IF(B123="","",EXP(FORECAST(LN($C$6),INDEX(Attenuation!$K:$K,(INDEX(Cables!$AO:$AO,ROWS($B$31:B123)+1)-1+MIN(MAX(IFERROR(MATCH(LN($C$6),INDEX(Attenuation!$J:$J,INDEX(Cables!$AO:$AO,ROWS($B$31:B123)+1)):INDEX(Attenuation!$J:$J,INDEX(Cables!$AO:$AO,ROWS($B$31:B123)+1)+INDEX(Cables!$AP:$AP,ROWS($B$31:B123)+1)-1),1),1),1),INDEX(Cables!$AP:$AP,ROWS($B$31:B123)+1)-1))):INDEX(Attenuation!$K:$K,(INDEX(Cables!$AO:$AO,ROWS($B$31:B123)+1)-1+MIN(MAX(IFERROR(MATCH(LN($C$6),INDEX(Attenuation!$J:$J,INDEX(Cables!$AO:$AO,ROWS($B$31:B123)+1)):INDEX(Attenuation!$J:$J,INDEX(Cables!$AO:$AO,ROWS($B$31:B123)+1)+INDEX(Cables!$AP:$AP,ROWS($B$31:B123)+1)-1),1),1),1),INDEX(Cables!$AP:$AP,ROWS($B$31:B123)+1)-1))+1),INDEX(Attenuation!$J:$J,(INDEX(Cables!$AO:$AO,ROWS($B$31:B123)+1)-1+MIN(MAX(IFERROR(MATCH(LN($C$6),INDEX(Attenuation!$J:$J,INDEX(Cables!$AO:$AO,ROWS($B$31:B123)+1)):INDEX(Attenuation!$J:$J,INDEX(Cables!$AO:$AO,ROWS($B$31:B123)+1)+INDEX(Cables!$AP:$AP,ROWS($B$31:B123)+1)-1),1),1),1),INDEX(Cables!$AP:$AP,ROWS($B$31:B123)+1)-1))):INDEX(Attenuation!$J:$J,(INDEX(Cables!$AO:$AO,ROWS($B$31:B123)+1)-1+MIN(MAX(IFERROR(MATCH(LN($C$6),INDEX(Attenuation!$J:$J,INDEX(Cables!$AO:$AO,ROWS($B$31:B123)+1)):INDEX(Attenuation!$J:$J,INDEX(Cables!$AO:$AO,ROWS($B$31:B123)+1)+INDEX(Cables!$AP:$AP,ROWS($B$31:B123)+1)-1),1),1),1),INDEX(Cables!$AP:$AP,ROWS($B$31:B123)+1)-1))+1))))</f>
        <v/>
      </c>
      <c r="D123" s="12" t="str">
        <f t="shared" si="6"/>
        <v/>
      </c>
      <c r="E123" s="24" t="str">
        <f t="shared" si="7"/>
        <v/>
      </c>
      <c r="F123" s="25" t="str">
        <f t="shared" si="8"/>
        <v/>
      </c>
      <c r="G123" s="26" t="str">
        <f>IF(B123="","",IF(INDEX(Cables!$AX:$AX,ROWS($B$31:B123)+1)&lt;2,"-",EXP(FORECAST(LN($C$6),INDEX(Power!$K:$K,(INDEX(Cables!$AW:$AW,ROWS($B$31:B123)+1)-1+MIN(MAX(IFERROR(MATCH(LN($C$6),INDEX(Power!$J:$J,INDEX(Cables!$AW:$AW,ROWS($B$31:B123)+1)):INDEX(Power!$J:$J,INDEX(Cables!$AW:$AW,ROWS($B$31:B123)+1)+INDEX(Cables!$AX:$AX,ROWS($B$31:B123)+1)-1),1),1),1),INDEX(Cables!$AX:$AX,ROWS($B$31:B123)+1)-1))):INDEX(Power!$K:$K,(INDEX(Cables!$AW:$AW,ROWS($B$31:B123)+1)-1+MIN(MAX(IFERROR(MATCH(LN($C$6),INDEX(Power!$J:$J,INDEX(Cables!$AW:$AW,ROWS($B$31:B123)+1)):INDEX(Power!$J:$J,INDEX(Cables!$AW:$AW,ROWS($B$31:B123)+1)+INDEX(Cables!$AX:$AX,ROWS($B$31:B123)+1)-1),1),1),1),INDEX(Cables!$AX:$AX,ROWS($B$31:B123)+1)-1))+1),INDEX(Power!$J:$J,(INDEX(Cables!$AW:$AW,ROWS($B$31:B123)+1)-1+MIN(MAX(IFERROR(MATCH(LN($C$6),INDEX(Power!$J:$J,INDEX(Cables!$AW:$AW,ROWS($B$31:B123)+1)):INDEX(Power!$J:$J,INDEX(Cables!$AW:$AW,ROWS($B$31:B123)+1)+INDEX(Cables!$AX:$AX,ROWS($B$31:B123)+1)-1),1),1),1),INDEX(Cables!$AX:$AX,ROWS($B$31:B123)+1)-1))):INDEX(Power!$J:$J,(INDEX(Cables!$AW:$AW,ROWS($B$31:B123)+1)-1+MIN(MAX(IFERROR(MATCH(LN($C$6),INDEX(Power!$J:$J,INDEX(Cables!$AW:$AW,ROWS($B$31:B123)+1)):INDEX(Power!$J:$J,INDEX(Cables!$AW:$AW,ROWS($B$31:B123)+1)+INDEX(Cables!$AX:$AX,ROWS($B$31:B123)+1)-1),1),1),1),INDEX(Cables!$AX:$AX,ROWS($B$31:B123)+1)-1))+1)))))</f>
        <v/>
      </c>
      <c r="H123" s="11" t="str">
        <f>IF(B123="","",MID(IF(OR($C$6&lt;INDEX(Cables!$AQ:$AQ,ROWS($B$31:B123)+1),$C$6&gt;INDEX(Cables!$AR:$AR,ROWS($B$31:B123)+1))," / ekstrapolasyon","")&amp;IF(AND(ISNUMBER(G123),$C$8&gt;G123)," / güç sınırı aşılıyor","")&amp;IF(INDEX(Cables!$F:$F,ROWS($B$31:B123)+1)&lt;&gt;50," / Z0="&amp;INDEX(Cables!$F:$F,ROWS($B$31:B123)+1)&amp;" Ω",""),4,200))</f>
        <v/>
      </c>
      <c r="I123" s="1"/>
    </row>
    <row r="124" spans="1:9" x14ac:dyDescent="0.25">
      <c r="A124" s="1"/>
      <c r="B124" s="11" t="str">
        <f>IF(ROWS($B$31:B124)&gt;COUNTA(Cables!$A:$A)-1,"",INDEX(Cables!$B:$B,ROWS($B$31:B124)+1))</f>
        <v/>
      </c>
      <c r="C124" s="12" t="str">
        <f>IF(B124="","",EXP(FORECAST(LN($C$6),INDEX(Attenuation!$K:$K,(INDEX(Cables!$AO:$AO,ROWS($B$31:B124)+1)-1+MIN(MAX(IFERROR(MATCH(LN($C$6),INDEX(Attenuation!$J:$J,INDEX(Cables!$AO:$AO,ROWS($B$31:B124)+1)):INDEX(Attenuation!$J:$J,INDEX(Cables!$AO:$AO,ROWS($B$31:B124)+1)+INDEX(Cables!$AP:$AP,ROWS($B$31:B124)+1)-1),1),1),1),INDEX(Cables!$AP:$AP,ROWS($B$31:B124)+1)-1))):INDEX(Attenuation!$K:$K,(INDEX(Cables!$AO:$AO,ROWS($B$31:B124)+1)-1+MIN(MAX(IFERROR(MATCH(LN($C$6),INDEX(Attenuation!$J:$J,INDEX(Cables!$AO:$AO,ROWS($B$31:B124)+1)):INDEX(Attenuation!$J:$J,INDEX(Cables!$AO:$AO,ROWS($B$31:B124)+1)+INDEX(Cables!$AP:$AP,ROWS($B$31:B124)+1)-1),1),1),1),INDEX(Cables!$AP:$AP,ROWS($B$31:B124)+1)-1))+1),INDEX(Attenuation!$J:$J,(INDEX(Cables!$AO:$AO,ROWS($B$31:B124)+1)-1+MIN(MAX(IFERROR(MATCH(LN($C$6),INDEX(Attenuation!$J:$J,INDEX(Cables!$AO:$AO,ROWS($B$31:B124)+1)):INDEX(Attenuation!$J:$J,INDEX(Cables!$AO:$AO,ROWS($B$31:B124)+1)+INDEX(Cables!$AP:$AP,ROWS($B$31:B124)+1)-1),1),1),1),INDEX(Cables!$AP:$AP,ROWS($B$31:B124)+1)-1))):INDEX(Attenuation!$J:$J,(INDEX(Cables!$AO:$AO,ROWS($B$31:B124)+1)-1+MIN(MAX(IFERROR(MATCH(LN($C$6),INDEX(Attenuation!$J:$J,INDEX(Cables!$AO:$AO,ROWS($B$31:B124)+1)):INDEX(Attenuation!$J:$J,INDEX(Cables!$AO:$AO,ROWS($B$31:B124)+1)+INDEX(Cables!$AP:$AP,ROWS($B$31:B124)+1)-1),1),1),1),INDEX(Cables!$AP:$AP,ROWS($B$31:B124)+1)-1))+1))))</f>
        <v/>
      </c>
      <c r="D124" s="12" t="str">
        <f t="shared" si="6"/>
        <v/>
      </c>
      <c r="E124" s="24" t="str">
        <f t="shared" si="7"/>
        <v/>
      </c>
      <c r="F124" s="25" t="str">
        <f t="shared" si="8"/>
        <v/>
      </c>
      <c r="G124" s="26" t="str">
        <f>IF(B124="","",IF(INDEX(Cables!$AX:$AX,ROWS($B$31:B124)+1)&lt;2,"-",EXP(FORECAST(LN($C$6),INDEX(Power!$K:$K,(INDEX(Cables!$AW:$AW,ROWS($B$31:B124)+1)-1+MIN(MAX(IFERROR(MATCH(LN($C$6),INDEX(Power!$J:$J,INDEX(Cables!$AW:$AW,ROWS($B$31:B124)+1)):INDEX(Power!$J:$J,INDEX(Cables!$AW:$AW,ROWS($B$31:B124)+1)+INDEX(Cables!$AX:$AX,ROWS($B$31:B124)+1)-1),1),1),1),INDEX(Cables!$AX:$AX,ROWS($B$31:B124)+1)-1))):INDEX(Power!$K:$K,(INDEX(Cables!$AW:$AW,ROWS($B$31:B124)+1)-1+MIN(MAX(IFERROR(MATCH(LN($C$6),INDEX(Power!$J:$J,INDEX(Cables!$AW:$AW,ROWS($B$31:B124)+1)):INDEX(Power!$J:$J,INDEX(Cables!$AW:$AW,ROWS($B$31:B124)+1)+INDEX(Cables!$AX:$AX,ROWS($B$31:B124)+1)-1),1),1),1),INDEX(Cables!$AX:$AX,ROWS($B$31:B124)+1)-1))+1),INDEX(Power!$J:$J,(INDEX(Cables!$AW:$AW,ROWS($B$31:B124)+1)-1+MIN(MAX(IFERROR(MATCH(LN($C$6),INDEX(Power!$J:$J,INDEX(Cables!$AW:$AW,ROWS($B$31:B124)+1)):INDEX(Power!$J:$J,INDEX(Cables!$AW:$AW,ROWS($B$31:B124)+1)+INDEX(Cables!$AX:$AX,ROWS($B$31:B124)+1)-1),1),1),1),INDEX(Cables!$AX:$AX,ROWS($B$31:B124)+1)-1))):INDEX(Power!$J:$J,(INDEX(Cables!$AW:$AW,ROWS($B$31:B124)+1)-1+MIN(MAX(IFERROR(MATCH(LN($C$6),INDEX(Power!$J:$J,INDEX(Cables!$AW:$AW,ROWS($B$31:B124)+1)):INDEX(Power!$J:$J,INDEX(Cables!$AW:$AW,ROWS($B$31:B124)+1)+INDEX(Cables!$AX:$AX,ROWS($B$31:B124)+1)-1),1),1),1),INDEX(Cables!$AX:$AX,ROWS($B$31:B124)+1)-1))+1)))))</f>
        <v/>
      </c>
      <c r="H124" s="11" t="str">
        <f>IF(B124="","",MID(IF(OR($C$6&lt;INDEX(Cables!$AQ:$AQ,ROWS($B$31:B124)+1),$C$6&gt;INDEX(Cables!$AR:$AR,ROWS($B$31:B124)+1))," / ekstrapolasyon","")&amp;IF(AND(ISNUMBER(G124),$C$8&gt;G124)," / güç sınırı aşılıyor","")&amp;IF(INDEX(Cables!$F:$F,ROWS($B$31:B124)+1)&lt;&gt;50," / Z0="&amp;INDEX(Cables!$F:$F,ROWS($B$31:B124)+1)&amp;" Ω",""),4,200))</f>
        <v/>
      </c>
      <c r="I124" s="1"/>
    </row>
    <row r="125" spans="1:9" x14ac:dyDescent="0.25">
      <c r="A125" s="1"/>
      <c r="B125" s="11" t="str">
        <f>IF(ROWS($B$31:B125)&gt;COUNTA(Cables!$A:$A)-1,"",INDEX(Cables!$B:$B,ROWS($B$31:B125)+1))</f>
        <v/>
      </c>
      <c r="C125" s="12" t="str">
        <f>IF(B125="","",EXP(FORECAST(LN($C$6),INDEX(Attenuation!$K:$K,(INDEX(Cables!$AO:$AO,ROWS($B$31:B125)+1)-1+MIN(MAX(IFERROR(MATCH(LN($C$6),INDEX(Attenuation!$J:$J,INDEX(Cables!$AO:$AO,ROWS($B$31:B125)+1)):INDEX(Attenuation!$J:$J,INDEX(Cables!$AO:$AO,ROWS($B$31:B125)+1)+INDEX(Cables!$AP:$AP,ROWS($B$31:B125)+1)-1),1),1),1),INDEX(Cables!$AP:$AP,ROWS($B$31:B125)+1)-1))):INDEX(Attenuation!$K:$K,(INDEX(Cables!$AO:$AO,ROWS($B$31:B125)+1)-1+MIN(MAX(IFERROR(MATCH(LN($C$6),INDEX(Attenuation!$J:$J,INDEX(Cables!$AO:$AO,ROWS($B$31:B125)+1)):INDEX(Attenuation!$J:$J,INDEX(Cables!$AO:$AO,ROWS($B$31:B125)+1)+INDEX(Cables!$AP:$AP,ROWS($B$31:B125)+1)-1),1),1),1),INDEX(Cables!$AP:$AP,ROWS($B$31:B125)+1)-1))+1),INDEX(Attenuation!$J:$J,(INDEX(Cables!$AO:$AO,ROWS($B$31:B125)+1)-1+MIN(MAX(IFERROR(MATCH(LN($C$6),INDEX(Attenuation!$J:$J,INDEX(Cables!$AO:$AO,ROWS($B$31:B125)+1)):INDEX(Attenuation!$J:$J,INDEX(Cables!$AO:$AO,ROWS($B$31:B125)+1)+INDEX(Cables!$AP:$AP,ROWS($B$31:B125)+1)-1),1),1),1),INDEX(Cables!$AP:$AP,ROWS($B$31:B125)+1)-1))):INDEX(Attenuation!$J:$J,(INDEX(Cables!$AO:$AO,ROWS($B$31:B125)+1)-1+MIN(MAX(IFERROR(MATCH(LN($C$6),INDEX(Attenuation!$J:$J,INDEX(Cables!$AO:$AO,ROWS($B$31:B125)+1)):INDEX(Attenuation!$J:$J,INDEX(Cables!$AO:$AO,ROWS($B$31:B125)+1)+INDEX(Cables!$AP:$AP,ROWS($B$31:B125)+1)-1),1),1),1),INDEX(Cables!$AP:$AP,ROWS($B$31:B125)+1)-1))+1))))</f>
        <v/>
      </c>
      <c r="D125" s="12" t="str">
        <f t="shared" si="6"/>
        <v/>
      </c>
      <c r="E125" s="24" t="str">
        <f t="shared" si="7"/>
        <v/>
      </c>
      <c r="F125" s="25" t="str">
        <f t="shared" si="8"/>
        <v/>
      </c>
      <c r="G125" s="26" t="str">
        <f>IF(B125="","",IF(INDEX(Cables!$AX:$AX,ROWS($B$31:B125)+1)&lt;2,"-",EXP(FORECAST(LN($C$6),INDEX(Power!$K:$K,(INDEX(Cables!$AW:$AW,ROWS($B$31:B125)+1)-1+MIN(MAX(IFERROR(MATCH(LN($C$6),INDEX(Power!$J:$J,INDEX(Cables!$AW:$AW,ROWS($B$31:B125)+1)):INDEX(Power!$J:$J,INDEX(Cables!$AW:$AW,ROWS($B$31:B125)+1)+INDEX(Cables!$AX:$AX,ROWS($B$31:B125)+1)-1),1),1),1),INDEX(Cables!$AX:$AX,ROWS($B$31:B125)+1)-1))):INDEX(Power!$K:$K,(INDEX(Cables!$AW:$AW,ROWS($B$31:B125)+1)-1+MIN(MAX(IFERROR(MATCH(LN($C$6),INDEX(Power!$J:$J,INDEX(Cables!$AW:$AW,ROWS($B$31:B125)+1)):INDEX(Power!$J:$J,INDEX(Cables!$AW:$AW,ROWS($B$31:B125)+1)+INDEX(Cables!$AX:$AX,ROWS($B$31:B125)+1)-1),1),1),1),INDEX(Cables!$AX:$AX,ROWS($B$31:B125)+1)-1))+1),INDEX(Power!$J:$J,(INDEX(Cables!$AW:$AW,ROWS($B$31:B125)+1)-1+MIN(MAX(IFERROR(MATCH(LN($C$6),INDEX(Power!$J:$J,INDEX(Cables!$AW:$AW,ROWS($B$31:B125)+1)):INDEX(Power!$J:$J,INDEX(Cables!$AW:$AW,ROWS($B$31:B125)+1)+INDEX(Cables!$AX:$AX,ROWS($B$31:B125)+1)-1),1),1),1),INDEX(Cables!$AX:$AX,ROWS($B$31:B125)+1)-1))):INDEX(Power!$J:$J,(INDEX(Cables!$AW:$AW,ROWS($B$31:B125)+1)-1+MIN(MAX(IFERROR(MATCH(LN($C$6),INDEX(Power!$J:$J,INDEX(Cables!$AW:$AW,ROWS($B$31:B125)+1)):INDEX(Power!$J:$J,INDEX(Cables!$AW:$AW,ROWS($B$31:B125)+1)+INDEX(Cables!$AX:$AX,ROWS($B$31:B125)+1)-1),1),1),1),INDEX(Cables!$AX:$AX,ROWS($B$31:B125)+1)-1))+1)))))</f>
        <v/>
      </c>
      <c r="H125" s="11" t="str">
        <f>IF(B125="","",MID(IF(OR($C$6&lt;INDEX(Cables!$AQ:$AQ,ROWS($B$31:B125)+1),$C$6&gt;INDEX(Cables!$AR:$AR,ROWS($B$31:B125)+1))," / ekstrapolasyon","")&amp;IF(AND(ISNUMBER(G125),$C$8&gt;G125)," / güç sınırı aşılıyor","")&amp;IF(INDEX(Cables!$F:$F,ROWS($B$31:B125)+1)&lt;&gt;50," / Z0="&amp;INDEX(Cables!$F:$F,ROWS($B$31:B125)+1)&amp;" Ω",""),4,200))</f>
        <v/>
      </c>
      <c r="I125" s="1"/>
    </row>
    <row r="126" spans="1:9" x14ac:dyDescent="0.25">
      <c r="A126" s="1"/>
      <c r="B126" s="11" t="str">
        <f>IF(ROWS($B$31:B126)&gt;COUNTA(Cables!$A:$A)-1,"",INDEX(Cables!$B:$B,ROWS($B$31:B126)+1))</f>
        <v/>
      </c>
      <c r="C126" s="12" t="str">
        <f>IF(B126="","",EXP(FORECAST(LN($C$6),INDEX(Attenuation!$K:$K,(INDEX(Cables!$AO:$AO,ROWS($B$31:B126)+1)-1+MIN(MAX(IFERROR(MATCH(LN($C$6),INDEX(Attenuation!$J:$J,INDEX(Cables!$AO:$AO,ROWS($B$31:B126)+1)):INDEX(Attenuation!$J:$J,INDEX(Cables!$AO:$AO,ROWS($B$31:B126)+1)+INDEX(Cables!$AP:$AP,ROWS($B$31:B126)+1)-1),1),1),1),INDEX(Cables!$AP:$AP,ROWS($B$31:B126)+1)-1))):INDEX(Attenuation!$K:$K,(INDEX(Cables!$AO:$AO,ROWS($B$31:B126)+1)-1+MIN(MAX(IFERROR(MATCH(LN($C$6),INDEX(Attenuation!$J:$J,INDEX(Cables!$AO:$AO,ROWS($B$31:B126)+1)):INDEX(Attenuation!$J:$J,INDEX(Cables!$AO:$AO,ROWS($B$31:B126)+1)+INDEX(Cables!$AP:$AP,ROWS($B$31:B126)+1)-1),1),1),1),INDEX(Cables!$AP:$AP,ROWS($B$31:B126)+1)-1))+1),INDEX(Attenuation!$J:$J,(INDEX(Cables!$AO:$AO,ROWS($B$31:B126)+1)-1+MIN(MAX(IFERROR(MATCH(LN($C$6),INDEX(Attenuation!$J:$J,INDEX(Cables!$AO:$AO,ROWS($B$31:B126)+1)):INDEX(Attenuation!$J:$J,INDEX(Cables!$AO:$AO,ROWS($B$31:B126)+1)+INDEX(Cables!$AP:$AP,ROWS($B$31:B126)+1)-1),1),1),1),INDEX(Cables!$AP:$AP,ROWS($B$31:B126)+1)-1))):INDEX(Attenuation!$J:$J,(INDEX(Cables!$AO:$AO,ROWS($B$31:B126)+1)-1+MIN(MAX(IFERROR(MATCH(LN($C$6),INDEX(Attenuation!$J:$J,INDEX(Cables!$AO:$AO,ROWS($B$31:B126)+1)):INDEX(Attenuation!$J:$J,INDEX(Cables!$AO:$AO,ROWS($B$31:B126)+1)+INDEX(Cables!$AP:$AP,ROWS($B$31:B126)+1)-1),1),1),1),INDEX(Cables!$AP:$AP,ROWS($B$31:B126)+1)-1))+1))))</f>
        <v/>
      </c>
      <c r="D126" s="12" t="str">
        <f t="shared" si="6"/>
        <v/>
      </c>
      <c r="E126" s="24" t="str">
        <f t="shared" si="7"/>
        <v/>
      </c>
      <c r="F126" s="25" t="str">
        <f t="shared" si="8"/>
        <v/>
      </c>
      <c r="G126" s="26" t="str">
        <f>IF(B126="","",IF(INDEX(Cables!$AX:$AX,ROWS($B$31:B126)+1)&lt;2,"-",EXP(FORECAST(LN($C$6),INDEX(Power!$K:$K,(INDEX(Cables!$AW:$AW,ROWS($B$31:B126)+1)-1+MIN(MAX(IFERROR(MATCH(LN($C$6),INDEX(Power!$J:$J,INDEX(Cables!$AW:$AW,ROWS($B$31:B126)+1)):INDEX(Power!$J:$J,INDEX(Cables!$AW:$AW,ROWS($B$31:B126)+1)+INDEX(Cables!$AX:$AX,ROWS($B$31:B126)+1)-1),1),1),1),INDEX(Cables!$AX:$AX,ROWS($B$31:B126)+1)-1))):INDEX(Power!$K:$K,(INDEX(Cables!$AW:$AW,ROWS($B$31:B126)+1)-1+MIN(MAX(IFERROR(MATCH(LN($C$6),INDEX(Power!$J:$J,INDEX(Cables!$AW:$AW,ROWS($B$31:B126)+1)):INDEX(Power!$J:$J,INDEX(Cables!$AW:$AW,ROWS($B$31:B126)+1)+INDEX(Cables!$AX:$AX,ROWS($B$31:B126)+1)-1),1),1),1),INDEX(Cables!$AX:$AX,ROWS($B$31:B126)+1)-1))+1),INDEX(Power!$J:$J,(INDEX(Cables!$AW:$AW,ROWS($B$31:B126)+1)-1+MIN(MAX(IFERROR(MATCH(LN($C$6),INDEX(Power!$J:$J,INDEX(Cables!$AW:$AW,ROWS($B$31:B126)+1)):INDEX(Power!$J:$J,INDEX(Cables!$AW:$AW,ROWS($B$31:B126)+1)+INDEX(Cables!$AX:$AX,ROWS($B$31:B126)+1)-1),1),1),1),INDEX(Cables!$AX:$AX,ROWS($B$31:B126)+1)-1))):INDEX(Power!$J:$J,(INDEX(Cables!$AW:$AW,ROWS($B$31:B126)+1)-1+MIN(MAX(IFERROR(MATCH(LN($C$6),INDEX(Power!$J:$J,INDEX(Cables!$AW:$AW,ROWS($B$31:B126)+1)):INDEX(Power!$J:$J,INDEX(Cables!$AW:$AW,ROWS($B$31:B126)+1)+INDEX(Cables!$AX:$AX,ROWS($B$31:B126)+1)-1),1),1),1),INDEX(Cables!$AX:$AX,ROWS($B$31:B126)+1)-1))+1)))))</f>
        <v/>
      </c>
      <c r="H126" s="11" t="str">
        <f>IF(B126="","",MID(IF(OR($C$6&lt;INDEX(Cables!$AQ:$AQ,ROWS($B$31:B126)+1),$C$6&gt;INDEX(Cables!$AR:$AR,ROWS($B$31:B126)+1))," / ekstrapolasyon","")&amp;IF(AND(ISNUMBER(G126),$C$8&gt;G126)," / güç sınırı aşılıyor","")&amp;IF(INDEX(Cables!$F:$F,ROWS($B$31:B126)+1)&lt;&gt;50," / Z0="&amp;INDEX(Cables!$F:$F,ROWS($B$31:B126)+1)&amp;" Ω",""),4,200))</f>
        <v/>
      </c>
      <c r="I126" s="1"/>
    </row>
    <row r="127" spans="1:9" x14ac:dyDescent="0.25">
      <c r="A127" s="1"/>
      <c r="B127" s="11" t="str">
        <f>IF(ROWS($B$31:B127)&gt;COUNTA(Cables!$A:$A)-1,"",INDEX(Cables!$B:$B,ROWS($B$31:B127)+1))</f>
        <v/>
      </c>
      <c r="C127" s="12" t="str">
        <f>IF(B127="","",EXP(FORECAST(LN($C$6),INDEX(Attenuation!$K:$K,(INDEX(Cables!$AO:$AO,ROWS($B$31:B127)+1)-1+MIN(MAX(IFERROR(MATCH(LN($C$6),INDEX(Attenuation!$J:$J,INDEX(Cables!$AO:$AO,ROWS($B$31:B127)+1)):INDEX(Attenuation!$J:$J,INDEX(Cables!$AO:$AO,ROWS($B$31:B127)+1)+INDEX(Cables!$AP:$AP,ROWS($B$31:B127)+1)-1),1),1),1),INDEX(Cables!$AP:$AP,ROWS($B$31:B127)+1)-1))):INDEX(Attenuation!$K:$K,(INDEX(Cables!$AO:$AO,ROWS($B$31:B127)+1)-1+MIN(MAX(IFERROR(MATCH(LN($C$6),INDEX(Attenuation!$J:$J,INDEX(Cables!$AO:$AO,ROWS($B$31:B127)+1)):INDEX(Attenuation!$J:$J,INDEX(Cables!$AO:$AO,ROWS($B$31:B127)+1)+INDEX(Cables!$AP:$AP,ROWS($B$31:B127)+1)-1),1),1),1),INDEX(Cables!$AP:$AP,ROWS($B$31:B127)+1)-1))+1),INDEX(Attenuation!$J:$J,(INDEX(Cables!$AO:$AO,ROWS($B$31:B127)+1)-1+MIN(MAX(IFERROR(MATCH(LN($C$6),INDEX(Attenuation!$J:$J,INDEX(Cables!$AO:$AO,ROWS($B$31:B127)+1)):INDEX(Attenuation!$J:$J,INDEX(Cables!$AO:$AO,ROWS($B$31:B127)+1)+INDEX(Cables!$AP:$AP,ROWS($B$31:B127)+1)-1),1),1),1),INDEX(Cables!$AP:$AP,ROWS($B$31:B127)+1)-1))):INDEX(Attenuation!$J:$J,(INDEX(Cables!$AO:$AO,ROWS($B$31:B127)+1)-1+MIN(MAX(IFERROR(MATCH(LN($C$6),INDEX(Attenuation!$J:$J,INDEX(Cables!$AO:$AO,ROWS($B$31:B127)+1)):INDEX(Attenuation!$J:$J,INDEX(Cables!$AO:$AO,ROWS($B$31:B127)+1)+INDEX(Cables!$AP:$AP,ROWS($B$31:B127)+1)-1),1),1),1),INDEX(Cables!$AP:$AP,ROWS($B$31:B127)+1)-1))+1))))</f>
        <v/>
      </c>
      <c r="D127" s="12" t="str">
        <f t="shared" ref="D127:D158" si="9">IF(B127="","",10*LOG10((10^((C127*$C$7/100)/10)^2-$G$13^2)/(10^((C127*$C$7/100)/10)*(1-$G$13^2))))</f>
        <v/>
      </c>
      <c r="E127" s="24" t="str">
        <f t="shared" ref="E127:E158" si="10">IF(B127="","",$C$8*10^(-D127/10))</f>
        <v/>
      </c>
      <c r="F127" s="25" t="str">
        <f t="shared" ref="F127:F158" si="11">IF(B127="","",E127/$C$8)</f>
        <v/>
      </c>
      <c r="G127" s="26" t="str">
        <f>IF(B127="","",IF(INDEX(Cables!$AX:$AX,ROWS($B$31:B127)+1)&lt;2,"-",EXP(FORECAST(LN($C$6),INDEX(Power!$K:$K,(INDEX(Cables!$AW:$AW,ROWS($B$31:B127)+1)-1+MIN(MAX(IFERROR(MATCH(LN($C$6),INDEX(Power!$J:$J,INDEX(Cables!$AW:$AW,ROWS($B$31:B127)+1)):INDEX(Power!$J:$J,INDEX(Cables!$AW:$AW,ROWS($B$31:B127)+1)+INDEX(Cables!$AX:$AX,ROWS($B$31:B127)+1)-1),1),1),1),INDEX(Cables!$AX:$AX,ROWS($B$31:B127)+1)-1))):INDEX(Power!$K:$K,(INDEX(Cables!$AW:$AW,ROWS($B$31:B127)+1)-1+MIN(MAX(IFERROR(MATCH(LN($C$6),INDEX(Power!$J:$J,INDEX(Cables!$AW:$AW,ROWS($B$31:B127)+1)):INDEX(Power!$J:$J,INDEX(Cables!$AW:$AW,ROWS($B$31:B127)+1)+INDEX(Cables!$AX:$AX,ROWS($B$31:B127)+1)-1),1),1),1),INDEX(Cables!$AX:$AX,ROWS($B$31:B127)+1)-1))+1),INDEX(Power!$J:$J,(INDEX(Cables!$AW:$AW,ROWS($B$31:B127)+1)-1+MIN(MAX(IFERROR(MATCH(LN($C$6),INDEX(Power!$J:$J,INDEX(Cables!$AW:$AW,ROWS($B$31:B127)+1)):INDEX(Power!$J:$J,INDEX(Cables!$AW:$AW,ROWS($B$31:B127)+1)+INDEX(Cables!$AX:$AX,ROWS($B$31:B127)+1)-1),1),1),1),INDEX(Cables!$AX:$AX,ROWS($B$31:B127)+1)-1))):INDEX(Power!$J:$J,(INDEX(Cables!$AW:$AW,ROWS($B$31:B127)+1)-1+MIN(MAX(IFERROR(MATCH(LN($C$6),INDEX(Power!$J:$J,INDEX(Cables!$AW:$AW,ROWS($B$31:B127)+1)):INDEX(Power!$J:$J,INDEX(Cables!$AW:$AW,ROWS($B$31:B127)+1)+INDEX(Cables!$AX:$AX,ROWS($B$31:B127)+1)-1),1),1),1),INDEX(Cables!$AX:$AX,ROWS($B$31:B127)+1)-1))+1)))))</f>
        <v/>
      </c>
      <c r="H127" s="11" t="str">
        <f>IF(B127="","",MID(IF(OR($C$6&lt;INDEX(Cables!$AQ:$AQ,ROWS($B$31:B127)+1),$C$6&gt;INDEX(Cables!$AR:$AR,ROWS($B$31:B127)+1))," / ekstrapolasyon","")&amp;IF(AND(ISNUMBER(G127),$C$8&gt;G127)," / güç sınırı aşılıyor","")&amp;IF(INDEX(Cables!$F:$F,ROWS($B$31:B127)+1)&lt;&gt;50," / Z0="&amp;INDEX(Cables!$F:$F,ROWS($B$31:B127)+1)&amp;" Ω",""),4,200))</f>
        <v/>
      </c>
      <c r="I127" s="1"/>
    </row>
    <row r="128" spans="1:9" x14ac:dyDescent="0.25">
      <c r="A128" s="1"/>
      <c r="B128" s="11" t="str">
        <f>IF(ROWS($B$31:B128)&gt;COUNTA(Cables!$A:$A)-1,"",INDEX(Cables!$B:$B,ROWS($B$31:B128)+1))</f>
        <v/>
      </c>
      <c r="C128" s="12" t="str">
        <f>IF(B128="","",EXP(FORECAST(LN($C$6),INDEX(Attenuation!$K:$K,(INDEX(Cables!$AO:$AO,ROWS($B$31:B128)+1)-1+MIN(MAX(IFERROR(MATCH(LN($C$6),INDEX(Attenuation!$J:$J,INDEX(Cables!$AO:$AO,ROWS($B$31:B128)+1)):INDEX(Attenuation!$J:$J,INDEX(Cables!$AO:$AO,ROWS($B$31:B128)+1)+INDEX(Cables!$AP:$AP,ROWS($B$31:B128)+1)-1),1),1),1),INDEX(Cables!$AP:$AP,ROWS($B$31:B128)+1)-1))):INDEX(Attenuation!$K:$K,(INDEX(Cables!$AO:$AO,ROWS($B$31:B128)+1)-1+MIN(MAX(IFERROR(MATCH(LN($C$6),INDEX(Attenuation!$J:$J,INDEX(Cables!$AO:$AO,ROWS($B$31:B128)+1)):INDEX(Attenuation!$J:$J,INDEX(Cables!$AO:$AO,ROWS($B$31:B128)+1)+INDEX(Cables!$AP:$AP,ROWS($B$31:B128)+1)-1),1),1),1),INDEX(Cables!$AP:$AP,ROWS($B$31:B128)+1)-1))+1),INDEX(Attenuation!$J:$J,(INDEX(Cables!$AO:$AO,ROWS($B$31:B128)+1)-1+MIN(MAX(IFERROR(MATCH(LN($C$6),INDEX(Attenuation!$J:$J,INDEX(Cables!$AO:$AO,ROWS($B$31:B128)+1)):INDEX(Attenuation!$J:$J,INDEX(Cables!$AO:$AO,ROWS($B$31:B128)+1)+INDEX(Cables!$AP:$AP,ROWS($B$31:B128)+1)-1),1),1),1),INDEX(Cables!$AP:$AP,ROWS($B$31:B128)+1)-1))):INDEX(Attenuation!$J:$J,(INDEX(Cables!$AO:$AO,ROWS($B$31:B128)+1)-1+MIN(MAX(IFERROR(MATCH(LN($C$6),INDEX(Attenuation!$J:$J,INDEX(Cables!$AO:$AO,ROWS($B$31:B128)+1)):INDEX(Attenuation!$J:$J,INDEX(Cables!$AO:$AO,ROWS($B$31:B128)+1)+INDEX(Cables!$AP:$AP,ROWS($B$31:B128)+1)-1),1),1),1),INDEX(Cables!$AP:$AP,ROWS($B$31:B128)+1)-1))+1))))</f>
        <v/>
      </c>
      <c r="D128" s="12" t="str">
        <f t="shared" si="9"/>
        <v/>
      </c>
      <c r="E128" s="24" t="str">
        <f t="shared" si="10"/>
        <v/>
      </c>
      <c r="F128" s="25" t="str">
        <f t="shared" si="11"/>
        <v/>
      </c>
      <c r="G128" s="26" t="str">
        <f>IF(B128="","",IF(INDEX(Cables!$AX:$AX,ROWS($B$31:B128)+1)&lt;2,"-",EXP(FORECAST(LN($C$6),INDEX(Power!$K:$K,(INDEX(Cables!$AW:$AW,ROWS($B$31:B128)+1)-1+MIN(MAX(IFERROR(MATCH(LN($C$6),INDEX(Power!$J:$J,INDEX(Cables!$AW:$AW,ROWS($B$31:B128)+1)):INDEX(Power!$J:$J,INDEX(Cables!$AW:$AW,ROWS($B$31:B128)+1)+INDEX(Cables!$AX:$AX,ROWS($B$31:B128)+1)-1),1),1),1),INDEX(Cables!$AX:$AX,ROWS($B$31:B128)+1)-1))):INDEX(Power!$K:$K,(INDEX(Cables!$AW:$AW,ROWS($B$31:B128)+1)-1+MIN(MAX(IFERROR(MATCH(LN($C$6),INDEX(Power!$J:$J,INDEX(Cables!$AW:$AW,ROWS($B$31:B128)+1)):INDEX(Power!$J:$J,INDEX(Cables!$AW:$AW,ROWS($B$31:B128)+1)+INDEX(Cables!$AX:$AX,ROWS($B$31:B128)+1)-1),1),1),1),INDEX(Cables!$AX:$AX,ROWS($B$31:B128)+1)-1))+1),INDEX(Power!$J:$J,(INDEX(Cables!$AW:$AW,ROWS($B$31:B128)+1)-1+MIN(MAX(IFERROR(MATCH(LN($C$6),INDEX(Power!$J:$J,INDEX(Cables!$AW:$AW,ROWS($B$31:B128)+1)):INDEX(Power!$J:$J,INDEX(Cables!$AW:$AW,ROWS($B$31:B128)+1)+INDEX(Cables!$AX:$AX,ROWS($B$31:B128)+1)-1),1),1),1),INDEX(Cables!$AX:$AX,ROWS($B$31:B128)+1)-1))):INDEX(Power!$J:$J,(INDEX(Cables!$AW:$AW,ROWS($B$31:B128)+1)-1+MIN(MAX(IFERROR(MATCH(LN($C$6),INDEX(Power!$J:$J,INDEX(Cables!$AW:$AW,ROWS($B$31:B128)+1)):INDEX(Power!$J:$J,INDEX(Cables!$AW:$AW,ROWS($B$31:B128)+1)+INDEX(Cables!$AX:$AX,ROWS($B$31:B128)+1)-1),1),1),1),INDEX(Cables!$AX:$AX,ROWS($B$31:B128)+1)-1))+1)))))</f>
        <v/>
      </c>
      <c r="H128" s="11" t="str">
        <f>IF(B128="","",MID(IF(OR($C$6&lt;INDEX(Cables!$AQ:$AQ,ROWS($B$31:B128)+1),$C$6&gt;INDEX(Cables!$AR:$AR,ROWS($B$31:B128)+1))," / ekstrapolasyon","")&amp;IF(AND(ISNUMBER(G128),$C$8&gt;G128)," / güç sınırı aşılıyor","")&amp;IF(INDEX(Cables!$F:$F,ROWS($B$31:B128)+1)&lt;&gt;50," / Z0="&amp;INDEX(Cables!$F:$F,ROWS($B$31:B128)+1)&amp;" Ω",""),4,200))</f>
        <v/>
      </c>
      <c r="I128" s="1"/>
    </row>
    <row r="129" spans="1:9" x14ac:dyDescent="0.25">
      <c r="A129" s="1"/>
      <c r="B129" s="11" t="str">
        <f>IF(ROWS($B$31:B129)&gt;COUNTA(Cables!$A:$A)-1,"",INDEX(Cables!$B:$B,ROWS($B$31:B129)+1))</f>
        <v/>
      </c>
      <c r="C129" s="12" t="str">
        <f>IF(B129="","",EXP(FORECAST(LN($C$6),INDEX(Attenuation!$K:$K,(INDEX(Cables!$AO:$AO,ROWS($B$31:B129)+1)-1+MIN(MAX(IFERROR(MATCH(LN($C$6),INDEX(Attenuation!$J:$J,INDEX(Cables!$AO:$AO,ROWS($B$31:B129)+1)):INDEX(Attenuation!$J:$J,INDEX(Cables!$AO:$AO,ROWS($B$31:B129)+1)+INDEX(Cables!$AP:$AP,ROWS($B$31:B129)+1)-1),1),1),1),INDEX(Cables!$AP:$AP,ROWS($B$31:B129)+1)-1))):INDEX(Attenuation!$K:$K,(INDEX(Cables!$AO:$AO,ROWS($B$31:B129)+1)-1+MIN(MAX(IFERROR(MATCH(LN($C$6),INDEX(Attenuation!$J:$J,INDEX(Cables!$AO:$AO,ROWS($B$31:B129)+1)):INDEX(Attenuation!$J:$J,INDEX(Cables!$AO:$AO,ROWS($B$31:B129)+1)+INDEX(Cables!$AP:$AP,ROWS($B$31:B129)+1)-1),1),1),1),INDEX(Cables!$AP:$AP,ROWS($B$31:B129)+1)-1))+1),INDEX(Attenuation!$J:$J,(INDEX(Cables!$AO:$AO,ROWS($B$31:B129)+1)-1+MIN(MAX(IFERROR(MATCH(LN($C$6),INDEX(Attenuation!$J:$J,INDEX(Cables!$AO:$AO,ROWS($B$31:B129)+1)):INDEX(Attenuation!$J:$J,INDEX(Cables!$AO:$AO,ROWS($B$31:B129)+1)+INDEX(Cables!$AP:$AP,ROWS($B$31:B129)+1)-1),1),1),1),INDEX(Cables!$AP:$AP,ROWS($B$31:B129)+1)-1))):INDEX(Attenuation!$J:$J,(INDEX(Cables!$AO:$AO,ROWS($B$31:B129)+1)-1+MIN(MAX(IFERROR(MATCH(LN($C$6),INDEX(Attenuation!$J:$J,INDEX(Cables!$AO:$AO,ROWS($B$31:B129)+1)):INDEX(Attenuation!$J:$J,INDEX(Cables!$AO:$AO,ROWS($B$31:B129)+1)+INDEX(Cables!$AP:$AP,ROWS($B$31:B129)+1)-1),1),1),1),INDEX(Cables!$AP:$AP,ROWS($B$31:B129)+1)-1))+1))))</f>
        <v/>
      </c>
      <c r="D129" s="12" t="str">
        <f t="shared" si="9"/>
        <v/>
      </c>
      <c r="E129" s="24" t="str">
        <f t="shared" si="10"/>
        <v/>
      </c>
      <c r="F129" s="25" t="str">
        <f t="shared" si="11"/>
        <v/>
      </c>
      <c r="G129" s="26" t="str">
        <f>IF(B129="","",IF(INDEX(Cables!$AX:$AX,ROWS($B$31:B129)+1)&lt;2,"-",EXP(FORECAST(LN($C$6),INDEX(Power!$K:$K,(INDEX(Cables!$AW:$AW,ROWS($B$31:B129)+1)-1+MIN(MAX(IFERROR(MATCH(LN($C$6),INDEX(Power!$J:$J,INDEX(Cables!$AW:$AW,ROWS($B$31:B129)+1)):INDEX(Power!$J:$J,INDEX(Cables!$AW:$AW,ROWS($B$31:B129)+1)+INDEX(Cables!$AX:$AX,ROWS($B$31:B129)+1)-1),1),1),1),INDEX(Cables!$AX:$AX,ROWS($B$31:B129)+1)-1))):INDEX(Power!$K:$K,(INDEX(Cables!$AW:$AW,ROWS($B$31:B129)+1)-1+MIN(MAX(IFERROR(MATCH(LN($C$6),INDEX(Power!$J:$J,INDEX(Cables!$AW:$AW,ROWS($B$31:B129)+1)):INDEX(Power!$J:$J,INDEX(Cables!$AW:$AW,ROWS($B$31:B129)+1)+INDEX(Cables!$AX:$AX,ROWS($B$31:B129)+1)-1),1),1),1),INDEX(Cables!$AX:$AX,ROWS($B$31:B129)+1)-1))+1),INDEX(Power!$J:$J,(INDEX(Cables!$AW:$AW,ROWS($B$31:B129)+1)-1+MIN(MAX(IFERROR(MATCH(LN($C$6),INDEX(Power!$J:$J,INDEX(Cables!$AW:$AW,ROWS($B$31:B129)+1)):INDEX(Power!$J:$J,INDEX(Cables!$AW:$AW,ROWS($B$31:B129)+1)+INDEX(Cables!$AX:$AX,ROWS($B$31:B129)+1)-1),1),1),1),INDEX(Cables!$AX:$AX,ROWS($B$31:B129)+1)-1))):INDEX(Power!$J:$J,(INDEX(Cables!$AW:$AW,ROWS($B$31:B129)+1)-1+MIN(MAX(IFERROR(MATCH(LN($C$6),INDEX(Power!$J:$J,INDEX(Cables!$AW:$AW,ROWS($B$31:B129)+1)):INDEX(Power!$J:$J,INDEX(Cables!$AW:$AW,ROWS($B$31:B129)+1)+INDEX(Cables!$AX:$AX,ROWS($B$31:B129)+1)-1),1),1),1),INDEX(Cables!$AX:$AX,ROWS($B$31:B129)+1)-1))+1)))))</f>
        <v/>
      </c>
      <c r="H129" s="11" t="str">
        <f>IF(B129="","",MID(IF(OR($C$6&lt;INDEX(Cables!$AQ:$AQ,ROWS($B$31:B129)+1),$C$6&gt;INDEX(Cables!$AR:$AR,ROWS($B$31:B129)+1))," / ekstrapolasyon","")&amp;IF(AND(ISNUMBER(G129),$C$8&gt;G129)," / güç sınırı aşılıyor","")&amp;IF(INDEX(Cables!$F:$F,ROWS($B$31:B129)+1)&lt;&gt;50," / Z0="&amp;INDEX(Cables!$F:$F,ROWS($B$31:B129)+1)&amp;" Ω",""),4,200))</f>
        <v/>
      </c>
      <c r="I129" s="1"/>
    </row>
    <row r="130" spans="1:9" x14ac:dyDescent="0.25">
      <c r="A130" s="1"/>
      <c r="B130" s="11" t="str">
        <f>IF(ROWS($B$31:B130)&gt;COUNTA(Cables!$A:$A)-1,"",INDEX(Cables!$B:$B,ROWS($B$31:B130)+1))</f>
        <v/>
      </c>
      <c r="C130" s="12" t="str">
        <f>IF(B130="","",EXP(FORECAST(LN($C$6),INDEX(Attenuation!$K:$K,(INDEX(Cables!$AO:$AO,ROWS($B$31:B130)+1)-1+MIN(MAX(IFERROR(MATCH(LN($C$6),INDEX(Attenuation!$J:$J,INDEX(Cables!$AO:$AO,ROWS($B$31:B130)+1)):INDEX(Attenuation!$J:$J,INDEX(Cables!$AO:$AO,ROWS($B$31:B130)+1)+INDEX(Cables!$AP:$AP,ROWS($B$31:B130)+1)-1),1),1),1),INDEX(Cables!$AP:$AP,ROWS($B$31:B130)+1)-1))):INDEX(Attenuation!$K:$K,(INDEX(Cables!$AO:$AO,ROWS($B$31:B130)+1)-1+MIN(MAX(IFERROR(MATCH(LN($C$6),INDEX(Attenuation!$J:$J,INDEX(Cables!$AO:$AO,ROWS($B$31:B130)+1)):INDEX(Attenuation!$J:$J,INDEX(Cables!$AO:$AO,ROWS($B$31:B130)+1)+INDEX(Cables!$AP:$AP,ROWS($B$31:B130)+1)-1),1),1),1),INDEX(Cables!$AP:$AP,ROWS($B$31:B130)+1)-1))+1),INDEX(Attenuation!$J:$J,(INDEX(Cables!$AO:$AO,ROWS($B$31:B130)+1)-1+MIN(MAX(IFERROR(MATCH(LN($C$6),INDEX(Attenuation!$J:$J,INDEX(Cables!$AO:$AO,ROWS($B$31:B130)+1)):INDEX(Attenuation!$J:$J,INDEX(Cables!$AO:$AO,ROWS($B$31:B130)+1)+INDEX(Cables!$AP:$AP,ROWS($B$31:B130)+1)-1),1),1),1),INDEX(Cables!$AP:$AP,ROWS($B$31:B130)+1)-1))):INDEX(Attenuation!$J:$J,(INDEX(Cables!$AO:$AO,ROWS($B$31:B130)+1)-1+MIN(MAX(IFERROR(MATCH(LN($C$6),INDEX(Attenuation!$J:$J,INDEX(Cables!$AO:$AO,ROWS($B$31:B130)+1)):INDEX(Attenuation!$J:$J,INDEX(Cables!$AO:$AO,ROWS($B$31:B130)+1)+INDEX(Cables!$AP:$AP,ROWS($B$31:B130)+1)-1),1),1),1),INDEX(Cables!$AP:$AP,ROWS($B$31:B130)+1)-1))+1))))</f>
        <v/>
      </c>
      <c r="D130" s="12" t="str">
        <f t="shared" si="9"/>
        <v/>
      </c>
      <c r="E130" s="24" t="str">
        <f t="shared" si="10"/>
        <v/>
      </c>
      <c r="F130" s="25" t="str">
        <f t="shared" si="11"/>
        <v/>
      </c>
      <c r="G130" s="26" t="str">
        <f>IF(B130="","",IF(INDEX(Cables!$AX:$AX,ROWS($B$31:B130)+1)&lt;2,"-",EXP(FORECAST(LN($C$6),INDEX(Power!$K:$K,(INDEX(Cables!$AW:$AW,ROWS($B$31:B130)+1)-1+MIN(MAX(IFERROR(MATCH(LN($C$6),INDEX(Power!$J:$J,INDEX(Cables!$AW:$AW,ROWS($B$31:B130)+1)):INDEX(Power!$J:$J,INDEX(Cables!$AW:$AW,ROWS($B$31:B130)+1)+INDEX(Cables!$AX:$AX,ROWS($B$31:B130)+1)-1),1),1),1),INDEX(Cables!$AX:$AX,ROWS($B$31:B130)+1)-1))):INDEX(Power!$K:$K,(INDEX(Cables!$AW:$AW,ROWS($B$31:B130)+1)-1+MIN(MAX(IFERROR(MATCH(LN($C$6),INDEX(Power!$J:$J,INDEX(Cables!$AW:$AW,ROWS($B$31:B130)+1)):INDEX(Power!$J:$J,INDEX(Cables!$AW:$AW,ROWS($B$31:B130)+1)+INDEX(Cables!$AX:$AX,ROWS($B$31:B130)+1)-1),1),1),1),INDEX(Cables!$AX:$AX,ROWS($B$31:B130)+1)-1))+1),INDEX(Power!$J:$J,(INDEX(Cables!$AW:$AW,ROWS($B$31:B130)+1)-1+MIN(MAX(IFERROR(MATCH(LN($C$6),INDEX(Power!$J:$J,INDEX(Cables!$AW:$AW,ROWS($B$31:B130)+1)):INDEX(Power!$J:$J,INDEX(Cables!$AW:$AW,ROWS($B$31:B130)+1)+INDEX(Cables!$AX:$AX,ROWS($B$31:B130)+1)-1),1),1),1),INDEX(Cables!$AX:$AX,ROWS($B$31:B130)+1)-1))):INDEX(Power!$J:$J,(INDEX(Cables!$AW:$AW,ROWS($B$31:B130)+1)-1+MIN(MAX(IFERROR(MATCH(LN($C$6),INDEX(Power!$J:$J,INDEX(Cables!$AW:$AW,ROWS($B$31:B130)+1)):INDEX(Power!$J:$J,INDEX(Cables!$AW:$AW,ROWS($B$31:B130)+1)+INDEX(Cables!$AX:$AX,ROWS($B$31:B130)+1)-1),1),1),1),INDEX(Cables!$AX:$AX,ROWS($B$31:B130)+1)-1))+1)))))</f>
        <v/>
      </c>
      <c r="H130" s="11" t="str">
        <f>IF(B130="","",MID(IF(OR($C$6&lt;INDEX(Cables!$AQ:$AQ,ROWS($B$31:B130)+1),$C$6&gt;INDEX(Cables!$AR:$AR,ROWS($B$31:B130)+1))," / ekstrapolasyon","")&amp;IF(AND(ISNUMBER(G130),$C$8&gt;G130)," / güç sınırı aşılıyor","")&amp;IF(INDEX(Cables!$F:$F,ROWS($B$31:B130)+1)&lt;&gt;50," / Z0="&amp;INDEX(Cables!$F:$F,ROWS($B$31:B130)+1)&amp;" Ω",""),4,200))</f>
        <v/>
      </c>
      <c r="I130" s="1"/>
    </row>
  </sheetData>
  <mergeCells count="1">
    <mergeCell ref="B27:I27"/>
  </mergeCells>
  <conditionalFormatting sqref="F31:F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decimal" operator="greaterThan" sqref="C6:C8" xr:uid="{00000000-0002-0000-0300-000001000000}">
      <formula1>0</formula1>
    </dataValidation>
    <dataValidation type="decimal" operator="greaterThanOrEqual" sqref="C9" xr:uid="{00000000-0002-0000-0300-000002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Cables!$B$2:$B$500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6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" width="32" customWidth="1"/>
    <col min="3" max="3" width="22" customWidth="1"/>
    <col min="4" max="4" width="13" customWidth="1"/>
    <col min="5" max="5" width="26" customWidth="1"/>
    <col min="6" max="8" width="14" customWidth="1"/>
    <col min="9" max="10" width="28" customWidth="1"/>
    <col min="11" max="11" width="14" customWidth="1"/>
    <col min="12" max="12" width="28" customWidth="1"/>
    <col min="13" max="13" width="14" customWidth="1"/>
    <col min="14" max="14" width="28" customWidth="1"/>
    <col min="15" max="15" width="14" customWidth="1"/>
    <col min="16" max="16" width="28" customWidth="1"/>
    <col min="17" max="25" width="14" customWidth="1"/>
    <col min="26" max="26" width="28" customWidth="1"/>
    <col min="27" max="32" width="14" customWidth="1"/>
    <col min="33" max="33" width="28" customWidth="1"/>
    <col min="34" max="34" width="14" customWidth="1"/>
    <col min="35" max="36" width="28" customWidth="1"/>
    <col min="37" max="39" width="14" customWidth="1"/>
    <col min="40" max="40" width="60" customWidth="1"/>
    <col min="41" max="50" width="14" customWidth="1"/>
  </cols>
  <sheetData>
    <row r="1" spans="1:50" ht="45" customHeight="1" x14ac:dyDescent="0.25">
      <c r="A1" s="27" t="s">
        <v>52</v>
      </c>
      <c r="B1" s="27" t="s">
        <v>112</v>
      </c>
      <c r="C1" s="27" t="s">
        <v>113</v>
      </c>
      <c r="D1" s="27" t="s">
        <v>114</v>
      </c>
      <c r="E1" s="27" t="s">
        <v>115</v>
      </c>
      <c r="F1" s="27" t="s">
        <v>116</v>
      </c>
      <c r="G1" s="27" t="s">
        <v>117</v>
      </c>
      <c r="H1" s="27" t="s">
        <v>118</v>
      </c>
      <c r="I1" s="27" t="s">
        <v>119</v>
      </c>
      <c r="J1" s="27" t="s">
        <v>120</v>
      </c>
      <c r="K1" s="27" t="s">
        <v>121</v>
      </c>
      <c r="L1" s="27" t="s">
        <v>122</v>
      </c>
      <c r="M1" s="27" t="s">
        <v>123</v>
      </c>
      <c r="N1" s="27" t="s">
        <v>124</v>
      </c>
      <c r="O1" s="27" t="s">
        <v>125</v>
      </c>
      <c r="P1" s="27" t="s">
        <v>126</v>
      </c>
      <c r="Q1" s="27" t="s">
        <v>84</v>
      </c>
      <c r="R1" s="27" t="s">
        <v>127</v>
      </c>
      <c r="S1" s="27" t="s">
        <v>128</v>
      </c>
      <c r="T1" s="27" t="s">
        <v>129</v>
      </c>
      <c r="U1" s="27" t="s">
        <v>130</v>
      </c>
      <c r="V1" s="27" t="s">
        <v>131</v>
      </c>
      <c r="W1" s="27" t="s">
        <v>132</v>
      </c>
      <c r="X1" s="27" t="s">
        <v>133</v>
      </c>
      <c r="Y1" s="27" t="s">
        <v>134</v>
      </c>
      <c r="Z1" s="27" t="s">
        <v>135</v>
      </c>
      <c r="AA1" s="27" t="s">
        <v>136</v>
      </c>
      <c r="AB1" s="27" t="s">
        <v>137</v>
      </c>
      <c r="AC1" s="27" t="s">
        <v>138</v>
      </c>
      <c r="AD1" s="27" t="s">
        <v>139</v>
      </c>
      <c r="AE1" s="27" t="s">
        <v>140</v>
      </c>
      <c r="AF1" s="27" t="s">
        <v>141</v>
      </c>
      <c r="AG1" s="27" t="s">
        <v>142</v>
      </c>
      <c r="AH1" s="27" t="s">
        <v>143</v>
      </c>
      <c r="AI1" s="27" t="s">
        <v>144</v>
      </c>
      <c r="AJ1" s="27" t="s">
        <v>145</v>
      </c>
      <c r="AK1" s="27" t="s">
        <v>146</v>
      </c>
      <c r="AL1" s="27" t="s">
        <v>147</v>
      </c>
      <c r="AM1" s="27" t="s">
        <v>148</v>
      </c>
      <c r="AN1" s="27" t="s">
        <v>149</v>
      </c>
      <c r="AO1" s="28" t="s">
        <v>77</v>
      </c>
      <c r="AP1" s="28" t="s">
        <v>79</v>
      </c>
      <c r="AQ1" s="28" t="s">
        <v>85</v>
      </c>
      <c r="AR1" s="28" t="s">
        <v>87</v>
      </c>
      <c r="AS1" s="28" t="s">
        <v>150</v>
      </c>
      <c r="AT1" s="28" t="s">
        <v>151</v>
      </c>
      <c r="AU1" s="28" t="s">
        <v>152</v>
      </c>
      <c r="AV1" s="28" t="s">
        <v>153</v>
      </c>
      <c r="AW1" s="28" t="s">
        <v>81</v>
      </c>
      <c r="AX1" s="28" t="s">
        <v>83</v>
      </c>
    </row>
    <row r="2" spans="1:50" ht="30" customHeight="1" x14ac:dyDescent="0.25">
      <c r="A2" s="29" t="s">
        <v>154</v>
      </c>
      <c r="B2" s="29" t="s">
        <v>155</v>
      </c>
      <c r="C2" s="29" t="s">
        <v>156</v>
      </c>
      <c r="D2" s="29" t="s">
        <v>157</v>
      </c>
      <c r="E2" s="29" t="s">
        <v>158</v>
      </c>
      <c r="F2" s="29">
        <v>50</v>
      </c>
      <c r="G2" s="29"/>
      <c r="H2" s="29">
        <v>1.8</v>
      </c>
      <c r="I2" s="29" t="s">
        <v>159</v>
      </c>
      <c r="J2" s="29" t="s">
        <v>160</v>
      </c>
      <c r="K2" s="29">
        <v>0.3</v>
      </c>
      <c r="L2" s="29" t="s">
        <v>161</v>
      </c>
      <c r="M2" s="29">
        <v>0.84</v>
      </c>
      <c r="N2" s="29" t="s">
        <v>162</v>
      </c>
      <c r="O2" s="29">
        <v>95</v>
      </c>
      <c r="P2" s="29" t="s">
        <v>163</v>
      </c>
      <c r="Q2" s="30">
        <v>0.7</v>
      </c>
      <c r="R2" s="29">
        <v>95</v>
      </c>
      <c r="S2" s="29"/>
      <c r="T2" s="29">
        <v>761</v>
      </c>
      <c r="U2" s="29">
        <v>47.9</v>
      </c>
      <c r="V2" s="29"/>
      <c r="W2" s="29"/>
      <c r="X2" s="29"/>
      <c r="Y2" s="29">
        <v>750</v>
      </c>
      <c r="Z2" s="29" t="s">
        <v>164</v>
      </c>
      <c r="AA2" s="29">
        <v>25</v>
      </c>
      <c r="AB2" s="29"/>
      <c r="AC2" s="29">
        <v>7.4</v>
      </c>
      <c r="AD2" s="29">
        <v>5.4</v>
      </c>
      <c r="AE2" s="29">
        <v>-70</v>
      </c>
      <c r="AF2" s="29">
        <v>200</v>
      </c>
      <c r="AG2" s="29" t="s">
        <v>165</v>
      </c>
      <c r="AH2" s="29"/>
      <c r="AI2" s="29" t="s">
        <v>166</v>
      </c>
      <c r="AJ2" s="29"/>
      <c r="AK2" s="31"/>
      <c r="AL2" s="31"/>
      <c r="AM2" s="29" t="s">
        <v>167</v>
      </c>
      <c r="AN2" s="29" t="s">
        <v>168</v>
      </c>
      <c r="AO2" s="32">
        <f>MATCH(A2,Attenuation!$B:$B,0)</f>
        <v>2</v>
      </c>
      <c r="AP2" s="32">
        <f>COUNTIF(Attenuation!$B:$B,A2)</f>
        <v>9</v>
      </c>
      <c r="AQ2" s="32">
        <f>INDEX(Attenuation!$C:$C,AO2)</f>
        <v>1</v>
      </c>
      <c r="AR2" s="32">
        <f>INDEX(Attenuation!$C:$C,AO2+AP2-1)</f>
        <v>1000</v>
      </c>
      <c r="AS2" s="33">
        <f>INDEX(LINEST(INDEX(Attenuation!$O:$O,AO2):INDEX(Attenuation!$O:$O,AO2+AP2-1),INDEX(Attenuation!$L:$L,AO2):INDEX(Attenuation!$N:$N,AO2+AP2-1),FALSE,FALSE),1,3)</f>
        <v>4.6123460838371262</v>
      </c>
      <c r="AT2" s="34">
        <f>INDEX(LINEST(INDEX(Attenuation!$O:$O,AO2):INDEX(Attenuation!$O:$O,AO2+AP2-1),INDEX(Attenuation!$L:$L,AO2):INDEX(Attenuation!$N:$N,AO2+AP2-1),FALSE,FALSE),1,2)</f>
        <v>4.0466552042989656</v>
      </c>
      <c r="AU2" s="35">
        <f>INDEX(LINEST(INDEX(Attenuation!$O:$O,AO2):INDEX(Attenuation!$O:$O,AO2+AP2-1),INDEX(Attenuation!$L:$L,AO2):INDEX(Attenuation!$N:$N,AO2+AP2-1),FALSE,FALSE),1,1)</f>
        <v>1.50212038021164E-2</v>
      </c>
      <c r="AV2" s="36">
        <f>SQRT(SUMIFS(Attenuation!$R:$R,Attenuation!$B:$B,A2)/AP2)</f>
        <v>2.3071443742954615E-2</v>
      </c>
      <c r="AW2" s="32">
        <f>IFERROR(MATCH(A2,Power!$B:$B,0),"")</f>
        <v>2</v>
      </c>
      <c r="AX2" s="32">
        <f>COUNTIF(Power!$B:$B,A2)</f>
        <v>7</v>
      </c>
    </row>
    <row r="3" spans="1:50" ht="30" customHeight="1" x14ac:dyDescent="0.25">
      <c r="A3" s="29" t="s">
        <v>169</v>
      </c>
      <c r="B3" s="29" t="s">
        <v>170</v>
      </c>
      <c r="C3" s="29" t="s">
        <v>156</v>
      </c>
      <c r="D3" s="29" t="s">
        <v>171</v>
      </c>
      <c r="E3" s="29" t="s">
        <v>172</v>
      </c>
      <c r="F3" s="29">
        <v>50</v>
      </c>
      <c r="G3" s="29"/>
      <c r="H3" s="29">
        <v>2.79</v>
      </c>
      <c r="I3" s="29" t="s">
        <v>173</v>
      </c>
      <c r="J3" s="29" t="s">
        <v>174</v>
      </c>
      <c r="K3" s="29">
        <v>0.48</v>
      </c>
      <c r="L3" s="29" t="s">
        <v>175</v>
      </c>
      <c r="M3" s="29">
        <v>1.5</v>
      </c>
      <c r="N3" s="29" t="s">
        <v>176</v>
      </c>
      <c r="O3" s="29">
        <v>90</v>
      </c>
      <c r="P3" s="29" t="s">
        <v>177</v>
      </c>
      <c r="Q3" s="30">
        <v>0.66</v>
      </c>
      <c r="R3" s="29">
        <v>101</v>
      </c>
      <c r="S3" s="29"/>
      <c r="T3" s="29">
        <v>318.2</v>
      </c>
      <c r="U3" s="29">
        <v>35.1</v>
      </c>
      <c r="V3" s="29"/>
      <c r="W3" s="29"/>
      <c r="X3" s="29"/>
      <c r="Y3" s="29">
        <v>1100</v>
      </c>
      <c r="Z3" s="29" t="s">
        <v>178</v>
      </c>
      <c r="AA3" s="29">
        <v>28</v>
      </c>
      <c r="AB3" s="29"/>
      <c r="AC3" s="29">
        <v>11.9</v>
      </c>
      <c r="AD3" s="29">
        <v>9.1</v>
      </c>
      <c r="AE3" s="29">
        <v>-30</v>
      </c>
      <c r="AF3" s="29">
        <v>75</v>
      </c>
      <c r="AG3" s="29" t="s">
        <v>179</v>
      </c>
      <c r="AH3" s="29"/>
      <c r="AI3" s="29" t="s">
        <v>180</v>
      </c>
      <c r="AJ3" s="29"/>
      <c r="AK3" s="31"/>
      <c r="AL3" s="31"/>
      <c r="AM3" s="29" t="s">
        <v>181</v>
      </c>
      <c r="AN3" s="29" t="s">
        <v>182</v>
      </c>
      <c r="AO3" s="32">
        <f>MATCH(A3,Attenuation!$B:$B,0)</f>
        <v>11</v>
      </c>
      <c r="AP3" s="32">
        <f>COUNTIF(Attenuation!$B:$B,A3)</f>
        <v>9</v>
      </c>
      <c r="AQ3" s="32">
        <f>INDEX(Attenuation!$C:$C,AO3)</f>
        <v>1</v>
      </c>
      <c r="AR3" s="32">
        <f>INDEX(Attenuation!$C:$C,AO3+AP3-1)</f>
        <v>1000</v>
      </c>
      <c r="AS3" s="33">
        <f>INDEX(LINEST(INDEX(Attenuation!$O:$O,AO3):INDEX(Attenuation!$O:$O,AO3+AP3-1),INDEX(Attenuation!$L:$L,AO3):INDEX(Attenuation!$N:$N,AO3+AP3-1),FALSE,FALSE),1,3)</f>
        <v>4.3755540824111705</v>
      </c>
      <c r="AT3" s="34">
        <f>INDEX(LINEST(INDEX(Attenuation!$O:$O,AO3):INDEX(Attenuation!$O:$O,AO3+AP3-1),INDEX(Attenuation!$L:$L,AO3):INDEX(Attenuation!$N:$N,AO3+AP3-1),FALSE,FALSE),1,2)</f>
        <v>1.8206802387386589</v>
      </c>
      <c r="AU3" s="35">
        <f>INDEX(LINEST(INDEX(Attenuation!$O:$O,AO3):INDEX(Attenuation!$O:$O,AO3+AP3-1),INDEX(Attenuation!$L:$L,AO3):INDEX(Attenuation!$N:$N,AO3+AP3-1),FALSE,FALSE),1,1)</f>
        <v>5.0127603031996391E-2</v>
      </c>
      <c r="AV3" s="36">
        <f>SQRT(SUMIFS(Attenuation!$R:$R,Attenuation!$B:$B,A3)/AP3)</f>
        <v>1.9705956000056472E-2</v>
      </c>
      <c r="AW3" s="32">
        <f>IFERROR(MATCH(A3,Power!$B:$B,0),"")</f>
        <v>9</v>
      </c>
      <c r="AX3" s="32">
        <f>COUNTIF(Power!$B:$B,A3)</f>
        <v>9</v>
      </c>
    </row>
    <row r="4" spans="1:50" ht="30" customHeight="1" x14ac:dyDescent="0.25">
      <c r="A4" s="29" t="s">
        <v>183</v>
      </c>
      <c r="B4" s="29" t="s">
        <v>184</v>
      </c>
      <c r="C4" s="29" t="s">
        <v>156</v>
      </c>
      <c r="D4" s="29" t="s">
        <v>185</v>
      </c>
      <c r="E4" s="29" t="s">
        <v>186</v>
      </c>
      <c r="F4" s="29">
        <v>50</v>
      </c>
      <c r="G4" s="29"/>
      <c r="H4" s="29">
        <v>2.5</v>
      </c>
      <c r="I4" s="29" t="s">
        <v>159</v>
      </c>
      <c r="J4" s="29" t="s">
        <v>174</v>
      </c>
      <c r="K4" s="29">
        <v>0.51</v>
      </c>
      <c r="L4" s="29" t="s">
        <v>161</v>
      </c>
      <c r="M4" s="29">
        <v>1.5</v>
      </c>
      <c r="N4" s="29" t="s">
        <v>162</v>
      </c>
      <c r="O4" s="29">
        <v>95</v>
      </c>
      <c r="P4" s="29" t="s">
        <v>163</v>
      </c>
      <c r="Q4" s="30">
        <v>0.7</v>
      </c>
      <c r="R4" s="29">
        <v>95</v>
      </c>
      <c r="S4" s="29"/>
      <c r="T4" s="29">
        <v>271</v>
      </c>
      <c r="U4" s="29">
        <v>28</v>
      </c>
      <c r="V4" s="29"/>
      <c r="W4" s="29"/>
      <c r="X4" s="29"/>
      <c r="Y4" s="29">
        <v>900</v>
      </c>
      <c r="Z4" s="29" t="s">
        <v>187</v>
      </c>
      <c r="AA4" s="29">
        <v>25</v>
      </c>
      <c r="AB4" s="29"/>
      <c r="AC4" s="29">
        <v>14.9</v>
      </c>
      <c r="AD4" s="29">
        <v>12</v>
      </c>
      <c r="AE4" s="29">
        <v>-70</v>
      </c>
      <c r="AF4" s="29">
        <v>200</v>
      </c>
      <c r="AG4" s="29" t="s">
        <v>188</v>
      </c>
      <c r="AH4" s="29"/>
      <c r="AI4" s="29"/>
      <c r="AJ4" s="29"/>
      <c r="AK4" s="31"/>
      <c r="AL4" s="31"/>
      <c r="AM4" s="29" t="s">
        <v>189</v>
      </c>
      <c r="AN4" s="29" t="s">
        <v>190</v>
      </c>
      <c r="AO4" s="32">
        <f>MATCH(A4,Attenuation!$B:$B,0)</f>
        <v>20</v>
      </c>
      <c r="AP4" s="32">
        <f>COUNTIF(Attenuation!$B:$B,A4)</f>
        <v>13</v>
      </c>
      <c r="AQ4" s="32">
        <f>INDEX(Attenuation!$C:$C,AO4)</f>
        <v>1</v>
      </c>
      <c r="AR4" s="32">
        <f>INDEX(Attenuation!$C:$C,AO4+AP4-1)</f>
        <v>3000</v>
      </c>
      <c r="AS4" s="33">
        <f>INDEX(LINEST(INDEX(Attenuation!$O:$O,AO4):INDEX(Attenuation!$O:$O,AO4+AP4-1),INDEX(Attenuation!$L:$L,AO4):INDEX(Attenuation!$N:$N,AO4+AP4-1),FALSE,FALSE),1,3)</f>
        <v>1.4448159052144574</v>
      </c>
      <c r="AT4" s="34">
        <f>INDEX(LINEST(INDEX(Attenuation!$O:$O,AO4):INDEX(Attenuation!$O:$O,AO4+AP4-1),INDEX(Attenuation!$L:$L,AO4):INDEX(Attenuation!$N:$N,AO4+AP4-1),FALSE,FALSE),1,2)</f>
        <v>2.3986299966875531</v>
      </c>
      <c r="AU4" s="35">
        <f>INDEX(LINEST(INDEX(Attenuation!$O:$O,AO4):INDEX(Attenuation!$O:$O,AO4+AP4-1),INDEX(Attenuation!$L:$L,AO4):INDEX(Attenuation!$N:$N,AO4+AP4-1),FALSE,FALSE),1,1)</f>
        <v>1.6031359793957953E-2</v>
      </c>
      <c r="AV4" s="36">
        <f>SQRT(SUMIFS(Attenuation!$R:$R,Attenuation!$B:$B,A4)/AP4)</f>
        <v>2.415457945318664E-2</v>
      </c>
      <c r="AW4" s="32" t="str">
        <f>IFERROR(MATCH(A4,Power!$B:$B,0),"")</f>
        <v/>
      </c>
      <c r="AX4" s="32">
        <f>COUNTIF(Power!$B:$B,A4)</f>
        <v>0</v>
      </c>
    </row>
    <row r="5" spans="1:50" ht="30" customHeight="1" x14ac:dyDescent="0.25">
      <c r="A5" s="29" t="s">
        <v>191</v>
      </c>
      <c r="B5" s="29" t="s">
        <v>192</v>
      </c>
      <c r="C5" s="29" t="s">
        <v>156</v>
      </c>
      <c r="D5" s="29" t="s">
        <v>193</v>
      </c>
      <c r="E5" s="29" t="s">
        <v>194</v>
      </c>
      <c r="F5" s="29">
        <v>50</v>
      </c>
      <c r="G5" s="29"/>
      <c r="H5" s="29">
        <v>2.54</v>
      </c>
      <c r="I5" s="29" t="s">
        <v>159</v>
      </c>
      <c r="J5" s="29" t="s">
        <v>174</v>
      </c>
      <c r="K5" s="29">
        <v>0.51</v>
      </c>
      <c r="L5" s="29" t="s">
        <v>161</v>
      </c>
      <c r="M5" s="29">
        <v>1.5</v>
      </c>
      <c r="N5" s="29" t="s">
        <v>162</v>
      </c>
      <c r="O5" s="29">
        <v>95</v>
      </c>
      <c r="P5" s="29" t="s">
        <v>195</v>
      </c>
      <c r="Q5" s="30">
        <v>0.7</v>
      </c>
      <c r="R5" s="29">
        <v>95</v>
      </c>
      <c r="S5" s="29"/>
      <c r="T5" s="29">
        <v>299.2</v>
      </c>
      <c r="U5" s="29">
        <v>28</v>
      </c>
      <c r="V5" s="29"/>
      <c r="W5" s="29"/>
      <c r="X5" s="29"/>
      <c r="Y5" s="29">
        <v>900</v>
      </c>
      <c r="Z5" s="29" t="s">
        <v>187</v>
      </c>
      <c r="AA5" s="29">
        <v>25</v>
      </c>
      <c r="AB5" s="29"/>
      <c r="AC5" s="29">
        <v>16.399999999999999</v>
      </c>
      <c r="AD5" s="29">
        <v>9.5</v>
      </c>
      <c r="AE5" s="29">
        <v>-70</v>
      </c>
      <c r="AF5" s="29">
        <v>200</v>
      </c>
      <c r="AG5" s="29" t="s">
        <v>196</v>
      </c>
      <c r="AH5" s="29"/>
      <c r="AI5" s="29"/>
      <c r="AJ5" s="29"/>
      <c r="AK5" s="31"/>
      <c r="AL5" s="31"/>
      <c r="AM5" s="29" t="s">
        <v>197</v>
      </c>
      <c r="AN5" s="29" t="s">
        <v>198</v>
      </c>
      <c r="AO5" s="32">
        <f>MATCH(A5,Attenuation!$B:$B,0)</f>
        <v>33</v>
      </c>
      <c r="AP5" s="32">
        <f>COUNTIF(Attenuation!$B:$B,A5)</f>
        <v>9</v>
      </c>
      <c r="AQ5" s="32">
        <f>INDEX(Attenuation!$C:$C,AO5)</f>
        <v>1</v>
      </c>
      <c r="AR5" s="32">
        <f>INDEX(Attenuation!$C:$C,AO5+AP5-1)</f>
        <v>1000</v>
      </c>
      <c r="AS5" s="33">
        <f>INDEX(LINEST(INDEX(Attenuation!$O:$O,AO5):INDEX(Attenuation!$O:$O,AO5+AP5-1),INDEX(Attenuation!$L:$L,AO5):INDEX(Attenuation!$N:$N,AO5+AP5-1),FALSE,FALSE),1,3)</f>
        <v>1.5970898242038525</v>
      </c>
      <c r="AT5" s="34">
        <f>INDEX(LINEST(INDEX(Attenuation!$O:$O,AO5):INDEX(Attenuation!$O:$O,AO5+AP5-1),INDEX(Attenuation!$L:$L,AO5):INDEX(Attenuation!$N:$N,AO5+AP5-1),FALSE,FALSE),1,2)</f>
        <v>2.2816589385682415</v>
      </c>
      <c r="AU5" s="35">
        <f>INDEX(LINEST(INDEX(Attenuation!$O:$O,AO5):INDEX(Attenuation!$O:$O,AO5+AP5-1),INDEX(Attenuation!$L:$L,AO5):INDEX(Attenuation!$N:$N,AO5+AP5-1),FALSE,FALSE),1,1)</f>
        <v>2.2651013102652637E-2</v>
      </c>
      <c r="AV5" s="36">
        <f>SQRT(SUMIFS(Attenuation!$R:$R,Attenuation!$B:$B,A5)/AP5)</f>
        <v>1.7910845582873872E-2</v>
      </c>
      <c r="AW5" s="32" t="str">
        <f>IFERROR(MATCH(A5,Power!$B:$B,0),"")</f>
        <v/>
      </c>
      <c r="AX5" s="32">
        <f>COUNTIF(Power!$B:$B,A5)</f>
        <v>0</v>
      </c>
    </row>
    <row r="6" spans="1:50" ht="30" customHeight="1" x14ac:dyDescent="0.25">
      <c r="A6" s="29" t="s">
        <v>199</v>
      </c>
      <c r="B6" s="29" t="s">
        <v>200</v>
      </c>
      <c r="C6" s="29" t="s">
        <v>201</v>
      </c>
      <c r="D6" s="29" t="s">
        <v>202</v>
      </c>
      <c r="E6" s="29" t="s">
        <v>203</v>
      </c>
      <c r="F6" s="29">
        <v>50</v>
      </c>
      <c r="G6" s="29"/>
      <c r="H6" s="29">
        <v>2.79</v>
      </c>
      <c r="I6" s="29" t="s">
        <v>173</v>
      </c>
      <c r="J6" s="29" t="s">
        <v>204</v>
      </c>
      <c r="K6" s="29">
        <v>0.46</v>
      </c>
      <c r="L6" s="29" t="s">
        <v>175</v>
      </c>
      <c r="M6" s="29">
        <v>1.52</v>
      </c>
      <c r="N6" s="29" t="s">
        <v>205</v>
      </c>
      <c r="O6" s="29"/>
      <c r="P6" s="29" t="s">
        <v>206</v>
      </c>
      <c r="Q6" s="30">
        <v>0.66</v>
      </c>
      <c r="R6" s="29">
        <v>101</v>
      </c>
      <c r="S6" s="29"/>
      <c r="T6" s="29">
        <v>265.7</v>
      </c>
      <c r="U6" s="29">
        <v>31.2</v>
      </c>
      <c r="V6" s="29">
        <v>90</v>
      </c>
      <c r="W6" s="29"/>
      <c r="X6" s="29"/>
      <c r="Y6" s="29"/>
      <c r="Z6" s="29"/>
      <c r="AA6" s="29">
        <v>6.35</v>
      </c>
      <c r="AB6" s="29"/>
      <c r="AC6" s="29">
        <v>13.4</v>
      </c>
      <c r="AD6" s="29"/>
      <c r="AE6" s="29">
        <v>-40</v>
      </c>
      <c r="AF6" s="29">
        <v>85</v>
      </c>
      <c r="AG6" s="29"/>
      <c r="AH6" s="29"/>
      <c r="AI6" s="29"/>
      <c r="AJ6" s="29"/>
      <c r="AK6" s="31">
        <v>0.70913999999999999</v>
      </c>
      <c r="AL6" s="31">
        <v>1.74E-3</v>
      </c>
      <c r="AM6" s="29" t="s">
        <v>207</v>
      </c>
      <c r="AN6" s="29" t="s">
        <v>208</v>
      </c>
      <c r="AO6" s="32">
        <f>MATCH(A6,Attenuation!$B:$B,0)</f>
        <v>42</v>
      </c>
      <c r="AP6" s="32">
        <f>COUNTIF(Attenuation!$B:$B,A6)</f>
        <v>10</v>
      </c>
      <c r="AQ6" s="32">
        <f>INDEX(Attenuation!$C:$C,AO6)</f>
        <v>30</v>
      </c>
      <c r="AR6" s="32">
        <f>INDEX(Attenuation!$C:$C,AO6+AP6-1)</f>
        <v>2500</v>
      </c>
      <c r="AS6" s="33">
        <f>INDEX(LINEST(INDEX(Attenuation!$O:$O,AO6):INDEX(Attenuation!$O:$O,AO6+AP6-1),INDEX(Attenuation!$L:$L,AO6):INDEX(Attenuation!$N:$N,AO6+AP6-1),FALSE,FALSE),1,3)</f>
        <v>-9.6067683324664421E-2</v>
      </c>
      <c r="AT6" s="34">
        <f>INDEX(LINEST(INDEX(Attenuation!$O:$O,AO6):INDEX(Attenuation!$O:$O,AO6+AP6-1),INDEX(Attenuation!$L:$L,AO6):INDEX(Attenuation!$N:$N,AO6+AP6-1),FALSE,FALSE),1,2)</f>
        <v>2.3290955807327904</v>
      </c>
      <c r="AU6" s="35">
        <f>INDEX(LINEST(INDEX(Attenuation!$O:$O,AO6):INDEX(Attenuation!$O:$O,AO6+AP6-1),INDEX(Attenuation!$L:$L,AO6):INDEX(Attenuation!$N:$N,AO6+AP6-1),FALSE,FALSE),1,1)</f>
        <v>5.6639321697715093E-3</v>
      </c>
      <c r="AV6" s="36">
        <f>SQRT(SUMIFS(Attenuation!$R:$R,Attenuation!$B:$B,A6)/AP6)</f>
        <v>3.1765845591908474E-3</v>
      </c>
      <c r="AW6" s="32">
        <f>IFERROR(MATCH(A6,Power!$B:$B,0),"")</f>
        <v>18</v>
      </c>
      <c r="AX6" s="32">
        <f>COUNTIF(Power!$B:$B,A6)</f>
        <v>10</v>
      </c>
    </row>
    <row r="7" spans="1:50" ht="30" customHeight="1" x14ac:dyDescent="0.25">
      <c r="A7" s="29" t="s">
        <v>209</v>
      </c>
      <c r="B7" s="29" t="s">
        <v>64</v>
      </c>
      <c r="C7" s="29" t="s">
        <v>156</v>
      </c>
      <c r="D7" s="29" t="s">
        <v>210</v>
      </c>
      <c r="E7" s="29" t="s">
        <v>211</v>
      </c>
      <c r="F7" s="29">
        <v>50</v>
      </c>
      <c r="G7" s="29"/>
      <c r="H7" s="29">
        <v>4.9000000000000004</v>
      </c>
      <c r="I7" s="29" t="s">
        <v>212</v>
      </c>
      <c r="J7" s="29" t="s">
        <v>213</v>
      </c>
      <c r="K7" s="29">
        <v>0.89</v>
      </c>
      <c r="L7" s="29" t="s">
        <v>175</v>
      </c>
      <c r="M7" s="29">
        <v>2.97</v>
      </c>
      <c r="N7" s="29" t="s">
        <v>176</v>
      </c>
      <c r="O7" s="29">
        <v>95</v>
      </c>
      <c r="P7" s="29" t="s">
        <v>177</v>
      </c>
      <c r="Q7" s="30">
        <v>0.66</v>
      </c>
      <c r="R7" s="29">
        <v>101</v>
      </c>
      <c r="S7" s="29"/>
      <c r="T7" s="29">
        <v>32</v>
      </c>
      <c r="U7" s="29">
        <v>12</v>
      </c>
      <c r="V7" s="29"/>
      <c r="W7" s="29"/>
      <c r="X7" s="29"/>
      <c r="Y7" s="29">
        <v>1900</v>
      </c>
      <c r="Z7" s="29" t="s">
        <v>214</v>
      </c>
      <c r="AA7" s="29">
        <v>48</v>
      </c>
      <c r="AB7" s="29"/>
      <c r="AC7" s="29">
        <v>37.200000000000003</v>
      </c>
      <c r="AD7" s="29">
        <v>19</v>
      </c>
      <c r="AE7" s="29">
        <v>-30</v>
      </c>
      <c r="AF7" s="29">
        <v>75</v>
      </c>
      <c r="AG7" s="29" t="s">
        <v>215</v>
      </c>
      <c r="AH7" s="29"/>
      <c r="AI7" s="29" t="s">
        <v>180</v>
      </c>
      <c r="AJ7" s="29"/>
      <c r="AK7" s="31"/>
      <c r="AL7" s="31"/>
      <c r="AM7" s="29" t="s">
        <v>216</v>
      </c>
      <c r="AN7" s="29" t="s">
        <v>217</v>
      </c>
      <c r="AO7" s="32">
        <f>MATCH(A7,Attenuation!$B:$B,0)</f>
        <v>52</v>
      </c>
      <c r="AP7" s="32">
        <f>COUNTIF(Attenuation!$B:$B,A7)</f>
        <v>9</v>
      </c>
      <c r="AQ7" s="32">
        <f>INDEX(Attenuation!$C:$C,AO7)</f>
        <v>1</v>
      </c>
      <c r="AR7" s="32">
        <f>INDEX(Attenuation!$C:$C,AO7+AP7-1)</f>
        <v>1000</v>
      </c>
      <c r="AS7" s="33">
        <f>INDEX(LINEST(INDEX(Attenuation!$O:$O,AO7):INDEX(Attenuation!$O:$O,AO7+AP7-1),INDEX(Attenuation!$L:$L,AO7):INDEX(Attenuation!$N:$N,AO7+AP7-1),FALSE,FALSE),1,3)</f>
        <v>-0.26975671971073728</v>
      </c>
      <c r="AT7" s="34">
        <f>INDEX(LINEST(INDEX(Attenuation!$O:$O,AO7):INDEX(Attenuation!$O:$O,AO7+AP7-1),INDEX(Attenuation!$L:$L,AO7):INDEX(Attenuation!$N:$N,AO7+AP7-1),FALSE,FALSE),1,2)</f>
        <v>1.5584030002566192</v>
      </c>
      <c r="AU7" s="35">
        <f>INDEX(LINEST(INDEX(Attenuation!$O:$O,AO7):INDEX(Attenuation!$O:$O,AO7+AP7-1),INDEX(Attenuation!$L:$L,AO7):INDEX(Attenuation!$N:$N,AO7+AP7-1),FALSE,FALSE),1,1)</f>
        <v>2.5027876500221972E-2</v>
      </c>
      <c r="AV7" s="36">
        <f>SQRT(SUMIFS(Attenuation!$R:$R,Attenuation!$B:$B,A7)/AP7)</f>
        <v>6.838956015899335E-3</v>
      </c>
      <c r="AW7" s="32" t="str">
        <f>IFERROR(MATCH(A7,Power!$B:$B,0),"")</f>
        <v/>
      </c>
      <c r="AX7" s="32">
        <f>COUNTIF(Power!$B:$B,A7)</f>
        <v>0</v>
      </c>
    </row>
    <row r="8" spans="1:50" ht="30" customHeight="1" x14ac:dyDescent="0.25">
      <c r="A8" s="29" t="s">
        <v>218</v>
      </c>
      <c r="B8" s="29" t="s">
        <v>219</v>
      </c>
      <c r="C8" s="29" t="s">
        <v>220</v>
      </c>
      <c r="D8" s="29" t="s">
        <v>221</v>
      </c>
      <c r="E8" s="29" t="s">
        <v>222</v>
      </c>
      <c r="F8" s="29">
        <v>50</v>
      </c>
      <c r="G8" s="29"/>
      <c r="H8" s="29">
        <v>5</v>
      </c>
      <c r="I8" s="29"/>
      <c r="J8" s="29"/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1"/>
      <c r="AL8" s="31"/>
      <c r="AM8" s="29" t="s">
        <v>223</v>
      </c>
      <c r="AN8" s="29" t="s">
        <v>224</v>
      </c>
      <c r="AO8" s="32">
        <f>MATCH(A8,Attenuation!$B:$B,0)</f>
        <v>61</v>
      </c>
      <c r="AP8" s="32">
        <f>COUNTIF(Attenuation!$B:$B,A8)</f>
        <v>9</v>
      </c>
      <c r="AQ8" s="32">
        <f>INDEX(Attenuation!$C:$C,AO8)</f>
        <v>10</v>
      </c>
      <c r="AR8" s="32">
        <f>INDEX(Attenuation!$C:$C,AO8+AP8-1)</f>
        <v>1296</v>
      </c>
      <c r="AS8" s="33">
        <f>INDEX(LINEST(INDEX(Attenuation!$O:$O,AO8):INDEX(Attenuation!$O:$O,AO8+AP8-1),INDEX(Attenuation!$L:$L,AO8):INDEX(Attenuation!$N:$N,AO8+AP8-1),FALSE,FALSE),1,3)</f>
        <v>-0.15303059653656534</v>
      </c>
      <c r="AT8" s="34">
        <f>INDEX(LINEST(INDEX(Attenuation!$O:$O,AO8):INDEX(Attenuation!$O:$O,AO8+AP8-1),INDEX(Attenuation!$L:$L,AO8):INDEX(Attenuation!$N:$N,AO8+AP8-1),FALSE,FALSE),1,2)</f>
        <v>1.4963566746942607</v>
      </c>
      <c r="AU8" s="35">
        <f>INDEX(LINEST(INDEX(Attenuation!$O:$O,AO8):INDEX(Attenuation!$O:$O,AO8+AP8-1),INDEX(Attenuation!$L:$L,AO8):INDEX(Attenuation!$N:$N,AO8+AP8-1),FALSE,FALSE),1,1)</f>
        <v>8.5741425826296042E-3</v>
      </c>
      <c r="AV8" s="36">
        <f>SQRT(SUMIFS(Attenuation!$R:$R,Attenuation!$B:$B,A8)/AP8)</f>
        <v>2.0783465794932433E-2</v>
      </c>
      <c r="AW8" s="32" t="str">
        <f>IFERROR(MATCH(A8,Power!$B:$B,0),"")</f>
        <v/>
      </c>
      <c r="AX8" s="32">
        <f>COUNTIF(Power!$B:$B,A8)</f>
        <v>0</v>
      </c>
    </row>
    <row r="9" spans="1:50" ht="30" customHeight="1" x14ac:dyDescent="0.25">
      <c r="A9" s="29" t="s">
        <v>225</v>
      </c>
      <c r="B9" s="29" t="s">
        <v>226</v>
      </c>
      <c r="C9" s="29" t="s">
        <v>156</v>
      </c>
      <c r="D9" s="29" t="s">
        <v>227</v>
      </c>
      <c r="E9" s="29" t="s">
        <v>228</v>
      </c>
      <c r="F9" s="29">
        <v>54</v>
      </c>
      <c r="G9" s="29"/>
      <c r="H9" s="29">
        <v>4.9000000000000004</v>
      </c>
      <c r="I9" s="29" t="s">
        <v>212</v>
      </c>
      <c r="J9" s="29" t="s">
        <v>229</v>
      </c>
      <c r="K9" s="29">
        <v>0.94</v>
      </c>
      <c r="L9" s="29" t="s">
        <v>230</v>
      </c>
      <c r="M9" s="29">
        <v>2.95</v>
      </c>
      <c r="N9" s="29" t="s">
        <v>176</v>
      </c>
      <c r="O9" s="29">
        <v>95</v>
      </c>
      <c r="P9" s="29" t="s">
        <v>177</v>
      </c>
      <c r="Q9" s="30">
        <v>0.76</v>
      </c>
      <c r="R9" s="29">
        <v>85.3</v>
      </c>
      <c r="S9" s="29"/>
      <c r="T9" s="29">
        <v>28.9</v>
      </c>
      <c r="U9" s="29">
        <v>13</v>
      </c>
      <c r="V9" s="29"/>
      <c r="W9" s="29"/>
      <c r="X9" s="29"/>
      <c r="Y9" s="29">
        <v>300</v>
      </c>
      <c r="Z9" s="29" t="s">
        <v>231</v>
      </c>
      <c r="AA9" s="29">
        <v>48</v>
      </c>
      <c r="AB9" s="29"/>
      <c r="AC9" s="29">
        <v>38.700000000000003</v>
      </c>
      <c r="AD9" s="29">
        <v>23</v>
      </c>
      <c r="AE9" s="29"/>
      <c r="AF9" s="29"/>
      <c r="AG9" s="29" t="s">
        <v>232</v>
      </c>
      <c r="AH9" s="29"/>
      <c r="AI9" s="29" t="s">
        <v>231</v>
      </c>
      <c r="AJ9" s="29"/>
      <c r="AK9" s="31"/>
      <c r="AL9" s="31"/>
      <c r="AM9" s="29" t="s">
        <v>233</v>
      </c>
      <c r="AN9" s="29" t="s">
        <v>234</v>
      </c>
      <c r="AO9" s="32">
        <f>MATCH(A9,Attenuation!$B:$B,0)</f>
        <v>70</v>
      </c>
      <c r="AP9" s="32">
        <f>COUNTIF(Attenuation!$B:$B,A9)</f>
        <v>9</v>
      </c>
      <c r="AQ9" s="32">
        <f>INDEX(Attenuation!$C:$C,AO9)</f>
        <v>1</v>
      </c>
      <c r="AR9" s="32">
        <f>INDEX(Attenuation!$C:$C,AO9+AP9-1)</f>
        <v>1000</v>
      </c>
      <c r="AS9" s="33">
        <f>INDEX(LINEST(INDEX(Attenuation!$O:$O,AO9):INDEX(Attenuation!$O:$O,AO9+AP9-1),INDEX(Attenuation!$L:$L,AO9):INDEX(Attenuation!$N:$N,AO9+AP9-1),FALSE,FALSE),1,3)</f>
        <v>-3.0444595589937686E-3</v>
      </c>
      <c r="AT9" s="34">
        <f>INDEX(LINEST(INDEX(Attenuation!$O:$O,AO9):INDEX(Attenuation!$O:$O,AO9+AP9-1),INDEX(Attenuation!$L:$L,AO9):INDEX(Attenuation!$N:$N,AO9+AP9-1),FALSE,FALSE),1,2)</f>
        <v>1.2978583321891464</v>
      </c>
      <c r="AU9" s="35">
        <f>INDEX(LINEST(INDEX(Attenuation!$O:$O,AO9):INDEX(Attenuation!$O:$O,AO9+AP9-1),INDEX(Attenuation!$L:$L,AO9):INDEX(Attenuation!$N:$N,AO9+AP9-1),FALSE,FALSE),1,1)</f>
        <v>1.7596089272576387E-2</v>
      </c>
      <c r="AV9" s="36">
        <f>SQRT(SUMIFS(Attenuation!$R:$R,Attenuation!$B:$B,A9)/AP9)</f>
        <v>7.2087223460171185E-3</v>
      </c>
      <c r="AW9" s="32" t="str">
        <f>IFERROR(MATCH(A9,Power!$B:$B,0),"")</f>
        <v/>
      </c>
      <c r="AX9" s="32">
        <f>COUNTIF(Power!$B:$B,A9)</f>
        <v>0</v>
      </c>
    </row>
    <row r="10" spans="1:50" ht="30" customHeight="1" x14ac:dyDescent="0.25">
      <c r="A10" s="29" t="s">
        <v>235</v>
      </c>
      <c r="B10" s="29" t="s">
        <v>236</v>
      </c>
      <c r="C10" s="29" t="s">
        <v>156</v>
      </c>
      <c r="D10" s="29" t="s">
        <v>237</v>
      </c>
      <c r="E10" s="29" t="s">
        <v>238</v>
      </c>
      <c r="F10" s="29">
        <v>50</v>
      </c>
      <c r="G10" s="29"/>
      <c r="H10" s="29">
        <v>5.38</v>
      </c>
      <c r="I10" s="29" t="s">
        <v>239</v>
      </c>
      <c r="J10" s="29" t="s">
        <v>240</v>
      </c>
      <c r="K10" s="29">
        <v>0.86</v>
      </c>
      <c r="L10" s="29" t="s">
        <v>175</v>
      </c>
      <c r="M10" s="29">
        <v>2.97</v>
      </c>
      <c r="N10" s="29" t="s">
        <v>241</v>
      </c>
      <c r="O10" s="29">
        <v>95</v>
      </c>
      <c r="P10" s="29" t="s">
        <v>242</v>
      </c>
      <c r="Q10" s="30">
        <v>0.66</v>
      </c>
      <c r="R10" s="29">
        <v>101</v>
      </c>
      <c r="S10" s="29"/>
      <c r="T10" s="29">
        <v>28.9</v>
      </c>
      <c r="U10" s="29">
        <v>8.1999999999999993</v>
      </c>
      <c r="V10" s="29"/>
      <c r="W10" s="29"/>
      <c r="X10" s="29"/>
      <c r="Y10" s="29">
        <v>1400</v>
      </c>
      <c r="Z10" s="29" t="s">
        <v>187</v>
      </c>
      <c r="AA10" s="29">
        <v>53</v>
      </c>
      <c r="AB10" s="29"/>
      <c r="AC10" s="29">
        <v>55.1</v>
      </c>
      <c r="AD10" s="29">
        <v>39</v>
      </c>
      <c r="AE10" s="29"/>
      <c r="AF10" s="29"/>
      <c r="AG10" s="29" t="s">
        <v>243</v>
      </c>
      <c r="AH10" s="29"/>
      <c r="AI10" s="29"/>
      <c r="AJ10" s="29"/>
      <c r="AK10" s="31"/>
      <c r="AL10" s="31"/>
      <c r="AM10" s="29" t="s">
        <v>244</v>
      </c>
      <c r="AN10" s="29" t="s">
        <v>245</v>
      </c>
      <c r="AO10" s="32">
        <f>MATCH(A10,Attenuation!$B:$B,0)</f>
        <v>79</v>
      </c>
      <c r="AP10" s="32">
        <f>COUNTIF(Attenuation!$B:$B,A10)</f>
        <v>9</v>
      </c>
      <c r="AQ10" s="32">
        <f>INDEX(Attenuation!$C:$C,AO10)</f>
        <v>1</v>
      </c>
      <c r="AR10" s="32">
        <f>INDEX(Attenuation!$C:$C,AO10+AP10-1)</f>
        <v>1000</v>
      </c>
      <c r="AS10" s="33">
        <f>INDEX(LINEST(INDEX(Attenuation!$O:$O,AO10):INDEX(Attenuation!$O:$O,AO10+AP10-1),INDEX(Attenuation!$L:$L,AO10):INDEX(Attenuation!$N:$N,AO10+AP10-1),FALSE,FALSE),1,3)</f>
        <v>6.5100851587415548E-2</v>
      </c>
      <c r="AT10" s="34">
        <f>INDEX(LINEST(INDEX(Attenuation!$O:$O,AO10):INDEX(Attenuation!$O:$O,AO10+AP10-1),INDEX(Attenuation!$L:$L,AO10):INDEX(Attenuation!$N:$N,AO10+AP10-1),FALSE,FALSE),1,2)</f>
        <v>1.2282782209228469</v>
      </c>
      <c r="AU10" s="35">
        <f>INDEX(LINEST(INDEX(Attenuation!$O:$O,AO10):INDEX(Attenuation!$O:$O,AO10+AP10-1),INDEX(Attenuation!$L:$L,AO10):INDEX(Attenuation!$N:$N,AO10+AP10-1),FALSE,FALSE),1,1)</f>
        <v>9.5064727870198436E-3</v>
      </c>
      <c r="AV10" s="36">
        <f>SQRT(SUMIFS(Attenuation!$R:$R,Attenuation!$B:$B,A10)/AP10)</f>
        <v>1.4265191137351351E-2</v>
      </c>
      <c r="AW10" s="32">
        <f>IFERROR(MATCH(A10,Power!$B:$B,0),"")</f>
        <v>28</v>
      </c>
      <c r="AX10" s="32">
        <f>COUNTIF(Power!$B:$B,A10)</f>
        <v>3</v>
      </c>
    </row>
    <row r="11" spans="1:50" ht="30" customHeight="1" x14ac:dyDescent="0.25">
      <c r="A11" s="29" t="s">
        <v>246</v>
      </c>
      <c r="B11" s="29" t="s">
        <v>247</v>
      </c>
      <c r="C11" s="29" t="s">
        <v>248</v>
      </c>
      <c r="D11" s="29" t="s">
        <v>249</v>
      </c>
      <c r="E11" s="29" t="s">
        <v>250</v>
      </c>
      <c r="F11" s="29">
        <v>50</v>
      </c>
      <c r="G11" s="29">
        <v>2</v>
      </c>
      <c r="H11" s="29">
        <v>5</v>
      </c>
      <c r="I11" s="29" t="s">
        <v>239</v>
      </c>
      <c r="J11" s="29" t="s">
        <v>251</v>
      </c>
      <c r="K11" s="29">
        <v>1</v>
      </c>
      <c r="L11" s="29" t="s">
        <v>161</v>
      </c>
      <c r="M11" s="29">
        <v>2.9</v>
      </c>
      <c r="N11" s="29" t="s">
        <v>241</v>
      </c>
      <c r="O11" s="29"/>
      <c r="P11" s="29" t="s">
        <v>252</v>
      </c>
      <c r="Q11" s="30">
        <v>0.7</v>
      </c>
      <c r="R11" s="29">
        <v>96.5</v>
      </c>
      <c r="S11" s="29"/>
      <c r="T11" s="29"/>
      <c r="U11" s="29"/>
      <c r="V11" s="29">
        <v>80</v>
      </c>
      <c r="W11" s="29">
        <v>12400</v>
      </c>
      <c r="X11" s="29"/>
      <c r="Y11" s="29">
        <v>1900</v>
      </c>
      <c r="Z11" s="29" t="s">
        <v>253</v>
      </c>
      <c r="AA11" s="29">
        <v>25.4</v>
      </c>
      <c r="AB11" s="29"/>
      <c r="AC11" s="29">
        <v>74.400000000000006</v>
      </c>
      <c r="AD11" s="29"/>
      <c r="AE11" s="29">
        <v>-55</v>
      </c>
      <c r="AF11" s="29">
        <v>200</v>
      </c>
      <c r="AG11" s="29"/>
      <c r="AH11" s="29"/>
      <c r="AI11" s="29" t="s">
        <v>254</v>
      </c>
      <c r="AJ11" s="29"/>
      <c r="AK11" s="31"/>
      <c r="AL11" s="31"/>
      <c r="AM11" s="29" t="s">
        <v>255</v>
      </c>
      <c r="AN11" s="29" t="s">
        <v>256</v>
      </c>
      <c r="AO11" s="32">
        <f>MATCH(A11,Attenuation!$B:$B,0)</f>
        <v>88</v>
      </c>
      <c r="AP11" s="32">
        <f>COUNTIF(Attenuation!$B:$B,A11)</f>
        <v>9</v>
      </c>
      <c r="AQ11" s="32">
        <f>INDEX(Attenuation!$C:$C,AO11)</f>
        <v>100</v>
      </c>
      <c r="AR11" s="32">
        <f>INDEX(Attenuation!$C:$C,AO11+AP11-1)</f>
        <v>12400</v>
      </c>
      <c r="AS11" s="33">
        <f>INDEX(LINEST(INDEX(Attenuation!$O:$O,AO11):INDEX(Attenuation!$O:$O,AO11+AP11-1),INDEX(Attenuation!$L:$L,AO11):INDEX(Attenuation!$N:$N,AO11+AP11-1),FALSE,FALSE),1,3)</f>
        <v>4.6753534273065958E-2</v>
      </c>
      <c r="AT11" s="34">
        <f>INDEX(LINEST(INDEX(Attenuation!$O:$O,AO11):INDEX(Attenuation!$O:$O,AO11+AP11-1),INDEX(Attenuation!$L:$L,AO11):INDEX(Attenuation!$N:$N,AO11+AP11-1),FALSE,FALSE),1,2)</f>
        <v>1.2802976115934299</v>
      </c>
      <c r="AU11" s="35">
        <f>INDEX(LINEST(INDEX(Attenuation!$O:$O,AO11):INDEX(Attenuation!$O:$O,AO11+AP11-1),INDEX(Attenuation!$L:$L,AO11):INDEX(Attenuation!$N:$N,AO11+AP11-1),FALSE,FALSE),1,1)</f>
        <v>6.1456581141444136E-3</v>
      </c>
      <c r="AV11" s="36">
        <f>SQRT(SUMIFS(Attenuation!$R:$R,Attenuation!$B:$B,A11)/AP11)</f>
        <v>1.5253375470317282E-3</v>
      </c>
      <c r="AW11" s="32" t="str">
        <f>IFERROR(MATCH(A11,Power!$B:$B,0),"")</f>
        <v/>
      </c>
      <c r="AX11" s="32">
        <f>COUNTIF(Power!$B:$B,A11)</f>
        <v>0</v>
      </c>
    </row>
    <row r="12" spans="1:50" ht="30" customHeight="1" x14ac:dyDescent="0.25">
      <c r="A12" s="29" t="s">
        <v>257</v>
      </c>
      <c r="B12" s="29" t="s">
        <v>258</v>
      </c>
      <c r="C12" s="29" t="s">
        <v>201</v>
      </c>
      <c r="D12" s="29" t="s">
        <v>259</v>
      </c>
      <c r="E12" s="29" t="s">
        <v>260</v>
      </c>
      <c r="F12" s="29">
        <v>50</v>
      </c>
      <c r="G12" s="29"/>
      <c r="H12" s="29">
        <v>4.95</v>
      </c>
      <c r="I12" s="29" t="s">
        <v>261</v>
      </c>
      <c r="J12" s="29" t="s">
        <v>204</v>
      </c>
      <c r="K12" s="29">
        <v>0.94</v>
      </c>
      <c r="L12" s="29" t="s">
        <v>230</v>
      </c>
      <c r="M12" s="29">
        <v>2.87</v>
      </c>
      <c r="N12" s="29" t="s">
        <v>262</v>
      </c>
      <c r="O12" s="29"/>
      <c r="P12" s="29" t="s">
        <v>263</v>
      </c>
      <c r="Q12" s="30">
        <v>0.8</v>
      </c>
      <c r="R12" s="29">
        <v>79.7</v>
      </c>
      <c r="S12" s="29"/>
      <c r="T12" s="29">
        <v>24.9</v>
      </c>
      <c r="U12" s="29">
        <v>16.100000000000001</v>
      </c>
      <c r="V12" s="29">
        <v>90</v>
      </c>
      <c r="W12" s="29"/>
      <c r="X12" s="29"/>
      <c r="Y12" s="29"/>
      <c r="Z12" s="29"/>
      <c r="AA12" s="29">
        <v>12.7</v>
      </c>
      <c r="AB12" s="29"/>
      <c r="AC12" s="29">
        <v>32.700000000000003</v>
      </c>
      <c r="AD12" s="29"/>
      <c r="AE12" s="29">
        <v>-40</v>
      </c>
      <c r="AF12" s="29">
        <v>85</v>
      </c>
      <c r="AG12" s="29" t="s">
        <v>264</v>
      </c>
      <c r="AH12" s="29"/>
      <c r="AI12" s="29"/>
      <c r="AJ12" s="29"/>
      <c r="AK12" s="31">
        <v>0.35686000000000001</v>
      </c>
      <c r="AL12" s="31">
        <v>4.6999999999999999E-4</v>
      </c>
      <c r="AM12" s="29" t="s">
        <v>207</v>
      </c>
      <c r="AN12" s="29" t="s">
        <v>208</v>
      </c>
      <c r="AO12" s="32">
        <f>MATCH(A12,Attenuation!$B:$B,0)</f>
        <v>97</v>
      </c>
      <c r="AP12" s="32">
        <f>COUNTIF(Attenuation!$B:$B,A12)</f>
        <v>10</v>
      </c>
      <c r="AQ12" s="32">
        <f>INDEX(Attenuation!$C:$C,AO12)</f>
        <v>30</v>
      </c>
      <c r="AR12" s="32">
        <f>INDEX(Attenuation!$C:$C,AO12+AP12-1)</f>
        <v>2500</v>
      </c>
      <c r="AS12" s="33">
        <f>INDEX(LINEST(INDEX(Attenuation!$O:$O,AO12):INDEX(Attenuation!$O:$O,AO12+AP12-1),INDEX(Attenuation!$L:$L,AO12):INDEX(Attenuation!$N:$N,AO12+AP12-1),FALSE,FALSE),1,3)</f>
        <v>0.21578236507229698</v>
      </c>
      <c r="AT12" s="34">
        <f>INDEX(LINEST(INDEX(Attenuation!$O:$O,AO12):INDEX(Attenuation!$O:$O,AO12+AP12-1),INDEX(Attenuation!$L:$L,AO12):INDEX(Attenuation!$N:$N,AO12+AP12-1),FALSE,FALSE),1,2)</f>
        <v>1.1522778620374268</v>
      </c>
      <c r="AU12" s="35">
        <f>INDEX(LINEST(INDEX(Attenuation!$O:$O,AO12):INDEX(Attenuation!$O:$O,AO12+AP12-1),INDEX(Attenuation!$L:$L,AO12):INDEX(Attenuation!$N:$N,AO12+AP12-1),FALSE,FALSE),1,1)</f>
        <v>1.8427854112520209E-3</v>
      </c>
      <c r="AV12" s="36">
        <f>SQRT(SUMIFS(Attenuation!$R:$R,Attenuation!$B:$B,A12)/AP12)</f>
        <v>5.1720486926253098E-3</v>
      </c>
      <c r="AW12" s="32">
        <f>IFERROR(MATCH(A12,Power!$B:$B,0),"")</f>
        <v>31</v>
      </c>
      <c r="AX12" s="32">
        <f>COUNTIF(Power!$B:$B,A12)</f>
        <v>10</v>
      </c>
    </row>
    <row r="13" spans="1:50" ht="30" customHeight="1" x14ac:dyDescent="0.25">
      <c r="A13" s="29" t="s">
        <v>265</v>
      </c>
      <c r="B13" s="29" t="s">
        <v>266</v>
      </c>
      <c r="C13" s="29" t="s">
        <v>156</v>
      </c>
      <c r="D13" s="29" t="s">
        <v>267</v>
      </c>
      <c r="E13" s="29" t="s">
        <v>268</v>
      </c>
      <c r="F13" s="29">
        <v>50</v>
      </c>
      <c r="G13" s="29"/>
      <c r="H13" s="29">
        <v>4.95</v>
      </c>
      <c r="I13" s="29" t="s">
        <v>159</v>
      </c>
      <c r="J13" s="29" t="s">
        <v>240</v>
      </c>
      <c r="K13" s="29">
        <v>0.94</v>
      </c>
      <c r="L13" s="29" t="s">
        <v>161</v>
      </c>
      <c r="M13" s="29">
        <v>2.95</v>
      </c>
      <c r="N13" s="29" t="s">
        <v>241</v>
      </c>
      <c r="O13" s="29">
        <v>95</v>
      </c>
      <c r="P13" s="29" t="s">
        <v>163</v>
      </c>
      <c r="Q13" s="30">
        <v>0.7</v>
      </c>
      <c r="R13" s="29">
        <v>95</v>
      </c>
      <c r="S13" s="29"/>
      <c r="T13" s="29">
        <v>62.3</v>
      </c>
      <c r="U13" s="29">
        <v>7.5</v>
      </c>
      <c r="V13" s="29"/>
      <c r="W13" s="29"/>
      <c r="X13" s="29"/>
      <c r="Y13" s="29">
        <v>1400</v>
      </c>
      <c r="Z13" s="29" t="s">
        <v>269</v>
      </c>
      <c r="AA13" s="29">
        <v>51</v>
      </c>
      <c r="AB13" s="29"/>
      <c r="AC13" s="29">
        <v>62.5</v>
      </c>
      <c r="AD13" s="29">
        <v>46.7</v>
      </c>
      <c r="AE13" s="29"/>
      <c r="AF13" s="29"/>
      <c r="AG13" s="29" t="s">
        <v>270</v>
      </c>
      <c r="AH13" s="29"/>
      <c r="AI13" s="29" t="s">
        <v>271</v>
      </c>
      <c r="AJ13" s="29"/>
      <c r="AK13" s="31"/>
      <c r="AL13" s="31"/>
      <c r="AM13" s="29" t="s">
        <v>272</v>
      </c>
      <c r="AN13" s="29" t="s">
        <v>273</v>
      </c>
      <c r="AO13" s="32">
        <f>MATCH(A13,Attenuation!$B:$B,0)</f>
        <v>107</v>
      </c>
      <c r="AP13" s="32">
        <f>COUNTIF(Attenuation!$B:$B,A13)</f>
        <v>13</v>
      </c>
      <c r="AQ13" s="32">
        <f>INDEX(Attenuation!$C:$C,AO13)</f>
        <v>1</v>
      </c>
      <c r="AR13" s="32">
        <f>INDEX(Attenuation!$C:$C,AO13+AP13-1)</f>
        <v>8000</v>
      </c>
      <c r="AS13" s="33">
        <f>INDEX(LINEST(INDEX(Attenuation!$O:$O,AO13):INDEX(Attenuation!$O:$O,AO13+AP13-1),INDEX(Attenuation!$L:$L,AO13):INDEX(Attenuation!$N:$N,AO13+AP13-1),FALSE,FALSE),1,3)</f>
        <v>-0.21148709825020715</v>
      </c>
      <c r="AT13" s="34">
        <f>INDEX(LINEST(INDEX(Attenuation!$O:$O,AO13):INDEX(Attenuation!$O:$O,AO13+AP13-1),INDEX(Attenuation!$L:$L,AO13):INDEX(Attenuation!$N:$N,AO13+AP13-1),FALSE,FALSE),1,2)</f>
        <v>1.1928180310150176</v>
      </c>
      <c r="AU13" s="35">
        <f>INDEX(LINEST(INDEX(Attenuation!$O:$O,AO13):INDEX(Attenuation!$O:$O,AO13+AP13-1),INDEX(Attenuation!$L:$L,AO13):INDEX(Attenuation!$N:$N,AO13+AP13-1),FALSE,FALSE),1,1)</f>
        <v>4.5636546352288403E-3</v>
      </c>
      <c r="AV13" s="36">
        <f>SQRT(SUMIFS(Attenuation!$R:$R,Attenuation!$B:$B,A13)/AP13)</f>
        <v>3.8832104465042025E-2</v>
      </c>
      <c r="AW13" s="32" t="str">
        <f>IFERROR(MATCH(A13,Power!$B:$B,0),"")</f>
        <v/>
      </c>
      <c r="AX13" s="32">
        <f>COUNTIF(Power!$B:$B,A13)</f>
        <v>0</v>
      </c>
    </row>
    <row r="14" spans="1:50" ht="30" customHeight="1" x14ac:dyDescent="0.25">
      <c r="A14" s="29" t="s">
        <v>274</v>
      </c>
      <c r="B14" s="29" t="s">
        <v>65</v>
      </c>
      <c r="C14" s="29" t="s">
        <v>156</v>
      </c>
      <c r="D14" s="29" t="s">
        <v>275</v>
      </c>
      <c r="E14" s="29" t="s">
        <v>276</v>
      </c>
      <c r="F14" s="29">
        <v>50</v>
      </c>
      <c r="G14" s="29"/>
      <c r="H14" s="29">
        <v>6.15</v>
      </c>
      <c r="I14" s="29" t="s">
        <v>261</v>
      </c>
      <c r="J14" s="29" t="s">
        <v>277</v>
      </c>
      <c r="K14" s="29">
        <v>1.45</v>
      </c>
      <c r="L14" s="29" t="s">
        <v>230</v>
      </c>
      <c r="M14" s="29">
        <v>3.94</v>
      </c>
      <c r="N14" s="29" t="s">
        <v>278</v>
      </c>
      <c r="O14" s="29">
        <v>95</v>
      </c>
      <c r="P14" s="29" t="s">
        <v>177</v>
      </c>
      <c r="Q14" s="30">
        <v>0.82</v>
      </c>
      <c r="R14" s="29">
        <v>83</v>
      </c>
      <c r="S14" s="29"/>
      <c r="T14" s="29">
        <v>13.45</v>
      </c>
      <c r="U14" s="29">
        <v>10</v>
      </c>
      <c r="V14" s="29"/>
      <c r="W14" s="29"/>
      <c r="X14" s="29"/>
      <c r="Y14" s="29">
        <v>300</v>
      </c>
      <c r="Z14" s="29" t="s">
        <v>279</v>
      </c>
      <c r="AA14" s="29">
        <v>61</v>
      </c>
      <c r="AB14" s="29"/>
      <c r="AC14" s="29">
        <v>55.1</v>
      </c>
      <c r="AD14" s="29">
        <v>28</v>
      </c>
      <c r="AE14" s="29">
        <v>-40</v>
      </c>
      <c r="AF14" s="29">
        <v>80</v>
      </c>
      <c r="AG14" s="29" t="s">
        <v>165</v>
      </c>
      <c r="AH14" s="29"/>
      <c r="AI14" s="29" t="s">
        <v>280</v>
      </c>
      <c r="AJ14" s="29"/>
      <c r="AK14" s="31"/>
      <c r="AL14" s="31"/>
      <c r="AM14" s="29" t="s">
        <v>281</v>
      </c>
      <c r="AN14" s="29"/>
      <c r="AO14" s="32">
        <f>MATCH(A14,Attenuation!$B:$B,0)</f>
        <v>120</v>
      </c>
      <c r="AP14" s="32">
        <f>COUNTIF(Attenuation!$B:$B,A14)</f>
        <v>9</v>
      </c>
      <c r="AQ14" s="32">
        <f>INDEX(Attenuation!$C:$C,AO14)</f>
        <v>1</v>
      </c>
      <c r="AR14" s="32">
        <f>INDEX(Attenuation!$C:$C,AO14+AP14-1)</f>
        <v>1000</v>
      </c>
      <c r="AS14" s="33">
        <f>INDEX(LINEST(INDEX(Attenuation!$O:$O,AO14):INDEX(Attenuation!$O:$O,AO14+AP14-1),INDEX(Attenuation!$L:$L,AO14):INDEX(Attenuation!$N:$N,AO14+AP14-1),FALSE,FALSE),1,3)</f>
        <v>6.1353620453557779E-2</v>
      </c>
      <c r="AT14" s="34">
        <f>INDEX(LINEST(INDEX(Attenuation!$O:$O,AO14):INDEX(Attenuation!$O:$O,AO14+AP14-1),INDEX(Attenuation!$L:$L,AO14):INDEX(Attenuation!$N:$N,AO14+AP14-1),FALSE,FALSE),1,2)</f>
        <v>0.90893388711539302</v>
      </c>
      <c r="AU14" s="35">
        <f>INDEX(LINEST(INDEX(Attenuation!$O:$O,AO14):INDEX(Attenuation!$O:$O,AO14+AP14-1),INDEX(Attenuation!$L:$L,AO14):INDEX(Attenuation!$N:$N,AO14+AP14-1),FALSE,FALSE),1,1)</f>
        <v>8.3983340455579831E-3</v>
      </c>
      <c r="AV14" s="36">
        <f>SQRT(SUMIFS(Attenuation!$R:$R,Attenuation!$B:$B,A14)/AP14)</f>
        <v>1.1620077073510097E-2</v>
      </c>
      <c r="AW14" s="32">
        <f>IFERROR(MATCH(A14,Power!$B:$B,0),"")</f>
        <v>41</v>
      </c>
      <c r="AX14" s="32">
        <f>COUNTIF(Power!$B:$B,A14)</f>
        <v>7</v>
      </c>
    </row>
    <row r="15" spans="1:50" ht="30" customHeight="1" x14ac:dyDescent="0.25">
      <c r="A15" s="29" t="s">
        <v>282</v>
      </c>
      <c r="B15" s="29" t="s">
        <v>283</v>
      </c>
      <c r="C15" s="29" t="s">
        <v>201</v>
      </c>
      <c r="D15" s="29" t="s">
        <v>284</v>
      </c>
      <c r="E15" s="29" t="s">
        <v>260</v>
      </c>
      <c r="F15" s="29">
        <v>50</v>
      </c>
      <c r="G15" s="29"/>
      <c r="H15" s="29">
        <v>4.95</v>
      </c>
      <c r="I15" s="29" t="s">
        <v>261</v>
      </c>
      <c r="J15" s="29" t="s">
        <v>204</v>
      </c>
      <c r="K15" s="29">
        <v>1.1200000000000001</v>
      </c>
      <c r="L15" s="29" t="s">
        <v>230</v>
      </c>
      <c r="M15" s="29">
        <v>2.95</v>
      </c>
      <c r="N15" s="29" t="s">
        <v>262</v>
      </c>
      <c r="O15" s="29"/>
      <c r="P15" s="29" t="s">
        <v>263</v>
      </c>
      <c r="Q15" s="30">
        <v>0.83</v>
      </c>
      <c r="R15" s="29">
        <v>80.400000000000006</v>
      </c>
      <c r="S15" s="29"/>
      <c r="T15" s="29">
        <v>17.600000000000001</v>
      </c>
      <c r="U15" s="29">
        <v>16.100000000000001</v>
      </c>
      <c r="V15" s="29">
        <v>90</v>
      </c>
      <c r="W15" s="29"/>
      <c r="X15" s="29"/>
      <c r="Y15" s="29"/>
      <c r="Z15" s="29"/>
      <c r="AA15" s="29">
        <v>12.7</v>
      </c>
      <c r="AB15" s="29"/>
      <c r="AC15" s="29">
        <v>32.700000000000003</v>
      </c>
      <c r="AD15" s="29"/>
      <c r="AE15" s="29">
        <v>-40</v>
      </c>
      <c r="AF15" s="29">
        <v>85</v>
      </c>
      <c r="AG15" s="29" t="s">
        <v>264</v>
      </c>
      <c r="AH15" s="29"/>
      <c r="AI15" s="29"/>
      <c r="AJ15" s="29"/>
      <c r="AK15" s="31">
        <v>0.32090000000000002</v>
      </c>
      <c r="AL15" s="31">
        <v>3.3E-4</v>
      </c>
      <c r="AM15" s="29" t="s">
        <v>207</v>
      </c>
      <c r="AN15" s="29" t="s">
        <v>208</v>
      </c>
      <c r="AO15" s="32">
        <f>MATCH(A15,Attenuation!$B:$B,0)</f>
        <v>129</v>
      </c>
      <c r="AP15" s="32">
        <f>COUNTIF(Attenuation!$B:$B,A15)</f>
        <v>10</v>
      </c>
      <c r="AQ15" s="32">
        <f>INDEX(Attenuation!$C:$C,AO15)</f>
        <v>30</v>
      </c>
      <c r="AR15" s="32">
        <f>INDEX(Attenuation!$C:$C,AO15+AP15-1)</f>
        <v>2500</v>
      </c>
      <c r="AS15" s="33">
        <f>INDEX(LINEST(INDEX(Attenuation!$O:$O,AO15):INDEX(Attenuation!$O:$O,AO15+AP15-1),INDEX(Attenuation!$L:$L,AO15):INDEX(Attenuation!$N:$N,AO15+AP15-1),FALSE,FALSE),1,3)</f>
        <v>0.16461205793835351</v>
      </c>
      <c r="AT15" s="34">
        <f>INDEX(LINEST(INDEX(Attenuation!$O:$O,AO15):INDEX(Attenuation!$O:$O,AO15+AP15-1),INDEX(Attenuation!$L:$L,AO15):INDEX(Attenuation!$N:$N,AO15+AP15-1),FALSE,FALSE),1,2)</f>
        <v>1.0382752926829855</v>
      </c>
      <c r="AU15" s="35">
        <f>INDEX(LINEST(INDEX(Attenuation!$O:$O,AO15):INDEX(Attenuation!$O:$O,AO15+AP15-1),INDEX(Attenuation!$L:$L,AO15):INDEX(Attenuation!$N:$N,AO15+AP15-1),FALSE,FALSE),1,1)</f>
        <v>1.3289576009219714E-3</v>
      </c>
      <c r="AV15" s="36">
        <f>SQRT(SUMIFS(Attenuation!$R:$R,Attenuation!$B:$B,A15)/AP15)</f>
        <v>3.7600204368460756E-3</v>
      </c>
      <c r="AW15" s="32">
        <f>IFERROR(MATCH(A15,Power!$B:$B,0),"")</f>
        <v>48</v>
      </c>
      <c r="AX15" s="32">
        <f>COUNTIF(Power!$B:$B,A15)</f>
        <v>10</v>
      </c>
    </row>
    <row r="16" spans="1:50" ht="30" customHeight="1" x14ac:dyDescent="0.25">
      <c r="A16" s="29" t="s">
        <v>285</v>
      </c>
      <c r="B16" s="29" t="s">
        <v>286</v>
      </c>
      <c r="C16" s="29" t="s">
        <v>287</v>
      </c>
      <c r="D16" s="29" t="s">
        <v>288</v>
      </c>
      <c r="E16" s="29" t="s">
        <v>289</v>
      </c>
      <c r="F16" s="29">
        <v>50</v>
      </c>
      <c r="G16" s="29">
        <v>3</v>
      </c>
      <c r="H16" s="29">
        <v>5</v>
      </c>
      <c r="I16" s="29" t="s">
        <v>290</v>
      </c>
      <c r="J16" s="29" t="s">
        <v>204</v>
      </c>
      <c r="K16" s="29">
        <v>1.1200000000000001</v>
      </c>
      <c r="L16" s="29" t="s">
        <v>291</v>
      </c>
      <c r="M16" s="29">
        <v>2.95</v>
      </c>
      <c r="N16" s="29" t="s">
        <v>292</v>
      </c>
      <c r="O16" s="29">
        <v>85</v>
      </c>
      <c r="P16" s="29" t="s">
        <v>293</v>
      </c>
      <c r="Q16" s="30">
        <v>0.85</v>
      </c>
      <c r="R16" s="29">
        <v>79</v>
      </c>
      <c r="S16" s="29"/>
      <c r="T16" s="29"/>
      <c r="U16" s="29"/>
      <c r="V16" s="29">
        <v>90</v>
      </c>
      <c r="W16" s="29"/>
      <c r="X16" s="29"/>
      <c r="Y16" s="29">
        <v>1300</v>
      </c>
      <c r="Z16" s="29" t="s">
        <v>294</v>
      </c>
      <c r="AA16" s="29">
        <v>50</v>
      </c>
      <c r="AB16" s="29"/>
      <c r="AC16" s="29">
        <v>32</v>
      </c>
      <c r="AD16" s="29"/>
      <c r="AE16" s="29">
        <v>-30</v>
      </c>
      <c r="AF16" s="29">
        <v>70</v>
      </c>
      <c r="AG16" s="29" t="s">
        <v>295</v>
      </c>
      <c r="AH16" s="29" t="s">
        <v>296</v>
      </c>
      <c r="AI16" s="29" t="s">
        <v>297</v>
      </c>
      <c r="AJ16" s="29"/>
      <c r="AK16" s="31"/>
      <c r="AL16" s="31"/>
      <c r="AM16" s="29" t="s">
        <v>298</v>
      </c>
      <c r="AN16" s="29" t="s">
        <v>299</v>
      </c>
      <c r="AO16" s="32">
        <f>MATCH(A16,Attenuation!$B:$B,0)</f>
        <v>139</v>
      </c>
      <c r="AP16" s="32">
        <f>COUNTIF(Attenuation!$B:$B,A16)</f>
        <v>11</v>
      </c>
      <c r="AQ16" s="32">
        <f>INDEX(Attenuation!$C:$C,AO16)</f>
        <v>30</v>
      </c>
      <c r="AR16" s="32">
        <f>INDEX(Attenuation!$C:$C,AO16+AP16-1)</f>
        <v>5800</v>
      </c>
      <c r="AS16" s="33">
        <f>INDEX(LINEST(INDEX(Attenuation!$O:$O,AO16):INDEX(Attenuation!$O:$O,AO16+AP16-1),INDEX(Attenuation!$L:$L,AO16):INDEX(Attenuation!$N:$N,AO16+AP16-1),FALSE,FALSE),1,3)</f>
        <v>0.45588268499081469</v>
      </c>
      <c r="AT16" s="34">
        <f>INDEX(LINEST(INDEX(Attenuation!$O:$O,AO16):INDEX(Attenuation!$O:$O,AO16+AP16-1),INDEX(Attenuation!$L:$L,AO16):INDEX(Attenuation!$N:$N,AO16+AP16-1),FALSE,FALSE),1,2)</f>
        <v>0.98046900385211544</v>
      </c>
      <c r="AU16" s="35">
        <f>INDEX(LINEST(INDEX(Attenuation!$O:$O,AO16):INDEX(Attenuation!$O:$O,AO16+AP16-1),INDEX(Attenuation!$L:$L,AO16):INDEX(Attenuation!$N:$N,AO16+AP16-1),FALSE,FALSE),1,1)</f>
        <v>2.3123160004652455E-3</v>
      </c>
      <c r="AV16" s="36">
        <f>SQRT(SUMIFS(Attenuation!$R:$R,Attenuation!$B:$B,A16)/AP16)</f>
        <v>7.029622941257355E-4</v>
      </c>
      <c r="AW16" s="32" t="str">
        <f>IFERROR(MATCH(A16,Power!$B:$B,0),"")</f>
        <v/>
      </c>
      <c r="AX16" s="32">
        <f>COUNTIF(Power!$B:$B,A16)</f>
        <v>0</v>
      </c>
    </row>
    <row r="17" spans="1:50" ht="30" customHeight="1" x14ac:dyDescent="0.25">
      <c r="A17" s="29" t="s">
        <v>300</v>
      </c>
      <c r="B17" s="29" t="s">
        <v>301</v>
      </c>
      <c r="C17" s="29" t="s">
        <v>302</v>
      </c>
      <c r="D17" s="29" t="s">
        <v>303</v>
      </c>
      <c r="E17" s="29" t="s">
        <v>304</v>
      </c>
      <c r="F17" s="29">
        <v>50</v>
      </c>
      <c r="G17" s="29"/>
      <c r="H17" s="29">
        <v>5</v>
      </c>
      <c r="I17" s="29" t="s">
        <v>305</v>
      </c>
      <c r="J17" s="29" t="s">
        <v>204</v>
      </c>
      <c r="K17" s="29">
        <v>1.08</v>
      </c>
      <c r="L17" s="29" t="s">
        <v>306</v>
      </c>
      <c r="M17" s="29">
        <v>2.95</v>
      </c>
      <c r="N17" s="29" t="s">
        <v>307</v>
      </c>
      <c r="O17" s="29">
        <v>72</v>
      </c>
      <c r="P17" s="29" t="s">
        <v>308</v>
      </c>
      <c r="Q17" s="30">
        <v>0.82</v>
      </c>
      <c r="R17" s="29">
        <v>82</v>
      </c>
      <c r="S17" s="29"/>
      <c r="T17" s="29">
        <v>20.5</v>
      </c>
      <c r="U17" s="29">
        <v>13.6</v>
      </c>
      <c r="V17" s="29">
        <v>85</v>
      </c>
      <c r="W17" s="29">
        <v>10000</v>
      </c>
      <c r="X17" s="29"/>
      <c r="Y17" s="29">
        <v>400</v>
      </c>
      <c r="Z17" s="29" t="s">
        <v>309</v>
      </c>
      <c r="AA17" s="29">
        <v>25</v>
      </c>
      <c r="AB17" s="29">
        <v>50</v>
      </c>
      <c r="AC17" s="29">
        <v>36</v>
      </c>
      <c r="AD17" s="29">
        <v>12.2</v>
      </c>
      <c r="AE17" s="29">
        <v>-55</v>
      </c>
      <c r="AF17" s="29">
        <v>85</v>
      </c>
      <c r="AG17" s="29" t="s">
        <v>310</v>
      </c>
      <c r="AH17" s="29"/>
      <c r="AI17" s="29"/>
      <c r="AJ17" s="29"/>
      <c r="AK17" s="31"/>
      <c r="AL17" s="31"/>
      <c r="AM17" s="29" t="s">
        <v>311</v>
      </c>
      <c r="AN17" s="29" t="s">
        <v>312</v>
      </c>
      <c r="AO17" s="32">
        <f>MATCH(A17,Attenuation!$B:$B,0)</f>
        <v>150</v>
      </c>
      <c r="AP17" s="32">
        <f>COUNTIF(Attenuation!$B:$B,A17)</f>
        <v>20</v>
      </c>
      <c r="AQ17" s="32">
        <f>INDEX(Attenuation!$C:$C,AO17)</f>
        <v>5</v>
      </c>
      <c r="AR17" s="32">
        <f>INDEX(Attenuation!$C:$C,AO17+AP17-1)</f>
        <v>10000</v>
      </c>
      <c r="AS17" s="33">
        <f>INDEX(LINEST(INDEX(Attenuation!$O:$O,AO17):INDEX(Attenuation!$O:$O,AO17+AP17-1),INDEX(Attenuation!$L:$L,AO17):INDEX(Attenuation!$N:$N,AO17+AP17-1),FALSE,FALSE),1,3)</f>
        <v>2.7426613593424212E-3</v>
      </c>
      <c r="AT17" s="34">
        <f>INDEX(LINEST(INDEX(Attenuation!$O:$O,AO17):INDEX(Attenuation!$O:$O,AO17+AP17-1),INDEX(Attenuation!$L:$L,AO17):INDEX(Attenuation!$N:$N,AO17+AP17-1),FALSE,FALSE),1,2)</f>
        <v>0.91980816696756351</v>
      </c>
      <c r="AU17" s="35">
        <f>INDEX(LINEST(INDEX(Attenuation!$O:$O,AO17):INDEX(Attenuation!$O:$O,AO17+AP17-1),INDEX(Attenuation!$L:$L,AO17):INDEX(Attenuation!$N:$N,AO17+AP17-1),FALSE,FALSE),1,1)</f>
        <v>2.0019008074264365E-3</v>
      </c>
      <c r="AV17" s="36">
        <f>SQRT(SUMIFS(Attenuation!$R:$R,Attenuation!$B:$B,A17)/AP17)</f>
        <v>1.8932593280598342E-4</v>
      </c>
      <c r="AW17" s="32">
        <f>IFERROR(MATCH(A17,Power!$B:$B,0),"")</f>
        <v>58</v>
      </c>
      <c r="AX17" s="32">
        <f>COUNTIF(Power!$B:$B,A17)</f>
        <v>10</v>
      </c>
    </row>
    <row r="18" spans="1:50" ht="30" customHeight="1" x14ac:dyDescent="0.25">
      <c r="A18" s="29" t="s">
        <v>313</v>
      </c>
      <c r="B18" s="29" t="s">
        <v>314</v>
      </c>
      <c r="C18" s="29" t="s">
        <v>220</v>
      </c>
      <c r="D18" s="29" t="s">
        <v>315</v>
      </c>
      <c r="E18" s="29" t="s">
        <v>304</v>
      </c>
      <c r="F18" s="29">
        <v>50</v>
      </c>
      <c r="G18" s="29">
        <v>3</v>
      </c>
      <c r="H18" s="29">
        <v>5</v>
      </c>
      <c r="I18" s="29" t="s">
        <v>316</v>
      </c>
      <c r="J18" s="29" t="s">
        <v>204</v>
      </c>
      <c r="K18" s="29">
        <v>1.1299999999999999</v>
      </c>
      <c r="L18" s="29" t="s">
        <v>291</v>
      </c>
      <c r="M18" s="29">
        <v>3</v>
      </c>
      <c r="N18" s="29" t="s">
        <v>317</v>
      </c>
      <c r="O18" s="29"/>
      <c r="P18" s="29" t="s">
        <v>318</v>
      </c>
      <c r="Q18" s="30">
        <v>0.85</v>
      </c>
      <c r="R18" s="29">
        <v>76</v>
      </c>
      <c r="S18" s="29"/>
      <c r="T18" s="29">
        <v>17</v>
      </c>
      <c r="U18" s="29">
        <v>34</v>
      </c>
      <c r="V18" s="29">
        <v>105</v>
      </c>
      <c r="W18" s="29"/>
      <c r="X18" s="29">
        <v>2</v>
      </c>
      <c r="Y18" s="29"/>
      <c r="Z18" s="29"/>
      <c r="AA18" s="29">
        <v>25</v>
      </c>
      <c r="AB18" s="29">
        <v>50</v>
      </c>
      <c r="AC18" s="29">
        <v>23</v>
      </c>
      <c r="AD18" s="29"/>
      <c r="AE18" s="29">
        <v>-45</v>
      </c>
      <c r="AF18" s="29">
        <v>70</v>
      </c>
      <c r="AG18" s="29" t="s">
        <v>264</v>
      </c>
      <c r="AH18" s="29" t="s">
        <v>264</v>
      </c>
      <c r="AI18" s="29" t="s">
        <v>319</v>
      </c>
      <c r="AJ18" s="29"/>
      <c r="AK18" s="31"/>
      <c r="AL18" s="31"/>
      <c r="AM18" s="29" t="s">
        <v>320</v>
      </c>
      <c r="AN18" s="29" t="s">
        <v>321</v>
      </c>
      <c r="AO18" s="32">
        <f>MATCH(A18,Attenuation!$B:$B,0)</f>
        <v>170</v>
      </c>
      <c r="AP18" s="32">
        <f>COUNTIF(Attenuation!$B:$B,A18)</f>
        <v>21</v>
      </c>
      <c r="AQ18" s="32">
        <f>INDEX(Attenuation!$C:$C,AO18)</f>
        <v>1.8</v>
      </c>
      <c r="AR18" s="32">
        <f>INDEX(Attenuation!$C:$C,AO18+AP18-1)</f>
        <v>6000</v>
      </c>
      <c r="AS18" s="33">
        <f>INDEX(LINEST(INDEX(Attenuation!$O:$O,AO18):INDEX(Attenuation!$O:$O,AO18+AP18-1),INDEX(Attenuation!$L:$L,AO18):INDEX(Attenuation!$N:$N,AO18+AP18-1),FALSE,FALSE),1,3)</f>
        <v>0.59148910380835429</v>
      </c>
      <c r="AT18" s="34">
        <f>INDEX(LINEST(INDEX(Attenuation!$O:$O,AO18):INDEX(Attenuation!$O:$O,AO18+AP18-1),INDEX(Attenuation!$L:$L,AO18):INDEX(Attenuation!$N:$N,AO18+AP18-1),FALSE,FALSE),1,2)</f>
        <v>0.88488632488794006</v>
      </c>
      <c r="AU18" s="35">
        <f>INDEX(LINEST(INDEX(Attenuation!$O:$O,AO18):INDEX(Attenuation!$O:$O,AO18+AP18-1),INDEX(Attenuation!$L:$L,AO18):INDEX(Attenuation!$N:$N,AO18+AP18-1),FALSE,FALSE),1,1)</f>
        <v>1.1366488413582191E-3</v>
      </c>
      <c r="AV18" s="36">
        <f>SQRT(SUMIFS(Attenuation!$R:$R,Attenuation!$B:$B,A18)/AP18)</f>
        <v>2.2624369359161154E-2</v>
      </c>
      <c r="AW18" s="32">
        <f>IFERROR(MATCH(A18,Power!$B:$B,0),"")</f>
        <v>68</v>
      </c>
      <c r="AX18" s="32">
        <f>COUNTIF(Power!$B:$B,A18)</f>
        <v>21</v>
      </c>
    </row>
    <row r="19" spans="1:50" ht="30" customHeight="1" x14ac:dyDescent="0.25">
      <c r="A19" s="29" t="s">
        <v>322</v>
      </c>
      <c r="B19" s="29" t="s">
        <v>323</v>
      </c>
      <c r="C19" s="29" t="s">
        <v>156</v>
      </c>
      <c r="D19" s="29" t="s">
        <v>324</v>
      </c>
      <c r="E19" s="29" t="s">
        <v>325</v>
      </c>
      <c r="F19" s="29">
        <v>50</v>
      </c>
      <c r="G19" s="29"/>
      <c r="H19" s="29">
        <v>5.4</v>
      </c>
      <c r="I19" s="29" t="s">
        <v>261</v>
      </c>
      <c r="J19" s="29" t="s">
        <v>326</v>
      </c>
      <c r="K19" s="29">
        <v>1.41</v>
      </c>
      <c r="L19" s="29" t="s">
        <v>230</v>
      </c>
      <c r="M19" s="29">
        <v>3.9</v>
      </c>
      <c r="N19" s="29" t="s">
        <v>327</v>
      </c>
      <c r="O19" s="29">
        <v>80</v>
      </c>
      <c r="P19" s="29" t="s">
        <v>328</v>
      </c>
      <c r="Q19" s="30">
        <v>0.8</v>
      </c>
      <c r="R19" s="29">
        <v>84</v>
      </c>
      <c r="S19" s="29"/>
      <c r="T19" s="29">
        <v>15.4</v>
      </c>
      <c r="U19" s="29"/>
      <c r="V19" s="29">
        <v>85</v>
      </c>
      <c r="W19" s="29"/>
      <c r="X19" s="29"/>
      <c r="Y19" s="29"/>
      <c r="Z19" s="29"/>
      <c r="AA19" s="29"/>
      <c r="AB19" s="29"/>
      <c r="AC19" s="29"/>
      <c r="AD19" s="29">
        <v>10.199999999999999</v>
      </c>
      <c r="AE19" s="29">
        <v>-30</v>
      </c>
      <c r="AF19" s="29">
        <v>70</v>
      </c>
      <c r="AG19" s="29" t="s">
        <v>329</v>
      </c>
      <c r="AH19" s="29"/>
      <c r="AI19" s="29" t="s">
        <v>330</v>
      </c>
      <c r="AJ19" s="29"/>
      <c r="AK19" s="31"/>
      <c r="AL19" s="31"/>
      <c r="AM19" s="29" t="s">
        <v>331</v>
      </c>
      <c r="AN19" s="29" t="s">
        <v>332</v>
      </c>
      <c r="AO19" s="32">
        <f>MATCH(A19,Attenuation!$B:$B,0)</f>
        <v>191</v>
      </c>
      <c r="AP19" s="32">
        <f>COUNTIF(Attenuation!$B:$B,A19)</f>
        <v>18</v>
      </c>
      <c r="AQ19" s="32">
        <f>INDEX(Attenuation!$C:$C,AO19)</f>
        <v>5</v>
      </c>
      <c r="AR19" s="32">
        <f>INDEX(Attenuation!$C:$C,AO19+AP19-1)</f>
        <v>6000</v>
      </c>
      <c r="AS19" s="33">
        <f>INDEX(LINEST(INDEX(Attenuation!$O:$O,AO19):INDEX(Attenuation!$O:$O,AO19+AP19-1),INDEX(Attenuation!$L:$L,AO19):INDEX(Attenuation!$N:$N,AO19+AP19-1),FALSE,FALSE),1,3)</f>
        <v>0.74981291698340302</v>
      </c>
      <c r="AT19" s="34">
        <f>INDEX(LINEST(INDEX(Attenuation!$O:$O,AO19):INDEX(Attenuation!$O:$O,AO19+AP19-1),INDEX(Attenuation!$L:$L,AO19):INDEX(Attenuation!$N:$N,AO19+AP19-1),FALSE,FALSE),1,2)</f>
        <v>0.78947149804736327</v>
      </c>
      <c r="AU19" s="35">
        <f>INDEX(LINEST(INDEX(Attenuation!$O:$O,AO19):INDEX(Attenuation!$O:$O,AO19+AP19-1),INDEX(Attenuation!$L:$L,AO19):INDEX(Attenuation!$N:$N,AO19+AP19-1),FALSE,FALSE),1,1)</f>
        <v>4.0295520490745348E-3</v>
      </c>
      <c r="AV19" s="36">
        <f>SQRT(SUMIFS(Attenuation!$R:$R,Attenuation!$B:$B,A19)/AP19)</f>
        <v>1.4741550968849184E-2</v>
      </c>
      <c r="AW19" s="32" t="str">
        <f>IFERROR(MATCH(A19,Power!$B:$B,0),"")</f>
        <v/>
      </c>
      <c r="AX19" s="32">
        <f>COUNTIF(Power!$B:$B,A19)</f>
        <v>0</v>
      </c>
    </row>
    <row r="20" spans="1:50" ht="30" customHeight="1" x14ac:dyDescent="0.25">
      <c r="A20" s="29" t="s">
        <v>333</v>
      </c>
      <c r="B20" s="29" t="s">
        <v>334</v>
      </c>
      <c r="C20" s="29" t="s">
        <v>220</v>
      </c>
      <c r="D20" s="29" t="s">
        <v>335</v>
      </c>
      <c r="E20" s="29" t="s">
        <v>336</v>
      </c>
      <c r="F20" s="29">
        <v>50</v>
      </c>
      <c r="G20" s="29">
        <v>3</v>
      </c>
      <c r="H20" s="29">
        <v>5.4</v>
      </c>
      <c r="I20" s="29" t="s">
        <v>337</v>
      </c>
      <c r="J20" s="29" t="s">
        <v>338</v>
      </c>
      <c r="K20" s="29">
        <v>1.4</v>
      </c>
      <c r="L20" s="29" t="s">
        <v>291</v>
      </c>
      <c r="M20" s="29">
        <v>3.7</v>
      </c>
      <c r="N20" s="29" t="s">
        <v>339</v>
      </c>
      <c r="O20" s="29">
        <v>88</v>
      </c>
      <c r="P20" s="29" t="s">
        <v>340</v>
      </c>
      <c r="Q20" s="30">
        <v>0.87</v>
      </c>
      <c r="R20" s="29">
        <v>74</v>
      </c>
      <c r="S20" s="29"/>
      <c r="T20" s="29">
        <v>14</v>
      </c>
      <c r="U20" s="29">
        <v>11</v>
      </c>
      <c r="V20" s="29">
        <v>105</v>
      </c>
      <c r="W20" s="29"/>
      <c r="X20" s="29">
        <v>2.9</v>
      </c>
      <c r="Y20" s="29"/>
      <c r="Z20" s="29"/>
      <c r="AA20" s="29">
        <v>25</v>
      </c>
      <c r="AB20" s="29">
        <v>50</v>
      </c>
      <c r="AC20" s="29">
        <v>44</v>
      </c>
      <c r="AD20" s="29"/>
      <c r="AE20" s="29">
        <v>-45</v>
      </c>
      <c r="AF20" s="29">
        <v>70</v>
      </c>
      <c r="AG20" s="29" t="s">
        <v>341</v>
      </c>
      <c r="AH20" s="29"/>
      <c r="AI20" s="29" t="s">
        <v>342</v>
      </c>
      <c r="AJ20" s="29" t="s">
        <v>343</v>
      </c>
      <c r="AK20" s="31"/>
      <c r="AL20" s="31"/>
      <c r="AM20" s="29" t="s">
        <v>344</v>
      </c>
      <c r="AN20" s="29" t="s">
        <v>345</v>
      </c>
      <c r="AO20" s="32">
        <f>MATCH(A20,Attenuation!$B:$B,0)</f>
        <v>209</v>
      </c>
      <c r="AP20" s="32">
        <f>COUNTIF(Attenuation!$B:$B,A20)</f>
        <v>21</v>
      </c>
      <c r="AQ20" s="32">
        <f>INDEX(Attenuation!$C:$C,AO20)</f>
        <v>1.8</v>
      </c>
      <c r="AR20" s="32">
        <f>INDEX(Attenuation!$C:$C,AO20+AP20-1)</f>
        <v>6000</v>
      </c>
      <c r="AS20" s="33">
        <f>INDEX(LINEST(INDEX(Attenuation!$O:$O,AO20):INDEX(Attenuation!$O:$O,AO20+AP20-1),INDEX(Attenuation!$L:$L,AO20):INDEX(Attenuation!$N:$N,AO20+AP20-1),FALSE,FALSE),1,3)</f>
        <v>0.41996660962587962</v>
      </c>
      <c r="AT20" s="34">
        <f>INDEX(LINEST(INDEX(Attenuation!$O:$O,AO20):INDEX(Attenuation!$O:$O,AO20+AP20-1),INDEX(Attenuation!$L:$L,AO20):INDEX(Attenuation!$N:$N,AO20+AP20-1),FALSE,FALSE),1,2)</f>
        <v>0.71210828396124581</v>
      </c>
      <c r="AU20" s="35">
        <f>INDEX(LINEST(INDEX(Attenuation!$O:$O,AO20):INDEX(Attenuation!$O:$O,AO20+AP20-1),INDEX(Attenuation!$L:$L,AO20):INDEX(Attenuation!$N:$N,AO20+AP20-1),FALSE,FALSE),1,1)</f>
        <v>3.0342711225858545E-3</v>
      </c>
      <c r="AV20" s="36">
        <f>SQRT(SUMIFS(Attenuation!$R:$R,Attenuation!$B:$B,A20)/AP20)</f>
        <v>2.8555311881335022E-2</v>
      </c>
      <c r="AW20" s="32">
        <f>IFERROR(MATCH(A20,Power!$B:$B,0),"")</f>
        <v>89</v>
      </c>
      <c r="AX20" s="32">
        <f>COUNTIF(Power!$B:$B,A20)</f>
        <v>21</v>
      </c>
    </row>
    <row r="21" spans="1:50" ht="30" customHeight="1" x14ac:dyDescent="0.25">
      <c r="A21" s="29" t="s">
        <v>346</v>
      </c>
      <c r="B21" s="29" t="s">
        <v>347</v>
      </c>
      <c r="C21" s="29" t="s">
        <v>201</v>
      </c>
      <c r="D21" s="29" t="s">
        <v>348</v>
      </c>
      <c r="E21" s="29" t="s">
        <v>349</v>
      </c>
      <c r="F21" s="29">
        <v>50</v>
      </c>
      <c r="G21" s="29"/>
      <c r="H21" s="29">
        <v>6.1</v>
      </c>
      <c r="I21" s="29" t="s">
        <v>337</v>
      </c>
      <c r="J21" s="29" t="s">
        <v>204</v>
      </c>
      <c r="K21" s="29">
        <v>1.42</v>
      </c>
      <c r="L21" s="29" t="s">
        <v>230</v>
      </c>
      <c r="M21" s="29">
        <v>3.81</v>
      </c>
      <c r="N21" s="29" t="s">
        <v>262</v>
      </c>
      <c r="O21" s="29"/>
      <c r="P21" s="29" t="s">
        <v>350</v>
      </c>
      <c r="Q21" s="30">
        <v>0.84</v>
      </c>
      <c r="R21" s="29">
        <v>79.400000000000006</v>
      </c>
      <c r="S21" s="29">
        <v>0.2</v>
      </c>
      <c r="T21" s="29">
        <v>10.5</v>
      </c>
      <c r="U21" s="29">
        <v>12.76</v>
      </c>
      <c r="V21" s="29">
        <v>90</v>
      </c>
      <c r="W21" s="29">
        <v>8000</v>
      </c>
      <c r="X21" s="29">
        <v>5.6</v>
      </c>
      <c r="Y21" s="29">
        <v>1500</v>
      </c>
      <c r="Z21" s="29" t="s">
        <v>351</v>
      </c>
      <c r="AA21" s="29">
        <v>19.05</v>
      </c>
      <c r="AB21" s="29">
        <v>63.5</v>
      </c>
      <c r="AC21" s="29">
        <v>49.1</v>
      </c>
      <c r="AD21" s="29">
        <v>36.29</v>
      </c>
      <c r="AE21" s="29">
        <v>-40</v>
      </c>
      <c r="AF21" s="29">
        <v>85</v>
      </c>
      <c r="AG21" s="29" t="s">
        <v>264</v>
      </c>
      <c r="AH21" s="29"/>
      <c r="AI21" s="29"/>
      <c r="AJ21" s="29"/>
      <c r="AK21" s="31">
        <v>0.24207999999999999</v>
      </c>
      <c r="AL21" s="31">
        <v>3.3E-4</v>
      </c>
      <c r="AM21" s="29" t="s">
        <v>352</v>
      </c>
      <c r="AN21" s="29" t="s">
        <v>353</v>
      </c>
      <c r="AO21" s="32">
        <f>MATCH(A21,Attenuation!$B:$B,0)</f>
        <v>230</v>
      </c>
      <c r="AP21" s="32">
        <f>COUNTIF(Attenuation!$B:$B,A21)</f>
        <v>12</v>
      </c>
      <c r="AQ21" s="32">
        <f>INDEX(Attenuation!$C:$C,AO21)</f>
        <v>30</v>
      </c>
      <c r="AR21" s="32">
        <f>INDEX(Attenuation!$C:$C,AO21+AP21-1)</f>
        <v>5800</v>
      </c>
      <c r="AS21" s="33">
        <f>INDEX(LINEST(INDEX(Attenuation!$O:$O,AO21):INDEX(Attenuation!$O:$O,AO21+AP21-1),INDEX(Attenuation!$L:$L,AO21):INDEX(Attenuation!$N:$N,AO21+AP21-1),FALSE,FALSE),1,3)</f>
        <v>-0.18293256889195073</v>
      </c>
      <c r="AT21" s="34">
        <f>INDEX(LINEST(INDEX(Attenuation!$O:$O,AO21):INDEX(Attenuation!$O:$O,AO21+AP21-1),INDEX(Attenuation!$L:$L,AO21):INDEX(Attenuation!$N:$N,AO21+AP21-1),FALSE,FALSE),1,2)</f>
        <v>0.80838187239410175</v>
      </c>
      <c r="AU21" s="35">
        <f>INDEX(LINEST(INDEX(Attenuation!$O:$O,AO21):INDEX(Attenuation!$O:$O,AO21+AP21-1),INDEX(Attenuation!$L:$L,AO21):INDEX(Attenuation!$N:$N,AO21+AP21-1),FALSE,FALSE),1,1)</f>
        <v>9.0878674173045816E-4</v>
      </c>
      <c r="AV21" s="36">
        <f>SQRT(SUMIFS(Attenuation!$R:$R,Attenuation!$B:$B,A21)/AP21)</f>
        <v>4.4724337539194872E-3</v>
      </c>
      <c r="AW21" s="32">
        <f>IFERROR(MATCH(A21,Power!$B:$B,0),"")</f>
        <v>110</v>
      </c>
      <c r="AX21" s="32">
        <f>COUNTIF(Power!$B:$B,A21)</f>
        <v>10</v>
      </c>
    </row>
    <row r="22" spans="1:50" ht="30" customHeight="1" x14ac:dyDescent="0.25">
      <c r="A22" s="29" t="s">
        <v>354</v>
      </c>
      <c r="B22" s="29" t="s">
        <v>355</v>
      </c>
      <c r="C22" s="29" t="s">
        <v>287</v>
      </c>
      <c r="D22" s="29" t="s">
        <v>356</v>
      </c>
      <c r="E22" s="29" t="s">
        <v>357</v>
      </c>
      <c r="F22" s="29">
        <v>50</v>
      </c>
      <c r="G22" s="29">
        <v>3</v>
      </c>
      <c r="H22" s="29">
        <v>6</v>
      </c>
      <c r="I22" s="29" t="s">
        <v>290</v>
      </c>
      <c r="J22" s="29" t="s">
        <v>204</v>
      </c>
      <c r="K22" s="29">
        <v>1.4</v>
      </c>
      <c r="L22" s="29" t="s">
        <v>291</v>
      </c>
      <c r="M22" s="29">
        <v>3.8</v>
      </c>
      <c r="N22" s="29" t="s">
        <v>292</v>
      </c>
      <c r="O22" s="29">
        <v>85</v>
      </c>
      <c r="P22" s="29" t="s">
        <v>358</v>
      </c>
      <c r="Q22" s="30">
        <v>0.85</v>
      </c>
      <c r="R22" s="29">
        <v>79</v>
      </c>
      <c r="S22" s="29"/>
      <c r="T22" s="29"/>
      <c r="U22" s="29"/>
      <c r="V22" s="29">
        <v>90</v>
      </c>
      <c r="W22" s="29"/>
      <c r="X22" s="29"/>
      <c r="Y22" s="29">
        <v>1300</v>
      </c>
      <c r="Z22" s="29" t="s">
        <v>294</v>
      </c>
      <c r="AA22" s="29">
        <v>60</v>
      </c>
      <c r="AB22" s="29"/>
      <c r="AC22" s="29">
        <v>43</v>
      </c>
      <c r="AD22" s="29"/>
      <c r="AE22" s="29">
        <v>-30</v>
      </c>
      <c r="AF22" s="29">
        <v>70</v>
      </c>
      <c r="AG22" s="29" t="s">
        <v>295</v>
      </c>
      <c r="AH22" s="29" t="s">
        <v>296</v>
      </c>
      <c r="AI22" s="29" t="s">
        <v>297</v>
      </c>
      <c r="AJ22" s="29"/>
      <c r="AK22" s="31"/>
      <c r="AL22" s="31"/>
      <c r="AM22" s="29" t="s">
        <v>298</v>
      </c>
      <c r="AN22" s="29" t="s">
        <v>359</v>
      </c>
      <c r="AO22" s="32">
        <f>MATCH(A22,Attenuation!$B:$B,0)</f>
        <v>242</v>
      </c>
      <c r="AP22" s="32">
        <f>COUNTIF(Attenuation!$B:$B,A22)</f>
        <v>11</v>
      </c>
      <c r="AQ22" s="32">
        <f>INDEX(Attenuation!$C:$C,AO22)</f>
        <v>30</v>
      </c>
      <c r="AR22" s="32">
        <f>INDEX(Attenuation!$C:$C,AO22+AP22-1)</f>
        <v>5800</v>
      </c>
      <c r="AS22" s="33">
        <f>INDEX(LINEST(INDEX(Attenuation!$O:$O,AO22):INDEX(Attenuation!$O:$O,AO22+AP22-1),INDEX(Attenuation!$L:$L,AO22):INDEX(Attenuation!$N:$N,AO22+AP22-1),FALSE,FALSE),1,3)</f>
        <v>0.50105217247574352</v>
      </c>
      <c r="AT22" s="34">
        <f>INDEX(LINEST(INDEX(Attenuation!$O:$O,AO22):INDEX(Attenuation!$O:$O,AO22+AP22-1),INDEX(Attenuation!$L:$L,AO22):INDEX(Attenuation!$N:$N,AO22+AP22-1),FALSE,FALSE),1,2)</f>
        <v>0.7498686568464521</v>
      </c>
      <c r="AU22" s="35">
        <f>INDEX(LINEST(INDEX(Attenuation!$O:$O,AO22):INDEX(Attenuation!$O:$O,AO22+AP22-1),INDEX(Attenuation!$L:$L,AO22):INDEX(Attenuation!$N:$N,AO22+AP22-1),FALSE,FALSE),1,1)</f>
        <v>2.0023650799773957E-3</v>
      </c>
      <c r="AV22" s="36">
        <f>SQRT(SUMIFS(Attenuation!$R:$R,Attenuation!$B:$B,A22)/AP22)</f>
        <v>2.7361552156317595E-4</v>
      </c>
      <c r="AW22" s="32" t="str">
        <f>IFERROR(MATCH(A22,Power!$B:$B,0),"")</f>
        <v/>
      </c>
      <c r="AX22" s="32">
        <f>COUNTIF(Power!$B:$B,A22)</f>
        <v>0</v>
      </c>
    </row>
    <row r="23" spans="1:50" ht="30" customHeight="1" x14ac:dyDescent="0.25">
      <c r="A23" s="29" t="s">
        <v>360</v>
      </c>
      <c r="B23" s="29" t="s">
        <v>361</v>
      </c>
      <c r="C23" s="29" t="s">
        <v>287</v>
      </c>
      <c r="D23" s="29" t="s">
        <v>362</v>
      </c>
      <c r="E23" s="29" t="s">
        <v>363</v>
      </c>
      <c r="F23" s="29">
        <v>50</v>
      </c>
      <c r="G23" s="29">
        <v>3</v>
      </c>
      <c r="H23" s="29">
        <v>10.3</v>
      </c>
      <c r="I23" s="29" t="s">
        <v>290</v>
      </c>
      <c r="J23" s="29" t="s">
        <v>364</v>
      </c>
      <c r="K23" s="29">
        <v>2.25</v>
      </c>
      <c r="L23" s="29" t="s">
        <v>365</v>
      </c>
      <c r="M23" s="29">
        <v>7.25</v>
      </c>
      <c r="N23" s="29" t="s">
        <v>366</v>
      </c>
      <c r="O23" s="29">
        <v>95</v>
      </c>
      <c r="P23" s="29" t="s">
        <v>367</v>
      </c>
      <c r="Q23" s="30">
        <v>0.66</v>
      </c>
      <c r="R23" s="29">
        <v>101</v>
      </c>
      <c r="S23" s="29"/>
      <c r="T23" s="29"/>
      <c r="U23" s="29"/>
      <c r="V23" s="29"/>
      <c r="W23" s="29"/>
      <c r="X23" s="29"/>
      <c r="Y23" s="29">
        <v>5000</v>
      </c>
      <c r="Z23" s="29" t="s">
        <v>368</v>
      </c>
      <c r="AA23" s="29">
        <v>103</v>
      </c>
      <c r="AB23" s="29"/>
      <c r="AC23" s="29">
        <v>135</v>
      </c>
      <c r="AD23" s="29"/>
      <c r="AE23" s="29">
        <v>-30</v>
      </c>
      <c r="AF23" s="29">
        <v>70</v>
      </c>
      <c r="AG23" s="29" t="s">
        <v>295</v>
      </c>
      <c r="AH23" s="29" t="s">
        <v>296</v>
      </c>
      <c r="AI23" s="29" t="s">
        <v>369</v>
      </c>
      <c r="AJ23" s="29"/>
      <c r="AK23" s="31"/>
      <c r="AL23" s="31"/>
      <c r="AM23" s="29" t="s">
        <v>298</v>
      </c>
      <c r="AN23" s="29" t="s">
        <v>370</v>
      </c>
      <c r="AO23" s="32">
        <f>MATCH(A23,Attenuation!$B:$B,0)</f>
        <v>253</v>
      </c>
      <c r="AP23" s="32">
        <f>COUNTIF(Attenuation!$B:$B,A23)</f>
        <v>9</v>
      </c>
      <c r="AQ23" s="32">
        <f>INDEX(Attenuation!$C:$C,AO23)</f>
        <v>1</v>
      </c>
      <c r="AR23" s="32">
        <f>INDEX(Attenuation!$C:$C,AO23+AP23-1)</f>
        <v>1000</v>
      </c>
      <c r="AS23" s="33">
        <f>INDEX(LINEST(INDEX(Attenuation!$O:$O,AO23):INDEX(Attenuation!$O:$O,AO23+AP23-1),INDEX(Attenuation!$L:$L,AO23):INDEX(Attenuation!$N:$N,AO23+AP23-1),FALSE,FALSE),1,3)</f>
        <v>0.24981019967947099</v>
      </c>
      <c r="AT23" s="34">
        <f>INDEX(LINEST(INDEX(Attenuation!$O:$O,AO23):INDEX(Attenuation!$O:$O,AO23+AP23-1),INDEX(Attenuation!$L:$L,AO23):INDEX(Attenuation!$N:$N,AO23+AP23-1),FALSE,FALSE),1,2)</f>
        <v>0.55023090663301277</v>
      </c>
      <c r="AU23" s="35">
        <f>INDEX(LINEST(INDEX(Attenuation!$O:$O,AO23):INDEX(Attenuation!$O:$O,AO23+AP23-1),INDEX(Attenuation!$L:$L,AO23):INDEX(Attenuation!$N:$N,AO23+AP23-1),FALSE,FALSE),1,1)</f>
        <v>9.9903221147205588E-3</v>
      </c>
      <c r="AV23" s="36">
        <f>SQRT(SUMIFS(Attenuation!$R:$R,Attenuation!$B:$B,A23)/AP23)</f>
        <v>8.4959047976625274E-5</v>
      </c>
      <c r="AW23" s="32" t="str">
        <f>IFERROR(MATCH(A23,Power!$B:$B,0),"")</f>
        <v/>
      </c>
      <c r="AX23" s="32">
        <f>COUNTIF(Power!$B:$B,A23)</f>
        <v>0</v>
      </c>
    </row>
    <row r="24" spans="1:50" ht="30" customHeight="1" x14ac:dyDescent="0.25">
      <c r="A24" s="29" t="s">
        <v>371</v>
      </c>
      <c r="B24" s="29" t="s">
        <v>66</v>
      </c>
      <c r="C24" s="29" t="s">
        <v>156</v>
      </c>
      <c r="D24" s="29" t="s">
        <v>372</v>
      </c>
      <c r="E24" s="29" t="s">
        <v>363</v>
      </c>
      <c r="F24" s="29">
        <v>50</v>
      </c>
      <c r="G24" s="29"/>
      <c r="H24" s="29">
        <v>10.3</v>
      </c>
      <c r="I24" s="29" t="s">
        <v>261</v>
      </c>
      <c r="J24" s="29" t="s">
        <v>373</v>
      </c>
      <c r="K24" s="29">
        <v>2.2599999999999998</v>
      </c>
      <c r="L24" s="29" t="s">
        <v>175</v>
      </c>
      <c r="M24" s="29">
        <v>7.24</v>
      </c>
      <c r="N24" s="29" t="s">
        <v>278</v>
      </c>
      <c r="O24" s="29">
        <v>95</v>
      </c>
      <c r="P24" s="29" t="s">
        <v>242</v>
      </c>
      <c r="Q24" s="30">
        <v>0.66</v>
      </c>
      <c r="R24" s="29">
        <v>101</v>
      </c>
      <c r="S24" s="29"/>
      <c r="T24" s="29">
        <v>5.58</v>
      </c>
      <c r="U24" s="29">
        <v>3.9</v>
      </c>
      <c r="V24" s="29"/>
      <c r="W24" s="29"/>
      <c r="X24" s="29"/>
      <c r="Y24" s="29">
        <v>3700</v>
      </c>
      <c r="Z24" s="29" t="s">
        <v>374</v>
      </c>
      <c r="AA24" s="29">
        <v>100</v>
      </c>
      <c r="AB24" s="29"/>
      <c r="AC24" s="29">
        <v>154.80000000000001</v>
      </c>
      <c r="AD24" s="29">
        <v>83.5</v>
      </c>
      <c r="AE24" s="29">
        <v>-40</v>
      </c>
      <c r="AF24" s="29">
        <v>80</v>
      </c>
      <c r="AG24" s="29" t="s">
        <v>196</v>
      </c>
      <c r="AH24" s="29"/>
      <c r="AI24" s="29" t="s">
        <v>375</v>
      </c>
      <c r="AJ24" s="29"/>
      <c r="AK24" s="31"/>
      <c r="AL24" s="31"/>
      <c r="AM24" s="29" t="s">
        <v>376</v>
      </c>
      <c r="AN24" s="29" t="s">
        <v>377</v>
      </c>
      <c r="AO24" s="32">
        <f>MATCH(A24,Attenuation!$B:$B,0)</f>
        <v>262</v>
      </c>
      <c r="AP24" s="32">
        <f>COUNTIF(Attenuation!$B:$B,A24)</f>
        <v>10</v>
      </c>
      <c r="AQ24" s="32">
        <f>INDEX(Attenuation!$C:$C,AO24)</f>
        <v>1</v>
      </c>
      <c r="AR24" s="32">
        <f>INDEX(Attenuation!$C:$C,AO24+AP24-1)</f>
        <v>4000</v>
      </c>
      <c r="AS24" s="33">
        <f>INDEX(LINEST(INDEX(Attenuation!$O:$O,AO24):INDEX(Attenuation!$O:$O,AO24+AP24-1),INDEX(Attenuation!$L:$L,AO24):INDEX(Attenuation!$N:$N,AO24+AP24-1),FALSE,FALSE),1,3)</f>
        <v>3.2794470346667409E-2</v>
      </c>
      <c r="AT24" s="34">
        <f>INDEX(LINEST(INDEX(Attenuation!$O:$O,AO24):INDEX(Attenuation!$O:$O,AO24+AP24-1),INDEX(Attenuation!$L:$L,AO24):INDEX(Attenuation!$N:$N,AO24+AP24-1),FALSE,FALSE),1,2)</f>
        <v>0.51874267139237951</v>
      </c>
      <c r="AU24" s="35">
        <f>INDEX(LINEST(INDEX(Attenuation!$O:$O,AO24):INDEX(Attenuation!$O:$O,AO24+AP24-1),INDEX(Attenuation!$L:$L,AO24):INDEX(Attenuation!$N:$N,AO24+AP24-1),FALSE,FALSE),1,1)</f>
        <v>9.5623021815227742E-3</v>
      </c>
      <c r="AV24" s="36">
        <f>SQRT(SUMIFS(Attenuation!$R:$R,Attenuation!$B:$B,A24)/AP24)</f>
        <v>3.0443097588747321E-2</v>
      </c>
      <c r="AW24" s="32">
        <f>IFERROR(MATCH(A24,Power!$B:$B,0),"")</f>
        <v>120</v>
      </c>
      <c r="AX24" s="32">
        <f>COUNTIF(Power!$B:$B,A24)</f>
        <v>10</v>
      </c>
    </row>
    <row r="25" spans="1:50" ht="30" customHeight="1" x14ac:dyDescent="0.25">
      <c r="A25" s="29" t="s">
        <v>378</v>
      </c>
      <c r="B25" s="29" t="s">
        <v>379</v>
      </c>
      <c r="C25" s="29" t="s">
        <v>156</v>
      </c>
      <c r="D25" s="29" t="s">
        <v>380</v>
      </c>
      <c r="E25" s="29" t="s">
        <v>381</v>
      </c>
      <c r="F25" s="29">
        <v>50</v>
      </c>
      <c r="G25" s="29"/>
      <c r="H25" s="29">
        <v>10.8</v>
      </c>
      <c r="I25" s="29" t="s">
        <v>239</v>
      </c>
      <c r="J25" s="29" t="s">
        <v>373</v>
      </c>
      <c r="K25" s="29">
        <v>2.2599999999999998</v>
      </c>
      <c r="L25" s="29" t="s">
        <v>175</v>
      </c>
      <c r="M25" s="29">
        <v>7.24</v>
      </c>
      <c r="N25" s="29" t="s">
        <v>241</v>
      </c>
      <c r="O25" s="29">
        <v>95</v>
      </c>
      <c r="P25" s="29" t="s">
        <v>242</v>
      </c>
      <c r="Q25" s="30">
        <v>0.66</v>
      </c>
      <c r="R25" s="29">
        <v>101</v>
      </c>
      <c r="S25" s="29"/>
      <c r="T25" s="29">
        <v>5.58</v>
      </c>
      <c r="U25" s="29">
        <v>2.2999999999999998</v>
      </c>
      <c r="V25" s="29"/>
      <c r="W25" s="29"/>
      <c r="X25" s="29"/>
      <c r="Y25" s="29">
        <v>3700</v>
      </c>
      <c r="Z25" s="29" t="s">
        <v>374</v>
      </c>
      <c r="AA25" s="29">
        <v>108</v>
      </c>
      <c r="AB25" s="29"/>
      <c r="AC25" s="29">
        <v>194.9</v>
      </c>
      <c r="AD25" s="29">
        <v>102</v>
      </c>
      <c r="AE25" s="29">
        <v>-40</v>
      </c>
      <c r="AF25" s="29">
        <v>80</v>
      </c>
      <c r="AG25" s="29" t="s">
        <v>243</v>
      </c>
      <c r="AH25" s="29"/>
      <c r="AI25" s="29" t="s">
        <v>375</v>
      </c>
      <c r="AJ25" s="29"/>
      <c r="AK25" s="31"/>
      <c r="AL25" s="31"/>
      <c r="AM25" s="29" t="s">
        <v>382</v>
      </c>
      <c r="AN25" s="29" t="s">
        <v>383</v>
      </c>
      <c r="AO25" s="32">
        <f>MATCH(A25,Attenuation!$B:$B,0)</f>
        <v>272</v>
      </c>
      <c r="AP25" s="32">
        <f>COUNTIF(Attenuation!$B:$B,A25)</f>
        <v>10</v>
      </c>
      <c r="AQ25" s="32">
        <f>INDEX(Attenuation!$C:$C,AO25)</f>
        <v>1</v>
      </c>
      <c r="AR25" s="32">
        <f>INDEX(Attenuation!$C:$C,AO25+AP25-1)</f>
        <v>4000</v>
      </c>
      <c r="AS25" s="33">
        <f>INDEX(LINEST(INDEX(Attenuation!$O:$O,AO25):INDEX(Attenuation!$O:$O,AO25+AP25-1),INDEX(Attenuation!$L:$L,AO25):INDEX(Attenuation!$N:$N,AO25+AP25-1),FALSE,FALSE),1,3)</f>
        <v>1.4279552874918907E-2</v>
      </c>
      <c r="AT25" s="34">
        <f>INDEX(LINEST(INDEX(Attenuation!$O:$O,AO25):INDEX(Attenuation!$O:$O,AO25+AP25-1),INDEX(Attenuation!$L:$L,AO25):INDEX(Attenuation!$N:$N,AO25+AP25-1),FALSE,FALSE),1,2)</f>
        <v>0.53547476827650831</v>
      </c>
      <c r="AU25" s="35">
        <f>INDEX(LINEST(INDEX(Attenuation!$O:$O,AO25):INDEX(Attenuation!$O:$O,AO25+AP25-1),INDEX(Attenuation!$L:$L,AO25):INDEX(Attenuation!$N:$N,AO25+AP25-1),FALSE,FALSE),1,1)</f>
        <v>8.5257926061245229E-3</v>
      </c>
      <c r="AV25" s="36">
        <f>SQRT(SUMIFS(Attenuation!$R:$R,Attenuation!$B:$B,A25)/AP25)</f>
        <v>3.544053744667687E-2</v>
      </c>
      <c r="AW25" s="32">
        <f>IFERROR(MATCH(A25,Power!$B:$B,0),"")</f>
        <v>130</v>
      </c>
      <c r="AX25" s="32">
        <f>COUNTIF(Power!$B:$B,A25)</f>
        <v>8</v>
      </c>
    </row>
    <row r="26" spans="1:50" ht="30" customHeight="1" x14ac:dyDescent="0.25">
      <c r="A26" s="29" t="s">
        <v>384</v>
      </c>
      <c r="B26" s="29" t="s">
        <v>385</v>
      </c>
      <c r="C26" s="29" t="s">
        <v>220</v>
      </c>
      <c r="D26" s="29" t="s">
        <v>386</v>
      </c>
      <c r="E26" s="29" t="s">
        <v>363</v>
      </c>
      <c r="F26" s="29">
        <v>50</v>
      </c>
      <c r="G26" s="29"/>
      <c r="H26" s="29">
        <v>10.3</v>
      </c>
      <c r="I26" s="29"/>
      <c r="J26" s="29"/>
      <c r="K26" s="29"/>
      <c r="L26" s="29"/>
      <c r="M26" s="29"/>
      <c r="N26" s="29"/>
      <c r="O26" s="29"/>
      <c r="P26" s="29"/>
      <c r="Q26" s="30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31"/>
      <c r="AL26" s="31"/>
      <c r="AM26" s="29" t="s">
        <v>223</v>
      </c>
      <c r="AN26" s="29" t="s">
        <v>387</v>
      </c>
      <c r="AO26" s="32">
        <f>MATCH(A26,Attenuation!$B:$B,0)</f>
        <v>282</v>
      </c>
      <c r="AP26" s="32">
        <f>COUNTIF(Attenuation!$B:$B,A26)</f>
        <v>9</v>
      </c>
      <c r="AQ26" s="32">
        <f>INDEX(Attenuation!$C:$C,AO26)</f>
        <v>10</v>
      </c>
      <c r="AR26" s="32">
        <f>INDEX(Attenuation!$C:$C,AO26+AP26-1)</f>
        <v>1296</v>
      </c>
      <c r="AS26" s="33">
        <f>INDEX(LINEST(INDEX(Attenuation!$O:$O,AO26):INDEX(Attenuation!$O:$O,AO26+AP26-1),INDEX(Attenuation!$L:$L,AO26):INDEX(Attenuation!$N:$N,AO26+AP26-1),FALSE,FALSE),1,3)</f>
        <v>0.42963123186710667</v>
      </c>
      <c r="AT26" s="34">
        <f>INDEX(LINEST(INDEX(Attenuation!$O:$O,AO26):INDEX(Attenuation!$O:$O,AO26+AP26-1),INDEX(Attenuation!$L:$L,AO26):INDEX(Attenuation!$N:$N,AO26+AP26-1),FALSE,FALSE),1,2)</f>
        <v>0.51406376914965091</v>
      </c>
      <c r="AU26" s="35">
        <f>INDEX(LINEST(INDEX(Attenuation!$O:$O,AO26):INDEX(Attenuation!$O:$O,AO26+AP26-1),INDEX(Attenuation!$L:$L,AO26):INDEX(Attenuation!$N:$N,AO26+AP26-1),FALSE,FALSE),1,1)</f>
        <v>6.7474115568884468E-3</v>
      </c>
      <c r="AV26" s="36">
        <f>SQRT(SUMIFS(Attenuation!$R:$R,Attenuation!$B:$B,A26)/AP26)</f>
        <v>1.3777853793112353E-2</v>
      </c>
      <c r="AW26" s="32" t="str">
        <f>IFERROR(MATCH(A26,Power!$B:$B,0),"")</f>
        <v/>
      </c>
      <c r="AX26" s="32">
        <f>COUNTIF(Power!$B:$B,A26)</f>
        <v>0</v>
      </c>
    </row>
    <row r="27" spans="1:50" ht="30" customHeight="1" x14ac:dyDescent="0.25">
      <c r="A27" s="29" t="s">
        <v>388</v>
      </c>
      <c r="B27" s="29" t="s">
        <v>389</v>
      </c>
      <c r="C27" s="29" t="s">
        <v>302</v>
      </c>
      <c r="D27" s="29" t="s">
        <v>390</v>
      </c>
      <c r="E27" s="29" t="s">
        <v>391</v>
      </c>
      <c r="F27" s="29">
        <v>50</v>
      </c>
      <c r="G27" s="29"/>
      <c r="H27" s="29">
        <v>7.3</v>
      </c>
      <c r="I27" s="29" t="s">
        <v>392</v>
      </c>
      <c r="J27" s="29" t="s">
        <v>393</v>
      </c>
      <c r="K27" s="29">
        <v>1.85</v>
      </c>
      <c r="L27" s="29" t="s">
        <v>394</v>
      </c>
      <c r="M27" s="29">
        <v>5</v>
      </c>
      <c r="N27" s="29" t="s">
        <v>307</v>
      </c>
      <c r="O27" s="29">
        <v>70</v>
      </c>
      <c r="P27" s="29" t="s">
        <v>308</v>
      </c>
      <c r="Q27" s="30">
        <v>0.83</v>
      </c>
      <c r="R27" s="29">
        <v>75</v>
      </c>
      <c r="S27" s="29"/>
      <c r="T27" s="29">
        <v>8.6</v>
      </c>
      <c r="U27" s="29">
        <v>8.5</v>
      </c>
      <c r="V27" s="29">
        <v>83</v>
      </c>
      <c r="W27" s="29">
        <v>6000</v>
      </c>
      <c r="X27" s="29"/>
      <c r="Y27" s="29">
        <v>700</v>
      </c>
      <c r="Z27" s="29" t="s">
        <v>309</v>
      </c>
      <c r="AA27" s="29">
        <v>25</v>
      </c>
      <c r="AB27" s="29">
        <v>50</v>
      </c>
      <c r="AC27" s="29">
        <v>72</v>
      </c>
      <c r="AD27" s="29">
        <v>2.04</v>
      </c>
      <c r="AE27" s="29">
        <v>-30</v>
      </c>
      <c r="AF27" s="29">
        <v>80</v>
      </c>
      <c r="AG27" s="29" t="s">
        <v>310</v>
      </c>
      <c r="AH27" s="29"/>
      <c r="AI27" s="29"/>
      <c r="AJ27" s="29"/>
      <c r="AK27" s="31"/>
      <c r="AL27" s="31"/>
      <c r="AM27" s="29" t="s">
        <v>395</v>
      </c>
      <c r="AN27" s="29" t="s">
        <v>396</v>
      </c>
      <c r="AO27" s="32">
        <f>MATCH(A27,Attenuation!$B:$B,0)</f>
        <v>291</v>
      </c>
      <c r="AP27" s="32">
        <f>COUNTIF(Attenuation!$B:$B,A27)</f>
        <v>20</v>
      </c>
      <c r="AQ27" s="32">
        <f>INDEX(Attenuation!$C:$C,AO27)</f>
        <v>5</v>
      </c>
      <c r="AR27" s="32">
        <f>INDEX(Attenuation!$C:$C,AO27+AP27-1)</f>
        <v>6000</v>
      </c>
      <c r="AS27" s="33">
        <f>INDEX(LINEST(INDEX(Attenuation!$O:$O,AO27):INDEX(Attenuation!$O:$O,AO27+AP27-1),INDEX(Attenuation!$L:$L,AO27):INDEX(Attenuation!$N:$N,AO27+AP27-1),FALSE,FALSE),1,3)</f>
        <v>0.33651884865336895</v>
      </c>
      <c r="AT27" s="34">
        <f>INDEX(LINEST(INDEX(Attenuation!$O:$O,AO27):INDEX(Attenuation!$O:$O,AO27+AP27-1),INDEX(Attenuation!$L:$L,AO27):INDEX(Attenuation!$N:$N,AO27+AP27-1),FALSE,FALSE),1,2)</f>
        <v>0.56689522030549777</v>
      </c>
      <c r="AU27" s="35">
        <f>INDEX(LINEST(INDEX(Attenuation!$O:$O,AO27):INDEX(Attenuation!$O:$O,AO27+AP27-1),INDEX(Attenuation!$L:$L,AO27):INDEX(Attenuation!$N:$N,AO27+AP27-1),FALSE,FALSE),1,1)</f>
        <v>3.2530537945498462E-3</v>
      </c>
      <c r="AV27" s="36">
        <f>SQRT(SUMIFS(Attenuation!$R:$R,Attenuation!$B:$B,A27)/AP27)</f>
        <v>8.1265315585658821E-3</v>
      </c>
      <c r="AW27" s="32">
        <f>IFERROR(MATCH(A27,Power!$B:$B,0),"")</f>
        <v>138</v>
      </c>
      <c r="AX27" s="32">
        <f>COUNTIF(Power!$B:$B,A27)</f>
        <v>6</v>
      </c>
    </row>
    <row r="28" spans="1:50" ht="30" customHeight="1" x14ac:dyDescent="0.25">
      <c r="A28" s="29" t="s">
        <v>397</v>
      </c>
      <c r="B28" s="29" t="s">
        <v>398</v>
      </c>
      <c r="C28" s="29" t="s">
        <v>201</v>
      </c>
      <c r="D28" s="29" t="s">
        <v>399</v>
      </c>
      <c r="E28" s="29" t="s">
        <v>400</v>
      </c>
      <c r="F28" s="29">
        <v>50</v>
      </c>
      <c r="G28" s="29"/>
      <c r="H28" s="29">
        <v>7.62</v>
      </c>
      <c r="I28" s="29" t="s">
        <v>261</v>
      </c>
      <c r="J28" s="29" t="s">
        <v>204</v>
      </c>
      <c r="K28" s="29">
        <v>1.78</v>
      </c>
      <c r="L28" s="29" t="s">
        <v>230</v>
      </c>
      <c r="M28" s="29">
        <v>4.83</v>
      </c>
      <c r="N28" s="29" t="s">
        <v>262</v>
      </c>
      <c r="O28" s="29"/>
      <c r="P28" s="29" t="s">
        <v>263</v>
      </c>
      <c r="Q28" s="30">
        <v>0.85</v>
      </c>
      <c r="R28" s="29">
        <v>79.099999999999994</v>
      </c>
      <c r="S28" s="29"/>
      <c r="T28" s="29">
        <v>6.96</v>
      </c>
      <c r="U28" s="29">
        <v>7.25</v>
      </c>
      <c r="V28" s="29">
        <v>90</v>
      </c>
      <c r="W28" s="29"/>
      <c r="X28" s="29"/>
      <c r="Y28" s="29"/>
      <c r="Z28" s="29"/>
      <c r="AA28" s="29">
        <v>22.2</v>
      </c>
      <c r="AB28" s="29"/>
      <c r="AC28" s="29">
        <v>81.8</v>
      </c>
      <c r="AD28" s="29"/>
      <c r="AE28" s="29">
        <v>-40</v>
      </c>
      <c r="AF28" s="29">
        <v>85</v>
      </c>
      <c r="AG28" s="29" t="s">
        <v>264</v>
      </c>
      <c r="AH28" s="29"/>
      <c r="AI28" s="29"/>
      <c r="AJ28" s="29"/>
      <c r="AK28" s="31">
        <v>0.19192999999999999</v>
      </c>
      <c r="AL28" s="31">
        <v>3.3E-4</v>
      </c>
      <c r="AM28" s="29" t="s">
        <v>207</v>
      </c>
      <c r="AN28" s="29" t="s">
        <v>208</v>
      </c>
      <c r="AO28" s="32">
        <f>MATCH(A28,Attenuation!$B:$B,0)</f>
        <v>311</v>
      </c>
      <c r="AP28" s="32">
        <f>COUNTIF(Attenuation!$B:$B,A28)</f>
        <v>10</v>
      </c>
      <c r="AQ28" s="32">
        <f>INDEX(Attenuation!$C:$C,AO28)</f>
        <v>30</v>
      </c>
      <c r="AR28" s="32">
        <f>INDEX(Attenuation!$C:$C,AO28+AP28-1)</f>
        <v>2500</v>
      </c>
      <c r="AS28" s="33">
        <f>INDEX(LINEST(INDEX(Attenuation!$O:$O,AO28):INDEX(Attenuation!$O:$O,AO28+AP28-1),INDEX(Attenuation!$L:$L,AO28):INDEX(Attenuation!$N:$N,AO28+AP28-1),FALSE,FALSE),1,3)</f>
        <v>0.29058288435707852</v>
      </c>
      <c r="AT28" s="34">
        <f>INDEX(LINEST(INDEX(Attenuation!$O:$O,AO28):INDEX(Attenuation!$O:$O,AO28+AP28-1),INDEX(Attenuation!$L:$L,AO28):INDEX(Attenuation!$N:$N,AO28+AP28-1),FALSE,FALSE),1,2)</f>
        <v>0.59754205734040977</v>
      </c>
      <c r="AU28" s="35">
        <f>INDEX(LINEST(INDEX(Attenuation!$O:$O,AO28):INDEX(Attenuation!$O:$O,AO28+AP28-1),INDEX(Attenuation!$L:$L,AO28):INDEX(Attenuation!$N:$N,AO28+AP28-1),FALSE,FALSE),1,1)</f>
        <v>1.594551238104434E-3</v>
      </c>
      <c r="AV28" s="36">
        <f>SQRT(SUMIFS(Attenuation!$R:$R,Attenuation!$B:$B,A28)/AP28)</f>
        <v>1.112400977184423E-2</v>
      </c>
      <c r="AW28" s="32">
        <f>IFERROR(MATCH(A28,Power!$B:$B,0),"")</f>
        <v>144</v>
      </c>
      <c r="AX28" s="32">
        <f>COUNTIF(Power!$B:$B,A28)</f>
        <v>10</v>
      </c>
    </row>
    <row r="29" spans="1:50" ht="30" customHeight="1" x14ac:dyDescent="0.25">
      <c r="A29" s="29" t="s">
        <v>401</v>
      </c>
      <c r="B29" s="29" t="s">
        <v>402</v>
      </c>
      <c r="C29" s="29" t="s">
        <v>403</v>
      </c>
      <c r="D29" s="29" t="s">
        <v>404</v>
      </c>
      <c r="E29" s="29" t="s">
        <v>405</v>
      </c>
      <c r="F29" s="29">
        <v>50</v>
      </c>
      <c r="G29" s="29">
        <v>1</v>
      </c>
      <c r="H29" s="29">
        <v>7.3659999999999997</v>
      </c>
      <c r="I29" s="29" t="s">
        <v>406</v>
      </c>
      <c r="J29" s="29" t="s">
        <v>204</v>
      </c>
      <c r="K29" s="29">
        <v>2.032</v>
      </c>
      <c r="L29" s="29" t="s">
        <v>230</v>
      </c>
      <c r="M29" s="29">
        <v>4.8259999999999996</v>
      </c>
      <c r="N29" s="29" t="s">
        <v>407</v>
      </c>
      <c r="O29" s="29"/>
      <c r="P29" s="29" t="s">
        <v>408</v>
      </c>
      <c r="Q29" s="30">
        <v>0.84</v>
      </c>
      <c r="R29" s="29">
        <v>79</v>
      </c>
      <c r="S29" s="29"/>
      <c r="T29" s="29">
        <v>9.84</v>
      </c>
      <c r="U29" s="29">
        <v>6.56</v>
      </c>
      <c r="V29" s="29"/>
      <c r="W29" s="29">
        <v>18000</v>
      </c>
      <c r="X29" s="29">
        <v>6.4</v>
      </c>
      <c r="Y29" s="29">
        <v>3000</v>
      </c>
      <c r="Z29" s="29" t="s">
        <v>409</v>
      </c>
      <c r="AA29" s="29">
        <v>25.4</v>
      </c>
      <c r="AB29" s="29">
        <v>25.4</v>
      </c>
      <c r="AC29" s="29">
        <v>74.400000000000006</v>
      </c>
      <c r="AD29" s="29">
        <v>68</v>
      </c>
      <c r="AE29" s="29">
        <v>-55</v>
      </c>
      <c r="AF29" s="29">
        <v>85</v>
      </c>
      <c r="AG29" s="29" t="s">
        <v>264</v>
      </c>
      <c r="AH29" s="29"/>
      <c r="AI29" s="29"/>
      <c r="AJ29" s="29"/>
      <c r="AK29" s="31"/>
      <c r="AL29" s="31"/>
      <c r="AM29" s="29" t="s">
        <v>410</v>
      </c>
      <c r="AN29" s="29"/>
      <c r="AO29" s="32">
        <f>MATCH(A29,Attenuation!$B:$B,0)</f>
        <v>321</v>
      </c>
      <c r="AP29" s="32">
        <f>COUNTIF(Attenuation!$B:$B,A29)</f>
        <v>47</v>
      </c>
      <c r="AQ29" s="32">
        <f>INDEX(Attenuation!$C:$C,AO29)</f>
        <v>0.5</v>
      </c>
      <c r="AR29" s="32">
        <f>INDEX(Attenuation!$C:$C,AO29+AP29-1)</f>
        <v>18000</v>
      </c>
      <c r="AS29" s="33">
        <f>INDEX(LINEST(INDEX(Attenuation!$O:$O,AO29):INDEX(Attenuation!$O:$O,AO29+AP29-1),INDEX(Attenuation!$L:$L,AO29):INDEX(Attenuation!$N:$N,AO29+AP29-1),FALSE,FALSE),1,3)</f>
        <v>-1.0559456368220598E-4</v>
      </c>
      <c r="AT29" s="34">
        <f>INDEX(LINEST(INDEX(Attenuation!$O:$O,AO29):INDEX(Attenuation!$O:$O,AO29+AP29-1),INDEX(Attenuation!$L:$L,AO29):INDEX(Attenuation!$N:$N,AO29+AP29-1),FALSE,FALSE),1,2)</f>
        <v>0.57527490257128711</v>
      </c>
      <c r="AU29" s="35">
        <f>INDEX(LINEST(INDEX(Attenuation!$O:$O,AO29):INDEX(Attenuation!$O:$O,AO29+AP29-1),INDEX(Attenuation!$L:$L,AO29):INDEX(Attenuation!$N:$N,AO29+AP29-1),FALSE,FALSE),1,1)</f>
        <v>1.3644008827327827E-3</v>
      </c>
      <c r="AV29" s="36">
        <f>SQRT(SUMIFS(Attenuation!$R:$R,Attenuation!$B:$B,A29)/AP29)</f>
        <v>2.0885988690045009E-4</v>
      </c>
      <c r="AW29" s="32">
        <f>IFERROR(MATCH(A29,Power!$B:$B,0),"")</f>
        <v>154</v>
      </c>
      <c r="AX29" s="32">
        <f>COUNTIF(Power!$B:$B,A29)</f>
        <v>47</v>
      </c>
    </row>
    <row r="30" spans="1:50" ht="30" customHeight="1" x14ac:dyDescent="0.25">
      <c r="A30" s="29" t="s">
        <v>411</v>
      </c>
      <c r="B30" s="29" t="s">
        <v>412</v>
      </c>
      <c r="C30" s="29" t="s">
        <v>413</v>
      </c>
      <c r="D30" s="29" t="s">
        <v>414</v>
      </c>
      <c r="E30" s="29" t="s">
        <v>415</v>
      </c>
      <c r="F30" s="29">
        <v>50</v>
      </c>
      <c r="G30" s="29">
        <v>1</v>
      </c>
      <c r="H30" s="29">
        <v>7.8</v>
      </c>
      <c r="I30" s="29" t="s">
        <v>406</v>
      </c>
      <c r="J30" s="29" t="s">
        <v>204</v>
      </c>
      <c r="K30" s="29">
        <v>1.9</v>
      </c>
      <c r="L30" s="29" t="s">
        <v>230</v>
      </c>
      <c r="M30" s="29">
        <v>4.3</v>
      </c>
      <c r="N30" s="29" t="s">
        <v>416</v>
      </c>
      <c r="O30" s="29"/>
      <c r="P30" s="29" t="s">
        <v>417</v>
      </c>
      <c r="Q30" s="30">
        <v>0.81</v>
      </c>
      <c r="R30" s="29">
        <v>82</v>
      </c>
      <c r="S30" s="29">
        <v>0.20699999999999999</v>
      </c>
      <c r="T30" s="29">
        <v>10.5</v>
      </c>
      <c r="U30" s="29">
        <v>9</v>
      </c>
      <c r="V30" s="29"/>
      <c r="W30" s="29">
        <v>20400</v>
      </c>
      <c r="X30" s="29">
        <v>5.5</v>
      </c>
      <c r="Y30" s="29">
        <v>740</v>
      </c>
      <c r="Z30" s="29" t="s">
        <v>309</v>
      </c>
      <c r="AA30" s="29"/>
      <c r="AB30" s="29">
        <v>25</v>
      </c>
      <c r="AC30" s="29">
        <v>60</v>
      </c>
      <c r="AD30" s="29">
        <v>61.2</v>
      </c>
      <c r="AE30" s="29">
        <v>-50</v>
      </c>
      <c r="AF30" s="29">
        <v>85</v>
      </c>
      <c r="AG30" s="29" t="s">
        <v>264</v>
      </c>
      <c r="AH30" s="29"/>
      <c r="AI30" s="29" t="s">
        <v>418</v>
      </c>
      <c r="AJ30" s="29"/>
      <c r="AK30" s="31"/>
      <c r="AL30" s="31"/>
      <c r="AM30" s="29" t="s">
        <v>419</v>
      </c>
      <c r="AN30" s="29" t="s">
        <v>420</v>
      </c>
      <c r="AO30" s="32">
        <f>MATCH(A30,Attenuation!$B:$B,0)</f>
        <v>368</v>
      </c>
      <c r="AP30" s="32">
        <f>COUNTIF(Attenuation!$B:$B,A30)</f>
        <v>17</v>
      </c>
      <c r="AQ30" s="32">
        <f>INDEX(Attenuation!$C:$C,AO30)</f>
        <v>1</v>
      </c>
      <c r="AR30" s="32">
        <f>INDEX(Attenuation!$C:$C,AO30+AP30-1)</f>
        <v>20400</v>
      </c>
      <c r="AS30" s="33">
        <f>INDEX(LINEST(INDEX(Attenuation!$O:$O,AO30):INDEX(Attenuation!$O:$O,AO30+AP30-1),INDEX(Attenuation!$L:$L,AO30):INDEX(Attenuation!$N:$N,AO30+AP30-1),FALSE,FALSE),1,3)</f>
        <v>2.4122579411864431E-3</v>
      </c>
      <c r="AT30" s="34">
        <f>INDEX(LINEST(INDEX(Attenuation!$O:$O,AO30):INDEX(Attenuation!$O:$O,AO30+AP30-1),INDEX(Attenuation!$L:$L,AO30):INDEX(Attenuation!$N:$N,AO30+AP30-1),FALSE,FALSE),1,2)</f>
        <v>0.56598218683752932</v>
      </c>
      <c r="AU30" s="35">
        <f>INDEX(LINEST(INDEX(Attenuation!$O:$O,AO30):INDEX(Attenuation!$O:$O,AO30+AP30-1),INDEX(Attenuation!$L:$L,AO30):INDEX(Attenuation!$N:$N,AO30+AP30-1),FALSE,FALSE),1,1)</f>
        <v>1.600429584843131E-3</v>
      </c>
      <c r="AV30" s="36">
        <f>SQRT(SUMIFS(Attenuation!$R:$R,Attenuation!$B:$B,A30)/AP30)</f>
        <v>1.6295942752406702E-4</v>
      </c>
      <c r="AW30" s="32">
        <f>IFERROR(MATCH(A30,Power!$B:$B,0),"")</f>
        <v>201</v>
      </c>
      <c r="AX30" s="32">
        <f>COUNTIF(Power!$B:$B,A30)</f>
        <v>17</v>
      </c>
    </row>
    <row r="31" spans="1:50" ht="30" customHeight="1" x14ac:dyDescent="0.25">
      <c r="A31" s="29" t="s">
        <v>421</v>
      </c>
      <c r="B31" s="29" t="s">
        <v>422</v>
      </c>
      <c r="C31" s="29" t="s">
        <v>220</v>
      </c>
      <c r="D31" s="29" t="s">
        <v>423</v>
      </c>
      <c r="E31" s="29" t="s">
        <v>424</v>
      </c>
      <c r="F31" s="29">
        <v>50</v>
      </c>
      <c r="G31" s="29">
        <v>3</v>
      </c>
      <c r="H31" s="29">
        <v>7.3</v>
      </c>
      <c r="I31" s="29" t="s">
        <v>337</v>
      </c>
      <c r="J31" s="29" t="s">
        <v>425</v>
      </c>
      <c r="K31" s="29">
        <v>1.9</v>
      </c>
      <c r="L31" s="29" t="s">
        <v>426</v>
      </c>
      <c r="M31" s="29">
        <v>5</v>
      </c>
      <c r="N31" s="29" t="s">
        <v>427</v>
      </c>
      <c r="O31" s="29"/>
      <c r="P31" s="29" t="s">
        <v>340</v>
      </c>
      <c r="Q31" s="30">
        <v>0.83</v>
      </c>
      <c r="R31" s="29">
        <v>75</v>
      </c>
      <c r="S31" s="29"/>
      <c r="T31" s="29">
        <v>7.3</v>
      </c>
      <c r="U31" s="29">
        <v>9.8000000000000007</v>
      </c>
      <c r="V31" s="29">
        <v>105</v>
      </c>
      <c r="W31" s="29"/>
      <c r="X31" s="29">
        <v>8</v>
      </c>
      <c r="Y31" s="29"/>
      <c r="Z31" s="29"/>
      <c r="AA31" s="29">
        <v>34</v>
      </c>
      <c r="AB31" s="29">
        <v>68</v>
      </c>
      <c r="AC31" s="29">
        <v>69</v>
      </c>
      <c r="AD31" s="29"/>
      <c r="AE31" s="29">
        <v>-40</v>
      </c>
      <c r="AF31" s="29">
        <v>60</v>
      </c>
      <c r="AG31" s="29" t="s">
        <v>341</v>
      </c>
      <c r="AH31" s="29"/>
      <c r="AI31" s="29" t="s">
        <v>428</v>
      </c>
      <c r="AJ31" s="29"/>
      <c r="AK31" s="31"/>
      <c r="AL31" s="31"/>
      <c r="AM31" s="29" t="s">
        <v>429</v>
      </c>
      <c r="AN31" s="29"/>
      <c r="AO31" s="32">
        <f>MATCH(A31,Attenuation!$B:$B,0)</f>
        <v>385</v>
      </c>
      <c r="AP31" s="32">
        <f>COUNTIF(Attenuation!$B:$B,A31)</f>
        <v>23</v>
      </c>
      <c r="AQ31" s="32">
        <f>INDEX(Attenuation!$C:$C,AO31)</f>
        <v>1.8</v>
      </c>
      <c r="AR31" s="32">
        <f>INDEX(Attenuation!$C:$C,AO31+AP31-1)</f>
        <v>8000</v>
      </c>
      <c r="AS31" s="33">
        <f>INDEX(LINEST(INDEX(Attenuation!$O:$O,AO31):INDEX(Attenuation!$O:$O,AO31+AP31-1),INDEX(Attenuation!$L:$L,AO31):INDEX(Attenuation!$N:$N,AO31+AP31-1),FALSE,FALSE),1,3)</f>
        <v>0.35591551145296385</v>
      </c>
      <c r="AT31" s="34">
        <f>INDEX(LINEST(INDEX(Attenuation!$O:$O,AO31):INDEX(Attenuation!$O:$O,AO31+AP31-1),INDEX(Attenuation!$L:$L,AO31):INDEX(Attenuation!$N:$N,AO31+AP31-1),FALSE,FALSE),1,2)</f>
        <v>0.50192112890280083</v>
      </c>
      <c r="AU31" s="35">
        <f>INDEX(LINEST(INDEX(Attenuation!$O:$O,AO31):INDEX(Attenuation!$O:$O,AO31+AP31-1),INDEX(Attenuation!$L:$L,AO31):INDEX(Attenuation!$N:$N,AO31+AP31-1),FALSE,FALSE),1,1)</f>
        <v>2.825443125877152E-3</v>
      </c>
      <c r="AV31" s="36">
        <f>SQRT(SUMIFS(Attenuation!$R:$R,Attenuation!$B:$B,A31)/AP31)</f>
        <v>2.4238059383732972E-2</v>
      </c>
      <c r="AW31" s="32">
        <f>IFERROR(MATCH(A31,Power!$B:$B,0),"")</f>
        <v>218</v>
      </c>
      <c r="AX31" s="32">
        <f>COUNTIF(Power!$B:$B,A31)</f>
        <v>23</v>
      </c>
    </row>
    <row r="32" spans="1:50" ht="30" customHeight="1" x14ac:dyDescent="0.25">
      <c r="A32" s="29" t="s">
        <v>430</v>
      </c>
      <c r="B32" s="29" t="s">
        <v>431</v>
      </c>
      <c r="C32" s="29" t="s">
        <v>432</v>
      </c>
      <c r="D32" s="29" t="s">
        <v>433</v>
      </c>
      <c r="E32" s="29" t="s">
        <v>434</v>
      </c>
      <c r="F32" s="29">
        <v>50</v>
      </c>
      <c r="G32" s="29">
        <v>2</v>
      </c>
      <c r="H32" s="29">
        <v>10.16</v>
      </c>
      <c r="I32" s="29" t="s">
        <v>435</v>
      </c>
      <c r="J32" s="29" t="s">
        <v>436</v>
      </c>
      <c r="K32" s="29">
        <v>2.74</v>
      </c>
      <c r="L32" s="29" t="s">
        <v>437</v>
      </c>
      <c r="M32" s="29">
        <v>7.25</v>
      </c>
      <c r="N32" s="29" t="s">
        <v>438</v>
      </c>
      <c r="O32" s="29">
        <v>85</v>
      </c>
      <c r="P32" s="29" t="s">
        <v>439</v>
      </c>
      <c r="Q32" s="30"/>
      <c r="R32" s="29">
        <v>78</v>
      </c>
      <c r="S32" s="29"/>
      <c r="T32" s="29">
        <v>4.5999999999999996</v>
      </c>
      <c r="U32" s="29">
        <v>5.9</v>
      </c>
      <c r="V32" s="29"/>
      <c r="W32" s="29">
        <v>4000</v>
      </c>
      <c r="X32" s="29"/>
      <c r="Y32" s="29">
        <v>600</v>
      </c>
      <c r="Z32" s="29" t="s">
        <v>440</v>
      </c>
      <c r="AA32" s="29">
        <v>100</v>
      </c>
      <c r="AB32" s="29"/>
      <c r="AC32" s="29">
        <v>128</v>
      </c>
      <c r="AD32" s="29">
        <v>153</v>
      </c>
      <c r="AE32" s="29">
        <v>-40</v>
      </c>
      <c r="AF32" s="29">
        <v>80</v>
      </c>
      <c r="AG32" s="29" t="s">
        <v>264</v>
      </c>
      <c r="AH32" s="29"/>
      <c r="AI32" s="29" t="s">
        <v>441</v>
      </c>
      <c r="AJ32" s="29"/>
      <c r="AK32" s="31"/>
      <c r="AL32" s="31"/>
      <c r="AM32" s="29" t="s">
        <v>442</v>
      </c>
      <c r="AN32" s="29" t="s">
        <v>443</v>
      </c>
      <c r="AO32" s="32">
        <f>MATCH(A32,Attenuation!$B:$B,0)</f>
        <v>408</v>
      </c>
      <c r="AP32" s="32">
        <f>COUNTIF(Attenuation!$B:$B,A32)</f>
        <v>5</v>
      </c>
      <c r="AQ32" s="32">
        <f>INDEX(Attenuation!$C:$C,AO32)</f>
        <v>140</v>
      </c>
      <c r="AR32" s="32">
        <f>INDEX(Attenuation!$C:$C,AO32+AP32-1)</f>
        <v>1900</v>
      </c>
      <c r="AS32" s="33">
        <f>INDEX(LINEST(INDEX(Attenuation!$O:$O,AO32):INDEX(Attenuation!$O:$O,AO32+AP32-1),INDEX(Attenuation!$L:$L,AO32):INDEX(Attenuation!$N:$N,AO32+AP32-1),FALSE,FALSE),1,3)</f>
        <v>0.84620997872572468</v>
      </c>
      <c r="AT32" s="34">
        <f>INDEX(LINEST(INDEX(Attenuation!$O:$O,AO32):INDEX(Attenuation!$O:$O,AO32+AP32-1),INDEX(Attenuation!$L:$L,AO32):INDEX(Attenuation!$N:$N,AO32+AP32-1),FALSE,FALSE),1,2)</f>
        <v>0.41420394738532956</v>
      </c>
      <c r="AU32" s="35">
        <f>INDEX(LINEST(INDEX(Attenuation!$O:$O,AO32):INDEX(Attenuation!$O:$O,AO32+AP32-1),INDEX(Attenuation!$L:$L,AO32):INDEX(Attenuation!$N:$N,AO32+AP32-1),FALSE,FALSE),1,1)</f>
        <v>1.5805443451246573E-3</v>
      </c>
      <c r="AV32" s="36">
        <f>SQRT(SUMIFS(Attenuation!$R:$R,Attenuation!$B:$B,A32)/AP32)</f>
        <v>1.3351011033514118E-2</v>
      </c>
      <c r="AW32" s="32" t="str">
        <f>IFERROR(MATCH(A32,Power!$B:$B,0),"")</f>
        <v/>
      </c>
      <c r="AX32" s="32">
        <f>COUNTIF(Power!$B:$B,A32)</f>
        <v>0</v>
      </c>
    </row>
    <row r="33" spans="1:50" ht="30" customHeight="1" x14ac:dyDescent="0.25">
      <c r="A33" s="29" t="s">
        <v>444</v>
      </c>
      <c r="B33" s="29" t="s">
        <v>445</v>
      </c>
      <c r="C33" s="29" t="s">
        <v>446</v>
      </c>
      <c r="D33" s="29" t="s">
        <v>447</v>
      </c>
      <c r="E33" s="29" t="s">
        <v>448</v>
      </c>
      <c r="F33" s="29">
        <v>50</v>
      </c>
      <c r="G33" s="29"/>
      <c r="H33" s="29">
        <v>10.3</v>
      </c>
      <c r="I33" s="29" t="s">
        <v>261</v>
      </c>
      <c r="J33" s="29" t="s">
        <v>449</v>
      </c>
      <c r="K33" s="29"/>
      <c r="L33" s="29" t="s">
        <v>230</v>
      </c>
      <c r="M33" s="29"/>
      <c r="N33" s="29" t="s">
        <v>450</v>
      </c>
      <c r="O33" s="29">
        <v>97</v>
      </c>
      <c r="P33" s="29" t="s">
        <v>451</v>
      </c>
      <c r="Q33" s="30">
        <v>0.82</v>
      </c>
      <c r="R33" s="29">
        <v>80.7</v>
      </c>
      <c r="S33" s="29"/>
      <c r="T33" s="29"/>
      <c r="U33" s="29"/>
      <c r="V33" s="29"/>
      <c r="W33" s="29"/>
      <c r="X33" s="29"/>
      <c r="Y33" s="29"/>
      <c r="Z33" s="29"/>
      <c r="AA33" s="29">
        <v>50.8</v>
      </c>
      <c r="AB33" s="29"/>
      <c r="AC33" s="29">
        <v>148.80000000000001</v>
      </c>
      <c r="AD33" s="29"/>
      <c r="AE33" s="29"/>
      <c r="AF33" s="29"/>
      <c r="AG33" s="29" t="s">
        <v>264</v>
      </c>
      <c r="AH33" s="29" t="s">
        <v>264</v>
      </c>
      <c r="AI33" s="29"/>
      <c r="AJ33" s="29"/>
      <c r="AK33" s="31"/>
      <c r="AL33" s="31"/>
      <c r="AM33" s="29" t="s">
        <v>452</v>
      </c>
      <c r="AN33" s="29" t="s">
        <v>453</v>
      </c>
      <c r="AO33" s="32">
        <f>MATCH(A33,Attenuation!$B:$B,0)</f>
        <v>413</v>
      </c>
      <c r="AP33" s="32">
        <f>COUNTIF(Attenuation!$B:$B,A33)</f>
        <v>8</v>
      </c>
      <c r="AQ33" s="32">
        <f>INDEX(Attenuation!$C:$C,AO33)</f>
        <v>10</v>
      </c>
      <c r="AR33" s="32">
        <f>INDEX(Attenuation!$C:$C,AO33+AP33-1)</f>
        <v>1000</v>
      </c>
      <c r="AS33" s="33">
        <f>INDEX(LINEST(INDEX(Attenuation!$O:$O,AO33):INDEX(Attenuation!$O:$O,AO33+AP33-1),INDEX(Attenuation!$L:$L,AO33):INDEX(Attenuation!$N:$N,AO33+AP33-1),FALSE,FALSE),1,3)</f>
        <v>0.75728816081969774</v>
      </c>
      <c r="AT33" s="34">
        <f>INDEX(LINEST(INDEX(Attenuation!$O:$O,AO33):INDEX(Attenuation!$O:$O,AO33+AP33-1),INDEX(Attenuation!$L:$L,AO33):INDEX(Attenuation!$N:$N,AO33+AP33-1),FALSE,FALSE),1,2)</f>
        <v>0.37854142522702661</v>
      </c>
      <c r="AU33" s="35">
        <f>INDEX(LINEST(INDEX(Attenuation!$O:$O,AO33):INDEX(Attenuation!$O:$O,AO33+AP33-1),INDEX(Attenuation!$L:$L,AO33):INDEX(Attenuation!$N:$N,AO33+AP33-1),FALSE,FALSE),1,1)</f>
        <v>2.7345797662584434E-3</v>
      </c>
      <c r="AV33" s="36">
        <f>SQRT(SUMIFS(Attenuation!$R:$R,Attenuation!$B:$B,A33)/AP33)</f>
        <v>1.5724198698044527E-2</v>
      </c>
      <c r="AW33" s="32" t="str">
        <f>IFERROR(MATCH(A33,Power!$B:$B,0),"")</f>
        <v/>
      </c>
      <c r="AX33" s="32">
        <f>COUNTIF(Power!$B:$B,A33)</f>
        <v>0</v>
      </c>
    </row>
    <row r="34" spans="1:50" ht="30" customHeight="1" x14ac:dyDescent="0.25">
      <c r="A34" s="29" t="s">
        <v>454</v>
      </c>
      <c r="B34" s="29" t="s">
        <v>455</v>
      </c>
      <c r="C34" s="29" t="s">
        <v>413</v>
      </c>
      <c r="D34" s="29" t="s">
        <v>456</v>
      </c>
      <c r="E34" s="29" t="s">
        <v>457</v>
      </c>
      <c r="F34" s="29">
        <v>50</v>
      </c>
      <c r="G34" s="29">
        <v>1</v>
      </c>
      <c r="H34" s="29">
        <v>10.199999999999999</v>
      </c>
      <c r="I34" s="29" t="s">
        <v>406</v>
      </c>
      <c r="J34" s="29" t="s">
        <v>204</v>
      </c>
      <c r="K34" s="29">
        <v>2.6</v>
      </c>
      <c r="L34" s="29" t="s">
        <v>230</v>
      </c>
      <c r="M34" s="29">
        <v>6.3</v>
      </c>
      <c r="N34" s="29" t="s">
        <v>458</v>
      </c>
      <c r="O34" s="29"/>
      <c r="P34" s="29" t="s">
        <v>408</v>
      </c>
      <c r="Q34" s="30">
        <v>0.82</v>
      </c>
      <c r="R34" s="29">
        <v>82</v>
      </c>
      <c r="S34" s="29"/>
      <c r="T34" s="29">
        <v>5.3</v>
      </c>
      <c r="U34" s="29">
        <v>5.6</v>
      </c>
      <c r="V34" s="29"/>
      <c r="W34" s="29">
        <v>13400</v>
      </c>
      <c r="X34" s="29">
        <v>11.9</v>
      </c>
      <c r="Y34" s="29">
        <v>1090</v>
      </c>
      <c r="Z34" s="29" t="s">
        <v>309</v>
      </c>
      <c r="AA34" s="29"/>
      <c r="AB34" s="29">
        <v>25</v>
      </c>
      <c r="AC34" s="29">
        <v>113</v>
      </c>
      <c r="AD34" s="29">
        <v>61.2</v>
      </c>
      <c r="AE34" s="29">
        <v>-50</v>
      </c>
      <c r="AF34" s="29">
        <v>85</v>
      </c>
      <c r="AG34" s="29" t="s">
        <v>264</v>
      </c>
      <c r="AH34" s="29"/>
      <c r="AI34" s="29" t="s">
        <v>459</v>
      </c>
      <c r="AJ34" s="29"/>
      <c r="AK34" s="31"/>
      <c r="AL34" s="31"/>
      <c r="AM34" s="29" t="s">
        <v>460</v>
      </c>
      <c r="AN34" s="29"/>
      <c r="AO34" s="32">
        <f>MATCH(A34,Attenuation!$B:$B,0)</f>
        <v>421</v>
      </c>
      <c r="AP34" s="32">
        <f>COUNTIF(Attenuation!$B:$B,A34)</f>
        <v>20</v>
      </c>
      <c r="AQ34" s="32">
        <f>INDEX(Attenuation!$C:$C,AO34)</f>
        <v>100</v>
      </c>
      <c r="AR34" s="32">
        <f>INDEX(Attenuation!$C:$C,AO34+AP34-1)</f>
        <v>6000</v>
      </c>
      <c r="AS34" s="33">
        <f>INDEX(LINEST(INDEX(Attenuation!$O:$O,AO34):INDEX(Attenuation!$O:$O,AO34+AP34-1),INDEX(Attenuation!$L:$L,AO34):INDEX(Attenuation!$N:$N,AO34+AP34-1),FALSE,FALSE),1,3)</f>
        <v>2.5171937240873639E-3</v>
      </c>
      <c r="AT34" s="34">
        <f>INDEX(LINEST(INDEX(Attenuation!$O:$O,AO34):INDEX(Attenuation!$O:$O,AO34+AP34-1),INDEX(Attenuation!$L:$L,AO34):INDEX(Attenuation!$N:$N,AO34+AP34-1),FALSE,FALSE),1,2)</f>
        <v>0.40464340185305414</v>
      </c>
      <c r="AU34" s="35">
        <f>INDEX(LINEST(INDEX(Attenuation!$O:$O,AO34):INDEX(Attenuation!$O:$O,AO34+AP34-1),INDEX(Attenuation!$L:$L,AO34):INDEX(Attenuation!$N:$N,AO34+AP34-1),FALSE,FALSE),1,1)</f>
        <v>1.6013674436307975E-3</v>
      </c>
      <c r="AV34" s="36">
        <f>SQRT(SUMIFS(Attenuation!$R:$R,Attenuation!$B:$B,A34)/AP34)</f>
        <v>2.4735154658002639E-4</v>
      </c>
      <c r="AW34" s="32">
        <f>IFERROR(MATCH(A34,Power!$B:$B,0),"")</f>
        <v>241</v>
      </c>
      <c r="AX34" s="32">
        <f>COUNTIF(Power!$B:$B,A34)</f>
        <v>20</v>
      </c>
    </row>
    <row r="35" spans="1:50" ht="30" customHeight="1" x14ac:dyDescent="0.25">
      <c r="A35" s="29" t="s">
        <v>461</v>
      </c>
      <c r="B35" s="29" t="s">
        <v>462</v>
      </c>
      <c r="C35" s="29" t="s">
        <v>156</v>
      </c>
      <c r="D35" s="29" t="s">
        <v>463</v>
      </c>
      <c r="E35" s="29" t="s">
        <v>464</v>
      </c>
      <c r="F35" s="29">
        <v>50</v>
      </c>
      <c r="G35" s="29"/>
      <c r="H35" s="29">
        <v>10.199999999999999</v>
      </c>
      <c r="I35" s="29" t="s">
        <v>261</v>
      </c>
      <c r="J35" s="29" t="s">
        <v>465</v>
      </c>
      <c r="K35" s="29">
        <v>2.62</v>
      </c>
      <c r="L35" s="29" t="s">
        <v>466</v>
      </c>
      <c r="M35" s="29">
        <v>7.24</v>
      </c>
      <c r="N35" s="29" t="s">
        <v>467</v>
      </c>
      <c r="O35" s="29">
        <v>95</v>
      </c>
      <c r="P35" s="29" t="s">
        <v>177</v>
      </c>
      <c r="Q35" s="30">
        <v>0.82</v>
      </c>
      <c r="R35" s="29">
        <v>81.400000000000006</v>
      </c>
      <c r="S35" s="29"/>
      <c r="T35" s="29">
        <v>3.28</v>
      </c>
      <c r="U35" s="29">
        <v>4.3</v>
      </c>
      <c r="V35" s="29"/>
      <c r="W35" s="29"/>
      <c r="X35" s="29"/>
      <c r="Y35" s="29">
        <v>600</v>
      </c>
      <c r="Z35" s="29" t="s">
        <v>468</v>
      </c>
      <c r="AA35" s="29">
        <v>100</v>
      </c>
      <c r="AB35" s="29"/>
      <c r="AC35" s="29">
        <v>156.19999999999999</v>
      </c>
      <c r="AD35" s="29">
        <v>112</v>
      </c>
      <c r="AE35" s="29"/>
      <c r="AF35" s="29"/>
      <c r="AG35" s="29" t="s">
        <v>469</v>
      </c>
      <c r="AH35" s="29"/>
      <c r="AI35" s="29" t="s">
        <v>470</v>
      </c>
      <c r="AJ35" s="29"/>
      <c r="AK35" s="31"/>
      <c r="AL35" s="31"/>
      <c r="AM35" s="29" t="s">
        <v>471</v>
      </c>
      <c r="AN35" s="29"/>
      <c r="AO35" s="32">
        <f>MATCH(A35,Attenuation!$B:$B,0)</f>
        <v>441</v>
      </c>
      <c r="AP35" s="32">
        <f>COUNTIF(Attenuation!$B:$B,A35)</f>
        <v>15</v>
      </c>
      <c r="AQ35" s="32">
        <f>INDEX(Attenuation!$C:$C,AO35)</f>
        <v>5</v>
      </c>
      <c r="AR35" s="32">
        <f>INDEX(Attenuation!$C:$C,AO35+AP35-1)</f>
        <v>4000</v>
      </c>
      <c r="AS35" s="33">
        <f>INDEX(LINEST(INDEX(Attenuation!$O:$O,AO35):INDEX(Attenuation!$O:$O,AO35+AP35-1),INDEX(Attenuation!$L:$L,AO35):INDEX(Attenuation!$N:$N,AO35+AP35-1),FALSE,FALSE),1,3)</f>
        <v>0.47257887076331195</v>
      </c>
      <c r="AT35" s="34">
        <f>INDEX(LINEST(INDEX(Attenuation!$O:$O,AO35):INDEX(Attenuation!$O:$O,AO35+AP35-1),INDEX(Attenuation!$L:$L,AO35):INDEX(Attenuation!$N:$N,AO35+AP35-1),FALSE,FALSE),1,2)</f>
        <v>0.37025057463158106</v>
      </c>
      <c r="AU35" s="35">
        <f>INDEX(LINEST(INDEX(Attenuation!$O:$O,AO35):INDEX(Attenuation!$O:$O,AO35+AP35-1),INDEX(Attenuation!$L:$L,AO35):INDEX(Attenuation!$N:$N,AO35+AP35-1),FALSE,FALSE),1,1)</f>
        <v>2.1512257901726796E-3</v>
      </c>
      <c r="AV35" s="36">
        <f>SQRT(SUMIFS(Attenuation!$R:$R,Attenuation!$B:$B,A35)/AP35)</f>
        <v>1.8537714269618207E-2</v>
      </c>
      <c r="AW35" s="32">
        <f>IFERROR(MATCH(A35,Power!$B:$B,0),"")</f>
        <v>261</v>
      </c>
      <c r="AX35" s="32">
        <f>COUNTIF(Power!$B:$B,A35)</f>
        <v>13</v>
      </c>
    </row>
    <row r="36" spans="1:50" ht="30" customHeight="1" x14ac:dyDescent="0.25">
      <c r="A36" s="29" t="s">
        <v>472</v>
      </c>
      <c r="B36" s="29" t="s">
        <v>473</v>
      </c>
      <c r="C36" s="29" t="s">
        <v>302</v>
      </c>
      <c r="D36" s="29" t="s">
        <v>474</v>
      </c>
      <c r="E36" s="29" t="s">
        <v>475</v>
      </c>
      <c r="F36" s="29">
        <v>50</v>
      </c>
      <c r="G36" s="29"/>
      <c r="H36" s="29">
        <v>10.199999999999999</v>
      </c>
      <c r="I36" s="29" t="s">
        <v>392</v>
      </c>
      <c r="J36" s="29" t="s">
        <v>476</v>
      </c>
      <c r="K36" s="29">
        <v>2.85</v>
      </c>
      <c r="L36" s="29" t="s">
        <v>394</v>
      </c>
      <c r="M36" s="29">
        <v>7.25</v>
      </c>
      <c r="N36" s="29" t="s">
        <v>307</v>
      </c>
      <c r="O36" s="29">
        <v>72</v>
      </c>
      <c r="P36" s="29" t="s">
        <v>477</v>
      </c>
      <c r="Q36" s="30">
        <v>0.85</v>
      </c>
      <c r="R36" s="29">
        <v>78</v>
      </c>
      <c r="S36" s="29"/>
      <c r="T36" s="29">
        <v>3.3</v>
      </c>
      <c r="U36" s="29">
        <v>8.4</v>
      </c>
      <c r="V36" s="29">
        <v>90</v>
      </c>
      <c r="W36" s="29">
        <v>6000</v>
      </c>
      <c r="X36" s="29"/>
      <c r="Y36" s="29">
        <v>1000</v>
      </c>
      <c r="Z36" s="29" t="s">
        <v>253</v>
      </c>
      <c r="AA36" s="29">
        <v>40</v>
      </c>
      <c r="AB36" s="29"/>
      <c r="AC36" s="29">
        <v>131</v>
      </c>
      <c r="AD36" s="29">
        <v>5.0999999999999996</v>
      </c>
      <c r="AE36" s="29">
        <v>-40</v>
      </c>
      <c r="AF36" s="29">
        <v>85</v>
      </c>
      <c r="AG36" s="29" t="s">
        <v>478</v>
      </c>
      <c r="AH36" s="29"/>
      <c r="AI36" s="29"/>
      <c r="AJ36" s="29"/>
      <c r="AK36" s="31"/>
      <c r="AL36" s="31"/>
      <c r="AM36" s="29" t="s">
        <v>479</v>
      </c>
      <c r="AN36" s="29" t="s">
        <v>480</v>
      </c>
      <c r="AO36" s="32">
        <f>MATCH(A36,Attenuation!$B:$B,0)</f>
        <v>456</v>
      </c>
      <c r="AP36" s="32">
        <f>COUNTIF(Attenuation!$B:$B,A36)</f>
        <v>20</v>
      </c>
      <c r="AQ36" s="32">
        <f>INDEX(Attenuation!$C:$C,AO36)</f>
        <v>5</v>
      </c>
      <c r="AR36" s="32">
        <f>INDEX(Attenuation!$C:$C,AO36+AP36-1)</f>
        <v>6000</v>
      </c>
      <c r="AS36" s="33">
        <f>INDEX(LINEST(INDEX(Attenuation!$O:$O,AO36):INDEX(Attenuation!$O:$O,AO36+AP36-1),INDEX(Attenuation!$L:$L,AO36):INDEX(Attenuation!$N:$N,AO36+AP36-1),FALSE,FALSE),1,3)</f>
        <v>-7.8613951109218747E-2</v>
      </c>
      <c r="AT36" s="34">
        <f>INDEX(LINEST(INDEX(Attenuation!$O:$O,AO36):INDEX(Attenuation!$O:$O,AO36+AP36-1),INDEX(Attenuation!$L:$L,AO36):INDEX(Attenuation!$N:$N,AO36+AP36-1),FALSE,FALSE),1,2)</f>
        <v>0.39230283275761785</v>
      </c>
      <c r="AU36" s="35">
        <f>INDEX(LINEST(INDEX(Attenuation!$O:$O,AO36):INDEX(Attenuation!$O:$O,AO36+AP36-1),INDEX(Attenuation!$L:$L,AO36):INDEX(Attenuation!$N:$N,AO36+AP36-1),FALSE,FALSE),1,1)</f>
        <v>1.8637551492203515E-3</v>
      </c>
      <c r="AV36" s="36">
        <f>SQRT(SUMIFS(Attenuation!$R:$R,Attenuation!$B:$B,A36)/AP36)</f>
        <v>5.1031633509710265E-3</v>
      </c>
      <c r="AW36" s="32">
        <f>IFERROR(MATCH(A36,Power!$B:$B,0),"")</f>
        <v>274</v>
      </c>
      <c r="AX36" s="32">
        <f>COUNTIF(Power!$B:$B,A36)</f>
        <v>9</v>
      </c>
    </row>
    <row r="37" spans="1:50" ht="30" customHeight="1" x14ac:dyDescent="0.25">
      <c r="A37" s="29" t="s">
        <v>481</v>
      </c>
      <c r="B37" s="29" t="s">
        <v>482</v>
      </c>
      <c r="C37" s="29" t="s">
        <v>156</v>
      </c>
      <c r="D37" s="29" t="s">
        <v>483</v>
      </c>
      <c r="E37" s="29" t="s">
        <v>484</v>
      </c>
      <c r="F37" s="29">
        <v>50</v>
      </c>
      <c r="G37" s="29"/>
      <c r="H37" s="29">
        <v>10.3</v>
      </c>
      <c r="I37" s="29" t="s">
        <v>261</v>
      </c>
      <c r="J37" s="29" t="s">
        <v>465</v>
      </c>
      <c r="K37" s="29">
        <v>2.62</v>
      </c>
      <c r="L37" s="29" t="s">
        <v>230</v>
      </c>
      <c r="M37" s="29">
        <v>7.15</v>
      </c>
      <c r="N37" s="29" t="s">
        <v>485</v>
      </c>
      <c r="O37" s="29">
        <v>50</v>
      </c>
      <c r="P37" s="29" t="s">
        <v>486</v>
      </c>
      <c r="Q37" s="30">
        <v>0.83</v>
      </c>
      <c r="R37" s="29">
        <v>80</v>
      </c>
      <c r="S37" s="29"/>
      <c r="T37" s="29">
        <v>3.5</v>
      </c>
      <c r="U37" s="29">
        <v>12</v>
      </c>
      <c r="V37" s="29"/>
      <c r="W37" s="29"/>
      <c r="X37" s="29"/>
      <c r="Y37" s="29"/>
      <c r="Z37" s="29"/>
      <c r="AA37" s="29"/>
      <c r="AB37" s="29"/>
      <c r="AC37" s="29"/>
      <c r="AD37" s="29"/>
      <c r="AE37" s="29">
        <v>-60</v>
      </c>
      <c r="AF37" s="29">
        <v>70</v>
      </c>
      <c r="AG37" s="29" t="s">
        <v>329</v>
      </c>
      <c r="AH37" s="29"/>
      <c r="AI37" s="29"/>
      <c r="AJ37" s="29"/>
      <c r="AK37" s="31"/>
      <c r="AL37" s="31"/>
      <c r="AM37" s="29" t="s">
        <v>487</v>
      </c>
      <c r="AN37" s="29" t="s">
        <v>488</v>
      </c>
      <c r="AO37" s="32">
        <f>MATCH(A37,Attenuation!$B:$B,0)</f>
        <v>476</v>
      </c>
      <c r="AP37" s="32">
        <f>COUNTIF(Attenuation!$B:$B,A37)</f>
        <v>14</v>
      </c>
      <c r="AQ37" s="32">
        <f>INDEX(Attenuation!$C:$C,AO37)</f>
        <v>5</v>
      </c>
      <c r="AR37" s="32">
        <f>INDEX(Attenuation!$C:$C,AO37+AP37-1)</f>
        <v>10000</v>
      </c>
      <c r="AS37" s="33">
        <f>INDEX(LINEST(INDEX(Attenuation!$O:$O,AO37):INDEX(Attenuation!$O:$O,AO37+AP37-1),INDEX(Attenuation!$L:$L,AO37):INDEX(Attenuation!$N:$N,AO37+AP37-1),FALSE,FALSE),1,3)</f>
        <v>-5.9207627616640966E-2</v>
      </c>
      <c r="AT37" s="34">
        <f>INDEX(LINEST(INDEX(Attenuation!$O:$O,AO37):INDEX(Attenuation!$O:$O,AO37+AP37-1),INDEX(Attenuation!$L:$L,AO37):INDEX(Attenuation!$N:$N,AO37+AP37-1),FALSE,FALSE),1,2)</f>
        <v>0.38145804074026096</v>
      </c>
      <c r="AU37" s="35">
        <f>INDEX(LINEST(INDEX(Attenuation!$O:$O,AO37):INDEX(Attenuation!$O:$O,AO37+AP37-1),INDEX(Attenuation!$L:$L,AO37):INDEX(Attenuation!$N:$N,AO37+AP37-1),FALSE,FALSE),1,1)</f>
        <v>2.0804404919928586E-3</v>
      </c>
      <c r="AV37" s="36">
        <f>SQRT(SUMIFS(Attenuation!$R:$R,Attenuation!$B:$B,A37)/AP37)</f>
        <v>7.5445728893746644E-3</v>
      </c>
      <c r="AW37" s="32" t="str">
        <f>IFERROR(MATCH(A37,Power!$B:$B,0),"")</f>
        <v/>
      </c>
      <c r="AX37" s="32">
        <f>COUNTIF(Power!$B:$B,A37)</f>
        <v>0</v>
      </c>
    </row>
    <row r="38" spans="1:50" ht="30" customHeight="1" x14ac:dyDescent="0.25">
      <c r="A38" s="29" t="s">
        <v>489</v>
      </c>
      <c r="B38" s="29" t="s">
        <v>490</v>
      </c>
      <c r="C38" s="29" t="s">
        <v>287</v>
      </c>
      <c r="D38" s="29" t="s">
        <v>491</v>
      </c>
      <c r="E38" s="29" t="s">
        <v>492</v>
      </c>
      <c r="F38" s="29">
        <v>50</v>
      </c>
      <c r="G38" s="29">
        <v>3</v>
      </c>
      <c r="H38" s="29">
        <v>10.199999999999999</v>
      </c>
      <c r="I38" s="29" t="s">
        <v>290</v>
      </c>
      <c r="J38" s="29" t="s">
        <v>493</v>
      </c>
      <c r="K38" s="29">
        <v>2.7</v>
      </c>
      <c r="L38" s="29" t="s">
        <v>291</v>
      </c>
      <c r="M38" s="29">
        <v>7.2</v>
      </c>
      <c r="N38" s="29" t="s">
        <v>292</v>
      </c>
      <c r="O38" s="29">
        <v>85</v>
      </c>
      <c r="P38" s="29" t="s">
        <v>494</v>
      </c>
      <c r="Q38" s="30">
        <v>0.85</v>
      </c>
      <c r="R38" s="29">
        <v>78.5</v>
      </c>
      <c r="S38" s="29"/>
      <c r="T38" s="29"/>
      <c r="U38" s="29"/>
      <c r="V38" s="29">
        <v>90</v>
      </c>
      <c r="W38" s="29"/>
      <c r="X38" s="29"/>
      <c r="Y38" s="29">
        <v>2000</v>
      </c>
      <c r="Z38" s="29" t="s">
        <v>495</v>
      </c>
      <c r="AA38" s="29">
        <v>102</v>
      </c>
      <c r="AB38" s="29"/>
      <c r="AC38" s="29">
        <v>128</v>
      </c>
      <c r="AD38" s="29"/>
      <c r="AE38" s="29">
        <v>-30</v>
      </c>
      <c r="AF38" s="29">
        <v>70</v>
      </c>
      <c r="AG38" s="29" t="s">
        <v>496</v>
      </c>
      <c r="AH38" s="29" t="s">
        <v>497</v>
      </c>
      <c r="AI38" s="29" t="s">
        <v>498</v>
      </c>
      <c r="AJ38" s="29" t="s">
        <v>499</v>
      </c>
      <c r="AK38" s="31"/>
      <c r="AL38" s="31"/>
      <c r="AM38" s="29" t="s">
        <v>298</v>
      </c>
      <c r="AN38" s="29" t="s">
        <v>500</v>
      </c>
      <c r="AO38" s="32">
        <f>MATCH(A38,Attenuation!$B:$B,0)</f>
        <v>490</v>
      </c>
      <c r="AP38" s="32">
        <f>COUNTIF(Attenuation!$B:$B,A38)</f>
        <v>11</v>
      </c>
      <c r="AQ38" s="32">
        <f>INDEX(Attenuation!$C:$C,AO38)</f>
        <v>30</v>
      </c>
      <c r="AR38" s="32">
        <f>INDEX(Attenuation!$C:$C,AO38+AP38-1)</f>
        <v>5800</v>
      </c>
      <c r="AS38" s="33">
        <f>INDEX(LINEST(INDEX(Attenuation!$O:$O,AO38):INDEX(Attenuation!$O:$O,AO38+AP38-1),INDEX(Attenuation!$L:$L,AO38):INDEX(Attenuation!$N:$N,AO38+AP38-1),FALSE,FALSE),1,3)</f>
        <v>0.30162408603782698</v>
      </c>
      <c r="AT38" s="34">
        <f>INDEX(LINEST(INDEX(Attenuation!$O:$O,AO38):INDEX(Attenuation!$O:$O,AO38+AP38-1),INDEX(Attenuation!$L:$L,AO38):INDEX(Attenuation!$N:$N,AO38+AP38-1),FALSE,FALSE),1,2)</f>
        <v>0.36982294626413825</v>
      </c>
      <c r="AU38" s="35">
        <f>INDEX(LINEST(INDEX(Attenuation!$O:$O,AO38):INDEX(Attenuation!$O:$O,AO38+AP38-1),INDEX(Attenuation!$L:$L,AO38):INDEX(Attenuation!$N:$N,AO38+AP38-1),FALSE,FALSE),1,1)</f>
        <v>1.8031981103968019E-3</v>
      </c>
      <c r="AV38" s="36">
        <f>SQRT(SUMIFS(Attenuation!$R:$R,Attenuation!$B:$B,A38)/AP38)</f>
        <v>4.2230006546603084E-4</v>
      </c>
      <c r="AW38" s="32" t="str">
        <f>IFERROR(MATCH(A38,Power!$B:$B,0),"")</f>
        <v/>
      </c>
      <c r="AX38" s="32">
        <f>COUNTIF(Power!$B:$B,A38)</f>
        <v>0</v>
      </c>
    </row>
    <row r="39" spans="1:50" ht="30" customHeight="1" x14ac:dyDescent="0.25">
      <c r="A39" s="29" t="s">
        <v>501</v>
      </c>
      <c r="B39" s="29" t="s">
        <v>67</v>
      </c>
      <c r="C39" s="29" t="s">
        <v>201</v>
      </c>
      <c r="D39" s="29" t="s">
        <v>502</v>
      </c>
      <c r="E39" s="29" t="s">
        <v>503</v>
      </c>
      <c r="F39" s="29">
        <v>50</v>
      </c>
      <c r="G39" s="29"/>
      <c r="H39" s="29">
        <v>10.29</v>
      </c>
      <c r="I39" s="29" t="s">
        <v>406</v>
      </c>
      <c r="J39" s="29" t="s">
        <v>204</v>
      </c>
      <c r="K39" s="29">
        <v>2.74</v>
      </c>
      <c r="L39" s="29" t="s">
        <v>230</v>
      </c>
      <c r="M39" s="29">
        <v>7.24</v>
      </c>
      <c r="N39" s="29" t="s">
        <v>262</v>
      </c>
      <c r="O39" s="29"/>
      <c r="P39" s="29" t="s">
        <v>350</v>
      </c>
      <c r="Q39" s="30">
        <v>0.85</v>
      </c>
      <c r="R39" s="29">
        <v>78.41</v>
      </c>
      <c r="S39" s="29">
        <v>0.2</v>
      </c>
      <c r="T39" s="29">
        <v>4.5599999999999996</v>
      </c>
      <c r="U39" s="29">
        <v>5.41</v>
      </c>
      <c r="V39" s="29">
        <v>90</v>
      </c>
      <c r="W39" s="29">
        <v>6000</v>
      </c>
      <c r="X39" s="29">
        <v>16</v>
      </c>
      <c r="Y39" s="29">
        <v>2500</v>
      </c>
      <c r="Z39" s="29" t="s">
        <v>351</v>
      </c>
      <c r="AA39" s="29">
        <v>25.4</v>
      </c>
      <c r="AB39" s="29">
        <v>101.6</v>
      </c>
      <c r="AC39" s="29">
        <v>99.7</v>
      </c>
      <c r="AD39" s="29">
        <v>72.569999999999993</v>
      </c>
      <c r="AE39" s="29">
        <v>-40</v>
      </c>
      <c r="AF39" s="29">
        <v>85</v>
      </c>
      <c r="AG39" s="29" t="s">
        <v>264</v>
      </c>
      <c r="AH39" s="29"/>
      <c r="AI39" s="29"/>
      <c r="AJ39" s="29"/>
      <c r="AK39" s="31">
        <v>0.12229</v>
      </c>
      <c r="AL39" s="31">
        <v>2.5999999999999998E-4</v>
      </c>
      <c r="AM39" s="29" t="s">
        <v>504</v>
      </c>
      <c r="AN39" s="29" t="s">
        <v>505</v>
      </c>
      <c r="AO39" s="32">
        <f>MATCH(A39,Attenuation!$B:$B,0)</f>
        <v>501</v>
      </c>
      <c r="AP39" s="32">
        <f>COUNTIF(Attenuation!$B:$B,A39)</f>
        <v>12</v>
      </c>
      <c r="AQ39" s="32">
        <f>INDEX(Attenuation!$C:$C,AO39)</f>
        <v>30</v>
      </c>
      <c r="AR39" s="32">
        <f>INDEX(Attenuation!$C:$C,AO39+AP39-1)</f>
        <v>5800</v>
      </c>
      <c r="AS39" s="33">
        <f>INDEX(LINEST(INDEX(Attenuation!$O:$O,AO39):INDEX(Attenuation!$O:$O,AO39+AP39-1),INDEX(Attenuation!$L:$L,AO39):INDEX(Attenuation!$N:$N,AO39+AP39-1),FALSE,FALSE),1,3)</f>
        <v>0.11357194190323019</v>
      </c>
      <c r="AT39" s="34">
        <f>INDEX(LINEST(INDEX(Attenuation!$O:$O,AO39):INDEX(Attenuation!$O:$O,AO39+AP39-1),INDEX(Attenuation!$L:$L,AO39):INDEX(Attenuation!$N:$N,AO39+AP39-1),FALSE,FALSE),1,2)</f>
        <v>0.39207313400908528</v>
      </c>
      <c r="AU39" s="35">
        <f>INDEX(LINEST(INDEX(Attenuation!$O:$O,AO39):INDEX(Attenuation!$O:$O,AO39+AP39-1),INDEX(Attenuation!$L:$L,AO39):INDEX(Attenuation!$N:$N,AO39+AP39-1),FALSE,FALSE),1,1)</f>
        <v>9.9258867209445515E-4</v>
      </c>
      <c r="AV39" s="36">
        <f>SQRT(SUMIFS(Attenuation!$R:$R,Attenuation!$B:$B,A39)/AP39)</f>
        <v>1.0367832516751916E-2</v>
      </c>
      <c r="AW39" s="32">
        <f>IFERROR(MATCH(A39,Power!$B:$B,0),"")</f>
        <v>283</v>
      </c>
      <c r="AX39" s="32">
        <f>COUNTIF(Power!$B:$B,A39)</f>
        <v>10</v>
      </c>
    </row>
    <row r="40" spans="1:50" ht="30" customHeight="1" x14ac:dyDescent="0.25">
      <c r="A40" s="29" t="s">
        <v>506</v>
      </c>
      <c r="B40" s="29" t="s">
        <v>507</v>
      </c>
      <c r="C40" s="29" t="s">
        <v>220</v>
      </c>
      <c r="D40" s="29" t="s">
        <v>508</v>
      </c>
      <c r="E40" s="29" t="s">
        <v>509</v>
      </c>
      <c r="F40" s="29">
        <v>50</v>
      </c>
      <c r="G40" s="29">
        <v>3</v>
      </c>
      <c r="H40" s="29">
        <v>10.3</v>
      </c>
      <c r="I40" s="29" t="s">
        <v>337</v>
      </c>
      <c r="J40" s="29" t="s">
        <v>476</v>
      </c>
      <c r="K40" s="29">
        <v>2.9</v>
      </c>
      <c r="L40" s="29" t="s">
        <v>426</v>
      </c>
      <c r="M40" s="29">
        <v>7.3</v>
      </c>
      <c r="N40" s="29" t="s">
        <v>510</v>
      </c>
      <c r="O40" s="29">
        <v>71</v>
      </c>
      <c r="P40" s="29"/>
      <c r="Q40" s="30">
        <v>0.83</v>
      </c>
      <c r="R40" s="29">
        <v>78</v>
      </c>
      <c r="S40" s="29"/>
      <c r="T40" s="29">
        <v>3.2</v>
      </c>
      <c r="U40" s="29">
        <v>9.1999999999999993</v>
      </c>
      <c r="V40" s="29">
        <v>105</v>
      </c>
      <c r="W40" s="29"/>
      <c r="X40" s="29">
        <v>13</v>
      </c>
      <c r="Y40" s="29"/>
      <c r="Z40" s="29"/>
      <c r="AA40" s="29">
        <v>40</v>
      </c>
      <c r="AB40" s="29">
        <v>80</v>
      </c>
      <c r="AC40" s="29">
        <v>130</v>
      </c>
      <c r="AD40" s="29"/>
      <c r="AE40" s="29"/>
      <c r="AF40" s="29"/>
      <c r="AG40" s="29"/>
      <c r="AH40" s="29"/>
      <c r="AI40" s="29" t="s">
        <v>511</v>
      </c>
      <c r="AJ40" s="29" t="s">
        <v>512</v>
      </c>
      <c r="AK40" s="31"/>
      <c r="AL40" s="31"/>
      <c r="AM40" s="29" t="s">
        <v>513</v>
      </c>
      <c r="AN40" s="29" t="s">
        <v>514</v>
      </c>
      <c r="AO40" s="32">
        <f>MATCH(A40,Attenuation!$B:$B,0)</f>
        <v>513</v>
      </c>
      <c r="AP40" s="32">
        <f>COUNTIF(Attenuation!$B:$B,A40)</f>
        <v>23</v>
      </c>
      <c r="AQ40" s="32">
        <f>INDEX(Attenuation!$C:$C,AO40)</f>
        <v>1.8</v>
      </c>
      <c r="AR40" s="32">
        <f>INDEX(Attenuation!$C:$C,AO40+AP40-1)</f>
        <v>8000</v>
      </c>
      <c r="AS40" s="33">
        <f>INDEX(LINEST(INDEX(Attenuation!$O:$O,AO40):INDEX(Attenuation!$O:$O,AO40+AP40-1),INDEX(Attenuation!$L:$L,AO40):INDEX(Attenuation!$N:$N,AO40+AP40-1),FALSE,FALSE),1,3)</f>
        <v>0.34399868645968257</v>
      </c>
      <c r="AT40" s="34">
        <f>INDEX(LINEST(INDEX(Attenuation!$O:$O,AO40):INDEX(Attenuation!$O:$O,AO40+AP40-1),INDEX(Attenuation!$L:$L,AO40):INDEX(Attenuation!$N:$N,AO40+AP40-1),FALSE,FALSE),1,2)</f>
        <v>0.31485936838532785</v>
      </c>
      <c r="AU40" s="35">
        <f>INDEX(LINEST(INDEX(Attenuation!$O:$O,AO40):INDEX(Attenuation!$O:$O,AO40+AP40-1),INDEX(Attenuation!$L:$L,AO40):INDEX(Attenuation!$N:$N,AO40+AP40-1),FALSE,FALSE),1,1)</f>
        <v>3.3641900159970583E-3</v>
      </c>
      <c r="AV40" s="36">
        <f>SQRT(SUMIFS(Attenuation!$R:$R,Attenuation!$B:$B,A40)/AP40)</f>
        <v>2.9666797088598266E-2</v>
      </c>
      <c r="AW40" s="32">
        <f>IFERROR(MATCH(A40,Power!$B:$B,0),"")</f>
        <v>293</v>
      </c>
      <c r="AX40" s="32">
        <f>COUNTIF(Power!$B:$B,A40)</f>
        <v>23</v>
      </c>
    </row>
    <row r="41" spans="1:50" ht="30" customHeight="1" x14ac:dyDescent="0.25">
      <c r="A41" s="29" t="s">
        <v>515</v>
      </c>
      <c r="B41" s="29" t="s">
        <v>68</v>
      </c>
      <c r="C41" s="29" t="s">
        <v>220</v>
      </c>
      <c r="D41" s="29" t="s">
        <v>516</v>
      </c>
      <c r="E41" s="29" t="s">
        <v>509</v>
      </c>
      <c r="F41" s="29">
        <v>50</v>
      </c>
      <c r="G41" s="29">
        <v>3</v>
      </c>
      <c r="H41" s="29">
        <v>10.3</v>
      </c>
      <c r="I41" s="29" t="s">
        <v>337</v>
      </c>
      <c r="J41" s="29" t="s">
        <v>517</v>
      </c>
      <c r="K41" s="29">
        <v>2.9</v>
      </c>
      <c r="L41" s="29" t="s">
        <v>291</v>
      </c>
      <c r="M41" s="29">
        <v>7.3</v>
      </c>
      <c r="N41" s="29" t="s">
        <v>518</v>
      </c>
      <c r="O41" s="29">
        <v>85</v>
      </c>
      <c r="P41" s="29" t="s">
        <v>340</v>
      </c>
      <c r="Q41" s="30">
        <v>0.87</v>
      </c>
      <c r="R41" s="29">
        <v>78</v>
      </c>
      <c r="S41" s="29"/>
      <c r="T41" s="29">
        <v>3.6</v>
      </c>
      <c r="U41" s="29">
        <v>12</v>
      </c>
      <c r="V41" s="29">
        <v>105</v>
      </c>
      <c r="W41" s="29"/>
      <c r="X41" s="29">
        <v>13</v>
      </c>
      <c r="Y41" s="29"/>
      <c r="Z41" s="29"/>
      <c r="AA41" s="29">
        <v>40</v>
      </c>
      <c r="AB41" s="29">
        <v>80</v>
      </c>
      <c r="AC41" s="29">
        <v>112</v>
      </c>
      <c r="AD41" s="29"/>
      <c r="AE41" s="29">
        <v>-40</v>
      </c>
      <c r="AF41" s="29">
        <v>60</v>
      </c>
      <c r="AG41" s="29" t="s">
        <v>519</v>
      </c>
      <c r="AH41" s="29"/>
      <c r="AI41" s="29" t="s">
        <v>520</v>
      </c>
      <c r="AJ41" s="29" t="s">
        <v>521</v>
      </c>
      <c r="AK41" s="31"/>
      <c r="AL41" s="31"/>
      <c r="AM41" s="29" t="s">
        <v>522</v>
      </c>
      <c r="AN41" s="29" t="s">
        <v>523</v>
      </c>
      <c r="AO41" s="32">
        <f>MATCH(A41,Attenuation!$B:$B,0)</f>
        <v>536</v>
      </c>
      <c r="AP41" s="32">
        <f>COUNTIF(Attenuation!$B:$B,A41)</f>
        <v>25</v>
      </c>
      <c r="AQ41" s="32">
        <f>INDEX(Attenuation!$C:$C,AO41)</f>
        <v>1.8</v>
      </c>
      <c r="AR41" s="32">
        <f>INDEX(Attenuation!$C:$C,AO41+AP41-1)</f>
        <v>10000</v>
      </c>
      <c r="AS41" s="33">
        <f>INDEX(LINEST(INDEX(Attenuation!$O:$O,AO41):INDEX(Attenuation!$O:$O,AO41+AP41-1),INDEX(Attenuation!$L:$L,AO41):INDEX(Attenuation!$N:$N,AO41+AP41-1),FALSE,FALSE),1,3)</f>
        <v>0.26620289559123211</v>
      </c>
      <c r="AT41" s="34">
        <f>INDEX(LINEST(INDEX(Attenuation!$O:$O,AO41):INDEX(Attenuation!$O:$O,AO41+AP41-1),INDEX(Attenuation!$L:$L,AO41):INDEX(Attenuation!$N:$N,AO41+AP41-1),FALSE,FALSE),1,2)</f>
        <v>0.3440895497096601</v>
      </c>
      <c r="AU41" s="35">
        <f>INDEX(LINEST(INDEX(Attenuation!$O:$O,AO41):INDEX(Attenuation!$O:$O,AO41+AP41-1),INDEX(Attenuation!$L:$L,AO41):INDEX(Attenuation!$N:$N,AO41+AP41-1),FALSE,FALSE),1,1)</f>
        <v>1.7337803760677937E-3</v>
      </c>
      <c r="AV41" s="36">
        <f>SQRT(SUMIFS(Attenuation!$R:$R,Attenuation!$B:$B,A41)/AP41)</f>
        <v>4.3623428212284029E-2</v>
      </c>
      <c r="AW41" s="32">
        <f>IFERROR(MATCH(A41,Power!$B:$B,0),"")</f>
        <v>316</v>
      </c>
      <c r="AX41" s="32">
        <f>COUNTIF(Power!$B:$B,A41)</f>
        <v>24</v>
      </c>
    </row>
    <row r="42" spans="1:50" ht="30" customHeight="1" x14ac:dyDescent="0.25">
      <c r="A42" s="29" t="s">
        <v>524</v>
      </c>
      <c r="B42" s="29" t="s">
        <v>525</v>
      </c>
      <c r="C42" s="29" t="s">
        <v>156</v>
      </c>
      <c r="D42" s="29" t="s">
        <v>526</v>
      </c>
      <c r="E42" s="29" t="s">
        <v>527</v>
      </c>
      <c r="F42" s="29">
        <v>50</v>
      </c>
      <c r="G42" s="29">
        <v>2</v>
      </c>
      <c r="H42" s="29">
        <v>10.3</v>
      </c>
      <c r="I42" s="29" t="s">
        <v>261</v>
      </c>
      <c r="J42" s="29" t="s">
        <v>204</v>
      </c>
      <c r="K42" s="29">
        <v>2.62</v>
      </c>
      <c r="L42" s="29" t="s">
        <v>426</v>
      </c>
      <c r="M42" s="29">
        <v>7.15</v>
      </c>
      <c r="N42" s="29" t="s">
        <v>528</v>
      </c>
      <c r="O42" s="29">
        <v>50</v>
      </c>
      <c r="P42" s="29" t="s">
        <v>242</v>
      </c>
      <c r="Q42" s="30">
        <v>0.83</v>
      </c>
      <c r="R42" s="29">
        <v>80</v>
      </c>
      <c r="S42" s="29"/>
      <c r="T42" s="29"/>
      <c r="U42" s="29"/>
      <c r="V42" s="29"/>
      <c r="W42" s="29"/>
      <c r="X42" s="29"/>
      <c r="Y42" s="29"/>
      <c r="Z42" s="29"/>
      <c r="AA42" s="29">
        <v>50</v>
      </c>
      <c r="AB42" s="29">
        <v>100</v>
      </c>
      <c r="AC42" s="29">
        <v>140</v>
      </c>
      <c r="AD42" s="29"/>
      <c r="AE42" s="29"/>
      <c r="AF42" s="29"/>
      <c r="AG42" s="29"/>
      <c r="AH42" s="29"/>
      <c r="AI42" s="29"/>
      <c r="AJ42" s="29"/>
      <c r="AK42" s="31"/>
      <c r="AL42" s="31"/>
      <c r="AM42" s="29" t="s">
        <v>529</v>
      </c>
      <c r="AN42" s="29" t="s">
        <v>530</v>
      </c>
      <c r="AO42" s="32">
        <f>MATCH(A42,Attenuation!$B:$B,0)</f>
        <v>561</v>
      </c>
      <c r="AP42" s="32">
        <f>COUNTIF(Attenuation!$B:$B,A42)</f>
        <v>24</v>
      </c>
      <c r="AQ42" s="32">
        <f>INDEX(Attenuation!$C:$C,AO42)</f>
        <v>7</v>
      </c>
      <c r="AR42" s="32">
        <f>INDEX(Attenuation!$C:$C,AO42+AP42-1)</f>
        <v>10000</v>
      </c>
      <c r="AS42" s="33">
        <f>INDEX(LINEST(INDEX(Attenuation!$O:$O,AO42):INDEX(Attenuation!$O:$O,AO42+AP42-1),INDEX(Attenuation!$L:$L,AO42):INDEX(Attenuation!$N:$N,AO42+AP42-1),FALSE,FALSE),1,3)</f>
        <v>-9.0230537171612779E-3</v>
      </c>
      <c r="AT42" s="34">
        <f>INDEX(LINEST(INDEX(Attenuation!$O:$O,AO42):INDEX(Attenuation!$O:$O,AO42+AP42-1),INDEX(Attenuation!$L:$L,AO42):INDEX(Attenuation!$N:$N,AO42+AP42-1),FALSE,FALSE),1,2)</f>
        <v>0.37616973181464874</v>
      </c>
      <c r="AU42" s="35">
        <f>INDEX(LINEST(INDEX(Attenuation!$O:$O,AO42):INDEX(Attenuation!$O:$O,AO42+AP42-1),INDEX(Attenuation!$L:$L,AO42):INDEX(Attenuation!$N:$N,AO42+AP42-1),FALSE,FALSE),1,1)</f>
        <v>1.636322439844148E-3</v>
      </c>
      <c r="AV42" s="36">
        <f>SQRT(SUMIFS(Attenuation!$R:$R,Attenuation!$B:$B,A42)/AP42)</f>
        <v>8.3181551475412577E-3</v>
      </c>
      <c r="AW42" s="32">
        <f>IFERROR(MATCH(A42,Power!$B:$B,0),"")</f>
        <v>340</v>
      </c>
      <c r="AX42" s="32">
        <f>COUNTIF(Power!$B:$B,A42)</f>
        <v>7</v>
      </c>
    </row>
    <row r="43" spans="1:50" ht="30" customHeight="1" x14ac:dyDescent="0.25">
      <c r="A43" s="29" t="s">
        <v>531</v>
      </c>
      <c r="B43" s="29" t="s">
        <v>532</v>
      </c>
      <c r="C43" s="29" t="s">
        <v>403</v>
      </c>
      <c r="D43" s="29" t="s">
        <v>533</v>
      </c>
      <c r="E43" s="29" t="s">
        <v>534</v>
      </c>
      <c r="F43" s="29">
        <v>50</v>
      </c>
      <c r="G43" s="29"/>
      <c r="H43" s="29">
        <v>10.4</v>
      </c>
      <c r="I43" s="29" t="s">
        <v>406</v>
      </c>
      <c r="J43" s="29" t="s">
        <v>204</v>
      </c>
      <c r="K43" s="29">
        <v>2.8</v>
      </c>
      <c r="L43" s="29" t="s">
        <v>230</v>
      </c>
      <c r="M43" s="29"/>
      <c r="N43" s="29" t="s">
        <v>535</v>
      </c>
      <c r="O43" s="29"/>
      <c r="P43" s="29" t="s">
        <v>408</v>
      </c>
      <c r="Q43" s="30">
        <v>0.83</v>
      </c>
      <c r="R43" s="29">
        <v>79.7</v>
      </c>
      <c r="S43" s="29"/>
      <c r="T43" s="29"/>
      <c r="U43" s="29"/>
      <c r="V43" s="29"/>
      <c r="W43" s="29">
        <v>13400</v>
      </c>
      <c r="X43" s="29">
        <v>13.2</v>
      </c>
      <c r="Y43" s="29">
        <v>2300</v>
      </c>
      <c r="Z43" s="29" t="s">
        <v>409</v>
      </c>
      <c r="AA43" s="29">
        <v>25</v>
      </c>
      <c r="AB43" s="29"/>
      <c r="AC43" s="29">
        <v>120</v>
      </c>
      <c r="AD43" s="29">
        <v>95</v>
      </c>
      <c r="AE43" s="29"/>
      <c r="AF43" s="29"/>
      <c r="AG43" s="29" t="s">
        <v>264</v>
      </c>
      <c r="AH43" s="29"/>
      <c r="AI43" s="29"/>
      <c r="AJ43" s="29"/>
      <c r="AK43" s="31"/>
      <c r="AL43" s="31"/>
      <c r="AM43" s="29" t="s">
        <v>536</v>
      </c>
      <c r="AN43" s="29"/>
      <c r="AO43" s="32">
        <f>MATCH(A43,Attenuation!$B:$B,0)</f>
        <v>585</v>
      </c>
      <c r="AP43" s="32">
        <f>COUNTIF(Attenuation!$B:$B,A43)</f>
        <v>57</v>
      </c>
      <c r="AQ43" s="32">
        <f>INDEX(Attenuation!$C:$C,AO43)</f>
        <v>0.5</v>
      </c>
      <c r="AR43" s="32">
        <f>INDEX(Attenuation!$C:$C,AO43+AP43-1)</f>
        <v>13400</v>
      </c>
      <c r="AS43" s="33">
        <f>INDEX(LINEST(INDEX(Attenuation!$O:$O,AO43):INDEX(Attenuation!$O:$O,AO43+AP43-1),INDEX(Attenuation!$L:$L,AO43):INDEX(Attenuation!$N:$N,AO43+AP43-1),FALSE,FALSE),1,3)</f>
        <v>-2.8281834807158946E-4</v>
      </c>
      <c r="AT43" s="34">
        <f>INDEX(LINEST(INDEX(Attenuation!$O:$O,AO43):INDEX(Attenuation!$O:$O,AO43+AP43-1),INDEX(Attenuation!$L:$L,AO43):INDEX(Attenuation!$N:$N,AO43+AP43-1),FALSE,FALSE),1,2)</f>
        <v>0.38162629148334887</v>
      </c>
      <c r="AU43" s="35">
        <f>INDEX(LINEST(INDEX(Attenuation!$O:$O,AO43):INDEX(Attenuation!$O:$O,AO43+AP43-1),INDEX(Attenuation!$L:$L,AO43):INDEX(Attenuation!$N:$N,AO43+AP43-1),FALSE,FALSE),1,1)</f>
        <v>1.2659075938179843E-3</v>
      </c>
      <c r="AV43" s="36">
        <f>SQRT(SUMIFS(Attenuation!$R:$R,Attenuation!$B:$B,A43)/AP43)</f>
        <v>1.757208754583716E-4</v>
      </c>
      <c r="AW43" s="32">
        <f>IFERROR(MATCH(A43,Power!$B:$B,0),"")</f>
        <v>347</v>
      </c>
      <c r="AX43" s="32">
        <f>COUNTIF(Power!$B:$B,A43)</f>
        <v>57</v>
      </c>
    </row>
    <row r="44" spans="1:50" ht="30" customHeight="1" x14ac:dyDescent="0.25">
      <c r="A44" s="29" t="s">
        <v>537</v>
      </c>
      <c r="B44" s="29" t="s">
        <v>70</v>
      </c>
      <c r="C44" s="29" t="s">
        <v>220</v>
      </c>
      <c r="D44" s="29" t="s">
        <v>538</v>
      </c>
      <c r="E44" s="29" t="s">
        <v>539</v>
      </c>
      <c r="F44" s="29">
        <v>50</v>
      </c>
      <c r="G44" s="29">
        <v>3</v>
      </c>
      <c r="H44" s="29">
        <v>10.3</v>
      </c>
      <c r="I44" s="29" t="s">
        <v>204</v>
      </c>
      <c r="J44" s="29" t="s">
        <v>204</v>
      </c>
      <c r="K44" s="29">
        <v>2.78</v>
      </c>
      <c r="L44" s="29" t="s">
        <v>426</v>
      </c>
      <c r="M44" s="29">
        <v>7.3</v>
      </c>
      <c r="N44" s="29" t="s">
        <v>540</v>
      </c>
      <c r="O44" s="29">
        <v>85</v>
      </c>
      <c r="P44" s="29" t="s">
        <v>318</v>
      </c>
      <c r="Q44" s="30">
        <v>0.87</v>
      </c>
      <c r="R44" s="29">
        <v>74</v>
      </c>
      <c r="S44" s="29"/>
      <c r="T44" s="29">
        <v>4.4000000000000004</v>
      </c>
      <c r="U44" s="29">
        <v>12</v>
      </c>
      <c r="V44" s="29">
        <v>105</v>
      </c>
      <c r="W44" s="29"/>
      <c r="X44" s="29">
        <v>14.5</v>
      </c>
      <c r="Y44" s="29"/>
      <c r="Z44" s="29"/>
      <c r="AA44" s="29">
        <v>65</v>
      </c>
      <c r="AB44" s="29">
        <v>103</v>
      </c>
      <c r="AC44" s="29">
        <v>71</v>
      </c>
      <c r="AD44" s="29"/>
      <c r="AE44" s="29">
        <v>-45</v>
      </c>
      <c r="AF44" s="29">
        <v>70</v>
      </c>
      <c r="AG44" s="29" t="s">
        <v>264</v>
      </c>
      <c r="AH44" s="29" t="s">
        <v>264</v>
      </c>
      <c r="AI44" s="29" t="s">
        <v>541</v>
      </c>
      <c r="AJ44" s="29" t="s">
        <v>512</v>
      </c>
      <c r="AK44" s="31"/>
      <c r="AL44" s="31"/>
      <c r="AM44" s="29" t="s">
        <v>542</v>
      </c>
      <c r="AN44" s="29"/>
      <c r="AO44" s="32">
        <f>MATCH(A44,Attenuation!$B:$B,0)</f>
        <v>642</v>
      </c>
      <c r="AP44" s="32">
        <f>COUNTIF(Attenuation!$B:$B,A44)</f>
        <v>25</v>
      </c>
      <c r="AQ44" s="32">
        <f>INDEX(Attenuation!$C:$C,AO44)</f>
        <v>1.8</v>
      </c>
      <c r="AR44" s="32">
        <f>INDEX(Attenuation!$C:$C,AO44+AP44-1)</f>
        <v>12000</v>
      </c>
      <c r="AS44" s="33">
        <f>INDEX(LINEST(INDEX(Attenuation!$O:$O,AO44):INDEX(Attenuation!$O:$O,AO44+AP44-1),INDEX(Attenuation!$L:$L,AO44):INDEX(Attenuation!$N:$N,AO44+AP44-1),FALSE,FALSE),1,3)</f>
        <v>0.15978189156058803</v>
      </c>
      <c r="AT44" s="34">
        <f>INDEX(LINEST(INDEX(Attenuation!$O:$O,AO44):INDEX(Attenuation!$O:$O,AO44+AP44-1),INDEX(Attenuation!$L:$L,AO44):INDEX(Attenuation!$N:$N,AO44+AP44-1),FALSE,FALSE),1,2)</f>
        <v>0.32261954321914277</v>
      </c>
      <c r="AU44" s="35">
        <f>INDEX(LINEST(INDEX(Attenuation!$O:$O,AO44):INDEX(Attenuation!$O:$O,AO44+AP44-1),INDEX(Attenuation!$L:$L,AO44):INDEX(Attenuation!$N:$N,AO44+AP44-1),FALSE,FALSE),1,1)</f>
        <v>1.2509394800428505E-3</v>
      </c>
      <c r="AV44" s="36">
        <f>SQRT(SUMIFS(Attenuation!$R:$R,Attenuation!$B:$B,A44)/AP44)</f>
        <v>2.0765750972110749E-2</v>
      </c>
      <c r="AW44" s="32">
        <f>IFERROR(MATCH(A44,Power!$B:$B,0),"")</f>
        <v>404</v>
      </c>
      <c r="AX44" s="32">
        <f>COUNTIF(Power!$B:$B,A44)</f>
        <v>24</v>
      </c>
    </row>
    <row r="45" spans="1:50" ht="30" customHeight="1" x14ac:dyDescent="0.25">
      <c r="A45" s="29" t="s">
        <v>543</v>
      </c>
      <c r="B45" s="29" t="s">
        <v>544</v>
      </c>
      <c r="C45" s="29" t="s">
        <v>545</v>
      </c>
      <c r="D45" s="29" t="s">
        <v>544</v>
      </c>
      <c r="E45" s="29" t="s">
        <v>546</v>
      </c>
      <c r="F45" s="29">
        <v>50</v>
      </c>
      <c r="G45" s="29"/>
      <c r="H45" s="29">
        <v>10.3</v>
      </c>
      <c r="I45" s="29" t="s">
        <v>261</v>
      </c>
      <c r="J45" s="29" t="s">
        <v>204</v>
      </c>
      <c r="K45" s="29">
        <v>2.65</v>
      </c>
      <c r="L45" s="29" t="s">
        <v>547</v>
      </c>
      <c r="M45" s="29">
        <v>7.2</v>
      </c>
      <c r="N45" s="29" t="s">
        <v>548</v>
      </c>
      <c r="O45" s="29"/>
      <c r="P45" s="29" t="s">
        <v>177</v>
      </c>
      <c r="Q45" s="30">
        <v>0.85</v>
      </c>
      <c r="R45" s="29">
        <v>78</v>
      </c>
      <c r="S45" s="29"/>
      <c r="T45" s="29"/>
      <c r="U45" s="29"/>
      <c r="V45" s="29"/>
      <c r="W45" s="29"/>
      <c r="X45" s="29"/>
      <c r="Y45" s="29">
        <v>5000</v>
      </c>
      <c r="Z45" s="29" t="s">
        <v>549</v>
      </c>
      <c r="AA45" s="29">
        <v>55</v>
      </c>
      <c r="AB45" s="29"/>
      <c r="AC45" s="29">
        <v>150</v>
      </c>
      <c r="AD45" s="29"/>
      <c r="AE45" s="29">
        <v>-40</v>
      </c>
      <c r="AF45" s="29">
        <v>80</v>
      </c>
      <c r="AG45" s="29"/>
      <c r="AH45" s="29"/>
      <c r="AI45" s="29"/>
      <c r="AJ45" s="29"/>
      <c r="AK45" s="31"/>
      <c r="AL45" s="31"/>
      <c r="AM45" s="29" t="s">
        <v>550</v>
      </c>
      <c r="AN45" s="29" t="s">
        <v>551</v>
      </c>
      <c r="AO45" s="32">
        <f>MATCH(A45,Attenuation!$B:$B,0)</f>
        <v>667</v>
      </c>
      <c r="AP45" s="32">
        <f>COUNTIF(Attenuation!$B:$B,A45)</f>
        <v>13</v>
      </c>
      <c r="AQ45" s="32">
        <f>INDEX(Attenuation!$C:$C,AO45)</f>
        <v>10</v>
      </c>
      <c r="AR45" s="32">
        <f>INDEX(Attenuation!$C:$C,AO45+AP45-1)</f>
        <v>5000</v>
      </c>
      <c r="AS45" s="33">
        <f>INDEX(LINEST(INDEX(Attenuation!$O:$O,AO45):INDEX(Attenuation!$O:$O,AO45+AP45-1),INDEX(Attenuation!$L:$L,AO45):INDEX(Attenuation!$N:$N,AO45+AP45-1),FALSE,FALSE),1,3)</f>
        <v>-0.1999706046344264</v>
      </c>
      <c r="AT45" s="34">
        <f>INDEX(LINEST(INDEX(Attenuation!$O:$O,AO45):INDEX(Attenuation!$O:$O,AO45+AP45-1),INDEX(Attenuation!$L:$L,AO45):INDEX(Attenuation!$N:$N,AO45+AP45-1),FALSE,FALSE),1,2)</f>
        <v>0.34337730004945544</v>
      </c>
      <c r="AU45" s="35">
        <f>INDEX(LINEST(INDEX(Attenuation!$O:$O,AO45):INDEX(Attenuation!$O:$O,AO45+AP45-1),INDEX(Attenuation!$L:$L,AO45):INDEX(Attenuation!$N:$N,AO45+AP45-1),FALSE,FALSE),1,1)</f>
        <v>2.3643683459072711E-3</v>
      </c>
      <c r="AV45" s="36">
        <f>SQRT(SUMIFS(Attenuation!$R:$R,Attenuation!$B:$B,A45)/AP45)</f>
        <v>6.1547726559857963E-2</v>
      </c>
      <c r="AW45" s="32" t="str">
        <f>IFERROR(MATCH(A45,Power!$B:$B,0),"")</f>
        <v/>
      </c>
      <c r="AX45" s="32">
        <f>COUNTIF(Power!$B:$B,A45)</f>
        <v>0</v>
      </c>
    </row>
    <row r="46" spans="1:50" ht="30" customHeight="1" x14ac:dyDescent="0.25">
      <c r="A46" s="29" t="s">
        <v>552</v>
      </c>
      <c r="B46" s="29" t="s">
        <v>553</v>
      </c>
      <c r="C46" s="29" t="s">
        <v>403</v>
      </c>
      <c r="D46" s="29" t="s">
        <v>554</v>
      </c>
      <c r="E46" s="29" t="s">
        <v>555</v>
      </c>
      <c r="F46" s="29">
        <v>50</v>
      </c>
      <c r="G46" s="29"/>
      <c r="H46" s="29">
        <v>13.2</v>
      </c>
      <c r="I46" s="29" t="s">
        <v>406</v>
      </c>
      <c r="J46" s="29" t="s">
        <v>204</v>
      </c>
      <c r="K46" s="29">
        <v>3.6</v>
      </c>
      <c r="L46" s="29" t="s">
        <v>230</v>
      </c>
      <c r="M46" s="29"/>
      <c r="N46" s="29" t="s">
        <v>556</v>
      </c>
      <c r="O46" s="29"/>
      <c r="P46" s="29" t="s">
        <v>408</v>
      </c>
      <c r="Q46" s="30">
        <v>0.81</v>
      </c>
      <c r="R46" s="29">
        <v>82.7</v>
      </c>
      <c r="S46" s="29"/>
      <c r="T46" s="29"/>
      <c r="U46" s="29"/>
      <c r="V46" s="29"/>
      <c r="W46" s="29">
        <v>10200</v>
      </c>
      <c r="X46" s="29">
        <v>15.6</v>
      </c>
      <c r="Y46" s="29">
        <v>2500</v>
      </c>
      <c r="Z46" s="29" t="s">
        <v>409</v>
      </c>
      <c r="AA46" s="29">
        <v>32</v>
      </c>
      <c r="AB46" s="29"/>
      <c r="AC46" s="29">
        <v>210</v>
      </c>
      <c r="AD46" s="29">
        <v>79</v>
      </c>
      <c r="AE46" s="29"/>
      <c r="AF46" s="29"/>
      <c r="AG46" s="29" t="s">
        <v>264</v>
      </c>
      <c r="AH46" s="29"/>
      <c r="AI46" s="29"/>
      <c r="AJ46" s="29"/>
      <c r="AK46" s="31"/>
      <c r="AL46" s="31"/>
      <c r="AM46" s="29" t="s">
        <v>557</v>
      </c>
      <c r="AN46" s="29"/>
      <c r="AO46" s="32">
        <f>MATCH(A46,Attenuation!$B:$B,0)</f>
        <v>680</v>
      </c>
      <c r="AP46" s="32">
        <f>COUNTIF(Attenuation!$B:$B,A46)</f>
        <v>42</v>
      </c>
      <c r="AQ46" s="32">
        <f>INDEX(Attenuation!$C:$C,AO46)</f>
        <v>0.5</v>
      </c>
      <c r="AR46" s="32">
        <f>INDEX(Attenuation!$C:$C,AO46+AP46-1)</f>
        <v>10200</v>
      </c>
      <c r="AS46" s="33">
        <f>INDEX(LINEST(INDEX(Attenuation!$O:$O,AO46):INDEX(Attenuation!$O:$O,AO46+AP46-1),INDEX(Attenuation!$L:$L,AO46):INDEX(Attenuation!$N:$N,AO46+AP46-1),FALSE,FALSE),1,3)</f>
        <v>1.3172380514240569E-4</v>
      </c>
      <c r="AT46" s="34">
        <f>INDEX(LINEST(INDEX(Attenuation!$O:$O,AO46):INDEX(Attenuation!$O:$O,AO46+AP46-1),INDEX(Attenuation!$L:$L,AO46):INDEX(Attenuation!$N:$N,AO46+AP46-1),FALSE,FALSE),1,2)</f>
        <v>0.32533170235308112</v>
      </c>
      <c r="AU46" s="35">
        <f>INDEX(LINEST(INDEX(Attenuation!$O:$O,AO46):INDEX(Attenuation!$O:$O,AO46+AP46-1),INDEX(Attenuation!$L:$L,AO46):INDEX(Attenuation!$N:$N,AO46+AP46-1),FALSE,FALSE),1,1)</f>
        <v>1.5327006639033721E-3</v>
      </c>
      <c r="AV46" s="36">
        <f>SQRT(SUMIFS(Attenuation!$R:$R,Attenuation!$B:$B,A46)/AP46)</f>
        <v>1.3955233076230499E-3</v>
      </c>
      <c r="AW46" s="32">
        <f>IFERROR(MATCH(A46,Power!$B:$B,0),"")</f>
        <v>428</v>
      </c>
      <c r="AX46" s="32">
        <f>COUNTIF(Power!$B:$B,A46)</f>
        <v>42</v>
      </c>
    </row>
    <row r="47" spans="1:50" ht="30" customHeight="1" x14ac:dyDescent="0.25">
      <c r="A47" s="29" t="s">
        <v>558</v>
      </c>
      <c r="B47" s="29" t="s">
        <v>559</v>
      </c>
      <c r="C47" s="29" t="s">
        <v>403</v>
      </c>
      <c r="D47" s="29" t="s">
        <v>560</v>
      </c>
      <c r="E47" s="29" t="s">
        <v>561</v>
      </c>
      <c r="F47" s="29">
        <v>50</v>
      </c>
      <c r="G47" s="29">
        <v>1</v>
      </c>
      <c r="H47" s="29">
        <v>11.176</v>
      </c>
      <c r="I47" s="29" t="s">
        <v>406</v>
      </c>
      <c r="J47" s="29" t="s">
        <v>204</v>
      </c>
      <c r="K47" s="29">
        <v>3.048</v>
      </c>
      <c r="L47" s="29" t="s">
        <v>230</v>
      </c>
      <c r="M47" s="29">
        <v>8.6359999999999992</v>
      </c>
      <c r="N47" s="29" t="s">
        <v>562</v>
      </c>
      <c r="O47" s="29"/>
      <c r="P47" s="29" t="s">
        <v>408</v>
      </c>
      <c r="Q47" s="30">
        <v>0.88</v>
      </c>
      <c r="R47" s="29">
        <v>75.5</v>
      </c>
      <c r="S47" s="29">
        <v>0.19</v>
      </c>
      <c r="T47" s="29">
        <v>3.48</v>
      </c>
      <c r="U47" s="29">
        <v>2.85</v>
      </c>
      <c r="V47" s="29"/>
      <c r="W47" s="29">
        <v>13000</v>
      </c>
      <c r="X47" s="29">
        <v>15.6</v>
      </c>
      <c r="Y47" s="29">
        <v>4000</v>
      </c>
      <c r="Z47" s="29" t="s">
        <v>409</v>
      </c>
      <c r="AA47" s="29">
        <v>40.64</v>
      </c>
      <c r="AB47" s="29">
        <v>95.25</v>
      </c>
      <c r="AC47" s="29">
        <v>119</v>
      </c>
      <c r="AD47" s="29">
        <v>113</v>
      </c>
      <c r="AE47" s="29">
        <v>-55</v>
      </c>
      <c r="AF47" s="29">
        <v>85</v>
      </c>
      <c r="AG47" s="29" t="s">
        <v>264</v>
      </c>
      <c r="AH47" s="29"/>
      <c r="AI47" s="29"/>
      <c r="AJ47" s="29"/>
      <c r="AK47" s="31"/>
      <c r="AL47" s="31"/>
      <c r="AM47" s="29" t="s">
        <v>563</v>
      </c>
      <c r="AN47" s="29"/>
      <c r="AO47" s="32">
        <f>MATCH(A47,Attenuation!$B:$B,0)</f>
        <v>722</v>
      </c>
      <c r="AP47" s="32">
        <f>COUNTIF(Attenuation!$B:$B,A47)</f>
        <v>44</v>
      </c>
      <c r="AQ47" s="32">
        <f>INDEX(Attenuation!$C:$C,AO47)</f>
        <v>0.5</v>
      </c>
      <c r="AR47" s="32">
        <f>INDEX(Attenuation!$C:$C,AO47+AP47-1)</f>
        <v>12000</v>
      </c>
      <c r="AS47" s="33">
        <f>INDEX(LINEST(INDEX(Attenuation!$O:$O,AO47):INDEX(Attenuation!$O:$O,AO47+AP47-1),INDEX(Attenuation!$L:$L,AO47):INDEX(Attenuation!$N:$N,AO47+AP47-1),FALSE,FALSE),1,3)</f>
        <v>-3.2438187184380643E-5</v>
      </c>
      <c r="AT47" s="34">
        <f>INDEX(LINEST(INDEX(Attenuation!$O:$O,AO47):INDEX(Attenuation!$O:$O,AO47+AP47-1),INDEX(Attenuation!$L:$L,AO47):INDEX(Attenuation!$N:$N,AO47+AP47-1),FALSE,FALSE),1,2)</f>
        <v>0.33132815619457401</v>
      </c>
      <c r="AU47" s="35">
        <f>INDEX(LINEST(INDEX(Attenuation!$O:$O,AO47):INDEX(Attenuation!$O:$O,AO47+AP47-1),INDEX(Attenuation!$L:$L,AO47):INDEX(Attenuation!$N:$N,AO47+AP47-1),FALSE,FALSE),1,1)</f>
        <v>1.0761405277953534E-3</v>
      </c>
      <c r="AV47" s="36">
        <f>SQRT(SUMIFS(Attenuation!$R:$R,Attenuation!$B:$B,A47)/AP47)</f>
        <v>2.8907257320094773E-4</v>
      </c>
      <c r="AW47" s="32">
        <f>IFERROR(MATCH(A47,Power!$B:$B,0),"")</f>
        <v>470</v>
      </c>
      <c r="AX47" s="32">
        <f>COUNTIF(Power!$B:$B,A47)</f>
        <v>44</v>
      </c>
    </row>
    <row r="48" spans="1:50" ht="30" customHeight="1" x14ac:dyDescent="0.25">
      <c r="A48" s="29" t="s">
        <v>564</v>
      </c>
      <c r="B48" s="29" t="s">
        <v>565</v>
      </c>
      <c r="C48" s="29" t="s">
        <v>201</v>
      </c>
      <c r="D48" s="29" t="s">
        <v>566</v>
      </c>
      <c r="E48" s="29" t="s">
        <v>400</v>
      </c>
      <c r="F48" s="29">
        <v>50</v>
      </c>
      <c r="G48" s="29"/>
      <c r="H48" s="29">
        <v>12.7</v>
      </c>
      <c r="I48" s="29" t="s">
        <v>406</v>
      </c>
      <c r="J48" s="29" t="s">
        <v>204</v>
      </c>
      <c r="K48" s="29">
        <v>3.61</v>
      </c>
      <c r="L48" s="29" t="s">
        <v>230</v>
      </c>
      <c r="M48" s="29">
        <v>9.4</v>
      </c>
      <c r="N48" s="29" t="s">
        <v>262</v>
      </c>
      <c r="O48" s="29"/>
      <c r="P48" s="29" t="s">
        <v>263</v>
      </c>
      <c r="Q48" s="30">
        <v>0.86</v>
      </c>
      <c r="R48" s="29">
        <v>77.400000000000006</v>
      </c>
      <c r="S48" s="29"/>
      <c r="T48" s="29">
        <v>2.69</v>
      </c>
      <c r="U48" s="29">
        <v>4.17</v>
      </c>
      <c r="V48" s="29">
        <v>90</v>
      </c>
      <c r="W48" s="29"/>
      <c r="X48" s="29"/>
      <c r="Y48" s="29"/>
      <c r="Z48" s="29"/>
      <c r="AA48" s="29">
        <v>31.8</v>
      </c>
      <c r="AB48" s="29"/>
      <c r="AC48" s="29">
        <v>144.30000000000001</v>
      </c>
      <c r="AD48" s="29"/>
      <c r="AE48" s="29">
        <v>-40</v>
      </c>
      <c r="AF48" s="29">
        <v>85</v>
      </c>
      <c r="AG48" s="29" t="s">
        <v>264</v>
      </c>
      <c r="AH48" s="29"/>
      <c r="AI48" s="29"/>
      <c r="AJ48" s="29"/>
      <c r="AK48" s="31">
        <v>9.6589999999999995E-2</v>
      </c>
      <c r="AL48" s="31">
        <v>2.5999999999999998E-4</v>
      </c>
      <c r="AM48" s="29" t="s">
        <v>207</v>
      </c>
      <c r="AN48" s="29" t="s">
        <v>208</v>
      </c>
      <c r="AO48" s="32">
        <f>MATCH(A48,Attenuation!$B:$B,0)</f>
        <v>766</v>
      </c>
      <c r="AP48" s="32">
        <f>COUNTIF(Attenuation!$B:$B,A48)</f>
        <v>10</v>
      </c>
      <c r="AQ48" s="32">
        <f>INDEX(Attenuation!$C:$C,AO48)</f>
        <v>30</v>
      </c>
      <c r="AR48" s="32">
        <f>INDEX(Attenuation!$C:$C,AO48+AP48-1)</f>
        <v>2500</v>
      </c>
      <c r="AS48" s="33">
        <f>INDEX(LINEST(INDEX(Attenuation!$O:$O,AO48):INDEX(Attenuation!$O:$O,AO48+AP48-1),INDEX(Attenuation!$L:$L,AO48):INDEX(Attenuation!$N:$N,AO48+AP48-1),FALSE,FALSE),1,3)</f>
        <v>7.5695085279244506E-3</v>
      </c>
      <c r="AT48" s="34">
        <f>INDEX(LINEST(INDEX(Attenuation!$O:$O,AO48):INDEX(Attenuation!$O:$O,AO48+AP48-1),INDEX(Attenuation!$L:$L,AO48):INDEX(Attenuation!$N:$N,AO48+AP48-1),FALSE,FALSE),1,2)</f>
        <v>0.3172646507523873</v>
      </c>
      <c r="AU48" s="35">
        <f>INDEX(LINEST(INDEX(Attenuation!$O:$O,AO48):INDEX(Attenuation!$O:$O,AO48+AP48-1),INDEX(Attenuation!$L:$L,AO48):INDEX(Attenuation!$N:$N,AO48+AP48-1),FALSE,FALSE),1,1)</f>
        <v>8.4873394792974182E-4</v>
      </c>
      <c r="AV48" s="36">
        <f>SQRT(SUMIFS(Attenuation!$R:$R,Attenuation!$B:$B,A48)/AP48)</f>
        <v>3.715163318740923E-3</v>
      </c>
      <c r="AW48" s="32">
        <f>IFERROR(MATCH(A48,Power!$B:$B,0),"")</f>
        <v>514</v>
      </c>
      <c r="AX48" s="32">
        <f>COUNTIF(Power!$B:$B,A48)</f>
        <v>10</v>
      </c>
    </row>
    <row r="49" spans="1:50" ht="30" customHeight="1" x14ac:dyDescent="0.25">
      <c r="A49" s="29" t="s">
        <v>567</v>
      </c>
      <c r="B49" s="29" t="s">
        <v>568</v>
      </c>
      <c r="C49" s="29" t="s">
        <v>569</v>
      </c>
      <c r="D49" s="29" t="s">
        <v>570</v>
      </c>
      <c r="E49" s="29" t="s">
        <v>571</v>
      </c>
      <c r="F49" s="29">
        <v>50</v>
      </c>
      <c r="G49" s="29">
        <v>2</v>
      </c>
      <c r="H49" s="29">
        <v>13.1</v>
      </c>
      <c r="I49" s="29" t="s">
        <v>261</v>
      </c>
      <c r="J49" s="29" t="s">
        <v>572</v>
      </c>
      <c r="K49" s="29">
        <v>3.5</v>
      </c>
      <c r="L49" s="29" t="s">
        <v>230</v>
      </c>
      <c r="M49" s="29">
        <v>9.6999999999999993</v>
      </c>
      <c r="N49" s="29" t="s">
        <v>573</v>
      </c>
      <c r="O49" s="29">
        <v>95</v>
      </c>
      <c r="P49" s="29" t="s">
        <v>408</v>
      </c>
      <c r="Q49" s="30"/>
      <c r="R49" s="29">
        <v>81.5</v>
      </c>
      <c r="S49" s="29"/>
      <c r="T49" s="29">
        <v>2.1019999999999999</v>
      </c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>
        <v>-60</v>
      </c>
      <c r="AF49" s="29">
        <v>70</v>
      </c>
      <c r="AG49" s="29"/>
      <c r="AH49" s="29"/>
      <c r="AI49" s="29"/>
      <c r="AJ49" s="29"/>
      <c r="AK49" s="31"/>
      <c r="AL49" s="31"/>
      <c r="AM49" s="29" t="s">
        <v>574</v>
      </c>
      <c r="AN49" s="29" t="s">
        <v>575</v>
      </c>
      <c r="AO49" s="32">
        <f>MATCH(A49,Attenuation!$B:$B,0)</f>
        <v>776</v>
      </c>
      <c r="AP49" s="32">
        <f>COUNTIF(Attenuation!$B:$B,A49)</f>
        <v>9</v>
      </c>
      <c r="AQ49" s="32">
        <f>INDEX(Attenuation!$C:$C,AO49)</f>
        <v>50</v>
      </c>
      <c r="AR49" s="32">
        <f>INDEX(Attenuation!$C:$C,AO49+AP49-1)</f>
        <v>2450</v>
      </c>
      <c r="AS49" s="33">
        <f>INDEX(LINEST(INDEX(Attenuation!$O:$O,AO49):INDEX(Attenuation!$O:$O,AO49+AP49-1),INDEX(Attenuation!$L:$L,AO49):INDEX(Attenuation!$N:$N,AO49+AP49-1),FALSE,FALSE),1,3)</f>
        <v>-0.16947040517420431</v>
      </c>
      <c r="AT49" s="34">
        <f>INDEX(LINEST(INDEX(Attenuation!$O:$O,AO49):INDEX(Attenuation!$O:$O,AO49+AP49-1),INDEX(Attenuation!$L:$L,AO49):INDEX(Attenuation!$N:$N,AO49+AP49-1),FALSE,FALSE),1,2)</f>
        <v>0.30925373194028444</v>
      </c>
      <c r="AU49" s="35">
        <f>INDEX(LINEST(INDEX(Attenuation!$O:$O,AO49):INDEX(Attenuation!$O:$O,AO49+AP49-1),INDEX(Attenuation!$L:$L,AO49):INDEX(Attenuation!$N:$N,AO49+AP49-1),FALSE,FALSE),1,1)</f>
        <v>1.2614888174322079E-3</v>
      </c>
      <c r="AV49" s="36">
        <f>SQRT(SUMIFS(Attenuation!$R:$R,Attenuation!$B:$B,A49)/AP49)</f>
        <v>1.3511641316004857E-2</v>
      </c>
      <c r="AW49" s="32" t="str">
        <f>IFERROR(MATCH(A49,Power!$B:$B,0),"")</f>
        <v/>
      </c>
      <c r="AX49" s="32">
        <f>COUNTIF(Power!$B:$B,A49)</f>
        <v>0</v>
      </c>
    </row>
    <row r="50" spans="1:50" ht="30" customHeight="1" x14ac:dyDescent="0.25">
      <c r="A50" s="29" t="s">
        <v>576</v>
      </c>
      <c r="B50" s="29" t="s">
        <v>577</v>
      </c>
      <c r="C50" s="29" t="s">
        <v>220</v>
      </c>
      <c r="D50" s="29" t="s">
        <v>578</v>
      </c>
      <c r="E50" s="29" t="s">
        <v>579</v>
      </c>
      <c r="F50" s="29">
        <v>50</v>
      </c>
      <c r="G50" s="29"/>
      <c r="H50" s="29">
        <v>12.7</v>
      </c>
      <c r="I50" s="29"/>
      <c r="J50" s="29" t="s">
        <v>580</v>
      </c>
      <c r="K50" s="29"/>
      <c r="L50" s="29"/>
      <c r="M50" s="29"/>
      <c r="N50" s="29"/>
      <c r="O50" s="29"/>
      <c r="P50" s="29"/>
      <c r="Q50" s="30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31"/>
      <c r="AL50" s="31"/>
      <c r="AM50" s="29" t="s">
        <v>223</v>
      </c>
      <c r="AN50" s="29" t="s">
        <v>581</v>
      </c>
      <c r="AO50" s="32">
        <f>MATCH(A50,Attenuation!$B:$B,0)</f>
        <v>785</v>
      </c>
      <c r="AP50" s="32">
        <f>COUNTIF(Attenuation!$B:$B,A50)</f>
        <v>11</v>
      </c>
      <c r="AQ50" s="32">
        <f>INDEX(Attenuation!$C:$C,AO50)</f>
        <v>10</v>
      </c>
      <c r="AR50" s="32">
        <f>INDEX(Attenuation!$C:$C,AO50+AP50-1)</f>
        <v>5000</v>
      </c>
      <c r="AS50" s="33">
        <f>INDEX(LINEST(INDEX(Attenuation!$O:$O,AO50):INDEX(Attenuation!$O:$O,AO50+AP50-1),INDEX(Attenuation!$L:$L,AO50):INDEX(Attenuation!$N:$N,AO50+AP50-1),FALSE,FALSE),1,3)</f>
        <v>0.12008192353122103</v>
      </c>
      <c r="AT50" s="34">
        <f>INDEX(LINEST(INDEX(Attenuation!$O:$O,AO50):INDEX(Attenuation!$O:$O,AO50+AP50-1),INDEX(Attenuation!$L:$L,AO50):INDEX(Attenuation!$N:$N,AO50+AP50-1),FALSE,FALSE),1,2)</f>
        <v>0.2614245295157358</v>
      </c>
      <c r="AU50" s="35">
        <f>INDEX(LINEST(INDEX(Attenuation!$O:$O,AO50):INDEX(Attenuation!$O:$O,AO50+AP50-1),INDEX(Attenuation!$L:$L,AO50):INDEX(Attenuation!$N:$N,AO50+AP50-1),FALSE,FALSE),1,1)</f>
        <v>1.7952895388727865E-3</v>
      </c>
      <c r="AV50" s="36">
        <f>SQRT(SUMIFS(Attenuation!$R:$R,Attenuation!$B:$B,A50)/AP50)</f>
        <v>2.6514550657704184E-2</v>
      </c>
      <c r="AW50" s="32" t="str">
        <f>IFERROR(MATCH(A50,Power!$B:$B,0),"")</f>
        <v/>
      </c>
      <c r="AX50" s="32">
        <f>COUNTIF(Power!$B:$B,A50)</f>
        <v>0</v>
      </c>
    </row>
    <row r="51" spans="1:50" ht="30" customHeight="1" x14ac:dyDescent="0.25">
      <c r="A51" s="29" t="s">
        <v>582</v>
      </c>
      <c r="B51" s="29" t="s">
        <v>583</v>
      </c>
      <c r="C51" s="29" t="s">
        <v>220</v>
      </c>
      <c r="D51" s="29" t="s">
        <v>584</v>
      </c>
      <c r="E51" s="29" t="s">
        <v>579</v>
      </c>
      <c r="F51" s="29">
        <v>50</v>
      </c>
      <c r="G51" s="29">
        <v>3</v>
      </c>
      <c r="H51" s="29">
        <v>12.7</v>
      </c>
      <c r="I51" s="29" t="s">
        <v>337</v>
      </c>
      <c r="J51" s="29" t="s">
        <v>585</v>
      </c>
      <c r="K51" s="29">
        <v>3.8</v>
      </c>
      <c r="L51" s="29" t="s">
        <v>426</v>
      </c>
      <c r="M51" s="29">
        <v>9.9</v>
      </c>
      <c r="N51" s="29"/>
      <c r="O51" s="29"/>
      <c r="P51" s="29"/>
      <c r="Q51" s="30">
        <v>0.86</v>
      </c>
      <c r="R51" s="29">
        <v>75</v>
      </c>
      <c r="S51" s="29"/>
      <c r="T51" s="29">
        <v>2</v>
      </c>
      <c r="U51" s="29">
        <v>9.5</v>
      </c>
      <c r="V51" s="29">
        <v>105</v>
      </c>
      <c r="W51" s="29"/>
      <c r="X51" s="29">
        <v>20</v>
      </c>
      <c r="Y51" s="29"/>
      <c r="Z51" s="29"/>
      <c r="AA51" s="29">
        <v>80</v>
      </c>
      <c r="AB51" s="29">
        <v>127</v>
      </c>
      <c r="AC51" s="29">
        <v>180</v>
      </c>
      <c r="AD51" s="29"/>
      <c r="AE51" s="29">
        <v>-40</v>
      </c>
      <c r="AF51" s="29">
        <v>60</v>
      </c>
      <c r="AG51" s="29"/>
      <c r="AH51" s="29"/>
      <c r="AI51" s="29" t="s">
        <v>586</v>
      </c>
      <c r="AJ51" s="29"/>
      <c r="AK51" s="31"/>
      <c r="AL51" s="31"/>
      <c r="AM51" s="29" t="s">
        <v>587</v>
      </c>
      <c r="AN51" s="29"/>
      <c r="AO51" s="32">
        <f>MATCH(A51,Attenuation!$B:$B,0)</f>
        <v>796</v>
      </c>
      <c r="AP51" s="32">
        <f>COUNTIF(Attenuation!$B:$B,A51)</f>
        <v>26</v>
      </c>
      <c r="AQ51" s="32">
        <f>INDEX(Attenuation!$C:$C,AO51)</f>
        <v>1.8</v>
      </c>
      <c r="AR51" s="32">
        <f>INDEX(Attenuation!$C:$C,AO51+AP51-1)</f>
        <v>12000</v>
      </c>
      <c r="AS51" s="33">
        <f>INDEX(LINEST(INDEX(Attenuation!$O:$O,AO51):INDEX(Attenuation!$O:$O,AO51+AP51-1),INDEX(Attenuation!$L:$L,AO51):INDEX(Attenuation!$N:$N,AO51+AP51-1),FALSE,FALSE),1,3)</f>
        <v>0.11458463999412574</v>
      </c>
      <c r="AT51" s="34">
        <f>INDEX(LINEST(INDEX(Attenuation!$O:$O,AO51):INDEX(Attenuation!$O:$O,AO51+AP51-1),INDEX(Attenuation!$L:$L,AO51):INDEX(Attenuation!$N:$N,AO51+AP51-1),FALSE,FALSE),1,2)</f>
        <v>0.26429040216651795</v>
      </c>
      <c r="AU51" s="35">
        <f>INDEX(LINEST(INDEX(Attenuation!$O:$O,AO51):INDEX(Attenuation!$O:$O,AO51+AP51-1),INDEX(Attenuation!$L:$L,AO51):INDEX(Attenuation!$N:$N,AO51+AP51-1),FALSE,FALSE),1,1)</f>
        <v>1.4035574461165319E-3</v>
      </c>
      <c r="AV51" s="36">
        <f>SQRT(SUMIFS(Attenuation!$R:$R,Attenuation!$B:$B,A51)/AP51)</f>
        <v>2.5353241688466831E-2</v>
      </c>
      <c r="AW51" s="32">
        <f>IFERROR(MATCH(A51,Power!$B:$B,0),"")</f>
        <v>524</v>
      </c>
      <c r="AX51" s="32">
        <f>COUNTIF(Power!$B:$B,A51)</f>
        <v>24</v>
      </c>
    </row>
    <row r="52" spans="1:50" ht="30" customHeight="1" x14ac:dyDescent="0.25">
      <c r="A52" s="29" t="s">
        <v>588</v>
      </c>
      <c r="B52" s="29" t="s">
        <v>589</v>
      </c>
      <c r="C52" s="29" t="s">
        <v>302</v>
      </c>
      <c r="D52" s="29" t="s">
        <v>590</v>
      </c>
      <c r="E52" s="29" t="s">
        <v>591</v>
      </c>
      <c r="F52" s="29">
        <v>50</v>
      </c>
      <c r="G52" s="29"/>
      <c r="H52" s="29">
        <v>14.6</v>
      </c>
      <c r="I52" s="29" t="s">
        <v>392</v>
      </c>
      <c r="J52" s="29" t="s">
        <v>592</v>
      </c>
      <c r="K52" s="29">
        <v>4.5</v>
      </c>
      <c r="L52" s="29" t="s">
        <v>306</v>
      </c>
      <c r="M52" s="29">
        <v>11.3</v>
      </c>
      <c r="N52" s="29" t="s">
        <v>307</v>
      </c>
      <c r="O52" s="29">
        <v>72</v>
      </c>
      <c r="P52" s="29" t="s">
        <v>308</v>
      </c>
      <c r="Q52" s="30">
        <v>0.86</v>
      </c>
      <c r="R52" s="29">
        <v>77</v>
      </c>
      <c r="S52" s="29"/>
      <c r="T52" s="29">
        <v>1.56</v>
      </c>
      <c r="U52" s="29">
        <v>5.15</v>
      </c>
      <c r="V52" s="29">
        <v>90</v>
      </c>
      <c r="W52" s="29">
        <v>6000</v>
      </c>
      <c r="X52" s="29"/>
      <c r="Y52" s="29">
        <v>1550</v>
      </c>
      <c r="Z52" s="29" t="s">
        <v>309</v>
      </c>
      <c r="AA52" s="29">
        <v>70</v>
      </c>
      <c r="AB52" s="29">
        <v>140</v>
      </c>
      <c r="AC52" s="29">
        <v>258</v>
      </c>
      <c r="AD52" s="29">
        <v>12.2</v>
      </c>
      <c r="AE52" s="29">
        <v>-55</v>
      </c>
      <c r="AF52" s="29">
        <v>85</v>
      </c>
      <c r="AG52" s="29" t="s">
        <v>310</v>
      </c>
      <c r="AH52" s="29"/>
      <c r="AI52" s="29"/>
      <c r="AJ52" s="29"/>
      <c r="AK52" s="31"/>
      <c r="AL52" s="31"/>
      <c r="AM52" s="29" t="s">
        <v>593</v>
      </c>
      <c r="AN52" s="29" t="s">
        <v>594</v>
      </c>
      <c r="AO52" s="32">
        <f>MATCH(A52,Attenuation!$B:$B,0)</f>
        <v>822</v>
      </c>
      <c r="AP52" s="32">
        <f>COUNTIF(Attenuation!$B:$B,A52)</f>
        <v>20</v>
      </c>
      <c r="AQ52" s="32">
        <f>INDEX(Attenuation!$C:$C,AO52)</f>
        <v>5</v>
      </c>
      <c r="AR52" s="32">
        <f>INDEX(Attenuation!$C:$C,AO52+AP52-1)</f>
        <v>6000</v>
      </c>
      <c r="AS52" s="33">
        <f>INDEX(LINEST(INDEX(Attenuation!$O:$O,AO52):INDEX(Attenuation!$O:$O,AO52+AP52-1),INDEX(Attenuation!$L:$L,AO52):INDEX(Attenuation!$N:$N,AO52+AP52-1),FALSE,FALSE),1,3)</f>
        <v>-2.4431216135541766E-3</v>
      </c>
      <c r="AT52" s="34">
        <f>INDEX(LINEST(INDEX(Attenuation!$O:$O,AO52):INDEX(Attenuation!$O:$O,AO52+AP52-1),INDEX(Attenuation!$L:$L,AO52):INDEX(Attenuation!$N:$N,AO52+AP52-1),FALSE,FALSE),1,2)</f>
        <v>0.26728003840643205</v>
      </c>
      <c r="AU52" s="35">
        <f>INDEX(LINEST(INDEX(Attenuation!$O:$O,AO52):INDEX(Attenuation!$O:$O,AO52+AP52-1),INDEX(Attenuation!$L:$L,AO52):INDEX(Attenuation!$N:$N,AO52+AP52-1),FALSE,FALSE),1,1)</f>
        <v>1.3540871319431837E-3</v>
      </c>
      <c r="AV52" s="36">
        <f>SQRT(SUMIFS(Attenuation!$R:$R,Attenuation!$B:$B,A52)/AP52)</f>
        <v>3.3474810874329144E-3</v>
      </c>
      <c r="AW52" s="32">
        <f>IFERROR(MATCH(A52,Power!$B:$B,0),"")</f>
        <v>548</v>
      </c>
      <c r="AX52" s="32">
        <f>COUNTIF(Power!$B:$B,A52)</f>
        <v>8</v>
      </c>
    </row>
    <row r="53" spans="1:50" ht="30" customHeight="1" x14ac:dyDescent="0.25">
      <c r="A53" s="29" t="s">
        <v>595</v>
      </c>
      <c r="B53" s="29" t="s">
        <v>596</v>
      </c>
      <c r="C53" s="29" t="s">
        <v>201</v>
      </c>
      <c r="D53" s="29" t="s">
        <v>597</v>
      </c>
      <c r="E53" s="29" t="s">
        <v>400</v>
      </c>
      <c r="F53" s="29">
        <v>50</v>
      </c>
      <c r="G53" s="29"/>
      <c r="H53" s="29">
        <v>14.99</v>
      </c>
      <c r="I53" s="29" t="s">
        <v>406</v>
      </c>
      <c r="J53" s="29" t="s">
        <v>204</v>
      </c>
      <c r="K53" s="29">
        <v>4.47</v>
      </c>
      <c r="L53" s="29" t="s">
        <v>230</v>
      </c>
      <c r="M53" s="29">
        <v>11.56</v>
      </c>
      <c r="N53" s="29" t="s">
        <v>262</v>
      </c>
      <c r="O53" s="29"/>
      <c r="P53" s="29" t="s">
        <v>263</v>
      </c>
      <c r="Q53" s="30">
        <v>0.87</v>
      </c>
      <c r="R53" s="29">
        <v>76.8</v>
      </c>
      <c r="S53" s="29"/>
      <c r="T53" s="29">
        <v>1.74</v>
      </c>
      <c r="U53" s="29">
        <v>3.94</v>
      </c>
      <c r="V53" s="29">
        <v>90</v>
      </c>
      <c r="W53" s="29"/>
      <c r="X53" s="29"/>
      <c r="Y53" s="29"/>
      <c r="Z53" s="29"/>
      <c r="AA53" s="29">
        <v>38.1</v>
      </c>
      <c r="AB53" s="29"/>
      <c r="AC53" s="29">
        <v>194.9</v>
      </c>
      <c r="AD53" s="29"/>
      <c r="AE53" s="29">
        <v>-40</v>
      </c>
      <c r="AF53" s="29">
        <v>85</v>
      </c>
      <c r="AG53" s="29" t="s">
        <v>264</v>
      </c>
      <c r="AH53" s="29"/>
      <c r="AI53" s="29"/>
      <c r="AJ53" s="29"/>
      <c r="AK53" s="31">
        <v>7.5550000000000006E-2</v>
      </c>
      <c r="AL53" s="31">
        <v>2.5999999999999998E-4</v>
      </c>
      <c r="AM53" s="29" t="s">
        <v>207</v>
      </c>
      <c r="AN53" s="29" t="s">
        <v>208</v>
      </c>
      <c r="AO53" s="32">
        <f>MATCH(A53,Attenuation!$B:$B,0)</f>
        <v>842</v>
      </c>
      <c r="AP53" s="32">
        <f>COUNTIF(Attenuation!$B:$B,A53)</f>
        <v>10</v>
      </c>
      <c r="AQ53" s="32">
        <f>INDEX(Attenuation!$C:$C,AO53)</f>
        <v>30</v>
      </c>
      <c r="AR53" s="32">
        <f>INDEX(Attenuation!$C:$C,AO53+AP53-1)</f>
        <v>2500</v>
      </c>
      <c r="AS53" s="33">
        <f>INDEX(LINEST(INDEX(Attenuation!$O:$O,AO53):INDEX(Attenuation!$O:$O,AO53+AP53-1),INDEX(Attenuation!$L:$L,AO53):INDEX(Attenuation!$N:$N,AO53+AP53-1),FALSE,FALSE),1,3)</f>
        <v>-5.8495233780973413E-3</v>
      </c>
      <c r="AT53" s="34">
        <f>INDEX(LINEST(INDEX(Attenuation!$O:$O,AO53):INDEX(Attenuation!$O:$O,AO53+AP53-1),INDEX(Attenuation!$L:$L,AO53):INDEX(Attenuation!$N:$N,AO53+AP53-1),FALSE,FALSE),1,2)</f>
        <v>0.24873118151741652</v>
      </c>
      <c r="AU53" s="35">
        <f>INDEX(LINEST(INDEX(Attenuation!$O:$O,AO53):INDEX(Attenuation!$O:$O,AO53+AP53-1),INDEX(Attenuation!$L:$L,AO53):INDEX(Attenuation!$N:$N,AO53+AP53-1),FALSE,FALSE),1,1)</f>
        <v>8.2967333812679822E-4</v>
      </c>
      <c r="AV53" s="36">
        <f>SQRT(SUMIFS(Attenuation!$R:$R,Attenuation!$B:$B,A53)/AP53)</f>
        <v>7.8283573923528112E-4</v>
      </c>
      <c r="AW53" s="32">
        <f>IFERROR(MATCH(A53,Power!$B:$B,0),"")</f>
        <v>556</v>
      </c>
      <c r="AX53" s="32">
        <f>COUNTIF(Power!$B:$B,A53)</f>
        <v>10</v>
      </c>
    </row>
    <row r="54" spans="1:50" ht="30" customHeight="1" x14ac:dyDescent="0.25">
      <c r="A54" s="29" t="s">
        <v>598</v>
      </c>
      <c r="B54" s="29" t="s">
        <v>71</v>
      </c>
      <c r="C54" s="29" t="s">
        <v>599</v>
      </c>
      <c r="D54" s="29" t="s">
        <v>600</v>
      </c>
      <c r="E54" s="29" t="s">
        <v>601</v>
      </c>
      <c r="F54" s="29">
        <v>50</v>
      </c>
      <c r="G54" s="29">
        <v>1</v>
      </c>
      <c r="H54" s="29">
        <v>15.875</v>
      </c>
      <c r="I54" s="29" t="s">
        <v>406</v>
      </c>
      <c r="J54" s="29" t="s">
        <v>204</v>
      </c>
      <c r="K54" s="29">
        <v>4.8259999999999996</v>
      </c>
      <c r="L54" s="29" t="s">
        <v>230</v>
      </c>
      <c r="M54" s="29">
        <v>12.954000000000001</v>
      </c>
      <c r="N54" s="29" t="s">
        <v>602</v>
      </c>
      <c r="O54" s="29"/>
      <c r="P54" s="29" t="s">
        <v>603</v>
      </c>
      <c r="Q54" s="30">
        <v>0.88</v>
      </c>
      <c r="R54" s="29">
        <v>75.8</v>
      </c>
      <c r="S54" s="29">
        <v>0.19</v>
      </c>
      <c r="T54" s="29">
        <v>1.48</v>
      </c>
      <c r="U54" s="29">
        <v>2.69</v>
      </c>
      <c r="V54" s="29"/>
      <c r="W54" s="29">
        <v>8800</v>
      </c>
      <c r="X54" s="29">
        <v>40</v>
      </c>
      <c r="Y54" s="29">
        <v>4000</v>
      </c>
      <c r="Z54" s="29" t="s">
        <v>409</v>
      </c>
      <c r="AA54" s="29">
        <v>50.8</v>
      </c>
      <c r="AB54" s="29">
        <v>127</v>
      </c>
      <c r="AC54" s="29">
        <v>220</v>
      </c>
      <c r="AD54" s="29">
        <v>113</v>
      </c>
      <c r="AE54" s="29">
        <v>-55</v>
      </c>
      <c r="AF54" s="29">
        <v>85</v>
      </c>
      <c r="AG54" s="29" t="s">
        <v>264</v>
      </c>
      <c r="AH54" s="29"/>
      <c r="AI54" s="29" t="s">
        <v>604</v>
      </c>
      <c r="AJ54" s="29"/>
      <c r="AK54" s="31"/>
      <c r="AL54" s="31"/>
      <c r="AM54" s="29" t="s">
        <v>605</v>
      </c>
      <c r="AN54" s="29" t="s">
        <v>606</v>
      </c>
      <c r="AO54" s="32">
        <f>MATCH(A54,Attenuation!$B:$B,0)</f>
        <v>852</v>
      </c>
      <c r="AP54" s="32">
        <f>COUNTIF(Attenuation!$B:$B,A54)</f>
        <v>60</v>
      </c>
      <c r="AQ54" s="32">
        <f>INDEX(Attenuation!$C:$C,AO54)</f>
        <v>1</v>
      </c>
      <c r="AR54" s="32">
        <f>INDEX(Attenuation!$C:$C,AO54+AP54-1)</f>
        <v>8800</v>
      </c>
      <c r="AS54" s="33">
        <f>INDEX(LINEST(INDEX(Attenuation!$O:$O,AO54):INDEX(Attenuation!$O:$O,AO54+AP54-1),INDEX(Attenuation!$L:$L,AO54):INDEX(Attenuation!$N:$N,AO54+AP54-1),FALSE,FALSE),1,3)</f>
        <v>-1.3014504139808819E-4</v>
      </c>
      <c r="AT54" s="34">
        <f>INDEX(LINEST(INDEX(Attenuation!$O:$O,AO54):INDEX(Attenuation!$O:$O,AO54+AP54-1),INDEX(Attenuation!$L:$L,AO54):INDEX(Attenuation!$N:$N,AO54+AP54-1),FALSE,FALSE),1,2)</f>
        <v>0.21063279391636694</v>
      </c>
      <c r="AU54" s="35">
        <f>INDEX(LINEST(INDEX(Attenuation!$O:$O,AO54):INDEX(Attenuation!$O:$O,AO54+AP54-1),INDEX(Attenuation!$L:$L,AO54):INDEX(Attenuation!$N:$N,AO54+AP54-1),FALSE,FALSE),1,1)</f>
        <v>6.2328358901801056E-4</v>
      </c>
      <c r="AV54" s="36">
        <f>SQRT(SUMIFS(Attenuation!$R:$R,Attenuation!$B:$B,A54)/AP54)</f>
        <v>1.6581555888477682E-4</v>
      </c>
      <c r="AW54" s="32">
        <f>IFERROR(MATCH(A54,Power!$B:$B,0),"")</f>
        <v>566</v>
      </c>
      <c r="AX54" s="32">
        <f>COUNTIF(Power!$B:$B,A54)</f>
        <v>60</v>
      </c>
    </row>
    <row r="55" spans="1:50" ht="30" customHeight="1" x14ac:dyDescent="0.25">
      <c r="A55" s="29" t="s">
        <v>607</v>
      </c>
      <c r="B55" s="29" t="s">
        <v>608</v>
      </c>
      <c r="C55" s="29" t="s">
        <v>201</v>
      </c>
      <c r="D55" s="29" t="s">
        <v>609</v>
      </c>
      <c r="E55" s="29" t="s">
        <v>400</v>
      </c>
      <c r="F55" s="29">
        <v>50</v>
      </c>
      <c r="G55" s="29"/>
      <c r="H55" s="29">
        <v>22.1</v>
      </c>
      <c r="I55" s="29" t="s">
        <v>610</v>
      </c>
      <c r="J55" s="29" t="s">
        <v>611</v>
      </c>
      <c r="K55" s="29">
        <v>6.65</v>
      </c>
      <c r="L55" s="29" t="s">
        <v>230</v>
      </c>
      <c r="M55" s="29">
        <v>17.27</v>
      </c>
      <c r="N55" s="29" t="s">
        <v>262</v>
      </c>
      <c r="O55" s="29"/>
      <c r="P55" s="29" t="s">
        <v>263</v>
      </c>
      <c r="Q55" s="30">
        <v>0.87</v>
      </c>
      <c r="R55" s="29">
        <v>76.8</v>
      </c>
      <c r="S55" s="29"/>
      <c r="T55" s="29">
        <v>1.77</v>
      </c>
      <c r="U55" s="29">
        <v>1.8</v>
      </c>
      <c r="V55" s="29">
        <v>90</v>
      </c>
      <c r="W55" s="29"/>
      <c r="X55" s="29"/>
      <c r="Y55" s="29"/>
      <c r="Z55" s="29"/>
      <c r="AA55" s="29">
        <v>76.2</v>
      </c>
      <c r="AB55" s="29"/>
      <c r="AC55" s="29">
        <v>395.8</v>
      </c>
      <c r="AD55" s="29"/>
      <c r="AE55" s="29">
        <v>-40</v>
      </c>
      <c r="AF55" s="29">
        <v>85</v>
      </c>
      <c r="AG55" s="29" t="s">
        <v>264</v>
      </c>
      <c r="AH55" s="29"/>
      <c r="AI55" s="29"/>
      <c r="AJ55" s="29"/>
      <c r="AK55" s="31">
        <v>5.1769999999999997E-2</v>
      </c>
      <c r="AL55" s="31">
        <v>1.6000000000000001E-4</v>
      </c>
      <c r="AM55" s="29" t="s">
        <v>207</v>
      </c>
      <c r="AN55" s="29" t="s">
        <v>208</v>
      </c>
      <c r="AO55" s="32">
        <f>MATCH(A55,Attenuation!$B:$B,0)</f>
        <v>912</v>
      </c>
      <c r="AP55" s="32">
        <f>COUNTIF(Attenuation!$B:$B,A55)</f>
        <v>10</v>
      </c>
      <c r="AQ55" s="32">
        <f>INDEX(Attenuation!$C:$C,AO55)</f>
        <v>30</v>
      </c>
      <c r="AR55" s="32">
        <f>INDEX(Attenuation!$C:$C,AO55+AP55-1)</f>
        <v>2500</v>
      </c>
      <c r="AS55" s="33">
        <f>INDEX(LINEST(INDEX(Attenuation!$O:$O,AO55):INDEX(Attenuation!$O:$O,AO55+AP55-1),INDEX(Attenuation!$L:$L,AO55):INDEX(Attenuation!$N:$N,AO55+AP55-1),FALSE,FALSE),1,3)</f>
        <v>-4.024653719414668E-3</v>
      </c>
      <c r="AT55" s="34">
        <f>INDEX(LINEST(INDEX(Attenuation!$O:$O,AO55):INDEX(Attenuation!$O:$O,AO55+AP55-1),INDEX(Attenuation!$L:$L,AO55):INDEX(Attenuation!$N:$N,AO55+AP55-1),FALSE,FALSE),1,2)</f>
        <v>0.17048827596913493</v>
      </c>
      <c r="AU55" s="35">
        <f>INDEX(LINEST(INDEX(Attenuation!$O:$O,AO55):INDEX(Attenuation!$O:$O,AO55+AP55-1),INDEX(Attenuation!$L:$L,AO55):INDEX(Attenuation!$N:$N,AO55+AP55-1),FALSE,FALSE),1,1)</f>
        <v>5.0375883379637351E-4</v>
      </c>
      <c r="AV55" s="36">
        <f>SQRT(SUMIFS(Attenuation!$R:$R,Attenuation!$B:$B,A55)/AP55)</f>
        <v>8.6090619076882471E-4</v>
      </c>
      <c r="AW55" s="32">
        <f>IFERROR(MATCH(A55,Power!$B:$B,0),"")</f>
        <v>626</v>
      </c>
      <c r="AX55" s="32">
        <f>COUNTIF(Power!$B:$B,A55)</f>
        <v>10</v>
      </c>
    </row>
    <row r="56" spans="1:50" ht="30" customHeight="1" x14ac:dyDescent="0.25">
      <c r="A56" s="29" t="s">
        <v>612</v>
      </c>
      <c r="B56" s="29" t="s">
        <v>613</v>
      </c>
      <c r="C56" s="29" t="s">
        <v>201</v>
      </c>
      <c r="D56" s="29" t="s">
        <v>614</v>
      </c>
      <c r="E56" s="29" t="s">
        <v>400</v>
      </c>
      <c r="F56" s="29">
        <v>50</v>
      </c>
      <c r="G56" s="29"/>
      <c r="H56" s="29">
        <v>30.48</v>
      </c>
      <c r="I56" s="29" t="s">
        <v>610</v>
      </c>
      <c r="J56" s="29" t="s">
        <v>611</v>
      </c>
      <c r="K56" s="29">
        <v>8.86</v>
      </c>
      <c r="L56" s="29" t="s">
        <v>230</v>
      </c>
      <c r="M56" s="29">
        <v>23.37</v>
      </c>
      <c r="N56" s="29" t="s">
        <v>262</v>
      </c>
      <c r="O56" s="29"/>
      <c r="P56" s="29" t="s">
        <v>263</v>
      </c>
      <c r="Q56" s="30">
        <v>0.88</v>
      </c>
      <c r="R56" s="29">
        <v>75.8</v>
      </c>
      <c r="S56" s="29"/>
      <c r="T56" s="29">
        <v>1.05</v>
      </c>
      <c r="U56" s="29">
        <v>1.21</v>
      </c>
      <c r="V56" s="29">
        <v>90</v>
      </c>
      <c r="W56" s="29"/>
      <c r="X56" s="29"/>
      <c r="Y56" s="29"/>
      <c r="Z56" s="29"/>
      <c r="AA56" s="29">
        <v>165.1</v>
      </c>
      <c r="AB56" s="29"/>
      <c r="AC56" s="29">
        <v>666.6</v>
      </c>
      <c r="AD56" s="29"/>
      <c r="AE56" s="29">
        <v>-40</v>
      </c>
      <c r="AF56" s="29">
        <v>85</v>
      </c>
      <c r="AG56" s="29" t="s">
        <v>264</v>
      </c>
      <c r="AH56" s="29"/>
      <c r="AI56" s="29"/>
      <c r="AJ56" s="29"/>
      <c r="AK56" s="31">
        <v>3.737E-2</v>
      </c>
      <c r="AL56" s="31">
        <v>1.6000000000000001E-4</v>
      </c>
      <c r="AM56" s="29" t="s">
        <v>207</v>
      </c>
      <c r="AN56" s="29" t="s">
        <v>208</v>
      </c>
      <c r="AO56" s="32">
        <f>MATCH(A56,Attenuation!$B:$B,0)</f>
        <v>922</v>
      </c>
      <c r="AP56" s="32">
        <f>COUNTIF(Attenuation!$B:$B,A56)</f>
        <v>10</v>
      </c>
      <c r="AQ56" s="32">
        <f>INDEX(Attenuation!$C:$C,AO56)</f>
        <v>30</v>
      </c>
      <c r="AR56" s="32">
        <f>INDEX(Attenuation!$C:$C,AO56+AP56-1)</f>
        <v>2500</v>
      </c>
      <c r="AS56" s="33">
        <f>INDEX(LINEST(INDEX(Attenuation!$O:$O,AO56):INDEX(Attenuation!$O:$O,AO56+AP56-1),INDEX(Attenuation!$L:$L,AO56):INDEX(Attenuation!$N:$N,AO56+AP56-1),FALSE,FALSE),1,3)</f>
        <v>-3.6697858834921892E-3</v>
      </c>
      <c r="AT56" s="34">
        <f>INDEX(LINEST(INDEX(Attenuation!$O:$O,AO56):INDEX(Attenuation!$O:$O,AO56+AP56-1),INDEX(Attenuation!$L:$L,AO56):INDEX(Attenuation!$N:$N,AO56+AP56-1),FALSE,FALSE),1,2)</f>
        <v>0.12300903311227263</v>
      </c>
      <c r="AU56" s="35">
        <f>INDEX(LINEST(INDEX(Attenuation!$O:$O,AO56):INDEX(Attenuation!$O:$O,AO56+AP56-1),INDEX(Attenuation!$L:$L,AO56):INDEX(Attenuation!$N:$N,AO56+AP56-1),FALSE,FALSE),1,1)</f>
        <v>5.153142795336805E-4</v>
      </c>
      <c r="AV56" s="36">
        <f>SQRT(SUMIFS(Attenuation!$R:$R,Attenuation!$B:$B,A56)/AP56)</f>
        <v>1.7758549771786543E-3</v>
      </c>
      <c r="AW56" s="32">
        <f>IFERROR(MATCH(A56,Power!$B:$B,0),"")</f>
        <v>636</v>
      </c>
      <c r="AX56" s="32">
        <f>COUNTIF(Power!$B:$B,A56)</f>
        <v>10</v>
      </c>
    </row>
    <row r="57" spans="1:50" ht="30" customHeight="1" x14ac:dyDescent="0.25">
      <c r="A57" s="29" t="s">
        <v>615</v>
      </c>
      <c r="B57" s="29" t="s">
        <v>72</v>
      </c>
      <c r="C57" s="29" t="s">
        <v>403</v>
      </c>
      <c r="D57" s="29" t="s">
        <v>616</v>
      </c>
      <c r="E57" s="29" t="s">
        <v>617</v>
      </c>
      <c r="F57" s="29">
        <v>50</v>
      </c>
      <c r="G57" s="29"/>
      <c r="H57" s="29">
        <v>27.4</v>
      </c>
      <c r="I57" s="29" t="s">
        <v>610</v>
      </c>
      <c r="J57" s="29" t="s">
        <v>611</v>
      </c>
      <c r="K57" s="29">
        <v>9.1</v>
      </c>
      <c r="L57" s="29" t="s">
        <v>230</v>
      </c>
      <c r="M57" s="29"/>
      <c r="N57" s="29" t="s">
        <v>618</v>
      </c>
      <c r="O57" s="29"/>
      <c r="P57" s="29" t="s">
        <v>408</v>
      </c>
      <c r="Q57" s="30">
        <v>0.89</v>
      </c>
      <c r="R57" s="29">
        <v>74.8</v>
      </c>
      <c r="S57" s="29"/>
      <c r="T57" s="29"/>
      <c r="U57" s="29"/>
      <c r="V57" s="29"/>
      <c r="W57" s="29">
        <v>5000</v>
      </c>
      <c r="X57" s="29">
        <v>91</v>
      </c>
      <c r="Y57" s="29">
        <v>6000</v>
      </c>
      <c r="Z57" s="29" t="s">
        <v>409</v>
      </c>
      <c r="AA57" s="29">
        <v>250</v>
      </c>
      <c r="AB57" s="29"/>
      <c r="AC57" s="29">
        <v>490</v>
      </c>
      <c r="AD57" s="29">
        <v>147</v>
      </c>
      <c r="AE57" s="29"/>
      <c r="AF57" s="29"/>
      <c r="AG57" s="29" t="s">
        <v>264</v>
      </c>
      <c r="AH57" s="29"/>
      <c r="AI57" s="29"/>
      <c r="AJ57" s="29"/>
      <c r="AK57" s="31"/>
      <c r="AL57" s="31"/>
      <c r="AM57" s="29" t="s">
        <v>619</v>
      </c>
      <c r="AN57" s="29" t="s">
        <v>620</v>
      </c>
      <c r="AO57" s="32">
        <f>MATCH(A57,Attenuation!$B:$B,0)</f>
        <v>932</v>
      </c>
      <c r="AP57" s="32">
        <f>COUNTIF(Attenuation!$B:$B,A57)</f>
        <v>44</v>
      </c>
      <c r="AQ57" s="32">
        <f>INDEX(Attenuation!$C:$C,AO57)</f>
        <v>0.5</v>
      </c>
      <c r="AR57" s="32">
        <f>INDEX(Attenuation!$C:$C,AO57+AP57-1)</f>
        <v>5000</v>
      </c>
      <c r="AS57" s="33">
        <f>INDEX(LINEST(INDEX(Attenuation!$O:$O,AO57):INDEX(Attenuation!$O:$O,AO57+AP57-1),INDEX(Attenuation!$L:$L,AO57):INDEX(Attenuation!$N:$N,AO57+AP57-1),FALSE,FALSE),1,3)</f>
        <v>1.1715693635914718E-4</v>
      </c>
      <c r="AT57" s="34">
        <f>INDEX(LINEST(INDEX(Attenuation!$O:$O,AO57):INDEX(Attenuation!$O:$O,AO57+AP57-1),INDEX(Attenuation!$L:$L,AO57):INDEX(Attenuation!$N:$N,AO57+AP57-1),FALSE,FALSE),1,2)</f>
        <v>0.11426190575142607</v>
      </c>
      <c r="AU57" s="35">
        <f>INDEX(LINEST(INDEX(Attenuation!$O:$O,AO57):INDEX(Attenuation!$O:$O,AO57+AP57-1),INDEX(Attenuation!$L:$L,AO57):INDEX(Attenuation!$N:$N,AO57+AP57-1),FALSE,FALSE),1,1)</f>
        <v>5.0172909072131709E-4</v>
      </c>
      <c r="AV57" s="36">
        <f>SQRT(SUMIFS(Attenuation!$R:$R,Attenuation!$B:$B,A57)/AP57)</f>
        <v>5.2681803214864428E-4</v>
      </c>
      <c r="AW57" s="32">
        <f>IFERROR(MATCH(A57,Power!$B:$B,0),"")</f>
        <v>646</v>
      </c>
      <c r="AX57" s="32">
        <f>COUNTIF(Power!$B:$B,A57)</f>
        <v>44</v>
      </c>
    </row>
    <row r="58" spans="1:50" ht="30" customHeight="1" x14ac:dyDescent="0.25">
      <c r="A58" s="29" t="s">
        <v>621</v>
      </c>
      <c r="B58" s="29" t="s">
        <v>622</v>
      </c>
      <c r="C58" s="29" t="s">
        <v>201</v>
      </c>
      <c r="D58" s="29" t="s">
        <v>623</v>
      </c>
      <c r="E58" s="29" t="s">
        <v>400</v>
      </c>
      <c r="F58" s="29">
        <v>50</v>
      </c>
      <c r="G58" s="29"/>
      <c r="H58" s="29">
        <v>42.42</v>
      </c>
      <c r="I58" s="29" t="s">
        <v>610</v>
      </c>
      <c r="J58" s="29" t="s">
        <v>611</v>
      </c>
      <c r="K58" s="29">
        <v>13.39</v>
      </c>
      <c r="L58" s="29" t="s">
        <v>230</v>
      </c>
      <c r="M58" s="29">
        <v>34.29</v>
      </c>
      <c r="N58" s="29" t="s">
        <v>262</v>
      </c>
      <c r="O58" s="29"/>
      <c r="P58" s="29" t="s">
        <v>263</v>
      </c>
      <c r="Q58" s="30">
        <v>0.89</v>
      </c>
      <c r="R58" s="29">
        <v>74.8</v>
      </c>
      <c r="S58" s="29"/>
      <c r="T58" s="29">
        <v>0.69</v>
      </c>
      <c r="U58" s="29">
        <v>0.89</v>
      </c>
      <c r="V58" s="29">
        <v>90</v>
      </c>
      <c r="W58" s="29"/>
      <c r="X58" s="29"/>
      <c r="Y58" s="29"/>
      <c r="Z58" s="29"/>
      <c r="AA58" s="29">
        <v>342.9</v>
      </c>
      <c r="AB58" s="29"/>
      <c r="AC58" s="29">
        <v>1095.2</v>
      </c>
      <c r="AD58" s="29"/>
      <c r="AE58" s="29">
        <v>-40</v>
      </c>
      <c r="AF58" s="29">
        <v>85</v>
      </c>
      <c r="AG58" s="29" t="s">
        <v>264</v>
      </c>
      <c r="AH58" s="29"/>
      <c r="AI58" s="29"/>
      <c r="AJ58" s="29"/>
      <c r="AK58" s="31">
        <v>2.6460000000000001E-2</v>
      </c>
      <c r="AL58" s="31">
        <v>1.6000000000000001E-4</v>
      </c>
      <c r="AM58" s="29" t="s">
        <v>207</v>
      </c>
      <c r="AN58" s="29" t="s">
        <v>208</v>
      </c>
      <c r="AO58" s="32">
        <f>MATCH(A58,Attenuation!$B:$B,0)</f>
        <v>976</v>
      </c>
      <c r="AP58" s="32">
        <f>COUNTIF(Attenuation!$B:$B,A58)</f>
        <v>10</v>
      </c>
      <c r="AQ58" s="32">
        <f>INDEX(Attenuation!$C:$C,AO58)</f>
        <v>30</v>
      </c>
      <c r="AR58" s="32">
        <f>INDEX(Attenuation!$C:$C,AO58+AP58-1)</f>
        <v>2500</v>
      </c>
      <c r="AS58" s="33">
        <f>INDEX(LINEST(INDEX(Attenuation!$O:$O,AO58):INDEX(Attenuation!$O:$O,AO58+AP58-1),INDEX(Attenuation!$L:$L,AO58):INDEX(Attenuation!$N:$N,AO58+AP58-1),FALSE,FALSE),1,3)</f>
        <v>-2.9418226419047604E-3</v>
      </c>
      <c r="AT58" s="34">
        <f>INDEX(LINEST(INDEX(Attenuation!$O:$O,AO58):INDEX(Attenuation!$O:$O,AO58+AP58-1),INDEX(Attenuation!$L:$L,AO58):INDEX(Attenuation!$N:$N,AO58+AP58-1),FALSE,FALSE),1,2)</f>
        <v>8.7101220577191593E-2</v>
      </c>
      <c r="AU58" s="35">
        <f>INDEX(LINEST(INDEX(Attenuation!$O:$O,AO58):INDEX(Attenuation!$O:$O,AO58+AP58-1),INDEX(Attenuation!$L:$L,AO58):INDEX(Attenuation!$N:$N,AO58+AP58-1),FALSE,FALSE),1,1)</f>
        <v>5.0833495494865101E-4</v>
      </c>
      <c r="AV58" s="36">
        <f>SQRT(SUMIFS(Attenuation!$R:$R,Attenuation!$B:$B,A58)/AP58)</f>
        <v>1.4802410460179373E-3</v>
      </c>
      <c r="AW58" s="32">
        <f>IFERROR(MATCH(A58,Power!$B:$B,0),"")</f>
        <v>690</v>
      </c>
      <c r="AX58" s="32">
        <f>COUNTIF(Power!$B:$B,A58)</f>
        <v>10</v>
      </c>
    </row>
    <row r="59" spans="1:50" ht="30" customHeight="1" x14ac:dyDescent="0.25">
      <c r="A59" s="29" t="s">
        <v>624</v>
      </c>
      <c r="B59" s="29" t="s">
        <v>625</v>
      </c>
      <c r="C59" s="29" t="s">
        <v>403</v>
      </c>
      <c r="D59" s="29" t="s">
        <v>626</v>
      </c>
      <c r="E59" s="29" t="s">
        <v>627</v>
      </c>
      <c r="F59" s="29">
        <v>50</v>
      </c>
      <c r="G59" s="29"/>
      <c r="H59" s="29">
        <v>39.4</v>
      </c>
      <c r="I59" s="29" t="s">
        <v>610</v>
      </c>
      <c r="J59" s="29" t="s">
        <v>611</v>
      </c>
      <c r="K59" s="29">
        <v>13.2</v>
      </c>
      <c r="L59" s="29" t="s">
        <v>230</v>
      </c>
      <c r="M59" s="29"/>
      <c r="N59" s="29" t="s">
        <v>628</v>
      </c>
      <c r="O59" s="29"/>
      <c r="P59" s="29" t="s">
        <v>408</v>
      </c>
      <c r="Q59" s="30">
        <v>0.89</v>
      </c>
      <c r="R59" s="29">
        <v>75.099999999999994</v>
      </c>
      <c r="S59" s="29"/>
      <c r="T59" s="29"/>
      <c r="U59" s="29"/>
      <c r="V59" s="29"/>
      <c r="W59" s="29">
        <v>3300</v>
      </c>
      <c r="X59" s="29">
        <v>205</v>
      </c>
      <c r="Y59" s="29">
        <v>9000</v>
      </c>
      <c r="Z59" s="29" t="s">
        <v>409</v>
      </c>
      <c r="AA59" s="29">
        <v>380</v>
      </c>
      <c r="AB59" s="29"/>
      <c r="AC59" s="29">
        <v>940</v>
      </c>
      <c r="AD59" s="29">
        <v>590</v>
      </c>
      <c r="AE59" s="29"/>
      <c r="AF59" s="29"/>
      <c r="AG59" s="29" t="s">
        <v>264</v>
      </c>
      <c r="AH59" s="29"/>
      <c r="AI59" s="29"/>
      <c r="AJ59" s="29"/>
      <c r="AK59" s="31"/>
      <c r="AL59" s="31"/>
      <c r="AM59" s="29" t="s">
        <v>629</v>
      </c>
      <c r="AN59" s="29" t="s">
        <v>630</v>
      </c>
      <c r="AO59" s="32">
        <f>MATCH(A59,Attenuation!$B:$B,0)</f>
        <v>986</v>
      </c>
      <c r="AP59" s="32">
        <f>COUNTIF(Attenuation!$B:$B,A59)</f>
        <v>33</v>
      </c>
      <c r="AQ59" s="32">
        <f>INDEX(Attenuation!$C:$C,AO59)</f>
        <v>0.5</v>
      </c>
      <c r="AR59" s="32">
        <f>INDEX(Attenuation!$C:$C,AO59+AP59-1)</f>
        <v>3300</v>
      </c>
      <c r="AS59" s="33">
        <f>INDEX(LINEST(INDEX(Attenuation!$O:$O,AO59):INDEX(Attenuation!$O:$O,AO59+AP59-1),INDEX(Attenuation!$L:$L,AO59):INDEX(Attenuation!$N:$N,AO59+AP59-1),FALSE,FALSE),1,3)</f>
        <v>-2.9018822451635032E-4</v>
      </c>
      <c r="AT59" s="34">
        <f>INDEX(LINEST(INDEX(Attenuation!$O:$O,AO59):INDEX(Attenuation!$O:$O,AO59+AP59-1),INDEX(Attenuation!$L:$L,AO59):INDEX(Attenuation!$N:$N,AO59+AP59-1),FALSE,FALSE),1,2)</f>
        <v>7.498816460934872E-2</v>
      </c>
      <c r="AU59" s="35">
        <f>INDEX(LINEST(INDEX(Attenuation!$O:$O,AO59):INDEX(Attenuation!$O:$O,AO59+AP59-1),INDEX(Attenuation!$L:$L,AO59):INDEX(Attenuation!$N:$N,AO59+AP59-1),FALSE,FALSE),1,1)</f>
        <v>4.3357124554922234E-4</v>
      </c>
      <c r="AV59" s="36">
        <f>SQRT(SUMIFS(Attenuation!$R:$R,Attenuation!$B:$B,A59)/AP59)</f>
        <v>1.4811711673981033E-3</v>
      </c>
      <c r="AW59" s="32">
        <f>IFERROR(MATCH(A59,Power!$B:$B,0),"")</f>
        <v>700</v>
      </c>
      <c r="AX59" s="32">
        <f>COUNTIF(Power!$B:$B,A59)</f>
        <v>33</v>
      </c>
    </row>
    <row r="60" spans="1:50" ht="30" customHeight="1" x14ac:dyDescent="0.25">
      <c r="A60" s="29" t="s">
        <v>631</v>
      </c>
      <c r="B60" s="29" t="s">
        <v>632</v>
      </c>
      <c r="C60" s="29" t="s">
        <v>403</v>
      </c>
      <c r="D60" s="29" t="s">
        <v>633</v>
      </c>
      <c r="E60" s="29" t="s">
        <v>634</v>
      </c>
      <c r="F60" s="29">
        <v>50</v>
      </c>
      <c r="G60" s="29"/>
      <c r="H60" s="29">
        <v>50.3</v>
      </c>
      <c r="I60" s="29" t="s">
        <v>635</v>
      </c>
      <c r="J60" s="29" t="s">
        <v>611</v>
      </c>
      <c r="K60" s="29">
        <v>17.3</v>
      </c>
      <c r="L60" s="29" t="s">
        <v>230</v>
      </c>
      <c r="M60" s="29"/>
      <c r="N60" s="29" t="s">
        <v>636</v>
      </c>
      <c r="O60" s="29"/>
      <c r="P60" s="29" t="s">
        <v>408</v>
      </c>
      <c r="Q60" s="30">
        <v>0.88</v>
      </c>
      <c r="R60" s="29">
        <v>75.8</v>
      </c>
      <c r="S60" s="29"/>
      <c r="T60" s="29"/>
      <c r="U60" s="29"/>
      <c r="V60" s="29"/>
      <c r="W60" s="29">
        <v>2500</v>
      </c>
      <c r="X60" s="29">
        <v>315</v>
      </c>
      <c r="Y60" s="29">
        <v>11000</v>
      </c>
      <c r="Z60" s="29" t="s">
        <v>409</v>
      </c>
      <c r="AA60" s="29">
        <v>510</v>
      </c>
      <c r="AB60" s="29"/>
      <c r="AC60" s="29">
        <v>1340</v>
      </c>
      <c r="AD60" s="29">
        <v>408</v>
      </c>
      <c r="AE60" s="29"/>
      <c r="AF60" s="29"/>
      <c r="AG60" s="29" t="s">
        <v>264</v>
      </c>
      <c r="AH60" s="29"/>
      <c r="AI60" s="29"/>
      <c r="AJ60" s="29"/>
      <c r="AK60" s="31"/>
      <c r="AL60" s="31"/>
      <c r="AM60" s="29" t="s">
        <v>637</v>
      </c>
      <c r="AN60" s="29" t="s">
        <v>638</v>
      </c>
      <c r="AO60" s="32">
        <f>MATCH(A60,Attenuation!$B:$B,0)</f>
        <v>1019</v>
      </c>
      <c r="AP60" s="32">
        <f>COUNTIF(Attenuation!$B:$B,A60)</f>
        <v>37</v>
      </c>
      <c r="AQ60" s="32">
        <f>INDEX(Attenuation!$C:$C,AO60)</f>
        <v>0.5</v>
      </c>
      <c r="AR60" s="32">
        <f>INDEX(Attenuation!$C:$C,AO60+AP60-1)</f>
        <v>2500</v>
      </c>
      <c r="AS60" s="33">
        <f>INDEX(LINEST(INDEX(Attenuation!$O:$O,AO60):INDEX(Attenuation!$O:$O,AO60+AP60-1),INDEX(Attenuation!$L:$L,AO60):INDEX(Attenuation!$N:$N,AO60+AP60-1),FALSE,FALSE),1,3)</f>
        <v>-3.5576767448400039E-4</v>
      </c>
      <c r="AT60" s="34">
        <f>INDEX(LINEST(INDEX(Attenuation!$O:$O,AO60):INDEX(Attenuation!$O:$O,AO60+AP60-1),INDEX(Attenuation!$L:$L,AO60):INDEX(Attenuation!$N:$N,AO60+AP60-1),FALSE,FALSE),1,2)</f>
        <v>6.2593431613830824E-2</v>
      </c>
      <c r="AU60" s="35">
        <f>INDEX(LINEST(INDEX(Attenuation!$O:$O,AO60):INDEX(Attenuation!$O:$O,AO60+AP60-1),INDEX(Attenuation!$L:$L,AO60):INDEX(Attenuation!$N:$N,AO60+AP60-1),FALSE,FALSE),1,1)</f>
        <v>4.5487000154253423E-4</v>
      </c>
      <c r="AV60" s="36">
        <f>SQRT(SUMIFS(Attenuation!$R:$R,Attenuation!$B:$B,A60)/AP60)</f>
        <v>9.97563412157012E-4</v>
      </c>
      <c r="AW60" s="32">
        <f>IFERROR(MATCH(A60,Power!$B:$B,0),"")</f>
        <v>733</v>
      </c>
      <c r="AX60" s="32">
        <f>COUNTIF(Power!$B:$B,A60)</f>
        <v>37</v>
      </c>
    </row>
    <row r="61" spans="1:50" ht="30" customHeight="1" x14ac:dyDescent="0.25">
      <c r="A61" s="29" t="s">
        <v>639</v>
      </c>
      <c r="B61" s="29" t="s">
        <v>640</v>
      </c>
      <c r="C61" s="29" t="s">
        <v>156</v>
      </c>
      <c r="D61" s="29" t="s">
        <v>641</v>
      </c>
      <c r="E61" s="29" t="s">
        <v>642</v>
      </c>
      <c r="F61" s="29">
        <v>75</v>
      </c>
      <c r="G61" s="29"/>
      <c r="H61" s="29">
        <v>2.54</v>
      </c>
      <c r="I61" s="29" t="s">
        <v>159</v>
      </c>
      <c r="J61" s="29" t="s">
        <v>160</v>
      </c>
      <c r="K61" s="29">
        <v>0.3</v>
      </c>
      <c r="L61" s="29" t="s">
        <v>161</v>
      </c>
      <c r="M61" s="29">
        <v>1.6</v>
      </c>
      <c r="N61" s="29" t="s">
        <v>162</v>
      </c>
      <c r="O61" s="29">
        <v>95</v>
      </c>
      <c r="P61" s="29" t="s">
        <v>163</v>
      </c>
      <c r="Q61" s="30">
        <v>0.7</v>
      </c>
      <c r="R61" s="29">
        <v>64</v>
      </c>
      <c r="S61" s="29"/>
      <c r="T61" s="29">
        <v>761</v>
      </c>
      <c r="U61" s="29">
        <v>28</v>
      </c>
      <c r="V61" s="29"/>
      <c r="W61" s="29"/>
      <c r="X61" s="29"/>
      <c r="Y61" s="29">
        <v>900</v>
      </c>
      <c r="Z61" s="29" t="s">
        <v>187</v>
      </c>
      <c r="AA61" s="29">
        <v>25</v>
      </c>
      <c r="AB61" s="29"/>
      <c r="AC61" s="29">
        <v>14.9</v>
      </c>
      <c r="AD61" s="29">
        <v>7.7</v>
      </c>
      <c r="AE61" s="29">
        <v>-70</v>
      </c>
      <c r="AF61" s="29">
        <v>200</v>
      </c>
      <c r="AG61" s="29" t="s">
        <v>165</v>
      </c>
      <c r="AH61" s="29"/>
      <c r="AI61" s="29"/>
      <c r="AJ61" s="29"/>
      <c r="AK61" s="31"/>
      <c r="AL61" s="31"/>
      <c r="AM61" s="29" t="s">
        <v>643</v>
      </c>
      <c r="AN61" s="29" t="s">
        <v>644</v>
      </c>
      <c r="AO61" s="32">
        <f>MATCH(A61,Attenuation!$B:$B,0)</f>
        <v>1056</v>
      </c>
      <c r="AP61" s="32">
        <f>COUNTIF(Attenuation!$B:$B,A61)</f>
        <v>9</v>
      </c>
      <c r="AQ61" s="32">
        <f>INDEX(Attenuation!$C:$C,AO61)</f>
        <v>1</v>
      </c>
      <c r="AR61" s="32">
        <f>INDEX(Attenuation!$C:$C,AO61+AP61-1)</f>
        <v>1000</v>
      </c>
      <c r="AS61" s="33">
        <f>INDEX(LINEST(INDEX(Attenuation!$O:$O,AO61):INDEX(Attenuation!$O:$O,AO61+AP61-1),INDEX(Attenuation!$L:$L,AO61):INDEX(Attenuation!$N:$N,AO61+AP61-1),FALSE,FALSE),1,3)</f>
        <v>7.4871792501919083</v>
      </c>
      <c r="AT61" s="34">
        <f>INDEX(LINEST(INDEX(Attenuation!$O:$O,AO61):INDEX(Attenuation!$O:$O,AO61+AP61-1),INDEX(Attenuation!$L:$L,AO61):INDEX(Attenuation!$N:$N,AO61+AP61-1),FALSE,FALSE),1,2)</f>
        <v>2.795026373805988</v>
      </c>
      <c r="AU61" s="35">
        <f>INDEX(LINEST(INDEX(Attenuation!$O:$O,AO61):INDEX(Attenuation!$O:$O,AO61+AP61-1),INDEX(Attenuation!$L:$L,AO61):INDEX(Attenuation!$N:$N,AO61+AP61-1),FALSE,FALSE),1,1)</f>
        <v>-2.1165276046298E-2</v>
      </c>
      <c r="AV61" s="36">
        <f>SQRT(SUMIFS(Attenuation!$R:$R,Attenuation!$B:$B,A61)/AP61)</f>
        <v>4.5740887075879172E-2</v>
      </c>
      <c r="AW61" s="32">
        <f>IFERROR(MATCH(A61,Power!$B:$B,0),"")</f>
        <v>770</v>
      </c>
      <c r="AX61" s="32">
        <f>COUNTIF(Power!$B:$B,A61)</f>
        <v>7</v>
      </c>
    </row>
    <row r="62" spans="1:50" ht="30" customHeight="1" x14ac:dyDescent="0.25">
      <c r="A62" s="29" t="s">
        <v>645</v>
      </c>
      <c r="B62" s="29" t="s">
        <v>646</v>
      </c>
      <c r="C62" s="29" t="s">
        <v>156</v>
      </c>
      <c r="D62" s="29" t="s">
        <v>647</v>
      </c>
      <c r="E62" s="29" t="s">
        <v>648</v>
      </c>
      <c r="F62" s="29">
        <v>75</v>
      </c>
      <c r="G62" s="29"/>
      <c r="H62" s="29">
        <v>6.12</v>
      </c>
      <c r="I62" s="29" t="s">
        <v>173</v>
      </c>
      <c r="J62" s="29" t="s">
        <v>649</v>
      </c>
      <c r="K62" s="29">
        <v>0.57999999999999996</v>
      </c>
      <c r="L62" s="29" t="s">
        <v>175</v>
      </c>
      <c r="M62" s="29">
        <v>3.71</v>
      </c>
      <c r="N62" s="29" t="s">
        <v>278</v>
      </c>
      <c r="O62" s="29">
        <v>95</v>
      </c>
      <c r="P62" s="29" t="s">
        <v>242</v>
      </c>
      <c r="Q62" s="30">
        <v>0.66</v>
      </c>
      <c r="R62" s="29">
        <v>67.3</v>
      </c>
      <c r="S62" s="29">
        <v>0.377</v>
      </c>
      <c r="T62" s="29">
        <v>160.80000000000001</v>
      </c>
      <c r="U62" s="29">
        <v>8.5</v>
      </c>
      <c r="V62" s="29"/>
      <c r="W62" s="29"/>
      <c r="X62" s="29"/>
      <c r="Y62" s="29">
        <v>1700</v>
      </c>
      <c r="Z62" s="29" t="s">
        <v>650</v>
      </c>
      <c r="AA62" s="29">
        <v>63.5</v>
      </c>
      <c r="AB62" s="29"/>
      <c r="AC62" s="29">
        <v>53.6</v>
      </c>
      <c r="AD62" s="29">
        <v>35.4</v>
      </c>
      <c r="AE62" s="29">
        <v>-40</v>
      </c>
      <c r="AF62" s="29">
        <v>60</v>
      </c>
      <c r="AG62" s="29"/>
      <c r="AH62" s="29"/>
      <c r="AI62" s="29" t="s">
        <v>651</v>
      </c>
      <c r="AJ62" s="29"/>
      <c r="AK62" s="31"/>
      <c r="AL62" s="31"/>
      <c r="AM62" s="29" t="s">
        <v>652</v>
      </c>
      <c r="AN62" s="29"/>
      <c r="AO62" s="32">
        <f>MATCH(A62,Attenuation!$B:$B,0)</f>
        <v>1065</v>
      </c>
      <c r="AP62" s="32">
        <f>COUNTIF(Attenuation!$B:$B,A62)</f>
        <v>9</v>
      </c>
      <c r="AQ62" s="32">
        <f>INDEX(Attenuation!$C:$C,AO62)</f>
        <v>1</v>
      </c>
      <c r="AR62" s="32">
        <f>INDEX(Attenuation!$C:$C,AO62+AP62-1)</f>
        <v>1000</v>
      </c>
      <c r="AS62" s="33">
        <f>INDEX(LINEST(INDEX(Attenuation!$O:$O,AO62):INDEX(Attenuation!$O:$O,AO62+AP62-1),INDEX(Attenuation!$L:$L,AO62):INDEX(Attenuation!$N:$N,AO62+AP62-1),FALSE,FALSE),1,3)</f>
        <v>1.0292670834945967</v>
      </c>
      <c r="AT62" s="34">
        <f>INDEX(LINEST(INDEX(Attenuation!$O:$O,AO62):INDEX(Attenuation!$O:$O,AO62+AP62-1),INDEX(Attenuation!$L:$L,AO62):INDEX(Attenuation!$N:$N,AO62+AP62-1),FALSE,FALSE),1,2)</f>
        <v>0.86931224473763768</v>
      </c>
      <c r="AU62" s="35">
        <f>INDEX(LINEST(INDEX(Attenuation!$O:$O,AO62):INDEX(Attenuation!$O:$O,AO62+AP62-1),INDEX(Attenuation!$L:$L,AO62):INDEX(Attenuation!$N:$N,AO62+AP62-1),FALSE,FALSE),1,1)</f>
        <v>1.1127717812728007E-2</v>
      </c>
      <c r="AV62" s="36">
        <f>SQRT(SUMIFS(Attenuation!$R:$R,Attenuation!$B:$B,A62)/AP62)</f>
        <v>3.2664891536788532E-2</v>
      </c>
      <c r="AW62" s="32" t="str">
        <f>IFERROR(MATCH(A62,Power!$B:$B,0),"")</f>
        <v/>
      </c>
      <c r="AX62" s="32">
        <f>COUNTIF(Power!$B:$B,A62)</f>
        <v>0</v>
      </c>
    </row>
    <row r="63" spans="1:50" ht="30" customHeight="1" x14ac:dyDescent="0.25">
      <c r="A63" s="29" t="s">
        <v>653</v>
      </c>
      <c r="B63" s="29" t="s">
        <v>654</v>
      </c>
      <c r="C63" s="29" t="s">
        <v>156</v>
      </c>
      <c r="D63" s="29" t="s">
        <v>655</v>
      </c>
      <c r="E63" s="29" t="s">
        <v>656</v>
      </c>
      <c r="F63" s="29">
        <v>75</v>
      </c>
      <c r="G63" s="29"/>
      <c r="H63" s="29">
        <v>10.3</v>
      </c>
      <c r="I63" s="29" t="s">
        <v>212</v>
      </c>
      <c r="J63" s="29" t="s">
        <v>657</v>
      </c>
      <c r="K63" s="29">
        <v>1.22</v>
      </c>
      <c r="L63" s="29" t="s">
        <v>175</v>
      </c>
      <c r="M63" s="29">
        <v>7.24</v>
      </c>
      <c r="N63" s="29" t="s">
        <v>278</v>
      </c>
      <c r="O63" s="29">
        <v>95</v>
      </c>
      <c r="P63" s="29" t="s">
        <v>242</v>
      </c>
      <c r="Q63" s="30">
        <v>0.66</v>
      </c>
      <c r="R63" s="29">
        <v>67.3</v>
      </c>
      <c r="S63" s="29"/>
      <c r="T63" s="29">
        <v>20</v>
      </c>
      <c r="U63" s="29">
        <v>3.9</v>
      </c>
      <c r="V63" s="29"/>
      <c r="W63" s="29"/>
      <c r="X63" s="29"/>
      <c r="Y63" s="29">
        <v>3700</v>
      </c>
      <c r="Z63" s="29" t="s">
        <v>658</v>
      </c>
      <c r="AA63" s="29"/>
      <c r="AB63" s="29"/>
      <c r="AC63" s="29">
        <v>141.4</v>
      </c>
      <c r="AD63" s="29">
        <v>64.900000000000006</v>
      </c>
      <c r="AE63" s="29"/>
      <c r="AF63" s="29"/>
      <c r="AG63" s="29" t="s">
        <v>165</v>
      </c>
      <c r="AH63" s="29"/>
      <c r="AI63" s="29" t="s">
        <v>659</v>
      </c>
      <c r="AJ63" s="29"/>
      <c r="AK63" s="31"/>
      <c r="AL63" s="31"/>
      <c r="AM63" s="29" t="s">
        <v>660</v>
      </c>
      <c r="AN63" s="29"/>
      <c r="AO63" s="32">
        <f>MATCH(A63,Attenuation!$B:$B,0)</f>
        <v>1074</v>
      </c>
      <c r="AP63" s="32">
        <f>COUNTIF(Attenuation!$B:$B,A63)</f>
        <v>9</v>
      </c>
      <c r="AQ63" s="32">
        <f>INDEX(Attenuation!$C:$C,AO63)</f>
        <v>1</v>
      </c>
      <c r="AR63" s="32">
        <f>INDEX(Attenuation!$C:$C,AO63+AP63-1)</f>
        <v>1000</v>
      </c>
      <c r="AS63" s="33">
        <f>INDEX(LINEST(INDEX(Attenuation!$O:$O,AO63):INDEX(Attenuation!$O:$O,AO63+AP63-1),INDEX(Attenuation!$L:$L,AO63):INDEX(Attenuation!$N:$N,AO63+AP63-1),FALSE,FALSE),1,3)</f>
        <v>4.7517341594097297E-2</v>
      </c>
      <c r="AT63" s="34">
        <f>INDEX(LINEST(INDEX(Attenuation!$O:$O,AO63):INDEX(Attenuation!$O:$O,AO63+AP63-1),INDEX(Attenuation!$L:$L,AO63):INDEX(Attenuation!$N:$N,AO63+AP63-1),FALSE,FALSE),1,2)</f>
        <v>0.61781754070047656</v>
      </c>
      <c r="AU63" s="35">
        <f>INDEX(LINEST(INDEX(Attenuation!$O:$O,AO63):INDEX(Attenuation!$O:$O,AO63+AP63-1),INDEX(Attenuation!$L:$L,AO63):INDEX(Attenuation!$N:$N,AO63+AP63-1),FALSE,FALSE),1,1)</f>
        <v>3.7059627551766015E-3</v>
      </c>
      <c r="AV63" s="36">
        <f>SQRT(SUMIFS(Attenuation!$R:$R,Attenuation!$B:$B,A63)/AP63)</f>
        <v>4.6734585710085104E-2</v>
      </c>
      <c r="AW63" s="32" t="str">
        <f>IFERROR(MATCH(A63,Power!$B:$B,0),"")</f>
        <v/>
      </c>
      <c r="AX63" s="32">
        <f>COUNTIF(Power!$B:$B,A63)</f>
        <v>0</v>
      </c>
    </row>
    <row r="64" spans="1:50" ht="30" customHeight="1" x14ac:dyDescent="0.25">
      <c r="A64" s="29" t="s">
        <v>661</v>
      </c>
      <c r="B64" s="29" t="s">
        <v>662</v>
      </c>
      <c r="C64" s="29" t="s">
        <v>156</v>
      </c>
      <c r="D64" s="29" t="s">
        <v>663</v>
      </c>
      <c r="E64" s="29" t="s">
        <v>664</v>
      </c>
      <c r="F64" s="29">
        <v>75</v>
      </c>
      <c r="G64" s="29"/>
      <c r="H64" s="29">
        <v>6.96</v>
      </c>
      <c r="I64" s="29" t="s">
        <v>261</v>
      </c>
      <c r="J64" s="29" t="s">
        <v>665</v>
      </c>
      <c r="K64" s="29">
        <v>1.02</v>
      </c>
      <c r="L64" s="29" t="s">
        <v>230</v>
      </c>
      <c r="M64" s="29">
        <v>4.57</v>
      </c>
      <c r="N64" s="29" t="s">
        <v>666</v>
      </c>
      <c r="O64" s="29">
        <v>95</v>
      </c>
      <c r="P64" s="29" t="s">
        <v>177</v>
      </c>
      <c r="Q64" s="30">
        <v>0.82</v>
      </c>
      <c r="R64" s="29">
        <v>53.1</v>
      </c>
      <c r="S64" s="29"/>
      <c r="T64" s="29">
        <v>21</v>
      </c>
      <c r="U64" s="29">
        <v>12</v>
      </c>
      <c r="V64" s="29"/>
      <c r="W64" s="29"/>
      <c r="X64" s="29"/>
      <c r="Y64" s="29">
        <v>300</v>
      </c>
      <c r="Z64" s="29" t="s">
        <v>667</v>
      </c>
      <c r="AA64" s="29">
        <v>69.900000000000006</v>
      </c>
      <c r="AB64" s="29"/>
      <c r="AC64" s="29">
        <v>61</v>
      </c>
      <c r="AD64" s="29">
        <v>31</v>
      </c>
      <c r="AE64" s="29">
        <v>-30</v>
      </c>
      <c r="AF64" s="29">
        <v>75</v>
      </c>
      <c r="AG64" s="29" t="s">
        <v>668</v>
      </c>
      <c r="AH64" s="29"/>
      <c r="AI64" s="29" t="s">
        <v>669</v>
      </c>
      <c r="AJ64" s="29"/>
      <c r="AK64" s="31"/>
      <c r="AL64" s="31"/>
      <c r="AM64" s="29" t="s">
        <v>670</v>
      </c>
      <c r="AN64" s="29" t="s">
        <v>671</v>
      </c>
      <c r="AO64" s="32">
        <f>MATCH(A64,Attenuation!$B:$B,0)</f>
        <v>1083</v>
      </c>
      <c r="AP64" s="32">
        <f>COUNTIF(Attenuation!$B:$B,A64)</f>
        <v>27</v>
      </c>
      <c r="AQ64" s="32">
        <f>INDEX(Attenuation!$C:$C,AO64)</f>
        <v>1</v>
      </c>
      <c r="AR64" s="32">
        <f>INDEX(Attenuation!$C:$C,AO64+AP64-1)</f>
        <v>6000</v>
      </c>
      <c r="AS64" s="33">
        <f>INDEX(LINEST(INDEX(Attenuation!$O:$O,AO64):INDEX(Attenuation!$O:$O,AO64+AP64-1),INDEX(Attenuation!$L:$L,AO64):INDEX(Attenuation!$N:$N,AO64+AP64-1),FALSE,FALSE),1,3)</f>
        <v>0.25194416628814992</v>
      </c>
      <c r="AT64" s="34">
        <f>INDEX(LINEST(INDEX(Attenuation!$O:$O,AO64):INDEX(Attenuation!$O:$O,AO64+AP64-1),INDEX(Attenuation!$L:$L,AO64):INDEX(Attenuation!$N:$N,AO64+AP64-1),FALSE,FALSE),1,2)</f>
        <v>0.61528329748935617</v>
      </c>
      <c r="AU64" s="35">
        <f>INDEX(LINEST(INDEX(Attenuation!$O:$O,AO64):INDEX(Attenuation!$O:$O,AO64+AP64-1),INDEX(Attenuation!$L:$L,AO64):INDEX(Attenuation!$N:$N,AO64+AP64-1),FALSE,FALSE),1,1)</f>
        <v>1.2240640826984078E-3</v>
      </c>
      <c r="AV64" s="36">
        <f>SQRT(SUMIFS(Attenuation!$R:$R,Attenuation!$B:$B,A64)/AP64)</f>
        <v>3.7155051284844781E-2</v>
      </c>
      <c r="AW64" s="32" t="str">
        <f>IFERROR(MATCH(A64,Power!$B:$B,0),"")</f>
        <v/>
      </c>
      <c r="AX64" s="32">
        <f>COUNTIF(Power!$B:$B,A64)</f>
        <v>0</v>
      </c>
    </row>
    <row r="65" spans="1:50" ht="30" customHeight="1" x14ac:dyDescent="0.25">
      <c r="A65" s="29" t="s">
        <v>672</v>
      </c>
      <c r="B65" s="29" t="s">
        <v>673</v>
      </c>
      <c r="C65" s="29" t="s">
        <v>156</v>
      </c>
      <c r="D65" s="29" t="s">
        <v>674</v>
      </c>
      <c r="E65" s="29" t="s">
        <v>675</v>
      </c>
      <c r="F65" s="29">
        <v>75</v>
      </c>
      <c r="G65" s="29"/>
      <c r="H65" s="29">
        <v>10.3</v>
      </c>
      <c r="I65" s="29" t="s">
        <v>261</v>
      </c>
      <c r="J65" s="29" t="s">
        <v>676</v>
      </c>
      <c r="K65" s="29">
        <v>1.63</v>
      </c>
      <c r="L65" s="29" t="s">
        <v>230</v>
      </c>
      <c r="M65" s="29">
        <v>7.11</v>
      </c>
      <c r="N65" s="29" t="s">
        <v>666</v>
      </c>
      <c r="O65" s="29">
        <v>60</v>
      </c>
      <c r="P65" s="29" t="s">
        <v>177</v>
      </c>
      <c r="Q65" s="30">
        <v>0.84</v>
      </c>
      <c r="R65" s="29">
        <v>52.8</v>
      </c>
      <c r="S65" s="29"/>
      <c r="T65" s="29">
        <v>8.1999999999999993</v>
      </c>
      <c r="U65" s="29">
        <v>9.8000000000000007</v>
      </c>
      <c r="V65" s="29"/>
      <c r="W65" s="29"/>
      <c r="X65" s="29"/>
      <c r="Y65" s="29">
        <v>300</v>
      </c>
      <c r="Z65" s="29" t="s">
        <v>214</v>
      </c>
      <c r="AA65" s="29">
        <v>100</v>
      </c>
      <c r="AB65" s="29"/>
      <c r="AC65" s="29">
        <v>114.6</v>
      </c>
      <c r="AD65" s="29">
        <v>44</v>
      </c>
      <c r="AE65" s="29">
        <v>-35</v>
      </c>
      <c r="AF65" s="29">
        <v>75</v>
      </c>
      <c r="AG65" s="29" t="s">
        <v>165</v>
      </c>
      <c r="AH65" s="29"/>
      <c r="AI65" s="29"/>
      <c r="AJ65" s="29"/>
      <c r="AK65" s="31"/>
      <c r="AL65" s="31"/>
      <c r="AM65" s="29" t="s">
        <v>677</v>
      </c>
      <c r="AN65" s="29"/>
      <c r="AO65" s="32">
        <f>MATCH(A65,Attenuation!$B:$B,0)</f>
        <v>1110</v>
      </c>
      <c r="AP65" s="32">
        <f>COUNTIF(Attenuation!$B:$B,A65)</f>
        <v>9</v>
      </c>
      <c r="AQ65" s="32">
        <f>INDEX(Attenuation!$C:$C,AO65)</f>
        <v>1</v>
      </c>
      <c r="AR65" s="32">
        <f>INDEX(Attenuation!$C:$C,AO65+AP65-1)</f>
        <v>1000</v>
      </c>
      <c r="AS65" s="33">
        <f>INDEX(LINEST(INDEX(Attenuation!$O:$O,AO65):INDEX(Attenuation!$O:$O,AO65+AP65-1),INDEX(Attenuation!$L:$L,AO65):INDEX(Attenuation!$N:$N,AO65+AP65-1),FALSE,FALSE),1,3)</f>
        <v>0.31980346945709032</v>
      </c>
      <c r="AT65" s="34">
        <f>INDEX(LINEST(INDEX(Attenuation!$O:$O,AO65):INDEX(Attenuation!$O:$O,AO65+AP65-1),INDEX(Attenuation!$L:$L,AO65):INDEX(Attenuation!$N:$N,AO65+AP65-1),FALSE,FALSE),1,2)</f>
        <v>0.35812909080132416</v>
      </c>
      <c r="AU65" s="35">
        <f>INDEX(LINEST(INDEX(Attenuation!$O:$O,AO65):INDEX(Attenuation!$O:$O,AO65+AP65-1),INDEX(Attenuation!$L:$L,AO65):INDEX(Attenuation!$N:$N,AO65+AP65-1),FALSE,FALSE),1,1)</f>
        <v>1.6797125898445459E-3</v>
      </c>
      <c r="AV65" s="36">
        <f>SQRT(SUMIFS(Attenuation!$R:$R,Attenuation!$B:$B,A65)/AP65)</f>
        <v>6.1356971547515016E-2</v>
      </c>
      <c r="AW65" s="32" t="str">
        <f>IFERROR(MATCH(A65,Power!$B:$B,0),"")</f>
        <v/>
      </c>
      <c r="AX65" s="32">
        <f>COUNTIF(Power!$B:$B,A65)</f>
        <v>0</v>
      </c>
    </row>
    <row r="66" spans="1:50" ht="30" customHeight="1" x14ac:dyDescent="0.25">
      <c r="A66" s="29" t="s">
        <v>678</v>
      </c>
      <c r="B66" s="29" t="s">
        <v>679</v>
      </c>
      <c r="C66" s="29" t="s">
        <v>156</v>
      </c>
      <c r="D66" s="29" t="s">
        <v>680</v>
      </c>
      <c r="E66" s="29" t="s">
        <v>681</v>
      </c>
      <c r="F66" s="29">
        <v>93</v>
      </c>
      <c r="G66" s="29"/>
      <c r="H66" s="29">
        <v>6.07</v>
      </c>
      <c r="I66" s="29" t="s">
        <v>173</v>
      </c>
      <c r="J66" s="29" t="s">
        <v>682</v>
      </c>
      <c r="K66" s="29">
        <v>0.64</v>
      </c>
      <c r="L66" s="29" t="s">
        <v>683</v>
      </c>
      <c r="M66" s="29">
        <v>3.71</v>
      </c>
      <c r="N66" s="29" t="s">
        <v>278</v>
      </c>
      <c r="O66" s="29">
        <v>95</v>
      </c>
      <c r="P66" s="29" t="s">
        <v>177</v>
      </c>
      <c r="Q66" s="30">
        <v>0.84</v>
      </c>
      <c r="R66" s="29">
        <v>44.3</v>
      </c>
      <c r="S66" s="29"/>
      <c r="T66" s="29">
        <v>135.19999999999999</v>
      </c>
      <c r="U66" s="29">
        <v>9.5</v>
      </c>
      <c r="V66" s="29"/>
      <c r="W66" s="29"/>
      <c r="X66" s="29"/>
      <c r="Y66" s="29">
        <v>300</v>
      </c>
      <c r="Z66" s="29" t="s">
        <v>231</v>
      </c>
      <c r="AA66" s="29">
        <v>61</v>
      </c>
      <c r="AB66" s="29"/>
      <c r="AC66" s="29">
        <v>50.6</v>
      </c>
      <c r="AD66" s="29">
        <v>40</v>
      </c>
      <c r="AE66" s="29"/>
      <c r="AF66" s="29"/>
      <c r="AG66" s="29" t="s">
        <v>684</v>
      </c>
      <c r="AH66" s="29"/>
      <c r="AI66" s="29" t="s">
        <v>231</v>
      </c>
      <c r="AJ66" s="29"/>
      <c r="AK66" s="31"/>
      <c r="AL66" s="31"/>
      <c r="AM66" s="29" t="s">
        <v>685</v>
      </c>
      <c r="AN66" s="29" t="s">
        <v>686</v>
      </c>
      <c r="AO66" s="32">
        <f>MATCH(A66,Attenuation!$B:$B,0)</f>
        <v>1119</v>
      </c>
      <c r="AP66" s="32">
        <f>COUNTIF(Attenuation!$B:$B,A66)</f>
        <v>9</v>
      </c>
      <c r="AQ66" s="32">
        <f>INDEX(Attenuation!$C:$C,AO66)</f>
        <v>1</v>
      </c>
      <c r="AR66" s="32">
        <f>INDEX(Attenuation!$C:$C,AO66+AP66-1)</f>
        <v>1000</v>
      </c>
      <c r="AS66" s="33">
        <f>INDEX(LINEST(INDEX(Attenuation!$O:$O,AO66):INDEX(Attenuation!$O:$O,AO66+AP66-1),INDEX(Attenuation!$L:$L,AO66):INDEX(Attenuation!$N:$N,AO66+AP66-1),FALSE,FALSE),1,3)</f>
        <v>0.12394375631711943</v>
      </c>
      <c r="AT66" s="34">
        <f>INDEX(LINEST(INDEX(Attenuation!$O:$O,AO66):INDEX(Attenuation!$O:$O,AO66+AP66-1),INDEX(Attenuation!$L:$L,AO66):INDEX(Attenuation!$N:$N,AO66+AP66-1),FALSE,FALSE),1,2)</f>
        <v>0.86598678947842644</v>
      </c>
      <c r="AU66" s="35">
        <f>INDEX(LINEST(INDEX(Attenuation!$O:$O,AO66):INDEX(Attenuation!$O:$O,AO66+AP66-1),INDEX(Attenuation!$L:$L,AO66):INDEX(Attenuation!$N:$N,AO66+AP66-1),FALSE,FALSE),1,1)</f>
        <v>8.6011300705200126E-4</v>
      </c>
      <c r="AV66" s="36">
        <f>SQRT(SUMIFS(Attenuation!$R:$R,Attenuation!$B:$B,A66)/AP66)</f>
        <v>1.3610047263319602E-2</v>
      </c>
      <c r="AW66" s="32" t="str">
        <f>IFERROR(MATCH(A66,Power!$B:$B,0),"")</f>
        <v/>
      </c>
      <c r="AX66" s="32">
        <f>COUNTIF(Power!$B:$B,A66)</f>
        <v>0</v>
      </c>
    </row>
  </sheetData>
  <conditionalFormatting sqref="AV2:AV66">
    <cfRule type="expression" dxfId="9" priority="1">
      <formula>AV2&gt;0.05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27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9" customWidth="1"/>
    <col min="2" max="2" width="17" customWidth="1"/>
    <col min="3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34" customWidth="1"/>
    <col min="9" max="9" width="11" customWidth="1"/>
    <col min="10" max="14" width="8" hidden="1" customWidth="1" outlineLevel="1"/>
    <col min="15" max="15" width="5" hidden="1" customWidth="1" outlineLevel="1"/>
    <col min="16" max="16" width="13" customWidth="1"/>
    <col min="17" max="17" width="9" customWidth="1"/>
    <col min="18" max="18" width="8" hidden="1" customWidth="1" outlineLevel="1"/>
    <col min="19" max="19" width="9" customWidth="1"/>
    <col min="20" max="20" width="30" customWidth="1"/>
  </cols>
  <sheetData>
    <row r="1" spans="1:20" ht="25.5" x14ac:dyDescent="0.25">
      <c r="A1" s="27" t="s">
        <v>687</v>
      </c>
      <c r="B1" s="27" t="s">
        <v>52</v>
      </c>
      <c r="C1" s="27" t="s">
        <v>688</v>
      </c>
      <c r="D1" s="27" t="s">
        <v>689</v>
      </c>
      <c r="E1" s="27" t="s">
        <v>690</v>
      </c>
      <c r="F1" s="27" t="s">
        <v>691</v>
      </c>
      <c r="G1" s="27" t="s">
        <v>692</v>
      </c>
      <c r="H1" s="27" t="s">
        <v>693</v>
      </c>
      <c r="I1" s="28" t="s">
        <v>694</v>
      </c>
      <c r="J1" s="28" t="s">
        <v>695</v>
      </c>
      <c r="K1" s="28" t="s">
        <v>696</v>
      </c>
      <c r="L1" s="28" t="s">
        <v>697</v>
      </c>
      <c r="M1" s="28" t="s">
        <v>698</v>
      </c>
      <c r="N1" s="28" t="s">
        <v>699</v>
      </c>
      <c r="O1" s="28" t="s">
        <v>700</v>
      </c>
      <c r="P1" s="28" t="s">
        <v>701</v>
      </c>
      <c r="Q1" s="28" t="s">
        <v>702</v>
      </c>
      <c r="R1" s="28" t="s">
        <v>703</v>
      </c>
      <c r="S1" s="28" t="s">
        <v>704</v>
      </c>
      <c r="T1" s="27" t="s">
        <v>705</v>
      </c>
    </row>
    <row r="2" spans="1:20" x14ac:dyDescent="0.25">
      <c r="A2" s="37" t="s">
        <v>706</v>
      </c>
      <c r="B2" s="37" t="s">
        <v>154</v>
      </c>
      <c r="C2" s="37">
        <v>1</v>
      </c>
      <c r="D2" s="37">
        <v>2.6</v>
      </c>
      <c r="E2" s="37" t="s">
        <v>707</v>
      </c>
      <c r="F2" s="37"/>
      <c r="G2" s="37" t="s">
        <v>167</v>
      </c>
      <c r="H2" s="37" t="s">
        <v>708</v>
      </c>
      <c r="I2" s="38">
        <f t="shared" ref="I2:I65" si="0">IF(E2="dB/100ft",D2*100/30.48,D2)</f>
        <v>8.530183727034121</v>
      </c>
      <c r="J2" s="38">
        <f t="shared" ref="J2:J65" si="1">LN(C2)</f>
        <v>0</v>
      </c>
      <c r="K2" s="38">
        <f t="shared" ref="K2:K65" si="2">LN(I2)</f>
        <v>2.1436109001970824</v>
      </c>
      <c r="L2" s="39">
        <f t="shared" ref="L2:L65" si="3">1/I2</f>
        <v>0.11723076923076922</v>
      </c>
      <c r="M2" s="39">
        <f t="shared" ref="M2:M65" si="4">SQRT(C2)/I2</f>
        <v>0.11723076923076922</v>
      </c>
      <c r="N2" s="39">
        <f t="shared" ref="N2:N65" si="5">C2/I2</f>
        <v>0.11723076923076922</v>
      </c>
      <c r="O2" s="40">
        <f>1</f>
        <v>1</v>
      </c>
      <c r="P2" s="38">
        <f>INDEX(Cables!$AS:$AS,MATCH(B2,Cables!$A:$A,0))+INDEX(Cables!$AT:$AT,MATCH(B2,Cables!$A:$A,0))*SQRT(C2)+INDEX(Cables!$AU:$AU,MATCH(B2,Cables!$A:$A,0))*C2</f>
        <v>8.6740224919382083</v>
      </c>
      <c r="Q2" s="41">
        <f t="shared" ref="Q2:Q65" si="6">P2/I2-1</f>
        <v>1.6862329054909919E-2</v>
      </c>
      <c r="R2" s="39">
        <f t="shared" ref="R2:R65" si="7">Q2^2</f>
        <v>2.8433814115605925E-4</v>
      </c>
      <c r="S2" s="40" t="b">
        <f>IF(B2=B1,C2&gt;C1,COUNTIF(B$1:B1,B2)=0)</f>
        <v>1</v>
      </c>
      <c r="T2" s="37"/>
    </row>
    <row r="3" spans="1:20" x14ac:dyDescent="0.25">
      <c r="A3" s="37" t="s">
        <v>709</v>
      </c>
      <c r="B3" s="37" t="s">
        <v>154</v>
      </c>
      <c r="C3" s="37">
        <v>10</v>
      </c>
      <c r="D3" s="37">
        <v>5.6</v>
      </c>
      <c r="E3" s="37" t="s">
        <v>707</v>
      </c>
      <c r="F3" s="37"/>
      <c r="G3" s="37" t="s">
        <v>167</v>
      </c>
      <c r="H3" s="37" t="s">
        <v>708</v>
      </c>
      <c r="I3" s="38">
        <f t="shared" si="0"/>
        <v>18.372703412073491</v>
      </c>
      <c r="J3" s="38">
        <f t="shared" si="1"/>
        <v>2.3025850929940459</v>
      </c>
      <c r="K3" s="38">
        <f t="shared" si="2"/>
        <v>2.9108660529107495</v>
      </c>
      <c r="L3" s="39">
        <f t="shared" si="3"/>
        <v>5.442857142857143E-2</v>
      </c>
      <c r="M3" s="39">
        <f t="shared" si="4"/>
        <v>0.17211825550345036</v>
      </c>
      <c r="N3" s="39">
        <f t="shared" si="5"/>
        <v>0.54428571428571426</v>
      </c>
      <c r="O3" s="40">
        <f>1</f>
        <v>1</v>
      </c>
      <c r="P3" s="38">
        <f>INDEX(Cables!$AS:$AS,MATCH(B3,Cables!$A:$A,0))+INDEX(Cables!$AT:$AT,MATCH(B3,Cables!$A:$A,0))*SQRT(C3)+INDEX(Cables!$AU:$AU,MATCH(B3,Cables!$A:$A,0))*C3</f>
        <v>17.559205472817016</v>
      </c>
      <c r="Q3" s="41">
        <f t="shared" si="6"/>
        <v>-4.427753069381668E-2</v>
      </c>
      <c r="R3" s="39">
        <f t="shared" si="7"/>
        <v>1.9604997243418782E-3</v>
      </c>
      <c r="S3" s="40" t="b">
        <f>IF(B3=B2,C3&gt;C2,COUNTIF(B$1:B2,B3)=0)</f>
        <v>1</v>
      </c>
      <c r="T3" s="37"/>
    </row>
    <row r="4" spans="1:20" x14ac:dyDescent="0.25">
      <c r="A4" s="37" t="s">
        <v>710</v>
      </c>
      <c r="B4" s="37" t="s">
        <v>154</v>
      </c>
      <c r="C4" s="37">
        <v>50</v>
      </c>
      <c r="D4" s="37">
        <v>10.5</v>
      </c>
      <c r="E4" s="37" t="s">
        <v>707</v>
      </c>
      <c r="F4" s="37"/>
      <c r="G4" s="37" t="s">
        <v>167</v>
      </c>
      <c r="H4" s="37" t="s">
        <v>708</v>
      </c>
      <c r="I4" s="38">
        <f t="shared" si="0"/>
        <v>34.448818897637793</v>
      </c>
      <c r="J4" s="38">
        <f t="shared" si="1"/>
        <v>3.912023005428146</v>
      </c>
      <c r="K4" s="38">
        <f t="shared" si="2"/>
        <v>3.5394747123331234</v>
      </c>
      <c r="L4" s="39">
        <f t="shared" si="3"/>
        <v>2.9028571428571431E-2</v>
      </c>
      <c r="M4" s="39">
        <f t="shared" si="4"/>
        <v>0.20526299705300924</v>
      </c>
      <c r="N4" s="39">
        <f t="shared" si="5"/>
        <v>1.4514285714285715</v>
      </c>
      <c r="O4" s="40">
        <f>1</f>
        <v>1</v>
      </c>
      <c r="P4" s="38">
        <f>INDEX(Cables!$AS:$AS,MATCH(B4,Cables!$A:$A,0))+INDEX(Cables!$AT:$AT,MATCH(B4,Cables!$A:$A,0))*SQRT(C4)+INDEX(Cables!$AU:$AU,MATCH(B4,Cables!$A:$A,0))*C4</f>
        <v>33.977579634779268</v>
      </c>
      <c r="Q4" s="41">
        <f t="shared" si="6"/>
        <v>-1.3679402601836088E-2</v>
      </c>
      <c r="R4" s="39">
        <f t="shared" si="7"/>
        <v>1.8712605554311993E-4</v>
      </c>
      <c r="S4" s="40" t="b">
        <f>IF(B4=B3,C4&gt;C3,COUNTIF(B$1:B3,B4)=0)</f>
        <v>1</v>
      </c>
      <c r="T4" s="37"/>
    </row>
    <row r="5" spans="1:20" x14ac:dyDescent="0.25">
      <c r="A5" s="37" t="s">
        <v>711</v>
      </c>
      <c r="B5" s="37" t="s">
        <v>154</v>
      </c>
      <c r="C5" s="37">
        <v>100</v>
      </c>
      <c r="D5" s="37">
        <v>14</v>
      </c>
      <c r="E5" s="37" t="s">
        <v>707</v>
      </c>
      <c r="F5" s="37"/>
      <c r="G5" s="37" t="s">
        <v>167</v>
      </c>
      <c r="H5" s="37" t="s">
        <v>708</v>
      </c>
      <c r="I5" s="38">
        <f t="shared" si="0"/>
        <v>45.931758530183728</v>
      </c>
      <c r="J5" s="38">
        <f t="shared" si="1"/>
        <v>4.6051701859880918</v>
      </c>
      <c r="K5" s="38">
        <f t="shared" si="2"/>
        <v>3.8271567847849046</v>
      </c>
      <c r="L5" s="39">
        <f t="shared" si="3"/>
        <v>2.177142857142857E-2</v>
      </c>
      <c r="M5" s="39">
        <f t="shared" si="4"/>
        <v>0.21771428571428572</v>
      </c>
      <c r="N5" s="39">
        <f t="shared" si="5"/>
        <v>2.177142857142857</v>
      </c>
      <c r="O5" s="40">
        <f>1</f>
        <v>1</v>
      </c>
      <c r="P5" s="38">
        <f>INDEX(Cables!$AS:$AS,MATCH(B5,Cables!$A:$A,0))+INDEX(Cables!$AT:$AT,MATCH(B5,Cables!$A:$A,0))*SQRT(C5)+INDEX(Cables!$AU:$AU,MATCH(B5,Cables!$A:$A,0))*C5</f>
        <v>46.581018507038422</v>
      </c>
      <c r="Q5" s="41">
        <f t="shared" si="6"/>
        <v>1.4135317210379306E-2</v>
      </c>
      <c r="R5" s="39">
        <f t="shared" si="7"/>
        <v>1.9980719263804539E-4</v>
      </c>
      <c r="S5" s="40" t="b">
        <f>IF(B5=B4,C5&gt;C4,COUNTIF(B$1:B4,B5)=0)</f>
        <v>1</v>
      </c>
      <c r="T5" s="37"/>
    </row>
    <row r="6" spans="1:20" x14ac:dyDescent="0.25">
      <c r="A6" s="37" t="s">
        <v>712</v>
      </c>
      <c r="B6" s="37" t="s">
        <v>154</v>
      </c>
      <c r="C6" s="37">
        <v>200</v>
      </c>
      <c r="D6" s="37">
        <v>19</v>
      </c>
      <c r="E6" s="37" t="s">
        <v>707</v>
      </c>
      <c r="F6" s="37"/>
      <c r="G6" s="37" t="s">
        <v>167</v>
      </c>
      <c r="H6" s="37" t="s">
        <v>708</v>
      </c>
      <c r="I6" s="38">
        <f t="shared" si="0"/>
        <v>62.335958005249346</v>
      </c>
      <c r="J6" s="38">
        <f t="shared" si="1"/>
        <v>5.2983173665480363</v>
      </c>
      <c r="K6" s="38">
        <f t="shared" si="2"/>
        <v>4.1325384343360865</v>
      </c>
      <c r="L6" s="39">
        <f t="shared" si="3"/>
        <v>1.6042105263157896E-2</v>
      </c>
      <c r="M6" s="39">
        <f t="shared" si="4"/>
        <v>0.22686962832174704</v>
      </c>
      <c r="N6" s="39">
        <f t="shared" si="5"/>
        <v>3.2084210526315791</v>
      </c>
      <c r="O6" s="40">
        <f>1</f>
        <v>1</v>
      </c>
      <c r="P6" s="38">
        <f>INDEX(Cables!$AS:$AS,MATCH(B6,Cables!$A:$A,0))+INDEX(Cables!$AT:$AT,MATCH(B6,Cables!$A:$A,0))*SQRT(C6)+INDEX(Cables!$AU:$AU,MATCH(B6,Cables!$A:$A,0))*C6</f>
        <v>64.844933565933061</v>
      </c>
      <c r="Q6" s="41">
        <f t="shared" si="6"/>
        <v>4.024925004717872E-2</v>
      </c>
      <c r="R6" s="39">
        <f t="shared" si="7"/>
        <v>1.6200021293603162E-3</v>
      </c>
      <c r="S6" s="40" t="b">
        <f>IF(B6=B5,C6&gt;C5,COUNTIF(B$1:B5,B6)=0)</f>
        <v>1</v>
      </c>
      <c r="T6" s="37"/>
    </row>
    <row r="7" spans="1:20" x14ac:dyDescent="0.25">
      <c r="A7" s="37" t="s">
        <v>713</v>
      </c>
      <c r="B7" s="37" t="s">
        <v>154</v>
      </c>
      <c r="C7" s="37">
        <v>400</v>
      </c>
      <c r="D7" s="37">
        <v>28</v>
      </c>
      <c r="E7" s="37" t="s">
        <v>707</v>
      </c>
      <c r="F7" s="37"/>
      <c r="G7" s="37" t="s">
        <v>167</v>
      </c>
      <c r="H7" s="37" t="s">
        <v>708</v>
      </c>
      <c r="I7" s="38">
        <f t="shared" si="0"/>
        <v>91.863517060367457</v>
      </c>
      <c r="J7" s="38">
        <f t="shared" si="1"/>
        <v>5.9914645471079817</v>
      </c>
      <c r="K7" s="38">
        <f t="shared" si="2"/>
        <v>4.5203039653448496</v>
      </c>
      <c r="L7" s="39">
        <f t="shared" si="3"/>
        <v>1.0885714285714285E-2</v>
      </c>
      <c r="M7" s="39">
        <f t="shared" si="4"/>
        <v>0.21771428571428572</v>
      </c>
      <c r="N7" s="39">
        <f t="shared" si="5"/>
        <v>4.3542857142857141</v>
      </c>
      <c r="O7" s="40">
        <f>1</f>
        <v>1</v>
      </c>
      <c r="P7" s="38">
        <f>INDEX(Cables!$AS:$AS,MATCH(B7,Cables!$A:$A,0))+INDEX(Cables!$AT:$AT,MATCH(B7,Cables!$A:$A,0))*SQRT(C7)+INDEX(Cables!$AU:$AU,MATCH(B7,Cables!$A:$A,0))*C7</f>
        <v>91.553931690662992</v>
      </c>
      <c r="Q7" s="41">
        <f t="shared" si="6"/>
        <v>-3.3700578816400206E-3</v>
      </c>
      <c r="R7" s="39">
        <f t="shared" si="7"/>
        <v>1.1357290125604024E-5</v>
      </c>
      <c r="S7" s="40" t="b">
        <f>IF(B7=B6,C7&gt;C6,COUNTIF(B$1:B6,B7)=0)</f>
        <v>1</v>
      </c>
      <c r="T7" s="37"/>
    </row>
    <row r="8" spans="1:20" x14ac:dyDescent="0.25">
      <c r="A8" s="37" t="s">
        <v>714</v>
      </c>
      <c r="B8" s="37" t="s">
        <v>154</v>
      </c>
      <c r="C8" s="37">
        <v>700</v>
      </c>
      <c r="D8" s="37">
        <v>37</v>
      </c>
      <c r="E8" s="37" t="s">
        <v>707</v>
      </c>
      <c r="F8" s="37"/>
      <c r="G8" s="37" t="s">
        <v>167</v>
      </c>
      <c r="H8" s="37" t="s">
        <v>708</v>
      </c>
      <c r="I8" s="38">
        <f t="shared" si="0"/>
        <v>121.39107611548556</v>
      </c>
      <c r="J8" s="38">
        <f t="shared" si="1"/>
        <v>6.5510803350434044</v>
      </c>
      <c r="K8" s="38">
        <f t="shared" si="2"/>
        <v>4.7990173678138701</v>
      </c>
      <c r="L8" s="39">
        <f t="shared" si="3"/>
        <v>8.2378378378378386E-3</v>
      </c>
      <c r="M8" s="39">
        <f t="shared" si="4"/>
        <v>0.21795270259796951</v>
      </c>
      <c r="N8" s="39">
        <f t="shared" si="5"/>
        <v>5.7664864864864871</v>
      </c>
      <c r="O8" s="40">
        <f>1</f>
        <v>1</v>
      </c>
      <c r="P8" s="38">
        <f>INDEX(Cables!$AS:$AS,MATCH(B8,Cables!$A:$A,0))+INDEX(Cables!$AT:$AT,MATCH(B8,Cables!$A:$A,0))*SQRT(C8)+INDEX(Cables!$AU:$AU,MATCH(B8,Cables!$A:$A,0))*C8</f>
        <v>122.19162186732197</v>
      </c>
      <c r="Q8" s="41">
        <f t="shared" si="6"/>
        <v>6.5947660853982182E-3</v>
      </c>
      <c r="R8" s="39">
        <f t="shared" si="7"/>
        <v>4.3490939721118539E-5</v>
      </c>
      <c r="S8" s="40" t="b">
        <f>IF(B8=B7,C8&gt;C7,COUNTIF(B$1:B7,B8)=0)</f>
        <v>1</v>
      </c>
      <c r="T8" s="37"/>
    </row>
    <row r="9" spans="1:20" x14ac:dyDescent="0.25">
      <c r="A9" s="37" t="s">
        <v>715</v>
      </c>
      <c r="B9" s="37" t="s">
        <v>154</v>
      </c>
      <c r="C9" s="37">
        <v>900</v>
      </c>
      <c r="D9" s="37">
        <v>42.5</v>
      </c>
      <c r="E9" s="37" t="s">
        <v>707</v>
      </c>
      <c r="F9" s="37"/>
      <c r="G9" s="37" t="s">
        <v>167</v>
      </c>
      <c r="H9" s="37" t="s">
        <v>708</v>
      </c>
      <c r="I9" s="38">
        <f t="shared" si="0"/>
        <v>139.43569553805773</v>
      </c>
      <c r="J9" s="38">
        <f t="shared" si="1"/>
        <v>6.8023947633243109</v>
      </c>
      <c r="K9" s="38">
        <f t="shared" si="2"/>
        <v>4.9376035311000166</v>
      </c>
      <c r="L9" s="39">
        <f t="shared" si="3"/>
        <v>7.171764705882354E-3</v>
      </c>
      <c r="M9" s="39">
        <f t="shared" si="4"/>
        <v>0.2151529411764706</v>
      </c>
      <c r="N9" s="39">
        <f t="shared" si="5"/>
        <v>6.4545882352941186</v>
      </c>
      <c r="O9" s="40">
        <f>1</f>
        <v>1</v>
      </c>
      <c r="P9" s="38">
        <f>INDEX(Cables!$AS:$AS,MATCH(B9,Cables!$A:$A,0))+INDEX(Cables!$AT:$AT,MATCH(B9,Cables!$A:$A,0))*SQRT(C9)+INDEX(Cables!$AU:$AU,MATCH(B9,Cables!$A:$A,0))*C9</f>
        <v>139.53108563471085</v>
      </c>
      <c r="Q9" s="41">
        <f t="shared" si="6"/>
        <v>6.8411532846757162E-4</v>
      </c>
      <c r="R9" s="39">
        <f t="shared" si="7"/>
        <v>4.6801378264429342E-7</v>
      </c>
      <c r="S9" s="40" t="b">
        <f>IF(B9=B8,C9&gt;C8,COUNTIF(B$1:B8,B9)=0)</f>
        <v>1</v>
      </c>
      <c r="T9" s="37"/>
    </row>
    <row r="10" spans="1:20" x14ac:dyDescent="0.25">
      <c r="A10" s="37" t="s">
        <v>716</v>
      </c>
      <c r="B10" s="37" t="s">
        <v>154</v>
      </c>
      <c r="C10" s="37">
        <v>1000</v>
      </c>
      <c r="D10" s="37">
        <v>46</v>
      </c>
      <c r="E10" s="37" t="s">
        <v>707</v>
      </c>
      <c r="F10" s="37"/>
      <c r="G10" s="37" t="s">
        <v>167</v>
      </c>
      <c r="H10" s="37" t="s">
        <v>708</v>
      </c>
      <c r="I10" s="38">
        <f t="shared" si="0"/>
        <v>150.91863517060366</v>
      </c>
      <c r="J10" s="38">
        <f t="shared" si="1"/>
        <v>6.9077552789821368</v>
      </c>
      <c r="K10" s="38">
        <f t="shared" si="2"/>
        <v>5.0167408516587404</v>
      </c>
      <c r="L10" s="39">
        <f t="shared" si="3"/>
        <v>6.6260869565217392E-3</v>
      </c>
      <c r="M10" s="39">
        <f t="shared" si="4"/>
        <v>0.20953526756941784</v>
      </c>
      <c r="N10" s="39">
        <f t="shared" si="5"/>
        <v>6.62608695652174</v>
      </c>
      <c r="O10" s="40">
        <f>1</f>
        <v>1</v>
      </c>
      <c r="P10" s="38">
        <f>INDEX(Cables!$AS:$AS,MATCH(B10,Cables!$A:$A,0))+INDEX(Cables!$AT:$AT,MATCH(B10,Cables!$A:$A,0))*SQRT(C10)+INDEX(Cables!$AU:$AU,MATCH(B10,Cables!$A:$A,0))*C10</f>
        <v>147.6000233955408</v>
      </c>
      <c r="Q10" s="41">
        <f t="shared" si="6"/>
        <v>-2.1989410196503467E-2</v>
      </c>
      <c r="R10" s="39">
        <f t="shared" si="7"/>
        <v>4.8353416079009064E-4</v>
      </c>
      <c r="S10" s="40" t="b">
        <f>IF(B10=B9,C10&gt;C9,COUNTIF(B$1:B9,B10)=0)</f>
        <v>1</v>
      </c>
      <c r="T10" s="37"/>
    </row>
    <row r="11" spans="1:20" x14ac:dyDescent="0.25">
      <c r="A11" s="37" t="s">
        <v>717</v>
      </c>
      <c r="B11" s="37" t="s">
        <v>169</v>
      </c>
      <c r="C11" s="37">
        <v>1</v>
      </c>
      <c r="D11" s="37">
        <v>1.9</v>
      </c>
      <c r="E11" s="37" t="s">
        <v>707</v>
      </c>
      <c r="F11" s="37"/>
      <c r="G11" s="37" t="s">
        <v>181</v>
      </c>
      <c r="H11" s="37" t="s">
        <v>718</v>
      </c>
      <c r="I11" s="38">
        <f t="shared" si="0"/>
        <v>6.2335958005249346</v>
      </c>
      <c r="J11" s="38">
        <f t="shared" si="1"/>
        <v>0</v>
      </c>
      <c r="K11" s="38">
        <f t="shared" si="2"/>
        <v>1.8299533413420406</v>
      </c>
      <c r="L11" s="39">
        <f t="shared" si="3"/>
        <v>0.16042105263157894</v>
      </c>
      <c r="M11" s="39">
        <f t="shared" si="4"/>
        <v>0.16042105263157894</v>
      </c>
      <c r="N11" s="39">
        <f t="shared" si="5"/>
        <v>0.16042105263157894</v>
      </c>
      <c r="O11" s="40">
        <f>1</f>
        <v>1</v>
      </c>
      <c r="P11" s="38">
        <f>INDEX(Cables!$AS:$AS,MATCH(B11,Cables!$A:$A,0))+INDEX(Cables!$AT:$AT,MATCH(B11,Cables!$A:$A,0))*SQRT(C11)+INDEX(Cables!$AU:$AU,MATCH(B11,Cables!$A:$A,0))*C11</f>
        <v>6.2463619241818256</v>
      </c>
      <c r="Q11" s="41">
        <f t="shared" si="6"/>
        <v>2.0479549950633835E-3</v>
      </c>
      <c r="R11" s="39">
        <f t="shared" si="7"/>
        <v>4.1941196618050636E-6</v>
      </c>
      <c r="S11" s="40" t="b">
        <f>IF(B11=B10,C11&gt;C10,COUNTIF(B$1:B10,B11)=0)</f>
        <v>1</v>
      </c>
      <c r="T11" s="37"/>
    </row>
    <row r="12" spans="1:20" x14ac:dyDescent="0.25">
      <c r="A12" s="37" t="s">
        <v>719</v>
      </c>
      <c r="B12" s="37" t="s">
        <v>169</v>
      </c>
      <c r="C12" s="37">
        <v>10</v>
      </c>
      <c r="D12" s="37">
        <v>3.3</v>
      </c>
      <c r="E12" s="37" t="s">
        <v>707</v>
      </c>
      <c r="F12" s="37"/>
      <c r="G12" s="37" t="s">
        <v>181</v>
      </c>
      <c r="H12" s="37" t="s">
        <v>718</v>
      </c>
      <c r="I12" s="38">
        <f t="shared" si="0"/>
        <v>10.826771653543307</v>
      </c>
      <c r="J12" s="38">
        <f t="shared" si="1"/>
        <v>2.3025850929940459</v>
      </c>
      <c r="K12" s="38">
        <f t="shared" si="2"/>
        <v>2.3820219236420805</v>
      </c>
      <c r="L12" s="39">
        <f t="shared" si="3"/>
        <v>9.2363636363636356E-2</v>
      </c>
      <c r="M12" s="39">
        <f t="shared" si="4"/>
        <v>0.29207946388464306</v>
      </c>
      <c r="N12" s="39">
        <f t="shared" si="5"/>
        <v>0.92363636363636359</v>
      </c>
      <c r="O12" s="40">
        <f>1</f>
        <v>1</v>
      </c>
      <c r="P12" s="38">
        <f>INDEX(Cables!$AS:$AS,MATCH(B12,Cables!$A:$A,0))+INDEX(Cables!$AT:$AT,MATCH(B12,Cables!$A:$A,0))*SQRT(C12)+INDEX(Cables!$AU:$AU,MATCH(B12,Cables!$A:$A,0))*C12</f>
        <v>10.634326558004428</v>
      </c>
      <c r="Q12" s="41">
        <f t="shared" si="6"/>
        <v>-1.7774928824318303E-2</v>
      </c>
      <c r="R12" s="39">
        <f t="shared" si="7"/>
        <v>3.1594809470958168E-4</v>
      </c>
      <c r="S12" s="40" t="b">
        <f>IF(B12=B11,C12&gt;C11,COUNTIF(B$1:B11,B12)=0)</f>
        <v>1</v>
      </c>
      <c r="T12" s="37"/>
    </row>
    <row r="13" spans="1:20" x14ac:dyDescent="0.25">
      <c r="A13" s="37" t="s">
        <v>720</v>
      </c>
      <c r="B13" s="37" t="s">
        <v>169</v>
      </c>
      <c r="C13" s="37">
        <v>50</v>
      </c>
      <c r="D13" s="37">
        <v>5.8</v>
      </c>
      <c r="E13" s="37" t="s">
        <v>707</v>
      </c>
      <c r="F13" s="37"/>
      <c r="G13" s="37" t="s">
        <v>181</v>
      </c>
      <c r="H13" s="37" t="s">
        <v>718</v>
      </c>
      <c r="I13" s="38">
        <f t="shared" si="0"/>
        <v>19.028871391076116</v>
      </c>
      <c r="J13" s="38">
        <f t="shared" si="1"/>
        <v>3.912023005428146</v>
      </c>
      <c r="K13" s="38">
        <f t="shared" si="2"/>
        <v>2.9459573727220194</v>
      </c>
      <c r="L13" s="39">
        <f t="shared" si="3"/>
        <v>5.2551724137931036E-2</v>
      </c>
      <c r="M13" s="39">
        <f t="shared" si="4"/>
        <v>0.37159680500975806</v>
      </c>
      <c r="N13" s="39">
        <f t="shared" si="5"/>
        <v>2.6275862068965519</v>
      </c>
      <c r="O13" s="40">
        <f>1</f>
        <v>1</v>
      </c>
      <c r="P13" s="38">
        <f>INDEX(Cables!$AS:$AS,MATCH(B13,Cables!$A:$A,0))+INDEX(Cables!$AT:$AT,MATCH(B13,Cables!$A:$A,0))*SQRT(C13)+INDEX(Cables!$AU:$AU,MATCH(B13,Cables!$A:$A,0))*C13</f>
        <v>19.756087665855471</v>
      </c>
      <c r="Q13" s="41">
        <f t="shared" si="6"/>
        <v>3.8216469060818437E-2</v>
      </c>
      <c r="R13" s="39">
        <f t="shared" si="7"/>
        <v>1.4604985074764929E-3</v>
      </c>
      <c r="S13" s="40" t="b">
        <f>IF(B13=B12,C13&gt;C12,COUNTIF(B$1:B12,B13)=0)</f>
        <v>1</v>
      </c>
      <c r="T13" s="37"/>
    </row>
    <row r="14" spans="1:20" x14ac:dyDescent="0.25">
      <c r="A14" s="37" t="s">
        <v>721</v>
      </c>
      <c r="B14" s="37" t="s">
        <v>169</v>
      </c>
      <c r="C14" s="37">
        <v>100</v>
      </c>
      <c r="D14" s="37">
        <v>8.4</v>
      </c>
      <c r="E14" s="37" t="s">
        <v>707</v>
      </c>
      <c r="F14" s="37"/>
      <c r="G14" s="37" t="s">
        <v>181</v>
      </c>
      <c r="H14" s="37" t="s">
        <v>718</v>
      </c>
      <c r="I14" s="38">
        <f t="shared" si="0"/>
        <v>27.559055118110237</v>
      </c>
      <c r="J14" s="38">
        <f t="shared" si="1"/>
        <v>4.6051701859880918</v>
      </c>
      <c r="K14" s="38">
        <f t="shared" si="2"/>
        <v>3.3163311610189137</v>
      </c>
      <c r="L14" s="39">
        <f t="shared" si="3"/>
        <v>3.6285714285714282E-2</v>
      </c>
      <c r="M14" s="39">
        <f t="shared" si="4"/>
        <v>0.36285714285714282</v>
      </c>
      <c r="N14" s="39">
        <f t="shared" si="5"/>
        <v>3.6285714285714286</v>
      </c>
      <c r="O14" s="40">
        <f>1</f>
        <v>1</v>
      </c>
      <c r="P14" s="38">
        <f>INDEX(Cables!$AS:$AS,MATCH(B14,Cables!$A:$A,0))+INDEX(Cables!$AT:$AT,MATCH(B14,Cables!$A:$A,0))*SQRT(C14)+INDEX(Cables!$AU:$AU,MATCH(B14,Cables!$A:$A,0))*C14</f>
        <v>27.595116772997397</v>
      </c>
      <c r="Q14" s="41">
        <f t="shared" si="6"/>
        <v>1.3085229059055514E-3</v>
      </c>
      <c r="R14" s="39">
        <f t="shared" si="7"/>
        <v>1.7122321952795087E-6</v>
      </c>
      <c r="S14" s="40" t="b">
        <f>IF(B14=B13,C14&gt;C13,COUNTIF(B$1:B13,B14)=0)</f>
        <v>1</v>
      </c>
      <c r="T14" s="37"/>
    </row>
    <row r="15" spans="1:20" x14ac:dyDescent="0.25">
      <c r="A15" s="37" t="s">
        <v>722</v>
      </c>
      <c r="B15" s="37" t="s">
        <v>169</v>
      </c>
      <c r="C15" s="37">
        <v>200</v>
      </c>
      <c r="D15" s="37">
        <v>12.5</v>
      </c>
      <c r="E15" s="37" t="s">
        <v>707</v>
      </c>
      <c r="F15" s="37"/>
      <c r="G15" s="37" t="s">
        <v>181</v>
      </c>
      <c r="H15" s="37" t="s">
        <v>718</v>
      </c>
      <c r="I15" s="38">
        <f t="shared" si="0"/>
        <v>41.01049868766404</v>
      </c>
      <c r="J15" s="38">
        <f t="shared" si="1"/>
        <v>5.2983173665480363</v>
      </c>
      <c r="K15" s="38">
        <f t="shared" si="2"/>
        <v>3.7138280994779014</v>
      </c>
      <c r="L15" s="39">
        <f t="shared" si="3"/>
        <v>2.4384000000000003E-2</v>
      </c>
      <c r="M15" s="39">
        <f t="shared" si="4"/>
        <v>0.34484183504905552</v>
      </c>
      <c r="N15" s="39">
        <f t="shared" si="5"/>
        <v>4.8768000000000002</v>
      </c>
      <c r="O15" s="40">
        <f>1</f>
        <v>1</v>
      </c>
      <c r="P15" s="38">
        <f>INDEX(Cables!$AS:$AS,MATCH(B15,Cables!$A:$A,0))+INDEX(Cables!$AT:$AT,MATCH(B15,Cables!$A:$A,0))*SQRT(C15)+INDEX(Cables!$AU:$AU,MATCH(B15,Cables!$A:$A,0))*C15</f>
        <v>40.149381552499406</v>
      </c>
      <c r="Q15" s="41">
        <f t="shared" si="6"/>
        <v>-2.0997480223854392E-2</v>
      </c>
      <c r="R15" s="39">
        <f t="shared" si="7"/>
        <v>4.408941757511563E-4</v>
      </c>
      <c r="S15" s="40" t="b">
        <f>IF(B15=B14,C15&gt;C14,COUNTIF(B$1:B14,B15)=0)</f>
        <v>1</v>
      </c>
      <c r="T15" s="37"/>
    </row>
    <row r="16" spans="1:20" x14ac:dyDescent="0.25">
      <c r="A16" s="37" t="s">
        <v>723</v>
      </c>
      <c r="B16" s="37" t="s">
        <v>169</v>
      </c>
      <c r="C16" s="37">
        <v>400</v>
      </c>
      <c r="D16" s="37">
        <v>19</v>
      </c>
      <c r="E16" s="37" t="s">
        <v>707</v>
      </c>
      <c r="F16" s="37"/>
      <c r="G16" s="37" t="s">
        <v>181</v>
      </c>
      <c r="H16" s="37" t="s">
        <v>718</v>
      </c>
      <c r="I16" s="38">
        <f t="shared" si="0"/>
        <v>62.335958005249346</v>
      </c>
      <c r="J16" s="38">
        <f t="shared" si="1"/>
        <v>5.9914645471079817</v>
      </c>
      <c r="K16" s="38">
        <f t="shared" si="2"/>
        <v>4.1325384343360865</v>
      </c>
      <c r="L16" s="39">
        <f t="shared" si="3"/>
        <v>1.6042105263157896E-2</v>
      </c>
      <c r="M16" s="39">
        <f t="shared" si="4"/>
        <v>0.32084210526315787</v>
      </c>
      <c r="N16" s="39">
        <f t="shared" si="5"/>
        <v>6.4168421052631581</v>
      </c>
      <c r="O16" s="40">
        <f>1</f>
        <v>1</v>
      </c>
      <c r="P16" s="38">
        <f>INDEX(Cables!$AS:$AS,MATCH(B16,Cables!$A:$A,0))+INDEX(Cables!$AT:$AT,MATCH(B16,Cables!$A:$A,0))*SQRT(C16)+INDEX(Cables!$AU:$AU,MATCH(B16,Cables!$A:$A,0))*C16</f>
        <v>60.840200069982899</v>
      </c>
      <c r="Q16" s="41">
        <f t="shared" si="6"/>
        <v>-2.3995106245748077E-2</v>
      </c>
      <c r="R16" s="39">
        <f t="shared" si="7"/>
        <v>5.7576512374473842E-4</v>
      </c>
      <c r="S16" s="40" t="b">
        <f>IF(B16=B15,C16&gt;C15,COUNTIF(B$1:B15,B16)=0)</f>
        <v>1</v>
      </c>
      <c r="T16" s="37"/>
    </row>
    <row r="17" spans="1:20" x14ac:dyDescent="0.25">
      <c r="A17" s="37" t="s">
        <v>724</v>
      </c>
      <c r="B17" s="37" t="s">
        <v>169</v>
      </c>
      <c r="C17" s="37">
        <v>700</v>
      </c>
      <c r="D17" s="37">
        <v>27</v>
      </c>
      <c r="E17" s="37" t="s">
        <v>707</v>
      </c>
      <c r="F17" s="37"/>
      <c r="G17" s="37" t="s">
        <v>181</v>
      </c>
      <c r="H17" s="37" t="s">
        <v>718</v>
      </c>
      <c r="I17" s="38">
        <f t="shared" si="0"/>
        <v>88.582677165354326</v>
      </c>
      <c r="J17" s="38">
        <f t="shared" si="1"/>
        <v>6.5510803350434044</v>
      </c>
      <c r="K17" s="38">
        <f t="shared" si="2"/>
        <v>4.4839363211739744</v>
      </c>
      <c r="L17" s="39">
        <f t="shared" si="3"/>
        <v>1.128888888888889E-2</v>
      </c>
      <c r="M17" s="39">
        <f t="shared" si="4"/>
        <v>0.29867592578240271</v>
      </c>
      <c r="N17" s="39">
        <f t="shared" si="5"/>
        <v>7.9022222222222229</v>
      </c>
      <c r="O17" s="40">
        <f>1</f>
        <v>1</v>
      </c>
      <c r="P17" s="38">
        <f>INDEX(Cables!$AS:$AS,MATCH(B17,Cables!$A:$A,0))+INDEX(Cables!$AT:$AT,MATCH(B17,Cables!$A:$A,0))*SQRT(C17)+INDEX(Cables!$AU:$AU,MATCH(B17,Cables!$A:$A,0))*C17</f>
        <v>87.63554749153063</v>
      </c>
      <c r="Q17" s="41">
        <f t="shared" si="6"/>
        <v>-1.0692041651165329E-2</v>
      </c>
      <c r="R17" s="39">
        <f t="shared" si="7"/>
        <v>1.1431975467025423E-4</v>
      </c>
      <c r="S17" s="40" t="b">
        <f>IF(B17=B16,C17&gt;C16,COUNTIF(B$1:B16,B17)=0)</f>
        <v>1</v>
      </c>
      <c r="T17" s="37"/>
    </row>
    <row r="18" spans="1:20" x14ac:dyDescent="0.25">
      <c r="A18" s="37" t="s">
        <v>725</v>
      </c>
      <c r="B18" s="37" t="s">
        <v>169</v>
      </c>
      <c r="C18" s="37">
        <v>900</v>
      </c>
      <c r="D18" s="37">
        <v>31</v>
      </c>
      <c r="E18" s="37" t="s">
        <v>707</v>
      </c>
      <c r="F18" s="37"/>
      <c r="G18" s="37" t="s">
        <v>181</v>
      </c>
      <c r="H18" s="37" t="s">
        <v>718</v>
      </c>
      <c r="I18" s="38">
        <f t="shared" si="0"/>
        <v>101.70603674540682</v>
      </c>
      <c r="J18" s="38">
        <f t="shared" si="1"/>
        <v>6.8023947633243109</v>
      </c>
      <c r="K18" s="38">
        <f t="shared" si="2"/>
        <v>4.6220866596547925</v>
      </c>
      <c r="L18" s="39">
        <f t="shared" si="3"/>
        <v>9.8322580645161303E-3</v>
      </c>
      <c r="M18" s="39">
        <f t="shared" si="4"/>
        <v>0.29496774193548386</v>
      </c>
      <c r="N18" s="39">
        <f t="shared" si="5"/>
        <v>8.8490322580645167</v>
      </c>
      <c r="O18" s="40">
        <f>1</f>
        <v>1</v>
      </c>
      <c r="P18" s="38">
        <f>INDEX(Cables!$AS:$AS,MATCH(B18,Cables!$A:$A,0))+INDEX(Cables!$AT:$AT,MATCH(B18,Cables!$A:$A,0))*SQRT(C18)+INDEX(Cables!$AU:$AU,MATCH(B18,Cables!$A:$A,0))*C18</f>
        <v>104.11080397336769</v>
      </c>
      <c r="Q18" s="41">
        <f t="shared" si="6"/>
        <v>2.3644291970402298E-2</v>
      </c>
      <c r="R18" s="39">
        <f t="shared" si="7"/>
        <v>5.5905254278163061E-4</v>
      </c>
      <c r="S18" s="40" t="b">
        <f>IF(B18=B17,C18&gt;C17,COUNTIF(B$1:B17,B18)=0)</f>
        <v>1</v>
      </c>
      <c r="T18" s="37"/>
    </row>
    <row r="19" spans="1:20" x14ac:dyDescent="0.25">
      <c r="A19" s="37" t="s">
        <v>726</v>
      </c>
      <c r="B19" s="37" t="s">
        <v>169</v>
      </c>
      <c r="C19" s="37">
        <v>1000</v>
      </c>
      <c r="D19" s="37">
        <v>34</v>
      </c>
      <c r="E19" s="37" t="s">
        <v>707</v>
      </c>
      <c r="F19" s="37"/>
      <c r="G19" s="37" t="s">
        <v>181</v>
      </c>
      <c r="H19" s="37" t="s">
        <v>718</v>
      </c>
      <c r="I19" s="38">
        <f t="shared" si="0"/>
        <v>111.5485564304462</v>
      </c>
      <c r="J19" s="38">
        <f t="shared" si="1"/>
        <v>6.9077552789821368</v>
      </c>
      <c r="K19" s="38">
        <f t="shared" si="2"/>
        <v>4.7144599797858069</v>
      </c>
      <c r="L19" s="39">
        <f t="shared" si="3"/>
        <v>8.9647058823529406E-3</v>
      </c>
      <c r="M19" s="39">
        <f t="shared" si="4"/>
        <v>0.28348889141744765</v>
      </c>
      <c r="N19" s="39">
        <f t="shared" si="5"/>
        <v>8.9647058823529413</v>
      </c>
      <c r="O19" s="40">
        <f>1</f>
        <v>1</v>
      </c>
      <c r="P19" s="38">
        <f>INDEX(Cables!$AS:$AS,MATCH(B19,Cables!$A:$A,0))+INDEX(Cables!$AT:$AT,MATCH(B19,Cables!$A:$A,0))*SQRT(C19)+INDEX(Cables!$AU:$AU,MATCH(B19,Cables!$A:$A,0))*C19</f>
        <v>112.0781215671405</v>
      </c>
      <c r="Q19" s="41">
        <f t="shared" si="6"/>
        <v>4.7473956960124575E-3</v>
      </c>
      <c r="R19" s="39">
        <f t="shared" si="7"/>
        <v>2.2537765894517605E-5</v>
      </c>
      <c r="S19" s="40" t="b">
        <f>IF(B19=B18,C19&gt;C18,COUNTIF(B$1:B18,B19)=0)</f>
        <v>1</v>
      </c>
      <c r="T19" s="37"/>
    </row>
    <row r="20" spans="1:20" x14ac:dyDescent="0.25">
      <c r="A20" s="37" t="s">
        <v>727</v>
      </c>
      <c r="B20" s="37" t="s">
        <v>183</v>
      </c>
      <c r="C20" s="37">
        <v>1</v>
      </c>
      <c r="D20" s="37">
        <v>1.2</v>
      </c>
      <c r="E20" s="37" t="s">
        <v>707</v>
      </c>
      <c r="F20" s="37"/>
      <c r="G20" s="37" t="s">
        <v>189</v>
      </c>
      <c r="H20" s="37" t="s">
        <v>728</v>
      </c>
      <c r="I20" s="38">
        <f t="shared" si="0"/>
        <v>3.9370078740157481</v>
      </c>
      <c r="J20" s="38">
        <f t="shared" si="1"/>
        <v>0</v>
      </c>
      <c r="K20" s="38">
        <f t="shared" si="2"/>
        <v>1.3704210119636004</v>
      </c>
      <c r="L20" s="39">
        <f t="shared" si="3"/>
        <v>0.254</v>
      </c>
      <c r="M20" s="39">
        <f t="shared" si="4"/>
        <v>0.254</v>
      </c>
      <c r="N20" s="39">
        <f t="shared" si="5"/>
        <v>0.254</v>
      </c>
      <c r="O20" s="40">
        <f>1</f>
        <v>1</v>
      </c>
      <c r="P20" s="38">
        <f>INDEX(Cables!$AS:$AS,MATCH(B20,Cables!$A:$A,0))+INDEX(Cables!$AT:$AT,MATCH(B20,Cables!$A:$A,0))*SQRT(C20)+INDEX(Cables!$AU:$AU,MATCH(B20,Cables!$A:$A,0))*C20</f>
        <v>3.8594772616959685</v>
      </c>
      <c r="Q20" s="41">
        <f t="shared" si="6"/>
        <v>-1.9692775529223994E-2</v>
      </c>
      <c r="R20" s="39">
        <f t="shared" si="7"/>
        <v>3.8780540804440335E-4</v>
      </c>
      <c r="S20" s="40" t="b">
        <f>IF(B20=B19,C20&gt;C19,COUNTIF(B$1:B19,B20)=0)</f>
        <v>1</v>
      </c>
      <c r="T20" s="37"/>
    </row>
    <row r="21" spans="1:20" x14ac:dyDescent="0.25">
      <c r="A21" s="37" t="s">
        <v>729</v>
      </c>
      <c r="B21" s="37" t="s">
        <v>183</v>
      </c>
      <c r="C21" s="37">
        <v>10</v>
      </c>
      <c r="D21" s="37">
        <v>2.7</v>
      </c>
      <c r="E21" s="37" t="s">
        <v>707</v>
      </c>
      <c r="F21" s="37"/>
      <c r="G21" s="37" t="s">
        <v>189</v>
      </c>
      <c r="H21" s="37" t="s">
        <v>728</v>
      </c>
      <c r="I21" s="38">
        <f t="shared" si="0"/>
        <v>8.8582677165354333</v>
      </c>
      <c r="J21" s="38">
        <f t="shared" si="1"/>
        <v>2.3025850929940459</v>
      </c>
      <c r="K21" s="38">
        <f t="shared" si="2"/>
        <v>2.1813512281799294</v>
      </c>
      <c r="L21" s="39">
        <f t="shared" si="3"/>
        <v>0.11288888888888889</v>
      </c>
      <c r="M21" s="39">
        <f t="shared" si="4"/>
        <v>0.35698601141456371</v>
      </c>
      <c r="N21" s="39">
        <f t="shared" si="5"/>
        <v>1.1288888888888888</v>
      </c>
      <c r="O21" s="40">
        <f>1</f>
        <v>1</v>
      </c>
      <c r="P21" s="38">
        <f>INDEX(Cables!$AS:$AS,MATCH(B21,Cables!$A:$A,0))+INDEX(Cables!$AT:$AT,MATCH(B21,Cables!$A:$A,0))*SQRT(C21)+INDEX(Cables!$AU:$AU,MATCH(B21,Cables!$A:$A,0))*C21</f>
        <v>9.1902635566888389</v>
      </c>
      <c r="Q21" s="41">
        <f t="shared" si="6"/>
        <v>3.7478641510651167E-2</v>
      </c>
      <c r="R21" s="39">
        <f t="shared" si="7"/>
        <v>1.4046485694839048E-3</v>
      </c>
      <c r="S21" s="40" t="b">
        <f>IF(B21=B20,C21&gt;C20,COUNTIF(B$1:B20,B21)=0)</f>
        <v>1</v>
      </c>
      <c r="T21" s="37"/>
    </row>
    <row r="22" spans="1:20" x14ac:dyDescent="0.25">
      <c r="A22" s="37" t="s">
        <v>730</v>
      </c>
      <c r="B22" s="37" t="s">
        <v>183</v>
      </c>
      <c r="C22" s="37">
        <v>50</v>
      </c>
      <c r="D22" s="37">
        <v>5.6</v>
      </c>
      <c r="E22" s="37" t="s">
        <v>707</v>
      </c>
      <c r="F22" s="37"/>
      <c r="G22" s="37" t="s">
        <v>189</v>
      </c>
      <c r="H22" s="37" t="s">
        <v>728</v>
      </c>
      <c r="I22" s="38">
        <f t="shared" si="0"/>
        <v>18.372703412073491</v>
      </c>
      <c r="J22" s="38">
        <f t="shared" si="1"/>
        <v>3.912023005428146</v>
      </c>
      <c r="K22" s="38">
        <f t="shared" si="2"/>
        <v>2.9108660529107495</v>
      </c>
      <c r="L22" s="39">
        <f t="shared" si="3"/>
        <v>5.442857142857143E-2</v>
      </c>
      <c r="M22" s="39">
        <f t="shared" si="4"/>
        <v>0.38486811947439231</v>
      </c>
      <c r="N22" s="39">
        <f t="shared" si="5"/>
        <v>2.7214285714285715</v>
      </c>
      <c r="O22" s="40">
        <f>1</f>
        <v>1</v>
      </c>
      <c r="P22" s="38">
        <f>INDEX(Cables!$AS:$AS,MATCH(B22,Cables!$A:$A,0))+INDEX(Cables!$AT:$AT,MATCH(B22,Cables!$A:$A,0))*SQRT(C22)+INDEX(Cables!$AU:$AU,MATCH(B22,Cables!$A:$A,0))*C22</f>
        <v>19.207259257064702</v>
      </c>
      <c r="Q22" s="41">
        <f t="shared" si="6"/>
        <v>4.5423682420235867E-2</v>
      </c>
      <c r="R22" s="39">
        <f t="shared" si="7"/>
        <v>2.063310924614445E-3</v>
      </c>
      <c r="S22" s="40" t="b">
        <f>IF(B22=B21,C22&gt;C21,COUNTIF(B$1:B21,B22)=0)</f>
        <v>1</v>
      </c>
      <c r="T22" s="37"/>
    </row>
    <row r="23" spans="1:20" x14ac:dyDescent="0.25">
      <c r="A23" s="37" t="s">
        <v>731</v>
      </c>
      <c r="B23" s="37" t="s">
        <v>183</v>
      </c>
      <c r="C23" s="37">
        <v>100</v>
      </c>
      <c r="D23" s="37">
        <v>8.3000000000000007</v>
      </c>
      <c r="E23" s="37" t="s">
        <v>707</v>
      </c>
      <c r="F23" s="37"/>
      <c r="G23" s="37" t="s">
        <v>189</v>
      </c>
      <c r="H23" s="37" t="s">
        <v>728</v>
      </c>
      <c r="I23" s="38">
        <f t="shared" si="0"/>
        <v>27.230971128608928</v>
      </c>
      <c r="J23" s="38">
        <f t="shared" si="1"/>
        <v>4.6051701859880918</v>
      </c>
      <c r="K23" s="38">
        <f t="shared" si="2"/>
        <v>3.3043549699721981</v>
      </c>
      <c r="L23" s="39">
        <f t="shared" si="3"/>
        <v>3.6722891566265056E-2</v>
      </c>
      <c r="M23" s="39">
        <f t="shared" si="4"/>
        <v>0.36722891566265053</v>
      </c>
      <c r="N23" s="39">
        <f t="shared" si="5"/>
        <v>3.6722891566265052</v>
      </c>
      <c r="O23" s="40">
        <f>1</f>
        <v>1</v>
      </c>
      <c r="P23" s="38">
        <f>INDEX(Cables!$AS:$AS,MATCH(B23,Cables!$A:$A,0))+INDEX(Cables!$AT:$AT,MATCH(B23,Cables!$A:$A,0))*SQRT(C23)+INDEX(Cables!$AU:$AU,MATCH(B23,Cables!$A:$A,0))*C23</f>
        <v>27.034251851485784</v>
      </c>
      <c r="Q23" s="41">
        <f t="shared" si="6"/>
        <v>-7.2241006827872267E-3</v>
      </c>
      <c r="R23" s="39">
        <f t="shared" si="7"/>
        <v>5.2187630675046875E-5</v>
      </c>
      <c r="S23" s="40" t="b">
        <f>IF(B23=B22,C23&gt;C22,COUNTIF(B$1:B22,B23)=0)</f>
        <v>1</v>
      </c>
      <c r="T23" s="37"/>
    </row>
    <row r="24" spans="1:20" x14ac:dyDescent="0.25">
      <c r="A24" s="37" t="s">
        <v>732</v>
      </c>
      <c r="B24" s="37" t="s">
        <v>183</v>
      </c>
      <c r="C24" s="37">
        <v>200</v>
      </c>
      <c r="D24" s="37">
        <v>12</v>
      </c>
      <c r="E24" s="37" t="s">
        <v>707</v>
      </c>
      <c r="F24" s="37"/>
      <c r="G24" s="37" t="s">
        <v>189</v>
      </c>
      <c r="H24" s="37" t="s">
        <v>728</v>
      </c>
      <c r="I24" s="38">
        <f t="shared" si="0"/>
        <v>39.370078740157481</v>
      </c>
      <c r="J24" s="38">
        <f t="shared" si="1"/>
        <v>5.2983173665480363</v>
      </c>
      <c r="K24" s="38">
        <f t="shared" si="2"/>
        <v>3.6730061049576461</v>
      </c>
      <c r="L24" s="39">
        <f t="shared" si="3"/>
        <v>2.5399999999999999E-2</v>
      </c>
      <c r="M24" s="39">
        <f t="shared" si="4"/>
        <v>0.35921024484276615</v>
      </c>
      <c r="N24" s="39">
        <f t="shared" si="5"/>
        <v>5.08</v>
      </c>
      <c r="O24" s="40">
        <f>1</f>
        <v>1</v>
      </c>
      <c r="P24" s="38">
        <f>INDEX(Cables!$AS:$AS,MATCH(B24,Cables!$A:$A,0))+INDEX(Cables!$AT:$AT,MATCH(B24,Cables!$A:$A,0))*SQRT(C24)+INDEX(Cables!$AU:$AU,MATCH(B24,Cables!$A:$A,0))*C24</f>
        <v>38.572838588310738</v>
      </c>
      <c r="Q24" s="41">
        <f t="shared" si="6"/>
        <v>-2.0249899856907283E-2</v>
      </c>
      <c r="R24" s="39">
        <f t="shared" si="7"/>
        <v>4.1005844421477362E-4</v>
      </c>
      <c r="S24" s="40" t="b">
        <f>IF(B24=B23,C24&gt;C23,COUNTIF(B$1:B23,B24)=0)</f>
        <v>1</v>
      </c>
      <c r="T24" s="37"/>
    </row>
    <row r="25" spans="1:20" x14ac:dyDescent="0.25">
      <c r="A25" s="37" t="s">
        <v>733</v>
      </c>
      <c r="B25" s="37" t="s">
        <v>183</v>
      </c>
      <c r="C25" s="37">
        <v>400</v>
      </c>
      <c r="D25" s="37">
        <v>17.5</v>
      </c>
      <c r="E25" s="37" t="s">
        <v>707</v>
      </c>
      <c r="F25" s="37"/>
      <c r="G25" s="37" t="s">
        <v>189</v>
      </c>
      <c r="H25" s="37" t="s">
        <v>728</v>
      </c>
      <c r="I25" s="38">
        <f t="shared" si="0"/>
        <v>57.414698162729657</v>
      </c>
      <c r="J25" s="38">
        <f t="shared" si="1"/>
        <v>5.9914645471079817</v>
      </c>
      <c r="K25" s="38">
        <f t="shared" si="2"/>
        <v>4.0503003360991139</v>
      </c>
      <c r="L25" s="39">
        <f t="shared" si="3"/>
        <v>1.7417142857142857E-2</v>
      </c>
      <c r="M25" s="39">
        <f t="shared" si="4"/>
        <v>0.34834285714285718</v>
      </c>
      <c r="N25" s="39">
        <f t="shared" si="5"/>
        <v>6.9668571428571431</v>
      </c>
      <c r="O25" s="40">
        <f>1</f>
        <v>1</v>
      </c>
      <c r="P25" s="38">
        <f>INDEX(Cables!$AS:$AS,MATCH(B25,Cables!$A:$A,0))+INDEX(Cables!$AT:$AT,MATCH(B25,Cables!$A:$A,0))*SQRT(C25)+INDEX(Cables!$AU:$AU,MATCH(B25,Cables!$A:$A,0))*C25</f>
        <v>55.829959756548696</v>
      </c>
      <c r="Q25" s="41">
        <f t="shared" si="6"/>
        <v>-2.7601615211654718E-2</v>
      </c>
      <c r="R25" s="39">
        <f t="shared" si="7"/>
        <v>7.6184916229224907E-4</v>
      </c>
      <c r="S25" s="40" t="b">
        <f>IF(B25=B24,C25&gt;C24,COUNTIF(B$1:B24,B25)=0)</f>
        <v>1</v>
      </c>
      <c r="T25" s="37"/>
    </row>
    <row r="26" spans="1:20" x14ac:dyDescent="0.25">
      <c r="A26" s="37" t="s">
        <v>734</v>
      </c>
      <c r="B26" s="37" t="s">
        <v>183</v>
      </c>
      <c r="C26" s="37">
        <v>700</v>
      </c>
      <c r="D26" s="37">
        <v>23.7</v>
      </c>
      <c r="E26" s="37" t="s">
        <v>707</v>
      </c>
      <c r="F26" s="37"/>
      <c r="G26" s="37" t="s">
        <v>189</v>
      </c>
      <c r="H26" s="37" t="s">
        <v>728</v>
      </c>
      <c r="I26" s="38">
        <f t="shared" si="0"/>
        <v>77.755905511811022</v>
      </c>
      <c r="J26" s="38">
        <f t="shared" si="1"/>
        <v>6.5510803350434044</v>
      </c>
      <c r="K26" s="38">
        <f t="shared" si="2"/>
        <v>4.3535745033107309</v>
      </c>
      <c r="L26" s="39">
        <f t="shared" si="3"/>
        <v>1.2860759493670887E-2</v>
      </c>
      <c r="M26" s="39">
        <f t="shared" si="4"/>
        <v>0.34026371291666124</v>
      </c>
      <c r="N26" s="39">
        <f t="shared" si="5"/>
        <v>9.0025316455696203</v>
      </c>
      <c r="O26" s="40">
        <f>1</f>
        <v>1</v>
      </c>
      <c r="P26" s="38">
        <f>INDEX(Cables!$AS:$AS,MATCH(B26,Cables!$A:$A,0))+INDEX(Cables!$AT:$AT,MATCH(B26,Cables!$A:$A,0))*SQRT(C26)+INDEX(Cables!$AU:$AU,MATCH(B26,Cables!$A:$A,0))*C26</f>
        <v>76.128552345934509</v>
      </c>
      <c r="Q26" s="41">
        <f t="shared" si="6"/>
        <v>-2.0928997677601702E-2</v>
      </c>
      <c r="R26" s="39">
        <f t="shared" si="7"/>
        <v>4.3802294378905742E-4</v>
      </c>
      <c r="S26" s="40" t="b">
        <f>IF(B26=B25,C26&gt;C25,COUNTIF(B$1:B25,B26)=0)</f>
        <v>1</v>
      </c>
      <c r="T26" s="37"/>
    </row>
    <row r="27" spans="1:20" x14ac:dyDescent="0.25">
      <c r="A27" s="37" t="s">
        <v>735</v>
      </c>
      <c r="B27" s="37" t="s">
        <v>183</v>
      </c>
      <c r="C27" s="37">
        <v>900</v>
      </c>
      <c r="D27" s="37">
        <v>27.3</v>
      </c>
      <c r="E27" s="37" t="s">
        <v>707</v>
      </c>
      <c r="F27" s="37"/>
      <c r="G27" s="37" t="s">
        <v>189</v>
      </c>
      <c r="H27" s="37" t="s">
        <v>728</v>
      </c>
      <c r="I27" s="38">
        <f t="shared" si="0"/>
        <v>89.566929133858267</v>
      </c>
      <c r="J27" s="38">
        <f t="shared" si="1"/>
        <v>6.8023947633243109</v>
      </c>
      <c r="K27" s="38">
        <f t="shared" si="2"/>
        <v>4.4949861573605601</v>
      </c>
      <c r="L27" s="39">
        <f t="shared" si="3"/>
        <v>1.1164835164835164E-2</v>
      </c>
      <c r="M27" s="39">
        <f t="shared" si="4"/>
        <v>0.33494505494505494</v>
      </c>
      <c r="N27" s="39">
        <f t="shared" si="5"/>
        <v>10.048351648351648</v>
      </c>
      <c r="O27" s="40">
        <f>1</f>
        <v>1</v>
      </c>
      <c r="P27" s="38">
        <f>INDEX(Cables!$AS:$AS,MATCH(B27,Cables!$A:$A,0))+INDEX(Cables!$AT:$AT,MATCH(B27,Cables!$A:$A,0))*SQRT(C27)+INDEX(Cables!$AU:$AU,MATCH(B27,Cables!$A:$A,0))*C27</f>
        <v>87.831939620403205</v>
      </c>
      <c r="Q27" s="41">
        <f t="shared" si="6"/>
        <v>-1.937087193044329E-2</v>
      </c>
      <c r="R27" s="39">
        <f t="shared" si="7"/>
        <v>3.7523067934563573E-4</v>
      </c>
      <c r="S27" s="40" t="b">
        <f>IF(B27=B26,C27&gt;C26,COUNTIF(B$1:B26,B27)=0)</f>
        <v>1</v>
      </c>
      <c r="T27" s="37"/>
    </row>
    <row r="28" spans="1:20" x14ac:dyDescent="0.25">
      <c r="A28" s="37" t="s">
        <v>736</v>
      </c>
      <c r="B28" s="37" t="s">
        <v>183</v>
      </c>
      <c r="C28" s="37">
        <v>1000</v>
      </c>
      <c r="D28" s="37">
        <v>29</v>
      </c>
      <c r="E28" s="37" t="s">
        <v>707</v>
      </c>
      <c r="F28" s="37"/>
      <c r="G28" s="37" t="s">
        <v>189</v>
      </c>
      <c r="H28" s="37" t="s">
        <v>728</v>
      </c>
      <c r="I28" s="38">
        <f t="shared" si="0"/>
        <v>95.144356955380573</v>
      </c>
      <c r="J28" s="38">
        <f t="shared" si="1"/>
        <v>6.9077552789821368</v>
      </c>
      <c r="K28" s="38">
        <f t="shared" si="2"/>
        <v>4.5553952851561199</v>
      </c>
      <c r="L28" s="39">
        <f t="shared" si="3"/>
        <v>1.0510344827586207E-2</v>
      </c>
      <c r="M28" s="39">
        <f t="shared" si="4"/>
        <v>0.3323662864894214</v>
      </c>
      <c r="N28" s="39">
        <f t="shared" si="5"/>
        <v>10.510344827586207</v>
      </c>
      <c r="O28" s="40">
        <f>1</f>
        <v>1</v>
      </c>
      <c r="P28" s="38">
        <f>INDEX(Cables!$AS:$AS,MATCH(B28,Cables!$A:$A,0))+INDEX(Cables!$AT:$AT,MATCH(B28,Cables!$A:$A,0))*SQRT(C28)+INDEX(Cables!$AU:$AU,MATCH(B28,Cables!$A:$A,0))*C28</f>
        <v>93.327516234520431</v>
      </c>
      <c r="Q28" s="41">
        <f t="shared" si="6"/>
        <v>-1.9095622473040419E-2</v>
      </c>
      <c r="R28" s="39">
        <f t="shared" si="7"/>
        <v>3.6464279763288626E-4</v>
      </c>
      <c r="S28" s="40" t="b">
        <f>IF(B28=B27,C28&gt;C27,COUNTIF(B$1:B27,B28)=0)</f>
        <v>1</v>
      </c>
      <c r="T28" s="37"/>
    </row>
    <row r="29" spans="1:20" x14ac:dyDescent="0.25">
      <c r="A29" s="37" t="s">
        <v>737</v>
      </c>
      <c r="B29" s="37" t="s">
        <v>183</v>
      </c>
      <c r="C29" s="37">
        <v>1500</v>
      </c>
      <c r="D29" s="37">
        <v>36.5</v>
      </c>
      <c r="E29" s="37" t="s">
        <v>707</v>
      </c>
      <c r="F29" s="37"/>
      <c r="G29" s="37" t="s">
        <v>189</v>
      </c>
      <c r="H29" s="37" t="s">
        <v>728</v>
      </c>
      <c r="I29" s="38">
        <f t="shared" si="0"/>
        <v>119.750656167979</v>
      </c>
      <c r="J29" s="38">
        <f t="shared" si="1"/>
        <v>7.3132203870903014</v>
      </c>
      <c r="K29" s="38">
        <f t="shared" si="2"/>
        <v>4.7854117157580918</v>
      </c>
      <c r="L29" s="39">
        <f t="shared" si="3"/>
        <v>8.3506849315068497E-3</v>
      </c>
      <c r="M29" s="39">
        <f t="shared" si="4"/>
        <v>0.3234206366915125</v>
      </c>
      <c r="N29" s="39">
        <f t="shared" si="5"/>
        <v>12.526027397260274</v>
      </c>
      <c r="O29" s="40">
        <f>1</f>
        <v>1</v>
      </c>
      <c r="P29" s="38">
        <f>INDEX(Cables!$AS:$AS,MATCH(B29,Cables!$A:$A,0))+INDEX(Cables!$AT:$AT,MATCH(B29,Cables!$A:$A,0))*SQRT(C29)+INDEX(Cables!$AU:$AU,MATCH(B29,Cables!$A:$A,0))*C29</f>
        <v>118.39039590499583</v>
      </c>
      <c r="Q29" s="41">
        <f t="shared" si="6"/>
        <v>-1.1359104881021098E-2</v>
      </c>
      <c r="R29" s="39">
        <f t="shared" si="7"/>
        <v>1.2902926369803732E-4</v>
      </c>
      <c r="S29" s="40" t="b">
        <f>IF(B29=B28,C29&gt;C28,COUNTIF(B$1:B28,B29)=0)</f>
        <v>1</v>
      </c>
      <c r="T29" s="37"/>
    </row>
    <row r="30" spans="1:20" x14ac:dyDescent="0.25">
      <c r="A30" s="37" t="s">
        <v>738</v>
      </c>
      <c r="B30" s="37" t="s">
        <v>183</v>
      </c>
      <c r="C30" s="37">
        <v>2000</v>
      </c>
      <c r="D30" s="37">
        <v>42.5</v>
      </c>
      <c r="E30" s="37" t="s">
        <v>707</v>
      </c>
      <c r="F30" s="37"/>
      <c r="G30" s="37" t="s">
        <v>189</v>
      </c>
      <c r="H30" s="37" t="s">
        <v>728</v>
      </c>
      <c r="I30" s="38">
        <f t="shared" si="0"/>
        <v>139.43569553805773</v>
      </c>
      <c r="J30" s="38">
        <f t="shared" si="1"/>
        <v>7.6009024595420822</v>
      </c>
      <c r="K30" s="38">
        <f t="shared" si="2"/>
        <v>4.9376035311000166</v>
      </c>
      <c r="L30" s="39">
        <f t="shared" si="3"/>
        <v>7.171764705882354E-3</v>
      </c>
      <c r="M30" s="39">
        <f t="shared" si="4"/>
        <v>0.32073106801973461</v>
      </c>
      <c r="N30" s="39">
        <f t="shared" si="5"/>
        <v>14.343529411764708</v>
      </c>
      <c r="O30" s="40">
        <f>1</f>
        <v>1</v>
      </c>
      <c r="P30" s="38">
        <f>INDEX(Cables!$AS:$AS,MATCH(B30,Cables!$A:$A,0))+INDEX(Cables!$AT:$AT,MATCH(B30,Cables!$A:$A,0))*SQRT(C30)+INDEX(Cables!$AU:$AU,MATCH(B30,Cables!$A:$A,0))*C30</f>
        <v>140.77753000239966</v>
      </c>
      <c r="Q30" s="41">
        <f t="shared" si="6"/>
        <v>9.6233210525040747E-3</v>
      </c>
      <c r="R30" s="39">
        <f t="shared" si="7"/>
        <v>9.2608308079568128E-5</v>
      </c>
      <c r="S30" s="40" t="b">
        <f>IF(B30=B29,C30&gt;C29,COUNTIF(B$1:B29,B30)=0)</f>
        <v>1</v>
      </c>
      <c r="T30" s="37"/>
    </row>
    <row r="31" spans="1:20" x14ac:dyDescent="0.25">
      <c r="A31" s="37" t="s">
        <v>739</v>
      </c>
      <c r="B31" s="37" t="s">
        <v>183</v>
      </c>
      <c r="C31" s="37">
        <v>2400</v>
      </c>
      <c r="D31" s="37">
        <v>47.2</v>
      </c>
      <c r="E31" s="37" t="s">
        <v>707</v>
      </c>
      <c r="F31" s="37"/>
      <c r="G31" s="37" t="s">
        <v>189</v>
      </c>
      <c r="H31" s="37" t="s">
        <v>728</v>
      </c>
      <c r="I31" s="38">
        <f t="shared" si="0"/>
        <v>154.85564304461943</v>
      </c>
      <c r="J31" s="38">
        <f t="shared" si="1"/>
        <v>7.7832240163360371</v>
      </c>
      <c r="K31" s="38">
        <f t="shared" si="2"/>
        <v>5.0424933477611553</v>
      </c>
      <c r="L31" s="39">
        <f t="shared" si="3"/>
        <v>6.4576271186440673E-3</v>
      </c>
      <c r="M31" s="39">
        <f t="shared" si="4"/>
        <v>0.31635782779674265</v>
      </c>
      <c r="N31" s="39">
        <f t="shared" si="5"/>
        <v>15.498305084745763</v>
      </c>
      <c r="O31" s="40">
        <f>1</f>
        <v>1</v>
      </c>
      <c r="P31" s="38">
        <f>INDEX(Cables!$AS:$AS,MATCH(B31,Cables!$A:$A,0))+INDEX(Cables!$AT:$AT,MATCH(B31,Cables!$A:$A,0))*SQRT(C31)+INDEX(Cables!$AU:$AU,MATCH(B31,Cables!$A:$A,0))*C31</f>
        <v>157.42847088307775</v>
      </c>
      <c r="Q31" s="41">
        <f t="shared" si="6"/>
        <v>1.6614362821230966E-2</v>
      </c>
      <c r="R31" s="39">
        <f t="shared" si="7"/>
        <v>2.7603705195550178E-4</v>
      </c>
      <c r="S31" s="40" t="b">
        <f>IF(B31=B30,C31&gt;C30,COUNTIF(B$1:B30,B31)=0)</f>
        <v>1</v>
      </c>
      <c r="T31" s="37"/>
    </row>
    <row r="32" spans="1:20" x14ac:dyDescent="0.25">
      <c r="A32" s="37" t="s">
        <v>740</v>
      </c>
      <c r="B32" s="37" t="s">
        <v>183</v>
      </c>
      <c r="C32" s="37">
        <v>3000</v>
      </c>
      <c r="D32" s="37">
        <v>53.6</v>
      </c>
      <c r="E32" s="37" t="s">
        <v>707</v>
      </c>
      <c r="F32" s="37"/>
      <c r="G32" s="37" t="s">
        <v>189</v>
      </c>
      <c r="H32" s="37" t="s">
        <v>728</v>
      </c>
      <c r="I32" s="38">
        <f t="shared" si="0"/>
        <v>175.85301837270342</v>
      </c>
      <c r="J32" s="38">
        <f t="shared" si="1"/>
        <v>8.0063675676502459</v>
      </c>
      <c r="K32" s="38">
        <f t="shared" si="2"/>
        <v>5.1696485232464022</v>
      </c>
      <c r="L32" s="39">
        <f t="shared" si="3"/>
        <v>5.6865671641791044E-3</v>
      </c>
      <c r="M32" s="39">
        <f t="shared" si="4"/>
        <v>0.31146611105890792</v>
      </c>
      <c r="N32" s="39">
        <f t="shared" si="5"/>
        <v>17.059701492537314</v>
      </c>
      <c r="O32" s="40">
        <f>1</f>
        <v>1</v>
      </c>
      <c r="P32" s="38">
        <f>INDEX(Cables!$AS:$AS,MATCH(B32,Cables!$A:$A,0))+INDEX(Cables!$AT:$AT,MATCH(B32,Cables!$A:$A,0))*SQRT(C32)+INDEX(Cables!$AU:$AU,MATCH(B32,Cables!$A:$A,0))*C32</f>
        <v>180.91727091651978</v>
      </c>
      <c r="Q32" s="41">
        <f t="shared" si="6"/>
        <v>2.8798212226776698E-2</v>
      </c>
      <c r="R32" s="39">
        <f t="shared" si="7"/>
        <v>8.2933702745847091E-4</v>
      </c>
      <c r="S32" s="40" t="b">
        <f>IF(B32=B31,C32&gt;C31,COUNTIF(B$1:B31,B32)=0)</f>
        <v>1</v>
      </c>
      <c r="T32" s="37"/>
    </row>
    <row r="33" spans="1:20" x14ac:dyDescent="0.25">
      <c r="A33" s="37" t="s">
        <v>741</v>
      </c>
      <c r="B33" s="37" t="s">
        <v>191</v>
      </c>
      <c r="C33" s="37">
        <v>1</v>
      </c>
      <c r="D33" s="37">
        <v>1.2</v>
      </c>
      <c r="E33" s="37" t="s">
        <v>707</v>
      </c>
      <c r="F33" s="37"/>
      <c r="G33" s="37" t="s">
        <v>197</v>
      </c>
      <c r="H33" s="37" t="s">
        <v>728</v>
      </c>
      <c r="I33" s="38">
        <f t="shared" si="0"/>
        <v>3.9370078740157481</v>
      </c>
      <c r="J33" s="38">
        <f t="shared" si="1"/>
        <v>0</v>
      </c>
      <c r="K33" s="38">
        <f t="shared" si="2"/>
        <v>1.3704210119636004</v>
      </c>
      <c r="L33" s="39">
        <f t="shared" si="3"/>
        <v>0.254</v>
      </c>
      <c r="M33" s="39">
        <f t="shared" si="4"/>
        <v>0.254</v>
      </c>
      <c r="N33" s="39">
        <f t="shared" si="5"/>
        <v>0.254</v>
      </c>
      <c r="O33" s="40">
        <f>1</f>
        <v>1</v>
      </c>
      <c r="P33" s="38">
        <f>INDEX(Cables!$AS:$AS,MATCH(B33,Cables!$A:$A,0))+INDEX(Cables!$AT:$AT,MATCH(B33,Cables!$A:$A,0))*SQRT(C33)+INDEX(Cables!$AU:$AU,MATCH(B33,Cables!$A:$A,0))*C33</f>
        <v>3.9013997758747467</v>
      </c>
      <c r="Q33" s="41">
        <f t="shared" si="6"/>
        <v>-9.0444569278143039E-3</v>
      </c>
      <c r="R33" s="39">
        <f t="shared" si="7"/>
        <v>8.1802201119088154E-5</v>
      </c>
      <c r="S33" s="40" t="b">
        <f>IF(B33=B32,C33&gt;C32,COUNTIF(B$1:B32,B33)=0)</f>
        <v>1</v>
      </c>
      <c r="T33" s="37"/>
    </row>
    <row r="34" spans="1:20" x14ac:dyDescent="0.25">
      <c r="A34" s="37" t="s">
        <v>742</v>
      </c>
      <c r="B34" s="37" t="s">
        <v>191</v>
      </c>
      <c r="C34" s="37">
        <v>10</v>
      </c>
      <c r="D34" s="37">
        <v>2.7</v>
      </c>
      <c r="E34" s="37" t="s">
        <v>707</v>
      </c>
      <c r="F34" s="37"/>
      <c r="G34" s="37" t="s">
        <v>197</v>
      </c>
      <c r="H34" s="37" t="s">
        <v>728</v>
      </c>
      <c r="I34" s="38">
        <f t="shared" si="0"/>
        <v>8.8582677165354333</v>
      </c>
      <c r="J34" s="38">
        <f t="shared" si="1"/>
        <v>2.3025850929940459</v>
      </c>
      <c r="K34" s="38">
        <f t="shared" si="2"/>
        <v>2.1813512281799294</v>
      </c>
      <c r="L34" s="39">
        <f t="shared" si="3"/>
        <v>0.11288888888888889</v>
      </c>
      <c r="M34" s="39">
        <f t="shared" si="4"/>
        <v>0.35698601141456371</v>
      </c>
      <c r="N34" s="39">
        <f t="shared" si="5"/>
        <v>1.1288888888888888</v>
      </c>
      <c r="O34" s="40">
        <f>1</f>
        <v>1</v>
      </c>
      <c r="P34" s="38">
        <f>INDEX(Cables!$AS:$AS,MATCH(B34,Cables!$A:$A,0))+INDEX(Cables!$AT:$AT,MATCH(B34,Cables!$A:$A,0))*SQRT(C34)+INDEX(Cables!$AU:$AU,MATCH(B34,Cables!$A:$A,0))*C34</f>
        <v>9.0388390447882259</v>
      </c>
      <c r="Q34" s="41">
        <f t="shared" si="6"/>
        <v>2.038449661164865E-2</v>
      </c>
      <c r="R34" s="39">
        <f t="shared" si="7"/>
        <v>4.1552770211031532E-4</v>
      </c>
      <c r="S34" s="40" t="b">
        <f>IF(B34=B33,C34&gt;C33,COUNTIF(B$1:B33,B34)=0)</f>
        <v>1</v>
      </c>
      <c r="T34" s="37"/>
    </row>
    <row r="35" spans="1:20" x14ac:dyDescent="0.25">
      <c r="A35" s="37" t="s">
        <v>743</v>
      </c>
      <c r="B35" s="37" t="s">
        <v>191</v>
      </c>
      <c r="C35" s="37">
        <v>50</v>
      </c>
      <c r="D35" s="37">
        <v>5.6</v>
      </c>
      <c r="E35" s="37" t="s">
        <v>707</v>
      </c>
      <c r="F35" s="37"/>
      <c r="G35" s="37" t="s">
        <v>197</v>
      </c>
      <c r="H35" s="37" t="s">
        <v>728</v>
      </c>
      <c r="I35" s="38">
        <f t="shared" si="0"/>
        <v>18.372703412073491</v>
      </c>
      <c r="J35" s="38">
        <f t="shared" si="1"/>
        <v>3.912023005428146</v>
      </c>
      <c r="K35" s="38">
        <f t="shared" si="2"/>
        <v>2.9108660529107495</v>
      </c>
      <c r="L35" s="39">
        <f t="shared" si="3"/>
        <v>5.442857142857143E-2</v>
      </c>
      <c r="M35" s="39">
        <f t="shared" si="4"/>
        <v>0.38486811947439231</v>
      </c>
      <c r="N35" s="39">
        <f t="shared" si="5"/>
        <v>2.7214285714285715</v>
      </c>
      <c r="O35" s="40">
        <f>1</f>
        <v>1</v>
      </c>
      <c r="P35" s="38">
        <f>INDEX(Cables!$AS:$AS,MATCH(B35,Cables!$A:$A,0))+INDEX(Cables!$AT:$AT,MATCH(B35,Cables!$A:$A,0))*SQRT(C35)+INDEX(Cables!$AU:$AU,MATCH(B35,Cables!$A:$A,0))*C35</f>
        <v>18.863405557501522</v>
      </c>
      <c r="Q35" s="41">
        <f t="shared" si="6"/>
        <v>2.6708216772582727E-2</v>
      </c>
      <c r="R35" s="39">
        <f t="shared" si="7"/>
        <v>7.1332884317126929E-4</v>
      </c>
      <c r="S35" s="40" t="b">
        <f>IF(B35=B34,C35&gt;C34,COUNTIF(B$1:B34,B35)=0)</f>
        <v>1</v>
      </c>
      <c r="T35" s="37"/>
    </row>
    <row r="36" spans="1:20" x14ac:dyDescent="0.25">
      <c r="A36" s="37" t="s">
        <v>744</v>
      </c>
      <c r="B36" s="37" t="s">
        <v>191</v>
      </c>
      <c r="C36" s="37">
        <v>100</v>
      </c>
      <c r="D36" s="37">
        <v>8.3000000000000007</v>
      </c>
      <c r="E36" s="37" t="s">
        <v>707</v>
      </c>
      <c r="F36" s="37"/>
      <c r="G36" s="37" t="s">
        <v>197</v>
      </c>
      <c r="H36" s="37" t="s">
        <v>728</v>
      </c>
      <c r="I36" s="38">
        <f t="shared" si="0"/>
        <v>27.230971128608928</v>
      </c>
      <c r="J36" s="38">
        <f t="shared" si="1"/>
        <v>4.6051701859880918</v>
      </c>
      <c r="K36" s="38">
        <f t="shared" si="2"/>
        <v>3.3043549699721981</v>
      </c>
      <c r="L36" s="39">
        <f t="shared" si="3"/>
        <v>3.6722891566265056E-2</v>
      </c>
      <c r="M36" s="39">
        <f t="shared" si="4"/>
        <v>0.36722891566265053</v>
      </c>
      <c r="N36" s="39">
        <f t="shared" si="5"/>
        <v>3.6722891566265052</v>
      </c>
      <c r="O36" s="40">
        <f>1</f>
        <v>1</v>
      </c>
      <c r="P36" s="38">
        <f>INDEX(Cables!$AS:$AS,MATCH(B36,Cables!$A:$A,0))+INDEX(Cables!$AT:$AT,MATCH(B36,Cables!$A:$A,0))*SQRT(C36)+INDEX(Cables!$AU:$AU,MATCH(B36,Cables!$A:$A,0))*C36</f>
        <v>26.678780520151534</v>
      </c>
      <c r="Q36" s="41">
        <f t="shared" si="6"/>
        <v>-2.0278035838290798E-2</v>
      </c>
      <c r="R36" s="39">
        <f t="shared" si="7"/>
        <v>4.1119873745900596E-4</v>
      </c>
      <c r="S36" s="40" t="b">
        <f>IF(B36=B35,C36&gt;C35,COUNTIF(B$1:B35,B36)=0)</f>
        <v>1</v>
      </c>
      <c r="T36" s="37"/>
    </row>
    <row r="37" spans="1:20" x14ac:dyDescent="0.25">
      <c r="A37" s="37" t="s">
        <v>745</v>
      </c>
      <c r="B37" s="37" t="s">
        <v>191</v>
      </c>
      <c r="C37" s="37">
        <v>200</v>
      </c>
      <c r="D37" s="37">
        <v>12</v>
      </c>
      <c r="E37" s="37" t="s">
        <v>707</v>
      </c>
      <c r="F37" s="37"/>
      <c r="G37" s="37" t="s">
        <v>197</v>
      </c>
      <c r="H37" s="37" t="s">
        <v>728</v>
      </c>
      <c r="I37" s="38">
        <f t="shared" si="0"/>
        <v>39.370078740157481</v>
      </c>
      <c r="J37" s="38">
        <f t="shared" si="1"/>
        <v>5.2983173665480363</v>
      </c>
      <c r="K37" s="38">
        <f t="shared" si="2"/>
        <v>3.6730061049576461</v>
      </c>
      <c r="L37" s="39">
        <f t="shared" si="3"/>
        <v>2.5399999999999999E-2</v>
      </c>
      <c r="M37" s="39">
        <f t="shared" si="4"/>
        <v>0.35921024484276615</v>
      </c>
      <c r="N37" s="39">
        <f t="shared" si="5"/>
        <v>5.08</v>
      </c>
      <c r="O37" s="40">
        <f>1</f>
        <v>1</v>
      </c>
      <c r="P37" s="38">
        <f>INDEX(Cables!$AS:$AS,MATCH(B37,Cables!$A:$A,0))+INDEX(Cables!$AT:$AT,MATCH(B37,Cables!$A:$A,0))*SQRT(C37)+INDEX(Cables!$AU:$AU,MATCH(B37,Cables!$A:$A,0))*C37</f>
        <v>38.394822601064462</v>
      </c>
      <c r="Q37" s="41">
        <f t="shared" si="6"/>
        <v>-2.4771505932962734E-2</v>
      </c>
      <c r="R37" s="39">
        <f t="shared" si="7"/>
        <v>6.1362750618680791E-4</v>
      </c>
      <c r="S37" s="40" t="b">
        <f>IF(B37=B36,C37&gt;C36,COUNTIF(B$1:B36,B37)=0)</f>
        <v>1</v>
      </c>
      <c r="T37" s="37"/>
    </row>
    <row r="38" spans="1:20" x14ac:dyDescent="0.25">
      <c r="A38" s="37" t="s">
        <v>746</v>
      </c>
      <c r="B38" s="37" t="s">
        <v>191</v>
      </c>
      <c r="C38" s="37">
        <v>400</v>
      </c>
      <c r="D38" s="37">
        <v>17.5</v>
      </c>
      <c r="E38" s="37" t="s">
        <v>707</v>
      </c>
      <c r="F38" s="37"/>
      <c r="G38" s="37" t="s">
        <v>197</v>
      </c>
      <c r="H38" s="37" t="s">
        <v>728</v>
      </c>
      <c r="I38" s="38">
        <f t="shared" si="0"/>
        <v>57.414698162729657</v>
      </c>
      <c r="J38" s="38">
        <f t="shared" si="1"/>
        <v>5.9914645471079817</v>
      </c>
      <c r="K38" s="38">
        <f t="shared" si="2"/>
        <v>4.0503003360991139</v>
      </c>
      <c r="L38" s="39">
        <f t="shared" si="3"/>
        <v>1.7417142857142857E-2</v>
      </c>
      <c r="M38" s="39">
        <f t="shared" si="4"/>
        <v>0.34834285714285718</v>
      </c>
      <c r="N38" s="39">
        <f t="shared" si="5"/>
        <v>6.9668571428571431</v>
      </c>
      <c r="O38" s="40">
        <f>1</f>
        <v>1</v>
      </c>
      <c r="P38" s="38">
        <f>INDEX(Cables!$AS:$AS,MATCH(B38,Cables!$A:$A,0))+INDEX(Cables!$AT:$AT,MATCH(B38,Cables!$A:$A,0))*SQRT(C38)+INDEX(Cables!$AU:$AU,MATCH(B38,Cables!$A:$A,0))*C38</f>
        <v>56.290673836629743</v>
      </c>
      <c r="Q38" s="41">
        <f t="shared" si="6"/>
        <v>-1.9577292262585977E-2</v>
      </c>
      <c r="R38" s="39">
        <f t="shared" si="7"/>
        <v>3.8327037233470875E-4</v>
      </c>
      <c r="S38" s="40" t="b">
        <f>IF(B38=B37,C38&gt;C37,COUNTIF(B$1:B37,B38)=0)</f>
        <v>1</v>
      </c>
      <c r="T38" s="37"/>
    </row>
    <row r="39" spans="1:20" x14ac:dyDescent="0.25">
      <c r="A39" s="37" t="s">
        <v>747</v>
      </c>
      <c r="B39" s="37" t="s">
        <v>191</v>
      </c>
      <c r="C39" s="37">
        <v>700</v>
      </c>
      <c r="D39" s="37">
        <v>23.7</v>
      </c>
      <c r="E39" s="37" t="s">
        <v>707</v>
      </c>
      <c r="F39" s="37"/>
      <c r="G39" s="37" t="s">
        <v>197</v>
      </c>
      <c r="H39" s="37" t="s">
        <v>728</v>
      </c>
      <c r="I39" s="38">
        <f t="shared" si="0"/>
        <v>77.755905511811022</v>
      </c>
      <c r="J39" s="38">
        <f t="shared" si="1"/>
        <v>6.5510803350434044</v>
      </c>
      <c r="K39" s="38">
        <f t="shared" si="2"/>
        <v>4.3535745033107309</v>
      </c>
      <c r="L39" s="39">
        <f t="shared" si="3"/>
        <v>1.2860759493670887E-2</v>
      </c>
      <c r="M39" s="39">
        <f t="shared" si="4"/>
        <v>0.34026371291666124</v>
      </c>
      <c r="N39" s="39">
        <f t="shared" si="5"/>
        <v>9.0025316455696203</v>
      </c>
      <c r="O39" s="40">
        <f>1</f>
        <v>1</v>
      </c>
      <c r="P39" s="38">
        <f>INDEX(Cables!$AS:$AS,MATCH(B39,Cables!$A:$A,0))+INDEX(Cables!$AT:$AT,MATCH(B39,Cables!$A:$A,0))*SQRT(C39)+INDEX(Cables!$AU:$AU,MATCH(B39,Cables!$A:$A,0))*C39</f>
        <v>77.819820277252376</v>
      </c>
      <c r="Q39" s="41">
        <f t="shared" si="6"/>
        <v>8.2199242643565817E-4</v>
      </c>
      <c r="R39" s="39">
        <f t="shared" si="7"/>
        <v>6.7567154911758095E-7</v>
      </c>
      <c r="S39" s="40" t="b">
        <f>IF(B39=B38,C39&gt;C38,COUNTIF(B$1:B38,B39)=0)</f>
        <v>1</v>
      </c>
      <c r="T39" s="37"/>
    </row>
    <row r="40" spans="1:20" x14ac:dyDescent="0.25">
      <c r="A40" s="37" t="s">
        <v>748</v>
      </c>
      <c r="B40" s="37" t="s">
        <v>191</v>
      </c>
      <c r="C40" s="37">
        <v>900</v>
      </c>
      <c r="D40" s="37">
        <v>27.3</v>
      </c>
      <c r="E40" s="37" t="s">
        <v>707</v>
      </c>
      <c r="F40" s="37"/>
      <c r="G40" s="37" t="s">
        <v>197</v>
      </c>
      <c r="H40" s="37" t="s">
        <v>728</v>
      </c>
      <c r="I40" s="38">
        <f t="shared" si="0"/>
        <v>89.566929133858267</v>
      </c>
      <c r="J40" s="38">
        <f t="shared" si="1"/>
        <v>6.8023947633243109</v>
      </c>
      <c r="K40" s="38">
        <f t="shared" si="2"/>
        <v>4.4949861573605601</v>
      </c>
      <c r="L40" s="39">
        <f t="shared" si="3"/>
        <v>1.1164835164835164E-2</v>
      </c>
      <c r="M40" s="39">
        <f t="shared" si="4"/>
        <v>0.33494505494505494</v>
      </c>
      <c r="N40" s="39">
        <f t="shared" si="5"/>
        <v>10.048351648351648</v>
      </c>
      <c r="O40" s="40">
        <f>1</f>
        <v>1</v>
      </c>
      <c r="P40" s="38">
        <f>INDEX(Cables!$AS:$AS,MATCH(B40,Cables!$A:$A,0))+INDEX(Cables!$AT:$AT,MATCH(B40,Cables!$A:$A,0))*SQRT(C40)+INDEX(Cables!$AU:$AU,MATCH(B40,Cables!$A:$A,0))*C40</f>
        <v>90.432769773638469</v>
      </c>
      <c r="Q40" s="41">
        <f t="shared" si="6"/>
        <v>9.6669680221614929E-3</v>
      </c>
      <c r="R40" s="39">
        <f t="shared" si="7"/>
        <v>9.3450270741492886E-5</v>
      </c>
      <c r="S40" s="40" t="b">
        <f>IF(B40=B39,C40&gt;C39,COUNTIF(B$1:B39,B40)=0)</f>
        <v>1</v>
      </c>
      <c r="T40" s="37"/>
    </row>
    <row r="41" spans="1:20" x14ac:dyDescent="0.25">
      <c r="A41" s="37" t="s">
        <v>749</v>
      </c>
      <c r="B41" s="37" t="s">
        <v>191</v>
      </c>
      <c r="C41" s="37">
        <v>1000</v>
      </c>
      <c r="D41" s="37">
        <v>29</v>
      </c>
      <c r="E41" s="37" t="s">
        <v>707</v>
      </c>
      <c r="F41" s="37"/>
      <c r="G41" s="37" t="s">
        <v>197</v>
      </c>
      <c r="H41" s="37" t="s">
        <v>728</v>
      </c>
      <c r="I41" s="38">
        <f t="shared" si="0"/>
        <v>95.144356955380573</v>
      </c>
      <c r="J41" s="38">
        <f t="shared" si="1"/>
        <v>6.9077552789821368</v>
      </c>
      <c r="K41" s="38">
        <f t="shared" si="2"/>
        <v>4.5553952851561199</v>
      </c>
      <c r="L41" s="39">
        <f t="shared" si="3"/>
        <v>1.0510344827586207E-2</v>
      </c>
      <c r="M41" s="39">
        <f t="shared" si="4"/>
        <v>0.3323662864894214</v>
      </c>
      <c r="N41" s="39">
        <f t="shared" si="5"/>
        <v>10.510344827586207</v>
      </c>
      <c r="O41" s="40">
        <f>1</f>
        <v>1</v>
      </c>
      <c r="P41" s="38">
        <f>INDEX(Cables!$AS:$AS,MATCH(B41,Cables!$A:$A,0))+INDEX(Cables!$AT:$AT,MATCH(B41,Cables!$A:$A,0))*SQRT(C41)+INDEX(Cables!$AU:$AU,MATCH(B41,Cables!$A:$A,0))*C41</f>
        <v>96.400493822434953</v>
      </c>
      <c r="Q41" s="41">
        <f t="shared" si="6"/>
        <v>1.3202431623385413E-2</v>
      </c>
      <c r="R41" s="39">
        <f t="shared" si="7"/>
        <v>1.7430420077016719E-4</v>
      </c>
      <c r="S41" s="40" t="b">
        <f>IF(B41=B40,C41&gt;C40,COUNTIF(B$1:B40,B41)=0)</f>
        <v>1</v>
      </c>
      <c r="T41" s="37"/>
    </row>
    <row r="42" spans="1:20" x14ac:dyDescent="0.25">
      <c r="A42" s="37" t="s">
        <v>750</v>
      </c>
      <c r="B42" s="37" t="s">
        <v>199</v>
      </c>
      <c r="C42" s="37">
        <v>30</v>
      </c>
      <c r="D42" s="37">
        <v>3.9</v>
      </c>
      <c r="E42" s="37" t="s">
        <v>707</v>
      </c>
      <c r="F42" s="37">
        <v>25</v>
      </c>
      <c r="G42" s="37" t="s">
        <v>207</v>
      </c>
      <c r="H42" s="37" t="s">
        <v>751</v>
      </c>
      <c r="I42" s="38">
        <f t="shared" si="0"/>
        <v>12.795275590551181</v>
      </c>
      <c r="J42" s="38">
        <f t="shared" si="1"/>
        <v>3.4011973816621555</v>
      </c>
      <c r="K42" s="38">
        <f t="shared" si="2"/>
        <v>2.5490760083052466</v>
      </c>
      <c r="L42" s="39">
        <f t="shared" si="3"/>
        <v>7.8153846153846157E-2</v>
      </c>
      <c r="M42" s="39">
        <f t="shared" si="4"/>
        <v>0.42806624494249906</v>
      </c>
      <c r="N42" s="39">
        <f t="shared" si="5"/>
        <v>2.3446153846153845</v>
      </c>
      <c r="O42" s="40">
        <f>1</f>
        <v>1</v>
      </c>
      <c r="P42" s="38">
        <f>INDEX(Cables!$AS:$AS,MATCH(B42,Cables!$A:$A,0))+INDEX(Cables!$AT:$AT,MATCH(B42,Cables!$A:$A,0))*SQRT(C42)+INDEX(Cables!$AU:$AU,MATCH(B42,Cables!$A:$A,0))*C42</f>
        <v>12.830832163297922</v>
      </c>
      <c r="Q42" s="41">
        <f t="shared" si="6"/>
        <v>2.7788829162067596E-3</v>
      </c>
      <c r="R42" s="39">
        <f t="shared" si="7"/>
        <v>7.7221902619857842E-6</v>
      </c>
      <c r="S42" s="40" t="b">
        <f>IF(B42=B41,C42&gt;C41,COUNTIF(B$1:B41,B42)=0)</f>
        <v>1</v>
      </c>
      <c r="T42" s="37"/>
    </row>
    <row r="43" spans="1:20" x14ac:dyDescent="0.25">
      <c r="A43" s="37" t="s">
        <v>752</v>
      </c>
      <c r="B43" s="37" t="s">
        <v>199</v>
      </c>
      <c r="C43" s="37">
        <v>50</v>
      </c>
      <c r="D43" s="37">
        <v>5.0999999999999996</v>
      </c>
      <c r="E43" s="37" t="s">
        <v>707</v>
      </c>
      <c r="F43" s="37">
        <v>25</v>
      </c>
      <c r="G43" s="37" t="s">
        <v>207</v>
      </c>
      <c r="H43" s="37" t="s">
        <v>751</v>
      </c>
      <c r="I43" s="38">
        <f t="shared" si="0"/>
        <v>16.732283464566926</v>
      </c>
      <c r="J43" s="38">
        <f t="shared" si="1"/>
        <v>3.912023005428146</v>
      </c>
      <c r="K43" s="38">
        <f t="shared" si="2"/>
        <v>2.8173399948999256</v>
      </c>
      <c r="L43" s="39">
        <f t="shared" si="3"/>
        <v>5.9764705882352949E-2</v>
      </c>
      <c r="M43" s="39">
        <f t="shared" si="4"/>
        <v>0.42260028805031319</v>
      </c>
      <c r="N43" s="39">
        <f t="shared" si="5"/>
        <v>2.9882352941176475</v>
      </c>
      <c r="O43" s="40">
        <f>1</f>
        <v>1</v>
      </c>
      <c r="P43" s="38">
        <f>INDEX(Cables!$AS:$AS,MATCH(B43,Cables!$A:$A,0))+INDEX(Cables!$AT:$AT,MATCH(B43,Cables!$A:$A,0))*SQRT(C43)+INDEX(Cables!$AU:$AU,MATCH(B43,Cables!$A:$A,0))*C43</f>
        <v>16.656321716841674</v>
      </c>
      <c r="Q43" s="41">
        <f t="shared" si="6"/>
        <v>-4.5398315111091492E-3</v>
      </c>
      <c r="R43" s="39">
        <f t="shared" si="7"/>
        <v>2.0610070149259581E-5</v>
      </c>
      <c r="S43" s="40" t="b">
        <f>IF(B43=B42,C43&gt;C42,COUNTIF(B$1:B42,B43)=0)</f>
        <v>1</v>
      </c>
      <c r="T43" s="37"/>
    </row>
    <row r="44" spans="1:20" x14ac:dyDescent="0.25">
      <c r="A44" s="37" t="s">
        <v>753</v>
      </c>
      <c r="B44" s="37" t="s">
        <v>199</v>
      </c>
      <c r="C44" s="37">
        <v>150</v>
      </c>
      <c r="D44" s="37">
        <v>8.9</v>
      </c>
      <c r="E44" s="37" t="s">
        <v>707</v>
      </c>
      <c r="F44" s="37">
        <v>25</v>
      </c>
      <c r="G44" s="37" t="s">
        <v>207</v>
      </c>
      <c r="H44" s="37" t="s">
        <v>751</v>
      </c>
      <c r="I44" s="38">
        <f t="shared" si="0"/>
        <v>29.199475065616799</v>
      </c>
      <c r="J44" s="38">
        <f t="shared" si="1"/>
        <v>5.0106352940962555</v>
      </c>
      <c r="K44" s="38">
        <f t="shared" si="2"/>
        <v>3.37415073190774</v>
      </c>
      <c r="L44" s="39">
        <f t="shared" si="3"/>
        <v>3.4247191011235953E-2</v>
      </c>
      <c r="M44" s="39">
        <f t="shared" si="4"/>
        <v>0.41944071550579365</v>
      </c>
      <c r="N44" s="39">
        <f t="shared" si="5"/>
        <v>5.1370786516853935</v>
      </c>
      <c r="O44" s="40">
        <f>1</f>
        <v>1</v>
      </c>
      <c r="P44" s="38">
        <f>INDEX(Cables!$AS:$AS,MATCH(B44,Cables!$A:$A,0))+INDEX(Cables!$AT:$AT,MATCH(B44,Cables!$A:$A,0))*SQRT(C44)+INDEX(Cables!$AU:$AU,MATCH(B44,Cables!$A:$A,0))*C44</f>
        <v>29.279000816974058</v>
      </c>
      <c r="Q44" s="41">
        <f t="shared" si="6"/>
        <v>2.7235335970441366E-3</v>
      </c>
      <c r="R44" s="39">
        <f t="shared" si="7"/>
        <v>7.417635254228173E-6</v>
      </c>
      <c r="S44" s="40" t="b">
        <f>IF(B44=B43,C44&gt;C43,COUNTIF(B$1:B43,B44)=0)</f>
        <v>1</v>
      </c>
      <c r="T44" s="37"/>
    </row>
    <row r="45" spans="1:20" x14ac:dyDescent="0.25">
      <c r="A45" s="37" t="s">
        <v>754</v>
      </c>
      <c r="B45" s="37" t="s">
        <v>199</v>
      </c>
      <c r="C45" s="37">
        <v>220</v>
      </c>
      <c r="D45" s="37">
        <v>10.9</v>
      </c>
      <c r="E45" s="37" t="s">
        <v>707</v>
      </c>
      <c r="F45" s="37">
        <v>25</v>
      </c>
      <c r="G45" s="37" t="s">
        <v>207</v>
      </c>
      <c r="H45" s="37" t="s">
        <v>751</v>
      </c>
      <c r="I45" s="38">
        <f t="shared" si="0"/>
        <v>35.761154855643042</v>
      </c>
      <c r="J45" s="38">
        <f t="shared" si="1"/>
        <v>5.393627546352362</v>
      </c>
      <c r="K45" s="38">
        <f t="shared" si="2"/>
        <v>3.5768622444047438</v>
      </c>
      <c r="L45" s="39">
        <f t="shared" si="3"/>
        <v>2.7963302752293581E-2</v>
      </c>
      <c r="M45" s="39">
        <f t="shared" si="4"/>
        <v>0.41476280713151525</v>
      </c>
      <c r="N45" s="39">
        <f t="shared" si="5"/>
        <v>6.1519266055045874</v>
      </c>
      <c r="O45" s="40">
        <f>1</f>
        <v>1</v>
      </c>
      <c r="P45" s="38">
        <f>INDEX(Cables!$AS:$AS,MATCH(B45,Cables!$A:$A,0))+INDEX(Cables!$AT:$AT,MATCH(B45,Cables!$A:$A,0))*SQRT(C45)+INDEX(Cables!$AU:$AU,MATCH(B45,Cables!$A:$A,0))*C45</f>
        <v>35.696067638288504</v>
      </c>
      <c r="Q45" s="41">
        <f t="shared" si="6"/>
        <v>-1.820053564189239E-3</v>
      </c>
      <c r="R45" s="39">
        <f t="shared" si="7"/>
        <v>3.3125949765179524E-6</v>
      </c>
      <c r="S45" s="40" t="b">
        <f>IF(B45=B44,C45&gt;C44,COUNTIF(B$1:B44,B45)=0)</f>
        <v>1</v>
      </c>
      <c r="T45" s="37"/>
    </row>
    <row r="46" spans="1:20" x14ac:dyDescent="0.25">
      <c r="A46" s="37" t="s">
        <v>755</v>
      </c>
      <c r="B46" s="37" t="s">
        <v>199</v>
      </c>
      <c r="C46" s="37">
        <v>450</v>
      </c>
      <c r="D46" s="37">
        <v>15.8</v>
      </c>
      <c r="E46" s="37" t="s">
        <v>707</v>
      </c>
      <c r="F46" s="37">
        <v>25</v>
      </c>
      <c r="G46" s="37" t="s">
        <v>207</v>
      </c>
      <c r="H46" s="37" t="s">
        <v>751</v>
      </c>
      <c r="I46" s="38">
        <f t="shared" si="0"/>
        <v>51.837270341207351</v>
      </c>
      <c r="J46" s="38">
        <f t="shared" si="1"/>
        <v>6.1092475827643655</v>
      </c>
      <c r="K46" s="38">
        <f t="shared" si="2"/>
        <v>3.9481093952025672</v>
      </c>
      <c r="L46" s="39">
        <f t="shared" si="3"/>
        <v>1.9291139240506329E-2</v>
      </c>
      <c r="M46" s="39">
        <f t="shared" si="4"/>
        <v>0.40922686121327789</v>
      </c>
      <c r="N46" s="39">
        <f t="shared" si="5"/>
        <v>8.6810126582278482</v>
      </c>
      <c r="O46" s="40">
        <f>1</f>
        <v>1</v>
      </c>
      <c r="P46" s="38">
        <f>INDEX(Cables!$AS:$AS,MATCH(B46,Cables!$A:$A,0))+INDEX(Cables!$AT:$AT,MATCH(B46,Cables!$A:$A,0))*SQRT(C46)+INDEX(Cables!$AU:$AU,MATCH(B46,Cables!$A:$A,0))*C46</f>
        <v>51.860280168105795</v>
      </c>
      <c r="Q46" s="41">
        <f t="shared" si="6"/>
        <v>4.4388577459786305E-4</v>
      </c>
      <c r="R46" s="39">
        <f t="shared" si="7"/>
        <v>1.9703458089034487E-7</v>
      </c>
      <c r="S46" s="40" t="b">
        <f>IF(B46=B45,C46&gt;C45,COUNTIF(B$1:B45,B46)=0)</f>
        <v>1</v>
      </c>
      <c r="T46" s="37"/>
    </row>
    <row r="47" spans="1:20" x14ac:dyDescent="0.25">
      <c r="A47" s="37" t="s">
        <v>756</v>
      </c>
      <c r="B47" s="37" t="s">
        <v>199</v>
      </c>
      <c r="C47" s="37">
        <v>700</v>
      </c>
      <c r="D47" s="37">
        <v>20</v>
      </c>
      <c r="E47" s="37" t="s">
        <v>707</v>
      </c>
      <c r="F47" s="37">
        <v>25</v>
      </c>
      <c r="G47" s="37" t="s">
        <v>207</v>
      </c>
      <c r="H47" s="37" t="s">
        <v>751</v>
      </c>
      <c r="I47" s="38">
        <f t="shared" si="0"/>
        <v>65.616797900262469</v>
      </c>
      <c r="J47" s="38">
        <f t="shared" si="1"/>
        <v>6.5510803350434044</v>
      </c>
      <c r="K47" s="38">
        <f t="shared" si="2"/>
        <v>4.1838317287236366</v>
      </c>
      <c r="L47" s="39">
        <f t="shared" si="3"/>
        <v>1.524E-2</v>
      </c>
      <c r="M47" s="39">
        <f t="shared" si="4"/>
        <v>0.40321249980624357</v>
      </c>
      <c r="N47" s="39">
        <f t="shared" si="5"/>
        <v>10.667999999999999</v>
      </c>
      <c r="O47" s="40">
        <f>1</f>
        <v>1</v>
      </c>
      <c r="P47" s="38">
        <f>INDEX(Cables!$AS:$AS,MATCH(B47,Cables!$A:$A,0))+INDEX(Cables!$AT:$AT,MATCH(B47,Cables!$A:$A,0))*SQRT(C47)+INDEX(Cables!$AU:$AU,MATCH(B47,Cables!$A:$A,0))*C47</f>
        <v>65.490761698700638</v>
      </c>
      <c r="Q47" s="41">
        <f t="shared" si="6"/>
        <v>-1.920791711802261E-3</v>
      </c>
      <c r="R47" s="39">
        <f t="shared" si="7"/>
        <v>3.6894408001282602E-6</v>
      </c>
      <c r="S47" s="40" t="b">
        <f>IF(B47=B46,C47&gt;C46,COUNTIF(B$1:B46,B47)=0)</f>
        <v>1</v>
      </c>
      <c r="T47" s="37"/>
    </row>
    <row r="48" spans="1:20" x14ac:dyDescent="0.25">
      <c r="A48" s="37" t="s">
        <v>757</v>
      </c>
      <c r="B48" s="37" t="s">
        <v>199</v>
      </c>
      <c r="C48" s="37">
        <v>900</v>
      </c>
      <c r="D48" s="37">
        <v>22.8</v>
      </c>
      <c r="E48" s="37" t="s">
        <v>707</v>
      </c>
      <c r="F48" s="37">
        <v>25</v>
      </c>
      <c r="G48" s="37" t="s">
        <v>207</v>
      </c>
      <c r="H48" s="37" t="s">
        <v>751</v>
      </c>
      <c r="I48" s="38">
        <f t="shared" si="0"/>
        <v>74.803149606299215</v>
      </c>
      <c r="J48" s="38">
        <f t="shared" si="1"/>
        <v>6.8023947633243109</v>
      </c>
      <c r="K48" s="38">
        <f t="shared" si="2"/>
        <v>4.3148599911300414</v>
      </c>
      <c r="L48" s="39">
        <f t="shared" si="3"/>
        <v>1.3368421052631578E-2</v>
      </c>
      <c r="M48" s="39">
        <f t="shared" si="4"/>
        <v>0.40105263157894738</v>
      </c>
      <c r="N48" s="39">
        <f t="shared" si="5"/>
        <v>12.031578947368422</v>
      </c>
      <c r="O48" s="40">
        <f>1</f>
        <v>1</v>
      </c>
      <c r="P48" s="38">
        <f>INDEX(Cables!$AS:$AS,MATCH(B48,Cables!$A:$A,0))+INDEX(Cables!$AT:$AT,MATCH(B48,Cables!$A:$A,0))*SQRT(C48)+INDEX(Cables!$AU:$AU,MATCH(B48,Cables!$A:$A,0))*C48</f>
        <v>74.874338691453403</v>
      </c>
      <c r="Q48" s="41">
        <f t="shared" si="6"/>
        <v>9.516856646927252E-4</v>
      </c>
      <c r="R48" s="39">
        <f t="shared" si="7"/>
        <v>9.0570560438163415E-7</v>
      </c>
      <c r="S48" s="40" t="b">
        <f>IF(B48=B47,C48&gt;C47,COUNTIF(B$1:B47,B48)=0)</f>
        <v>1</v>
      </c>
      <c r="T48" s="37"/>
    </row>
    <row r="49" spans="1:20" x14ac:dyDescent="0.25">
      <c r="A49" s="37" t="s">
        <v>758</v>
      </c>
      <c r="B49" s="37" t="s">
        <v>199</v>
      </c>
      <c r="C49" s="37">
        <v>1500</v>
      </c>
      <c r="D49" s="37">
        <v>30</v>
      </c>
      <c r="E49" s="37" t="s">
        <v>707</v>
      </c>
      <c r="F49" s="37">
        <v>25</v>
      </c>
      <c r="G49" s="37" t="s">
        <v>207</v>
      </c>
      <c r="H49" s="37" t="s">
        <v>751</v>
      </c>
      <c r="I49" s="38">
        <f t="shared" si="0"/>
        <v>98.425196850393704</v>
      </c>
      <c r="J49" s="38">
        <f t="shared" si="1"/>
        <v>7.3132203870903014</v>
      </c>
      <c r="K49" s="38">
        <f t="shared" si="2"/>
        <v>4.5892968368318012</v>
      </c>
      <c r="L49" s="39">
        <f t="shared" si="3"/>
        <v>1.0159999999999999E-2</v>
      </c>
      <c r="M49" s="39">
        <f t="shared" si="4"/>
        <v>0.39349510797467352</v>
      </c>
      <c r="N49" s="39">
        <f t="shared" si="5"/>
        <v>15.24</v>
      </c>
      <c r="O49" s="40">
        <f>1</f>
        <v>1</v>
      </c>
      <c r="P49" s="38">
        <f>INDEX(Cables!$AS:$AS,MATCH(B49,Cables!$A:$A,0))+INDEX(Cables!$AT:$AT,MATCH(B49,Cables!$A:$A,0))*SQRT(C49)+INDEX(Cables!$AU:$AU,MATCH(B49,Cables!$A:$A,0))*C49</f>
        <v>98.605314530366499</v>
      </c>
      <c r="Q49" s="41">
        <f t="shared" si="6"/>
        <v>1.8299956285237062E-3</v>
      </c>
      <c r="R49" s="39">
        <f t="shared" si="7"/>
        <v>3.3488840004158748E-6</v>
      </c>
      <c r="S49" s="40" t="b">
        <f>IF(B49=B48,C49&gt;C48,COUNTIF(B$1:B48,B49)=0)</f>
        <v>1</v>
      </c>
      <c r="T49" s="37"/>
    </row>
    <row r="50" spans="1:20" x14ac:dyDescent="0.25">
      <c r="A50" s="37" t="s">
        <v>759</v>
      </c>
      <c r="B50" s="37" t="s">
        <v>199</v>
      </c>
      <c r="C50" s="37">
        <v>2000</v>
      </c>
      <c r="D50" s="37">
        <v>35</v>
      </c>
      <c r="E50" s="37" t="s">
        <v>707</v>
      </c>
      <c r="F50" s="37">
        <v>25</v>
      </c>
      <c r="G50" s="37" t="s">
        <v>207</v>
      </c>
      <c r="H50" s="37" t="s">
        <v>751</v>
      </c>
      <c r="I50" s="38">
        <f t="shared" si="0"/>
        <v>114.82939632545931</v>
      </c>
      <c r="J50" s="38">
        <f t="shared" si="1"/>
        <v>7.6009024595420822</v>
      </c>
      <c r="K50" s="38">
        <f t="shared" si="2"/>
        <v>4.7434475166590593</v>
      </c>
      <c r="L50" s="39">
        <f t="shared" si="3"/>
        <v>8.7085714285714284E-3</v>
      </c>
      <c r="M50" s="39">
        <f t="shared" si="4"/>
        <v>0.38945915402396342</v>
      </c>
      <c r="N50" s="39">
        <f t="shared" si="5"/>
        <v>17.417142857142856</v>
      </c>
      <c r="O50" s="40">
        <f>1</f>
        <v>1</v>
      </c>
      <c r="P50" s="38">
        <f>INDEX(Cables!$AS:$AS,MATCH(B50,Cables!$A:$A,0))+INDEX(Cables!$AT:$AT,MATCH(B50,Cables!$A:$A,0))*SQRT(C50)+INDEX(Cables!$AU:$AU,MATCH(B50,Cables!$A:$A,0))*C50</f>
        <v>115.39211754847574</v>
      </c>
      <c r="Q50" s="41">
        <f t="shared" si="6"/>
        <v>4.9004979650115743E-3</v>
      </c>
      <c r="R50" s="39">
        <f t="shared" si="7"/>
        <v>2.401488030508258E-5</v>
      </c>
      <c r="S50" s="40" t="b">
        <f>IF(B50=B49,C50&gt;C49,COUNTIF(B$1:B49,B50)=0)</f>
        <v>1</v>
      </c>
      <c r="T50" s="37"/>
    </row>
    <row r="51" spans="1:20" x14ac:dyDescent="0.25">
      <c r="A51" s="37" t="s">
        <v>760</v>
      </c>
      <c r="B51" s="37" t="s">
        <v>199</v>
      </c>
      <c r="C51" s="37">
        <v>2500</v>
      </c>
      <c r="D51" s="37">
        <v>40</v>
      </c>
      <c r="E51" s="37" t="s">
        <v>707</v>
      </c>
      <c r="F51" s="37">
        <v>25</v>
      </c>
      <c r="G51" s="37" t="s">
        <v>207</v>
      </c>
      <c r="H51" s="37" t="s">
        <v>751</v>
      </c>
      <c r="I51" s="38">
        <f t="shared" si="0"/>
        <v>131.23359580052494</v>
      </c>
      <c r="J51" s="38">
        <f t="shared" si="1"/>
        <v>7.8240460108562919</v>
      </c>
      <c r="K51" s="38">
        <f t="shared" si="2"/>
        <v>4.876978909283582</v>
      </c>
      <c r="L51" s="39">
        <f t="shared" si="3"/>
        <v>7.62E-3</v>
      </c>
      <c r="M51" s="39">
        <f t="shared" si="4"/>
        <v>0.38100000000000001</v>
      </c>
      <c r="N51" s="39">
        <f t="shared" si="5"/>
        <v>19.05</v>
      </c>
      <c r="O51" s="40">
        <f>1</f>
        <v>1</v>
      </c>
      <c r="P51" s="38">
        <f>INDEX(Cables!$AS:$AS,MATCH(B51,Cables!$A:$A,0))+INDEX(Cables!$AT:$AT,MATCH(B51,Cables!$A:$A,0))*SQRT(C51)+INDEX(Cables!$AU:$AU,MATCH(B51,Cables!$A:$A,0))*C51</f>
        <v>130.51854177774362</v>
      </c>
      <c r="Q51" s="41">
        <f t="shared" si="6"/>
        <v>-5.4487116535936186E-3</v>
      </c>
      <c r="R51" s="39">
        <f t="shared" si="7"/>
        <v>2.9688458684006905E-5</v>
      </c>
      <c r="S51" s="40" t="b">
        <f>IF(B51=B50,C51&gt;C50,COUNTIF(B$1:B50,B51)=0)</f>
        <v>1</v>
      </c>
      <c r="T51" s="37"/>
    </row>
    <row r="52" spans="1:20" x14ac:dyDescent="0.25">
      <c r="A52" s="37" t="s">
        <v>761</v>
      </c>
      <c r="B52" s="37" t="s">
        <v>209</v>
      </c>
      <c r="C52" s="37">
        <v>1</v>
      </c>
      <c r="D52" s="37">
        <v>0.4</v>
      </c>
      <c r="E52" s="37" t="s">
        <v>707</v>
      </c>
      <c r="F52" s="37"/>
      <c r="G52" s="37" t="s">
        <v>216</v>
      </c>
      <c r="H52" s="37" t="s">
        <v>718</v>
      </c>
      <c r="I52" s="38">
        <f t="shared" si="0"/>
        <v>1.3123359580052494</v>
      </c>
      <c r="J52" s="38">
        <f t="shared" si="1"/>
        <v>0</v>
      </c>
      <c r="K52" s="38">
        <f t="shared" si="2"/>
        <v>0.27180872329549083</v>
      </c>
      <c r="L52" s="39">
        <f t="shared" si="3"/>
        <v>0.76200000000000001</v>
      </c>
      <c r="M52" s="39">
        <f t="shared" si="4"/>
        <v>0.76200000000000001</v>
      </c>
      <c r="N52" s="39">
        <f t="shared" si="5"/>
        <v>0.76200000000000001</v>
      </c>
      <c r="O52" s="40">
        <f>1</f>
        <v>1</v>
      </c>
      <c r="P52" s="38">
        <f>INDEX(Cables!$AS:$AS,MATCH(B52,Cables!$A:$A,0))+INDEX(Cables!$AT:$AT,MATCH(B52,Cables!$A:$A,0))*SQRT(C52)+INDEX(Cables!$AU:$AU,MATCH(B52,Cables!$A:$A,0))*C52</f>
        <v>1.3136741570461037</v>
      </c>
      <c r="Q52" s="41">
        <f t="shared" si="6"/>
        <v>1.0197076691309537E-3</v>
      </c>
      <c r="R52" s="39">
        <f t="shared" si="7"/>
        <v>1.0398037304844825E-6</v>
      </c>
      <c r="S52" s="40" t="b">
        <f>IF(B52=B51,C52&gt;C51,COUNTIF(B$1:B51,B52)=0)</f>
        <v>1</v>
      </c>
      <c r="T52" s="37"/>
    </row>
    <row r="53" spans="1:20" x14ac:dyDescent="0.25">
      <c r="A53" s="37" t="s">
        <v>762</v>
      </c>
      <c r="B53" s="37" t="s">
        <v>209</v>
      </c>
      <c r="C53" s="37">
        <v>10</v>
      </c>
      <c r="D53" s="37">
        <v>1.5</v>
      </c>
      <c r="E53" s="37" t="s">
        <v>707</v>
      </c>
      <c r="F53" s="37"/>
      <c r="G53" s="37" t="s">
        <v>216</v>
      </c>
      <c r="H53" s="37" t="s">
        <v>718</v>
      </c>
      <c r="I53" s="38">
        <f t="shared" si="0"/>
        <v>4.9212598425196852</v>
      </c>
      <c r="J53" s="38">
        <f t="shared" si="1"/>
        <v>2.3025850929940459</v>
      </c>
      <c r="K53" s="38">
        <f t="shared" si="2"/>
        <v>1.5935645632778102</v>
      </c>
      <c r="L53" s="39">
        <f t="shared" si="3"/>
        <v>0.20319999999999999</v>
      </c>
      <c r="M53" s="39">
        <f t="shared" si="4"/>
        <v>0.64257482054621473</v>
      </c>
      <c r="N53" s="39">
        <f t="shared" si="5"/>
        <v>2.032</v>
      </c>
      <c r="O53" s="40">
        <f>1</f>
        <v>1</v>
      </c>
      <c r="P53" s="38">
        <f>INDEX(Cables!$AS:$AS,MATCH(B53,Cables!$A:$A,0))+INDEX(Cables!$AT:$AT,MATCH(B53,Cables!$A:$A,0))*SQRT(C53)+INDEX(Cables!$AU:$AU,MATCH(B53,Cables!$A:$A,0))*C53</f>
        <v>4.9086250385423664</v>
      </c>
      <c r="Q53" s="41">
        <f t="shared" si="6"/>
        <v>-2.5673921681911294E-3</v>
      </c>
      <c r="R53" s="39">
        <f t="shared" si="7"/>
        <v>6.591502545289148E-6</v>
      </c>
      <c r="S53" s="40" t="b">
        <f>IF(B53=B52,C53&gt;C52,COUNTIF(B$1:B52,B53)=0)</f>
        <v>1</v>
      </c>
      <c r="T53" s="37"/>
    </row>
    <row r="54" spans="1:20" x14ac:dyDescent="0.25">
      <c r="A54" s="37" t="s">
        <v>763</v>
      </c>
      <c r="B54" s="37" t="s">
        <v>209</v>
      </c>
      <c r="C54" s="37">
        <v>50</v>
      </c>
      <c r="D54" s="37">
        <v>3.7</v>
      </c>
      <c r="E54" s="37" t="s">
        <v>707</v>
      </c>
      <c r="F54" s="37"/>
      <c r="G54" s="37" t="s">
        <v>216</v>
      </c>
      <c r="H54" s="37" t="s">
        <v>718</v>
      </c>
      <c r="I54" s="38">
        <f t="shared" si="0"/>
        <v>12.139107611548557</v>
      </c>
      <c r="J54" s="38">
        <f t="shared" si="1"/>
        <v>3.912023005428146</v>
      </c>
      <c r="K54" s="38">
        <f t="shared" si="2"/>
        <v>2.4964322748198247</v>
      </c>
      <c r="L54" s="39">
        <f t="shared" si="3"/>
        <v>8.2378378378378372E-2</v>
      </c>
      <c r="M54" s="39">
        <f t="shared" si="4"/>
        <v>0.58250309974502623</v>
      </c>
      <c r="N54" s="39">
        <f t="shared" si="5"/>
        <v>4.1189189189189186</v>
      </c>
      <c r="O54" s="40">
        <f>1</f>
        <v>1</v>
      </c>
      <c r="P54" s="38">
        <f>INDEX(Cables!$AS:$AS,MATCH(B54,Cables!$A:$A,0))+INDEX(Cables!$AT:$AT,MATCH(B54,Cables!$A:$A,0))*SQRT(C54)+INDEX(Cables!$AU:$AU,MATCH(B54,Cables!$A:$A,0))*C54</f>
        <v>12.001210398329526</v>
      </c>
      <c r="Q54" s="41">
        <f t="shared" si="6"/>
        <v>-1.1359748807881265E-2</v>
      </c>
      <c r="R54" s="39">
        <f t="shared" si="7"/>
        <v>1.290438929781598E-4</v>
      </c>
      <c r="S54" s="40" t="b">
        <f>IF(B54=B53,C54&gt;C53,COUNTIF(B$1:B53,B54)=0)</f>
        <v>1</v>
      </c>
      <c r="T54" s="37"/>
    </row>
    <row r="55" spans="1:20" x14ac:dyDescent="0.25">
      <c r="A55" s="37" t="s">
        <v>764</v>
      </c>
      <c r="B55" s="37" t="s">
        <v>209</v>
      </c>
      <c r="C55" s="37">
        <v>100</v>
      </c>
      <c r="D55" s="37">
        <v>5.4</v>
      </c>
      <c r="E55" s="37" t="s">
        <v>707</v>
      </c>
      <c r="F55" s="37"/>
      <c r="G55" s="37" t="s">
        <v>216</v>
      </c>
      <c r="H55" s="37" t="s">
        <v>718</v>
      </c>
      <c r="I55" s="38">
        <f t="shared" si="0"/>
        <v>17.716535433070867</v>
      </c>
      <c r="J55" s="38">
        <f t="shared" si="1"/>
        <v>4.6051701859880918</v>
      </c>
      <c r="K55" s="38">
        <f t="shared" si="2"/>
        <v>2.8744984087398744</v>
      </c>
      <c r="L55" s="39">
        <f t="shared" si="3"/>
        <v>5.6444444444444443E-2</v>
      </c>
      <c r="M55" s="39">
        <f t="shared" si="4"/>
        <v>0.56444444444444442</v>
      </c>
      <c r="N55" s="39">
        <f t="shared" si="5"/>
        <v>5.6444444444444439</v>
      </c>
      <c r="O55" s="40">
        <f>1</f>
        <v>1</v>
      </c>
      <c r="P55" s="38">
        <f>INDEX(Cables!$AS:$AS,MATCH(B55,Cables!$A:$A,0))+INDEX(Cables!$AT:$AT,MATCH(B55,Cables!$A:$A,0))*SQRT(C55)+INDEX(Cables!$AU:$AU,MATCH(B55,Cables!$A:$A,0))*C55</f>
        <v>17.817060932877652</v>
      </c>
      <c r="Q55" s="41">
        <f t="shared" si="6"/>
        <v>5.6741059890941248E-3</v>
      </c>
      <c r="R55" s="39">
        <f t="shared" si="7"/>
        <v>3.2195478775473815E-5</v>
      </c>
      <c r="S55" s="40" t="b">
        <f>IF(B55=B54,C55&gt;C54,COUNTIF(B$1:B54,B55)=0)</f>
        <v>1</v>
      </c>
      <c r="T55" s="37"/>
    </row>
    <row r="56" spans="1:20" x14ac:dyDescent="0.25">
      <c r="A56" s="37" t="s">
        <v>765</v>
      </c>
      <c r="B56" s="37" t="s">
        <v>209</v>
      </c>
      <c r="C56" s="37">
        <v>200</v>
      </c>
      <c r="D56" s="37">
        <v>8.1</v>
      </c>
      <c r="E56" s="37" t="s">
        <v>707</v>
      </c>
      <c r="F56" s="37"/>
      <c r="G56" s="37" t="s">
        <v>216</v>
      </c>
      <c r="H56" s="37" t="s">
        <v>718</v>
      </c>
      <c r="I56" s="38">
        <f t="shared" si="0"/>
        <v>26.5748031496063</v>
      </c>
      <c r="J56" s="38">
        <f t="shared" si="1"/>
        <v>5.2983173665480363</v>
      </c>
      <c r="K56" s="38">
        <f t="shared" si="2"/>
        <v>3.279963516848039</v>
      </c>
      <c r="L56" s="39">
        <f t="shared" si="3"/>
        <v>3.7629629629629631E-2</v>
      </c>
      <c r="M56" s="39">
        <f t="shared" si="4"/>
        <v>0.53216332569298685</v>
      </c>
      <c r="N56" s="39">
        <f t="shared" si="5"/>
        <v>7.5259259259259261</v>
      </c>
      <c r="O56" s="40">
        <f>1</f>
        <v>1</v>
      </c>
      <c r="P56" s="38">
        <f>INDEX(Cables!$AS:$AS,MATCH(B56,Cables!$A:$A,0))+INDEX(Cables!$AT:$AT,MATCH(B56,Cables!$A:$A,0))*SQRT(C56)+INDEX(Cables!$AU:$AU,MATCH(B56,Cables!$A:$A,0))*C56</f>
        <v>26.774965166391986</v>
      </c>
      <c r="Q56" s="41">
        <f t="shared" si="6"/>
        <v>7.5320225575650213E-3</v>
      </c>
      <c r="R56" s="39">
        <f t="shared" si="7"/>
        <v>5.6731363807668327E-5</v>
      </c>
      <c r="S56" s="40" t="b">
        <f>IF(B56=B55,C56&gt;C55,COUNTIF(B$1:B55,B56)=0)</f>
        <v>1</v>
      </c>
      <c r="T56" s="37"/>
    </row>
    <row r="57" spans="1:20" x14ac:dyDescent="0.25">
      <c r="A57" s="37" t="s">
        <v>766</v>
      </c>
      <c r="B57" s="37" t="s">
        <v>209</v>
      </c>
      <c r="C57" s="37">
        <v>400</v>
      </c>
      <c r="D57" s="37">
        <v>12.4</v>
      </c>
      <c r="E57" s="37" t="s">
        <v>707</v>
      </c>
      <c r="F57" s="37"/>
      <c r="G57" s="37" t="s">
        <v>216</v>
      </c>
      <c r="H57" s="37" t="s">
        <v>718</v>
      </c>
      <c r="I57" s="38">
        <f t="shared" si="0"/>
        <v>40.682414698162731</v>
      </c>
      <c r="J57" s="38">
        <f t="shared" si="1"/>
        <v>5.9914645471079817</v>
      </c>
      <c r="K57" s="38">
        <f t="shared" si="2"/>
        <v>3.7057959277806369</v>
      </c>
      <c r="L57" s="39">
        <f t="shared" si="3"/>
        <v>2.4580645161290323E-2</v>
      </c>
      <c r="M57" s="39">
        <f t="shared" si="4"/>
        <v>0.49161290322580642</v>
      </c>
      <c r="N57" s="39">
        <f t="shared" si="5"/>
        <v>9.8322580645161288</v>
      </c>
      <c r="O57" s="40">
        <f>1</f>
        <v>1</v>
      </c>
      <c r="P57" s="38">
        <f>INDEX(Cables!$AS:$AS,MATCH(B57,Cables!$A:$A,0))+INDEX(Cables!$AT:$AT,MATCH(B57,Cables!$A:$A,0))*SQRT(C57)+INDEX(Cables!$AU:$AU,MATCH(B57,Cables!$A:$A,0))*C57</f>
        <v>40.90945388551043</v>
      </c>
      <c r="Q57" s="41">
        <f t="shared" si="6"/>
        <v>5.5807697019014668E-3</v>
      </c>
      <c r="R57" s="39">
        <f t="shared" si="7"/>
        <v>3.1144990465661384E-5</v>
      </c>
      <c r="S57" s="40" t="b">
        <f>IF(B57=B56,C57&gt;C56,COUNTIF(B$1:B56,B57)=0)</f>
        <v>1</v>
      </c>
      <c r="T57" s="37"/>
    </row>
    <row r="58" spans="1:20" x14ac:dyDescent="0.25">
      <c r="A58" s="37" t="s">
        <v>767</v>
      </c>
      <c r="B58" s="37" t="s">
        <v>209</v>
      </c>
      <c r="C58" s="37">
        <v>700</v>
      </c>
      <c r="D58" s="37">
        <v>17.7</v>
      </c>
      <c r="E58" s="37" t="s">
        <v>707</v>
      </c>
      <c r="F58" s="37"/>
      <c r="G58" s="37" t="s">
        <v>216</v>
      </c>
      <c r="H58" s="37" t="s">
        <v>718</v>
      </c>
      <c r="I58" s="38">
        <f t="shared" si="0"/>
        <v>58.070866141732282</v>
      </c>
      <c r="J58" s="38">
        <f t="shared" si="1"/>
        <v>6.5510803350434044</v>
      </c>
      <c r="K58" s="38">
        <f t="shared" si="2"/>
        <v>4.0616640947494291</v>
      </c>
      <c r="L58" s="39">
        <f t="shared" si="3"/>
        <v>1.7220338983050847E-2</v>
      </c>
      <c r="M58" s="39">
        <f t="shared" si="4"/>
        <v>0.4556073444138346</v>
      </c>
      <c r="N58" s="39">
        <f t="shared" si="5"/>
        <v>12.054237288135594</v>
      </c>
      <c r="O58" s="40">
        <f>1</f>
        <v>1</v>
      </c>
      <c r="P58" s="38">
        <f>INDEX(Cables!$AS:$AS,MATCH(B58,Cables!$A:$A,0))+INDEX(Cables!$AT:$AT,MATCH(B58,Cables!$A:$A,0))*SQRT(C58)+INDEX(Cables!$AU:$AU,MATCH(B58,Cables!$A:$A,0))*C58</f>
        <v>58.481224641404062</v>
      </c>
      <c r="Q58" s="41">
        <f t="shared" si="6"/>
        <v>7.066512468924202E-3</v>
      </c>
      <c r="R58" s="39">
        <f t="shared" si="7"/>
        <v>4.993559847346122E-5</v>
      </c>
      <c r="S58" s="40" t="b">
        <f>IF(B58=B57,C58&gt;C57,COUNTIF(B$1:B57,B58)=0)</f>
        <v>1</v>
      </c>
      <c r="T58" s="37"/>
    </row>
    <row r="59" spans="1:20" x14ac:dyDescent="0.25">
      <c r="A59" s="37" t="s">
        <v>768</v>
      </c>
      <c r="B59" s="37" t="s">
        <v>209</v>
      </c>
      <c r="C59" s="37">
        <v>900</v>
      </c>
      <c r="D59" s="37">
        <v>21.1</v>
      </c>
      <c r="E59" s="37" t="s">
        <v>707</v>
      </c>
      <c r="F59" s="37"/>
      <c r="G59" s="37" t="s">
        <v>216</v>
      </c>
      <c r="H59" s="37" t="s">
        <v>718</v>
      </c>
      <c r="I59" s="38">
        <f t="shared" si="0"/>
        <v>69.225721784776908</v>
      </c>
      <c r="J59" s="38">
        <f t="shared" si="1"/>
        <v>6.8023947633243109</v>
      </c>
      <c r="K59" s="38">
        <f t="shared" si="2"/>
        <v>4.237372495651667</v>
      </c>
      <c r="L59" s="39">
        <f t="shared" si="3"/>
        <v>1.4445497630331752E-2</v>
      </c>
      <c r="M59" s="39">
        <f t="shared" si="4"/>
        <v>0.4333649289099526</v>
      </c>
      <c r="N59" s="39">
        <f t="shared" si="5"/>
        <v>13.000947867298578</v>
      </c>
      <c r="O59" s="40">
        <f>1</f>
        <v>1</v>
      </c>
      <c r="P59" s="38">
        <f>INDEX(Cables!$AS:$AS,MATCH(B59,Cables!$A:$A,0))+INDEX(Cables!$AT:$AT,MATCH(B59,Cables!$A:$A,0))*SQRT(C59)+INDEX(Cables!$AU:$AU,MATCH(B59,Cables!$A:$A,0))*C59</f>
        <v>69.007422138187621</v>
      </c>
      <c r="Q59" s="41">
        <f t="shared" si="6"/>
        <v>-3.1534470275077497E-3</v>
      </c>
      <c r="R59" s="39">
        <f t="shared" si="7"/>
        <v>9.9442281552974621E-6</v>
      </c>
      <c r="S59" s="40" t="b">
        <f>IF(B59=B58,C59&gt;C58,COUNTIF(B$1:B58,B59)=0)</f>
        <v>1</v>
      </c>
      <c r="T59" s="37"/>
    </row>
    <row r="60" spans="1:20" x14ac:dyDescent="0.25">
      <c r="A60" s="37" t="s">
        <v>769</v>
      </c>
      <c r="B60" s="37" t="s">
        <v>209</v>
      </c>
      <c r="C60" s="37">
        <v>1000</v>
      </c>
      <c r="D60" s="37">
        <v>22.8</v>
      </c>
      <c r="E60" s="37" t="s">
        <v>707</v>
      </c>
      <c r="F60" s="37"/>
      <c r="G60" s="37" t="s">
        <v>216</v>
      </c>
      <c r="H60" s="37" t="s">
        <v>718</v>
      </c>
      <c r="I60" s="38">
        <f t="shared" si="0"/>
        <v>74.803149606299215</v>
      </c>
      <c r="J60" s="38">
        <f t="shared" si="1"/>
        <v>6.9077552789821368</v>
      </c>
      <c r="K60" s="38">
        <f t="shared" si="2"/>
        <v>4.3148599911300414</v>
      </c>
      <c r="L60" s="39">
        <f t="shared" si="3"/>
        <v>1.3368421052631578E-2</v>
      </c>
      <c r="M60" s="39">
        <f t="shared" si="4"/>
        <v>0.42274659246461488</v>
      </c>
      <c r="N60" s="39">
        <f t="shared" si="5"/>
        <v>13.368421052631579</v>
      </c>
      <c r="O60" s="40">
        <f>1</f>
        <v>1</v>
      </c>
      <c r="P60" s="38">
        <f>INDEX(Cables!$AS:$AS,MATCH(B60,Cables!$A:$A,0))+INDEX(Cables!$AT:$AT,MATCH(B60,Cables!$A:$A,0))*SQRT(C60)+INDEX(Cables!$AU:$AU,MATCH(B60,Cables!$A:$A,0))*C60</f>
        <v>74.039149713020066</v>
      </c>
      <c r="Q60" s="41">
        <f t="shared" si="6"/>
        <v>-1.0213472257521228E-2</v>
      </c>
      <c r="R60" s="39">
        <f t="shared" si="7"/>
        <v>1.0431501555515576E-4</v>
      </c>
      <c r="S60" s="40" t="b">
        <f>IF(B60=B59,C60&gt;C59,COUNTIF(B$1:B59,B60)=0)</f>
        <v>1</v>
      </c>
      <c r="T60" s="37"/>
    </row>
    <row r="61" spans="1:20" x14ac:dyDescent="0.25">
      <c r="A61" s="37" t="s">
        <v>770</v>
      </c>
      <c r="B61" s="37" t="s">
        <v>218</v>
      </c>
      <c r="C61" s="37">
        <v>10</v>
      </c>
      <c r="D61" s="37">
        <v>4.7</v>
      </c>
      <c r="E61" s="37" t="s">
        <v>771</v>
      </c>
      <c r="F61" s="37">
        <v>20</v>
      </c>
      <c r="G61" s="37" t="s">
        <v>223</v>
      </c>
      <c r="H61" s="37" t="s">
        <v>772</v>
      </c>
      <c r="I61" s="38">
        <f t="shared" si="0"/>
        <v>4.7</v>
      </c>
      <c r="J61" s="38">
        <f t="shared" si="1"/>
        <v>2.3025850929940459</v>
      </c>
      <c r="K61" s="38">
        <f t="shared" si="2"/>
        <v>1.547562508716013</v>
      </c>
      <c r="L61" s="39">
        <f t="shared" si="3"/>
        <v>0.21276595744680851</v>
      </c>
      <c r="M61" s="39">
        <f t="shared" si="4"/>
        <v>0.67282503407837857</v>
      </c>
      <c r="N61" s="39">
        <f t="shared" si="5"/>
        <v>2.1276595744680851</v>
      </c>
      <c r="O61" s="40">
        <f>1</f>
        <v>1</v>
      </c>
      <c r="P61" s="38">
        <f>INDEX(Cables!$AS:$AS,MATCH(B61,Cables!$A:$A,0))+INDEX(Cables!$AT:$AT,MATCH(B61,Cables!$A:$A,0))*SQRT(C61)+INDEX(Cables!$AU:$AU,MATCH(B61,Cables!$A:$A,0))*C61</f>
        <v>4.664606113319234</v>
      </c>
      <c r="Q61" s="41">
        <f t="shared" si="6"/>
        <v>-7.5306141873970889E-3</v>
      </c>
      <c r="R61" s="39">
        <f t="shared" si="7"/>
        <v>5.6710150039426315E-5</v>
      </c>
      <c r="S61" s="40" t="b">
        <f>IF(B61=B60,C61&gt;C60,COUNTIF(B$1:B60,B61)=0)</f>
        <v>1</v>
      </c>
      <c r="T61" s="37"/>
    </row>
    <row r="62" spans="1:20" x14ac:dyDescent="0.25">
      <c r="A62" s="37" t="s">
        <v>773</v>
      </c>
      <c r="B62" s="37" t="s">
        <v>218</v>
      </c>
      <c r="C62" s="37">
        <v>28</v>
      </c>
      <c r="D62" s="37">
        <v>7.9</v>
      </c>
      <c r="E62" s="37" t="s">
        <v>771</v>
      </c>
      <c r="F62" s="37">
        <v>20</v>
      </c>
      <c r="G62" s="37" t="s">
        <v>223</v>
      </c>
      <c r="H62" s="37" t="s">
        <v>772</v>
      </c>
      <c r="I62" s="38">
        <f t="shared" si="0"/>
        <v>7.9</v>
      </c>
      <c r="J62" s="38">
        <f t="shared" si="1"/>
        <v>3.3322045101752038</v>
      </c>
      <c r="K62" s="38">
        <f t="shared" si="2"/>
        <v>2.066862759472976</v>
      </c>
      <c r="L62" s="39">
        <f t="shared" si="3"/>
        <v>0.12658227848101264</v>
      </c>
      <c r="M62" s="39">
        <f t="shared" si="4"/>
        <v>0.66981045849736476</v>
      </c>
      <c r="N62" s="39">
        <f t="shared" si="5"/>
        <v>3.5443037974683542</v>
      </c>
      <c r="O62" s="40">
        <f>1</f>
        <v>1</v>
      </c>
      <c r="P62" s="38">
        <f>INDEX(Cables!$AS:$AS,MATCH(B62,Cables!$A:$A,0))+INDEX(Cables!$AT:$AT,MATCH(B62,Cables!$A:$A,0))*SQRT(C62)+INDEX(Cables!$AU:$AU,MATCH(B62,Cables!$A:$A,0))*C62</f>
        <v>8.005020663562247</v>
      </c>
      <c r="Q62" s="41">
        <f t="shared" si="6"/>
        <v>1.3293754881297026E-2</v>
      </c>
      <c r="R62" s="39">
        <f t="shared" si="7"/>
        <v>1.7672391884400852E-4</v>
      </c>
      <c r="S62" s="40" t="b">
        <f>IF(B62=B61,C62&gt;C61,COUNTIF(B$1:B61,B62)=0)</f>
        <v>1</v>
      </c>
      <c r="T62" s="37"/>
    </row>
    <row r="63" spans="1:20" x14ac:dyDescent="0.25">
      <c r="A63" s="37" t="s">
        <v>774</v>
      </c>
      <c r="B63" s="37" t="s">
        <v>218</v>
      </c>
      <c r="C63" s="37">
        <v>50</v>
      </c>
      <c r="D63" s="37">
        <v>10.8</v>
      </c>
      <c r="E63" s="37" t="s">
        <v>771</v>
      </c>
      <c r="F63" s="37">
        <v>20</v>
      </c>
      <c r="G63" s="37" t="s">
        <v>223</v>
      </c>
      <c r="H63" s="37" t="s">
        <v>772</v>
      </c>
      <c r="I63" s="38">
        <f t="shared" si="0"/>
        <v>10.8</v>
      </c>
      <c r="J63" s="38">
        <f t="shared" si="1"/>
        <v>3.912023005428146</v>
      </c>
      <c r="K63" s="38">
        <f t="shared" si="2"/>
        <v>2.379546134130174</v>
      </c>
      <c r="L63" s="39">
        <f t="shared" si="3"/>
        <v>9.2592592592592587E-2</v>
      </c>
      <c r="M63" s="39">
        <f t="shared" si="4"/>
        <v>0.6547285010986551</v>
      </c>
      <c r="N63" s="39">
        <f t="shared" si="5"/>
        <v>4.6296296296296298</v>
      </c>
      <c r="O63" s="40">
        <f>1</f>
        <v>1</v>
      </c>
      <c r="P63" s="38">
        <f>INDEX(Cables!$AS:$AS,MATCH(B63,Cables!$A:$A,0))+INDEX(Cables!$AT:$AT,MATCH(B63,Cables!$A:$A,0))*SQRT(C63)+INDEX(Cables!$AU:$AU,MATCH(B63,Cables!$A:$A,0))*C63</f>
        <v>10.856516050095561</v>
      </c>
      <c r="Q63" s="41">
        <f t="shared" si="6"/>
        <v>5.2329676014406523E-3</v>
      </c>
      <c r="R63" s="39">
        <f t="shared" si="7"/>
        <v>2.7383949917727535E-5</v>
      </c>
      <c r="S63" s="40" t="b">
        <f>IF(B63=B62,C63&gt;C62,COUNTIF(B$1:B62,B63)=0)</f>
        <v>1</v>
      </c>
      <c r="T63" s="37"/>
    </row>
    <row r="64" spans="1:20" x14ac:dyDescent="0.25">
      <c r="A64" s="37" t="s">
        <v>775</v>
      </c>
      <c r="B64" s="37" t="s">
        <v>218</v>
      </c>
      <c r="C64" s="37">
        <v>100</v>
      </c>
      <c r="D64" s="37">
        <v>15.8</v>
      </c>
      <c r="E64" s="37" t="s">
        <v>771</v>
      </c>
      <c r="F64" s="37">
        <v>20</v>
      </c>
      <c r="G64" s="37" t="s">
        <v>223</v>
      </c>
      <c r="H64" s="37" t="s">
        <v>772</v>
      </c>
      <c r="I64" s="38">
        <f t="shared" si="0"/>
        <v>15.8</v>
      </c>
      <c r="J64" s="38">
        <f t="shared" si="1"/>
        <v>4.6051701859880918</v>
      </c>
      <c r="K64" s="38">
        <f t="shared" si="2"/>
        <v>2.760009940032921</v>
      </c>
      <c r="L64" s="39">
        <f t="shared" si="3"/>
        <v>6.3291139240506319E-2</v>
      </c>
      <c r="M64" s="39">
        <f t="shared" si="4"/>
        <v>0.63291139240506322</v>
      </c>
      <c r="N64" s="39">
        <f t="shared" si="5"/>
        <v>6.3291139240506329</v>
      </c>
      <c r="O64" s="40">
        <f>1</f>
        <v>1</v>
      </c>
      <c r="P64" s="38">
        <f>INDEX(Cables!$AS:$AS,MATCH(B64,Cables!$A:$A,0))+INDEX(Cables!$AT:$AT,MATCH(B64,Cables!$A:$A,0))*SQRT(C64)+INDEX(Cables!$AU:$AU,MATCH(B64,Cables!$A:$A,0))*C64</f>
        <v>15.667950408669002</v>
      </c>
      <c r="Q64" s="41">
        <f t="shared" si="6"/>
        <v>-8.3575690715822493E-3</v>
      </c>
      <c r="R64" s="39">
        <f t="shared" si="7"/>
        <v>6.9848960786268185E-5</v>
      </c>
      <c r="S64" s="40" t="b">
        <f>IF(B64=B63,C64&gt;C63,COUNTIF(B$1:B63,B64)=0)</f>
        <v>1</v>
      </c>
      <c r="T64" s="37"/>
    </row>
    <row r="65" spans="1:20" x14ac:dyDescent="0.25">
      <c r="A65" s="37" t="s">
        <v>776</v>
      </c>
      <c r="B65" s="37" t="s">
        <v>218</v>
      </c>
      <c r="C65" s="37">
        <v>144</v>
      </c>
      <c r="D65" s="37">
        <v>19.3</v>
      </c>
      <c r="E65" s="37" t="s">
        <v>771</v>
      </c>
      <c r="F65" s="37">
        <v>20</v>
      </c>
      <c r="G65" s="37" t="s">
        <v>223</v>
      </c>
      <c r="H65" s="37" t="s">
        <v>772</v>
      </c>
      <c r="I65" s="38">
        <f t="shared" si="0"/>
        <v>19.3</v>
      </c>
      <c r="J65" s="38">
        <f t="shared" si="1"/>
        <v>4.9698132995760007</v>
      </c>
      <c r="K65" s="38">
        <f t="shared" si="2"/>
        <v>2.9601050959108397</v>
      </c>
      <c r="L65" s="39">
        <f t="shared" si="3"/>
        <v>5.181347150259067E-2</v>
      </c>
      <c r="M65" s="39">
        <f t="shared" si="4"/>
        <v>0.62176165803108807</v>
      </c>
      <c r="N65" s="39">
        <f t="shared" si="5"/>
        <v>7.4611398963730569</v>
      </c>
      <c r="O65" s="40">
        <f>1</f>
        <v>1</v>
      </c>
      <c r="P65" s="38">
        <f>INDEX(Cables!$AS:$AS,MATCH(B65,Cables!$A:$A,0))+INDEX(Cables!$AT:$AT,MATCH(B65,Cables!$A:$A,0))*SQRT(C65)+INDEX(Cables!$AU:$AU,MATCH(B65,Cables!$A:$A,0))*C65</f>
        <v>19.037926031693225</v>
      </c>
      <c r="Q65" s="41">
        <f t="shared" si="6"/>
        <v>-1.357896208843401E-2</v>
      </c>
      <c r="R65" s="39">
        <f t="shared" si="7"/>
        <v>1.8438821139912814E-4</v>
      </c>
      <c r="S65" s="40" t="b">
        <f>IF(B65=B64,C65&gt;C64,COUNTIF(B$1:B64,B65)=0)</f>
        <v>1</v>
      </c>
      <c r="T65" s="37"/>
    </row>
    <row r="66" spans="1:20" x14ac:dyDescent="0.25">
      <c r="A66" s="37" t="s">
        <v>777</v>
      </c>
      <c r="B66" s="37" t="s">
        <v>218</v>
      </c>
      <c r="C66" s="37">
        <v>200</v>
      </c>
      <c r="D66" s="37">
        <v>22.1</v>
      </c>
      <c r="E66" s="37" t="s">
        <v>771</v>
      </c>
      <c r="F66" s="37">
        <v>20</v>
      </c>
      <c r="G66" s="37" t="s">
        <v>223</v>
      </c>
      <c r="H66" s="37" t="s">
        <v>772</v>
      </c>
      <c r="I66" s="38">
        <f t="shared" ref="I66:I129" si="8">IF(E66="dB/100ft",D66*100/30.48,D66)</f>
        <v>22.1</v>
      </c>
      <c r="J66" s="38">
        <f t="shared" ref="J66:J129" si="9">LN(C66)</f>
        <v>5.2983173665480363</v>
      </c>
      <c r="K66" s="38">
        <f t="shared" ref="K66:K129" si="10">LN(I66)</f>
        <v>3.095577608523707</v>
      </c>
      <c r="L66" s="39">
        <f t="shared" ref="L66:L129" si="11">1/I66</f>
        <v>4.5248868778280542E-2</v>
      </c>
      <c r="M66" s="39">
        <f t="shared" ref="M66:M129" si="12">SQRT(C66)/I66</f>
        <v>0.63991563908284843</v>
      </c>
      <c r="N66" s="39">
        <f t="shared" ref="N66:N129" si="13">C66/I66</f>
        <v>9.0497737556561084</v>
      </c>
      <c r="O66" s="40">
        <f>1</f>
        <v>1</v>
      </c>
      <c r="P66" s="38">
        <f>INDEX(Cables!$AS:$AS,MATCH(B66,Cables!$A:$A,0))+INDEX(Cables!$AT:$AT,MATCH(B66,Cables!$A:$A,0))*SQRT(C66)+INDEX(Cables!$AU:$AU,MATCH(B66,Cables!$A:$A,0))*C66</f>
        <v>22.723476954990645</v>
      </c>
      <c r="Q66" s="41">
        <f t="shared" ref="Q66:Q129" si="14">P66/I66-1</f>
        <v>2.8211626922653554E-2</v>
      </c>
      <c r="R66" s="39">
        <f t="shared" ref="R66:R129" si="15">Q66^2</f>
        <v>7.9589589362299084E-4</v>
      </c>
      <c r="S66" s="40" t="b">
        <f>IF(B66=B65,C66&gt;C65,COUNTIF(B$1:B65,B66)=0)</f>
        <v>1</v>
      </c>
      <c r="T66" s="37"/>
    </row>
    <row r="67" spans="1:20" x14ac:dyDescent="0.25">
      <c r="A67" s="37" t="s">
        <v>778</v>
      </c>
      <c r="B67" s="37" t="s">
        <v>218</v>
      </c>
      <c r="C67" s="37">
        <v>430</v>
      </c>
      <c r="D67" s="37">
        <v>34.9</v>
      </c>
      <c r="E67" s="37" t="s">
        <v>771</v>
      </c>
      <c r="F67" s="37">
        <v>20</v>
      </c>
      <c r="G67" s="37" t="s">
        <v>223</v>
      </c>
      <c r="H67" s="37" t="s">
        <v>772</v>
      </c>
      <c r="I67" s="38">
        <f t="shared" si="8"/>
        <v>34.9</v>
      </c>
      <c r="J67" s="38">
        <f t="shared" si="9"/>
        <v>6.0637852086876078</v>
      </c>
      <c r="K67" s="38">
        <f t="shared" si="10"/>
        <v>3.5524868292083815</v>
      </c>
      <c r="L67" s="39">
        <f t="shared" si="11"/>
        <v>2.865329512893983E-2</v>
      </c>
      <c r="M67" s="39">
        <f t="shared" si="12"/>
        <v>0.59416737402085162</v>
      </c>
      <c r="N67" s="39">
        <f t="shared" si="13"/>
        <v>12.320916905444127</v>
      </c>
      <c r="O67" s="40">
        <f>1</f>
        <v>1</v>
      </c>
      <c r="P67" s="38">
        <f>INDEX(Cables!$AS:$AS,MATCH(B67,Cables!$A:$A,0))+INDEX(Cables!$AT:$AT,MATCH(B67,Cables!$A:$A,0))*SQRT(C67)+INDEX(Cables!$AU:$AU,MATCH(B67,Cables!$A:$A,0))*C67</f>
        <v>34.562963142452183</v>
      </c>
      <c r="Q67" s="41">
        <f t="shared" si="14"/>
        <v>-9.6572165486480399E-3</v>
      </c>
      <c r="R67" s="39">
        <f t="shared" si="15"/>
        <v>9.3261831467481563E-5</v>
      </c>
      <c r="S67" s="40" t="b">
        <f>IF(B67=B66,C67&gt;C66,COUNTIF(B$1:B66,B67)=0)</f>
        <v>1</v>
      </c>
      <c r="T67" s="37"/>
    </row>
    <row r="68" spans="1:20" x14ac:dyDescent="0.25">
      <c r="A68" s="37" t="s">
        <v>779</v>
      </c>
      <c r="B68" s="37" t="s">
        <v>218</v>
      </c>
      <c r="C68" s="37">
        <v>800</v>
      </c>
      <c r="D68" s="37">
        <v>51.1</v>
      </c>
      <c r="E68" s="37" t="s">
        <v>771</v>
      </c>
      <c r="F68" s="37">
        <v>20</v>
      </c>
      <c r="G68" s="37" t="s">
        <v>223</v>
      </c>
      <c r="H68" s="37" t="s">
        <v>772</v>
      </c>
      <c r="I68" s="38">
        <f t="shared" si="8"/>
        <v>51.1</v>
      </c>
      <c r="J68" s="38">
        <f t="shared" si="9"/>
        <v>6.6846117276679271</v>
      </c>
      <c r="K68" s="38">
        <f t="shared" si="10"/>
        <v>3.9337844972096589</v>
      </c>
      <c r="L68" s="39">
        <f t="shared" si="11"/>
        <v>1.9569471624266144E-2</v>
      </c>
      <c r="M68" s="39">
        <f t="shared" si="12"/>
        <v>0.55350824359025252</v>
      </c>
      <c r="N68" s="39">
        <f t="shared" si="13"/>
        <v>15.655577299412915</v>
      </c>
      <c r="O68" s="40">
        <f>1</f>
        <v>1</v>
      </c>
      <c r="P68" s="38">
        <f>INDEX(Cables!$AS:$AS,MATCH(B68,Cables!$A:$A,0))+INDEX(Cables!$AT:$AT,MATCH(B68,Cables!$A:$A,0))*SQRT(C68)+INDEX(Cables!$AU:$AU,MATCH(B68,Cables!$A:$A,0))*C68</f>
        <v>49.029641539569703</v>
      </c>
      <c r="Q68" s="41">
        <f t="shared" si="14"/>
        <v>-4.0515821143450093E-2</v>
      </c>
      <c r="R68" s="39">
        <f t="shared" si="15"/>
        <v>1.6415317629280375E-3</v>
      </c>
      <c r="S68" s="40" t="b">
        <f>IF(B68=B67,C68&gt;C67,COUNTIF(B$1:B67,B68)=0)</f>
        <v>1</v>
      </c>
      <c r="T68" s="37"/>
    </row>
    <row r="69" spans="1:20" x14ac:dyDescent="0.25">
      <c r="A69" s="37" t="s">
        <v>780</v>
      </c>
      <c r="B69" s="37" t="s">
        <v>218</v>
      </c>
      <c r="C69" s="37">
        <v>1296</v>
      </c>
      <c r="D69" s="37">
        <v>63</v>
      </c>
      <c r="E69" s="37" t="s">
        <v>771</v>
      </c>
      <c r="F69" s="37">
        <v>20</v>
      </c>
      <c r="G69" s="37" t="s">
        <v>223</v>
      </c>
      <c r="H69" s="37" t="s">
        <v>772</v>
      </c>
      <c r="I69" s="38">
        <f t="shared" si="8"/>
        <v>63</v>
      </c>
      <c r="J69" s="38">
        <f t="shared" si="9"/>
        <v>7.1670378769122198</v>
      </c>
      <c r="K69" s="38">
        <f t="shared" si="10"/>
        <v>4.1431347263915326</v>
      </c>
      <c r="L69" s="39">
        <f t="shared" si="11"/>
        <v>1.5873015873015872E-2</v>
      </c>
      <c r="M69" s="39">
        <f t="shared" si="12"/>
        <v>0.5714285714285714</v>
      </c>
      <c r="N69" s="39">
        <f t="shared" si="13"/>
        <v>20.571428571428573</v>
      </c>
      <c r="O69" s="40">
        <f>1</f>
        <v>1</v>
      </c>
      <c r="P69" s="38">
        <f>INDEX(Cables!$AS:$AS,MATCH(B69,Cables!$A:$A,0))+INDEX(Cables!$AT:$AT,MATCH(B69,Cables!$A:$A,0))*SQRT(C69)+INDEX(Cables!$AU:$AU,MATCH(B69,Cables!$A:$A,0))*C69</f>
        <v>64.827898479544785</v>
      </c>
      <c r="Q69" s="41">
        <f t="shared" si="14"/>
        <v>2.9014261580075917E-2</v>
      </c>
      <c r="R69" s="39">
        <f t="shared" si="15"/>
        <v>8.418273750370695E-4</v>
      </c>
      <c r="S69" s="40" t="b">
        <f>IF(B69=B68,C69&gt;C68,COUNTIF(B$1:B68,B69)=0)</f>
        <v>1</v>
      </c>
      <c r="T69" s="37"/>
    </row>
    <row r="70" spans="1:20" x14ac:dyDescent="0.25">
      <c r="A70" s="37" t="s">
        <v>781</v>
      </c>
      <c r="B70" s="37" t="s">
        <v>225</v>
      </c>
      <c r="C70" s="37">
        <v>1</v>
      </c>
      <c r="D70" s="37">
        <v>0.4</v>
      </c>
      <c r="E70" s="37" t="s">
        <v>707</v>
      </c>
      <c r="F70" s="37"/>
      <c r="G70" s="37" t="s">
        <v>233</v>
      </c>
      <c r="H70" s="37" t="s">
        <v>728</v>
      </c>
      <c r="I70" s="38">
        <f t="shared" si="8"/>
        <v>1.3123359580052494</v>
      </c>
      <c r="J70" s="38">
        <f t="shared" si="9"/>
        <v>0</v>
      </c>
      <c r="K70" s="38">
        <f t="shared" si="10"/>
        <v>0.27180872329549083</v>
      </c>
      <c r="L70" s="39">
        <f t="shared" si="11"/>
        <v>0.76200000000000001</v>
      </c>
      <c r="M70" s="39">
        <f t="shared" si="12"/>
        <v>0.76200000000000001</v>
      </c>
      <c r="N70" s="39">
        <f t="shared" si="13"/>
        <v>0.76200000000000001</v>
      </c>
      <c r="O70" s="40">
        <f>1</f>
        <v>1</v>
      </c>
      <c r="P70" s="38">
        <f>INDEX(Cables!$AS:$AS,MATCH(B70,Cables!$A:$A,0))+INDEX(Cables!$AT:$AT,MATCH(B70,Cables!$A:$A,0))*SQRT(C70)+INDEX(Cables!$AU:$AU,MATCH(B70,Cables!$A:$A,0))*C70</f>
        <v>1.312409961902729</v>
      </c>
      <c r="Q70" s="41">
        <f t="shared" si="14"/>
        <v>5.6390969879416275E-5</v>
      </c>
      <c r="R70" s="39">
        <f t="shared" si="15"/>
        <v>3.1799414839412336E-9</v>
      </c>
      <c r="S70" s="40" t="b">
        <f>IF(B70=B69,C70&gt;C69,COUNTIF(B$1:B69,B70)=0)</f>
        <v>1</v>
      </c>
      <c r="T70" s="37"/>
    </row>
    <row r="71" spans="1:20" x14ac:dyDescent="0.25">
      <c r="A71" s="37" t="s">
        <v>782</v>
      </c>
      <c r="B71" s="37" t="s">
        <v>225</v>
      </c>
      <c r="C71" s="37">
        <v>10</v>
      </c>
      <c r="D71" s="37">
        <v>1.3</v>
      </c>
      <c r="E71" s="37" t="s">
        <v>707</v>
      </c>
      <c r="F71" s="37"/>
      <c r="G71" s="37" t="s">
        <v>233</v>
      </c>
      <c r="H71" s="37" t="s">
        <v>728</v>
      </c>
      <c r="I71" s="38">
        <f t="shared" si="8"/>
        <v>4.2650918635170605</v>
      </c>
      <c r="J71" s="38">
        <f t="shared" si="9"/>
        <v>2.3025850929940459</v>
      </c>
      <c r="K71" s="38">
        <f t="shared" si="10"/>
        <v>1.4504637196371368</v>
      </c>
      <c r="L71" s="39">
        <f t="shared" si="11"/>
        <v>0.23446153846153844</v>
      </c>
      <c r="M71" s="39">
        <f t="shared" si="12"/>
        <v>0.74143248524563232</v>
      </c>
      <c r="N71" s="39">
        <f t="shared" si="13"/>
        <v>2.3446153846153845</v>
      </c>
      <c r="O71" s="40">
        <f>1</f>
        <v>1</v>
      </c>
      <c r="P71" s="38">
        <f>INDEX(Cables!$AS:$AS,MATCH(B71,Cables!$A:$A,0))+INDEX(Cables!$AT:$AT,MATCH(B71,Cables!$A:$A,0))*SQRT(C71)+INDEX(Cables!$AU:$AU,MATCH(B71,Cables!$A:$A,0))*C71</f>
        <v>4.2771048431118999</v>
      </c>
      <c r="Q71" s="41">
        <f t="shared" si="14"/>
        <v>2.8165816773131347E-3</v>
      </c>
      <c r="R71" s="39">
        <f t="shared" si="15"/>
        <v>7.9331323449760716E-6</v>
      </c>
      <c r="S71" s="40" t="b">
        <f>IF(B71=B70,C71&gt;C70,COUNTIF(B$1:B70,B71)=0)</f>
        <v>1</v>
      </c>
      <c r="T71" s="37"/>
    </row>
    <row r="72" spans="1:20" x14ac:dyDescent="0.25">
      <c r="A72" s="37" t="s">
        <v>783</v>
      </c>
      <c r="B72" s="37" t="s">
        <v>225</v>
      </c>
      <c r="C72" s="37">
        <v>50</v>
      </c>
      <c r="D72" s="37">
        <v>3.1</v>
      </c>
      <c r="E72" s="37" t="s">
        <v>707</v>
      </c>
      <c r="F72" s="37"/>
      <c r="G72" s="37" t="s">
        <v>233</v>
      </c>
      <c r="H72" s="37" t="s">
        <v>728</v>
      </c>
      <c r="I72" s="38">
        <f t="shared" si="8"/>
        <v>10.170603674540683</v>
      </c>
      <c r="J72" s="38">
        <f t="shared" si="9"/>
        <v>3.912023005428146</v>
      </c>
      <c r="K72" s="38">
        <f t="shared" si="10"/>
        <v>2.3195015666607466</v>
      </c>
      <c r="L72" s="39">
        <f t="shared" si="11"/>
        <v>9.8322580645161292E-2</v>
      </c>
      <c r="M72" s="39">
        <f t="shared" si="12"/>
        <v>0.69524563517954741</v>
      </c>
      <c r="N72" s="39">
        <f t="shared" si="13"/>
        <v>4.9161290322580644</v>
      </c>
      <c r="O72" s="40">
        <f>1</f>
        <v>1</v>
      </c>
      <c r="P72" s="38">
        <f>INDEX(Cables!$AS:$AS,MATCH(B72,Cables!$A:$A,0))+INDEX(Cables!$AT:$AT,MATCH(B72,Cables!$A:$A,0))*SQRT(C72)+INDEX(Cables!$AU:$AU,MATCH(B72,Cables!$A:$A,0))*C72</f>
        <v>10.054004281173906</v>
      </c>
      <c r="Q72" s="41">
        <f t="shared" si="14"/>
        <v>-1.1464353257481741E-2</v>
      </c>
      <c r="R72" s="39">
        <f t="shared" si="15"/>
        <v>1.314313956123322E-4</v>
      </c>
      <c r="S72" s="40" t="b">
        <f>IF(B72=B71,C72&gt;C71,COUNTIF(B$1:B71,B72)=0)</f>
        <v>1</v>
      </c>
      <c r="T72" s="37"/>
    </row>
    <row r="73" spans="1:20" x14ac:dyDescent="0.25">
      <c r="A73" s="37" t="s">
        <v>784</v>
      </c>
      <c r="B73" s="37" t="s">
        <v>225</v>
      </c>
      <c r="C73" s="37">
        <v>100</v>
      </c>
      <c r="D73" s="37">
        <v>4.5</v>
      </c>
      <c r="E73" s="37" t="s">
        <v>707</v>
      </c>
      <c r="F73" s="37"/>
      <c r="G73" s="37" t="s">
        <v>233</v>
      </c>
      <c r="H73" s="37" t="s">
        <v>728</v>
      </c>
      <c r="I73" s="38">
        <f t="shared" si="8"/>
        <v>14.763779527559056</v>
      </c>
      <c r="J73" s="38">
        <f t="shared" si="9"/>
        <v>4.6051701859880918</v>
      </c>
      <c r="K73" s="38">
        <f t="shared" si="10"/>
        <v>2.6921768519459199</v>
      </c>
      <c r="L73" s="39">
        <f t="shared" si="11"/>
        <v>6.7733333333333326E-2</v>
      </c>
      <c r="M73" s="39">
        <f t="shared" si="12"/>
        <v>0.67733333333333334</v>
      </c>
      <c r="N73" s="39">
        <f t="shared" si="13"/>
        <v>6.7733333333333334</v>
      </c>
      <c r="O73" s="40">
        <f>1</f>
        <v>1</v>
      </c>
      <c r="P73" s="38">
        <f>INDEX(Cables!$AS:$AS,MATCH(B73,Cables!$A:$A,0))+INDEX(Cables!$AT:$AT,MATCH(B73,Cables!$A:$A,0))*SQRT(C73)+INDEX(Cables!$AU:$AU,MATCH(B73,Cables!$A:$A,0))*C73</f>
        <v>14.735147789590108</v>
      </c>
      <c r="Q73" s="41">
        <f t="shared" si="14"/>
        <v>-1.9393230517633642E-3</v>
      </c>
      <c r="R73" s="39">
        <f t="shared" si="15"/>
        <v>3.7609738991007681E-6</v>
      </c>
      <c r="S73" s="40" t="b">
        <f>IF(B73=B72,C73&gt;C72,COUNTIF(B$1:B72,B73)=0)</f>
        <v>1</v>
      </c>
      <c r="T73" s="37"/>
    </row>
    <row r="74" spans="1:20" x14ac:dyDescent="0.25">
      <c r="A74" s="37" t="s">
        <v>785</v>
      </c>
      <c r="B74" s="37" t="s">
        <v>225</v>
      </c>
      <c r="C74" s="37">
        <v>200</v>
      </c>
      <c r="D74" s="37">
        <v>6.6</v>
      </c>
      <c r="E74" s="37" t="s">
        <v>707</v>
      </c>
      <c r="F74" s="37"/>
      <c r="G74" s="37" t="s">
        <v>233</v>
      </c>
      <c r="H74" s="37" t="s">
        <v>728</v>
      </c>
      <c r="I74" s="38">
        <f t="shared" si="8"/>
        <v>21.653543307086615</v>
      </c>
      <c r="J74" s="38">
        <f t="shared" si="9"/>
        <v>5.2983173665480363</v>
      </c>
      <c r="K74" s="38">
        <f t="shared" si="10"/>
        <v>3.0751691042020259</v>
      </c>
      <c r="L74" s="39">
        <f t="shared" si="11"/>
        <v>4.6181818181818178E-2</v>
      </c>
      <c r="M74" s="39">
        <f t="shared" si="12"/>
        <v>0.65310953607775668</v>
      </c>
      <c r="N74" s="39">
        <f t="shared" si="13"/>
        <v>9.2363636363636363</v>
      </c>
      <c r="O74" s="40">
        <f>1</f>
        <v>1</v>
      </c>
      <c r="P74" s="38">
        <f>INDEX(Cables!$AS:$AS,MATCH(B74,Cables!$A:$A,0))+INDEX(Cables!$AT:$AT,MATCH(B74,Cables!$A:$A,0))*SQRT(C74)+INDEX(Cables!$AU:$AU,MATCH(B74,Cables!$A:$A,0))*C74</f>
        <v>21.87066194916445</v>
      </c>
      <c r="Q74" s="41">
        <f t="shared" si="14"/>
        <v>1.0026933652321768E-2</v>
      </c>
      <c r="R74" s="39">
        <f t="shared" si="15"/>
        <v>1.0053939846806275E-4</v>
      </c>
      <c r="S74" s="40" t="b">
        <f>IF(B74=B73,C74&gt;C73,COUNTIF(B$1:B73,B74)=0)</f>
        <v>1</v>
      </c>
      <c r="T74" s="37"/>
    </row>
    <row r="75" spans="1:20" x14ac:dyDescent="0.25">
      <c r="A75" s="37" t="s">
        <v>786</v>
      </c>
      <c r="B75" s="37" t="s">
        <v>225</v>
      </c>
      <c r="C75" s="37">
        <v>400</v>
      </c>
      <c r="D75" s="37">
        <v>10</v>
      </c>
      <c r="E75" s="37" t="s">
        <v>707</v>
      </c>
      <c r="F75" s="37"/>
      <c r="G75" s="37" t="s">
        <v>233</v>
      </c>
      <c r="H75" s="37" t="s">
        <v>728</v>
      </c>
      <c r="I75" s="38">
        <f t="shared" si="8"/>
        <v>32.808398950131235</v>
      </c>
      <c r="J75" s="38">
        <f t="shared" si="9"/>
        <v>5.9914645471079817</v>
      </c>
      <c r="K75" s="38">
        <f t="shared" si="10"/>
        <v>3.4906845481636917</v>
      </c>
      <c r="L75" s="39">
        <f t="shared" si="11"/>
        <v>3.048E-2</v>
      </c>
      <c r="M75" s="39">
        <f t="shared" si="12"/>
        <v>0.60960000000000003</v>
      </c>
      <c r="N75" s="39">
        <f t="shared" si="13"/>
        <v>12.192</v>
      </c>
      <c r="O75" s="40">
        <f>1</f>
        <v>1</v>
      </c>
      <c r="P75" s="38">
        <f>INDEX(Cables!$AS:$AS,MATCH(B75,Cables!$A:$A,0))+INDEX(Cables!$AT:$AT,MATCH(B75,Cables!$A:$A,0))*SQRT(C75)+INDEX(Cables!$AU:$AU,MATCH(B75,Cables!$A:$A,0))*C75</f>
        <v>32.992557893254485</v>
      </c>
      <c r="Q75" s="41">
        <f t="shared" si="14"/>
        <v>5.6131645863966018E-3</v>
      </c>
      <c r="R75" s="39">
        <f t="shared" si="15"/>
        <v>3.1507616673976933E-5</v>
      </c>
      <c r="S75" s="40" t="b">
        <f>IF(B75=B74,C75&gt;C74,COUNTIF(B$1:B74,B75)=0)</f>
        <v>1</v>
      </c>
      <c r="T75" s="37"/>
    </row>
    <row r="76" spans="1:20" x14ac:dyDescent="0.25">
      <c r="A76" s="37" t="s">
        <v>787</v>
      </c>
      <c r="B76" s="37" t="s">
        <v>225</v>
      </c>
      <c r="C76" s="37">
        <v>700</v>
      </c>
      <c r="D76" s="37">
        <v>14.2</v>
      </c>
      <c r="E76" s="37" t="s">
        <v>707</v>
      </c>
      <c r="F76" s="37"/>
      <c r="G76" s="37" t="s">
        <v>233</v>
      </c>
      <c r="H76" s="37" t="s">
        <v>728</v>
      </c>
      <c r="I76" s="38">
        <f t="shared" si="8"/>
        <v>46.587926509186353</v>
      </c>
      <c r="J76" s="38">
        <f t="shared" si="9"/>
        <v>6.5510803350434044</v>
      </c>
      <c r="K76" s="38">
        <f t="shared" si="10"/>
        <v>3.8413414197768607</v>
      </c>
      <c r="L76" s="39">
        <f t="shared" si="11"/>
        <v>2.1464788732394366E-2</v>
      </c>
      <c r="M76" s="39">
        <f t="shared" si="12"/>
        <v>0.56790492930456848</v>
      </c>
      <c r="N76" s="39">
        <f t="shared" si="13"/>
        <v>15.025352112676057</v>
      </c>
      <c r="O76" s="40">
        <f>1</f>
        <v>1</v>
      </c>
      <c r="P76" s="38">
        <f>INDEX(Cables!$AS:$AS,MATCH(B76,Cables!$A:$A,0))+INDEX(Cables!$AT:$AT,MATCH(B76,Cables!$A:$A,0))*SQRT(C76)+INDEX(Cables!$AU:$AU,MATCH(B76,Cables!$A:$A,0))*C76</f>
        <v>46.652321870899847</v>
      </c>
      <c r="Q76" s="41">
        <f t="shared" si="14"/>
        <v>1.3822328345263202E-3</v>
      </c>
      <c r="R76" s="39">
        <f t="shared" si="15"/>
        <v>1.9105676088426654E-6</v>
      </c>
      <c r="S76" s="40" t="b">
        <f>IF(B76=B75,C76&gt;C75,COUNTIF(B$1:B75,B76)=0)</f>
        <v>1</v>
      </c>
      <c r="T76" s="37"/>
    </row>
    <row r="77" spans="1:20" x14ac:dyDescent="0.25">
      <c r="A77" s="37" t="s">
        <v>788</v>
      </c>
      <c r="B77" s="37" t="s">
        <v>225</v>
      </c>
      <c r="C77" s="37">
        <v>900</v>
      </c>
      <c r="D77" s="37">
        <v>16.600000000000001</v>
      </c>
      <c r="E77" s="37" t="s">
        <v>707</v>
      </c>
      <c r="F77" s="37"/>
      <c r="G77" s="37" t="s">
        <v>233</v>
      </c>
      <c r="H77" s="37" t="s">
        <v>728</v>
      </c>
      <c r="I77" s="38">
        <f t="shared" si="8"/>
        <v>54.461942257217856</v>
      </c>
      <c r="J77" s="38">
        <f t="shared" si="9"/>
        <v>6.8023947633243109</v>
      </c>
      <c r="K77" s="38">
        <f t="shared" si="10"/>
        <v>3.9975021505321435</v>
      </c>
      <c r="L77" s="39">
        <f t="shared" si="11"/>
        <v>1.8361445783132528E-2</v>
      </c>
      <c r="M77" s="39">
        <f t="shared" si="12"/>
        <v>0.55084337349397583</v>
      </c>
      <c r="N77" s="39">
        <f t="shared" si="13"/>
        <v>16.525301204819275</v>
      </c>
      <c r="O77" s="40">
        <f>1</f>
        <v>1</v>
      </c>
      <c r="P77" s="38">
        <f>INDEX(Cables!$AS:$AS,MATCH(B77,Cables!$A:$A,0))+INDEX(Cables!$AT:$AT,MATCH(B77,Cables!$A:$A,0))*SQRT(C77)+INDEX(Cables!$AU:$AU,MATCH(B77,Cables!$A:$A,0))*C77</f>
        <v>54.769185851434145</v>
      </c>
      <c r="Q77" s="41">
        <f t="shared" si="14"/>
        <v>5.6414365974171155E-3</v>
      </c>
      <c r="R77" s="39">
        <f t="shared" si="15"/>
        <v>3.1825806882677204E-5</v>
      </c>
      <c r="S77" s="40" t="b">
        <f>IF(B77=B76,C77&gt;C76,COUNTIF(B$1:B76,B77)=0)</f>
        <v>1</v>
      </c>
      <c r="T77" s="37"/>
    </row>
    <row r="78" spans="1:20" x14ac:dyDescent="0.25">
      <c r="A78" s="37" t="s">
        <v>789</v>
      </c>
      <c r="B78" s="37" t="s">
        <v>225</v>
      </c>
      <c r="C78" s="37">
        <v>1000</v>
      </c>
      <c r="D78" s="37">
        <v>18.100000000000001</v>
      </c>
      <c r="E78" s="37" t="s">
        <v>707</v>
      </c>
      <c r="F78" s="37"/>
      <c r="G78" s="37" t="s">
        <v>233</v>
      </c>
      <c r="H78" s="37" t="s">
        <v>728</v>
      </c>
      <c r="I78" s="38">
        <f t="shared" si="8"/>
        <v>59.383202099737538</v>
      </c>
      <c r="J78" s="38">
        <f t="shared" si="9"/>
        <v>6.9077552789821368</v>
      </c>
      <c r="K78" s="38">
        <f t="shared" si="10"/>
        <v>4.0840113934414264</v>
      </c>
      <c r="L78" s="39">
        <f t="shared" si="11"/>
        <v>1.6839779005524861E-2</v>
      </c>
      <c r="M78" s="39">
        <f t="shared" si="12"/>
        <v>0.53252056951343751</v>
      </c>
      <c r="N78" s="39">
        <f t="shared" si="13"/>
        <v>16.839779005524861</v>
      </c>
      <c r="O78" s="40">
        <f>1</f>
        <v>1</v>
      </c>
      <c r="P78" s="38">
        <f>INDEX(Cables!$AS:$AS,MATCH(B78,Cables!$A:$A,0))+INDEX(Cables!$AT:$AT,MATCH(B78,Cables!$A:$A,0))*SQRT(C78)+INDEX(Cables!$AU:$AU,MATCH(B78,Cables!$A:$A,0))*C78</f>
        <v>58.634928912468681</v>
      </c>
      <c r="Q78" s="41">
        <f t="shared" si="14"/>
        <v>-1.2600755109367312E-2</v>
      </c>
      <c r="R78" s="39">
        <f t="shared" si="15"/>
        <v>1.5877902932624641E-4</v>
      </c>
      <c r="S78" s="40" t="b">
        <f>IF(B78=B77,C78&gt;C77,COUNTIF(B$1:B77,B78)=0)</f>
        <v>1</v>
      </c>
      <c r="T78" s="37"/>
    </row>
    <row r="79" spans="1:20" x14ac:dyDescent="0.25">
      <c r="A79" s="37" t="s">
        <v>790</v>
      </c>
      <c r="B79" s="37" t="s">
        <v>235</v>
      </c>
      <c r="C79" s="37">
        <v>1</v>
      </c>
      <c r="D79" s="37">
        <v>0.4</v>
      </c>
      <c r="E79" s="37" t="s">
        <v>707</v>
      </c>
      <c r="F79" s="37"/>
      <c r="G79" s="37" t="s">
        <v>244</v>
      </c>
      <c r="H79" s="37" t="s">
        <v>708</v>
      </c>
      <c r="I79" s="38">
        <f t="shared" si="8"/>
        <v>1.3123359580052494</v>
      </c>
      <c r="J79" s="38">
        <f t="shared" si="9"/>
        <v>0</v>
      </c>
      <c r="K79" s="38">
        <f t="shared" si="10"/>
        <v>0.27180872329549083</v>
      </c>
      <c r="L79" s="39">
        <f t="shared" si="11"/>
        <v>0.76200000000000001</v>
      </c>
      <c r="M79" s="39">
        <f t="shared" si="12"/>
        <v>0.76200000000000001</v>
      </c>
      <c r="N79" s="39">
        <f t="shared" si="13"/>
        <v>0.76200000000000001</v>
      </c>
      <c r="O79" s="40">
        <f>1</f>
        <v>1</v>
      </c>
      <c r="P79" s="38">
        <f>INDEX(Cables!$AS:$AS,MATCH(B79,Cables!$A:$A,0))+INDEX(Cables!$AT:$AT,MATCH(B79,Cables!$A:$A,0))*SQRT(C79)+INDEX(Cables!$AU:$AU,MATCH(B79,Cables!$A:$A,0))*C79</f>
        <v>1.3028855452972823</v>
      </c>
      <c r="Q79" s="41">
        <f t="shared" si="14"/>
        <v>-7.2012144834708858E-3</v>
      </c>
      <c r="R79" s="39">
        <f t="shared" si="15"/>
        <v>5.1857490036950859E-5</v>
      </c>
      <c r="S79" s="40" t="b">
        <f>IF(B79=B78,C79&gt;C78,COUNTIF(B$1:B78,B79)=0)</f>
        <v>1</v>
      </c>
      <c r="T79" s="37"/>
    </row>
    <row r="80" spans="1:20" x14ac:dyDescent="0.25">
      <c r="A80" s="37" t="s">
        <v>791</v>
      </c>
      <c r="B80" s="37" t="s">
        <v>235</v>
      </c>
      <c r="C80" s="37">
        <v>10</v>
      </c>
      <c r="D80" s="37">
        <v>1.2</v>
      </c>
      <c r="E80" s="37" t="s">
        <v>707</v>
      </c>
      <c r="F80" s="37"/>
      <c r="G80" s="37" t="s">
        <v>244</v>
      </c>
      <c r="H80" s="37" t="s">
        <v>708</v>
      </c>
      <c r="I80" s="38">
        <f t="shared" si="8"/>
        <v>3.9370078740157481</v>
      </c>
      <c r="J80" s="38">
        <f t="shared" si="9"/>
        <v>2.3025850929940459</v>
      </c>
      <c r="K80" s="38">
        <f t="shared" si="10"/>
        <v>1.3704210119636004</v>
      </c>
      <c r="L80" s="39">
        <f t="shared" si="11"/>
        <v>0.254</v>
      </c>
      <c r="M80" s="39">
        <f t="shared" si="12"/>
        <v>0.80321852568276841</v>
      </c>
      <c r="N80" s="39">
        <f t="shared" si="13"/>
        <v>2.54</v>
      </c>
      <c r="O80" s="40">
        <f>1</f>
        <v>1</v>
      </c>
      <c r="P80" s="38">
        <f>INDEX(Cables!$AS:$AS,MATCH(B80,Cables!$A:$A,0))+INDEX(Cables!$AT:$AT,MATCH(B80,Cables!$A:$A,0))*SQRT(C80)+INDEX(Cables!$AU:$AU,MATCH(B80,Cables!$A:$A,0))*C80</f>
        <v>4.0443223579532939</v>
      </c>
      <c r="Q80" s="41">
        <f t="shared" si="14"/>
        <v>2.7257878920136536E-2</v>
      </c>
      <c r="R80" s="39">
        <f t="shared" si="15"/>
        <v>7.4299196322482372E-4</v>
      </c>
      <c r="S80" s="40" t="b">
        <f>IF(B80=B79,C80&gt;C79,COUNTIF(B$1:B79,B80)=0)</f>
        <v>1</v>
      </c>
      <c r="T80" s="37"/>
    </row>
    <row r="81" spans="1:20" x14ac:dyDescent="0.25">
      <c r="A81" s="37" t="s">
        <v>792</v>
      </c>
      <c r="B81" s="37" t="s">
        <v>235</v>
      </c>
      <c r="C81" s="37">
        <v>50</v>
      </c>
      <c r="D81" s="37">
        <v>2.8</v>
      </c>
      <c r="E81" s="37" t="s">
        <v>707</v>
      </c>
      <c r="F81" s="37"/>
      <c r="G81" s="37" t="s">
        <v>244</v>
      </c>
      <c r="H81" s="37" t="s">
        <v>708</v>
      </c>
      <c r="I81" s="38">
        <f t="shared" si="8"/>
        <v>9.1863517060367457</v>
      </c>
      <c r="J81" s="38">
        <f t="shared" si="9"/>
        <v>3.912023005428146</v>
      </c>
      <c r="K81" s="38">
        <f t="shared" si="10"/>
        <v>2.2177188723508041</v>
      </c>
      <c r="L81" s="39">
        <f t="shared" si="11"/>
        <v>0.10885714285714286</v>
      </c>
      <c r="M81" s="39">
        <f t="shared" si="12"/>
        <v>0.76973623894878462</v>
      </c>
      <c r="N81" s="39">
        <f t="shared" si="13"/>
        <v>5.4428571428571431</v>
      </c>
      <c r="O81" s="40">
        <f>1</f>
        <v>1</v>
      </c>
      <c r="P81" s="38">
        <f>INDEX(Cables!$AS:$AS,MATCH(B81,Cables!$A:$A,0))+INDEX(Cables!$AT:$AT,MATCH(B81,Cables!$A:$A,0))*SQRT(C81)+INDEX(Cables!$AU:$AU,MATCH(B81,Cables!$A:$A,0))*C81</f>
        <v>9.2256630829213417</v>
      </c>
      <c r="Q81" s="41">
        <f t="shared" si="14"/>
        <v>4.2793241694374373E-3</v>
      </c>
      <c r="R81" s="39">
        <f t="shared" si="15"/>
        <v>1.8312615347131414E-5</v>
      </c>
      <c r="S81" s="40" t="b">
        <f>IF(B81=B80,C81&gt;C80,COUNTIF(B$1:B80,B81)=0)</f>
        <v>1</v>
      </c>
      <c r="T81" s="37"/>
    </row>
    <row r="82" spans="1:20" x14ac:dyDescent="0.25">
      <c r="A82" s="37" t="s">
        <v>793</v>
      </c>
      <c r="B82" s="37" t="s">
        <v>235</v>
      </c>
      <c r="C82" s="37">
        <v>100</v>
      </c>
      <c r="D82" s="37">
        <v>4.0999999999999996</v>
      </c>
      <c r="E82" s="37" t="s">
        <v>707</v>
      </c>
      <c r="F82" s="37"/>
      <c r="G82" s="37" t="s">
        <v>244</v>
      </c>
      <c r="H82" s="37" t="s">
        <v>708</v>
      </c>
      <c r="I82" s="38">
        <f t="shared" si="8"/>
        <v>13.451443569553804</v>
      </c>
      <c r="J82" s="38">
        <f t="shared" si="9"/>
        <v>4.6051701859880918</v>
      </c>
      <c r="K82" s="38">
        <f t="shared" si="10"/>
        <v>2.5990864288799078</v>
      </c>
      <c r="L82" s="39">
        <f t="shared" si="11"/>
        <v>7.4341463414634157E-2</v>
      </c>
      <c r="M82" s="39">
        <f t="shared" si="12"/>
        <v>0.74341463414634157</v>
      </c>
      <c r="N82" s="39">
        <f t="shared" si="13"/>
        <v>7.434146341463415</v>
      </c>
      <c r="O82" s="40">
        <f>1</f>
        <v>1</v>
      </c>
      <c r="P82" s="38">
        <f>INDEX(Cables!$AS:$AS,MATCH(B82,Cables!$A:$A,0))+INDEX(Cables!$AT:$AT,MATCH(B82,Cables!$A:$A,0))*SQRT(C82)+INDEX(Cables!$AU:$AU,MATCH(B82,Cables!$A:$A,0))*C82</f>
        <v>13.298530339517868</v>
      </c>
      <c r="Q82" s="41">
        <f t="shared" si="14"/>
        <v>-1.1367793296330087E-2</v>
      </c>
      <c r="R82" s="39">
        <f t="shared" si="15"/>
        <v>1.2922672442808726E-4</v>
      </c>
      <c r="S82" s="40" t="b">
        <f>IF(B82=B81,C82&gt;C81,COUNTIF(B$1:B81,B82)=0)</f>
        <v>1</v>
      </c>
      <c r="T82" s="37"/>
    </row>
    <row r="83" spans="1:20" x14ac:dyDescent="0.25">
      <c r="A83" s="37" t="s">
        <v>794</v>
      </c>
      <c r="B83" s="37" t="s">
        <v>235</v>
      </c>
      <c r="C83" s="37">
        <v>200</v>
      </c>
      <c r="D83" s="37">
        <v>6</v>
      </c>
      <c r="E83" s="37" t="s">
        <v>707</v>
      </c>
      <c r="F83" s="37"/>
      <c r="G83" s="37" t="s">
        <v>244</v>
      </c>
      <c r="H83" s="37" t="s">
        <v>708</v>
      </c>
      <c r="I83" s="38">
        <f t="shared" si="8"/>
        <v>19.685039370078741</v>
      </c>
      <c r="J83" s="38">
        <f t="shared" si="9"/>
        <v>5.2983173665480363</v>
      </c>
      <c r="K83" s="38">
        <f t="shared" si="10"/>
        <v>2.9798589243977007</v>
      </c>
      <c r="L83" s="39">
        <f t="shared" si="11"/>
        <v>5.0799999999999998E-2</v>
      </c>
      <c r="M83" s="39">
        <f t="shared" si="12"/>
        <v>0.71842048968553229</v>
      </c>
      <c r="N83" s="39">
        <f t="shared" si="13"/>
        <v>10.16</v>
      </c>
      <c r="O83" s="40">
        <f>1</f>
        <v>1</v>
      </c>
      <c r="P83" s="38">
        <f>INDEX(Cables!$AS:$AS,MATCH(B83,Cables!$A:$A,0))+INDEX(Cables!$AT:$AT,MATCH(B83,Cables!$A:$A,0))*SQRT(C83)+INDEX(Cables!$AU:$AU,MATCH(B83,Cables!$A:$A,0))*C83</f>
        <v>19.336872592957253</v>
      </c>
      <c r="Q83" s="41">
        <f t="shared" si="14"/>
        <v>-1.7686872277771548E-2</v>
      </c>
      <c r="R83" s="39">
        <f t="shared" si="15"/>
        <v>3.128254509702037E-4</v>
      </c>
      <c r="S83" s="40" t="b">
        <f>IF(B83=B82,C83&gt;C82,COUNTIF(B$1:B82,B83)=0)</f>
        <v>1</v>
      </c>
      <c r="T83" s="37"/>
    </row>
    <row r="84" spans="1:20" x14ac:dyDescent="0.25">
      <c r="A84" s="37" t="s">
        <v>795</v>
      </c>
      <c r="B84" s="37" t="s">
        <v>235</v>
      </c>
      <c r="C84" s="37">
        <v>400</v>
      </c>
      <c r="D84" s="37">
        <v>8.8000000000000007</v>
      </c>
      <c r="E84" s="37" t="s">
        <v>707</v>
      </c>
      <c r="F84" s="37"/>
      <c r="G84" s="37" t="s">
        <v>244</v>
      </c>
      <c r="H84" s="37" t="s">
        <v>708</v>
      </c>
      <c r="I84" s="38">
        <f t="shared" si="8"/>
        <v>28.87139107611549</v>
      </c>
      <c r="J84" s="38">
        <f t="shared" si="9"/>
        <v>5.9914645471079817</v>
      </c>
      <c r="K84" s="38">
        <f t="shared" si="10"/>
        <v>3.3628511766538067</v>
      </c>
      <c r="L84" s="39">
        <f t="shared" si="11"/>
        <v>3.4636363636363632E-2</v>
      </c>
      <c r="M84" s="39">
        <f t="shared" si="12"/>
        <v>0.69272727272727264</v>
      </c>
      <c r="N84" s="39">
        <f t="shared" si="13"/>
        <v>13.854545454545452</v>
      </c>
      <c r="O84" s="40">
        <f>1</f>
        <v>1</v>
      </c>
      <c r="P84" s="38">
        <f>INDEX(Cables!$AS:$AS,MATCH(B84,Cables!$A:$A,0))+INDEX(Cables!$AT:$AT,MATCH(B84,Cables!$A:$A,0))*SQRT(C84)+INDEX(Cables!$AU:$AU,MATCH(B84,Cables!$A:$A,0))*C84</f>
        <v>28.43325438485229</v>
      </c>
      <c r="Q84" s="41">
        <f t="shared" si="14"/>
        <v>-1.5175461761025355E-2</v>
      </c>
      <c r="R84" s="39">
        <f t="shared" si="15"/>
        <v>2.3029463966034276E-4</v>
      </c>
      <c r="S84" s="40" t="b">
        <f>IF(B84=B83,C84&gt;C83,COUNTIF(B$1:B83,B84)=0)</f>
        <v>1</v>
      </c>
      <c r="T84" s="37"/>
    </row>
    <row r="85" spans="1:20" x14ac:dyDescent="0.25">
      <c r="A85" s="37" t="s">
        <v>796</v>
      </c>
      <c r="B85" s="37" t="s">
        <v>235</v>
      </c>
      <c r="C85" s="37">
        <v>700</v>
      </c>
      <c r="D85" s="37">
        <v>12</v>
      </c>
      <c r="E85" s="37" t="s">
        <v>707</v>
      </c>
      <c r="F85" s="37"/>
      <c r="G85" s="37" t="s">
        <v>244</v>
      </c>
      <c r="H85" s="37" t="s">
        <v>708</v>
      </c>
      <c r="I85" s="38">
        <f t="shared" si="8"/>
        <v>39.370078740157481</v>
      </c>
      <c r="J85" s="38">
        <f t="shared" si="9"/>
        <v>6.5510803350434044</v>
      </c>
      <c r="K85" s="38">
        <f t="shared" si="10"/>
        <v>3.6730061049576461</v>
      </c>
      <c r="L85" s="39">
        <f t="shared" si="11"/>
        <v>2.5399999999999999E-2</v>
      </c>
      <c r="M85" s="39">
        <f t="shared" si="12"/>
        <v>0.67202083301040594</v>
      </c>
      <c r="N85" s="39">
        <f t="shared" si="13"/>
        <v>17.78</v>
      </c>
      <c r="O85" s="40">
        <f>1</f>
        <v>1</v>
      </c>
      <c r="P85" s="38">
        <f>INDEX(Cables!$AS:$AS,MATCH(B85,Cables!$A:$A,0))+INDEX(Cables!$AT:$AT,MATCH(B85,Cables!$A:$A,0))*SQRT(C85)+INDEX(Cables!$AU:$AU,MATCH(B85,Cables!$A:$A,0))*C85</f>
        <v>39.216818936088352</v>
      </c>
      <c r="Q85" s="41">
        <f t="shared" si="14"/>
        <v>-3.8927990233559306E-3</v>
      </c>
      <c r="R85" s="39">
        <f t="shared" si="15"/>
        <v>1.5153884236240888E-5</v>
      </c>
      <c r="S85" s="40" t="b">
        <f>IF(B85=B84,C85&gt;C84,COUNTIF(B$1:B84,B85)=0)</f>
        <v>1</v>
      </c>
      <c r="T85" s="37"/>
    </row>
    <row r="86" spans="1:20" x14ac:dyDescent="0.25">
      <c r="A86" s="37" t="s">
        <v>797</v>
      </c>
      <c r="B86" s="37" t="s">
        <v>235</v>
      </c>
      <c r="C86" s="37">
        <v>900</v>
      </c>
      <c r="D86" s="37">
        <v>13.8</v>
      </c>
      <c r="E86" s="37" t="s">
        <v>707</v>
      </c>
      <c r="F86" s="37"/>
      <c r="G86" s="37" t="s">
        <v>244</v>
      </c>
      <c r="H86" s="37" t="s">
        <v>708</v>
      </c>
      <c r="I86" s="38">
        <f t="shared" si="8"/>
        <v>45.275590551181104</v>
      </c>
      <c r="J86" s="38">
        <f t="shared" si="9"/>
        <v>6.8023947633243109</v>
      </c>
      <c r="K86" s="38">
        <f t="shared" si="10"/>
        <v>3.8127680473328049</v>
      </c>
      <c r="L86" s="39">
        <f t="shared" si="11"/>
        <v>2.2086956521739129E-2</v>
      </c>
      <c r="M86" s="39">
        <f t="shared" si="12"/>
        <v>0.66260869565217384</v>
      </c>
      <c r="N86" s="39">
        <f t="shared" si="13"/>
        <v>19.878260869565217</v>
      </c>
      <c r="O86" s="40">
        <f>1</f>
        <v>1</v>
      </c>
      <c r="P86" s="38">
        <f>INDEX(Cables!$AS:$AS,MATCH(B86,Cables!$A:$A,0))+INDEX(Cables!$AT:$AT,MATCH(B86,Cables!$A:$A,0))*SQRT(C86)+INDEX(Cables!$AU:$AU,MATCH(B86,Cables!$A:$A,0))*C86</f>
        <v>45.469272987590685</v>
      </c>
      <c r="Q86" s="41">
        <f t="shared" si="14"/>
        <v>4.2778555520028849E-3</v>
      </c>
      <c r="R86" s="39">
        <f t="shared" si="15"/>
        <v>1.8300048123801908E-5</v>
      </c>
      <c r="S86" s="40" t="b">
        <f>IF(B86=B85,C86&gt;C85,COUNTIF(B$1:B85,B86)=0)</f>
        <v>1</v>
      </c>
      <c r="T86" s="37"/>
    </row>
    <row r="87" spans="1:20" x14ac:dyDescent="0.25">
      <c r="A87" s="37" t="s">
        <v>798</v>
      </c>
      <c r="B87" s="37" t="s">
        <v>235</v>
      </c>
      <c r="C87" s="37">
        <v>1000</v>
      </c>
      <c r="D87" s="37">
        <v>14.5</v>
      </c>
      <c r="E87" s="37" t="s">
        <v>707</v>
      </c>
      <c r="F87" s="37"/>
      <c r="G87" s="37" t="s">
        <v>244</v>
      </c>
      <c r="H87" s="37" t="s">
        <v>708</v>
      </c>
      <c r="I87" s="38">
        <f t="shared" si="8"/>
        <v>47.572178477690287</v>
      </c>
      <c r="J87" s="38">
        <f t="shared" si="9"/>
        <v>6.9077552789821368</v>
      </c>
      <c r="K87" s="38">
        <f t="shared" si="10"/>
        <v>3.8622481045961745</v>
      </c>
      <c r="L87" s="39">
        <f t="shared" si="11"/>
        <v>2.1020689655172415E-2</v>
      </c>
      <c r="M87" s="39">
        <f t="shared" si="12"/>
        <v>0.66473257297884281</v>
      </c>
      <c r="N87" s="39">
        <f t="shared" si="13"/>
        <v>21.020689655172415</v>
      </c>
      <c r="O87" s="40">
        <f>1</f>
        <v>1</v>
      </c>
      <c r="P87" s="38">
        <f>INDEX(Cables!$AS:$AS,MATCH(B87,Cables!$A:$A,0))+INDEX(Cables!$AT:$AT,MATCH(B87,Cables!$A:$A,0))*SQRT(C87)+INDEX(Cables!$AU:$AU,MATCH(B87,Cables!$A:$A,0))*C87</f>
        <v>48.413141423564063</v>
      </c>
      <c r="Q87" s="41">
        <f t="shared" si="14"/>
        <v>1.7677621096712226E-2</v>
      </c>
      <c r="R87" s="39">
        <f t="shared" si="15"/>
        <v>3.1249828763892519E-4</v>
      </c>
      <c r="S87" s="40" t="b">
        <f>IF(B87=B86,C87&gt;C86,COUNTIF(B$1:B86,B87)=0)</f>
        <v>1</v>
      </c>
      <c r="T87" s="37"/>
    </row>
    <row r="88" spans="1:20" x14ac:dyDescent="0.25">
      <c r="A88" s="37" t="s">
        <v>799</v>
      </c>
      <c r="B88" s="37" t="s">
        <v>246</v>
      </c>
      <c r="C88" s="37">
        <v>100</v>
      </c>
      <c r="D88" s="37">
        <v>4.0999999999999996</v>
      </c>
      <c r="E88" s="37" t="s">
        <v>707</v>
      </c>
      <c r="F88" s="37"/>
      <c r="G88" s="37" t="s">
        <v>255</v>
      </c>
      <c r="H88" s="37" t="s">
        <v>800</v>
      </c>
      <c r="I88" s="38">
        <f t="shared" si="8"/>
        <v>13.451443569553804</v>
      </c>
      <c r="J88" s="38">
        <f t="shared" si="9"/>
        <v>4.6051701859880918</v>
      </c>
      <c r="K88" s="38">
        <f t="shared" si="10"/>
        <v>2.5990864288799078</v>
      </c>
      <c r="L88" s="39">
        <f t="shared" si="11"/>
        <v>7.4341463414634157E-2</v>
      </c>
      <c r="M88" s="39">
        <f t="shared" si="12"/>
        <v>0.74341463414634157</v>
      </c>
      <c r="N88" s="39">
        <f t="shared" si="13"/>
        <v>7.434146341463415</v>
      </c>
      <c r="O88" s="40">
        <f>1</f>
        <v>1</v>
      </c>
      <c r="P88" s="38">
        <f>INDEX(Cables!$AS:$AS,MATCH(B88,Cables!$A:$A,0))+INDEX(Cables!$AT:$AT,MATCH(B88,Cables!$A:$A,0))*SQRT(C88)+INDEX(Cables!$AU:$AU,MATCH(B88,Cables!$A:$A,0))*C88</f>
        <v>13.464295461621807</v>
      </c>
      <c r="Q88" s="41">
        <f t="shared" si="14"/>
        <v>9.5542846398233294E-4</v>
      </c>
      <c r="R88" s="39">
        <f t="shared" si="15"/>
        <v>9.1284354978764003E-7</v>
      </c>
      <c r="S88" s="40" t="b">
        <f>IF(B88=B87,C88&gt;C87,COUNTIF(B$1:B87,B88)=0)</f>
        <v>1</v>
      </c>
      <c r="T88" s="37"/>
    </row>
    <row r="89" spans="1:20" x14ac:dyDescent="0.25">
      <c r="A89" s="37" t="s">
        <v>801</v>
      </c>
      <c r="B89" s="37" t="s">
        <v>246</v>
      </c>
      <c r="C89" s="37">
        <v>400</v>
      </c>
      <c r="D89" s="37">
        <v>8.6</v>
      </c>
      <c r="E89" s="37" t="s">
        <v>707</v>
      </c>
      <c r="F89" s="37"/>
      <c r="G89" s="37" t="s">
        <v>255</v>
      </c>
      <c r="H89" s="37" t="s">
        <v>800</v>
      </c>
      <c r="I89" s="38">
        <f t="shared" si="8"/>
        <v>28.215223097112862</v>
      </c>
      <c r="J89" s="38">
        <f t="shared" si="9"/>
        <v>5.9914645471079817</v>
      </c>
      <c r="K89" s="38">
        <f t="shared" si="10"/>
        <v>3.3398616584291081</v>
      </c>
      <c r="L89" s="39">
        <f t="shared" si="11"/>
        <v>3.5441860465116277E-2</v>
      </c>
      <c r="M89" s="39">
        <f t="shared" si="12"/>
        <v>0.70883720930232552</v>
      </c>
      <c r="N89" s="39">
        <f t="shared" si="13"/>
        <v>14.176744186046511</v>
      </c>
      <c r="O89" s="40">
        <f>1</f>
        <v>1</v>
      </c>
      <c r="P89" s="38">
        <f>INDEX(Cables!$AS:$AS,MATCH(B89,Cables!$A:$A,0))+INDEX(Cables!$AT:$AT,MATCH(B89,Cables!$A:$A,0))*SQRT(C89)+INDEX(Cables!$AU:$AU,MATCH(B89,Cables!$A:$A,0))*C89</f>
        <v>28.11096901179943</v>
      </c>
      <c r="Q89" s="41">
        <f t="shared" si="14"/>
        <v>-3.6949587445970211E-3</v>
      </c>
      <c r="R89" s="39">
        <f t="shared" si="15"/>
        <v>1.3652720124273994E-5</v>
      </c>
      <c r="S89" s="40" t="b">
        <f>IF(B89=B88,C89&gt;C88,COUNTIF(B$1:B88,B89)=0)</f>
        <v>1</v>
      </c>
      <c r="T89" s="37"/>
    </row>
    <row r="90" spans="1:20" x14ac:dyDescent="0.25">
      <c r="A90" s="37" t="s">
        <v>802</v>
      </c>
      <c r="B90" s="37" t="s">
        <v>246</v>
      </c>
      <c r="C90" s="37">
        <v>1000</v>
      </c>
      <c r="D90" s="37">
        <v>14.2</v>
      </c>
      <c r="E90" s="37" t="s">
        <v>707</v>
      </c>
      <c r="F90" s="37"/>
      <c r="G90" s="37" t="s">
        <v>255</v>
      </c>
      <c r="H90" s="37" t="s">
        <v>800</v>
      </c>
      <c r="I90" s="38">
        <f t="shared" si="8"/>
        <v>46.587926509186353</v>
      </c>
      <c r="J90" s="38">
        <f t="shared" si="9"/>
        <v>6.9077552789821368</v>
      </c>
      <c r="K90" s="38">
        <f t="shared" si="10"/>
        <v>3.8413414197768607</v>
      </c>
      <c r="L90" s="39">
        <f t="shared" si="11"/>
        <v>2.1464788732394366E-2</v>
      </c>
      <c r="M90" s="39">
        <f t="shared" si="12"/>
        <v>0.67877621888684647</v>
      </c>
      <c r="N90" s="39">
        <f t="shared" si="13"/>
        <v>21.464788732394364</v>
      </c>
      <c r="O90" s="40">
        <f>1</f>
        <v>1</v>
      </c>
      <c r="P90" s="38">
        <f>INDEX(Cables!$AS:$AS,MATCH(B90,Cables!$A:$A,0))+INDEX(Cables!$AT:$AT,MATCH(B90,Cables!$A:$A,0))*SQRT(C90)+INDEX(Cables!$AU:$AU,MATCH(B90,Cables!$A:$A,0))*C90</f>
        <v>46.678977003505835</v>
      </c>
      <c r="Q90" s="41">
        <f t="shared" si="14"/>
        <v>1.9543796245478084E-3</v>
      </c>
      <c r="R90" s="39">
        <f t="shared" si="15"/>
        <v>3.8195997168476327E-6</v>
      </c>
      <c r="S90" s="40" t="b">
        <f>IF(B90=B89,C90&gt;C89,COUNTIF(B$1:B89,B90)=0)</f>
        <v>1</v>
      </c>
      <c r="T90" s="37"/>
    </row>
    <row r="91" spans="1:20" x14ac:dyDescent="0.25">
      <c r="A91" s="37" t="s">
        <v>803</v>
      </c>
      <c r="B91" s="37" t="s">
        <v>246</v>
      </c>
      <c r="C91" s="37">
        <v>2000</v>
      </c>
      <c r="D91" s="37">
        <v>21.2</v>
      </c>
      <c r="E91" s="37" t="s">
        <v>707</v>
      </c>
      <c r="F91" s="37"/>
      <c r="G91" s="37" t="s">
        <v>255</v>
      </c>
      <c r="H91" s="37" t="s">
        <v>800</v>
      </c>
      <c r="I91" s="38">
        <f t="shared" si="8"/>
        <v>69.553805774278217</v>
      </c>
      <c r="J91" s="38">
        <f t="shared" si="9"/>
        <v>7.6009024595420822</v>
      </c>
      <c r="K91" s="38">
        <f t="shared" si="10"/>
        <v>4.2421006368476126</v>
      </c>
      <c r="L91" s="39">
        <f t="shared" si="11"/>
        <v>1.4377358490566037E-2</v>
      </c>
      <c r="M91" s="39">
        <f t="shared" si="12"/>
        <v>0.64297501843578864</v>
      </c>
      <c r="N91" s="39">
        <f t="shared" si="13"/>
        <v>28.754716981132074</v>
      </c>
      <c r="O91" s="40">
        <f>1</f>
        <v>1</v>
      </c>
      <c r="P91" s="38">
        <f>INDEX(Cables!$AS:$AS,MATCH(B91,Cables!$A:$A,0))+INDEX(Cables!$AT:$AT,MATCH(B91,Cables!$A:$A,0))*SQRT(C91)+INDEX(Cables!$AU:$AU,MATCH(B91,Cables!$A:$A,0))*C91</f>
        <v>69.594719581632546</v>
      </c>
      <c r="Q91" s="41">
        <f t="shared" si="14"/>
        <v>5.8823247554706803E-4</v>
      </c>
      <c r="R91" s="39">
        <f t="shared" si="15"/>
        <v>3.4601744528823199E-7</v>
      </c>
      <c r="S91" s="40" t="b">
        <f>IF(B91=B90,C91&gt;C90,COUNTIF(B$1:B90,B91)=0)</f>
        <v>1</v>
      </c>
      <c r="T91" s="37"/>
    </row>
    <row r="92" spans="1:20" x14ac:dyDescent="0.25">
      <c r="A92" s="37" t="s">
        <v>804</v>
      </c>
      <c r="B92" s="37" t="s">
        <v>246</v>
      </c>
      <c r="C92" s="37">
        <v>2400</v>
      </c>
      <c r="D92" s="37">
        <v>23.6</v>
      </c>
      <c r="E92" s="37" t="s">
        <v>707</v>
      </c>
      <c r="F92" s="37"/>
      <c r="G92" s="37" t="s">
        <v>255</v>
      </c>
      <c r="H92" s="37" t="s">
        <v>800</v>
      </c>
      <c r="I92" s="38">
        <f t="shared" si="8"/>
        <v>77.427821522309713</v>
      </c>
      <c r="J92" s="38">
        <f t="shared" si="9"/>
        <v>7.7832240163360371</v>
      </c>
      <c r="K92" s="38">
        <f t="shared" si="10"/>
        <v>4.3493461672012099</v>
      </c>
      <c r="L92" s="39">
        <f t="shared" si="11"/>
        <v>1.2915254237288135E-2</v>
      </c>
      <c r="M92" s="39">
        <f t="shared" si="12"/>
        <v>0.6327156555934853</v>
      </c>
      <c r="N92" s="39">
        <f t="shared" si="13"/>
        <v>30.996610169491525</v>
      </c>
      <c r="O92" s="40">
        <f>1</f>
        <v>1</v>
      </c>
      <c r="P92" s="38">
        <f>INDEX(Cables!$AS:$AS,MATCH(B92,Cables!$A:$A,0))+INDEX(Cables!$AT:$AT,MATCH(B92,Cables!$A:$A,0))*SQRT(C92)+INDEX(Cables!$AU:$AU,MATCH(B92,Cables!$A:$A,0))*C92</f>
        <v>77.517850354377813</v>
      </c>
      <c r="Q92" s="41">
        <f t="shared" si="14"/>
        <v>1.1627452548457207E-3</v>
      </c>
      <c r="R92" s="39">
        <f t="shared" si="15"/>
        <v>1.3519765276662399E-6</v>
      </c>
      <c r="S92" s="40" t="b">
        <f>IF(B92=B91,C92&gt;C91,COUNTIF(B$1:B91,B92)=0)</f>
        <v>1</v>
      </c>
      <c r="T92" s="37"/>
    </row>
    <row r="93" spans="1:20" x14ac:dyDescent="0.25">
      <c r="A93" s="37" t="s">
        <v>805</v>
      </c>
      <c r="B93" s="37" t="s">
        <v>246</v>
      </c>
      <c r="C93" s="37">
        <v>3000</v>
      </c>
      <c r="D93" s="37">
        <v>27</v>
      </c>
      <c r="E93" s="37" t="s">
        <v>707</v>
      </c>
      <c r="F93" s="37"/>
      <c r="G93" s="37" t="s">
        <v>255</v>
      </c>
      <c r="H93" s="37" t="s">
        <v>800</v>
      </c>
      <c r="I93" s="38">
        <f t="shared" si="8"/>
        <v>88.582677165354326</v>
      </c>
      <c r="J93" s="38">
        <f t="shared" si="9"/>
        <v>8.0063675676502459</v>
      </c>
      <c r="K93" s="38">
        <f t="shared" si="10"/>
        <v>4.4839363211739744</v>
      </c>
      <c r="L93" s="39">
        <f t="shared" si="11"/>
        <v>1.128888888888889E-2</v>
      </c>
      <c r="M93" s="39">
        <f t="shared" si="12"/>
        <v>0.61831790936138753</v>
      </c>
      <c r="N93" s="39">
        <f t="shared" si="13"/>
        <v>33.866666666666667</v>
      </c>
      <c r="O93" s="40">
        <f>1</f>
        <v>1</v>
      </c>
      <c r="P93" s="38">
        <f>INDEX(Cables!$AS:$AS,MATCH(B93,Cables!$A:$A,0))+INDEX(Cables!$AT:$AT,MATCH(B93,Cables!$A:$A,0))*SQRT(C93)+INDEX(Cables!$AU:$AU,MATCH(B93,Cables!$A:$A,0))*C93</f>
        <v>88.608516095677246</v>
      </c>
      <c r="Q93" s="41">
        <f t="shared" si="14"/>
        <v>2.916928134231167E-4</v>
      </c>
      <c r="R93" s="39">
        <f t="shared" si="15"/>
        <v>8.5084697402693171E-8</v>
      </c>
      <c r="S93" s="40" t="b">
        <f>IF(B93=B92,C93&gt;C92,COUNTIF(B$1:B92,B93)=0)</f>
        <v>1</v>
      </c>
      <c r="T93" s="37"/>
    </row>
    <row r="94" spans="1:20" x14ac:dyDescent="0.25">
      <c r="A94" s="37" t="s">
        <v>806</v>
      </c>
      <c r="B94" s="37" t="s">
        <v>246</v>
      </c>
      <c r="C94" s="37">
        <v>5000</v>
      </c>
      <c r="D94" s="37">
        <v>37</v>
      </c>
      <c r="E94" s="37" t="s">
        <v>707</v>
      </c>
      <c r="F94" s="37"/>
      <c r="G94" s="37" t="s">
        <v>255</v>
      </c>
      <c r="H94" s="37" t="s">
        <v>800</v>
      </c>
      <c r="I94" s="38">
        <f t="shared" si="8"/>
        <v>121.39107611548556</v>
      </c>
      <c r="J94" s="38">
        <f t="shared" si="9"/>
        <v>8.5171931914162382</v>
      </c>
      <c r="K94" s="38">
        <f t="shared" si="10"/>
        <v>4.7990173678138701</v>
      </c>
      <c r="L94" s="39">
        <f t="shared" si="11"/>
        <v>8.2378378378378386E-3</v>
      </c>
      <c r="M94" s="39">
        <f t="shared" si="12"/>
        <v>0.58250309974502623</v>
      </c>
      <c r="N94" s="39">
        <f t="shared" si="13"/>
        <v>41.189189189189193</v>
      </c>
      <c r="O94" s="40">
        <f>1</f>
        <v>1</v>
      </c>
      <c r="P94" s="38">
        <f>INDEX(Cables!$AS:$AS,MATCH(B94,Cables!$A:$A,0))+INDEX(Cables!$AT:$AT,MATCH(B94,Cables!$A:$A,0))*SQRT(C94)+INDEX(Cables!$AU:$AU,MATCH(B94,Cables!$A:$A,0))*C94</f>
        <v>121.30575641446062</v>
      </c>
      <c r="Q94" s="41">
        <f t="shared" si="14"/>
        <v>-7.0284986141633254E-4</v>
      </c>
      <c r="R94" s="39">
        <f t="shared" si="15"/>
        <v>4.9399792769295781E-7</v>
      </c>
      <c r="S94" s="40" t="b">
        <f>IF(B94=B93,C94&gt;C93,COUNTIF(B$1:B93,B94)=0)</f>
        <v>1</v>
      </c>
      <c r="T94" s="37"/>
    </row>
    <row r="95" spans="1:20" x14ac:dyDescent="0.25">
      <c r="A95" s="37" t="s">
        <v>807</v>
      </c>
      <c r="B95" s="37" t="s">
        <v>246</v>
      </c>
      <c r="C95" s="37">
        <v>10000</v>
      </c>
      <c r="D95" s="37">
        <v>57.8</v>
      </c>
      <c r="E95" s="37" t="s">
        <v>707</v>
      </c>
      <c r="F95" s="37"/>
      <c r="G95" s="37" t="s">
        <v>255</v>
      </c>
      <c r="H95" s="37" t="s">
        <v>800</v>
      </c>
      <c r="I95" s="38">
        <f t="shared" si="8"/>
        <v>189.63254593175853</v>
      </c>
      <c r="J95" s="38">
        <f t="shared" si="9"/>
        <v>9.2103403719761836</v>
      </c>
      <c r="K95" s="38">
        <f t="shared" si="10"/>
        <v>5.245088230847978</v>
      </c>
      <c r="L95" s="39">
        <f t="shared" si="11"/>
        <v>5.273356401384083E-3</v>
      </c>
      <c r="M95" s="39">
        <f t="shared" si="12"/>
        <v>0.52733564013840828</v>
      </c>
      <c r="N95" s="39">
        <f t="shared" si="13"/>
        <v>52.733564013840834</v>
      </c>
      <c r="O95" s="40">
        <f>1</f>
        <v>1</v>
      </c>
      <c r="P95" s="38">
        <f>INDEX(Cables!$AS:$AS,MATCH(B95,Cables!$A:$A,0))+INDEX(Cables!$AT:$AT,MATCH(B95,Cables!$A:$A,0))*SQRT(C95)+INDEX(Cables!$AU:$AU,MATCH(B95,Cables!$A:$A,0))*C95</f>
        <v>189.53309583506021</v>
      </c>
      <c r="Q95" s="41">
        <f t="shared" si="14"/>
        <v>-5.24435804042378E-4</v>
      </c>
      <c r="R95" s="39">
        <f t="shared" si="15"/>
        <v>2.7503291256157551E-7</v>
      </c>
      <c r="S95" s="40" t="b">
        <f>IF(B95=B94,C95&gt;C94,COUNTIF(B$1:B94,B95)=0)</f>
        <v>1</v>
      </c>
      <c r="T95" s="37"/>
    </row>
    <row r="96" spans="1:20" x14ac:dyDescent="0.25">
      <c r="A96" s="37" t="s">
        <v>808</v>
      </c>
      <c r="B96" s="37" t="s">
        <v>246</v>
      </c>
      <c r="C96" s="37">
        <v>12400</v>
      </c>
      <c r="D96" s="37">
        <v>66.7</v>
      </c>
      <c r="E96" s="37" t="s">
        <v>707</v>
      </c>
      <c r="F96" s="37"/>
      <c r="G96" s="37" t="s">
        <v>255</v>
      </c>
      <c r="H96" s="37" t="s">
        <v>800</v>
      </c>
      <c r="I96" s="38">
        <f t="shared" si="8"/>
        <v>218.83202099737534</v>
      </c>
      <c r="J96" s="38">
        <f t="shared" si="9"/>
        <v>9.425451751593128</v>
      </c>
      <c r="K96" s="38">
        <f t="shared" si="10"/>
        <v>5.3883044080912237</v>
      </c>
      <c r="L96" s="39">
        <f t="shared" si="11"/>
        <v>4.5697151424287851E-3</v>
      </c>
      <c r="M96" s="39">
        <f t="shared" si="12"/>
        <v>0.50886194236599414</v>
      </c>
      <c r="N96" s="39">
        <f t="shared" si="13"/>
        <v>56.664467766116942</v>
      </c>
      <c r="O96" s="40">
        <f>1</f>
        <v>1</v>
      </c>
      <c r="P96" s="38">
        <f>INDEX(Cables!$AS:$AS,MATCH(B96,Cables!$A:$A,0))+INDEX(Cables!$AT:$AT,MATCH(B96,Cables!$A:$A,0))*SQRT(C96)+INDEX(Cables!$AU:$AU,MATCH(B96,Cables!$A:$A,0))*C96</f>
        <v>218.82082246258966</v>
      </c>
      <c r="Q96" s="41">
        <f t="shared" si="14"/>
        <v>-5.1174113983143421E-5</v>
      </c>
      <c r="R96" s="39">
        <f t="shared" si="15"/>
        <v>2.618789941959755E-9</v>
      </c>
      <c r="S96" s="40" t="b">
        <f>IF(B96=B95,C96&gt;C95,COUNTIF(B$1:B95,B96)=0)</f>
        <v>1</v>
      </c>
      <c r="T96" s="37"/>
    </row>
    <row r="97" spans="1:20" x14ac:dyDescent="0.25">
      <c r="A97" s="37" t="s">
        <v>809</v>
      </c>
      <c r="B97" s="37" t="s">
        <v>257</v>
      </c>
      <c r="C97" s="37">
        <v>30</v>
      </c>
      <c r="D97" s="37">
        <v>2</v>
      </c>
      <c r="E97" s="37" t="s">
        <v>707</v>
      </c>
      <c r="F97" s="37">
        <v>25</v>
      </c>
      <c r="G97" s="37" t="s">
        <v>207</v>
      </c>
      <c r="H97" s="37" t="s">
        <v>810</v>
      </c>
      <c r="I97" s="38">
        <f t="shared" si="8"/>
        <v>6.5616797900262469</v>
      </c>
      <c r="J97" s="38">
        <f t="shared" si="9"/>
        <v>3.4011973816621555</v>
      </c>
      <c r="K97" s="38">
        <f t="shared" si="10"/>
        <v>1.8812466357295912</v>
      </c>
      <c r="L97" s="39">
        <f t="shared" si="11"/>
        <v>0.15240000000000001</v>
      </c>
      <c r="M97" s="39">
        <f t="shared" si="12"/>
        <v>0.83472917763787313</v>
      </c>
      <c r="N97" s="39">
        <f t="shared" si="13"/>
        <v>4.5720000000000001</v>
      </c>
      <c r="O97" s="40">
        <f>1</f>
        <v>1</v>
      </c>
      <c r="P97" s="38">
        <f>INDEX(Cables!$AS:$AS,MATCH(B97,Cables!$A:$A,0))+INDEX(Cables!$AT:$AT,MATCH(B97,Cables!$A:$A,0))*SQRT(C97)+INDEX(Cables!$AU:$AU,MATCH(B97,Cables!$A:$A,0))*C97</f>
        <v>6.5823517029271006</v>
      </c>
      <c r="Q97" s="41">
        <f t="shared" si="14"/>
        <v>3.1503995260901974E-3</v>
      </c>
      <c r="R97" s="39">
        <f t="shared" si="15"/>
        <v>9.9250171739893398E-6</v>
      </c>
      <c r="S97" s="40" t="b">
        <f>IF(B97=B96,C97&gt;C96,COUNTIF(B$1:B96,B97)=0)</f>
        <v>1</v>
      </c>
      <c r="T97" s="37"/>
    </row>
    <row r="98" spans="1:20" x14ac:dyDescent="0.25">
      <c r="A98" s="37" t="s">
        <v>811</v>
      </c>
      <c r="B98" s="37" t="s">
        <v>257</v>
      </c>
      <c r="C98" s="37">
        <v>50</v>
      </c>
      <c r="D98" s="37">
        <v>2.6</v>
      </c>
      <c r="E98" s="37" t="s">
        <v>707</v>
      </c>
      <c r="F98" s="37">
        <v>25</v>
      </c>
      <c r="G98" s="37" t="s">
        <v>207</v>
      </c>
      <c r="H98" s="37" t="s">
        <v>810</v>
      </c>
      <c r="I98" s="38">
        <f t="shared" si="8"/>
        <v>8.530183727034121</v>
      </c>
      <c r="J98" s="38">
        <f t="shared" si="9"/>
        <v>3.912023005428146</v>
      </c>
      <c r="K98" s="38">
        <f t="shared" si="10"/>
        <v>2.1436109001970824</v>
      </c>
      <c r="L98" s="39">
        <f t="shared" si="11"/>
        <v>0.11723076923076922</v>
      </c>
      <c r="M98" s="39">
        <f t="shared" si="12"/>
        <v>0.82894671886792193</v>
      </c>
      <c r="N98" s="39">
        <f t="shared" si="13"/>
        <v>5.8615384615384611</v>
      </c>
      <c r="O98" s="40">
        <f>1</f>
        <v>1</v>
      </c>
      <c r="P98" s="38">
        <f>INDEX(Cables!$AS:$AS,MATCH(B98,Cables!$A:$A,0))+INDEX(Cables!$AT:$AT,MATCH(B98,Cables!$A:$A,0))*SQRT(C98)+INDEX(Cables!$AU:$AU,MATCH(B98,Cables!$A:$A,0))*C98</f>
        <v>8.4557565362129132</v>
      </c>
      <c r="Q98" s="41">
        <f t="shared" si="14"/>
        <v>-8.7251568316554229E-3</v>
      </c>
      <c r="R98" s="39">
        <f t="shared" si="15"/>
        <v>7.6128361736983304E-5</v>
      </c>
      <c r="S98" s="40" t="b">
        <f>IF(B98=B97,C98&gt;C97,COUNTIF(B$1:B97,B98)=0)</f>
        <v>1</v>
      </c>
      <c r="T98" s="37"/>
    </row>
    <row r="99" spans="1:20" x14ac:dyDescent="0.25">
      <c r="A99" s="37" t="s">
        <v>812</v>
      </c>
      <c r="B99" s="37" t="s">
        <v>257</v>
      </c>
      <c r="C99" s="37">
        <v>150</v>
      </c>
      <c r="D99" s="37">
        <v>4.4000000000000004</v>
      </c>
      <c r="E99" s="37" t="s">
        <v>707</v>
      </c>
      <c r="F99" s="37">
        <v>25</v>
      </c>
      <c r="G99" s="37" t="s">
        <v>207</v>
      </c>
      <c r="H99" s="37" t="s">
        <v>810</v>
      </c>
      <c r="I99" s="38">
        <f t="shared" si="8"/>
        <v>14.435695538057745</v>
      </c>
      <c r="J99" s="38">
        <f t="shared" si="9"/>
        <v>5.0106352940962555</v>
      </c>
      <c r="K99" s="38">
        <f t="shared" si="10"/>
        <v>2.6697039960938613</v>
      </c>
      <c r="L99" s="39">
        <f t="shared" si="11"/>
        <v>6.9272727272727264E-2</v>
      </c>
      <c r="M99" s="39">
        <f t="shared" si="12"/>
        <v>0.8484141745458097</v>
      </c>
      <c r="N99" s="39">
        <f t="shared" si="13"/>
        <v>10.390909090909089</v>
      </c>
      <c r="O99" s="40">
        <f>1</f>
        <v>1</v>
      </c>
      <c r="P99" s="38">
        <f>INDEX(Cables!$AS:$AS,MATCH(B99,Cables!$A:$A,0))+INDEX(Cables!$AT:$AT,MATCH(B99,Cables!$A:$A,0))*SQRT(C99)+INDEX(Cables!$AU:$AU,MATCH(B99,Cables!$A:$A,0))*C99</f>
        <v>14.604664196244135</v>
      </c>
      <c r="Q99" s="41">
        <f t="shared" si="14"/>
        <v>1.1704919776184486E-2</v>
      </c>
      <c r="R99" s="39">
        <f t="shared" si="15"/>
        <v>1.3700514696691468E-4</v>
      </c>
      <c r="S99" s="40" t="b">
        <f>IF(B99=B98,C99&gt;C98,COUNTIF(B$1:B98,B99)=0)</f>
        <v>1</v>
      </c>
      <c r="T99" s="37"/>
    </row>
    <row r="100" spans="1:20" x14ac:dyDescent="0.25">
      <c r="A100" s="37" t="s">
        <v>813</v>
      </c>
      <c r="B100" s="37" t="s">
        <v>257</v>
      </c>
      <c r="C100" s="37">
        <v>220</v>
      </c>
      <c r="D100" s="37">
        <v>5.4</v>
      </c>
      <c r="E100" s="37" t="s">
        <v>707</v>
      </c>
      <c r="F100" s="37">
        <v>25</v>
      </c>
      <c r="G100" s="37" t="s">
        <v>207</v>
      </c>
      <c r="H100" s="37" t="s">
        <v>810</v>
      </c>
      <c r="I100" s="38">
        <f t="shared" si="8"/>
        <v>17.716535433070867</v>
      </c>
      <c r="J100" s="38">
        <f t="shared" si="9"/>
        <v>5.393627546352362</v>
      </c>
      <c r="K100" s="38">
        <f t="shared" si="10"/>
        <v>2.8744984087398744</v>
      </c>
      <c r="L100" s="39">
        <f t="shared" si="11"/>
        <v>5.6444444444444443E-2</v>
      </c>
      <c r="M100" s="39">
        <f t="shared" si="12"/>
        <v>0.83720640698768811</v>
      </c>
      <c r="N100" s="39">
        <f t="shared" si="13"/>
        <v>12.417777777777777</v>
      </c>
      <c r="O100" s="40">
        <f>1</f>
        <v>1</v>
      </c>
      <c r="P100" s="38">
        <f>INDEX(Cables!$AS:$AS,MATCH(B100,Cables!$A:$A,0))+INDEX(Cables!$AT:$AT,MATCH(B100,Cables!$A:$A,0))*SQRT(C100)+INDEX(Cables!$AU:$AU,MATCH(B100,Cables!$A:$A,0))*C100</f>
        <v>17.712237829859323</v>
      </c>
      <c r="Q100" s="41">
        <f t="shared" si="14"/>
        <v>-2.4257582571829417E-4</v>
      </c>
      <c r="R100" s="39">
        <f t="shared" si="15"/>
        <v>5.8843031222912224E-8</v>
      </c>
      <c r="S100" s="40" t="b">
        <f>IF(B100=B99,C100&gt;C99,COUNTIF(B$1:B99,B100)=0)</f>
        <v>1</v>
      </c>
      <c r="T100" s="37"/>
    </row>
    <row r="101" spans="1:20" x14ac:dyDescent="0.25">
      <c r="A101" s="37" t="s">
        <v>814</v>
      </c>
      <c r="B101" s="37" t="s">
        <v>257</v>
      </c>
      <c r="C101" s="37">
        <v>450</v>
      </c>
      <c r="D101" s="37">
        <v>7.8</v>
      </c>
      <c r="E101" s="37" t="s">
        <v>707</v>
      </c>
      <c r="F101" s="37">
        <v>25</v>
      </c>
      <c r="G101" s="37" t="s">
        <v>207</v>
      </c>
      <c r="H101" s="37" t="s">
        <v>810</v>
      </c>
      <c r="I101" s="38">
        <f t="shared" si="8"/>
        <v>25.590551181102363</v>
      </c>
      <c r="J101" s="38">
        <f t="shared" si="9"/>
        <v>6.1092475827643655</v>
      </c>
      <c r="K101" s="38">
        <f t="shared" si="10"/>
        <v>3.242223188865192</v>
      </c>
      <c r="L101" s="39">
        <f t="shared" si="11"/>
        <v>3.9076923076923079E-2</v>
      </c>
      <c r="M101" s="39">
        <f t="shared" si="12"/>
        <v>0.82894671886792193</v>
      </c>
      <c r="N101" s="39">
        <f t="shared" si="13"/>
        <v>17.584615384615383</v>
      </c>
      <c r="O101" s="40">
        <f>1</f>
        <v>1</v>
      </c>
      <c r="P101" s="38">
        <f>INDEX(Cables!$AS:$AS,MATCH(B101,Cables!$A:$A,0))+INDEX(Cables!$AT:$AT,MATCH(B101,Cables!$A:$A,0))*SQRT(C101)+INDEX(Cables!$AU:$AU,MATCH(B101,Cables!$A:$A,0))*C101</f>
        <v>25.488540501869753</v>
      </c>
      <c r="Q101" s="41">
        <f t="shared" si="14"/>
        <v>-3.9862634653973217E-3</v>
      </c>
      <c r="R101" s="39">
        <f t="shared" si="15"/>
        <v>1.5890296415561464E-5</v>
      </c>
      <c r="S101" s="40" t="b">
        <f>IF(B101=B100,C101&gt;C100,COUNTIF(B$1:B100,B101)=0)</f>
        <v>1</v>
      </c>
      <c r="T101" s="37"/>
    </row>
    <row r="102" spans="1:20" x14ac:dyDescent="0.25">
      <c r="A102" s="37" t="s">
        <v>815</v>
      </c>
      <c r="B102" s="37" t="s">
        <v>257</v>
      </c>
      <c r="C102" s="37">
        <v>700</v>
      </c>
      <c r="D102" s="37">
        <v>9.8000000000000007</v>
      </c>
      <c r="E102" s="37" t="s">
        <v>707</v>
      </c>
      <c r="F102" s="37">
        <v>25</v>
      </c>
      <c r="G102" s="37" t="s">
        <v>207</v>
      </c>
      <c r="H102" s="37" t="s">
        <v>810</v>
      </c>
      <c r="I102" s="38">
        <f t="shared" si="8"/>
        <v>32.15223097112861</v>
      </c>
      <c r="J102" s="38">
        <f t="shared" si="9"/>
        <v>6.5510803350434044</v>
      </c>
      <c r="K102" s="38">
        <f t="shared" si="10"/>
        <v>3.4704818408461722</v>
      </c>
      <c r="L102" s="39">
        <f t="shared" si="11"/>
        <v>3.1102040816326528E-2</v>
      </c>
      <c r="M102" s="39">
        <f t="shared" si="12"/>
        <v>0.82288265266580318</v>
      </c>
      <c r="N102" s="39">
        <f t="shared" si="13"/>
        <v>21.771428571428572</v>
      </c>
      <c r="O102" s="40">
        <f>1</f>
        <v>1</v>
      </c>
      <c r="P102" s="38">
        <f>INDEX(Cables!$AS:$AS,MATCH(B102,Cables!$A:$A,0))+INDEX(Cables!$AT:$AT,MATCH(B102,Cables!$A:$A,0))*SQRT(C102)+INDEX(Cables!$AU:$AU,MATCH(B102,Cables!$A:$A,0))*C102</f>
        <v>31.992138794910961</v>
      </c>
      <c r="Q102" s="41">
        <f t="shared" si="14"/>
        <v>-4.9791933990958048E-3</v>
      </c>
      <c r="R102" s="39">
        <f t="shared" si="15"/>
        <v>2.4792366905599235E-5</v>
      </c>
      <c r="S102" s="40" t="b">
        <f>IF(B102=B101,C102&gt;C101,COUNTIF(B$1:B101,B102)=0)</f>
        <v>1</v>
      </c>
      <c r="T102" s="37"/>
    </row>
    <row r="103" spans="1:20" x14ac:dyDescent="0.25">
      <c r="A103" s="37" t="s">
        <v>816</v>
      </c>
      <c r="B103" s="37" t="s">
        <v>257</v>
      </c>
      <c r="C103" s="37">
        <v>900</v>
      </c>
      <c r="D103" s="37">
        <v>11.1</v>
      </c>
      <c r="E103" s="37" t="s">
        <v>707</v>
      </c>
      <c r="F103" s="37">
        <v>25</v>
      </c>
      <c r="G103" s="37" t="s">
        <v>207</v>
      </c>
      <c r="H103" s="37" t="s">
        <v>810</v>
      </c>
      <c r="I103" s="38">
        <f t="shared" si="8"/>
        <v>36.417322834645667</v>
      </c>
      <c r="J103" s="38">
        <f t="shared" si="9"/>
        <v>6.8023947633243109</v>
      </c>
      <c r="K103" s="38">
        <f t="shared" si="10"/>
        <v>3.5950445634879342</v>
      </c>
      <c r="L103" s="39">
        <f t="shared" si="11"/>
        <v>2.7459459459459462E-2</v>
      </c>
      <c r="M103" s="39">
        <f t="shared" si="12"/>
        <v>0.82378378378378381</v>
      </c>
      <c r="N103" s="39">
        <f t="shared" si="13"/>
        <v>24.713513513513515</v>
      </c>
      <c r="O103" s="40">
        <f>1</f>
        <v>1</v>
      </c>
      <c r="P103" s="38">
        <f>INDEX(Cables!$AS:$AS,MATCH(B103,Cables!$A:$A,0))+INDEX(Cables!$AT:$AT,MATCH(B103,Cables!$A:$A,0))*SQRT(C103)+INDEX(Cables!$AU:$AU,MATCH(B103,Cables!$A:$A,0))*C103</f>
        <v>36.442625096321926</v>
      </c>
      <c r="Q103" s="41">
        <f t="shared" si="14"/>
        <v>6.9478642873188612E-4</v>
      </c>
      <c r="R103" s="39">
        <f t="shared" si="15"/>
        <v>4.8272818155000825E-7</v>
      </c>
      <c r="S103" s="40" t="b">
        <f>IF(B103=B102,C103&gt;C102,COUNTIF(B$1:B102,B103)=0)</f>
        <v>1</v>
      </c>
      <c r="T103" s="37"/>
    </row>
    <row r="104" spans="1:20" x14ac:dyDescent="0.25">
      <c r="A104" s="37" t="s">
        <v>817</v>
      </c>
      <c r="B104" s="37" t="s">
        <v>257</v>
      </c>
      <c r="C104" s="37">
        <v>1500</v>
      </c>
      <c r="D104" s="37">
        <v>14.5</v>
      </c>
      <c r="E104" s="37" t="s">
        <v>707</v>
      </c>
      <c r="F104" s="37">
        <v>25</v>
      </c>
      <c r="G104" s="37" t="s">
        <v>207</v>
      </c>
      <c r="H104" s="37" t="s">
        <v>810</v>
      </c>
      <c r="I104" s="38">
        <f t="shared" si="8"/>
        <v>47.572178477690287</v>
      </c>
      <c r="J104" s="38">
        <f t="shared" si="9"/>
        <v>7.3132203870903014</v>
      </c>
      <c r="K104" s="38">
        <f t="shared" si="10"/>
        <v>3.8622481045961745</v>
      </c>
      <c r="L104" s="39">
        <f t="shared" si="11"/>
        <v>2.1020689655172415E-2</v>
      </c>
      <c r="M104" s="39">
        <f t="shared" si="12"/>
        <v>0.81412780960277287</v>
      </c>
      <c r="N104" s="39">
        <f t="shared" si="13"/>
        <v>31.531034482758621</v>
      </c>
      <c r="O104" s="40">
        <f>1</f>
        <v>1</v>
      </c>
      <c r="P104" s="38">
        <f>INDEX(Cables!$AS:$AS,MATCH(B104,Cables!$A:$A,0))+INDEX(Cables!$AT:$AT,MATCH(B104,Cables!$A:$A,0))*SQRT(C104)+INDEX(Cables!$AU:$AU,MATCH(B104,Cables!$A:$A,0))*C104</f>
        <v>47.607490180694739</v>
      </c>
      <c r="Q104" s="41">
        <f t="shared" si="14"/>
        <v>7.4227635005219561E-4</v>
      </c>
      <c r="R104" s="39">
        <f t="shared" si="15"/>
        <v>5.5097417984680968E-7</v>
      </c>
      <c r="S104" s="40" t="b">
        <f>IF(B104=B103,C104&gt;C103,COUNTIF(B$1:B103,B104)=0)</f>
        <v>1</v>
      </c>
      <c r="T104" s="37"/>
    </row>
    <row r="105" spans="1:20" x14ac:dyDescent="0.25">
      <c r="A105" s="37" t="s">
        <v>818</v>
      </c>
      <c r="B105" s="37" t="s">
        <v>257</v>
      </c>
      <c r="C105" s="37">
        <v>2000</v>
      </c>
      <c r="D105" s="37">
        <v>16.899999999999999</v>
      </c>
      <c r="E105" s="37" t="s">
        <v>707</v>
      </c>
      <c r="F105" s="37">
        <v>25</v>
      </c>
      <c r="G105" s="37" t="s">
        <v>207</v>
      </c>
      <c r="H105" s="37" t="s">
        <v>810</v>
      </c>
      <c r="I105" s="38">
        <f t="shared" si="8"/>
        <v>55.446194225721776</v>
      </c>
      <c r="J105" s="38">
        <f t="shared" si="9"/>
        <v>7.6009024595420822</v>
      </c>
      <c r="K105" s="38">
        <f t="shared" si="10"/>
        <v>4.0154130770986738</v>
      </c>
      <c r="L105" s="39">
        <f t="shared" si="11"/>
        <v>1.8035502958579884E-2</v>
      </c>
      <c r="M105" s="39">
        <f t="shared" si="12"/>
        <v>0.80657221247566391</v>
      </c>
      <c r="N105" s="39">
        <f t="shared" si="13"/>
        <v>36.071005917159766</v>
      </c>
      <c r="O105" s="40">
        <f>1</f>
        <v>1</v>
      </c>
      <c r="P105" s="38">
        <f>INDEX(Cables!$AS:$AS,MATCH(B105,Cables!$A:$A,0))+INDEX(Cables!$AT:$AT,MATCH(B105,Cables!$A:$A,0))*SQRT(C105)+INDEX(Cables!$AU:$AU,MATCH(B105,Cables!$A:$A,0))*C105</f>
        <v>55.432785757252553</v>
      </c>
      <c r="Q105" s="41">
        <f t="shared" si="14"/>
        <v>-2.4182847274667463E-4</v>
      </c>
      <c r="R105" s="39">
        <f t="shared" si="15"/>
        <v>5.8481010230989156E-8</v>
      </c>
      <c r="S105" s="40" t="b">
        <f>IF(B105=B104,C105&gt;C104,COUNTIF(B$1:B104,B105)=0)</f>
        <v>1</v>
      </c>
      <c r="T105" s="37"/>
    </row>
    <row r="106" spans="1:20" x14ac:dyDescent="0.25">
      <c r="A106" s="37" t="s">
        <v>819</v>
      </c>
      <c r="B106" s="37" t="s">
        <v>257</v>
      </c>
      <c r="C106" s="37">
        <v>2500</v>
      </c>
      <c r="D106" s="37">
        <v>19</v>
      </c>
      <c r="E106" s="37" t="s">
        <v>707</v>
      </c>
      <c r="F106" s="37">
        <v>25</v>
      </c>
      <c r="G106" s="37" t="s">
        <v>207</v>
      </c>
      <c r="H106" s="37" t="s">
        <v>810</v>
      </c>
      <c r="I106" s="38">
        <f t="shared" si="8"/>
        <v>62.335958005249346</v>
      </c>
      <c r="J106" s="38">
        <f t="shared" si="9"/>
        <v>7.8240460108562919</v>
      </c>
      <c r="K106" s="38">
        <f t="shared" si="10"/>
        <v>4.1325384343360865</v>
      </c>
      <c r="L106" s="39">
        <f t="shared" si="11"/>
        <v>1.6042105263157896E-2</v>
      </c>
      <c r="M106" s="39">
        <f t="shared" si="12"/>
        <v>0.80210526315789477</v>
      </c>
      <c r="N106" s="39">
        <f t="shared" si="13"/>
        <v>40.105263157894733</v>
      </c>
      <c r="O106" s="40">
        <f>1</f>
        <v>1</v>
      </c>
      <c r="P106" s="38">
        <f>INDEX(Cables!$AS:$AS,MATCH(B106,Cables!$A:$A,0))+INDEX(Cables!$AT:$AT,MATCH(B106,Cables!$A:$A,0))*SQRT(C106)+INDEX(Cables!$AU:$AU,MATCH(B106,Cables!$A:$A,0))*C106</f>
        <v>62.436638995073693</v>
      </c>
      <c r="Q106" s="41">
        <f t="shared" si="14"/>
        <v>1.6151350367610284E-3</v>
      </c>
      <c r="R106" s="39">
        <f t="shared" si="15"/>
        <v>2.6086611869730487E-6</v>
      </c>
      <c r="S106" s="40" t="b">
        <f>IF(B106=B105,C106&gt;C105,COUNTIF(B$1:B105,B106)=0)</f>
        <v>1</v>
      </c>
      <c r="T106" s="37"/>
    </row>
    <row r="107" spans="1:20" x14ac:dyDescent="0.25">
      <c r="A107" s="37" t="s">
        <v>820</v>
      </c>
      <c r="B107" s="37" t="s">
        <v>265</v>
      </c>
      <c r="C107" s="37">
        <v>1</v>
      </c>
      <c r="D107" s="37">
        <v>0.3</v>
      </c>
      <c r="E107" s="37" t="s">
        <v>707</v>
      </c>
      <c r="F107" s="37"/>
      <c r="G107" s="37" t="s">
        <v>272</v>
      </c>
      <c r="H107" s="37" t="s">
        <v>728</v>
      </c>
      <c r="I107" s="38">
        <f t="shared" si="8"/>
        <v>0.98425196850393704</v>
      </c>
      <c r="J107" s="38">
        <f t="shared" si="9"/>
        <v>0</v>
      </c>
      <c r="K107" s="38">
        <f t="shared" si="10"/>
        <v>-1.5873349156290122E-2</v>
      </c>
      <c r="L107" s="39">
        <f t="shared" si="11"/>
        <v>1.016</v>
      </c>
      <c r="M107" s="39">
        <f t="shared" si="12"/>
        <v>1.016</v>
      </c>
      <c r="N107" s="39">
        <f t="shared" si="13"/>
        <v>1.016</v>
      </c>
      <c r="O107" s="40">
        <f>1</f>
        <v>1</v>
      </c>
      <c r="P107" s="38">
        <f>INDEX(Cables!$AS:$AS,MATCH(B107,Cables!$A:$A,0))+INDEX(Cables!$AT:$AT,MATCH(B107,Cables!$A:$A,0))*SQRT(C107)+INDEX(Cables!$AU:$AU,MATCH(B107,Cables!$A:$A,0))*C107</f>
        <v>0.98589458740003921</v>
      </c>
      <c r="Q107" s="41">
        <f t="shared" si="14"/>
        <v>1.668900798439843E-3</v>
      </c>
      <c r="R107" s="39">
        <f t="shared" si="15"/>
        <v>2.7852298750331453E-6</v>
      </c>
      <c r="S107" s="40" t="b">
        <f>IF(B107=B106,C107&gt;C106,COUNTIF(B$1:B106,B107)=0)</f>
        <v>1</v>
      </c>
      <c r="T107" s="37"/>
    </row>
    <row r="108" spans="1:20" x14ac:dyDescent="0.25">
      <c r="A108" s="37" t="s">
        <v>821</v>
      </c>
      <c r="B108" s="37" t="s">
        <v>265</v>
      </c>
      <c r="C108" s="37">
        <v>10</v>
      </c>
      <c r="D108" s="37">
        <v>1.1000000000000001</v>
      </c>
      <c r="E108" s="37" t="s">
        <v>707</v>
      </c>
      <c r="F108" s="37"/>
      <c r="G108" s="37" t="s">
        <v>272</v>
      </c>
      <c r="H108" s="37" t="s">
        <v>728</v>
      </c>
      <c r="I108" s="38">
        <f t="shared" si="8"/>
        <v>3.6089238845144362</v>
      </c>
      <c r="J108" s="38">
        <f t="shared" si="9"/>
        <v>2.3025850929940459</v>
      </c>
      <c r="K108" s="38">
        <f t="shared" si="10"/>
        <v>1.2834096349739708</v>
      </c>
      <c r="L108" s="39">
        <f t="shared" si="11"/>
        <v>0.27709090909090905</v>
      </c>
      <c r="M108" s="39">
        <f t="shared" si="12"/>
        <v>0.87623839165392903</v>
      </c>
      <c r="N108" s="39">
        <f t="shared" si="13"/>
        <v>2.7709090909090905</v>
      </c>
      <c r="O108" s="40">
        <f>1</f>
        <v>1</v>
      </c>
      <c r="P108" s="38">
        <f>INDEX(Cables!$AS:$AS,MATCH(B108,Cables!$A:$A,0))+INDEX(Cables!$AT:$AT,MATCH(B108,Cables!$A:$A,0))*SQRT(C108)+INDEX(Cables!$AU:$AU,MATCH(B108,Cables!$A:$A,0))*C108</f>
        <v>3.6061712602269047</v>
      </c>
      <c r="Q108" s="41">
        <f t="shared" si="14"/>
        <v>-7.6272716621783587E-4</v>
      </c>
      <c r="R108" s="39">
        <f t="shared" si="15"/>
        <v>5.8175273008669026E-7</v>
      </c>
      <c r="S108" s="40" t="b">
        <f>IF(B108=B107,C108&gt;C107,COUNTIF(B$1:B107,B108)=0)</f>
        <v>1</v>
      </c>
      <c r="T108" s="37"/>
    </row>
    <row r="109" spans="1:20" x14ac:dyDescent="0.25">
      <c r="A109" s="37" t="s">
        <v>822</v>
      </c>
      <c r="B109" s="37" t="s">
        <v>265</v>
      </c>
      <c r="C109" s="37">
        <v>50</v>
      </c>
      <c r="D109" s="37">
        <v>2.6</v>
      </c>
      <c r="E109" s="37" t="s">
        <v>707</v>
      </c>
      <c r="F109" s="37"/>
      <c r="G109" s="37" t="s">
        <v>272</v>
      </c>
      <c r="H109" s="37" t="s">
        <v>728</v>
      </c>
      <c r="I109" s="38">
        <f t="shared" si="8"/>
        <v>8.530183727034121</v>
      </c>
      <c r="J109" s="38">
        <f t="shared" si="9"/>
        <v>3.912023005428146</v>
      </c>
      <c r="K109" s="38">
        <f t="shared" si="10"/>
        <v>2.1436109001970824</v>
      </c>
      <c r="L109" s="39">
        <f t="shared" si="11"/>
        <v>0.11723076923076922</v>
      </c>
      <c r="M109" s="39">
        <f t="shared" si="12"/>
        <v>0.82894671886792193</v>
      </c>
      <c r="N109" s="39">
        <f t="shared" si="13"/>
        <v>5.8615384615384611</v>
      </c>
      <c r="O109" s="40">
        <f>1</f>
        <v>1</v>
      </c>
      <c r="P109" s="38">
        <f>INDEX(Cables!$AS:$AS,MATCH(B109,Cables!$A:$A,0))+INDEX(Cables!$AT:$AT,MATCH(B109,Cables!$A:$A,0))*SQRT(C109)+INDEX(Cables!$AU:$AU,MATCH(B109,Cables!$A:$A,0))*C109</f>
        <v>8.451192818034281</v>
      </c>
      <c r="Q109" s="41">
        <f t="shared" si="14"/>
        <v>-9.2601650242889466E-3</v>
      </c>
      <c r="R109" s="39">
        <f t="shared" si="15"/>
        <v>8.5750656277064306E-5</v>
      </c>
      <c r="S109" s="40" t="b">
        <f>IF(B109=B108,C109&gt;C108,COUNTIF(B$1:B108,B109)=0)</f>
        <v>1</v>
      </c>
      <c r="T109" s="37"/>
    </row>
    <row r="110" spans="1:20" x14ac:dyDescent="0.25">
      <c r="A110" s="37" t="s">
        <v>823</v>
      </c>
      <c r="B110" s="37" t="s">
        <v>265</v>
      </c>
      <c r="C110" s="37">
        <v>100</v>
      </c>
      <c r="D110" s="37">
        <v>3.8</v>
      </c>
      <c r="E110" s="37" t="s">
        <v>707</v>
      </c>
      <c r="F110" s="37"/>
      <c r="G110" s="37" t="s">
        <v>272</v>
      </c>
      <c r="H110" s="37" t="s">
        <v>728</v>
      </c>
      <c r="I110" s="38">
        <f t="shared" si="8"/>
        <v>12.467191601049869</v>
      </c>
      <c r="J110" s="38">
        <f t="shared" si="9"/>
        <v>4.6051701859880918</v>
      </c>
      <c r="K110" s="38">
        <f t="shared" si="10"/>
        <v>2.523100521901986</v>
      </c>
      <c r="L110" s="39">
        <f t="shared" si="11"/>
        <v>8.0210526315789468E-2</v>
      </c>
      <c r="M110" s="39">
        <f t="shared" si="12"/>
        <v>0.80210526315789477</v>
      </c>
      <c r="N110" s="39">
        <f t="shared" si="13"/>
        <v>8.0210526315789465</v>
      </c>
      <c r="O110" s="40">
        <f>1</f>
        <v>1</v>
      </c>
      <c r="P110" s="38">
        <f>INDEX(Cables!$AS:$AS,MATCH(B110,Cables!$A:$A,0))+INDEX(Cables!$AT:$AT,MATCH(B110,Cables!$A:$A,0))*SQRT(C110)+INDEX(Cables!$AU:$AU,MATCH(B110,Cables!$A:$A,0))*C110</f>
        <v>12.173058675422851</v>
      </c>
      <c r="Q110" s="41">
        <f t="shared" si="14"/>
        <v>-2.3592556771346085E-2</v>
      </c>
      <c r="R110" s="39">
        <f t="shared" si="15"/>
        <v>5.5660873500918795E-4</v>
      </c>
      <c r="S110" s="40" t="b">
        <f>IF(B110=B109,C110&gt;C109,COUNTIF(B$1:B109,B110)=0)</f>
        <v>1</v>
      </c>
      <c r="T110" s="37"/>
    </row>
    <row r="111" spans="1:20" x14ac:dyDescent="0.25">
      <c r="A111" s="37" t="s">
        <v>824</v>
      </c>
      <c r="B111" s="37" t="s">
        <v>265</v>
      </c>
      <c r="C111" s="37">
        <v>200</v>
      </c>
      <c r="D111" s="37">
        <v>5.6</v>
      </c>
      <c r="E111" s="37" t="s">
        <v>707</v>
      </c>
      <c r="F111" s="37"/>
      <c r="G111" s="37" t="s">
        <v>272</v>
      </c>
      <c r="H111" s="37" t="s">
        <v>728</v>
      </c>
      <c r="I111" s="38">
        <f t="shared" si="8"/>
        <v>18.372703412073491</v>
      </c>
      <c r="J111" s="38">
        <f t="shared" si="9"/>
        <v>5.2983173665480363</v>
      </c>
      <c r="K111" s="38">
        <f t="shared" si="10"/>
        <v>2.9108660529107495</v>
      </c>
      <c r="L111" s="39">
        <f t="shared" si="11"/>
        <v>5.442857142857143E-2</v>
      </c>
      <c r="M111" s="39">
        <f t="shared" si="12"/>
        <v>0.76973623894878462</v>
      </c>
      <c r="N111" s="39">
        <f t="shared" si="13"/>
        <v>10.885714285714286</v>
      </c>
      <c r="O111" s="40">
        <f>1</f>
        <v>1</v>
      </c>
      <c r="P111" s="38">
        <f>INDEX(Cables!$AS:$AS,MATCH(B111,Cables!$A:$A,0))+INDEX(Cables!$AT:$AT,MATCH(B111,Cables!$A:$A,0))*SQRT(C111)+INDEX(Cables!$AU:$AU,MATCH(B111,Cables!$A:$A,0))*C111</f>
        <v>17.570238197841654</v>
      </c>
      <c r="Q111" s="41">
        <f t="shared" si="14"/>
        <v>-4.3677035231761474E-2</v>
      </c>
      <c r="R111" s="39">
        <f t="shared" si="15"/>
        <v>1.9076834066365331E-3</v>
      </c>
      <c r="S111" s="40" t="b">
        <f>IF(B111=B110,C111&gt;C110,COUNTIF(B$1:B110,B111)=0)</f>
        <v>1</v>
      </c>
      <c r="T111" s="37"/>
    </row>
    <row r="112" spans="1:20" x14ac:dyDescent="0.25">
      <c r="A112" s="37" t="s">
        <v>825</v>
      </c>
      <c r="B112" s="37" t="s">
        <v>265</v>
      </c>
      <c r="C112" s="37">
        <v>400</v>
      </c>
      <c r="D112" s="37">
        <v>6.9</v>
      </c>
      <c r="E112" s="37" t="s">
        <v>707</v>
      </c>
      <c r="F112" s="37"/>
      <c r="G112" s="37" t="s">
        <v>272</v>
      </c>
      <c r="H112" s="37" t="s">
        <v>728</v>
      </c>
      <c r="I112" s="38">
        <f t="shared" si="8"/>
        <v>22.637795275590552</v>
      </c>
      <c r="J112" s="38">
        <f t="shared" si="9"/>
        <v>5.9914645471079817</v>
      </c>
      <c r="K112" s="38">
        <f t="shared" si="10"/>
        <v>3.1196208667728595</v>
      </c>
      <c r="L112" s="39">
        <f t="shared" si="11"/>
        <v>4.4173913043478258E-2</v>
      </c>
      <c r="M112" s="39">
        <f t="shared" si="12"/>
        <v>0.88347826086956516</v>
      </c>
      <c r="N112" s="39">
        <f t="shared" si="13"/>
        <v>17.669565217391305</v>
      </c>
      <c r="O112" s="40">
        <f>1</f>
        <v>1</v>
      </c>
      <c r="P112" s="38">
        <f>INDEX(Cables!$AS:$AS,MATCH(B112,Cables!$A:$A,0))+INDEX(Cables!$AT:$AT,MATCH(B112,Cables!$A:$A,0))*SQRT(C112)+INDEX(Cables!$AU:$AU,MATCH(B112,Cables!$A:$A,0))*C112</f>
        <v>25.47033537614168</v>
      </c>
      <c r="Q112" s="41">
        <f t="shared" si="14"/>
        <v>0.1251243800939108</v>
      </c>
      <c r="R112" s="39">
        <f t="shared" si="15"/>
        <v>1.5656110493885461E-2</v>
      </c>
      <c r="S112" s="40" t="b">
        <f>IF(B112=B111,C112&gt;C111,COUNTIF(B$1:B111,B112)=0)</f>
        <v>1</v>
      </c>
      <c r="T112" s="37"/>
    </row>
    <row r="113" spans="1:20" x14ac:dyDescent="0.25">
      <c r="A113" s="37" t="s">
        <v>826</v>
      </c>
      <c r="B113" s="37" t="s">
        <v>265</v>
      </c>
      <c r="C113" s="37">
        <v>700</v>
      </c>
      <c r="D113" s="37">
        <v>10.7</v>
      </c>
      <c r="E113" s="37" t="s">
        <v>707</v>
      </c>
      <c r="F113" s="37"/>
      <c r="G113" s="37" t="s">
        <v>272</v>
      </c>
      <c r="H113" s="37" t="s">
        <v>728</v>
      </c>
      <c r="I113" s="38">
        <f t="shared" si="8"/>
        <v>35.104986876640417</v>
      </c>
      <c r="J113" s="38">
        <f t="shared" si="9"/>
        <v>6.5510803350434044</v>
      </c>
      <c r="K113" s="38">
        <f t="shared" si="10"/>
        <v>3.5583431966375061</v>
      </c>
      <c r="L113" s="39">
        <f t="shared" si="11"/>
        <v>2.8485981308411217E-2</v>
      </c>
      <c r="M113" s="39">
        <f t="shared" si="12"/>
        <v>0.75366822393690402</v>
      </c>
      <c r="N113" s="39">
        <f t="shared" si="13"/>
        <v>19.940186915887853</v>
      </c>
      <c r="O113" s="40">
        <f>1</f>
        <v>1</v>
      </c>
      <c r="P113" s="38">
        <f>INDEX(Cables!$AS:$AS,MATCH(B113,Cables!$A:$A,0))+INDEX(Cables!$AT:$AT,MATCH(B113,Cables!$A:$A,0))*SQRT(C113)+INDEX(Cables!$AU:$AU,MATCH(B113,Cables!$A:$A,0))*C113</f>
        <v>34.542069840604647</v>
      </c>
      <c r="Q113" s="41">
        <f t="shared" si="14"/>
        <v>-1.6035244166701212E-2</v>
      </c>
      <c r="R113" s="39">
        <f t="shared" si="15"/>
        <v>2.5712905548572526E-4</v>
      </c>
      <c r="S113" s="40" t="b">
        <f>IF(B113=B112,C113&gt;C112,COUNTIF(B$1:B112,B113)=0)</f>
        <v>1</v>
      </c>
      <c r="T113" s="37"/>
    </row>
    <row r="114" spans="1:20" x14ac:dyDescent="0.25">
      <c r="A114" s="37" t="s">
        <v>827</v>
      </c>
      <c r="B114" s="37" t="s">
        <v>265</v>
      </c>
      <c r="C114" s="37">
        <v>900</v>
      </c>
      <c r="D114" s="37">
        <v>12.3</v>
      </c>
      <c r="E114" s="37" t="s">
        <v>707</v>
      </c>
      <c r="F114" s="37"/>
      <c r="G114" s="37" t="s">
        <v>272</v>
      </c>
      <c r="H114" s="37" t="s">
        <v>728</v>
      </c>
      <c r="I114" s="38">
        <f t="shared" si="8"/>
        <v>40.354330708661415</v>
      </c>
      <c r="J114" s="38">
        <f t="shared" si="9"/>
        <v>6.8023947633243109</v>
      </c>
      <c r="K114" s="38">
        <f t="shared" si="10"/>
        <v>3.6976987175480174</v>
      </c>
      <c r="L114" s="39">
        <f t="shared" si="11"/>
        <v>2.478048780487805E-2</v>
      </c>
      <c r="M114" s="39">
        <f t="shared" si="12"/>
        <v>0.74341463414634146</v>
      </c>
      <c r="N114" s="39">
        <f t="shared" si="13"/>
        <v>22.302439024390246</v>
      </c>
      <c r="O114" s="40">
        <f>1</f>
        <v>1</v>
      </c>
      <c r="P114" s="38">
        <f>INDEX(Cables!$AS:$AS,MATCH(B114,Cables!$A:$A,0))+INDEX(Cables!$AT:$AT,MATCH(B114,Cables!$A:$A,0))*SQRT(C114)+INDEX(Cables!$AU:$AU,MATCH(B114,Cables!$A:$A,0))*C114</f>
        <v>39.680343003906273</v>
      </c>
      <c r="Q114" s="41">
        <f t="shared" si="14"/>
        <v>-1.6701744098322591E-2</v>
      </c>
      <c r="R114" s="39">
        <f t="shared" si="15"/>
        <v>2.7894825592585348E-4</v>
      </c>
      <c r="S114" s="40" t="b">
        <f>IF(B114=B113,C114&gt;C113,COUNTIF(B$1:B113,B114)=0)</f>
        <v>1</v>
      </c>
      <c r="T114" s="37"/>
    </row>
    <row r="115" spans="1:20" x14ac:dyDescent="0.25">
      <c r="A115" s="37" t="s">
        <v>828</v>
      </c>
      <c r="B115" s="37" t="s">
        <v>265</v>
      </c>
      <c r="C115" s="37">
        <v>1000</v>
      </c>
      <c r="D115" s="37">
        <v>13.1</v>
      </c>
      <c r="E115" s="37" t="s">
        <v>707</v>
      </c>
      <c r="F115" s="37"/>
      <c r="G115" s="37" t="s">
        <v>272</v>
      </c>
      <c r="H115" s="37" t="s">
        <v>728</v>
      </c>
      <c r="I115" s="38">
        <f t="shared" si="8"/>
        <v>42.979002624671914</v>
      </c>
      <c r="J115" s="38">
        <f t="shared" si="9"/>
        <v>6.9077552789821368</v>
      </c>
      <c r="K115" s="38">
        <f t="shared" si="10"/>
        <v>3.7607116853767515</v>
      </c>
      <c r="L115" s="39">
        <f t="shared" si="11"/>
        <v>2.3267175572519085E-2</v>
      </c>
      <c r="M115" s="39">
        <f t="shared" si="12"/>
        <v>0.73577269528192524</v>
      </c>
      <c r="N115" s="39">
        <f t="shared" si="13"/>
        <v>23.267175572519086</v>
      </c>
      <c r="O115" s="40">
        <f>1</f>
        <v>1</v>
      </c>
      <c r="P115" s="38">
        <f>INDEX(Cables!$AS:$AS,MATCH(B115,Cables!$A:$A,0))+INDEX(Cables!$AT:$AT,MATCH(B115,Cables!$A:$A,0))*SQRT(C115)+INDEX(Cables!$AU:$AU,MATCH(B115,Cables!$A:$A,0))*C115</f>
        <v>42.072385658226864</v>
      </c>
      <c r="Q115" s="41">
        <f t="shared" si="14"/>
        <v>-2.1094416135301608E-2</v>
      </c>
      <c r="R115" s="39">
        <f t="shared" si="15"/>
        <v>4.4497439208927283E-4</v>
      </c>
      <c r="S115" s="40" t="b">
        <f>IF(B115=B114,C115&gt;C114,COUNTIF(B$1:B114,B115)=0)</f>
        <v>1</v>
      </c>
      <c r="T115" s="37"/>
    </row>
    <row r="116" spans="1:20" x14ac:dyDescent="0.25">
      <c r="A116" s="37" t="s">
        <v>829</v>
      </c>
      <c r="B116" s="37" t="s">
        <v>265</v>
      </c>
      <c r="C116" s="37">
        <v>2000</v>
      </c>
      <c r="D116" s="37">
        <v>19.3</v>
      </c>
      <c r="E116" s="37" t="s">
        <v>707</v>
      </c>
      <c r="F116" s="37"/>
      <c r="G116" s="37" t="s">
        <v>272</v>
      </c>
      <c r="H116" s="37" t="s">
        <v>728</v>
      </c>
      <c r="I116" s="38">
        <f t="shared" si="8"/>
        <v>63.320209973753279</v>
      </c>
      <c r="J116" s="38">
        <f t="shared" si="9"/>
        <v>7.6009024595420822</v>
      </c>
      <c r="K116" s="38">
        <f t="shared" si="10"/>
        <v>4.1482045510804859</v>
      </c>
      <c r="L116" s="39">
        <f t="shared" si="11"/>
        <v>1.5792746113989637E-2</v>
      </c>
      <c r="M116" s="39">
        <f t="shared" si="12"/>
        <v>0.70627307724552946</v>
      </c>
      <c r="N116" s="39">
        <f t="shared" si="13"/>
        <v>31.585492227979277</v>
      </c>
      <c r="O116" s="40">
        <f>1</f>
        <v>1</v>
      </c>
      <c r="P116" s="38">
        <f>INDEX(Cables!$AS:$AS,MATCH(B116,Cables!$A:$A,0))+INDEX(Cables!$AT:$AT,MATCH(B116,Cables!$A:$A,0))*SQRT(C116)+INDEX(Cables!$AU:$AU,MATCH(B116,Cables!$A:$A,0))*C116</f>
        <v>62.260266214948111</v>
      </c>
      <c r="Q116" s="41">
        <f t="shared" si="14"/>
        <v>-1.6739422677917948E-2</v>
      </c>
      <c r="R116" s="39">
        <f t="shared" si="15"/>
        <v>2.8020827158999366E-4</v>
      </c>
      <c r="S116" s="40" t="b">
        <f>IF(B116=B115,C116&gt;C115,COUNTIF(B$1:B115,B116)=0)</f>
        <v>1</v>
      </c>
      <c r="T116" s="37"/>
    </row>
    <row r="117" spans="1:20" x14ac:dyDescent="0.25">
      <c r="A117" s="37" t="s">
        <v>830</v>
      </c>
      <c r="B117" s="37" t="s">
        <v>265</v>
      </c>
      <c r="C117" s="37">
        <v>3000</v>
      </c>
      <c r="D117" s="37">
        <v>24.2</v>
      </c>
      <c r="E117" s="37" t="s">
        <v>707</v>
      </c>
      <c r="F117" s="37"/>
      <c r="G117" s="37" t="s">
        <v>272</v>
      </c>
      <c r="H117" s="37" t="s">
        <v>728</v>
      </c>
      <c r="I117" s="38">
        <f t="shared" si="8"/>
        <v>79.39632545931758</v>
      </c>
      <c r="J117" s="38">
        <f t="shared" si="9"/>
        <v>8.0063675676502459</v>
      </c>
      <c r="K117" s="38">
        <f t="shared" si="10"/>
        <v>4.3744520883322862</v>
      </c>
      <c r="L117" s="39">
        <f t="shared" si="11"/>
        <v>1.259504132231405E-2</v>
      </c>
      <c r="M117" s="39">
        <f t="shared" si="12"/>
        <v>0.68985882449411007</v>
      </c>
      <c r="N117" s="39">
        <f t="shared" si="13"/>
        <v>37.785123966942152</v>
      </c>
      <c r="O117" s="40">
        <f>1</f>
        <v>1</v>
      </c>
      <c r="P117" s="38">
        <f>INDEX(Cables!$AS:$AS,MATCH(B117,Cables!$A:$A,0))+INDEX(Cables!$AT:$AT,MATCH(B117,Cables!$A:$A,0))*SQRT(C117)+INDEX(Cables!$AU:$AU,MATCH(B117,Cables!$A:$A,0))*C117</f>
        <v>78.812811066018511</v>
      </c>
      <c r="Q117" s="41">
        <f t="shared" si="14"/>
        <v>-7.3493878957667791E-3</v>
      </c>
      <c r="R117" s="39">
        <f t="shared" si="15"/>
        <v>5.4013502442443248E-5</v>
      </c>
      <c r="S117" s="40" t="b">
        <f>IF(B117=B116,C117&gt;C116,COUNTIF(B$1:B116,B117)=0)</f>
        <v>1</v>
      </c>
      <c r="T117" s="37"/>
    </row>
    <row r="118" spans="1:20" x14ac:dyDescent="0.25">
      <c r="A118" s="37" t="s">
        <v>831</v>
      </c>
      <c r="B118" s="37" t="s">
        <v>265</v>
      </c>
      <c r="C118" s="37">
        <v>5000</v>
      </c>
      <c r="D118" s="37">
        <v>32.6</v>
      </c>
      <c r="E118" s="37" t="s">
        <v>707</v>
      </c>
      <c r="F118" s="37"/>
      <c r="G118" s="37" t="s">
        <v>272</v>
      </c>
      <c r="H118" s="37" t="s">
        <v>728</v>
      </c>
      <c r="I118" s="38">
        <f t="shared" si="8"/>
        <v>106.95538057742782</v>
      </c>
      <c r="J118" s="38">
        <f t="shared" si="9"/>
        <v>8.5171931914162382</v>
      </c>
      <c r="K118" s="38">
        <f t="shared" si="10"/>
        <v>4.672411743542308</v>
      </c>
      <c r="L118" s="39">
        <f t="shared" si="11"/>
        <v>9.3496932515337427E-3</v>
      </c>
      <c r="M118" s="39">
        <f t="shared" si="12"/>
        <v>0.66112315001736099</v>
      </c>
      <c r="N118" s="39">
        <f t="shared" si="13"/>
        <v>46.74846625766871</v>
      </c>
      <c r="O118" s="40">
        <f>1</f>
        <v>1</v>
      </c>
      <c r="P118" s="38">
        <f>INDEX(Cables!$AS:$AS,MATCH(B118,Cables!$A:$A,0))+INDEX(Cables!$AT:$AT,MATCH(B118,Cables!$A:$A,0))*SQRT(C118)+INDEX(Cables!$AU:$AU,MATCH(B118,Cables!$A:$A,0))*C118</f>
        <v>106.95175792312446</v>
      </c>
      <c r="Q118" s="41">
        <f t="shared" si="14"/>
        <v>-3.3870706492744596E-5</v>
      </c>
      <c r="R118" s="39">
        <f t="shared" si="15"/>
        <v>1.1472247583176509E-9</v>
      </c>
      <c r="S118" s="40" t="b">
        <f>IF(B118=B117,C118&gt;C117,COUNTIF(B$1:B117,B118)=0)</f>
        <v>1</v>
      </c>
      <c r="T118" s="37"/>
    </row>
    <row r="119" spans="1:20" x14ac:dyDescent="0.25">
      <c r="A119" s="37" t="s">
        <v>832</v>
      </c>
      <c r="B119" s="37" t="s">
        <v>265</v>
      </c>
      <c r="C119" s="37">
        <v>8000</v>
      </c>
      <c r="D119" s="37">
        <v>43.2</v>
      </c>
      <c r="E119" s="37" t="s">
        <v>707</v>
      </c>
      <c r="F119" s="37"/>
      <c r="G119" s="37" t="s">
        <v>272</v>
      </c>
      <c r="H119" s="37" t="s">
        <v>728</v>
      </c>
      <c r="I119" s="38">
        <f t="shared" si="8"/>
        <v>141.73228346456693</v>
      </c>
      <c r="J119" s="38">
        <f t="shared" si="9"/>
        <v>8.987196820661973</v>
      </c>
      <c r="K119" s="38">
        <f t="shared" si="10"/>
        <v>4.9539399504197101</v>
      </c>
      <c r="L119" s="39">
        <f t="shared" si="11"/>
        <v>7.0555555555555554E-3</v>
      </c>
      <c r="M119" s="39">
        <f t="shared" si="12"/>
        <v>0.63106807364994066</v>
      </c>
      <c r="N119" s="39">
        <f t="shared" si="13"/>
        <v>56.444444444444443</v>
      </c>
      <c r="O119" s="40">
        <f>1</f>
        <v>1</v>
      </c>
      <c r="P119" s="38">
        <f>INDEX(Cables!$AS:$AS,MATCH(B119,Cables!$A:$A,0))+INDEX(Cables!$AT:$AT,MATCH(B119,Cables!$A:$A,0))*SQRT(C119)+INDEX(Cables!$AU:$AU,MATCH(B119,Cables!$A:$A,0))*C119</f>
        <v>142.9866380690618</v>
      </c>
      <c r="Q119" s="41">
        <f t="shared" si="14"/>
        <v>8.8501685983803924E-3</v>
      </c>
      <c r="R119" s="39">
        <f t="shared" si="15"/>
        <v>7.8325484219758358E-5</v>
      </c>
      <c r="S119" s="40" t="b">
        <f>IF(B119=B118,C119&gt;C118,COUNTIF(B$1:B118,B119)=0)</f>
        <v>1</v>
      </c>
      <c r="T119" s="37"/>
    </row>
    <row r="120" spans="1:20" x14ac:dyDescent="0.25">
      <c r="A120" s="37" t="s">
        <v>833</v>
      </c>
      <c r="B120" s="37" t="s">
        <v>274</v>
      </c>
      <c r="C120" s="37">
        <v>1</v>
      </c>
      <c r="D120" s="37">
        <v>0.3</v>
      </c>
      <c r="E120" s="37" t="s">
        <v>707</v>
      </c>
      <c r="F120" s="37"/>
      <c r="G120" s="37" t="s">
        <v>281</v>
      </c>
      <c r="H120" s="37" t="s">
        <v>718</v>
      </c>
      <c r="I120" s="38">
        <f t="shared" si="8"/>
        <v>0.98425196850393704</v>
      </c>
      <c r="J120" s="38">
        <f t="shared" si="9"/>
        <v>0</v>
      </c>
      <c r="K120" s="38">
        <f t="shared" si="10"/>
        <v>-1.5873349156290122E-2</v>
      </c>
      <c r="L120" s="39">
        <f t="shared" si="11"/>
        <v>1.016</v>
      </c>
      <c r="M120" s="39">
        <f t="shared" si="12"/>
        <v>1.016</v>
      </c>
      <c r="N120" s="39">
        <f t="shared" si="13"/>
        <v>1.016</v>
      </c>
      <c r="O120" s="40">
        <f>1</f>
        <v>1</v>
      </c>
      <c r="P120" s="38">
        <f>INDEX(Cables!$AS:$AS,MATCH(B120,Cables!$A:$A,0))+INDEX(Cables!$AT:$AT,MATCH(B120,Cables!$A:$A,0))*SQRT(C120)+INDEX(Cables!$AU:$AU,MATCH(B120,Cables!$A:$A,0))*C120</f>
        <v>0.97868584161450878</v>
      </c>
      <c r="Q120" s="41">
        <f t="shared" si="14"/>
        <v>-5.6551849196591064E-3</v>
      </c>
      <c r="R120" s="39">
        <f t="shared" si="15"/>
        <v>3.1981116475539775E-5</v>
      </c>
      <c r="S120" s="40" t="b">
        <f>IF(B120=B119,C120&gt;C119,COUNTIF(B$1:B119,B120)=0)</f>
        <v>1</v>
      </c>
      <c r="T120" s="37"/>
    </row>
    <row r="121" spans="1:20" x14ac:dyDescent="0.25">
      <c r="A121" s="37" t="s">
        <v>834</v>
      </c>
      <c r="B121" s="37" t="s">
        <v>274</v>
      </c>
      <c r="C121" s="37">
        <v>10</v>
      </c>
      <c r="D121" s="37">
        <v>0.9</v>
      </c>
      <c r="E121" s="37" t="s">
        <v>707</v>
      </c>
      <c r="F121" s="37"/>
      <c r="G121" s="37" t="s">
        <v>281</v>
      </c>
      <c r="H121" s="37" t="s">
        <v>718</v>
      </c>
      <c r="I121" s="38">
        <f t="shared" si="8"/>
        <v>2.9527559055118111</v>
      </c>
      <c r="J121" s="38">
        <f t="shared" si="9"/>
        <v>2.3025850929940459</v>
      </c>
      <c r="K121" s="38">
        <f t="shared" si="10"/>
        <v>1.0827389395118197</v>
      </c>
      <c r="L121" s="39">
        <f t="shared" si="11"/>
        <v>0.33866666666666667</v>
      </c>
      <c r="M121" s="39">
        <f t="shared" si="12"/>
        <v>1.0709580342436911</v>
      </c>
      <c r="N121" s="39">
        <f t="shared" si="13"/>
        <v>3.3866666666666667</v>
      </c>
      <c r="O121" s="40">
        <f>1</f>
        <v>1</v>
      </c>
      <c r="P121" s="38">
        <f>INDEX(Cables!$AS:$AS,MATCH(B121,Cables!$A:$A,0))+INDEX(Cables!$AT:$AT,MATCH(B121,Cables!$A:$A,0))*SQRT(C121)+INDEX(Cables!$AU:$AU,MATCH(B121,Cables!$A:$A,0))*C121</f>
        <v>3.0196382867041525</v>
      </c>
      <c r="Q121" s="41">
        <f t="shared" si="14"/>
        <v>2.2650833097139556E-2</v>
      </c>
      <c r="R121" s="39">
        <f t="shared" si="15"/>
        <v>5.1306023999447272E-4</v>
      </c>
      <c r="S121" s="40" t="b">
        <f>IF(B121=B120,C121&gt;C120,COUNTIF(B$1:B120,B121)=0)</f>
        <v>1</v>
      </c>
      <c r="T121" s="37"/>
    </row>
    <row r="122" spans="1:20" x14ac:dyDescent="0.25">
      <c r="A122" s="37" t="s">
        <v>835</v>
      </c>
      <c r="B122" s="37" t="s">
        <v>274</v>
      </c>
      <c r="C122" s="37">
        <v>50</v>
      </c>
      <c r="D122" s="37">
        <v>2.1</v>
      </c>
      <c r="E122" s="37" t="s">
        <v>707</v>
      </c>
      <c r="F122" s="37"/>
      <c r="G122" s="37" t="s">
        <v>281</v>
      </c>
      <c r="H122" s="37" t="s">
        <v>718</v>
      </c>
      <c r="I122" s="38">
        <f t="shared" si="8"/>
        <v>6.8897637795275593</v>
      </c>
      <c r="J122" s="38">
        <f t="shared" si="9"/>
        <v>3.912023005428146</v>
      </c>
      <c r="K122" s="38">
        <f t="shared" si="10"/>
        <v>1.9300367998990231</v>
      </c>
      <c r="L122" s="39">
        <f t="shared" si="11"/>
        <v>0.14514285714285713</v>
      </c>
      <c r="M122" s="39">
        <f t="shared" si="12"/>
        <v>1.0263149852650462</v>
      </c>
      <c r="N122" s="39">
        <f t="shared" si="13"/>
        <v>7.2571428571428571</v>
      </c>
      <c r="O122" s="40">
        <f>1</f>
        <v>1</v>
      </c>
      <c r="P122" s="38">
        <f>INDEX(Cables!$AS:$AS,MATCH(B122,Cables!$A:$A,0))+INDEX(Cables!$AT:$AT,MATCH(B122,Cables!$A:$A,0))*SQRT(C122)+INDEX(Cables!$AU:$AU,MATCH(B122,Cables!$A:$A,0))*C122</f>
        <v>6.9084034750268799</v>
      </c>
      <c r="Q122" s="41">
        <f t="shared" si="14"/>
        <v>2.7054186610442343E-3</v>
      </c>
      <c r="R122" s="39">
        <f t="shared" si="15"/>
        <v>7.3192901315263779E-6</v>
      </c>
      <c r="S122" s="40" t="b">
        <f>IF(B122=B121,C122&gt;C121,COUNTIF(B$1:B121,B122)=0)</f>
        <v>1</v>
      </c>
      <c r="T122" s="37"/>
    </row>
    <row r="123" spans="1:20" x14ac:dyDescent="0.25">
      <c r="A123" s="37" t="s">
        <v>836</v>
      </c>
      <c r="B123" s="37" t="s">
        <v>274</v>
      </c>
      <c r="C123" s="37">
        <v>100</v>
      </c>
      <c r="D123" s="37">
        <v>3.1</v>
      </c>
      <c r="E123" s="37" t="s">
        <v>707</v>
      </c>
      <c r="F123" s="37"/>
      <c r="G123" s="37" t="s">
        <v>281</v>
      </c>
      <c r="H123" s="37" t="s">
        <v>718</v>
      </c>
      <c r="I123" s="38">
        <f t="shared" si="8"/>
        <v>10.170603674540683</v>
      </c>
      <c r="J123" s="38">
        <f t="shared" si="9"/>
        <v>4.6051701859880918</v>
      </c>
      <c r="K123" s="38">
        <f t="shared" si="10"/>
        <v>2.3195015666607466</v>
      </c>
      <c r="L123" s="39">
        <f t="shared" si="11"/>
        <v>9.8322580645161292E-2</v>
      </c>
      <c r="M123" s="39">
        <f t="shared" si="12"/>
        <v>0.98322580645161284</v>
      </c>
      <c r="N123" s="39">
        <f t="shared" si="13"/>
        <v>9.8322580645161288</v>
      </c>
      <c r="O123" s="40">
        <f>1</f>
        <v>1</v>
      </c>
      <c r="P123" s="38">
        <f>INDEX(Cables!$AS:$AS,MATCH(B123,Cables!$A:$A,0))+INDEX(Cables!$AT:$AT,MATCH(B123,Cables!$A:$A,0))*SQRT(C123)+INDEX(Cables!$AU:$AU,MATCH(B123,Cables!$A:$A,0))*C123</f>
        <v>9.9905258961632875</v>
      </c>
      <c r="Q123" s="41">
        <f t="shared" si="14"/>
        <v>-1.7705711886912945E-2</v>
      </c>
      <c r="R123" s="39">
        <f t="shared" si="15"/>
        <v>3.1349223342237037E-4</v>
      </c>
      <c r="S123" s="40" t="b">
        <f>IF(B123=B122,C123&gt;C122,COUNTIF(B$1:B122,B123)=0)</f>
        <v>1</v>
      </c>
      <c r="T123" s="37"/>
    </row>
    <row r="124" spans="1:20" x14ac:dyDescent="0.25">
      <c r="A124" s="37" t="s">
        <v>837</v>
      </c>
      <c r="B124" s="37" t="s">
        <v>274</v>
      </c>
      <c r="C124" s="37">
        <v>200</v>
      </c>
      <c r="D124" s="37">
        <v>4.5</v>
      </c>
      <c r="E124" s="37" t="s">
        <v>707</v>
      </c>
      <c r="F124" s="37"/>
      <c r="G124" s="37" t="s">
        <v>281</v>
      </c>
      <c r="H124" s="37" t="s">
        <v>718</v>
      </c>
      <c r="I124" s="38">
        <f t="shared" si="8"/>
        <v>14.763779527559056</v>
      </c>
      <c r="J124" s="38">
        <f t="shared" si="9"/>
        <v>5.2983173665480363</v>
      </c>
      <c r="K124" s="38">
        <f t="shared" si="10"/>
        <v>2.6921768519459199</v>
      </c>
      <c r="L124" s="39">
        <f t="shared" si="11"/>
        <v>6.7733333333333326E-2</v>
      </c>
      <c r="M124" s="39">
        <f t="shared" si="12"/>
        <v>0.95789398624737643</v>
      </c>
      <c r="N124" s="39">
        <f t="shared" si="13"/>
        <v>13.546666666666667</v>
      </c>
      <c r="O124" s="40">
        <f>1</f>
        <v>1</v>
      </c>
      <c r="P124" s="38">
        <f>INDEX(Cables!$AS:$AS,MATCH(B124,Cables!$A:$A,0))+INDEX(Cables!$AT:$AT,MATCH(B124,Cables!$A:$A,0))*SQRT(C124)+INDEX(Cables!$AU:$AU,MATCH(B124,Cables!$A:$A,0))*C124</f>
        <v>14.595286734156</v>
      </c>
      <c r="Q124" s="41">
        <f t="shared" si="14"/>
        <v>-1.1412578539833684E-2</v>
      </c>
      <c r="R124" s="39">
        <f t="shared" si="15"/>
        <v>1.3024694892787235E-4</v>
      </c>
      <c r="S124" s="40" t="b">
        <f>IF(B124=B123,C124&gt;C123,COUNTIF(B$1:B123,B124)=0)</f>
        <v>1</v>
      </c>
      <c r="T124" s="37"/>
    </row>
    <row r="125" spans="1:20" x14ac:dyDescent="0.25">
      <c r="A125" s="37" t="s">
        <v>838</v>
      </c>
      <c r="B125" s="37" t="s">
        <v>274</v>
      </c>
      <c r="C125" s="37">
        <v>400</v>
      </c>
      <c r="D125" s="37">
        <v>6.6</v>
      </c>
      <c r="E125" s="37" t="s">
        <v>707</v>
      </c>
      <c r="F125" s="37"/>
      <c r="G125" s="37" t="s">
        <v>281</v>
      </c>
      <c r="H125" s="37" t="s">
        <v>718</v>
      </c>
      <c r="I125" s="38">
        <f t="shared" si="8"/>
        <v>21.653543307086615</v>
      </c>
      <c r="J125" s="38">
        <f t="shared" si="9"/>
        <v>5.9914645471079817</v>
      </c>
      <c r="K125" s="38">
        <f t="shared" si="10"/>
        <v>3.0751691042020259</v>
      </c>
      <c r="L125" s="39">
        <f t="shared" si="11"/>
        <v>4.6181818181818178E-2</v>
      </c>
      <c r="M125" s="39">
        <f t="shared" si="12"/>
        <v>0.92363636363636359</v>
      </c>
      <c r="N125" s="39">
        <f t="shared" si="13"/>
        <v>18.472727272727273</v>
      </c>
      <c r="O125" s="40">
        <f>1</f>
        <v>1</v>
      </c>
      <c r="P125" s="38">
        <f>INDEX(Cables!$AS:$AS,MATCH(B125,Cables!$A:$A,0))+INDEX(Cables!$AT:$AT,MATCH(B125,Cables!$A:$A,0))*SQRT(C125)+INDEX(Cables!$AU:$AU,MATCH(B125,Cables!$A:$A,0))*C125</f>
        <v>21.599364980984614</v>
      </c>
      <c r="Q125" s="41">
        <f t="shared" si="14"/>
        <v>-2.5020536054378706E-3</v>
      </c>
      <c r="R125" s="39">
        <f t="shared" si="15"/>
        <v>6.2602722444846474E-6</v>
      </c>
      <c r="S125" s="40" t="b">
        <f>IF(B125=B124,C125&gt;C124,COUNTIF(B$1:B124,B125)=0)</f>
        <v>1</v>
      </c>
      <c r="T125" s="37"/>
    </row>
    <row r="126" spans="1:20" x14ac:dyDescent="0.25">
      <c r="A126" s="37" t="s">
        <v>839</v>
      </c>
      <c r="B126" s="37" t="s">
        <v>274</v>
      </c>
      <c r="C126" s="37">
        <v>700</v>
      </c>
      <c r="D126" s="37">
        <v>9.1</v>
      </c>
      <c r="E126" s="37" t="s">
        <v>707</v>
      </c>
      <c r="F126" s="37"/>
      <c r="G126" s="37" t="s">
        <v>281</v>
      </c>
      <c r="H126" s="37" t="s">
        <v>718</v>
      </c>
      <c r="I126" s="38">
        <f t="shared" si="8"/>
        <v>29.855643044619423</v>
      </c>
      <c r="J126" s="38">
        <f t="shared" si="9"/>
        <v>6.5510803350434044</v>
      </c>
      <c r="K126" s="38">
        <f t="shared" si="10"/>
        <v>3.3963738686924501</v>
      </c>
      <c r="L126" s="39">
        <f t="shared" si="11"/>
        <v>3.3494505494505493E-2</v>
      </c>
      <c r="M126" s="39">
        <f t="shared" si="12"/>
        <v>0.88618131825548041</v>
      </c>
      <c r="N126" s="39">
        <f t="shared" si="13"/>
        <v>23.446153846153845</v>
      </c>
      <c r="O126" s="40">
        <f>1</f>
        <v>1</v>
      </c>
      <c r="P126" s="38">
        <f>INDEX(Cables!$AS:$AS,MATCH(B126,Cables!$A:$A,0))+INDEX(Cables!$AT:$AT,MATCH(B126,Cables!$A:$A,0))*SQRT(C126)+INDEX(Cables!$AU:$AU,MATCH(B126,Cables!$A:$A,0))*C126</f>
        <v>29.988317687410003</v>
      </c>
      <c r="Q126" s="41">
        <f t="shared" si="14"/>
        <v>4.4438715519306005E-3</v>
      </c>
      <c r="R126" s="39">
        <f t="shared" si="15"/>
        <v>1.9747994370058085E-5</v>
      </c>
      <c r="S126" s="40" t="b">
        <f>IF(B126=B125,C126&gt;C125,COUNTIF(B$1:B125,B126)=0)</f>
        <v>1</v>
      </c>
      <c r="T126" s="37"/>
    </row>
    <row r="127" spans="1:20" x14ac:dyDescent="0.25">
      <c r="A127" s="37" t="s">
        <v>840</v>
      </c>
      <c r="B127" s="37" t="s">
        <v>274</v>
      </c>
      <c r="C127" s="37">
        <v>900</v>
      </c>
      <c r="D127" s="37">
        <v>10.7</v>
      </c>
      <c r="E127" s="37" t="s">
        <v>707</v>
      </c>
      <c r="F127" s="37"/>
      <c r="G127" s="37" t="s">
        <v>281</v>
      </c>
      <c r="H127" s="37" t="s">
        <v>718</v>
      </c>
      <c r="I127" s="38">
        <f t="shared" si="8"/>
        <v>35.104986876640417</v>
      </c>
      <c r="J127" s="38">
        <f t="shared" si="9"/>
        <v>6.8023947633243109</v>
      </c>
      <c r="K127" s="38">
        <f t="shared" si="10"/>
        <v>3.5583431966375061</v>
      </c>
      <c r="L127" s="39">
        <f t="shared" si="11"/>
        <v>2.8485981308411217E-2</v>
      </c>
      <c r="M127" s="39">
        <f t="shared" si="12"/>
        <v>0.85457943925233648</v>
      </c>
      <c r="N127" s="39">
        <f t="shared" si="13"/>
        <v>25.637383177570094</v>
      </c>
      <c r="O127" s="40">
        <f>1</f>
        <v>1</v>
      </c>
      <c r="P127" s="38">
        <f>INDEX(Cables!$AS:$AS,MATCH(B127,Cables!$A:$A,0))+INDEX(Cables!$AT:$AT,MATCH(B127,Cables!$A:$A,0))*SQRT(C127)+INDEX(Cables!$AU:$AU,MATCH(B127,Cables!$A:$A,0))*C127</f>
        <v>34.887870874917532</v>
      </c>
      <c r="Q127" s="41">
        <f t="shared" si="14"/>
        <v>-6.1847623668350726E-3</v>
      </c>
      <c r="R127" s="39">
        <f t="shared" si="15"/>
        <v>3.8251285534219367E-5</v>
      </c>
      <c r="S127" s="40" t="b">
        <f>IF(B127=B126,C127&gt;C126,COUNTIF(B$1:B126,B127)=0)</f>
        <v>1</v>
      </c>
      <c r="T127" s="37"/>
    </row>
    <row r="128" spans="1:20" x14ac:dyDescent="0.25">
      <c r="A128" s="37" t="s">
        <v>841</v>
      </c>
      <c r="B128" s="37" t="s">
        <v>274</v>
      </c>
      <c r="C128" s="37">
        <v>1000</v>
      </c>
      <c r="D128" s="37">
        <v>11.2</v>
      </c>
      <c r="E128" s="37" t="s">
        <v>707</v>
      </c>
      <c r="F128" s="37"/>
      <c r="G128" s="37" t="s">
        <v>281</v>
      </c>
      <c r="H128" s="37" t="s">
        <v>718</v>
      </c>
      <c r="I128" s="38">
        <f t="shared" si="8"/>
        <v>36.745406824146983</v>
      </c>
      <c r="J128" s="38">
        <f t="shared" si="9"/>
        <v>6.9077552789821368</v>
      </c>
      <c r="K128" s="38">
        <f t="shared" si="10"/>
        <v>3.6040132334706949</v>
      </c>
      <c r="L128" s="39">
        <f t="shared" si="11"/>
        <v>2.7214285714285715E-2</v>
      </c>
      <c r="M128" s="39">
        <f t="shared" si="12"/>
        <v>0.86059127751725173</v>
      </c>
      <c r="N128" s="39">
        <f t="shared" si="13"/>
        <v>27.214285714285712</v>
      </c>
      <c r="O128" s="40">
        <f>1</f>
        <v>1</v>
      </c>
      <c r="P128" s="38">
        <f>INDEX(Cables!$AS:$AS,MATCH(B128,Cables!$A:$A,0))+INDEX(Cables!$AT:$AT,MATCH(B128,Cables!$A:$A,0))*SQRT(C128)+INDEX(Cables!$AU:$AU,MATCH(B128,Cables!$A:$A,0))*C128</f>
        <v>37.202700923961693</v>
      </c>
      <c r="Q128" s="41">
        <f t="shared" si="14"/>
        <v>1.2444932287814625E-2</v>
      </c>
      <c r="R128" s="39">
        <f t="shared" si="15"/>
        <v>1.5487633964829096E-4</v>
      </c>
      <c r="S128" s="40" t="b">
        <f>IF(B128=B127,C128&gt;C127,COUNTIF(B$1:B127,B128)=0)</f>
        <v>1</v>
      </c>
      <c r="T128" s="37"/>
    </row>
    <row r="129" spans="1:20" x14ac:dyDescent="0.25">
      <c r="A129" s="37" t="s">
        <v>842</v>
      </c>
      <c r="B129" s="37" t="s">
        <v>282</v>
      </c>
      <c r="C129" s="37">
        <v>30</v>
      </c>
      <c r="D129" s="37">
        <v>1.8</v>
      </c>
      <c r="E129" s="37" t="s">
        <v>707</v>
      </c>
      <c r="F129" s="37">
        <v>25</v>
      </c>
      <c r="G129" s="37" t="s">
        <v>207</v>
      </c>
      <c r="H129" s="37" t="s">
        <v>843</v>
      </c>
      <c r="I129" s="38">
        <f t="shared" si="8"/>
        <v>5.9055118110236222</v>
      </c>
      <c r="J129" s="38">
        <f t="shared" si="9"/>
        <v>3.4011973816621555</v>
      </c>
      <c r="K129" s="38">
        <f t="shared" si="10"/>
        <v>1.7758861200717648</v>
      </c>
      <c r="L129" s="39">
        <f t="shared" si="11"/>
        <v>0.16933333333333334</v>
      </c>
      <c r="M129" s="39">
        <f t="shared" si="12"/>
        <v>0.92747686404208129</v>
      </c>
      <c r="N129" s="39">
        <f t="shared" si="13"/>
        <v>5.08</v>
      </c>
      <c r="O129" s="40">
        <f>1</f>
        <v>1</v>
      </c>
      <c r="P129" s="38">
        <f>INDEX(Cables!$AS:$AS,MATCH(B129,Cables!$A:$A,0))+INDEX(Cables!$AT:$AT,MATCH(B129,Cables!$A:$A,0))*SQRT(C129)+INDEX(Cables!$AU:$AU,MATCH(B129,Cables!$A:$A,0))*C129</f>
        <v>5.891348772993509</v>
      </c>
      <c r="Q129" s="41">
        <f t="shared" si="14"/>
        <v>-2.3982744397658129E-3</v>
      </c>
      <c r="R129" s="39">
        <f t="shared" si="15"/>
        <v>5.7517202884340233E-6</v>
      </c>
      <c r="S129" s="40" t="b">
        <f>IF(B129=B128,C129&gt;C128,COUNTIF(B$1:B128,B129)=0)</f>
        <v>1</v>
      </c>
      <c r="T129" s="37"/>
    </row>
    <row r="130" spans="1:20" x14ac:dyDescent="0.25">
      <c r="A130" s="37" t="s">
        <v>844</v>
      </c>
      <c r="B130" s="37" t="s">
        <v>282</v>
      </c>
      <c r="C130" s="37">
        <v>50</v>
      </c>
      <c r="D130" s="37">
        <v>2.2999999999999998</v>
      </c>
      <c r="E130" s="37" t="s">
        <v>707</v>
      </c>
      <c r="F130" s="37">
        <v>25</v>
      </c>
      <c r="G130" s="37" t="s">
        <v>207</v>
      </c>
      <c r="H130" s="37" t="s">
        <v>843</v>
      </c>
      <c r="I130" s="38">
        <f t="shared" ref="I130:I193" si="16">IF(E130="dB/100ft",D130*100/30.48,D130)</f>
        <v>7.5459317585301831</v>
      </c>
      <c r="J130" s="38">
        <f t="shared" ref="J130:J193" si="17">LN(C130)</f>
        <v>3.912023005428146</v>
      </c>
      <c r="K130" s="38">
        <f t="shared" ref="K130:K193" si="18">LN(I130)</f>
        <v>2.0210085781047495</v>
      </c>
      <c r="L130" s="39">
        <f t="shared" ref="L130:L193" si="19">1/I130</f>
        <v>0.1325217391304348</v>
      </c>
      <c r="M130" s="39">
        <f t="shared" ref="M130:M193" si="20">SQRT(C130)/I130</f>
        <v>0.93707020393765095</v>
      </c>
      <c r="N130" s="39">
        <f t="shared" ref="N130:N193" si="21">C130/I130</f>
        <v>6.62608695652174</v>
      </c>
      <c r="O130" s="40">
        <f>1</f>
        <v>1</v>
      </c>
      <c r="P130" s="38">
        <f>INDEX(Cables!$AS:$AS,MATCH(B130,Cables!$A:$A,0))+INDEX(Cables!$AT:$AT,MATCH(B130,Cables!$A:$A,0))*SQRT(C130)+INDEX(Cables!$AU:$AU,MATCH(B130,Cables!$A:$A,0))*C130</f>
        <v>7.5727749399303166</v>
      </c>
      <c r="Q130" s="41">
        <f t="shared" ref="Q130:Q193" si="22">P130/I130-1</f>
        <v>3.5573050829393882E-3</v>
      </c>
      <c r="R130" s="39">
        <f t="shared" ref="R130:R193" si="23">Q130^2</f>
        <v>1.2654419453106408E-5</v>
      </c>
      <c r="S130" s="40" t="b">
        <f>IF(B130=B129,C130&gt;C129,COUNTIF(B$1:B129,B130)=0)</f>
        <v>1</v>
      </c>
      <c r="T130" s="37"/>
    </row>
    <row r="131" spans="1:20" x14ac:dyDescent="0.25">
      <c r="A131" s="37" t="s">
        <v>845</v>
      </c>
      <c r="B131" s="37" t="s">
        <v>282</v>
      </c>
      <c r="C131" s="37">
        <v>150</v>
      </c>
      <c r="D131" s="37">
        <v>4</v>
      </c>
      <c r="E131" s="37" t="s">
        <v>707</v>
      </c>
      <c r="F131" s="37">
        <v>25</v>
      </c>
      <c r="G131" s="37" t="s">
        <v>207</v>
      </c>
      <c r="H131" s="37" t="s">
        <v>843</v>
      </c>
      <c r="I131" s="38">
        <f t="shared" si="16"/>
        <v>13.123359580052494</v>
      </c>
      <c r="J131" s="38">
        <f t="shared" si="17"/>
        <v>5.0106352940962555</v>
      </c>
      <c r="K131" s="38">
        <f t="shared" si="18"/>
        <v>2.5743938162895366</v>
      </c>
      <c r="L131" s="39">
        <f t="shared" si="19"/>
        <v>7.6200000000000004E-2</v>
      </c>
      <c r="M131" s="39">
        <f t="shared" si="20"/>
        <v>0.93325559200039077</v>
      </c>
      <c r="N131" s="39">
        <f t="shared" si="21"/>
        <v>11.43</v>
      </c>
      <c r="O131" s="40">
        <f>1</f>
        <v>1</v>
      </c>
      <c r="P131" s="38">
        <f>INDEX(Cables!$AS:$AS,MATCH(B131,Cables!$A:$A,0))+INDEX(Cables!$AT:$AT,MATCH(B131,Cables!$A:$A,0))*SQRT(C131)+INDEX(Cables!$AU:$AU,MATCH(B131,Cables!$A:$A,0))*C131</f>
        <v>13.080179096137522</v>
      </c>
      <c r="Q131" s="41">
        <f t="shared" si="22"/>
        <v>-3.2903528743208899E-3</v>
      </c>
      <c r="R131" s="39">
        <f t="shared" si="23"/>
        <v>1.0826422037551741E-5</v>
      </c>
      <c r="S131" s="40" t="b">
        <f>IF(B131=B130,C131&gt;C130,COUNTIF(B$1:B130,B131)=0)</f>
        <v>1</v>
      </c>
      <c r="T131" s="37"/>
    </row>
    <row r="132" spans="1:20" x14ac:dyDescent="0.25">
      <c r="A132" s="37" t="s">
        <v>846</v>
      </c>
      <c r="B132" s="37" t="s">
        <v>282</v>
      </c>
      <c r="C132" s="37">
        <v>220</v>
      </c>
      <c r="D132" s="37">
        <v>4.8</v>
      </c>
      <c r="E132" s="37" t="s">
        <v>707</v>
      </c>
      <c r="F132" s="37">
        <v>25</v>
      </c>
      <c r="G132" s="37" t="s">
        <v>207</v>
      </c>
      <c r="H132" s="37" t="s">
        <v>843</v>
      </c>
      <c r="I132" s="38">
        <f t="shared" si="16"/>
        <v>15.748031496062993</v>
      </c>
      <c r="J132" s="38">
        <f t="shared" si="17"/>
        <v>5.393627546352362</v>
      </c>
      <c r="K132" s="38">
        <f t="shared" si="18"/>
        <v>2.756715373083491</v>
      </c>
      <c r="L132" s="39">
        <f t="shared" si="19"/>
        <v>6.3500000000000001E-2</v>
      </c>
      <c r="M132" s="39">
        <f t="shared" si="20"/>
        <v>0.94185720786114913</v>
      </c>
      <c r="N132" s="39">
        <f t="shared" si="21"/>
        <v>13.969999999999999</v>
      </c>
      <c r="O132" s="40">
        <f>1</f>
        <v>1</v>
      </c>
      <c r="P132" s="38">
        <f>INDEX(Cables!$AS:$AS,MATCH(B132,Cables!$A:$A,0))+INDEX(Cables!$AT:$AT,MATCH(B132,Cables!$A:$A,0))*SQRT(C132)+INDEX(Cables!$AU:$AU,MATCH(B132,Cables!$A:$A,0))*C132</f>
        <v>15.857094039709914</v>
      </c>
      <c r="Q132" s="41">
        <f t="shared" si="22"/>
        <v>6.9254715215794072E-3</v>
      </c>
      <c r="R132" s="39">
        <f t="shared" si="23"/>
        <v>4.7962155796207389E-5</v>
      </c>
      <c r="S132" s="40" t="b">
        <f>IF(B132=B131,C132&gt;C131,COUNTIF(B$1:B131,B132)=0)</f>
        <v>1</v>
      </c>
      <c r="T132" s="37"/>
    </row>
    <row r="133" spans="1:20" x14ac:dyDescent="0.25">
      <c r="A133" s="37" t="s">
        <v>847</v>
      </c>
      <c r="B133" s="37" t="s">
        <v>282</v>
      </c>
      <c r="C133" s="37">
        <v>450</v>
      </c>
      <c r="D133" s="37">
        <v>7</v>
      </c>
      <c r="E133" s="37" t="s">
        <v>707</v>
      </c>
      <c r="F133" s="37">
        <v>25</v>
      </c>
      <c r="G133" s="37" t="s">
        <v>207</v>
      </c>
      <c r="H133" s="37" t="s">
        <v>843</v>
      </c>
      <c r="I133" s="38">
        <f t="shared" si="16"/>
        <v>22.965879265091864</v>
      </c>
      <c r="J133" s="38">
        <f t="shared" si="17"/>
        <v>6.1092475827643655</v>
      </c>
      <c r="K133" s="38">
        <f t="shared" si="18"/>
        <v>3.1340096042249592</v>
      </c>
      <c r="L133" s="39">
        <f t="shared" si="19"/>
        <v>4.354285714285714E-2</v>
      </c>
      <c r="M133" s="39">
        <f t="shared" si="20"/>
        <v>0.9236834867385415</v>
      </c>
      <c r="N133" s="39">
        <f t="shared" si="21"/>
        <v>19.594285714285714</v>
      </c>
      <c r="O133" s="40">
        <f>1</f>
        <v>1</v>
      </c>
      <c r="P133" s="38">
        <f>INDEX(Cables!$AS:$AS,MATCH(B133,Cables!$A:$A,0))+INDEX(Cables!$AT:$AT,MATCH(B133,Cables!$A:$A,0))*SQRT(C133)+INDEX(Cables!$AU:$AU,MATCH(B133,Cables!$A:$A,0))*C133</f>
        <v>22.787787984190835</v>
      </c>
      <c r="Q133" s="41">
        <f t="shared" si="22"/>
        <v>-7.7546032026619693E-3</v>
      </c>
      <c r="R133" s="39">
        <f t="shared" si="23"/>
        <v>6.0133870830735269E-5</v>
      </c>
      <c r="S133" s="40" t="b">
        <f>IF(B133=B132,C133&gt;C132,COUNTIF(B$1:B132,B133)=0)</f>
        <v>1</v>
      </c>
      <c r="T133" s="37"/>
    </row>
    <row r="134" spans="1:20" x14ac:dyDescent="0.25">
      <c r="A134" s="37" t="s">
        <v>848</v>
      </c>
      <c r="B134" s="37" t="s">
        <v>282</v>
      </c>
      <c r="C134" s="37">
        <v>700</v>
      </c>
      <c r="D134" s="37">
        <v>8.6999999999999993</v>
      </c>
      <c r="E134" s="37" t="s">
        <v>707</v>
      </c>
      <c r="F134" s="37">
        <v>25</v>
      </c>
      <c r="G134" s="37" t="s">
        <v>207</v>
      </c>
      <c r="H134" s="37" t="s">
        <v>843</v>
      </c>
      <c r="I134" s="38">
        <f t="shared" si="16"/>
        <v>28.54330708661417</v>
      </c>
      <c r="J134" s="38">
        <f t="shared" si="17"/>
        <v>6.5510803350434044</v>
      </c>
      <c r="K134" s="38">
        <f t="shared" si="18"/>
        <v>3.3514224808301836</v>
      </c>
      <c r="L134" s="39">
        <f t="shared" si="19"/>
        <v>3.5034482758620693E-2</v>
      </c>
      <c r="M134" s="39">
        <f t="shared" si="20"/>
        <v>0.92692528691090492</v>
      </c>
      <c r="N134" s="39">
        <f t="shared" si="21"/>
        <v>24.524137931034485</v>
      </c>
      <c r="O134" s="40">
        <f>1</f>
        <v>1</v>
      </c>
      <c r="P134" s="38">
        <f>INDEX(Cables!$AS:$AS,MATCH(B134,Cables!$A:$A,0))+INDEX(Cables!$AT:$AT,MATCH(B134,Cables!$A:$A,0))*SQRT(C134)+INDEX(Cables!$AU:$AU,MATCH(B134,Cables!$A:$A,0))*C134</f>
        <v>28.565064547203537</v>
      </c>
      <c r="Q134" s="41">
        <f t="shared" si="22"/>
        <v>7.6226137788948378E-4</v>
      </c>
      <c r="R134" s="39">
        <f t="shared" si="23"/>
        <v>5.8104240822197443E-7</v>
      </c>
      <c r="S134" s="40" t="b">
        <f>IF(B134=B133,C134&gt;C133,COUNTIF(B$1:B133,B134)=0)</f>
        <v>1</v>
      </c>
      <c r="T134" s="37"/>
    </row>
    <row r="135" spans="1:20" x14ac:dyDescent="0.25">
      <c r="A135" s="37" t="s">
        <v>849</v>
      </c>
      <c r="B135" s="37" t="s">
        <v>282</v>
      </c>
      <c r="C135" s="37">
        <v>900</v>
      </c>
      <c r="D135" s="37">
        <v>9.9</v>
      </c>
      <c r="E135" s="37" t="s">
        <v>707</v>
      </c>
      <c r="F135" s="37">
        <v>25</v>
      </c>
      <c r="G135" s="37" t="s">
        <v>207</v>
      </c>
      <c r="H135" s="37" t="s">
        <v>843</v>
      </c>
      <c r="I135" s="38">
        <f t="shared" si="16"/>
        <v>32.480314960629919</v>
      </c>
      <c r="J135" s="38">
        <f t="shared" si="17"/>
        <v>6.8023947633243109</v>
      </c>
      <c r="K135" s="38">
        <f t="shared" si="18"/>
        <v>3.4806342123101901</v>
      </c>
      <c r="L135" s="39">
        <f t="shared" si="19"/>
        <v>3.0787878787878791E-2</v>
      </c>
      <c r="M135" s="39">
        <f t="shared" si="20"/>
        <v>0.9236363636363637</v>
      </c>
      <c r="N135" s="39">
        <f t="shared" si="21"/>
        <v>27.709090909090911</v>
      </c>
      <c r="O135" s="40">
        <f>1</f>
        <v>1</v>
      </c>
      <c r="P135" s="38">
        <f>INDEX(Cables!$AS:$AS,MATCH(B135,Cables!$A:$A,0))+INDEX(Cables!$AT:$AT,MATCH(B135,Cables!$A:$A,0))*SQRT(C135)+INDEX(Cables!$AU:$AU,MATCH(B135,Cables!$A:$A,0))*C135</f>
        <v>32.50893267925769</v>
      </c>
      <c r="Q135" s="41">
        <f t="shared" si="22"/>
        <v>8.8107885229748995E-4</v>
      </c>
      <c r="R135" s="39">
        <f t="shared" si="23"/>
        <v>7.7629994396586213E-7</v>
      </c>
      <c r="S135" s="40" t="b">
        <f>IF(B135=B134,C135&gt;C134,COUNTIF(B$1:B134,B135)=0)</f>
        <v>1</v>
      </c>
      <c r="T135" s="37"/>
    </row>
    <row r="136" spans="1:20" x14ac:dyDescent="0.25">
      <c r="A136" s="37" t="s">
        <v>850</v>
      </c>
      <c r="B136" s="37" t="s">
        <v>282</v>
      </c>
      <c r="C136" s="37">
        <v>1500</v>
      </c>
      <c r="D136" s="37">
        <v>12.9</v>
      </c>
      <c r="E136" s="37" t="s">
        <v>707</v>
      </c>
      <c r="F136" s="37">
        <v>25</v>
      </c>
      <c r="G136" s="37" t="s">
        <v>207</v>
      </c>
      <c r="H136" s="37" t="s">
        <v>843</v>
      </c>
      <c r="I136" s="38">
        <f t="shared" si="16"/>
        <v>42.322834645669289</v>
      </c>
      <c r="J136" s="38">
        <f t="shared" si="17"/>
        <v>7.3132203870903014</v>
      </c>
      <c r="K136" s="38">
        <f t="shared" si="18"/>
        <v>3.7453267665372723</v>
      </c>
      <c r="L136" s="39">
        <f t="shared" si="19"/>
        <v>2.3627906976744186E-2</v>
      </c>
      <c r="M136" s="39">
        <f t="shared" si="20"/>
        <v>0.91510490226668273</v>
      </c>
      <c r="N136" s="39">
        <f t="shared" si="21"/>
        <v>35.441860465116278</v>
      </c>
      <c r="O136" s="40">
        <f>1</f>
        <v>1</v>
      </c>
      <c r="P136" s="38">
        <f>INDEX(Cables!$AS:$AS,MATCH(B136,Cables!$A:$A,0))+INDEX(Cables!$AT:$AT,MATCH(B136,Cables!$A:$A,0))*SQRT(C136)+INDEX(Cables!$AU:$AU,MATCH(B136,Cables!$A:$A,0))*C136</f>
        <v>42.370277632719656</v>
      </c>
      <c r="Q136" s="41">
        <f t="shared" si="22"/>
        <v>1.1209784847250326E-3</v>
      </c>
      <c r="R136" s="39">
        <f t="shared" si="23"/>
        <v>1.2565927632164301E-6</v>
      </c>
      <c r="S136" s="40" t="b">
        <f>IF(B136=B135,C136&gt;C135,COUNTIF(B$1:B135,B136)=0)</f>
        <v>1</v>
      </c>
      <c r="T136" s="37"/>
    </row>
    <row r="137" spans="1:20" x14ac:dyDescent="0.25">
      <c r="A137" s="37" t="s">
        <v>851</v>
      </c>
      <c r="B137" s="37" t="s">
        <v>282</v>
      </c>
      <c r="C137" s="37">
        <v>2000</v>
      </c>
      <c r="D137" s="37">
        <v>15</v>
      </c>
      <c r="E137" s="37" t="s">
        <v>707</v>
      </c>
      <c r="F137" s="37">
        <v>25</v>
      </c>
      <c r="G137" s="37" t="s">
        <v>207</v>
      </c>
      <c r="H137" s="37" t="s">
        <v>843</v>
      </c>
      <c r="I137" s="38">
        <f t="shared" si="16"/>
        <v>49.212598425196852</v>
      </c>
      <c r="J137" s="38">
        <f t="shared" si="17"/>
        <v>7.6009024595420822</v>
      </c>
      <c r="K137" s="38">
        <f t="shared" si="18"/>
        <v>3.8961496562718558</v>
      </c>
      <c r="L137" s="39">
        <f t="shared" si="19"/>
        <v>2.0319999999999998E-2</v>
      </c>
      <c r="M137" s="39">
        <f t="shared" si="20"/>
        <v>0.90873802605591458</v>
      </c>
      <c r="N137" s="39">
        <f t="shared" si="21"/>
        <v>40.64</v>
      </c>
      <c r="O137" s="40">
        <f>1</f>
        <v>1</v>
      </c>
      <c r="P137" s="38">
        <f>INDEX(Cables!$AS:$AS,MATCH(B137,Cables!$A:$A,0))+INDEX(Cables!$AT:$AT,MATCH(B137,Cables!$A:$A,0))*SQRT(C137)+INDEX(Cables!$AU:$AU,MATCH(B137,Cables!$A:$A,0))*C137</f>
        <v>49.255609935735208</v>
      </c>
      <c r="Q137" s="41">
        <f t="shared" si="22"/>
        <v>8.7399389413933548E-4</v>
      </c>
      <c r="R137" s="39">
        <f t="shared" si="23"/>
        <v>7.6386532699283994E-7</v>
      </c>
      <c r="S137" s="40" t="b">
        <f>IF(B137=B136,C137&gt;C136,COUNTIF(B$1:B136,B137)=0)</f>
        <v>1</v>
      </c>
      <c r="T137" s="37"/>
    </row>
    <row r="138" spans="1:20" x14ac:dyDescent="0.25">
      <c r="A138" s="37" t="s">
        <v>852</v>
      </c>
      <c r="B138" s="37" t="s">
        <v>282</v>
      </c>
      <c r="C138" s="37">
        <v>2500</v>
      </c>
      <c r="D138" s="37">
        <v>16.899999999999999</v>
      </c>
      <c r="E138" s="37" t="s">
        <v>707</v>
      </c>
      <c r="F138" s="37">
        <v>25</v>
      </c>
      <c r="G138" s="37" t="s">
        <v>207</v>
      </c>
      <c r="H138" s="37" t="s">
        <v>843</v>
      </c>
      <c r="I138" s="38">
        <f t="shared" si="16"/>
        <v>55.446194225721776</v>
      </c>
      <c r="J138" s="38">
        <f t="shared" si="17"/>
        <v>7.8240460108562919</v>
      </c>
      <c r="K138" s="38">
        <f t="shared" si="18"/>
        <v>4.0154130770986738</v>
      </c>
      <c r="L138" s="39">
        <f t="shared" si="19"/>
        <v>1.8035502958579884E-2</v>
      </c>
      <c r="M138" s="39">
        <f t="shared" si="20"/>
        <v>0.90177514792899427</v>
      </c>
      <c r="N138" s="39">
        <f t="shared" si="21"/>
        <v>45.088757396449715</v>
      </c>
      <c r="O138" s="40">
        <f>1</f>
        <v>1</v>
      </c>
      <c r="P138" s="38">
        <f>INDEX(Cables!$AS:$AS,MATCH(B138,Cables!$A:$A,0))+INDEX(Cables!$AT:$AT,MATCH(B138,Cables!$A:$A,0))*SQRT(C138)+INDEX(Cables!$AU:$AU,MATCH(B138,Cables!$A:$A,0))*C138</f>
        <v>55.400770694392563</v>
      </c>
      <c r="Q138" s="41">
        <f t="shared" si="22"/>
        <v>-8.1923623367718967E-4</v>
      </c>
      <c r="R138" s="39">
        <f t="shared" si="23"/>
        <v>6.7114800656958687E-7</v>
      </c>
      <c r="S138" s="40" t="b">
        <f>IF(B138=B137,C138&gt;C137,COUNTIF(B$1:B137,B138)=0)</f>
        <v>1</v>
      </c>
      <c r="T138" s="37"/>
    </row>
    <row r="139" spans="1:20" x14ac:dyDescent="0.25">
      <c r="A139" s="37" t="s">
        <v>853</v>
      </c>
      <c r="B139" s="37" t="s">
        <v>285</v>
      </c>
      <c r="C139" s="37">
        <v>30</v>
      </c>
      <c r="D139" s="37">
        <v>5.9</v>
      </c>
      <c r="E139" s="37" t="s">
        <v>771</v>
      </c>
      <c r="F139" s="37">
        <v>20</v>
      </c>
      <c r="G139" s="37" t="s">
        <v>298</v>
      </c>
      <c r="H139" s="37" t="s">
        <v>854</v>
      </c>
      <c r="I139" s="38">
        <f t="shared" si="16"/>
        <v>5.9</v>
      </c>
      <c r="J139" s="38">
        <f t="shared" si="17"/>
        <v>3.4011973816621555</v>
      </c>
      <c r="K139" s="38">
        <f t="shared" si="18"/>
        <v>1.7749523509116738</v>
      </c>
      <c r="L139" s="39">
        <f t="shared" si="19"/>
        <v>0.16949152542372881</v>
      </c>
      <c r="M139" s="39">
        <f t="shared" si="20"/>
        <v>0.92834331780536627</v>
      </c>
      <c r="N139" s="39">
        <f t="shared" si="21"/>
        <v>5.0847457627118642</v>
      </c>
      <c r="O139" s="40">
        <f>1</f>
        <v>1</v>
      </c>
      <c r="P139" s="38">
        <f>INDEX(Cables!$AS:$AS,MATCH(B139,Cables!$A:$A,0))+INDEX(Cables!$AT:$AT,MATCH(B139,Cables!$A:$A,0))*SQRT(C139)+INDEX(Cables!$AU:$AU,MATCH(B139,Cables!$A:$A,0))*C139</f>
        <v>5.8955020684490052</v>
      </c>
      <c r="Q139" s="41">
        <f t="shared" si="22"/>
        <v>-7.6236127982964863E-4</v>
      </c>
      <c r="R139" s="39">
        <f t="shared" si="23"/>
        <v>5.8119472098349986E-7</v>
      </c>
      <c r="S139" s="40" t="b">
        <f>IF(B139=B138,C139&gt;C138,COUNTIF(B$1:B138,B139)=0)</f>
        <v>1</v>
      </c>
      <c r="T139" s="37" t="s">
        <v>855</v>
      </c>
    </row>
    <row r="140" spans="1:20" x14ac:dyDescent="0.25">
      <c r="A140" s="37" t="s">
        <v>856</v>
      </c>
      <c r="B140" s="37" t="s">
        <v>285</v>
      </c>
      <c r="C140" s="37">
        <v>50</v>
      </c>
      <c r="D140" s="37">
        <v>7.5</v>
      </c>
      <c r="E140" s="37" t="s">
        <v>771</v>
      </c>
      <c r="F140" s="37">
        <v>20</v>
      </c>
      <c r="G140" s="37" t="s">
        <v>298</v>
      </c>
      <c r="H140" s="37" t="s">
        <v>854</v>
      </c>
      <c r="I140" s="38">
        <f t="shared" si="16"/>
        <v>7.5</v>
      </c>
      <c r="J140" s="38">
        <f t="shared" si="17"/>
        <v>3.912023005428146</v>
      </c>
      <c r="K140" s="38">
        <f t="shared" si="18"/>
        <v>2.0149030205422647</v>
      </c>
      <c r="L140" s="39">
        <f t="shared" si="19"/>
        <v>0.13333333333333333</v>
      </c>
      <c r="M140" s="39">
        <f t="shared" si="20"/>
        <v>0.94280904158206336</v>
      </c>
      <c r="N140" s="39">
        <f t="shared" si="21"/>
        <v>6.666666666666667</v>
      </c>
      <c r="O140" s="40">
        <f>1</f>
        <v>1</v>
      </c>
      <c r="P140" s="38">
        <f>INDEX(Cables!$AS:$AS,MATCH(B140,Cables!$A:$A,0))+INDEX(Cables!$AT:$AT,MATCH(B140,Cables!$A:$A,0))*SQRT(C140)+INDEX(Cables!$AU:$AU,MATCH(B140,Cables!$A:$A,0))*C140</f>
        <v>7.5044612986845776</v>
      </c>
      <c r="Q140" s="41">
        <f t="shared" si="22"/>
        <v>5.9483982461028262E-4</v>
      </c>
      <c r="R140" s="39">
        <f t="shared" si="23"/>
        <v>3.5383441694239177E-7</v>
      </c>
      <c r="S140" s="40" t="b">
        <f>IF(B140=B139,C140&gt;C139,COUNTIF(B$1:B139,B140)=0)</f>
        <v>1</v>
      </c>
      <c r="T140" s="37" t="s">
        <v>855</v>
      </c>
    </row>
    <row r="141" spans="1:20" x14ac:dyDescent="0.25">
      <c r="A141" s="37" t="s">
        <v>857</v>
      </c>
      <c r="B141" s="37" t="s">
        <v>285</v>
      </c>
      <c r="C141" s="37">
        <v>150</v>
      </c>
      <c r="D141" s="37">
        <v>12.8</v>
      </c>
      <c r="E141" s="37" t="s">
        <v>771</v>
      </c>
      <c r="F141" s="37">
        <v>20</v>
      </c>
      <c r="G141" s="37" t="s">
        <v>298</v>
      </c>
      <c r="H141" s="37" t="s">
        <v>854</v>
      </c>
      <c r="I141" s="38">
        <f t="shared" si="16"/>
        <v>12.8</v>
      </c>
      <c r="J141" s="38">
        <f t="shared" si="17"/>
        <v>5.0106352940962555</v>
      </c>
      <c r="K141" s="38">
        <f t="shared" si="18"/>
        <v>2.5494451709255714</v>
      </c>
      <c r="L141" s="39">
        <f t="shared" si="19"/>
        <v>7.8125E-2</v>
      </c>
      <c r="M141" s="39">
        <f t="shared" si="20"/>
        <v>0.95683193077467887</v>
      </c>
      <c r="N141" s="39">
        <f t="shared" si="21"/>
        <v>11.71875</v>
      </c>
      <c r="O141" s="40">
        <f>1</f>
        <v>1</v>
      </c>
      <c r="P141" s="38">
        <f>INDEX(Cables!$AS:$AS,MATCH(B141,Cables!$A:$A,0))+INDEX(Cables!$AT:$AT,MATCH(B141,Cables!$A:$A,0))*SQRT(C141)+INDEX(Cables!$AU:$AU,MATCH(B141,Cables!$A:$A,0))*C141</f>
        <v>12.810973925323587</v>
      </c>
      <c r="Q141" s="41">
        <f t="shared" si="22"/>
        <v>8.5733791590514308E-4</v>
      </c>
      <c r="R141" s="39">
        <f t="shared" si="23"/>
        <v>7.3502830204857418E-7</v>
      </c>
      <c r="S141" s="40" t="b">
        <f>IF(B141=B140,C141&gt;C140,COUNTIF(B$1:B140,B141)=0)</f>
        <v>1</v>
      </c>
      <c r="T141" s="37" t="s">
        <v>855</v>
      </c>
    </row>
    <row r="142" spans="1:20" x14ac:dyDescent="0.25">
      <c r="A142" s="37" t="s">
        <v>858</v>
      </c>
      <c r="B142" s="37" t="s">
        <v>285</v>
      </c>
      <c r="C142" s="37">
        <v>220</v>
      </c>
      <c r="D142" s="37">
        <v>15.5</v>
      </c>
      <c r="E142" s="37" t="s">
        <v>771</v>
      </c>
      <c r="F142" s="37">
        <v>20</v>
      </c>
      <c r="G142" s="37" t="s">
        <v>298</v>
      </c>
      <c r="H142" s="37" t="s">
        <v>854</v>
      </c>
      <c r="I142" s="38">
        <f t="shared" si="16"/>
        <v>15.5</v>
      </c>
      <c r="J142" s="38">
        <f t="shared" si="17"/>
        <v>5.393627546352362</v>
      </c>
      <c r="K142" s="38">
        <f t="shared" si="18"/>
        <v>2.7408400239252009</v>
      </c>
      <c r="L142" s="39">
        <f t="shared" si="19"/>
        <v>6.4516129032258063E-2</v>
      </c>
      <c r="M142" s="39">
        <f t="shared" si="20"/>
        <v>0.95692883704460163</v>
      </c>
      <c r="N142" s="39">
        <f t="shared" si="21"/>
        <v>14.193548387096774</v>
      </c>
      <c r="O142" s="40">
        <f>1</f>
        <v>1</v>
      </c>
      <c r="P142" s="38">
        <f>INDEX(Cables!$AS:$AS,MATCH(B142,Cables!$A:$A,0))+INDEX(Cables!$AT:$AT,MATCH(B142,Cables!$A:$A,0))*SQRT(C142)+INDEX(Cables!$AU:$AU,MATCH(B142,Cables!$A:$A,0))*C142</f>
        <v>15.507297691117669</v>
      </c>
      <c r="Q142" s="41">
        <f t="shared" si="22"/>
        <v>4.7081878178500958E-4</v>
      </c>
      <c r="R142" s="39">
        <f t="shared" si="23"/>
        <v>2.2167032528152047E-7</v>
      </c>
      <c r="S142" s="40" t="b">
        <f>IF(B142=B141,C142&gt;C141,COUNTIF(B$1:B141,B142)=0)</f>
        <v>1</v>
      </c>
      <c r="T142" s="37" t="s">
        <v>855</v>
      </c>
    </row>
    <row r="143" spans="1:20" x14ac:dyDescent="0.25">
      <c r="A143" s="37" t="s">
        <v>859</v>
      </c>
      <c r="B143" s="37" t="s">
        <v>285</v>
      </c>
      <c r="C143" s="37">
        <v>450</v>
      </c>
      <c r="D143" s="37">
        <v>22.3</v>
      </c>
      <c r="E143" s="37" t="s">
        <v>771</v>
      </c>
      <c r="F143" s="37">
        <v>20</v>
      </c>
      <c r="G143" s="37" t="s">
        <v>298</v>
      </c>
      <c r="H143" s="37" t="s">
        <v>854</v>
      </c>
      <c r="I143" s="38">
        <f t="shared" si="16"/>
        <v>22.3</v>
      </c>
      <c r="J143" s="38">
        <f t="shared" si="17"/>
        <v>6.1092475827643655</v>
      </c>
      <c r="K143" s="38">
        <f t="shared" si="18"/>
        <v>3.1045866784660729</v>
      </c>
      <c r="L143" s="39">
        <f t="shared" si="19"/>
        <v>4.4843049327354258E-2</v>
      </c>
      <c r="M143" s="39">
        <f t="shared" si="20"/>
        <v>0.95126472805365136</v>
      </c>
      <c r="N143" s="39">
        <f t="shared" si="21"/>
        <v>20.179372197309416</v>
      </c>
      <c r="O143" s="40">
        <f>1</f>
        <v>1</v>
      </c>
      <c r="P143" s="38">
        <f>INDEX(Cables!$AS:$AS,MATCH(B143,Cables!$A:$A,0))+INDEX(Cables!$AT:$AT,MATCH(B143,Cables!$A:$A,0))*SQRT(C143)+INDEX(Cables!$AU:$AU,MATCH(B143,Cables!$A:$A,0))*C143</f>
        <v>22.295313326211676</v>
      </c>
      <c r="Q143" s="41">
        <f t="shared" si="22"/>
        <v>-2.1016474387103301E-4</v>
      </c>
      <c r="R143" s="39">
        <f t="shared" si="23"/>
        <v>4.4169219566376909E-8</v>
      </c>
      <c r="S143" s="40" t="b">
        <f>IF(B143=B142,C143&gt;C142,COUNTIF(B$1:B142,B143)=0)</f>
        <v>1</v>
      </c>
      <c r="T143" s="37" t="s">
        <v>855</v>
      </c>
    </row>
    <row r="144" spans="1:20" x14ac:dyDescent="0.25">
      <c r="A144" s="37" t="s">
        <v>860</v>
      </c>
      <c r="B144" s="37" t="s">
        <v>285</v>
      </c>
      <c r="C144" s="37">
        <v>900</v>
      </c>
      <c r="D144" s="37">
        <v>32</v>
      </c>
      <c r="E144" s="37" t="s">
        <v>771</v>
      </c>
      <c r="F144" s="37">
        <v>20</v>
      </c>
      <c r="G144" s="37" t="s">
        <v>298</v>
      </c>
      <c r="H144" s="37" t="s">
        <v>854</v>
      </c>
      <c r="I144" s="38">
        <f t="shared" si="16"/>
        <v>32</v>
      </c>
      <c r="J144" s="38">
        <f t="shared" si="17"/>
        <v>6.8023947633243109</v>
      </c>
      <c r="K144" s="38">
        <f t="shared" si="18"/>
        <v>3.4657359027997265</v>
      </c>
      <c r="L144" s="39">
        <f t="shared" si="19"/>
        <v>3.125E-2</v>
      </c>
      <c r="M144" s="39">
        <f t="shared" si="20"/>
        <v>0.9375</v>
      </c>
      <c r="N144" s="39">
        <f t="shared" si="21"/>
        <v>28.125</v>
      </c>
      <c r="O144" s="40">
        <f>1</f>
        <v>1</v>
      </c>
      <c r="P144" s="38">
        <f>INDEX(Cables!$AS:$AS,MATCH(B144,Cables!$A:$A,0))+INDEX(Cables!$AT:$AT,MATCH(B144,Cables!$A:$A,0))*SQRT(C144)+INDEX(Cables!$AU:$AU,MATCH(B144,Cables!$A:$A,0))*C144</f>
        <v>31.951037200972998</v>
      </c>
      <c r="Q144" s="41">
        <f t="shared" si="22"/>
        <v>-1.5300874695938216E-3</v>
      </c>
      <c r="R144" s="39">
        <f t="shared" si="23"/>
        <v>2.3411676646080237E-6</v>
      </c>
      <c r="S144" s="40" t="b">
        <f>IF(B144=B143,C144&gt;C143,COUNTIF(B$1:B143,B144)=0)</f>
        <v>1</v>
      </c>
      <c r="T144" s="37" t="s">
        <v>855</v>
      </c>
    </row>
    <row r="145" spans="1:20" x14ac:dyDescent="0.25">
      <c r="A145" s="37" t="s">
        <v>861</v>
      </c>
      <c r="B145" s="37" t="s">
        <v>285</v>
      </c>
      <c r="C145" s="37">
        <v>1500</v>
      </c>
      <c r="D145" s="37">
        <v>41.9</v>
      </c>
      <c r="E145" s="37" t="s">
        <v>771</v>
      </c>
      <c r="F145" s="37">
        <v>20</v>
      </c>
      <c r="G145" s="37" t="s">
        <v>298</v>
      </c>
      <c r="H145" s="37" t="s">
        <v>854</v>
      </c>
      <c r="I145" s="38">
        <f t="shared" si="16"/>
        <v>41.9</v>
      </c>
      <c r="J145" s="38">
        <f t="shared" si="17"/>
        <v>7.3132203870903014</v>
      </c>
      <c r="K145" s="38">
        <f t="shared" si="18"/>
        <v>3.735285826928092</v>
      </c>
      <c r="L145" s="39">
        <f t="shared" si="19"/>
        <v>2.386634844868735E-2</v>
      </c>
      <c r="M145" s="39">
        <f t="shared" si="20"/>
        <v>0.92433970076549332</v>
      </c>
      <c r="N145" s="39">
        <f t="shared" si="21"/>
        <v>35.799522673031028</v>
      </c>
      <c r="O145" s="40">
        <f>1</f>
        <v>1</v>
      </c>
      <c r="P145" s="38">
        <f>INDEX(Cables!$AS:$AS,MATCH(B145,Cables!$A:$A,0))+INDEX(Cables!$AT:$AT,MATCH(B145,Cables!$A:$A,0))*SQRT(C145)+INDEX(Cables!$AU:$AU,MATCH(B145,Cables!$A:$A,0))*C145</f>
        <v>41.897757919606867</v>
      </c>
      <c r="Q145" s="41">
        <f t="shared" si="22"/>
        <v>-5.3510271912471374E-5</v>
      </c>
      <c r="R145" s="39">
        <f t="shared" si="23"/>
        <v>2.8633492001466229E-9</v>
      </c>
      <c r="S145" s="40" t="b">
        <f>IF(B145=B144,C145&gt;C144,COUNTIF(B$1:B144,B145)=0)</f>
        <v>1</v>
      </c>
      <c r="T145" s="37" t="s">
        <v>855</v>
      </c>
    </row>
    <row r="146" spans="1:20" x14ac:dyDescent="0.25">
      <c r="A146" s="37" t="s">
        <v>862</v>
      </c>
      <c r="B146" s="37" t="s">
        <v>285</v>
      </c>
      <c r="C146" s="37">
        <v>1800</v>
      </c>
      <c r="D146" s="37">
        <v>46.2</v>
      </c>
      <c r="E146" s="37" t="s">
        <v>771</v>
      </c>
      <c r="F146" s="37">
        <v>20</v>
      </c>
      <c r="G146" s="37" t="s">
        <v>298</v>
      </c>
      <c r="H146" s="37" t="s">
        <v>854</v>
      </c>
      <c r="I146" s="38">
        <f t="shared" si="16"/>
        <v>46.2</v>
      </c>
      <c r="J146" s="38">
        <f t="shared" si="17"/>
        <v>7.4955419438842563</v>
      </c>
      <c r="K146" s="38">
        <f t="shared" si="18"/>
        <v>3.8329797980876932</v>
      </c>
      <c r="L146" s="39">
        <f t="shared" si="19"/>
        <v>2.1645021645021644E-2</v>
      </c>
      <c r="M146" s="39">
        <f t="shared" si="20"/>
        <v>0.91832049504746427</v>
      </c>
      <c r="N146" s="39">
        <f t="shared" si="21"/>
        <v>38.961038961038959</v>
      </c>
      <c r="O146" s="40">
        <f>1</f>
        <v>1</v>
      </c>
      <c r="P146" s="38">
        <f>INDEX(Cables!$AS:$AS,MATCH(B146,Cables!$A:$A,0))+INDEX(Cables!$AT:$AT,MATCH(B146,Cables!$A:$A,0))*SQRT(C146)+INDEX(Cables!$AU:$AU,MATCH(B146,Cables!$A:$A,0))*C146</f>
        <v>46.215828367851259</v>
      </c>
      <c r="Q146" s="41">
        <f t="shared" si="22"/>
        <v>3.4260536474572945E-4</v>
      </c>
      <c r="R146" s="39">
        <f t="shared" si="23"/>
        <v>1.1737843595255431E-7</v>
      </c>
      <c r="S146" s="40" t="b">
        <f>IF(B146=B145,C146&gt;C145,COUNTIF(B$1:B145,B146)=0)</f>
        <v>1</v>
      </c>
      <c r="T146" s="37" t="s">
        <v>855</v>
      </c>
    </row>
    <row r="147" spans="1:20" x14ac:dyDescent="0.25">
      <c r="A147" s="37" t="s">
        <v>863</v>
      </c>
      <c r="B147" s="37" t="s">
        <v>285</v>
      </c>
      <c r="C147" s="37">
        <v>2000</v>
      </c>
      <c r="D147" s="37">
        <v>48.9</v>
      </c>
      <c r="E147" s="37" t="s">
        <v>771</v>
      </c>
      <c r="F147" s="37">
        <v>20</v>
      </c>
      <c r="G147" s="37" t="s">
        <v>298</v>
      </c>
      <c r="H147" s="37" t="s">
        <v>854</v>
      </c>
      <c r="I147" s="38">
        <f t="shared" si="16"/>
        <v>48.9</v>
      </c>
      <c r="J147" s="38">
        <f t="shared" si="17"/>
        <v>7.6009024595420822</v>
      </c>
      <c r="K147" s="38">
        <f t="shared" si="18"/>
        <v>3.8897773964808264</v>
      </c>
      <c r="L147" s="39">
        <f t="shared" si="19"/>
        <v>2.0449897750511249E-2</v>
      </c>
      <c r="M147" s="39">
        <f t="shared" si="20"/>
        <v>0.91454723006126371</v>
      </c>
      <c r="N147" s="39">
        <f t="shared" si="21"/>
        <v>40.899795501022496</v>
      </c>
      <c r="O147" s="40">
        <f>1</f>
        <v>1</v>
      </c>
      <c r="P147" s="38">
        <f>INDEX(Cables!$AS:$AS,MATCH(B147,Cables!$A:$A,0))+INDEX(Cables!$AT:$AT,MATCH(B147,Cables!$A:$A,0))*SQRT(C147)+INDEX(Cables!$AU:$AU,MATCH(B147,Cables!$A:$A,0))*C147</f>
        <v>48.928421534817971</v>
      </c>
      <c r="Q147" s="41">
        <f t="shared" si="22"/>
        <v>5.8121748094008829E-4</v>
      </c>
      <c r="R147" s="39">
        <f t="shared" si="23"/>
        <v>3.378137601503419E-7</v>
      </c>
      <c r="S147" s="40" t="b">
        <f>IF(B147=B146,C147&gt;C146,COUNTIF(B$1:B146,B147)=0)</f>
        <v>1</v>
      </c>
      <c r="T147" s="37" t="s">
        <v>855</v>
      </c>
    </row>
    <row r="148" spans="1:20" x14ac:dyDescent="0.25">
      <c r="A148" s="37" t="s">
        <v>864</v>
      </c>
      <c r="B148" s="37" t="s">
        <v>285</v>
      </c>
      <c r="C148" s="37">
        <v>2500</v>
      </c>
      <c r="D148" s="37">
        <v>55.3</v>
      </c>
      <c r="E148" s="37" t="s">
        <v>771</v>
      </c>
      <c r="F148" s="37">
        <v>20</v>
      </c>
      <c r="G148" s="37" t="s">
        <v>298</v>
      </c>
      <c r="H148" s="37" t="s">
        <v>854</v>
      </c>
      <c r="I148" s="38">
        <f t="shared" si="16"/>
        <v>55.3</v>
      </c>
      <c r="J148" s="38">
        <f t="shared" si="17"/>
        <v>7.8240460108562919</v>
      </c>
      <c r="K148" s="38">
        <f t="shared" si="18"/>
        <v>4.0127729085282891</v>
      </c>
      <c r="L148" s="39">
        <f t="shared" si="19"/>
        <v>1.8083182640144666E-2</v>
      </c>
      <c r="M148" s="39">
        <f t="shared" si="20"/>
        <v>0.9041591320072333</v>
      </c>
      <c r="N148" s="39">
        <f t="shared" si="21"/>
        <v>45.207956600361669</v>
      </c>
      <c r="O148" s="40">
        <f>1</f>
        <v>1</v>
      </c>
      <c r="P148" s="38">
        <f>INDEX(Cables!$AS:$AS,MATCH(B148,Cables!$A:$A,0))+INDEX(Cables!$AT:$AT,MATCH(B148,Cables!$A:$A,0))*SQRT(C148)+INDEX(Cables!$AU:$AU,MATCH(B148,Cables!$A:$A,0))*C148</f>
        <v>55.260122878759695</v>
      </c>
      <c r="Q148" s="41">
        <f t="shared" si="22"/>
        <v>-7.2110526655155827E-4</v>
      </c>
      <c r="R148" s="39">
        <f t="shared" si="23"/>
        <v>5.1999280544839388E-7</v>
      </c>
      <c r="S148" s="40" t="b">
        <f>IF(B148=B147,C148&gt;C147,COUNTIF(B$1:B147,B148)=0)</f>
        <v>1</v>
      </c>
      <c r="T148" s="37" t="s">
        <v>855</v>
      </c>
    </row>
    <row r="149" spans="1:20" x14ac:dyDescent="0.25">
      <c r="A149" s="37" t="s">
        <v>865</v>
      </c>
      <c r="B149" s="37" t="s">
        <v>285</v>
      </c>
      <c r="C149" s="37">
        <v>5800</v>
      </c>
      <c r="D149" s="37">
        <v>88.5</v>
      </c>
      <c r="E149" s="37" t="s">
        <v>771</v>
      </c>
      <c r="F149" s="37">
        <v>20</v>
      </c>
      <c r="G149" s="37" t="s">
        <v>298</v>
      </c>
      <c r="H149" s="37" t="s">
        <v>854</v>
      </c>
      <c r="I149" s="38">
        <f t="shared" si="16"/>
        <v>88.5</v>
      </c>
      <c r="J149" s="38">
        <f t="shared" si="17"/>
        <v>8.66561319653451</v>
      </c>
      <c r="K149" s="38">
        <f t="shared" si="18"/>
        <v>4.4830025520138834</v>
      </c>
      <c r="L149" s="39">
        <f t="shared" si="19"/>
        <v>1.1299435028248588E-2</v>
      </c>
      <c r="M149" s="39">
        <f t="shared" si="20"/>
        <v>0.86053933399592186</v>
      </c>
      <c r="N149" s="39">
        <f t="shared" si="21"/>
        <v>65.536723163841813</v>
      </c>
      <c r="O149" s="40">
        <f>1</f>
        <v>1</v>
      </c>
      <c r="P149" s="38">
        <f>INDEX(Cables!$AS:$AS,MATCH(B149,Cables!$A:$A,0))+INDEX(Cables!$AT:$AT,MATCH(B149,Cables!$A:$A,0))*SQRT(C149)+INDEX(Cables!$AU:$AU,MATCH(B149,Cables!$A:$A,0))*C149</f>
        <v>88.537610194390425</v>
      </c>
      <c r="Q149" s="41">
        <f t="shared" si="22"/>
        <v>4.2497394791429777E-4</v>
      </c>
      <c r="R149" s="39">
        <f t="shared" si="23"/>
        <v>1.8060285640586428E-7</v>
      </c>
      <c r="S149" s="40" t="b">
        <f>IF(B149=B148,C149&gt;C148,COUNTIF(B$1:B148,B149)=0)</f>
        <v>1</v>
      </c>
      <c r="T149" s="37" t="s">
        <v>855</v>
      </c>
    </row>
    <row r="150" spans="1:20" x14ac:dyDescent="0.25">
      <c r="A150" s="37" t="s">
        <v>866</v>
      </c>
      <c r="B150" s="37" t="s">
        <v>300</v>
      </c>
      <c r="C150" s="37">
        <v>5</v>
      </c>
      <c r="D150" s="37">
        <v>2.0699999999999998</v>
      </c>
      <c r="E150" s="37" t="s">
        <v>771</v>
      </c>
      <c r="F150" s="37">
        <v>20</v>
      </c>
      <c r="G150" s="37" t="s">
        <v>311</v>
      </c>
      <c r="H150" s="37" t="s">
        <v>867</v>
      </c>
      <c r="I150" s="38">
        <f t="shared" si="16"/>
        <v>2.0699999999999998</v>
      </c>
      <c r="J150" s="38">
        <f t="shared" si="17"/>
        <v>1.6094379124341003</v>
      </c>
      <c r="K150" s="38">
        <f t="shared" si="18"/>
        <v>0.72754860727727766</v>
      </c>
      <c r="L150" s="39">
        <f t="shared" si="19"/>
        <v>0.48309178743961356</v>
      </c>
      <c r="M150" s="39">
        <f t="shared" si="20"/>
        <v>1.0802260760868552</v>
      </c>
      <c r="N150" s="39">
        <f t="shared" si="21"/>
        <v>2.4154589371980677</v>
      </c>
      <c r="O150" s="40">
        <f>1</f>
        <v>1</v>
      </c>
      <c r="P150" s="38">
        <f>INDEX(Cables!$AS:$AS,MATCH(B150,Cables!$A:$A,0))+INDEX(Cables!$AT:$AT,MATCH(B150,Cables!$A:$A,0))*SQRT(C150)+INDEX(Cables!$AU:$AU,MATCH(B150,Cables!$A:$A,0))*C150</f>
        <v>2.0695057529954233</v>
      </c>
      <c r="Q150" s="41">
        <f t="shared" si="22"/>
        <v>-2.3876666887756581E-4</v>
      </c>
      <c r="R150" s="39">
        <f t="shared" si="23"/>
        <v>5.7009522166889153E-8</v>
      </c>
      <c r="S150" s="40" t="b">
        <f>IF(B150=B149,C150&gt;C149,COUNTIF(B$1:B149,B150)=0)</f>
        <v>1</v>
      </c>
      <c r="T150" s="37"/>
    </row>
    <row r="151" spans="1:20" x14ac:dyDescent="0.25">
      <c r="A151" s="37" t="s">
        <v>868</v>
      </c>
      <c r="B151" s="37" t="s">
        <v>300</v>
      </c>
      <c r="C151" s="37">
        <v>10</v>
      </c>
      <c r="D151" s="37">
        <v>2.93</v>
      </c>
      <c r="E151" s="37" t="s">
        <v>771</v>
      </c>
      <c r="F151" s="37">
        <v>20</v>
      </c>
      <c r="G151" s="37" t="s">
        <v>311</v>
      </c>
      <c r="H151" s="37" t="s">
        <v>867</v>
      </c>
      <c r="I151" s="38">
        <f t="shared" si="16"/>
        <v>2.93</v>
      </c>
      <c r="J151" s="38">
        <f t="shared" si="17"/>
        <v>2.3025850929940459</v>
      </c>
      <c r="K151" s="38">
        <f t="shared" si="18"/>
        <v>1.0750024230289761</v>
      </c>
      <c r="L151" s="39">
        <f t="shared" si="19"/>
        <v>0.34129692832764502</v>
      </c>
      <c r="M151" s="39">
        <f t="shared" si="20"/>
        <v>1.0792756519346005</v>
      </c>
      <c r="N151" s="39">
        <f t="shared" si="21"/>
        <v>3.4129692832764502</v>
      </c>
      <c r="O151" s="40">
        <f>1</f>
        <v>1</v>
      </c>
      <c r="P151" s="38">
        <f>INDEX(Cables!$AS:$AS,MATCH(B151,Cables!$A:$A,0))+INDEX(Cables!$AT:$AT,MATCH(B151,Cables!$A:$A,0))*SQRT(C151)+INDEX(Cables!$AU:$AU,MATCH(B151,Cables!$A:$A,0))*C151</f>
        <v>2.9314504874755598</v>
      </c>
      <c r="Q151" s="41">
        <f t="shared" si="22"/>
        <v>4.9504691998625283E-4</v>
      </c>
      <c r="R151" s="39">
        <f t="shared" si="23"/>
        <v>2.450714529878754E-7</v>
      </c>
      <c r="S151" s="40" t="b">
        <f>IF(B151=B150,C151&gt;C150,COUNTIF(B$1:B150,B151)=0)</f>
        <v>1</v>
      </c>
      <c r="T151" s="37"/>
    </row>
    <row r="152" spans="1:20" x14ac:dyDescent="0.25">
      <c r="A152" s="37" t="s">
        <v>869</v>
      </c>
      <c r="B152" s="37" t="s">
        <v>300</v>
      </c>
      <c r="C152" s="37">
        <v>50</v>
      </c>
      <c r="D152" s="37">
        <v>6.61</v>
      </c>
      <c r="E152" s="37" t="s">
        <v>771</v>
      </c>
      <c r="F152" s="37">
        <v>20</v>
      </c>
      <c r="G152" s="37" t="s">
        <v>311</v>
      </c>
      <c r="H152" s="37" t="s">
        <v>867</v>
      </c>
      <c r="I152" s="38">
        <f t="shared" si="16"/>
        <v>6.61</v>
      </c>
      <c r="J152" s="38">
        <f t="shared" si="17"/>
        <v>3.912023005428146</v>
      </c>
      <c r="K152" s="38">
        <f t="shared" si="18"/>
        <v>1.8885836538635949</v>
      </c>
      <c r="L152" s="39">
        <f t="shared" si="19"/>
        <v>0.15128593040847199</v>
      </c>
      <c r="M152" s="39">
        <f t="shared" si="20"/>
        <v>1.0697530728994666</v>
      </c>
      <c r="N152" s="39">
        <f t="shared" si="21"/>
        <v>7.5642965204235999</v>
      </c>
      <c r="O152" s="40">
        <f>1</f>
        <v>1</v>
      </c>
      <c r="P152" s="38">
        <f>INDEX(Cables!$AS:$AS,MATCH(B152,Cables!$A:$A,0))+INDEX(Cables!$AT:$AT,MATCH(B152,Cables!$A:$A,0))*SQRT(C152)+INDEX(Cables!$AU:$AU,MATCH(B152,Cables!$A:$A,0))*C152</f>
        <v>6.6068636242659871</v>
      </c>
      <c r="Q152" s="41">
        <f t="shared" si="22"/>
        <v>-4.7448952103079645E-4</v>
      </c>
      <c r="R152" s="39">
        <f t="shared" si="23"/>
        <v>2.2514030556803463E-7</v>
      </c>
      <c r="S152" s="40" t="b">
        <f>IF(B152=B151,C152&gt;C151,COUNTIF(B$1:B151,B152)=0)</f>
        <v>1</v>
      </c>
      <c r="T152" s="37"/>
    </row>
    <row r="153" spans="1:20" x14ac:dyDescent="0.25">
      <c r="A153" s="37" t="s">
        <v>870</v>
      </c>
      <c r="B153" s="37" t="s">
        <v>300</v>
      </c>
      <c r="C153" s="37">
        <v>100</v>
      </c>
      <c r="D153" s="37">
        <v>9.4</v>
      </c>
      <c r="E153" s="37" t="s">
        <v>771</v>
      </c>
      <c r="F153" s="37">
        <v>20</v>
      </c>
      <c r="G153" s="37" t="s">
        <v>311</v>
      </c>
      <c r="H153" s="37" t="s">
        <v>867</v>
      </c>
      <c r="I153" s="38">
        <f t="shared" si="16"/>
        <v>9.4</v>
      </c>
      <c r="J153" s="38">
        <f t="shared" si="17"/>
        <v>4.6051701859880918</v>
      </c>
      <c r="K153" s="38">
        <f t="shared" si="18"/>
        <v>2.2407096892759584</v>
      </c>
      <c r="L153" s="39">
        <f t="shared" si="19"/>
        <v>0.10638297872340426</v>
      </c>
      <c r="M153" s="39">
        <f t="shared" si="20"/>
        <v>1.0638297872340425</v>
      </c>
      <c r="N153" s="39">
        <f t="shared" si="21"/>
        <v>10.638297872340425</v>
      </c>
      <c r="O153" s="40">
        <f>1</f>
        <v>1</v>
      </c>
      <c r="P153" s="38">
        <f>INDEX(Cables!$AS:$AS,MATCH(B153,Cables!$A:$A,0))+INDEX(Cables!$AT:$AT,MATCH(B153,Cables!$A:$A,0))*SQRT(C153)+INDEX(Cables!$AU:$AU,MATCH(B153,Cables!$A:$A,0))*C153</f>
        <v>9.40101441177762</v>
      </c>
      <c r="Q153" s="41">
        <f t="shared" si="22"/>
        <v>1.0791614655536463E-4</v>
      </c>
      <c r="R153" s="39">
        <f t="shared" si="23"/>
        <v>1.1645894687358938E-8</v>
      </c>
      <c r="S153" s="40" t="b">
        <f>IF(B153=B152,C153&gt;C152,COUNTIF(B$1:B152,B153)=0)</f>
        <v>1</v>
      </c>
      <c r="T153" s="37"/>
    </row>
    <row r="154" spans="1:20" x14ac:dyDescent="0.25">
      <c r="A154" s="37" t="s">
        <v>871</v>
      </c>
      <c r="B154" s="37" t="s">
        <v>300</v>
      </c>
      <c r="C154" s="37">
        <v>144</v>
      </c>
      <c r="D154" s="37">
        <v>11.33</v>
      </c>
      <c r="E154" s="37" t="s">
        <v>771</v>
      </c>
      <c r="F154" s="37">
        <v>20</v>
      </c>
      <c r="G154" s="37" t="s">
        <v>311</v>
      </c>
      <c r="H154" s="37" t="s">
        <v>867</v>
      </c>
      <c r="I154" s="38">
        <f t="shared" si="16"/>
        <v>11.33</v>
      </c>
      <c r="J154" s="38">
        <f t="shared" si="17"/>
        <v>4.9698132995760007</v>
      </c>
      <c r="K154" s="38">
        <f t="shared" si="18"/>
        <v>2.4274540750399152</v>
      </c>
      <c r="L154" s="39">
        <f t="shared" si="19"/>
        <v>8.8261253309797005E-2</v>
      </c>
      <c r="M154" s="39">
        <f t="shared" si="20"/>
        <v>1.0591350397175641</v>
      </c>
      <c r="N154" s="39">
        <f t="shared" si="21"/>
        <v>12.709620476610768</v>
      </c>
      <c r="O154" s="40">
        <f>1</f>
        <v>1</v>
      </c>
      <c r="P154" s="38">
        <f>INDEX(Cables!$AS:$AS,MATCH(B154,Cables!$A:$A,0))+INDEX(Cables!$AT:$AT,MATCH(B154,Cables!$A:$A,0))*SQRT(C154)+INDEX(Cables!$AU:$AU,MATCH(B154,Cables!$A:$A,0))*C154</f>
        <v>11.328714381239511</v>
      </c>
      <c r="Q154" s="41">
        <f t="shared" si="22"/>
        <v>-1.1347032307940097E-4</v>
      </c>
      <c r="R154" s="39">
        <f t="shared" si="23"/>
        <v>1.2875514219743636E-8</v>
      </c>
      <c r="S154" s="40" t="b">
        <f>IF(B154=B153,C154&gt;C153,COUNTIF(B$1:B153,B154)=0)</f>
        <v>1</v>
      </c>
      <c r="T154" s="37"/>
    </row>
    <row r="155" spans="1:20" x14ac:dyDescent="0.25">
      <c r="A155" s="37" t="s">
        <v>872</v>
      </c>
      <c r="B155" s="37" t="s">
        <v>300</v>
      </c>
      <c r="C155" s="37">
        <v>200</v>
      </c>
      <c r="D155" s="37">
        <v>13.41</v>
      </c>
      <c r="E155" s="37" t="s">
        <v>771</v>
      </c>
      <c r="F155" s="37">
        <v>20</v>
      </c>
      <c r="G155" s="37" t="s">
        <v>311</v>
      </c>
      <c r="H155" s="37" t="s">
        <v>867</v>
      </c>
      <c r="I155" s="38">
        <f t="shared" si="16"/>
        <v>13.41</v>
      </c>
      <c r="J155" s="38">
        <f t="shared" si="17"/>
        <v>5.2983173665480363</v>
      </c>
      <c r="K155" s="38">
        <f t="shared" si="18"/>
        <v>2.596000697293587</v>
      </c>
      <c r="L155" s="39">
        <f t="shared" si="19"/>
        <v>7.4571215510812819E-2</v>
      </c>
      <c r="M155" s="39">
        <f t="shared" si="20"/>
        <v>1.0545962433803842</v>
      </c>
      <c r="N155" s="39">
        <f t="shared" si="21"/>
        <v>14.914243102162565</v>
      </c>
      <c r="O155" s="40">
        <f>1</f>
        <v>1</v>
      </c>
      <c r="P155" s="38">
        <f>INDEX(Cables!$AS:$AS,MATCH(B155,Cables!$A:$A,0))+INDEX(Cables!$AT:$AT,MATCH(B155,Cables!$A:$A,0))*SQRT(C155)+INDEX(Cables!$AU:$AU,MATCH(B155,Cables!$A:$A,0))*C155</f>
        <v>13.411174667915276</v>
      </c>
      <c r="Q155" s="41">
        <f t="shared" si="22"/>
        <v>8.7596414263702016E-5</v>
      </c>
      <c r="R155" s="39">
        <f t="shared" si="23"/>
        <v>7.6731317918580986E-9</v>
      </c>
      <c r="S155" s="40" t="b">
        <f>IF(B155=B154,C155&gt;C154,COUNTIF(B$1:B154,B155)=0)</f>
        <v>1</v>
      </c>
      <c r="T155" s="37"/>
    </row>
    <row r="156" spans="1:20" x14ac:dyDescent="0.25">
      <c r="A156" s="37" t="s">
        <v>873</v>
      </c>
      <c r="B156" s="37" t="s">
        <v>300</v>
      </c>
      <c r="C156" s="37">
        <v>300</v>
      </c>
      <c r="D156" s="37">
        <v>16.53</v>
      </c>
      <c r="E156" s="37" t="s">
        <v>771</v>
      </c>
      <c r="F156" s="37">
        <v>20</v>
      </c>
      <c r="G156" s="37" t="s">
        <v>311</v>
      </c>
      <c r="H156" s="37" t="s">
        <v>867</v>
      </c>
      <c r="I156" s="38">
        <f t="shared" si="16"/>
        <v>16.53</v>
      </c>
      <c r="J156" s="38">
        <f t="shared" si="17"/>
        <v>5.7037824746562009</v>
      </c>
      <c r="K156" s="38">
        <f t="shared" si="18"/>
        <v>2.8051769118329331</v>
      </c>
      <c r="L156" s="39">
        <f t="shared" si="19"/>
        <v>6.0496067755595885E-2</v>
      </c>
      <c r="M156" s="39">
        <f t="shared" si="20"/>
        <v>1.0478226301082139</v>
      </c>
      <c r="N156" s="39">
        <f t="shared" si="21"/>
        <v>18.148820326678763</v>
      </c>
      <c r="O156" s="40">
        <f>1</f>
        <v>1</v>
      </c>
      <c r="P156" s="38">
        <f>INDEX(Cables!$AS:$AS,MATCH(B156,Cables!$A:$A,0))+INDEX(Cables!$AT:$AT,MATCH(B156,Cables!$A:$A,0))*SQRT(C156)+INDEX(Cables!$AU:$AU,MATCH(B156,Cables!$A:$A,0))*C156</f>
        <v>16.534857687633444</v>
      </c>
      <c r="Q156" s="41">
        <f t="shared" si="22"/>
        <v>2.9387100020827894E-4</v>
      </c>
      <c r="R156" s="39">
        <f t="shared" si="23"/>
        <v>8.6360164763414278E-8</v>
      </c>
      <c r="S156" s="40" t="b">
        <f>IF(B156=B155,C156&gt;C155,COUNTIF(B$1:B155,B156)=0)</f>
        <v>1</v>
      </c>
      <c r="T156" s="37"/>
    </row>
    <row r="157" spans="1:20" x14ac:dyDescent="0.25">
      <c r="A157" s="37" t="s">
        <v>874</v>
      </c>
      <c r="B157" s="37" t="s">
        <v>300</v>
      </c>
      <c r="C157" s="37">
        <v>432</v>
      </c>
      <c r="D157" s="37">
        <v>19.989999999999998</v>
      </c>
      <c r="E157" s="37" t="s">
        <v>771</v>
      </c>
      <c r="F157" s="37">
        <v>20</v>
      </c>
      <c r="G157" s="37" t="s">
        <v>311</v>
      </c>
      <c r="H157" s="37" t="s">
        <v>867</v>
      </c>
      <c r="I157" s="38">
        <f t="shared" si="16"/>
        <v>19.989999999999998</v>
      </c>
      <c r="J157" s="38">
        <f t="shared" si="17"/>
        <v>6.0684255882441107</v>
      </c>
      <c r="K157" s="38">
        <f t="shared" si="18"/>
        <v>2.9952321485123088</v>
      </c>
      <c r="L157" s="39">
        <f t="shared" si="19"/>
        <v>5.002501250625313E-2</v>
      </c>
      <c r="M157" s="39">
        <f t="shared" si="20"/>
        <v>1.039750359721187</v>
      </c>
      <c r="N157" s="39">
        <f t="shared" si="21"/>
        <v>21.610805402701352</v>
      </c>
      <c r="O157" s="40">
        <f>1</f>
        <v>1</v>
      </c>
      <c r="P157" s="38">
        <f>INDEX(Cables!$AS:$AS,MATCH(B157,Cables!$A:$A,0))+INDEX(Cables!$AT:$AT,MATCH(B157,Cables!$A:$A,0))*SQRT(C157)+INDEX(Cables!$AU:$AU,MATCH(B157,Cables!$A:$A,0))*C157</f>
        <v>19.985417551022969</v>
      </c>
      <c r="Q157" s="41">
        <f t="shared" si="22"/>
        <v>-2.2923706738509075E-4</v>
      </c>
      <c r="R157" s="39">
        <f t="shared" si="23"/>
        <v>5.2549633063316642E-8</v>
      </c>
      <c r="S157" s="40" t="b">
        <f>IF(B157=B156,C157&gt;C156,COUNTIF(B$1:B156,B157)=0)</f>
        <v>1</v>
      </c>
      <c r="T157" s="37"/>
    </row>
    <row r="158" spans="1:20" x14ac:dyDescent="0.25">
      <c r="A158" s="37" t="s">
        <v>875</v>
      </c>
      <c r="B158" s="37" t="s">
        <v>300</v>
      </c>
      <c r="C158" s="37">
        <v>500</v>
      </c>
      <c r="D158" s="37">
        <v>21.57</v>
      </c>
      <c r="E158" s="37" t="s">
        <v>771</v>
      </c>
      <c r="F158" s="37">
        <v>20</v>
      </c>
      <c r="G158" s="37" t="s">
        <v>311</v>
      </c>
      <c r="H158" s="37" t="s">
        <v>867</v>
      </c>
      <c r="I158" s="38">
        <f t="shared" si="16"/>
        <v>21.57</v>
      </c>
      <c r="J158" s="38">
        <f t="shared" si="17"/>
        <v>6.2146080984221914</v>
      </c>
      <c r="K158" s="38">
        <f t="shared" si="18"/>
        <v>3.0713034604010652</v>
      </c>
      <c r="L158" s="39">
        <f t="shared" si="19"/>
        <v>4.6360686138154847E-2</v>
      </c>
      <c r="M158" s="39">
        <f t="shared" si="20"/>
        <v>1.0366564568844645</v>
      </c>
      <c r="N158" s="39">
        <f t="shared" si="21"/>
        <v>23.180343069077423</v>
      </c>
      <c r="O158" s="40">
        <f>1</f>
        <v>1</v>
      </c>
      <c r="P158" s="38">
        <f>INDEX(Cables!$AS:$AS,MATCH(B158,Cables!$A:$A,0))+INDEX(Cables!$AT:$AT,MATCH(B158,Cables!$A:$A,0))*SQRT(C158)+INDEX(Cables!$AU:$AU,MATCH(B158,Cables!$A:$A,0))*C158</f>
        <v>21.571228941062049</v>
      </c>
      <c r="Q158" s="41">
        <f t="shared" si="22"/>
        <v>5.6974550859845152E-5</v>
      </c>
      <c r="R158" s="39">
        <f t="shared" si="23"/>
        <v>3.246099445681082E-9</v>
      </c>
      <c r="S158" s="40" t="b">
        <f>IF(B158=B157,C158&gt;C157,COUNTIF(B$1:B157,B158)=0)</f>
        <v>1</v>
      </c>
      <c r="T158" s="37"/>
    </row>
    <row r="159" spans="1:20" x14ac:dyDescent="0.25">
      <c r="A159" s="37" t="s">
        <v>876</v>
      </c>
      <c r="B159" s="37" t="s">
        <v>300</v>
      </c>
      <c r="C159" s="37">
        <v>800</v>
      </c>
      <c r="D159" s="37">
        <v>27.62</v>
      </c>
      <c r="E159" s="37" t="s">
        <v>771</v>
      </c>
      <c r="F159" s="37">
        <v>20</v>
      </c>
      <c r="G159" s="37" t="s">
        <v>311</v>
      </c>
      <c r="H159" s="37" t="s">
        <v>867</v>
      </c>
      <c r="I159" s="38">
        <f t="shared" si="16"/>
        <v>27.62</v>
      </c>
      <c r="J159" s="38">
        <f t="shared" si="17"/>
        <v>6.6846117276679271</v>
      </c>
      <c r="K159" s="38">
        <f t="shared" si="18"/>
        <v>3.318540147981146</v>
      </c>
      <c r="L159" s="39">
        <f t="shared" si="19"/>
        <v>3.6205648081100647E-2</v>
      </c>
      <c r="M159" s="39">
        <f t="shared" si="20"/>
        <v>1.0240503710159994</v>
      </c>
      <c r="N159" s="39">
        <f t="shared" si="21"/>
        <v>28.96451846488052</v>
      </c>
      <c r="O159" s="40">
        <f>1</f>
        <v>1</v>
      </c>
      <c r="P159" s="38">
        <f>INDEX(Cables!$AS:$AS,MATCH(B159,Cables!$A:$A,0))+INDEX(Cables!$AT:$AT,MATCH(B159,Cables!$A:$A,0))*SQRT(C159)+INDEX(Cables!$AU:$AU,MATCH(B159,Cables!$A:$A,0))*C159</f>
        <v>27.620366997441785</v>
      </c>
      <c r="Q159" s="41">
        <f t="shared" si="22"/>
        <v>1.3287380223880874E-5</v>
      </c>
      <c r="R159" s="39">
        <f t="shared" si="23"/>
        <v>1.7655447321398053E-10</v>
      </c>
      <c r="S159" s="40" t="b">
        <f>IF(B159=B158,C159&gt;C158,COUNTIF(B$1:B158,B159)=0)</f>
        <v>1</v>
      </c>
      <c r="T159" s="37"/>
    </row>
    <row r="160" spans="1:20" x14ac:dyDescent="0.25">
      <c r="A160" s="37" t="s">
        <v>877</v>
      </c>
      <c r="B160" s="37" t="s">
        <v>300</v>
      </c>
      <c r="C160" s="37">
        <v>1000</v>
      </c>
      <c r="D160" s="37">
        <v>31.09</v>
      </c>
      <c r="E160" s="37" t="s">
        <v>771</v>
      </c>
      <c r="F160" s="37">
        <v>20</v>
      </c>
      <c r="G160" s="37" t="s">
        <v>311</v>
      </c>
      <c r="H160" s="37" t="s">
        <v>867</v>
      </c>
      <c r="I160" s="38">
        <f t="shared" si="16"/>
        <v>31.09</v>
      </c>
      <c r="J160" s="38">
        <f t="shared" si="17"/>
        <v>6.9077552789821368</v>
      </c>
      <c r="K160" s="38">
        <f t="shared" si="18"/>
        <v>3.4368862240706624</v>
      </c>
      <c r="L160" s="39">
        <f t="shared" si="19"/>
        <v>3.2164683177870697E-2</v>
      </c>
      <c r="M160" s="39">
        <f t="shared" si="20"/>
        <v>1.0171365905977419</v>
      </c>
      <c r="N160" s="39">
        <f t="shared" si="21"/>
        <v>32.1646831778707</v>
      </c>
      <c r="O160" s="40">
        <f>1</f>
        <v>1</v>
      </c>
      <c r="P160" s="38">
        <f>INDEX(Cables!$AS:$AS,MATCH(B160,Cables!$A:$A,0))+INDEX(Cables!$AT:$AT,MATCH(B160,Cables!$A:$A,0))*SQRT(C160)+INDEX(Cables!$AU:$AU,MATCH(B160,Cables!$A:$A,0))*C160</f>
        <v>31.091531649205308</v>
      </c>
      <c r="Q160" s="41">
        <f t="shared" si="22"/>
        <v>4.9265011428323291E-5</v>
      </c>
      <c r="R160" s="39">
        <f t="shared" si="23"/>
        <v>2.4270413510328243E-9</v>
      </c>
      <c r="S160" s="40" t="b">
        <f>IF(B160=B159,C160&gt;C159,COUNTIF(B$1:B159,B160)=0)</f>
        <v>1</v>
      </c>
      <c r="T160" s="37"/>
    </row>
    <row r="161" spans="1:20" x14ac:dyDescent="0.25">
      <c r="A161" s="37" t="s">
        <v>878</v>
      </c>
      <c r="B161" s="37" t="s">
        <v>300</v>
      </c>
      <c r="C161" s="37">
        <v>1296</v>
      </c>
      <c r="D161" s="37">
        <v>35.71</v>
      </c>
      <c r="E161" s="37" t="s">
        <v>771</v>
      </c>
      <c r="F161" s="37">
        <v>20</v>
      </c>
      <c r="G161" s="37" t="s">
        <v>311</v>
      </c>
      <c r="H161" s="37" t="s">
        <v>867</v>
      </c>
      <c r="I161" s="38">
        <f t="shared" si="16"/>
        <v>35.71</v>
      </c>
      <c r="J161" s="38">
        <f t="shared" si="17"/>
        <v>7.1670378769122198</v>
      </c>
      <c r="K161" s="38">
        <f t="shared" si="18"/>
        <v>3.575430761606357</v>
      </c>
      <c r="L161" s="39">
        <f t="shared" si="19"/>
        <v>2.8003360403248388E-2</v>
      </c>
      <c r="M161" s="39">
        <f t="shared" si="20"/>
        <v>1.0081209745169419</v>
      </c>
      <c r="N161" s="39">
        <f t="shared" si="21"/>
        <v>36.292355082609909</v>
      </c>
      <c r="O161" s="40">
        <f>1</f>
        <v>1</v>
      </c>
      <c r="P161" s="38">
        <f>INDEX(Cables!$AS:$AS,MATCH(B161,Cables!$A:$A,0))+INDEX(Cables!$AT:$AT,MATCH(B161,Cables!$A:$A,0))*SQRT(C161)+INDEX(Cables!$AU:$AU,MATCH(B161,Cables!$A:$A,0))*C161</f>
        <v>35.710300118616289</v>
      </c>
      <c r="Q161" s="41">
        <f t="shared" si="22"/>
        <v>8.4043297756686286E-6</v>
      </c>
      <c r="R161" s="39">
        <f t="shared" si="23"/>
        <v>7.06327589781903E-11</v>
      </c>
      <c r="S161" s="40" t="b">
        <f>IF(B161=B160,C161&gt;C160,COUNTIF(B$1:B160,B161)=0)</f>
        <v>1</v>
      </c>
      <c r="T161" s="37"/>
    </row>
    <row r="162" spans="1:20" x14ac:dyDescent="0.25">
      <c r="A162" s="37" t="s">
        <v>879</v>
      </c>
      <c r="B162" s="37" t="s">
        <v>300</v>
      </c>
      <c r="C162" s="37">
        <v>1500</v>
      </c>
      <c r="D162" s="37">
        <v>38.630000000000003</v>
      </c>
      <c r="E162" s="37" t="s">
        <v>771</v>
      </c>
      <c r="F162" s="37">
        <v>20</v>
      </c>
      <c r="G162" s="37" t="s">
        <v>311</v>
      </c>
      <c r="H162" s="37" t="s">
        <v>867</v>
      </c>
      <c r="I162" s="38">
        <f t="shared" si="16"/>
        <v>38.630000000000003</v>
      </c>
      <c r="J162" s="38">
        <f t="shared" si="17"/>
        <v>7.3132203870903014</v>
      </c>
      <c r="K162" s="38">
        <f t="shared" si="18"/>
        <v>3.6540291766781898</v>
      </c>
      <c r="L162" s="39">
        <f t="shared" si="19"/>
        <v>2.5886616619207867E-2</v>
      </c>
      <c r="M162" s="39">
        <f t="shared" si="20"/>
        <v>1.0025843505584822</v>
      </c>
      <c r="N162" s="39">
        <f t="shared" si="21"/>
        <v>38.829924928811799</v>
      </c>
      <c r="O162" s="40">
        <f>1</f>
        <v>1</v>
      </c>
      <c r="P162" s="38">
        <f>INDEX(Cables!$AS:$AS,MATCH(B162,Cables!$A:$A,0))+INDEX(Cables!$AT:$AT,MATCH(B162,Cables!$A:$A,0))*SQRT(C162)+INDEX(Cables!$AU:$AU,MATCH(B162,Cables!$A:$A,0))*C162</f>
        <v>38.629610996208442</v>
      </c>
      <c r="Q162" s="41">
        <f t="shared" si="22"/>
        <v>-1.006999201558223E-5</v>
      </c>
      <c r="R162" s="39">
        <f t="shared" si="23"/>
        <v>1.0140473919388986E-10</v>
      </c>
      <c r="S162" s="40" t="b">
        <f>IF(B162=B161,C162&gt;C161,COUNTIF(B$1:B161,B162)=0)</f>
        <v>1</v>
      </c>
      <c r="T162" s="37"/>
    </row>
    <row r="163" spans="1:20" x14ac:dyDescent="0.25">
      <c r="A163" s="37" t="s">
        <v>880</v>
      </c>
      <c r="B163" s="37" t="s">
        <v>300</v>
      </c>
      <c r="C163" s="37">
        <v>1800</v>
      </c>
      <c r="D163" s="37">
        <v>42.63</v>
      </c>
      <c r="E163" s="37" t="s">
        <v>771</v>
      </c>
      <c r="F163" s="37">
        <v>20</v>
      </c>
      <c r="G163" s="37" t="s">
        <v>311</v>
      </c>
      <c r="H163" s="37" t="s">
        <v>867</v>
      </c>
      <c r="I163" s="38">
        <f t="shared" si="16"/>
        <v>42.63</v>
      </c>
      <c r="J163" s="38">
        <f t="shared" si="17"/>
        <v>7.4955419438842563</v>
      </c>
      <c r="K163" s="38">
        <f t="shared" si="18"/>
        <v>3.7525582307771188</v>
      </c>
      <c r="L163" s="39">
        <f t="shared" si="19"/>
        <v>2.3457658925639221E-2</v>
      </c>
      <c r="M163" s="39">
        <f t="shared" si="20"/>
        <v>0.99522418182483818</v>
      </c>
      <c r="N163" s="39">
        <f t="shared" si="21"/>
        <v>42.223786066150595</v>
      </c>
      <c r="O163" s="40">
        <f>1</f>
        <v>1</v>
      </c>
      <c r="P163" s="38">
        <f>INDEX(Cables!$AS:$AS,MATCH(B163,Cables!$A:$A,0))+INDEX(Cables!$AT:$AT,MATCH(B163,Cables!$A:$A,0))*SQRT(C163)+INDEX(Cables!$AU:$AU,MATCH(B163,Cables!$A:$A,0))*C163</f>
        <v>42.630319649938869</v>
      </c>
      <c r="Q163" s="41">
        <f t="shared" si="22"/>
        <v>7.4982392415101629E-6</v>
      </c>
      <c r="R163" s="39">
        <f t="shared" si="23"/>
        <v>5.6223591722922903E-11</v>
      </c>
      <c r="S163" s="40" t="b">
        <f>IF(B163=B162,C163&gt;C162,COUNTIF(B$1:B162,B163)=0)</f>
        <v>1</v>
      </c>
      <c r="T163" s="37"/>
    </row>
    <row r="164" spans="1:20" x14ac:dyDescent="0.25">
      <c r="A164" s="37" t="s">
        <v>881</v>
      </c>
      <c r="B164" s="37" t="s">
        <v>300</v>
      </c>
      <c r="C164" s="37">
        <v>2000</v>
      </c>
      <c r="D164" s="37">
        <v>45.14</v>
      </c>
      <c r="E164" s="37" t="s">
        <v>771</v>
      </c>
      <c r="F164" s="37">
        <v>20</v>
      </c>
      <c r="G164" s="37" t="s">
        <v>311</v>
      </c>
      <c r="H164" s="37" t="s">
        <v>867</v>
      </c>
      <c r="I164" s="38">
        <f t="shared" si="16"/>
        <v>45.14</v>
      </c>
      <c r="J164" s="38">
        <f t="shared" si="17"/>
        <v>7.6009024595420822</v>
      </c>
      <c r="K164" s="38">
        <f t="shared" si="18"/>
        <v>3.8097687713893897</v>
      </c>
      <c r="L164" s="39">
        <f t="shared" si="19"/>
        <v>2.2153300841825433E-2</v>
      </c>
      <c r="M164" s="39">
        <f t="shared" si="20"/>
        <v>0.99072573216649973</v>
      </c>
      <c r="N164" s="39">
        <f t="shared" si="21"/>
        <v>44.306601683650861</v>
      </c>
      <c r="O164" s="40">
        <f>1</f>
        <v>1</v>
      </c>
      <c r="P164" s="38">
        <f>INDEX(Cables!$AS:$AS,MATCH(B164,Cables!$A:$A,0))+INDEX(Cables!$AT:$AT,MATCH(B164,Cables!$A:$A,0))*SQRT(C164)+INDEX(Cables!$AU:$AU,MATCH(B164,Cables!$A:$A,0))*C164</f>
        <v>45.141616028191194</v>
      </c>
      <c r="Q164" s="41">
        <f t="shared" si="22"/>
        <v>3.5800358688442557E-5</v>
      </c>
      <c r="R164" s="39">
        <f t="shared" si="23"/>
        <v>1.2816656822211445E-9</v>
      </c>
      <c r="S164" s="40" t="b">
        <f>IF(B164=B163,C164&gt;C163,COUNTIF(B$1:B163,B164)=0)</f>
        <v>1</v>
      </c>
      <c r="T164" s="37"/>
    </row>
    <row r="165" spans="1:20" x14ac:dyDescent="0.25">
      <c r="A165" s="37" t="s">
        <v>882</v>
      </c>
      <c r="B165" s="37" t="s">
        <v>300</v>
      </c>
      <c r="C165" s="37">
        <v>2400</v>
      </c>
      <c r="D165" s="37">
        <v>49.87</v>
      </c>
      <c r="E165" s="37" t="s">
        <v>771</v>
      </c>
      <c r="F165" s="37">
        <v>20</v>
      </c>
      <c r="G165" s="37" t="s">
        <v>311</v>
      </c>
      <c r="H165" s="37" t="s">
        <v>867</v>
      </c>
      <c r="I165" s="38">
        <f t="shared" si="16"/>
        <v>49.87</v>
      </c>
      <c r="J165" s="38">
        <f t="shared" si="17"/>
        <v>7.7832240163360371</v>
      </c>
      <c r="K165" s="38">
        <f t="shared" si="18"/>
        <v>3.9094196195580313</v>
      </c>
      <c r="L165" s="39">
        <f t="shared" si="19"/>
        <v>2.0052135552436335E-2</v>
      </c>
      <c r="M165" s="39">
        <f t="shared" si="20"/>
        <v>0.98235000713181397</v>
      </c>
      <c r="N165" s="39">
        <f t="shared" si="21"/>
        <v>48.125125325847208</v>
      </c>
      <c r="O165" s="40">
        <f>1</f>
        <v>1</v>
      </c>
      <c r="P165" s="38">
        <f>INDEX(Cables!$AS:$AS,MATCH(B165,Cables!$A:$A,0))+INDEX(Cables!$AT:$AT,MATCH(B165,Cables!$A:$A,0))*SQRT(C165)+INDEX(Cables!$AU:$AU,MATCH(B165,Cables!$A:$A,0))*C165</f>
        <v>49.868518005487665</v>
      </c>
      <c r="Q165" s="41">
        <f t="shared" si="22"/>
        <v>-2.971715484922921E-5</v>
      </c>
      <c r="R165" s="39">
        <f t="shared" si="23"/>
        <v>8.8310929233306716E-10</v>
      </c>
      <c r="S165" s="40" t="b">
        <f>IF(B165=B164,C165&gt;C164,COUNTIF(B$1:B164,B165)=0)</f>
        <v>1</v>
      </c>
      <c r="T165" s="37"/>
    </row>
    <row r="166" spans="1:20" x14ac:dyDescent="0.25">
      <c r="A166" s="37" t="s">
        <v>883</v>
      </c>
      <c r="B166" s="37" t="s">
        <v>300</v>
      </c>
      <c r="C166" s="37">
        <v>3000</v>
      </c>
      <c r="D166" s="37">
        <v>56.39</v>
      </c>
      <c r="E166" s="37" t="s">
        <v>771</v>
      </c>
      <c r="F166" s="37">
        <v>20</v>
      </c>
      <c r="G166" s="37" t="s">
        <v>311</v>
      </c>
      <c r="H166" s="37" t="s">
        <v>867</v>
      </c>
      <c r="I166" s="38">
        <f t="shared" si="16"/>
        <v>56.39</v>
      </c>
      <c r="J166" s="38">
        <f t="shared" si="17"/>
        <v>8.0063675676502459</v>
      </c>
      <c r="K166" s="38">
        <f t="shared" si="18"/>
        <v>4.0322918378190904</v>
      </c>
      <c r="L166" s="39">
        <f t="shared" si="19"/>
        <v>1.7733640716439084E-2</v>
      </c>
      <c r="M166" s="39">
        <f t="shared" si="20"/>
        <v>0.97131150470857619</v>
      </c>
      <c r="N166" s="39">
        <f t="shared" si="21"/>
        <v>53.200922149317257</v>
      </c>
      <c r="O166" s="40">
        <f>1</f>
        <v>1</v>
      </c>
      <c r="P166" s="38">
        <f>INDEX(Cables!$AS:$AS,MATCH(B166,Cables!$A:$A,0))+INDEX(Cables!$AT:$AT,MATCH(B166,Cables!$A:$A,0))*SQRT(C166)+INDEX(Cables!$AU:$AU,MATCH(B166,Cables!$A:$A,0))*C166</f>
        <v>56.388413246199931</v>
      </c>
      <c r="Q166" s="41">
        <f t="shared" si="22"/>
        <v>-2.813892179587274E-5</v>
      </c>
      <c r="R166" s="39">
        <f t="shared" si="23"/>
        <v>7.9179891983424194E-10</v>
      </c>
      <c r="S166" s="40" t="b">
        <f>IF(B166=B165,C166&gt;C165,COUNTIF(B$1:B165,B166)=0)</f>
        <v>1</v>
      </c>
      <c r="T166" s="37"/>
    </row>
    <row r="167" spans="1:20" x14ac:dyDescent="0.25">
      <c r="A167" s="37" t="s">
        <v>884</v>
      </c>
      <c r="B167" s="37" t="s">
        <v>300</v>
      </c>
      <c r="C167" s="37">
        <v>4000</v>
      </c>
      <c r="D167" s="37">
        <v>66.19</v>
      </c>
      <c r="E167" s="37" t="s">
        <v>771</v>
      </c>
      <c r="F167" s="37">
        <v>20</v>
      </c>
      <c r="G167" s="37" t="s">
        <v>311</v>
      </c>
      <c r="H167" s="37" t="s">
        <v>867</v>
      </c>
      <c r="I167" s="38">
        <f t="shared" si="16"/>
        <v>66.19</v>
      </c>
      <c r="J167" s="38">
        <f t="shared" si="17"/>
        <v>8.2940496401020276</v>
      </c>
      <c r="K167" s="38">
        <f t="shared" si="18"/>
        <v>4.1925293941308315</v>
      </c>
      <c r="L167" s="39">
        <f t="shared" si="19"/>
        <v>1.5108022359873094E-2</v>
      </c>
      <c r="M167" s="39">
        <f t="shared" si="20"/>
        <v>0.95551523195902077</v>
      </c>
      <c r="N167" s="39">
        <f t="shared" si="21"/>
        <v>60.432089439492373</v>
      </c>
      <c r="O167" s="40">
        <f>1</f>
        <v>1</v>
      </c>
      <c r="P167" s="38">
        <f>INDEX(Cables!$AS:$AS,MATCH(B167,Cables!$A:$A,0))+INDEX(Cables!$AT:$AT,MATCH(B167,Cables!$A:$A,0))*SQRT(C167)+INDEX(Cables!$AU:$AU,MATCH(B167,Cables!$A:$A,0))*C167</f>
        <v>66.184122251904142</v>
      </c>
      <c r="Q167" s="41">
        <f t="shared" si="22"/>
        <v>-8.8801149657924405E-5</v>
      </c>
      <c r="R167" s="39">
        <f t="shared" si="23"/>
        <v>7.8856441805690884E-9</v>
      </c>
      <c r="S167" s="40" t="b">
        <f>IF(B167=B166,C167&gt;C166,COUNTIF(B$1:B166,B167)=0)</f>
        <v>1</v>
      </c>
      <c r="T167" s="37"/>
    </row>
    <row r="168" spans="1:20" x14ac:dyDescent="0.25">
      <c r="A168" s="37" t="s">
        <v>885</v>
      </c>
      <c r="B168" s="37" t="s">
        <v>300</v>
      </c>
      <c r="C168" s="37">
        <v>5000</v>
      </c>
      <c r="D168" s="37">
        <v>75.05</v>
      </c>
      <c r="E168" s="37" t="s">
        <v>771</v>
      </c>
      <c r="F168" s="37">
        <v>20</v>
      </c>
      <c r="G168" s="37" t="s">
        <v>311</v>
      </c>
      <c r="H168" s="37" t="s">
        <v>867</v>
      </c>
      <c r="I168" s="38">
        <f t="shared" si="16"/>
        <v>75.05</v>
      </c>
      <c r="J168" s="38">
        <f t="shared" si="17"/>
        <v>8.5171931914162382</v>
      </c>
      <c r="K168" s="38">
        <f t="shared" si="18"/>
        <v>4.3181545580794714</v>
      </c>
      <c r="L168" s="39">
        <f t="shared" si="19"/>
        <v>1.3324450366422385E-2</v>
      </c>
      <c r="M168" s="39">
        <f t="shared" si="20"/>
        <v>0.9421809209680847</v>
      </c>
      <c r="N168" s="39">
        <f t="shared" si="21"/>
        <v>66.622251832111928</v>
      </c>
      <c r="O168" s="40">
        <f>1</f>
        <v>1</v>
      </c>
      <c r="P168" s="38">
        <f>INDEX(Cables!$AS:$AS,MATCH(B168,Cables!$A:$A,0))+INDEX(Cables!$AT:$AT,MATCH(B168,Cables!$A:$A,0))*SQRT(C168)+INDEX(Cables!$AU:$AU,MATCH(B168,Cables!$A:$A,0))*C168</f>
        <v>75.052505923844777</v>
      </c>
      <c r="Q168" s="41">
        <f t="shared" si="22"/>
        <v>3.3390057891713454E-5</v>
      </c>
      <c r="R168" s="39">
        <f t="shared" si="23"/>
        <v>1.1148959660119759E-9</v>
      </c>
      <c r="S168" s="40" t="b">
        <f>IF(B168=B167,C168&gt;C167,COUNTIF(B$1:B167,B168)=0)</f>
        <v>1</v>
      </c>
      <c r="T168" s="37"/>
    </row>
    <row r="169" spans="1:20" x14ac:dyDescent="0.25">
      <c r="A169" s="37" t="s">
        <v>886</v>
      </c>
      <c r="B169" s="37" t="s">
        <v>300</v>
      </c>
      <c r="C169" s="37">
        <v>10000</v>
      </c>
      <c r="D169" s="37">
        <v>112</v>
      </c>
      <c r="E169" s="37" t="s">
        <v>771</v>
      </c>
      <c r="F169" s="37">
        <v>20</v>
      </c>
      <c r="G169" s="37" t="s">
        <v>311</v>
      </c>
      <c r="H169" s="37" t="s">
        <v>867</v>
      </c>
      <c r="I169" s="38">
        <f t="shared" si="16"/>
        <v>112</v>
      </c>
      <c r="J169" s="38">
        <f t="shared" si="17"/>
        <v>9.2103403719761836</v>
      </c>
      <c r="K169" s="38">
        <f t="shared" si="18"/>
        <v>4.7184988712950942</v>
      </c>
      <c r="L169" s="39">
        <f t="shared" si="19"/>
        <v>8.9285714285714281E-3</v>
      </c>
      <c r="M169" s="39">
        <f t="shared" si="20"/>
        <v>0.8928571428571429</v>
      </c>
      <c r="N169" s="39">
        <f t="shared" si="21"/>
        <v>89.285714285714292</v>
      </c>
      <c r="O169" s="40">
        <f>1</f>
        <v>1</v>
      </c>
      <c r="P169" s="38">
        <f>INDEX(Cables!$AS:$AS,MATCH(B169,Cables!$A:$A,0))+INDEX(Cables!$AT:$AT,MATCH(B169,Cables!$A:$A,0))*SQRT(C169)+INDEX(Cables!$AU:$AU,MATCH(B169,Cables!$A:$A,0))*C169</f>
        <v>112.00256743238006</v>
      </c>
      <c r="Q169" s="41">
        <f t="shared" si="22"/>
        <v>2.2923503393501576E-5</v>
      </c>
      <c r="R169" s="39">
        <f t="shared" si="23"/>
        <v>5.2548700783187827E-10</v>
      </c>
      <c r="S169" s="40" t="b">
        <f>IF(B169=B168,C169&gt;C168,COUNTIF(B$1:B168,B169)=0)</f>
        <v>1</v>
      </c>
      <c r="T169" s="37"/>
    </row>
    <row r="170" spans="1:20" x14ac:dyDescent="0.25">
      <c r="A170" s="37" t="s">
        <v>887</v>
      </c>
      <c r="B170" s="37" t="s">
        <v>313</v>
      </c>
      <c r="C170" s="37">
        <v>1.8</v>
      </c>
      <c r="D170" s="37">
        <v>1.7</v>
      </c>
      <c r="E170" s="37" t="s">
        <v>771</v>
      </c>
      <c r="F170" s="37">
        <v>20</v>
      </c>
      <c r="G170" s="37" t="s">
        <v>320</v>
      </c>
      <c r="H170" s="37" t="s">
        <v>888</v>
      </c>
      <c r="I170" s="38">
        <f t="shared" si="16"/>
        <v>1.7</v>
      </c>
      <c r="J170" s="38">
        <f t="shared" si="17"/>
        <v>0.58778666490211906</v>
      </c>
      <c r="K170" s="38">
        <f t="shared" si="18"/>
        <v>0.53062825106217038</v>
      </c>
      <c r="L170" s="39">
        <f t="shared" si="19"/>
        <v>0.58823529411764708</v>
      </c>
      <c r="M170" s="39">
        <f t="shared" si="20"/>
        <v>0.78920046264698462</v>
      </c>
      <c r="N170" s="39">
        <f t="shared" si="21"/>
        <v>1.0588235294117647</v>
      </c>
      <c r="O170" s="40">
        <f>1</f>
        <v>1</v>
      </c>
      <c r="P170" s="38">
        <f>INDEX(Cables!$AS:$AS,MATCH(B170,Cables!$A:$A,0))+INDEX(Cables!$AT:$AT,MATCH(B170,Cables!$A:$A,0))*SQRT(C170)+INDEX(Cables!$AU:$AU,MATCH(B170,Cables!$A:$A,0))*C170</f>
        <v>1.7807346566084379</v>
      </c>
      <c r="Q170" s="41">
        <f t="shared" si="22"/>
        <v>4.7490974475551617E-2</v>
      </c>
      <c r="R170" s="39">
        <f t="shared" si="23"/>
        <v>2.2553926566374954E-3</v>
      </c>
      <c r="S170" s="40" t="b">
        <f>IF(B170=B169,C170&gt;C169,COUNTIF(B$1:B169,B170)=0)</f>
        <v>1</v>
      </c>
      <c r="T170" s="37"/>
    </row>
    <row r="171" spans="1:20" x14ac:dyDescent="0.25">
      <c r="A171" s="37" t="s">
        <v>889</v>
      </c>
      <c r="B171" s="37" t="s">
        <v>313</v>
      </c>
      <c r="C171" s="37">
        <v>3.5</v>
      </c>
      <c r="D171" s="37">
        <v>2.2999999999999998</v>
      </c>
      <c r="E171" s="37" t="s">
        <v>771</v>
      </c>
      <c r="F171" s="37">
        <v>20</v>
      </c>
      <c r="G171" s="37" t="s">
        <v>320</v>
      </c>
      <c r="H171" s="37" t="s">
        <v>888</v>
      </c>
      <c r="I171" s="38">
        <f t="shared" si="16"/>
        <v>2.2999999999999998</v>
      </c>
      <c r="J171" s="38">
        <f t="shared" si="17"/>
        <v>1.2527629684953681</v>
      </c>
      <c r="K171" s="38">
        <f t="shared" si="18"/>
        <v>0.83290912293510388</v>
      </c>
      <c r="L171" s="39">
        <f t="shared" si="19"/>
        <v>0.43478260869565222</v>
      </c>
      <c r="M171" s="39">
        <f t="shared" si="20"/>
        <v>0.81340377973346556</v>
      </c>
      <c r="N171" s="39">
        <f t="shared" si="21"/>
        <v>1.5217391304347827</v>
      </c>
      <c r="O171" s="40">
        <f>1</f>
        <v>1</v>
      </c>
      <c r="P171" s="38">
        <f>INDEX(Cables!$AS:$AS,MATCH(B171,Cables!$A:$A,0))+INDEX(Cables!$AT:$AT,MATCH(B171,Cables!$A:$A,0))*SQRT(C171)+INDEX(Cables!$AU:$AU,MATCH(B171,Cables!$A:$A,0))*C171</f>
        <v>2.2509381017392114</v>
      </c>
      <c r="Q171" s="41">
        <f t="shared" si="22"/>
        <v>-2.1331260113386263E-2</v>
      </c>
      <c r="R171" s="39">
        <f t="shared" si="23"/>
        <v>4.5502265802494375E-4</v>
      </c>
      <c r="S171" s="40" t="b">
        <f>IF(B171=B170,C171&gt;C170,COUNTIF(B$1:B170,B171)=0)</f>
        <v>1</v>
      </c>
      <c r="T171" s="37"/>
    </row>
    <row r="172" spans="1:20" x14ac:dyDescent="0.25">
      <c r="A172" s="37" t="s">
        <v>890</v>
      </c>
      <c r="B172" s="37" t="s">
        <v>313</v>
      </c>
      <c r="C172" s="37">
        <v>7</v>
      </c>
      <c r="D172" s="37">
        <v>3</v>
      </c>
      <c r="E172" s="37" t="s">
        <v>771</v>
      </c>
      <c r="F172" s="37">
        <v>20</v>
      </c>
      <c r="G172" s="37" t="s">
        <v>320</v>
      </c>
      <c r="H172" s="37" t="s">
        <v>888</v>
      </c>
      <c r="I172" s="38">
        <f t="shared" si="16"/>
        <v>3</v>
      </c>
      <c r="J172" s="38">
        <f t="shared" si="17"/>
        <v>1.9459101490553132</v>
      </c>
      <c r="K172" s="38">
        <f t="shared" si="18"/>
        <v>1.0986122886681098</v>
      </c>
      <c r="L172" s="39">
        <f t="shared" si="19"/>
        <v>0.33333333333333331</v>
      </c>
      <c r="M172" s="39">
        <f t="shared" si="20"/>
        <v>0.88191710368819687</v>
      </c>
      <c r="N172" s="39">
        <f t="shared" si="21"/>
        <v>2.3333333333333335</v>
      </c>
      <c r="O172" s="40">
        <f>1</f>
        <v>1</v>
      </c>
      <c r="P172" s="38">
        <f>INDEX(Cables!$AS:$AS,MATCH(B172,Cables!$A:$A,0))+INDEX(Cables!$AT:$AT,MATCH(B172,Cables!$A:$A,0))*SQRT(C172)+INDEX(Cables!$AU:$AU,MATCH(B172,Cables!$A:$A,0))*C172</f>
        <v>2.9406347999132567</v>
      </c>
      <c r="Q172" s="41">
        <f t="shared" si="22"/>
        <v>-1.9788400028914466E-2</v>
      </c>
      <c r="R172" s="39">
        <f t="shared" si="23"/>
        <v>3.91580775704342E-4</v>
      </c>
      <c r="S172" s="40" t="b">
        <f>IF(B172=B171,C172&gt;C171,COUNTIF(B$1:B171,B172)=0)</f>
        <v>1</v>
      </c>
      <c r="T172" s="37"/>
    </row>
    <row r="173" spans="1:20" x14ac:dyDescent="0.25">
      <c r="A173" s="37" t="s">
        <v>891</v>
      </c>
      <c r="B173" s="37" t="s">
        <v>313</v>
      </c>
      <c r="C173" s="37">
        <v>10</v>
      </c>
      <c r="D173" s="37">
        <v>3.4</v>
      </c>
      <c r="E173" s="37" t="s">
        <v>771</v>
      </c>
      <c r="F173" s="37">
        <v>20</v>
      </c>
      <c r="G173" s="37" t="s">
        <v>320</v>
      </c>
      <c r="H173" s="37" t="s">
        <v>888</v>
      </c>
      <c r="I173" s="38">
        <f t="shared" si="16"/>
        <v>3.4</v>
      </c>
      <c r="J173" s="38">
        <f t="shared" si="17"/>
        <v>2.3025850929940459</v>
      </c>
      <c r="K173" s="38">
        <f t="shared" si="18"/>
        <v>1.2237754316221157</v>
      </c>
      <c r="L173" s="39">
        <f t="shared" si="19"/>
        <v>0.29411764705882354</v>
      </c>
      <c r="M173" s="39">
        <f t="shared" si="20"/>
        <v>0.93008166475540577</v>
      </c>
      <c r="N173" s="39">
        <f t="shared" si="21"/>
        <v>2.9411764705882355</v>
      </c>
      <c r="O173" s="40">
        <f>1</f>
        <v>1</v>
      </c>
      <c r="P173" s="38">
        <f>INDEX(Cables!$AS:$AS,MATCH(B173,Cables!$A:$A,0))+INDEX(Cables!$AT:$AT,MATCH(B173,Cables!$A:$A,0))*SQRT(C173)+INDEX(Cables!$AU:$AU,MATCH(B173,Cables!$A:$A,0))*C173</f>
        <v>3.4011118492035681</v>
      </c>
      <c r="Q173" s="41">
        <f t="shared" si="22"/>
        <v>3.270144716376322E-4</v>
      </c>
      <c r="R173" s="39">
        <f t="shared" si="23"/>
        <v>1.0693846466043976E-7</v>
      </c>
      <c r="S173" s="40" t="b">
        <f>IF(B173=B172,C173&gt;C172,COUNTIF(B$1:B172,B173)=0)</f>
        <v>1</v>
      </c>
      <c r="T173" s="37"/>
    </row>
    <row r="174" spans="1:20" x14ac:dyDescent="0.25">
      <c r="A174" s="37" t="s">
        <v>892</v>
      </c>
      <c r="B174" s="37" t="s">
        <v>313</v>
      </c>
      <c r="C174" s="37">
        <v>14</v>
      </c>
      <c r="D174" s="37">
        <v>4</v>
      </c>
      <c r="E174" s="37" t="s">
        <v>771</v>
      </c>
      <c r="F174" s="37">
        <v>20</v>
      </c>
      <c r="G174" s="37" t="s">
        <v>320</v>
      </c>
      <c r="H174" s="37" t="s">
        <v>888</v>
      </c>
      <c r="I174" s="38">
        <f t="shared" si="16"/>
        <v>4</v>
      </c>
      <c r="J174" s="38">
        <f t="shared" si="17"/>
        <v>2.6390573296152584</v>
      </c>
      <c r="K174" s="38">
        <f t="shared" si="18"/>
        <v>1.3862943611198906</v>
      </c>
      <c r="L174" s="39">
        <f t="shared" si="19"/>
        <v>0.25</v>
      </c>
      <c r="M174" s="39">
        <f t="shared" si="20"/>
        <v>0.93541434669348533</v>
      </c>
      <c r="N174" s="39">
        <f t="shared" si="21"/>
        <v>3.5</v>
      </c>
      <c r="O174" s="40">
        <f>1</f>
        <v>1</v>
      </c>
      <c r="P174" s="38">
        <f>INDEX(Cables!$AS:$AS,MATCH(B174,Cables!$A:$A,0))+INDEX(Cables!$AT:$AT,MATCH(B174,Cables!$A:$A,0))*SQRT(C174)+INDEX(Cables!$AU:$AU,MATCH(B174,Cables!$A:$A,0))*C174</f>
        <v>3.9183436415595763</v>
      </c>
      <c r="Q174" s="41">
        <f t="shared" si="22"/>
        <v>-2.0414089610105934E-2</v>
      </c>
      <c r="R174" s="39">
        <f t="shared" si="23"/>
        <v>4.1673505460943508E-4</v>
      </c>
      <c r="S174" s="40" t="b">
        <f>IF(B174=B173,C174&gt;C173,COUNTIF(B$1:B173,B174)=0)</f>
        <v>1</v>
      </c>
      <c r="T174" s="37"/>
    </row>
    <row r="175" spans="1:20" x14ac:dyDescent="0.25">
      <c r="A175" s="37" t="s">
        <v>893</v>
      </c>
      <c r="B175" s="37" t="s">
        <v>313</v>
      </c>
      <c r="C175" s="37">
        <v>21</v>
      </c>
      <c r="D175" s="37">
        <v>4.8</v>
      </c>
      <c r="E175" s="37" t="s">
        <v>771</v>
      </c>
      <c r="F175" s="37">
        <v>20</v>
      </c>
      <c r="G175" s="37" t="s">
        <v>320</v>
      </c>
      <c r="H175" s="37" t="s">
        <v>888</v>
      </c>
      <c r="I175" s="38">
        <f t="shared" si="16"/>
        <v>4.8</v>
      </c>
      <c r="J175" s="38">
        <f t="shared" si="17"/>
        <v>3.044522437723423</v>
      </c>
      <c r="K175" s="38">
        <f t="shared" si="18"/>
        <v>1.5686159179138452</v>
      </c>
      <c r="L175" s="39">
        <f t="shared" si="19"/>
        <v>0.20833333333333334</v>
      </c>
      <c r="M175" s="39">
        <f t="shared" si="20"/>
        <v>0.95470326978246667</v>
      </c>
      <c r="N175" s="39">
        <f t="shared" si="21"/>
        <v>4.375</v>
      </c>
      <c r="O175" s="40">
        <f>1</f>
        <v>1</v>
      </c>
      <c r="P175" s="38">
        <f>INDEX(Cables!$AS:$AS,MATCH(B175,Cables!$A:$A,0))+INDEX(Cables!$AT:$AT,MATCH(B175,Cables!$A:$A,0))*SQRT(C175)+INDEX(Cables!$AU:$AU,MATCH(B175,Cables!$A:$A,0))*C175</f>
        <v>4.6704172947071481</v>
      </c>
      <c r="Q175" s="41">
        <f t="shared" si="22"/>
        <v>-2.6996396936010747E-2</v>
      </c>
      <c r="R175" s="39">
        <f t="shared" si="23"/>
        <v>7.2880544752665041E-4</v>
      </c>
      <c r="S175" s="40" t="b">
        <f>IF(B175=B174,C175&gt;C174,COUNTIF(B$1:B174,B175)=0)</f>
        <v>1</v>
      </c>
      <c r="T175" s="37"/>
    </row>
    <row r="176" spans="1:20" x14ac:dyDescent="0.25">
      <c r="A176" s="37" t="s">
        <v>894</v>
      </c>
      <c r="B176" s="37" t="s">
        <v>313</v>
      </c>
      <c r="C176" s="37">
        <v>28</v>
      </c>
      <c r="D176" s="37">
        <v>5.5</v>
      </c>
      <c r="E176" s="37" t="s">
        <v>771</v>
      </c>
      <c r="F176" s="37">
        <v>20</v>
      </c>
      <c r="G176" s="37" t="s">
        <v>320</v>
      </c>
      <c r="H176" s="37" t="s">
        <v>888</v>
      </c>
      <c r="I176" s="38">
        <f t="shared" si="16"/>
        <v>5.5</v>
      </c>
      <c r="J176" s="38">
        <f t="shared" si="17"/>
        <v>3.3322045101752038</v>
      </c>
      <c r="K176" s="38">
        <f t="shared" si="18"/>
        <v>1.7047480922384253</v>
      </c>
      <c r="L176" s="39">
        <f t="shared" si="19"/>
        <v>0.18181818181818182</v>
      </c>
      <c r="M176" s="39">
        <f t="shared" si="20"/>
        <v>0.96209138584166931</v>
      </c>
      <c r="N176" s="39">
        <f t="shared" si="21"/>
        <v>5.0909090909090908</v>
      </c>
      <c r="O176" s="40">
        <f>1</f>
        <v>1</v>
      </c>
      <c r="P176" s="38">
        <f>INDEX(Cables!$AS:$AS,MATCH(B176,Cables!$A:$A,0))+INDEX(Cables!$AT:$AT,MATCH(B176,Cables!$A:$A,0))*SQRT(C176)+INDEX(Cables!$AU:$AU,MATCH(B176,Cables!$A:$A,0))*C176</f>
        <v>5.3056935797971736</v>
      </c>
      <c r="Q176" s="41">
        <f t="shared" si="22"/>
        <v>-3.5328440036877518E-2</v>
      </c>
      <c r="R176" s="39">
        <f t="shared" si="23"/>
        <v>1.2480986754392503E-3</v>
      </c>
      <c r="S176" s="40" t="b">
        <f>IF(B176=B175,C176&gt;C175,COUNTIF(B$1:B175,B176)=0)</f>
        <v>1</v>
      </c>
      <c r="T176" s="37"/>
    </row>
    <row r="177" spans="1:20" x14ac:dyDescent="0.25">
      <c r="A177" s="37" t="s">
        <v>895</v>
      </c>
      <c r="B177" s="37" t="s">
        <v>313</v>
      </c>
      <c r="C177" s="37">
        <v>50</v>
      </c>
      <c r="D177" s="37">
        <v>7.1</v>
      </c>
      <c r="E177" s="37" t="s">
        <v>771</v>
      </c>
      <c r="F177" s="37">
        <v>20</v>
      </c>
      <c r="G177" s="37" t="s">
        <v>320</v>
      </c>
      <c r="H177" s="37" t="s">
        <v>888</v>
      </c>
      <c r="I177" s="38">
        <f t="shared" si="16"/>
        <v>7.1</v>
      </c>
      <c r="J177" s="38">
        <f t="shared" si="17"/>
        <v>3.912023005428146</v>
      </c>
      <c r="K177" s="38">
        <f t="shared" si="18"/>
        <v>1.9600947840472698</v>
      </c>
      <c r="L177" s="39">
        <f t="shared" si="19"/>
        <v>0.14084507042253522</v>
      </c>
      <c r="M177" s="39">
        <f t="shared" si="20"/>
        <v>0.99592504392471493</v>
      </c>
      <c r="N177" s="39">
        <f t="shared" si="21"/>
        <v>7.042253521126761</v>
      </c>
      <c r="O177" s="40">
        <f>1</f>
        <v>1</v>
      </c>
      <c r="P177" s="38">
        <f>INDEX(Cables!$AS:$AS,MATCH(B177,Cables!$A:$A,0))+INDEX(Cables!$AT:$AT,MATCH(B177,Cables!$A:$A,0))*SQRT(C177)+INDEX(Cables!$AU:$AU,MATCH(B177,Cables!$A:$A,0))*C177</f>
        <v>6.905412754951314</v>
      </c>
      <c r="Q177" s="41">
        <f t="shared" si="22"/>
        <v>-2.7406654232209227E-2</v>
      </c>
      <c r="R177" s="39">
        <f t="shared" si="23"/>
        <v>7.5112469620387194E-4</v>
      </c>
      <c r="S177" s="40" t="b">
        <f>IF(B177=B176,C177&gt;C176,COUNTIF(B$1:B176,B177)=0)</f>
        <v>1</v>
      </c>
      <c r="T177" s="37"/>
    </row>
    <row r="178" spans="1:20" x14ac:dyDescent="0.25">
      <c r="A178" s="37" t="s">
        <v>896</v>
      </c>
      <c r="B178" s="37" t="s">
        <v>313</v>
      </c>
      <c r="C178" s="37">
        <v>100</v>
      </c>
      <c r="D178" s="37">
        <v>9.4</v>
      </c>
      <c r="E178" s="37" t="s">
        <v>771</v>
      </c>
      <c r="F178" s="37">
        <v>20</v>
      </c>
      <c r="G178" s="37" t="s">
        <v>320</v>
      </c>
      <c r="H178" s="37" t="s">
        <v>888</v>
      </c>
      <c r="I178" s="38">
        <f t="shared" si="16"/>
        <v>9.4</v>
      </c>
      <c r="J178" s="38">
        <f t="shared" si="17"/>
        <v>4.6051701859880918</v>
      </c>
      <c r="K178" s="38">
        <f t="shared" si="18"/>
        <v>2.2407096892759584</v>
      </c>
      <c r="L178" s="39">
        <f t="shared" si="19"/>
        <v>0.10638297872340426</v>
      </c>
      <c r="M178" s="39">
        <f t="shared" si="20"/>
        <v>1.0638297872340425</v>
      </c>
      <c r="N178" s="39">
        <f t="shared" si="21"/>
        <v>10.638297872340425</v>
      </c>
      <c r="O178" s="40">
        <f>1</f>
        <v>1</v>
      </c>
      <c r="P178" s="38">
        <f>INDEX(Cables!$AS:$AS,MATCH(B178,Cables!$A:$A,0))+INDEX(Cables!$AT:$AT,MATCH(B178,Cables!$A:$A,0))*SQRT(C178)+INDEX(Cables!$AU:$AU,MATCH(B178,Cables!$A:$A,0))*C178</f>
        <v>9.5540172368235776</v>
      </c>
      <c r="Q178" s="41">
        <f t="shared" si="22"/>
        <v>1.638481242804013E-2</v>
      </c>
      <c r="R178" s="39">
        <f t="shared" si="23"/>
        <v>2.6846207830205827E-4</v>
      </c>
      <c r="S178" s="40" t="b">
        <f>IF(B178=B177,C178&gt;C177,COUNTIF(B$1:B177,B178)=0)</f>
        <v>1</v>
      </c>
      <c r="T178" s="37"/>
    </row>
    <row r="179" spans="1:20" x14ac:dyDescent="0.25">
      <c r="A179" s="37" t="s">
        <v>897</v>
      </c>
      <c r="B179" s="37" t="s">
        <v>313</v>
      </c>
      <c r="C179" s="37">
        <v>144</v>
      </c>
      <c r="D179" s="37">
        <v>11.1</v>
      </c>
      <c r="E179" s="37" t="s">
        <v>771</v>
      </c>
      <c r="F179" s="37">
        <v>20</v>
      </c>
      <c r="G179" s="37" t="s">
        <v>320</v>
      </c>
      <c r="H179" s="37" t="s">
        <v>888</v>
      </c>
      <c r="I179" s="38">
        <f t="shared" si="16"/>
        <v>11.1</v>
      </c>
      <c r="J179" s="38">
        <f t="shared" si="17"/>
        <v>4.9698132995760007</v>
      </c>
      <c r="K179" s="38">
        <f t="shared" si="18"/>
        <v>2.4069451083182885</v>
      </c>
      <c r="L179" s="39">
        <f t="shared" si="19"/>
        <v>9.00900900900901E-2</v>
      </c>
      <c r="M179" s="39">
        <f t="shared" si="20"/>
        <v>1.0810810810810811</v>
      </c>
      <c r="N179" s="39">
        <f t="shared" si="21"/>
        <v>12.972972972972974</v>
      </c>
      <c r="O179" s="40">
        <f>1</f>
        <v>1</v>
      </c>
      <c r="P179" s="38">
        <f>INDEX(Cables!$AS:$AS,MATCH(B179,Cables!$A:$A,0))+INDEX(Cables!$AT:$AT,MATCH(B179,Cables!$A:$A,0))*SQRT(C179)+INDEX(Cables!$AU:$AU,MATCH(B179,Cables!$A:$A,0))*C179</f>
        <v>11.37380243561922</v>
      </c>
      <c r="Q179" s="41">
        <f t="shared" si="22"/>
        <v>2.4666886091821771E-2</v>
      </c>
      <c r="R179" s="39">
        <f t="shared" si="23"/>
        <v>6.0845526946691031E-4</v>
      </c>
      <c r="S179" s="40" t="b">
        <f>IF(B179=B178,C179&gt;C178,COUNTIF(B$1:B178,B179)=0)</f>
        <v>1</v>
      </c>
      <c r="T179" s="37"/>
    </row>
    <row r="180" spans="1:20" x14ac:dyDescent="0.25">
      <c r="A180" s="37" t="s">
        <v>898</v>
      </c>
      <c r="B180" s="37" t="s">
        <v>313</v>
      </c>
      <c r="C180" s="37">
        <v>200</v>
      </c>
      <c r="D180" s="37">
        <v>12.8</v>
      </c>
      <c r="E180" s="37" t="s">
        <v>771</v>
      </c>
      <c r="F180" s="37">
        <v>20</v>
      </c>
      <c r="G180" s="37" t="s">
        <v>320</v>
      </c>
      <c r="H180" s="37" t="s">
        <v>888</v>
      </c>
      <c r="I180" s="38">
        <f t="shared" si="16"/>
        <v>12.8</v>
      </c>
      <c r="J180" s="38">
        <f t="shared" si="17"/>
        <v>5.2983173665480363</v>
      </c>
      <c r="K180" s="38">
        <f t="shared" si="18"/>
        <v>2.5494451709255714</v>
      </c>
      <c r="L180" s="39">
        <f t="shared" si="19"/>
        <v>7.8125E-2</v>
      </c>
      <c r="M180" s="39">
        <f t="shared" si="20"/>
        <v>1.1048543456039805</v>
      </c>
      <c r="N180" s="39">
        <f t="shared" si="21"/>
        <v>15.625</v>
      </c>
      <c r="O180" s="40">
        <f>1</f>
        <v>1</v>
      </c>
      <c r="P180" s="38">
        <f>INDEX(Cables!$AS:$AS,MATCH(B180,Cables!$A:$A,0))+INDEX(Cables!$AT:$AT,MATCH(B180,Cables!$A:$A,0))*SQRT(C180)+INDEX(Cables!$AU:$AU,MATCH(B180,Cables!$A:$A,0))*C180</f>
        <v>13.333001290230097</v>
      </c>
      <c r="Q180" s="41">
        <f t="shared" si="22"/>
        <v>4.1640725799226175E-2</v>
      </c>
      <c r="R180" s="39">
        <f t="shared" si="23"/>
        <v>1.7339500450863404E-3</v>
      </c>
      <c r="S180" s="40" t="b">
        <f>IF(B180=B179,C180&gt;C179,COUNTIF(B$1:B179,B180)=0)</f>
        <v>1</v>
      </c>
      <c r="T180" s="37"/>
    </row>
    <row r="181" spans="1:20" x14ac:dyDescent="0.25">
      <c r="A181" s="37" t="s">
        <v>899</v>
      </c>
      <c r="B181" s="37" t="s">
        <v>313</v>
      </c>
      <c r="C181" s="37">
        <v>400</v>
      </c>
      <c r="D181" s="37">
        <v>18.3</v>
      </c>
      <c r="E181" s="37" t="s">
        <v>771</v>
      </c>
      <c r="F181" s="37">
        <v>20</v>
      </c>
      <c r="G181" s="37" t="s">
        <v>320</v>
      </c>
      <c r="H181" s="37" t="s">
        <v>888</v>
      </c>
      <c r="I181" s="38">
        <f t="shared" si="16"/>
        <v>18.3</v>
      </c>
      <c r="J181" s="38">
        <f t="shared" si="17"/>
        <v>5.9914645471079817</v>
      </c>
      <c r="K181" s="38">
        <f t="shared" si="18"/>
        <v>2.9069010598473755</v>
      </c>
      <c r="L181" s="39">
        <f t="shared" si="19"/>
        <v>5.4644808743169397E-2</v>
      </c>
      <c r="M181" s="39">
        <f t="shared" si="20"/>
        <v>1.0928961748633879</v>
      </c>
      <c r="N181" s="39">
        <f t="shared" si="21"/>
        <v>21.857923497267759</v>
      </c>
      <c r="O181" s="40">
        <f>1</f>
        <v>1</v>
      </c>
      <c r="P181" s="38">
        <f>INDEX(Cables!$AS:$AS,MATCH(B181,Cables!$A:$A,0))+INDEX(Cables!$AT:$AT,MATCH(B181,Cables!$A:$A,0))*SQRT(C181)+INDEX(Cables!$AU:$AU,MATCH(B181,Cables!$A:$A,0))*C181</f>
        <v>18.743875138110443</v>
      </c>
      <c r="Q181" s="41">
        <f t="shared" si="22"/>
        <v>2.4255472027893132E-2</v>
      </c>
      <c r="R181" s="39">
        <f t="shared" si="23"/>
        <v>5.8832792329590624E-4</v>
      </c>
      <c r="S181" s="40" t="b">
        <f>IF(B181=B180,C181&gt;C180,COUNTIF(B$1:B180,B181)=0)</f>
        <v>1</v>
      </c>
      <c r="T181" s="37"/>
    </row>
    <row r="182" spans="1:20" x14ac:dyDescent="0.25">
      <c r="A182" s="37" t="s">
        <v>900</v>
      </c>
      <c r="B182" s="37" t="s">
        <v>313</v>
      </c>
      <c r="C182" s="37">
        <v>430</v>
      </c>
      <c r="D182" s="37">
        <v>19</v>
      </c>
      <c r="E182" s="37" t="s">
        <v>771</v>
      </c>
      <c r="F182" s="37">
        <v>20</v>
      </c>
      <c r="G182" s="37" t="s">
        <v>320</v>
      </c>
      <c r="H182" s="37" t="s">
        <v>888</v>
      </c>
      <c r="I182" s="38">
        <f t="shared" si="16"/>
        <v>19</v>
      </c>
      <c r="J182" s="38">
        <f t="shared" si="17"/>
        <v>6.0637852086876078</v>
      </c>
      <c r="K182" s="38">
        <f t="shared" si="18"/>
        <v>2.9444389791664403</v>
      </c>
      <c r="L182" s="39">
        <f t="shared" si="19"/>
        <v>5.2631578947368418E-2</v>
      </c>
      <c r="M182" s="39">
        <f t="shared" si="20"/>
        <v>1.0913916501751431</v>
      </c>
      <c r="N182" s="39">
        <f t="shared" si="21"/>
        <v>22.631578947368421</v>
      </c>
      <c r="O182" s="40">
        <f>1</f>
        <v>1</v>
      </c>
      <c r="P182" s="38">
        <f>INDEX(Cables!$AS:$AS,MATCH(B182,Cables!$A:$A,0))+INDEX(Cables!$AT:$AT,MATCH(B182,Cables!$A:$A,0))*SQRT(C182)+INDEX(Cables!$AU:$AU,MATCH(B182,Cables!$A:$A,0))*C182</f>
        <v>19.429641485992853</v>
      </c>
      <c r="Q182" s="41">
        <f t="shared" si="22"/>
        <v>2.2612709789097574E-2</v>
      </c>
      <c r="R182" s="39">
        <f t="shared" si="23"/>
        <v>5.1133464400594927E-4</v>
      </c>
      <c r="S182" s="40" t="b">
        <f>IF(B182=B181,C182&gt;C181,COUNTIF(B$1:B181,B182)=0)</f>
        <v>1</v>
      </c>
      <c r="T182" s="37"/>
    </row>
    <row r="183" spans="1:20" x14ac:dyDescent="0.25">
      <c r="A183" s="37" t="s">
        <v>901</v>
      </c>
      <c r="B183" s="37" t="s">
        <v>313</v>
      </c>
      <c r="C183" s="37">
        <v>800</v>
      </c>
      <c r="D183" s="37">
        <v>26.5</v>
      </c>
      <c r="E183" s="37" t="s">
        <v>771</v>
      </c>
      <c r="F183" s="37">
        <v>20</v>
      </c>
      <c r="G183" s="37" t="s">
        <v>320</v>
      </c>
      <c r="H183" s="37" t="s">
        <v>888</v>
      </c>
      <c r="I183" s="38">
        <f t="shared" si="16"/>
        <v>26.5</v>
      </c>
      <c r="J183" s="38">
        <f t="shared" si="17"/>
        <v>6.6846117276679271</v>
      </c>
      <c r="K183" s="38">
        <f t="shared" si="18"/>
        <v>3.2771447329921766</v>
      </c>
      <c r="L183" s="39">
        <f t="shared" si="19"/>
        <v>3.7735849056603772E-2</v>
      </c>
      <c r="M183" s="39">
        <f t="shared" si="20"/>
        <v>1.0673309904702604</v>
      </c>
      <c r="N183" s="39">
        <f t="shared" si="21"/>
        <v>30.188679245283019</v>
      </c>
      <c r="O183" s="40">
        <f>1</f>
        <v>1</v>
      </c>
      <c r="P183" s="38">
        <f>INDEX(Cables!$AS:$AS,MATCH(B183,Cables!$A:$A,0))+INDEX(Cables!$AT:$AT,MATCH(B183,Cables!$A:$A,0))*SQRT(C183)+INDEX(Cables!$AU:$AU,MATCH(B183,Cables!$A:$A,0))*C183</f>
        <v>26.529173013195123</v>
      </c>
      <c r="Q183" s="41">
        <f t="shared" si="22"/>
        <v>1.1008684224573795E-3</v>
      </c>
      <c r="R183" s="39">
        <f t="shared" si="23"/>
        <v>1.2119112835637993E-6</v>
      </c>
      <c r="S183" s="40" t="b">
        <f>IF(B183=B182,C183&gt;C182,COUNTIF(B$1:B182,B183)=0)</f>
        <v>1</v>
      </c>
      <c r="T183" s="37"/>
    </row>
    <row r="184" spans="1:20" x14ac:dyDescent="0.25">
      <c r="A184" s="37" t="s">
        <v>902</v>
      </c>
      <c r="B184" s="37" t="s">
        <v>313</v>
      </c>
      <c r="C184" s="37">
        <v>1000</v>
      </c>
      <c r="D184" s="37">
        <v>29.8</v>
      </c>
      <c r="E184" s="37" t="s">
        <v>771</v>
      </c>
      <c r="F184" s="37">
        <v>20</v>
      </c>
      <c r="G184" s="37" t="s">
        <v>320</v>
      </c>
      <c r="H184" s="37" t="s">
        <v>888</v>
      </c>
      <c r="I184" s="38">
        <f t="shared" si="16"/>
        <v>29.8</v>
      </c>
      <c r="J184" s="38">
        <f t="shared" si="17"/>
        <v>6.9077552789821368</v>
      </c>
      <c r="K184" s="38">
        <f t="shared" si="18"/>
        <v>3.3945083935113587</v>
      </c>
      <c r="L184" s="39">
        <f t="shared" si="19"/>
        <v>3.3557046979865772E-2</v>
      </c>
      <c r="M184" s="39">
        <f t="shared" si="20"/>
        <v>1.061167000056503</v>
      </c>
      <c r="N184" s="39">
        <f t="shared" si="21"/>
        <v>33.557046979865774</v>
      </c>
      <c r="O184" s="40">
        <f>1</f>
        <v>1</v>
      </c>
      <c r="P184" s="38">
        <f>INDEX(Cables!$AS:$AS,MATCH(B184,Cables!$A:$A,0))+INDEX(Cables!$AT:$AT,MATCH(B184,Cables!$A:$A,0))*SQRT(C184)+INDEX(Cables!$AU:$AU,MATCH(B184,Cables!$A:$A,0))*C184</f>
        <v>29.710700514982886</v>
      </c>
      <c r="Q184" s="41">
        <f t="shared" si="22"/>
        <v>-2.9966270139971662E-3</v>
      </c>
      <c r="R184" s="39">
        <f t="shared" si="23"/>
        <v>8.9797734610175727E-6</v>
      </c>
      <c r="S184" s="40" t="b">
        <f>IF(B184=B183,C184&gt;C183,COUNTIF(B$1:B183,B184)=0)</f>
        <v>1</v>
      </c>
      <c r="T184" s="37"/>
    </row>
    <row r="185" spans="1:20" x14ac:dyDescent="0.25">
      <c r="A185" s="37" t="s">
        <v>903</v>
      </c>
      <c r="B185" s="37" t="s">
        <v>313</v>
      </c>
      <c r="C185" s="37">
        <v>1296</v>
      </c>
      <c r="D185" s="37">
        <v>34.200000000000003</v>
      </c>
      <c r="E185" s="37" t="s">
        <v>771</v>
      </c>
      <c r="F185" s="37">
        <v>20</v>
      </c>
      <c r="G185" s="37" t="s">
        <v>320</v>
      </c>
      <c r="H185" s="37" t="s">
        <v>888</v>
      </c>
      <c r="I185" s="38">
        <f t="shared" si="16"/>
        <v>34.200000000000003</v>
      </c>
      <c r="J185" s="38">
        <f t="shared" si="17"/>
        <v>7.1670378769122198</v>
      </c>
      <c r="K185" s="38">
        <f t="shared" si="18"/>
        <v>3.5322256440685598</v>
      </c>
      <c r="L185" s="39">
        <f t="shared" si="19"/>
        <v>2.9239766081871343E-2</v>
      </c>
      <c r="M185" s="39">
        <f t="shared" si="20"/>
        <v>1.0526315789473684</v>
      </c>
      <c r="N185" s="39">
        <f t="shared" si="21"/>
        <v>37.89473684210526</v>
      </c>
      <c r="O185" s="40">
        <f>1</f>
        <v>1</v>
      </c>
      <c r="P185" s="38">
        <f>INDEX(Cables!$AS:$AS,MATCH(B185,Cables!$A:$A,0))+INDEX(Cables!$AT:$AT,MATCH(B185,Cables!$A:$A,0))*SQRT(C185)+INDEX(Cables!$AU:$AU,MATCH(B185,Cables!$A:$A,0))*C185</f>
        <v>33.920493698174447</v>
      </c>
      <c r="Q185" s="41">
        <f t="shared" si="22"/>
        <v>-8.1726988837882431E-3</v>
      </c>
      <c r="R185" s="39">
        <f t="shared" si="23"/>
        <v>6.6793007045073599E-5</v>
      </c>
      <c r="S185" s="40" t="b">
        <f>IF(B185=B184,C185&gt;C184,COUNTIF(B$1:B184,B185)=0)</f>
        <v>1</v>
      </c>
      <c r="T185" s="37"/>
    </row>
    <row r="186" spans="1:20" x14ac:dyDescent="0.25">
      <c r="A186" s="37" t="s">
        <v>904</v>
      </c>
      <c r="B186" s="37" t="s">
        <v>313</v>
      </c>
      <c r="C186" s="37">
        <v>2400</v>
      </c>
      <c r="D186" s="37">
        <v>47.5</v>
      </c>
      <c r="E186" s="37" t="s">
        <v>771</v>
      </c>
      <c r="F186" s="37">
        <v>20</v>
      </c>
      <c r="G186" s="37" t="s">
        <v>320</v>
      </c>
      <c r="H186" s="37" t="s">
        <v>888</v>
      </c>
      <c r="I186" s="38">
        <f t="shared" si="16"/>
        <v>47.5</v>
      </c>
      <c r="J186" s="38">
        <f t="shared" si="17"/>
        <v>7.7832240163360371</v>
      </c>
      <c r="K186" s="38">
        <f t="shared" si="18"/>
        <v>3.8607297110405954</v>
      </c>
      <c r="L186" s="39">
        <f t="shared" si="19"/>
        <v>2.1052631578947368E-2</v>
      </c>
      <c r="M186" s="39">
        <f t="shared" si="20"/>
        <v>1.0313641022244959</v>
      </c>
      <c r="N186" s="39">
        <f t="shared" si="21"/>
        <v>50.526315789473685</v>
      </c>
      <c r="O186" s="40">
        <f>1</f>
        <v>1</v>
      </c>
      <c r="P186" s="38">
        <f>INDEX(Cables!$AS:$AS,MATCH(B186,Cables!$A:$A,0))+INDEX(Cables!$AT:$AT,MATCH(B186,Cables!$A:$A,0))*SQRT(C186)+INDEX(Cables!$AU:$AU,MATCH(B186,Cables!$A:$A,0))*C186</f>
        <v>46.669845849910324</v>
      </c>
      <c r="Q186" s="41">
        <f t="shared" si="22"/>
        <v>-1.7476929475572112E-2</v>
      </c>
      <c r="R186" s="39">
        <f t="shared" si="23"/>
        <v>3.054430638941213E-4</v>
      </c>
      <c r="S186" s="40" t="b">
        <f>IF(B186=B185,C186&gt;C185,COUNTIF(B$1:B185,B186)=0)</f>
        <v>1</v>
      </c>
      <c r="T186" s="37"/>
    </row>
    <row r="187" spans="1:20" x14ac:dyDescent="0.25">
      <c r="A187" s="37" t="s">
        <v>905</v>
      </c>
      <c r="B187" s="37" t="s">
        <v>313</v>
      </c>
      <c r="C187" s="37">
        <v>3000</v>
      </c>
      <c r="D187" s="37">
        <v>53.5</v>
      </c>
      <c r="E187" s="37" t="s">
        <v>771</v>
      </c>
      <c r="F187" s="37">
        <v>20</v>
      </c>
      <c r="G187" s="37" t="s">
        <v>320</v>
      </c>
      <c r="H187" s="37" t="s">
        <v>888</v>
      </c>
      <c r="I187" s="38">
        <f t="shared" si="16"/>
        <v>53.5</v>
      </c>
      <c r="J187" s="38">
        <f t="shared" si="17"/>
        <v>8.0063675676502459</v>
      </c>
      <c r="K187" s="38">
        <f t="shared" si="18"/>
        <v>3.9796816539019608</v>
      </c>
      <c r="L187" s="39">
        <f t="shared" si="19"/>
        <v>1.8691588785046728E-2</v>
      </c>
      <c r="M187" s="39">
        <f t="shared" si="20"/>
        <v>1.0237804813180675</v>
      </c>
      <c r="N187" s="39">
        <f t="shared" si="21"/>
        <v>56.074766355140184</v>
      </c>
      <c r="O187" s="40">
        <f>1</f>
        <v>1</v>
      </c>
      <c r="P187" s="38">
        <f>INDEX(Cables!$AS:$AS,MATCH(B187,Cables!$A:$A,0))+INDEX(Cables!$AT:$AT,MATCH(B187,Cables!$A:$A,0))*SQRT(C187)+INDEX(Cables!$AU:$AU,MATCH(B187,Cables!$A:$A,0))*C187</f>
        <v>52.46865572478</v>
      </c>
      <c r="Q187" s="41">
        <f t="shared" si="22"/>
        <v>-1.9277463088224311E-2</v>
      </c>
      <c r="R187" s="39">
        <f t="shared" si="23"/>
        <v>3.716205831178508E-4</v>
      </c>
      <c r="S187" s="40" t="b">
        <f>IF(B187=B186,C187&gt;C186,COUNTIF(B$1:B186,B187)=0)</f>
        <v>1</v>
      </c>
      <c r="T187" s="37"/>
    </row>
    <row r="188" spans="1:20" x14ac:dyDescent="0.25">
      <c r="A188" s="37" t="s">
        <v>906</v>
      </c>
      <c r="B188" s="37" t="s">
        <v>313</v>
      </c>
      <c r="C188" s="37">
        <v>4000</v>
      </c>
      <c r="D188" s="37">
        <v>61</v>
      </c>
      <c r="E188" s="37" t="s">
        <v>771</v>
      </c>
      <c r="F188" s="37">
        <v>20</v>
      </c>
      <c r="G188" s="37" t="s">
        <v>320</v>
      </c>
      <c r="H188" s="37" t="s">
        <v>888</v>
      </c>
      <c r="I188" s="38">
        <f t="shared" si="16"/>
        <v>61</v>
      </c>
      <c r="J188" s="38">
        <f t="shared" si="17"/>
        <v>8.2940496401020276</v>
      </c>
      <c r="K188" s="38">
        <f t="shared" si="18"/>
        <v>4.1108738641733114</v>
      </c>
      <c r="L188" s="39">
        <f t="shared" si="19"/>
        <v>1.6393442622950821E-2</v>
      </c>
      <c r="M188" s="39">
        <f t="shared" si="20"/>
        <v>1.0368123475961899</v>
      </c>
      <c r="N188" s="39">
        <f t="shared" si="21"/>
        <v>65.573770491803273</v>
      </c>
      <c r="O188" s="40">
        <f>1</f>
        <v>1</v>
      </c>
      <c r="P188" s="38">
        <f>INDEX(Cables!$AS:$AS,MATCH(B188,Cables!$A:$A,0))+INDEX(Cables!$AT:$AT,MATCH(B188,Cables!$A:$A,0))*SQRT(C188)+INDEX(Cables!$AU:$AU,MATCH(B188,Cables!$A:$A,0))*C188</f>
        <v>61.103209608873861</v>
      </c>
      <c r="Q188" s="41">
        <f t="shared" si="22"/>
        <v>1.6919608012109233E-3</v>
      </c>
      <c r="R188" s="39">
        <f t="shared" si="23"/>
        <v>2.8627313528343096E-6</v>
      </c>
      <c r="S188" s="40" t="b">
        <f>IF(B188=B187,C188&gt;C187,COUNTIF(B$1:B187,B188)=0)</f>
        <v>1</v>
      </c>
      <c r="T188" s="37"/>
    </row>
    <row r="189" spans="1:20" x14ac:dyDescent="0.25">
      <c r="A189" s="37" t="s">
        <v>907</v>
      </c>
      <c r="B189" s="37" t="s">
        <v>313</v>
      </c>
      <c r="C189" s="37">
        <v>5000</v>
      </c>
      <c r="D189" s="37">
        <v>68.599999999999994</v>
      </c>
      <c r="E189" s="37" t="s">
        <v>771</v>
      </c>
      <c r="F189" s="37">
        <v>20</v>
      </c>
      <c r="G189" s="37" t="s">
        <v>320</v>
      </c>
      <c r="H189" s="37" t="s">
        <v>888</v>
      </c>
      <c r="I189" s="38">
        <f t="shared" si="16"/>
        <v>68.599999999999994</v>
      </c>
      <c r="J189" s="38">
        <f t="shared" si="17"/>
        <v>8.5171931914162382</v>
      </c>
      <c r="K189" s="38">
        <f t="shared" si="18"/>
        <v>4.2282925347318399</v>
      </c>
      <c r="L189" s="39">
        <f t="shared" si="19"/>
        <v>1.457725947521866E-2</v>
      </c>
      <c r="M189" s="39">
        <f t="shared" si="20"/>
        <v>1.0307679026042968</v>
      </c>
      <c r="N189" s="39">
        <f t="shared" si="21"/>
        <v>72.886297376093296</v>
      </c>
      <c r="O189" s="40">
        <f>1</f>
        <v>1</v>
      </c>
      <c r="P189" s="38">
        <f>INDEX(Cables!$AS:$AS,MATCH(B189,Cables!$A:$A,0))+INDEX(Cables!$AT:$AT,MATCH(B189,Cables!$A:$A,0))*SQRT(C189)+INDEX(Cables!$AU:$AU,MATCH(B189,Cables!$A:$A,0))*C189</f>
        <v>68.845645401349941</v>
      </c>
      <c r="Q189" s="41">
        <f t="shared" si="22"/>
        <v>3.580836754372374E-3</v>
      </c>
      <c r="R189" s="39">
        <f t="shared" si="23"/>
        <v>1.2822391861464078E-5</v>
      </c>
      <c r="S189" s="40" t="b">
        <f>IF(B189=B188,C189&gt;C188,COUNTIF(B$1:B188,B189)=0)</f>
        <v>1</v>
      </c>
      <c r="T189" s="37"/>
    </row>
    <row r="190" spans="1:20" x14ac:dyDescent="0.25">
      <c r="A190" s="37" t="s">
        <v>908</v>
      </c>
      <c r="B190" s="37" t="s">
        <v>313</v>
      </c>
      <c r="C190" s="37">
        <v>6000</v>
      </c>
      <c r="D190" s="37">
        <v>75.599999999999994</v>
      </c>
      <c r="E190" s="37" t="s">
        <v>771</v>
      </c>
      <c r="F190" s="37">
        <v>20</v>
      </c>
      <c r="G190" s="37" t="s">
        <v>320</v>
      </c>
      <c r="H190" s="37" t="s">
        <v>888</v>
      </c>
      <c r="I190" s="38">
        <f t="shared" si="16"/>
        <v>75.599999999999994</v>
      </c>
      <c r="J190" s="38">
        <f t="shared" si="17"/>
        <v>8.6995147482101913</v>
      </c>
      <c r="K190" s="38">
        <f t="shared" si="18"/>
        <v>4.3254562831854875</v>
      </c>
      <c r="L190" s="39">
        <f t="shared" si="19"/>
        <v>1.3227513227513229E-2</v>
      </c>
      <c r="M190" s="39">
        <f t="shared" si="20"/>
        <v>1.024598768837941</v>
      </c>
      <c r="N190" s="39">
        <f t="shared" si="21"/>
        <v>79.365079365079367</v>
      </c>
      <c r="O190" s="40">
        <f>1</f>
        <v>1</v>
      </c>
      <c r="P190" s="38">
        <f>INDEX(Cables!$AS:$AS,MATCH(B190,Cables!$A:$A,0))+INDEX(Cables!$AT:$AT,MATCH(B190,Cables!$A:$A,0))*SQRT(C190)+INDEX(Cables!$AU:$AU,MATCH(B190,Cables!$A:$A,0))*C190</f>
        <v>75.954382143511211</v>
      </c>
      <c r="Q190" s="41">
        <f t="shared" si="22"/>
        <v>4.6875944908890688E-3</v>
      </c>
      <c r="R190" s="39">
        <f t="shared" si="23"/>
        <v>2.1973542111013548E-5</v>
      </c>
      <c r="S190" s="40" t="b">
        <f>IF(B190=B189,C190&gt;C189,COUNTIF(B$1:B189,B190)=0)</f>
        <v>1</v>
      </c>
      <c r="T190" s="37"/>
    </row>
    <row r="191" spans="1:20" x14ac:dyDescent="0.25">
      <c r="A191" s="37" t="s">
        <v>909</v>
      </c>
      <c r="B191" s="37" t="s">
        <v>322</v>
      </c>
      <c r="C191" s="37">
        <v>5</v>
      </c>
      <c r="D191" s="37">
        <v>2.5</v>
      </c>
      <c r="E191" s="37" t="s">
        <v>771</v>
      </c>
      <c r="F191" s="37"/>
      <c r="G191" s="37" t="s">
        <v>331</v>
      </c>
      <c r="H191" s="37" t="s">
        <v>718</v>
      </c>
      <c r="I191" s="38">
        <f t="shared" si="16"/>
        <v>2.5</v>
      </c>
      <c r="J191" s="38">
        <f t="shared" si="17"/>
        <v>1.6094379124341003</v>
      </c>
      <c r="K191" s="38">
        <f t="shared" si="18"/>
        <v>0.91629073187415511</v>
      </c>
      <c r="L191" s="39">
        <f t="shared" si="19"/>
        <v>0.4</v>
      </c>
      <c r="M191" s="39">
        <f t="shared" si="20"/>
        <v>0.89442719099991597</v>
      </c>
      <c r="N191" s="39">
        <f t="shared" si="21"/>
        <v>2</v>
      </c>
      <c r="O191" s="40">
        <f>1</f>
        <v>1</v>
      </c>
      <c r="P191" s="38">
        <f>INDEX(Cables!$AS:$AS,MATCH(B191,Cables!$A:$A,0))+INDEX(Cables!$AT:$AT,MATCH(B191,Cables!$A:$A,0))*SQRT(C191)+INDEX(Cables!$AU:$AU,MATCH(B191,Cables!$A:$A,0))*C191</f>
        <v>2.5352726131612724</v>
      </c>
      <c r="Q191" s="41">
        <f t="shared" si="22"/>
        <v>1.4109045264508957E-2</v>
      </c>
      <c r="R191" s="39">
        <f t="shared" si="23"/>
        <v>1.9906515827596263E-4</v>
      </c>
      <c r="S191" s="40" t="b">
        <f>IF(B191=B190,C191&gt;C190,COUNTIF(B$1:B190,B191)=0)</f>
        <v>1</v>
      </c>
      <c r="T191" s="37"/>
    </row>
    <row r="192" spans="1:20" x14ac:dyDescent="0.25">
      <c r="A192" s="37" t="s">
        <v>910</v>
      </c>
      <c r="B192" s="37" t="s">
        <v>322</v>
      </c>
      <c r="C192" s="37">
        <v>50</v>
      </c>
      <c r="D192" s="37">
        <v>6.9</v>
      </c>
      <c r="E192" s="37" t="s">
        <v>771</v>
      </c>
      <c r="F192" s="37"/>
      <c r="G192" s="37" t="s">
        <v>331</v>
      </c>
      <c r="H192" s="37" t="s">
        <v>718</v>
      </c>
      <c r="I192" s="38">
        <f t="shared" si="16"/>
        <v>6.9</v>
      </c>
      <c r="J192" s="38">
        <f t="shared" si="17"/>
        <v>3.912023005428146</v>
      </c>
      <c r="K192" s="38">
        <f t="shared" si="18"/>
        <v>1.9315214116032138</v>
      </c>
      <c r="L192" s="39">
        <f t="shared" si="19"/>
        <v>0.14492753623188406</v>
      </c>
      <c r="M192" s="39">
        <f t="shared" si="20"/>
        <v>1.0247924365022427</v>
      </c>
      <c r="N192" s="39">
        <f t="shared" si="21"/>
        <v>7.2463768115942022</v>
      </c>
      <c r="O192" s="40">
        <f>1</f>
        <v>1</v>
      </c>
      <c r="P192" s="38">
        <f>INDEX(Cables!$AS:$AS,MATCH(B192,Cables!$A:$A,0))+INDEX(Cables!$AT:$AT,MATCH(B192,Cables!$A:$A,0))*SQRT(C192)+INDEX(Cables!$AU:$AU,MATCH(B192,Cables!$A:$A,0))*C192</f>
        <v>6.5336970176650579</v>
      </c>
      <c r="Q192" s="41">
        <f t="shared" si="22"/>
        <v>-5.3087388744194497E-2</v>
      </c>
      <c r="R192" s="39">
        <f t="shared" si="23"/>
        <v>2.8182708436772287E-3</v>
      </c>
      <c r="S192" s="40" t="b">
        <f>IF(B192=B191,C192&gt;C191,COUNTIF(B$1:B191,B192)=0)</f>
        <v>1</v>
      </c>
      <c r="T192" s="37"/>
    </row>
    <row r="193" spans="1:20" x14ac:dyDescent="0.25">
      <c r="A193" s="37" t="s">
        <v>911</v>
      </c>
      <c r="B193" s="37" t="s">
        <v>322</v>
      </c>
      <c r="C193" s="37">
        <v>100</v>
      </c>
      <c r="D193" s="37">
        <v>9.1</v>
      </c>
      <c r="E193" s="37" t="s">
        <v>771</v>
      </c>
      <c r="F193" s="37"/>
      <c r="G193" s="37" t="s">
        <v>331</v>
      </c>
      <c r="H193" s="37" t="s">
        <v>718</v>
      </c>
      <c r="I193" s="38">
        <f t="shared" si="16"/>
        <v>9.1</v>
      </c>
      <c r="J193" s="38">
        <f t="shared" si="17"/>
        <v>4.6051701859880918</v>
      </c>
      <c r="K193" s="38">
        <f t="shared" si="18"/>
        <v>2.2082744135228043</v>
      </c>
      <c r="L193" s="39">
        <f t="shared" si="19"/>
        <v>0.10989010989010989</v>
      </c>
      <c r="M193" s="39">
        <f t="shared" si="20"/>
        <v>1.098901098901099</v>
      </c>
      <c r="N193" s="39">
        <f t="shared" si="21"/>
        <v>10.989010989010989</v>
      </c>
      <c r="O193" s="40">
        <f>1</f>
        <v>1</v>
      </c>
      <c r="P193" s="38">
        <f>INDEX(Cables!$AS:$AS,MATCH(B193,Cables!$A:$A,0))+INDEX(Cables!$AT:$AT,MATCH(B193,Cables!$A:$A,0))*SQRT(C193)+INDEX(Cables!$AU:$AU,MATCH(B193,Cables!$A:$A,0))*C193</f>
        <v>9.0474831023644882</v>
      </c>
      <c r="Q193" s="41">
        <f t="shared" si="22"/>
        <v>-5.7710876522539811E-3</v>
      </c>
      <c r="R193" s="39">
        <f t="shared" si="23"/>
        <v>3.3305452689998369E-5</v>
      </c>
      <c r="S193" s="40" t="b">
        <f>IF(B193=B192,C193&gt;C192,COUNTIF(B$1:B192,B193)=0)</f>
        <v>1</v>
      </c>
      <c r="T193" s="37"/>
    </row>
    <row r="194" spans="1:20" x14ac:dyDescent="0.25">
      <c r="A194" s="37" t="s">
        <v>912</v>
      </c>
      <c r="B194" s="37" t="s">
        <v>322</v>
      </c>
      <c r="C194" s="37">
        <v>230</v>
      </c>
      <c r="D194" s="37">
        <v>13.4</v>
      </c>
      <c r="E194" s="37" t="s">
        <v>771</v>
      </c>
      <c r="F194" s="37"/>
      <c r="G194" s="37" t="s">
        <v>331</v>
      </c>
      <c r="H194" s="37" t="s">
        <v>718</v>
      </c>
      <c r="I194" s="38">
        <f t="shared" ref="I194:I257" si="24">IF(E194="dB/100ft",D194*100/30.48,D194)</f>
        <v>13.4</v>
      </c>
      <c r="J194" s="38">
        <f t="shared" ref="J194:J257" si="25">LN(C194)</f>
        <v>5.4380793089231956</v>
      </c>
      <c r="K194" s="38">
        <f t="shared" ref="K194:K257" si="26">LN(I194)</f>
        <v>2.5952547069568657</v>
      </c>
      <c r="L194" s="39">
        <f t="shared" ref="L194:L257" si="27">1/I194</f>
        <v>7.4626865671641784E-2</v>
      </c>
      <c r="M194" s="39">
        <f t="shared" ref="M194:M257" si="28">SQRT(C194)/I194</f>
        <v>1.1317724543360523</v>
      </c>
      <c r="N194" s="39">
        <f t="shared" ref="N194:N257" si="29">C194/I194</f>
        <v>17.164179104477611</v>
      </c>
      <c r="O194" s="40">
        <f>1</f>
        <v>1</v>
      </c>
      <c r="P194" s="38">
        <f>INDEX(Cables!$AS:$AS,MATCH(B194,Cables!$A:$A,0))+INDEX(Cables!$AT:$AT,MATCH(B194,Cables!$A:$A,0))*SQRT(C194)+INDEX(Cables!$AU:$AU,MATCH(B194,Cables!$A:$A,0))*C194</f>
        <v>13.649537960914431</v>
      </c>
      <c r="Q194" s="41">
        <f t="shared" ref="Q194:Q257" si="30">P194/I194-1</f>
        <v>1.8622235889136585E-2</v>
      </c>
      <c r="R194" s="39">
        <f t="shared" ref="R194:R257" si="31">Q194^2</f>
        <v>3.4678766951064667E-4</v>
      </c>
      <c r="S194" s="40" t="b">
        <f>IF(B194=B193,C194&gt;C193,COUNTIF(B$1:B193,B194)=0)</f>
        <v>1</v>
      </c>
      <c r="T194" s="37"/>
    </row>
    <row r="195" spans="1:20" x14ac:dyDescent="0.25">
      <c r="A195" s="37" t="s">
        <v>913</v>
      </c>
      <c r="B195" s="37" t="s">
        <v>322</v>
      </c>
      <c r="C195" s="37">
        <v>400</v>
      </c>
      <c r="D195" s="37">
        <v>18</v>
      </c>
      <c r="E195" s="37" t="s">
        <v>771</v>
      </c>
      <c r="F195" s="37"/>
      <c r="G195" s="37" t="s">
        <v>331</v>
      </c>
      <c r="H195" s="37" t="s">
        <v>718</v>
      </c>
      <c r="I195" s="38">
        <f t="shared" si="24"/>
        <v>18</v>
      </c>
      <c r="J195" s="38">
        <f t="shared" si="25"/>
        <v>5.9914645471079817</v>
      </c>
      <c r="K195" s="38">
        <f t="shared" si="26"/>
        <v>2.8903717578961645</v>
      </c>
      <c r="L195" s="39">
        <f t="shared" si="27"/>
        <v>5.5555555555555552E-2</v>
      </c>
      <c r="M195" s="39">
        <f t="shared" si="28"/>
        <v>1.1111111111111112</v>
      </c>
      <c r="N195" s="39">
        <f t="shared" si="29"/>
        <v>22.222222222222221</v>
      </c>
      <c r="O195" s="40">
        <f>1</f>
        <v>1</v>
      </c>
      <c r="P195" s="38">
        <f>INDEX(Cables!$AS:$AS,MATCH(B195,Cables!$A:$A,0))+INDEX(Cables!$AT:$AT,MATCH(B195,Cables!$A:$A,0))*SQRT(C195)+INDEX(Cables!$AU:$AU,MATCH(B195,Cables!$A:$A,0))*C195</f>
        <v>18.151063697560481</v>
      </c>
      <c r="Q195" s="41">
        <f t="shared" si="30"/>
        <v>8.3924276422489008E-3</v>
      </c>
      <c r="R195" s="39">
        <f t="shared" si="31"/>
        <v>7.0432841730383439E-5</v>
      </c>
      <c r="S195" s="40" t="b">
        <f>IF(B195=B194,C195&gt;C194,COUNTIF(B$1:B194,B195)=0)</f>
        <v>1</v>
      </c>
      <c r="T195" s="37"/>
    </row>
    <row r="196" spans="1:20" x14ac:dyDescent="0.25">
      <c r="A196" s="37" t="s">
        <v>914</v>
      </c>
      <c r="B196" s="37" t="s">
        <v>322</v>
      </c>
      <c r="C196" s="37">
        <v>800</v>
      </c>
      <c r="D196" s="37">
        <v>26.1</v>
      </c>
      <c r="E196" s="37" t="s">
        <v>771</v>
      </c>
      <c r="F196" s="37"/>
      <c r="G196" s="37" t="s">
        <v>331</v>
      </c>
      <c r="H196" s="37" t="s">
        <v>718</v>
      </c>
      <c r="I196" s="38">
        <f t="shared" si="24"/>
        <v>26.1</v>
      </c>
      <c r="J196" s="38">
        <f t="shared" si="25"/>
        <v>6.6846117276679271</v>
      </c>
      <c r="K196" s="38">
        <f t="shared" si="26"/>
        <v>3.2619353143286478</v>
      </c>
      <c r="L196" s="39">
        <f t="shared" si="27"/>
        <v>3.8314176245210725E-2</v>
      </c>
      <c r="M196" s="39">
        <f t="shared" si="28"/>
        <v>1.0836885535426015</v>
      </c>
      <c r="N196" s="39">
        <f t="shared" si="29"/>
        <v>30.651340996168582</v>
      </c>
      <c r="O196" s="40">
        <f>1</f>
        <v>1</v>
      </c>
      <c r="P196" s="38">
        <f>INDEX(Cables!$AS:$AS,MATCH(B196,Cables!$A:$A,0))+INDEX(Cables!$AT:$AT,MATCH(B196,Cables!$A:$A,0))*SQRT(C196)+INDEX(Cables!$AU:$AU,MATCH(B196,Cables!$A:$A,0))*C196</f>
        <v>26.303080549154743</v>
      </c>
      <c r="Q196" s="41">
        <f t="shared" si="30"/>
        <v>7.7808639522889411E-3</v>
      </c>
      <c r="R196" s="39">
        <f t="shared" si="31"/>
        <v>6.0541843844029478E-5</v>
      </c>
      <c r="S196" s="40" t="b">
        <f>IF(B196=B195,C196&gt;C195,COUNTIF(B$1:B195,B196)=0)</f>
        <v>1</v>
      </c>
      <c r="T196" s="37"/>
    </row>
    <row r="197" spans="1:20" x14ac:dyDescent="0.25">
      <c r="A197" s="37" t="s">
        <v>915</v>
      </c>
      <c r="B197" s="37" t="s">
        <v>322</v>
      </c>
      <c r="C197" s="37">
        <v>862</v>
      </c>
      <c r="D197" s="37">
        <v>27.3</v>
      </c>
      <c r="E197" s="37" t="s">
        <v>771</v>
      </c>
      <c r="F197" s="37"/>
      <c r="G197" s="37" t="s">
        <v>331</v>
      </c>
      <c r="H197" s="37" t="s">
        <v>718</v>
      </c>
      <c r="I197" s="38">
        <f t="shared" si="24"/>
        <v>27.3</v>
      </c>
      <c r="J197" s="38">
        <f t="shared" si="25"/>
        <v>6.7592552706636928</v>
      </c>
      <c r="K197" s="38">
        <f t="shared" si="26"/>
        <v>3.3068867021909143</v>
      </c>
      <c r="L197" s="39">
        <f t="shared" si="27"/>
        <v>3.6630036630036632E-2</v>
      </c>
      <c r="M197" s="39">
        <f t="shared" si="28"/>
        <v>1.0754518868793552</v>
      </c>
      <c r="N197" s="39">
        <f t="shared" si="29"/>
        <v>31.575091575091573</v>
      </c>
      <c r="O197" s="40">
        <f>1</f>
        <v>1</v>
      </c>
      <c r="P197" s="38">
        <f>INDEX(Cables!$AS:$AS,MATCH(B197,Cables!$A:$A,0))+INDEX(Cables!$AT:$AT,MATCH(B197,Cables!$A:$A,0))*SQRT(C197)+INDEX(Cables!$AU:$AU,MATCH(B197,Cables!$A:$A,0))*C197</f>
        <v>27.402040896687119</v>
      </c>
      <c r="Q197" s="41">
        <f t="shared" si="30"/>
        <v>3.7377617834108978E-3</v>
      </c>
      <c r="R197" s="39">
        <f t="shared" si="31"/>
        <v>1.3970863149527015E-5</v>
      </c>
      <c r="S197" s="40" t="b">
        <f>IF(B197=B196,C197&gt;C196,COUNTIF(B$1:B196,B197)=0)</f>
        <v>1</v>
      </c>
      <c r="T197" s="37"/>
    </row>
    <row r="198" spans="1:20" x14ac:dyDescent="0.25">
      <c r="A198" s="37" t="s">
        <v>916</v>
      </c>
      <c r="B198" s="37" t="s">
        <v>322</v>
      </c>
      <c r="C198" s="37">
        <v>1000</v>
      </c>
      <c r="D198" s="37">
        <v>29.6</v>
      </c>
      <c r="E198" s="37" t="s">
        <v>771</v>
      </c>
      <c r="F198" s="37"/>
      <c r="G198" s="37" t="s">
        <v>331</v>
      </c>
      <c r="H198" s="37" t="s">
        <v>718</v>
      </c>
      <c r="I198" s="38">
        <f t="shared" si="24"/>
        <v>29.6</v>
      </c>
      <c r="J198" s="38">
        <f t="shared" si="25"/>
        <v>6.9077552789821368</v>
      </c>
      <c r="K198" s="38">
        <f t="shared" si="26"/>
        <v>3.3877743613300146</v>
      </c>
      <c r="L198" s="39">
        <f t="shared" si="27"/>
        <v>3.3783783783783779E-2</v>
      </c>
      <c r="M198" s="39">
        <f t="shared" si="28"/>
        <v>1.0683370473541822</v>
      </c>
      <c r="N198" s="39">
        <f t="shared" si="29"/>
        <v>33.783783783783782</v>
      </c>
      <c r="O198" s="40">
        <f>1</f>
        <v>1</v>
      </c>
      <c r="P198" s="38">
        <f>INDEX(Cables!$AS:$AS,MATCH(B198,Cables!$A:$A,0))+INDEX(Cables!$AT:$AT,MATCH(B198,Cables!$A:$A,0))*SQRT(C198)+INDEX(Cables!$AU:$AU,MATCH(B198,Cables!$A:$A,0))*C198</f>
        <v>29.744645782206348</v>
      </c>
      <c r="Q198" s="41">
        <f t="shared" si="30"/>
        <v>4.8866818312955917E-3</v>
      </c>
      <c r="R198" s="39">
        <f t="shared" si="31"/>
        <v>2.3879659320314439E-5</v>
      </c>
      <c r="S198" s="40" t="b">
        <f>IF(B198=B197,C198&gt;C197,COUNTIF(B$1:B197,B198)=0)</f>
        <v>1</v>
      </c>
      <c r="T198" s="37"/>
    </row>
    <row r="199" spans="1:20" x14ac:dyDescent="0.25">
      <c r="A199" s="37" t="s">
        <v>917</v>
      </c>
      <c r="B199" s="37" t="s">
        <v>322</v>
      </c>
      <c r="C199" s="37">
        <v>1350</v>
      </c>
      <c r="D199" s="37">
        <v>34.9</v>
      </c>
      <c r="E199" s="37" t="s">
        <v>771</v>
      </c>
      <c r="F199" s="37"/>
      <c r="G199" s="37" t="s">
        <v>331</v>
      </c>
      <c r="H199" s="37" t="s">
        <v>718</v>
      </c>
      <c r="I199" s="38">
        <f t="shared" si="24"/>
        <v>34.9</v>
      </c>
      <c r="J199" s="38">
        <f t="shared" si="25"/>
        <v>7.2078598714324755</v>
      </c>
      <c r="K199" s="38">
        <f t="shared" si="26"/>
        <v>3.5524868292083815</v>
      </c>
      <c r="L199" s="39">
        <f t="shared" si="27"/>
        <v>2.865329512893983E-2</v>
      </c>
      <c r="M199" s="39">
        <f t="shared" si="28"/>
        <v>1.0527892877291598</v>
      </c>
      <c r="N199" s="39">
        <f t="shared" si="29"/>
        <v>38.681948424068771</v>
      </c>
      <c r="O199" s="40">
        <f>1</f>
        <v>1</v>
      </c>
      <c r="P199" s="38">
        <f>INDEX(Cables!$AS:$AS,MATCH(B199,Cables!$A:$A,0))+INDEX(Cables!$AT:$AT,MATCH(B199,Cables!$A:$A,0))*SQRT(C199)+INDEX(Cables!$AU:$AU,MATCH(B199,Cables!$A:$A,0))*C199</f>
        <v>35.19674323353432</v>
      </c>
      <c r="Q199" s="41">
        <f t="shared" si="30"/>
        <v>8.5026714479747856E-3</v>
      </c>
      <c r="R199" s="39">
        <f t="shared" si="31"/>
        <v>7.229542175220564E-5</v>
      </c>
      <c r="S199" s="40" t="b">
        <f>IF(B199=B198,C199&gt;C198,COUNTIF(B$1:B198,B199)=0)</f>
        <v>1</v>
      </c>
      <c r="T199" s="37"/>
    </row>
    <row r="200" spans="1:20" x14ac:dyDescent="0.25">
      <c r="A200" s="37" t="s">
        <v>918</v>
      </c>
      <c r="B200" s="37" t="s">
        <v>322</v>
      </c>
      <c r="C200" s="37">
        <v>1750</v>
      </c>
      <c r="D200" s="37">
        <v>40.299999999999997</v>
      </c>
      <c r="E200" s="37" t="s">
        <v>771</v>
      </c>
      <c r="F200" s="37"/>
      <c r="G200" s="37" t="s">
        <v>331</v>
      </c>
      <c r="H200" s="37" t="s">
        <v>718</v>
      </c>
      <c r="I200" s="38">
        <f t="shared" si="24"/>
        <v>40.299999999999997</v>
      </c>
      <c r="J200" s="38">
        <f t="shared" si="25"/>
        <v>7.4673710669175595</v>
      </c>
      <c r="K200" s="38">
        <f t="shared" si="26"/>
        <v>3.6963514689526371</v>
      </c>
      <c r="L200" s="39">
        <f t="shared" si="27"/>
        <v>2.4813895781637719E-2</v>
      </c>
      <c r="M200" s="39">
        <f t="shared" si="28"/>
        <v>1.0380397351539401</v>
      </c>
      <c r="N200" s="39">
        <f t="shared" si="29"/>
        <v>43.424317617866009</v>
      </c>
      <c r="O200" s="40">
        <f>1</f>
        <v>1</v>
      </c>
      <c r="P200" s="38">
        <f>INDEX(Cables!$AS:$AS,MATCH(B200,Cables!$A:$A,0))+INDEX(Cables!$AT:$AT,MATCH(B200,Cables!$A:$A,0))*SQRT(C200)+INDEX(Cables!$AU:$AU,MATCH(B200,Cables!$A:$A,0))*C200</f>
        <v>40.827491228074003</v>
      </c>
      <c r="Q200" s="41">
        <f t="shared" si="30"/>
        <v>1.3089112359156552E-2</v>
      </c>
      <c r="R200" s="39">
        <f t="shared" si="31"/>
        <v>1.7132486235062479E-4</v>
      </c>
      <c r="S200" s="40" t="b">
        <f>IF(B200=B199,C200&gt;C199,COUNTIF(B$1:B199,B200)=0)</f>
        <v>1</v>
      </c>
      <c r="T200" s="37"/>
    </row>
    <row r="201" spans="1:20" x14ac:dyDescent="0.25">
      <c r="A201" s="37" t="s">
        <v>919</v>
      </c>
      <c r="B201" s="37" t="s">
        <v>322</v>
      </c>
      <c r="C201" s="37">
        <v>2150</v>
      </c>
      <c r="D201" s="37">
        <v>46</v>
      </c>
      <c r="E201" s="37" t="s">
        <v>771</v>
      </c>
      <c r="F201" s="37"/>
      <c r="G201" s="37" t="s">
        <v>331</v>
      </c>
      <c r="H201" s="37" t="s">
        <v>718</v>
      </c>
      <c r="I201" s="38">
        <f t="shared" si="24"/>
        <v>46</v>
      </c>
      <c r="J201" s="38">
        <f t="shared" si="25"/>
        <v>7.6732231211217083</v>
      </c>
      <c r="K201" s="38">
        <f t="shared" si="26"/>
        <v>3.8286413964890951</v>
      </c>
      <c r="L201" s="39">
        <f t="shared" si="27"/>
        <v>2.1739130434782608E-2</v>
      </c>
      <c r="M201" s="39">
        <f t="shared" si="28"/>
        <v>1.0080020103799678</v>
      </c>
      <c r="N201" s="39">
        <f t="shared" si="29"/>
        <v>46.739130434782609</v>
      </c>
      <c r="O201" s="40">
        <f>1</f>
        <v>1</v>
      </c>
      <c r="P201" s="38">
        <f>INDEX(Cables!$AS:$AS,MATCH(B201,Cables!$A:$A,0))+INDEX(Cables!$AT:$AT,MATCH(B201,Cables!$A:$A,0))*SQRT(C201)+INDEX(Cables!$AU:$AU,MATCH(B201,Cables!$A:$A,0))*C201</f>
        <v>46.019637252287296</v>
      </c>
      <c r="Q201" s="41">
        <f t="shared" si="30"/>
        <v>4.2689678885432514E-4</v>
      </c>
      <c r="R201" s="39">
        <f t="shared" si="31"/>
        <v>1.8224086833413427E-7</v>
      </c>
      <c r="S201" s="40" t="b">
        <f>IF(B201=B200,C201&gt;C200,COUNTIF(B$1:B200,B201)=0)</f>
        <v>1</v>
      </c>
      <c r="T201" s="37"/>
    </row>
    <row r="202" spans="1:20" x14ac:dyDescent="0.25">
      <c r="A202" s="37" t="s">
        <v>920</v>
      </c>
      <c r="B202" s="37" t="s">
        <v>322</v>
      </c>
      <c r="C202" s="37">
        <v>2400</v>
      </c>
      <c r="D202" s="37">
        <v>49.1</v>
      </c>
      <c r="E202" s="37" t="s">
        <v>771</v>
      </c>
      <c r="F202" s="37"/>
      <c r="G202" s="37" t="s">
        <v>331</v>
      </c>
      <c r="H202" s="37" t="s">
        <v>718</v>
      </c>
      <c r="I202" s="38">
        <f t="shared" si="24"/>
        <v>49.1</v>
      </c>
      <c r="J202" s="38">
        <f t="shared" si="25"/>
        <v>7.7832240163360371</v>
      </c>
      <c r="K202" s="38">
        <f t="shared" si="26"/>
        <v>3.8938590348004749</v>
      </c>
      <c r="L202" s="39">
        <f t="shared" si="27"/>
        <v>2.0366598778004074E-2</v>
      </c>
      <c r="M202" s="39">
        <f t="shared" si="28"/>
        <v>0.99775549604202773</v>
      </c>
      <c r="N202" s="39">
        <f t="shared" si="29"/>
        <v>48.879837067209778</v>
      </c>
      <c r="O202" s="40">
        <f>1</f>
        <v>1</v>
      </c>
      <c r="P202" s="38">
        <f>INDEX(Cables!$AS:$AS,MATCH(B202,Cables!$A:$A,0))+INDEX(Cables!$AT:$AT,MATCH(B202,Cables!$A:$A,0))*SQRT(C202)+INDEX(Cables!$AU:$AU,MATCH(B202,Cables!$A:$A,0))*C202</f>
        <v>49.096784568496005</v>
      </c>
      <c r="Q202" s="41">
        <f t="shared" si="30"/>
        <v>-6.5487403340003247E-5</v>
      </c>
      <c r="R202" s="39">
        <f t="shared" si="31"/>
        <v>4.2885999962162685E-9</v>
      </c>
      <c r="S202" s="40" t="b">
        <f>IF(B202=B201,C202&gt;C201,COUNTIF(B$1:B201,B202)=0)</f>
        <v>1</v>
      </c>
      <c r="T202" s="37"/>
    </row>
    <row r="203" spans="1:20" x14ac:dyDescent="0.25">
      <c r="A203" s="37" t="s">
        <v>921</v>
      </c>
      <c r="B203" s="37" t="s">
        <v>322</v>
      </c>
      <c r="C203" s="37">
        <v>3000</v>
      </c>
      <c r="D203" s="37">
        <v>56.3</v>
      </c>
      <c r="E203" s="37" t="s">
        <v>771</v>
      </c>
      <c r="F203" s="37"/>
      <c r="G203" s="37" t="s">
        <v>331</v>
      </c>
      <c r="H203" s="37" t="s">
        <v>718</v>
      </c>
      <c r="I203" s="38">
        <f t="shared" si="24"/>
        <v>56.3</v>
      </c>
      <c r="J203" s="38">
        <f t="shared" si="25"/>
        <v>8.0063675676502459</v>
      </c>
      <c r="K203" s="38">
        <f t="shared" si="26"/>
        <v>4.0306945351456447</v>
      </c>
      <c r="L203" s="39">
        <f t="shared" si="27"/>
        <v>1.7761989342806397E-2</v>
      </c>
      <c r="M203" s="39">
        <f t="shared" si="28"/>
        <v>0.97286422292214236</v>
      </c>
      <c r="N203" s="39">
        <f t="shared" si="29"/>
        <v>53.285968028419184</v>
      </c>
      <c r="O203" s="40">
        <f>1</f>
        <v>1</v>
      </c>
      <c r="P203" s="38">
        <f>INDEX(Cables!$AS:$AS,MATCH(B203,Cables!$A:$A,0))+INDEX(Cables!$AT:$AT,MATCH(B203,Cables!$A:$A,0))*SQRT(C203)+INDEX(Cables!$AU:$AU,MATCH(B203,Cables!$A:$A,0))*C203</f>
        <v>56.079603863000663</v>
      </c>
      <c r="Q203" s="41">
        <f t="shared" si="30"/>
        <v>-3.9146738365778422E-3</v>
      </c>
      <c r="R203" s="39">
        <f t="shared" si="31"/>
        <v>1.5324671246787081E-5</v>
      </c>
      <c r="S203" s="40" t="b">
        <f>IF(B203=B202,C203&gt;C202,COUNTIF(B$1:B202,B203)=0)</f>
        <v>1</v>
      </c>
      <c r="T203" s="37"/>
    </row>
    <row r="204" spans="1:20" x14ac:dyDescent="0.25">
      <c r="A204" s="37" t="s">
        <v>922</v>
      </c>
      <c r="B204" s="37" t="s">
        <v>322</v>
      </c>
      <c r="C204" s="37">
        <v>3600</v>
      </c>
      <c r="D204" s="37">
        <v>62.9</v>
      </c>
      <c r="E204" s="37" t="s">
        <v>771</v>
      </c>
      <c r="F204" s="37"/>
      <c r="G204" s="37" t="s">
        <v>331</v>
      </c>
      <c r="H204" s="37" t="s">
        <v>718</v>
      </c>
      <c r="I204" s="38">
        <f t="shared" si="24"/>
        <v>62.9</v>
      </c>
      <c r="J204" s="38">
        <f t="shared" si="25"/>
        <v>8.1886891244442008</v>
      </c>
      <c r="K204" s="38">
        <f t="shared" si="26"/>
        <v>4.1415461637063951</v>
      </c>
      <c r="L204" s="39">
        <f t="shared" si="27"/>
        <v>1.5898251192368838E-2</v>
      </c>
      <c r="M204" s="39">
        <f t="shared" si="28"/>
        <v>0.95389507154213038</v>
      </c>
      <c r="N204" s="39">
        <f t="shared" si="29"/>
        <v>57.233704292527825</v>
      </c>
      <c r="O204" s="40">
        <f>1</f>
        <v>1</v>
      </c>
      <c r="P204" s="38">
        <f>INDEX(Cables!$AS:$AS,MATCH(B204,Cables!$A:$A,0))+INDEX(Cables!$AT:$AT,MATCH(B204,Cables!$A:$A,0))*SQRT(C204)+INDEX(Cables!$AU:$AU,MATCH(B204,Cables!$A:$A,0))*C204</f>
        <v>62.624490176493524</v>
      </c>
      <c r="Q204" s="41">
        <f t="shared" si="30"/>
        <v>-4.380124380071182E-3</v>
      </c>
      <c r="R204" s="39">
        <f t="shared" si="31"/>
        <v>1.9185489584893958E-5</v>
      </c>
      <c r="S204" s="40" t="b">
        <f>IF(B204=B203,C204&gt;C203,COUNTIF(B$1:B203,B204)=0)</f>
        <v>1</v>
      </c>
      <c r="T204" s="37"/>
    </row>
    <row r="205" spans="1:20" x14ac:dyDescent="0.25">
      <c r="A205" s="37" t="s">
        <v>923</v>
      </c>
      <c r="B205" s="37" t="s">
        <v>322</v>
      </c>
      <c r="C205" s="37">
        <v>4200</v>
      </c>
      <c r="D205" s="37">
        <v>69.099999999999994</v>
      </c>
      <c r="E205" s="37" t="s">
        <v>771</v>
      </c>
      <c r="F205" s="37"/>
      <c r="G205" s="37" t="s">
        <v>331</v>
      </c>
      <c r="H205" s="37" t="s">
        <v>718</v>
      </c>
      <c r="I205" s="38">
        <f t="shared" si="24"/>
        <v>69.099999999999994</v>
      </c>
      <c r="J205" s="38">
        <f t="shared" si="25"/>
        <v>8.3428398042714598</v>
      </c>
      <c r="K205" s="38">
        <f t="shared" si="26"/>
        <v>4.2355547307736243</v>
      </c>
      <c r="L205" s="39">
        <f t="shared" si="27"/>
        <v>1.4471780028943561E-2</v>
      </c>
      <c r="M205" s="39">
        <f t="shared" si="28"/>
        <v>0.93787853811980615</v>
      </c>
      <c r="N205" s="39">
        <f t="shared" si="29"/>
        <v>60.78147612156296</v>
      </c>
      <c r="O205" s="40">
        <f>1</f>
        <v>1</v>
      </c>
      <c r="P205" s="38">
        <f>INDEX(Cables!$AS:$AS,MATCH(B205,Cables!$A:$A,0))+INDEX(Cables!$AT:$AT,MATCH(B205,Cables!$A:$A,0))*SQRT(C205)+INDEX(Cables!$AU:$AU,MATCH(B205,Cables!$A:$A,0))*C205</f>
        <v>68.837532199382139</v>
      </c>
      <c r="Q205" s="41">
        <f t="shared" si="30"/>
        <v>-3.7983762752221706E-3</v>
      </c>
      <c r="R205" s="39">
        <f t="shared" si="31"/>
        <v>1.4427662328170651E-5</v>
      </c>
      <c r="S205" s="40" t="b">
        <f>IF(B205=B204,C205&gt;C204,COUNTIF(B$1:B204,B205)=0)</f>
        <v>1</v>
      </c>
      <c r="T205" s="37"/>
    </row>
    <row r="206" spans="1:20" x14ac:dyDescent="0.25">
      <c r="A206" s="37" t="s">
        <v>924</v>
      </c>
      <c r="B206" s="37" t="s">
        <v>322</v>
      </c>
      <c r="C206" s="37">
        <v>4800</v>
      </c>
      <c r="D206" s="37">
        <v>75.099999999999994</v>
      </c>
      <c r="E206" s="37" t="s">
        <v>771</v>
      </c>
      <c r="F206" s="37"/>
      <c r="G206" s="37" t="s">
        <v>331</v>
      </c>
      <c r="H206" s="37" t="s">
        <v>718</v>
      </c>
      <c r="I206" s="38">
        <f t="shared" si="24"/>
        <v>75.099999999999994</v>
      </c>
      <c r="J206" s="38">
        <f t="shared" si="25"/>
        <v>8.4763711968959825</v>
      </c>
      <c r="K206" s="38">
        <f t="shared" si="26"/>
        <v>4.3188205587700894</v>
      </c>
      <c r="L206" s="39">
        <f t="shared" si="27"/>
        <v>1.3315579227696406E-2</v>
      </c>
      <c r="M206" s="39">
        <f t="shared" si="28"/>
        <v>0.92253039018315719</v>
      </c>
      <c r="N206" s="39">
        <f t="shared" si="29"/>
        <v>63.914780292942751</v>
      </c>
      <c r="O206" s="40">
        <f>1</f>
        <v>1</v>
      </c>
      <c r="P206" s="38">
        <f>INDEX(Cables!$AS:$AS,MATCH(B206,Cables!$A:$A,0))+INDEX(Cables!$AT:$AT,MATCH(B206,Cables!$A:$A,0))*SQRT(C206)+INDEX(Cables!$AU:$AU,MATCH(B206,Cables!$A:$A,0))*C206</f>
        <v>74.787852582363058</v>
      </c>
      <c r="Q206" s="41">
        <f t="shared" si="30"/>
        <v>-4.1564236702654744E-3</v>
      </c>
      <c r="R206" s="39">
        <f t="shared" si="31"/>
        <v>1.7275857726743116E-5</v>
      </c>
      <c r="S206" s="40" t="b">
        <f>IF(B206=B205,C206&gt;C205,COUNTIF(B$1:B205,B206)=0)</f>
        <v>1</v>
      </c>
      <c r="T206" s="37"/>
    </row>
    <row r="207" spans="1:20" x14ac:dyDescent="0.25">
      <c r="A207" s="37" t="s">
        <v>925</v>
      </c>
      <c r="B207" s="37" t="s">
        <v>322</v>
      </c>
      <c r="C207" s="37">
        <v>5400</v>
      </c>
      <c r="D207" s="37">
        <v>80.8</v>
      </c>
      <c r="E207" s="37" t="s">
        <v>771</v>
      </c>
      <c r="F207" s="37"/>
      <c r="G207" s="37" t="s">
        <v>331</v>
      </c>
      <c r="H207" s="37" t="s">
        <v>718</v>
      </c>
      <c r="I207" s="38">
        <f t="shared" si="24"/>
        <v>80.8</v>
      </c>
      <c r="J207" s="38">
        <f t="shared" si="25"/>
        <v>8.5941542325523663</v>
      </c>
      <c r="K207" s="38">
        <f t="shared" si="26"/>
        <v>4.39197696552705</v>
      </c>
      <c r="L207" s="39">
        <f t="shared" si="27"/>
        <v>1.2376237623762377E-2</v>
      </c>
      <c r="M207" s="39">
        <f t="shared" si="28"/>
        <v>0.90946401340959593</v>
      </c>
      <c r="N207" s="39">
        <f t="shared" si="29"/>
        <v>66.831683168316829</v>
      </c>
      <c r="O207" s="40">
        <f>1</f>
        <v>1</v>
      </c>
      <c r="P207" s="38">
        <f>INDEX(Cables!$AS:$AS,MATCH(B207,Cables!$A:$A,0))+INDEX(Cables!$AT:$AT,MATCH(B207,Cables!$A:$A,0))*SQRT(C207)+INDEX(Cables!$AU:$AU,MATCH(B207,Cables!$A:$A,0))*C207</f>
        <v>80.523464082586486</v>
      </c>
      <c r="Q207" s="41">
        <f t="shared" si="30"/>
        <v>-3.4224742254147511E-3</v>
      </c>
      <c r="R207" s="39">
        <f t="shared" si="31"/>
        <v>1.17133298236283E-5</v>
      </c>
      <c r="S207" s="40" t="b">
        <f>IF(B207=B206,C207&gt;C206,COUNTIF(B$1:B206,B207)=0)</f>
        <v>1</v>
      </c>
      <c r="T207" s="37"/>
    </row>
    <row r="208" spans="1:20" x14ac:dyDescent="0.25">
      <c r="A208" s="37" t="s">
        <v>926</v>
      </c>
      <c r="B208" s="37" t="s">
        <v>322</v>
      </c>
      <c r="C208" s="37">
        <v>6000</v>
      </c>
      <c r="D208" s="37">
        <v>86.5</v>
      </c>
      <c r="E208" s="37" t="s">
        <v>771</v>
      </c>
      <c r="F208" s="37"/>
      <c r="G208" s="37" t="s">
        <v>331</v>
      </c>
      <c r="H208" s="37" t="s">
        <v>718</v>
      </c>
      <c r="I208" s="38">
        <f t="shared" si="24"/>
        <v>86.5</v>
      </c>
      <c r="J208" s="38">
        <f t="shared" si="25"/>
        <v>8.6995147482101913</v>
      </c>
      <c r="K208" s="38">
        <f t="shared" si="26"/>
        <v>4.4601444139378339</v>
      </c>
      <c r="L208" s="39">
        <f t="shared" si="27"/>
        <v>1.1560693641618497E-2</v>
      </c>
      <c r="M208" s="39">
        <f t="shared" si="28"/>
        <v>0.89548747889188829</v>
      </c>
      <c r="N208" s="39">
        <f t="shared" si="29"/>
        <v>69.364161849710982</v>
      </c>
      <c r="O208" s="40">
        <f>1</f>
        <v>1</v>
      </c>
      <c r="P208" s="38">
        <f>INDEX(Cables!$AS:$AS,MATCH(B208,Cables!$A:$A,0))+INDEX(Cables!$AT:$AT,MATCH(B208,Cables!$A:$A,0))*SQRT(C208)+INDEX(Cables!$AU:$AU,MATCH(B208,Cables!$A:$A,0))*C208</f>
        <v>86.079324496287796</v>
      </c>
      <c r="Q208" s="41">
        <f t="shared" si="30"/>
        <v>-4.863300620950306E-3</v>
      </c>
      <c r="R208" s="39">
        <f t="shared" si="31"/>
        <v>2.3651692929735632E-5</v>
      </c>
      <c r="S208" s="40" t="b">
        <f>IF(B208=B207,C208&gt;C207,COUNTIF(B$1:B207,B208)=0)</f>
        <v>1</v>
      </c>
      <c r="T208" s="37"/>
    </row>
    <row r="209" spans="1:20" x14ac:dyDescent="0.25">
      <c r="A209" s="37" t="s">
        <v>927</v>
      </c>
      <c r="B209" s="37" t="s">
        <v>333</v>
      </c>
      <c r="C209" s="37">
        <v>1.8</v>
      </c>
      <c r="D209" s="37">
        <v>1.4</v>
      </c>
      <c r="E209" s="37" t="s">
        <v>771</v>
      </c>
      <c r="F209" s="37">
        <v>20</v>
      </c>
      <c r="G209" s="37" t="s">
        <v>344</v>
      </c>
      <c r="H209" s="37" t="s">
        <v>928</v>
      </c>
      <c r="I209" s="38">
        <f t="shared" si="24"/>
        <v>1.4</v>
      </c>
      <c r="J209" s="38">
        <f t="shared" si="25"/>
        <v>0.58778666490211906</v>
      </c>
      <c r="K209" s="38">
        <f t="shared" si="26"/>
        <v>0.33647223662121289</v>
      </c>
      <c r="L209" s="39">
        <f t="shared" si="27"/>
        <v>0.7142857142857143</v>
      </c>
      <c r="M209" s="39">
        <f t="shared" si="28"/>
        <v>0.95831484749990992</v>
      </c>
      <c r="N209" s="39">
        <f t="shared" si="29"/>
        <v>1.2857142857142858</v>
      </c>
      <c r="O209" s="40">
        <f>1</f>
        <v>1</v>
      </c>
      <c r="P209" s="38">
        <f>INDEX(Cables!$AS:$AS,MATCH(B209,Cables!$A:$A,0))+INDEX(Cables!$AT:$AT,MATCH(B209,Cables!$A:$A,0))*SQRT(C209)+INDEX(Cables!$AU:$AU,MATCH(B209,Cables!$A:$A,0))*C209</f>
        <v>1.3808218158133756</v>
      </c>
      <c r="Q209" s="41">
        <f t="shared" si="30"/>
        <v>-1.3698702990445955E-2</v>
      </c>
      <c r="R209" s="39">
        <f t="shared" si="31"/>
        <v>1.8765446362045294E-4</v>
      </c>
      <c r="S209" s="40" t="b">
        <f>IF(B209=B208,C209&gt;C208,COUNTIF(B$1:B208,B209)=0)</f>
        <v>1</v>
      </c>
      <c r="T209" s="37"/>
    </row>
    <row r="210" spans="1:20" x14ac:dyDescent="0.25">
      <c r="A210" s="37" t="s">
        <v>929</v>
      </c>
      <c r="B210" s="37" t="s">
        <v>333</v>
      </c>
      <c r="C210" s="37">
        <v>3.5</v>
      </c>
      <c r="D210" s="37">
        <v>1.9</v>
      </c>
      <c r="E210" s="37" t="s">
        <v>771</v>
      </c>
      <c r="F210" s="37">
        <v>20</v>
      </c>
      <c r="G210" s="37" t="s">
        <v>344</v>
      </c>
      <c r="H210" s="37" t="s">
        <v>928</v>
      </c>
      <c r="I210" s="38">
        <f t="shared" si="24"/>
        <v>1.9</v>
      </c>
      <c r="J210" s="38">
        <f t="shared" si="25"/>
        <v>1.2527629684953681</v>
      </c>
      <c r="K210" s="38">
        <f t="shared" si="26"/>
        <v>0.64185388617239469</v>
      </c>
      <c r="L210" s="39">
        <f t="shared" si="27"/>
        <v>0.52631578947368418</v>
      </c>
      <c r="M210" s="39">
        <f t="shared" si="28"/>
        <v>0.98464668072998462</v>
      </c>
      <c r="N210" s="39">
        <f t="shared" si="29"/>
        <v>1.8421052631578949</v>
      </c>
      <c r="O210" s="40">
        <f>1</f>
        <v>1</v>
      </c>
      <c r="P210" s="38">
        <f>INDEX(Cables!$AS:$AS,MATCH(B210,Cables!$A:$A,0))+INDEX(Cables!$AT:$AT,MATCH(B210,Cables!$A:$A,0))*SQRT(C210)+INDEX(Cables!$AU:$AU,MATCH(B210,Cables!$A:$A,0))*C210</f>
        <v>1.7628191689881854</v>
      </c>
      <c r="Q210" s="41">
        <f t="shared" si="30"/>
        <v>-7.2200437374639215E-2</v>
      </c>
      <c r="R210" s="39">
        <f t="shared" si="31"/>
        <v>5.2129031570891989E-3</v>
      </c>
      <c r="S210" s="40" t="b">
        <f>IF(B210=B209,C210&gt;C209,COUNTIF(B$1:B209,B210)=0)</f>
        <v>1</v>
      </c>
      <c r="T210" s="37"/>
    </row>
    <row r="211" spans="1:20" x14ac:dyDescent="0.25">
      <c r="A211" s="37" t="s">
        <v>930</v>
      </c>
      <c r="B211" s="37" t="s">
        <v>333</v>
      </c>
      <c r="C211" s="37">
        <v>7</v>
      </c>
      <c r="D211" s="37">
        <v>2.2999999999999998</v>
      </c>
      <c r="E211" s="37" t="s">
        <v>771</v>
      </c>
      <c r="F211" s="37">
        <v>20</v>
      </c>
      <c r="G211" s="37" t="s">
        <v>344</v>
      </c>
      <c r="H211" s="37" t="s">
        <v>928</v>
      </c>
      <c r="I211" s="38">
        <f t="shared" si="24"/>
        <v>2.2999999999999998</v>
      </c>
      <c r="J211" s="38">
        <f t="shared" si="25"/>
        <v>1.9459101490553132</v>
      </c>
      <c r="K211" s="38">
        <f t="shared" si="26"/>
        <v>0.83290912293510388</v>
      </c>
      <c r="L211" s="39">
        <f t="shared" si="27"/>
        <v>0.43478260869565222</v>
      </c>
      <c r="M211" s="39">
        <f t="shared" si="28"/>
        <v>1.1503266569846047</v>
      </c>
      <c r="N211" s="39">
        <f t="shared" si="29"/>
        <v>3.0434782608695654</v>
      </c>
      <c r="O211" s="40">
        <f>1</f>
        <v>1</v>
      </c>
      <c r="P211" s="38">
        <f>INDEX(Cables!$AS:$AS,MATCH(B211,Cables!$A:$A,0))+INDEX(Cables!$AT:$AT,MATCH(B211,Cables!$A:$A,0))*SQRT(C211)+INDEX(Cables!$AU:$AU,MATCH(B211,Cables!$A:$A,0))*C211</f>
        <v>2.3252679333944024</v>
      </c>
      <c r="Q211" s="41">
        <f t="shared" si="30"/>
        <v>1.0986057997566245E-2</v>
      </c>
      <c r="R211" s="39">
        <f t="shared" si="31"/>
        <v>1.2069347032588926E-4</v>
      </c>
      <c r="S211" s="40" t="b">
        <f>IF(B211=B210,C211&gt;C210,COUNTIF(B$1:B210,B211)=0)</f>
        <v>1</v>
      </c>
      <c r="T211" s="37"/>
    </row>
    <row r="212" spans="1:20" x14ac:dyDescent="0.25">
      <c r="A212" s="37" t="s">
        <v>931</v>
      </c>
      <c r="B212" s="37" t="s">
        <v>333</v>
      </c>
      <c r="C212" s="37">
        <v>10</v>
      </c>
      <c r="D212" s="37">
        <v>2.6</v>
      </c>
      <c r="E212" s="37" t="s">
        <v>771</v>
      </c>
      <c r="F212" s="37">
        <v>20</v>
      </c>
      <c r="G212" s="37" t="s">
        <v>344</v>
      </c>
      <c r="H212" s="37" t="s">
        <v>928</v>
      </c>
      <c r="I212" s="38">
        <f t="shared" si="24"/>
        <v>2.6</v>
      </c>
      <c r="J212" s="38">
        <f t="shared" si="25"/>
        <v>2.3025850929940459</v>
      </c>
      <c r="K212" s="38">
        <f t="shared" si="26"/>
        <v>0.95551144502743635</v>
      </c>
      <c r="L212" s="39">
        <f t="shared" si="27"/>
        <v>0.38461538461538458</v>
      </c>
      <c r="M212" s="39">
        <f t="shared" si="28"/>
        <v>1.2162606385262997</v>
      </c>
      <c r="N212" s="39">
        <f t="shared" si="29"/>
        <v>3.8461538461538458</v>
      </c>
      <c r="O212" s="40">
        <f>1</f>
        <v>1</v>
      </c>
      <c r="P212" s="38">
        <f>INDEX(Cables!$AS:$AS,MATCH(B212,Cables!$A:$A,0))+INDEX(Cables!$AT:$AT,MATCH(B212,Cables!$A:$A,0))*SQRT(C212)+INDEX(Cables!$AU:$AU,MATCH(B212,Cables!$A:$A,0))*C212</f>
        <v>2.7021934388432269</v>
      </c>
      <c r="Q212" s="41">
        <f t="shared" si="30"/>
        <v>3.9305168785856548E-2</v>
      </c>
      <c r="R212" s="39">
        <f t="shared" si="31"/>
        <v>1.544896293284672E-3</v>
      </c>
      <c r="S212" s="40" t="b">
        <f>IF(B212=B211,C212&gt;C211,COUNTIF(B$1:B211,B212)=0)</f>
        <v>1</v>
      </c>
      <c r="T212" s="37"/>
    </row>
    <row r="213" spans="1:20" x14ac:dyDescent="0.25">
      <c r="A213" s="37" t="s">
        <v>932</v>
      </c>
      <c r="B213" s="37" t="s">
        <v>333</v>
      </c>
      <c r="C213" s="37">
        <v>14</v>
      </c>
      <c r="D213" s="37">
        <v>3</v>
      </c>
      <c r="E213" s="37" t="s">
        <v>771</v>
      </c>
      <c r="F213" s="37">
        <v>20</v>
      </c>
      <c r="G213" s="37" t="s">
        <v>344</v>
      </c>
      <c r="H213" s="37" t="s">
        <v>928</v>
      </c>
      <c r="I213" s="38">
        <f t="shared" si="24"/>
        <v>3</v>
      </c>
      <c r="J213" s="38">
        <f t="shared" si="25"/>
        <v>2.6390573296152584</v>
      </c>
      <c r="K213" s="38">
        <f t="shared" si="26"/>
        <v>1.0986122886681098</v>
      </c>
      <c r="L213" s="39">
        <f t="shared" si="27"/>
        <v>0.33333333333333331</v>
      </c>
      <c r="M213" s="39">
        <f t="shared" si="28"/>
        <v>1.247219128924647</v>
      </c>
      <c r="N213" s="39">
        <f t="shared" si="29"/>
        <v>4.666666666666667</v>
      </c>
      <c r="O213" s="40">
        <f>1</f>
        <v>1</v>
      </c>
      <c r="P213" s="38">
        <f>INDEX(Cables!$AS:$AS,MATCH(B213,Cables!$A:$A,0))+INDEX(Cables!$AT:$AT,MATCH(B213,Cables!$A:$A,0))*SQRT(C213)+INDEX(Cables!$AU:$AU,MATCH(B213,Cables!$A:$A,0))*C213</f>
        <v>3.1269116262085923</v>
      </c>
      <c r="Q213" s="41">
        <f t="shared" si="30"/>
        <v>4.2303875402864177E-2</v>
      </c>
      <c r="R213" s="39">
        <f t="shared" si="31"/>
        <v>1.7896178741010568E-3</v>
      </c>
      <c r="S213" s="40" t="b">
        <f>IF(B213=B212,C213&gt;C212,COUNTIF(B$1:B212,B213)=0)</f>
        <v>1</v>
      </c>
      <c r="T213" s="37"/>
    </row>
    <row r="214" spans="1:20" x14ac:dyDescent="0.25">
      <c r="A214" s="37" t="s">
        <v>933</v>
      </c>
      <c r="B214" s="37" t="s">
        <v>333</v>
      </c>
      <c r="C214" s="37">
        <v>21</v>
      </c>
      <c r="D214" s="37">
        <v>3.6</v>
      </c>
      <c r="E214" s="37" t="s">
        <v>771</v>
      </c>
      <c r="F214" s="37">
        <v>20</v>
      </c>
      <c r="G214" s="37" t="s">
        <v>344</v>
      </c>
      <c r="H214" s="37" t="s">
        <v>928</v>
      </c>
      <c r="I214" s="38">
        <f t="shared" si="24"/>
        <v>3.6</v>
      </c>
      <c r="J214" s="38">
        <f t="shared" si="25"/>
        <v>3.044522437723423</v>
      </c>
      <c r="K214" s="38">
        <f t="shared" si="26"/>
        <v>1.2809338454620642</v>
      </c>
      <c r="L214" s="39">
        <f t="shared" si="27"/>
        <v>0.27777777777777779</v>
      </c>
      <c r="M214" s="39">
        <f t="shared" si="28"/>
        <v>1.2729376930432887</v>
      </c>
      <c r="N214" s="39">
        <f t="shared" si="29"/>
        <v>5.833333333333333</v>
      </c>
      <c r="O214" s="40">
        <f>1</f>
        <v>1</v>
      </c>
      <c r="P214" s="38">
        <f>INDEX(Cables!$AS:$AS,MATCH(B214,Cables!$A:$A,0))+INDEX(Cables!$AT:$AT,MATCH(B214,Cables!$A:$A,0))*SQRT(C214)+INDEX(Cables!$AU:$AU,MATCH(B214,Cables!$A:$A,0))*C214</f>
        <v>3.7469764174576987</v>
      </c>
      <c r="Q214" s="41">
        <f t="shared" si="30"/>
        <v>4.0826782627138458E-2</v>
      </c>
      <c r="R214" s="39">
        <f t="shared" si="31"/>
        <v>1.6668261796836147E-3</v>
      </c>
      <c r="S214" s="40" t="b">
        <f>IF(B214=B213,C214&gt;C213,COUNTIF(B$1:B213,B214)=0)</f>
        <v>1</v>
      </c>
      <c r="T214" s="37"/>
    </row>
    <row r="215" spans="1:20" x14ac:dyDescent="0.25">
      <c r="A215" s="37" t="s">
        <v>934</v>
      </c>
      <c r="B215" s="37" t="s">
        <v>333</v>
      </c>
      <c r="C215" s="37">
        <v>28</v>
      </c>
      <c r="D215" s="37">
        <v>4.0999999999999996</v>
      </c>
      <c r="E215" s="37" t="s">
        <v>771</v>
      </c>
      <c r="F215" s="37">
        <v>20</v>
      </c>
      <c r="G215" s="37" t="s">
        <v>344</v>
      </c>
      <c r="H215" s="37" t="s">
        <v>928</v>
      </c>
      <c r="I215" s="38">
        <f t="shared" si="24"/>
        <v>4.0999999999999996</v>
      </c>
      <c r="J215" s="38">
        <f t="shared" si="25"/>
        <v>3.3322045101752038</v>
      </c>
      <c r="K215" s="38">
        <f t="shared" si="26"/>
        <v>1.410986973710262</v>
      </c>
      <c r="L215" s="39">
        <f t="shared" si="27"/>
        <v>0.24390243902439027</v>
      </c>
      <c r="M215" s="39">
        <f t="shared" si="28"/>
        <v>1.2906103956412638</v>
      </c>
      <c r="N215" s="39">
        <f t="shared" si="29"/>
        <v>6.8292682926829276</v>
      </c>
      <c r="O215" s="40">
        <f>1</f>
        <v>1</v>
      </c>
      <c r="P215" s="38">
        <f>INDEX(Cables!$AS:$AS,MATCH(B215,Cables!$A:$A,0))+INDEX(Cables!$AT:$AT,MATCH(B215,Cables!$A:$A,0))*SQRT(C215)+INDEX(Cables!$AU:$AU,MATCH(B215,Cables!$A:$A,0))*C215</f>
        <v>4.2730490528791281</v>
      </c>
      <c r="Q215" s="41">
        <f t="shared" si="30"/>
        <v>4.2207086068080102E-2</v>
      </c>
      <c r="R215" s="39">
        <f t="shared" si="31"/>
        <v>1.7814381143583214E-3</v>
      </c>
      <c r="S215" s="40" t="b">
        <f>IF(B215=B214,C215&gt;C214,COUNTIF(B$1:B214,B215)=0)</f>
        <v>1</v>
      </c>
      <c r="T215" s="37"/>
    </row>
    <row r="216" spans="1:20" x14ac:dyDescent="0.25">
      <c r="A216" s="37" t="s">
        <v>935</v>
      </c>
      <c r="B216" s="37" t="s">
        <v>333</v>
      </c>
      <c r="C216" s="37">
        <v>50</v>
      </c>
      <c r="D216" s="37">
        <v>5.5</v>
      </c>
      <c r="E216" s="37" t="s">
        <v>771</v>
      </c>
      <c r="F216" s="37">
        <v>20</v>
      </c>
      <c r="G216" s="37" t="s">
        <v>344</v>
      </c>
      <c r="H216" s="37" t="s">
        <v>928</v>
      </c>
      <c r="I216" s="38">
        <f t="shared" si="24"/>
        <v>5.5</v>
      </c>
      <c r="J216" s="38">
        <f t="shared" si="25"/>
        <v>3.912023005428146</v>
      </c>
      <c r="K216" s="38">
        <f t="shared" si="26"/>
        <v>1.7047480922384253</v>
      </c>
      <c r="L216" s="39">
        <f t="shared" si="27"/>
        <v>0.18181818181818182</v>
      </c>
      <c r="M216" s="39">
        <f t="shared" si="28"/>
        <v>1.2856486930664501</v>
      </c>
      <c r="N216" s="39">
        <f t="shared" si="29"/>
        <v>9.0909090909090917</v>
      </c>
      <c r="O216" s="40">
        <f>1</f>
        <v>1</v>
      </c>
      <c r="P216" s="38">
        <f>INDEX(Cables!$AS:$AS,MATCH(B216,Cables!$A:$A,0))+INDEX(Cables!$AT:$AT,MATCH(B216,Cables!$A:$A,0))*SQRT(C216)+INDEX(Cables!$AU:$AU,MATCH(B216,Cables!$A:$A,0))*C216</f>
        <v>5.6070461310362969</v>
      </c>
      <c r="Q216" s="41">
        <f t="shared" si="30"/>
        <v>1.9462932915690345E-2</v>
      </c>
      <c r="R216" s="39">
        <f t="shared" si="31"/>
        <v>3.7880575768066269E-4</v>
      </c>
      <c r="S216" s="40" t="b">
        <f>IF(B216=B215,C216&gt;C215,COUNTIF(B$1:B215,B216)=0)</f>
        <v>1</v>
      </c>
      <c r="T216" s="37"/>
    </row>
    <row r="217" spans="1:20" x14ac:dyDescent="0.25">
      <c r="A217" s="37" t="s">
        <v>936</v>
      </c>
      <c r="B217" s="37" t="s">
        <v>333</v>
      </c>
      <c r="C217" s="37">
        <v>100</v>
      </c>
      <c r="D217" s="37">
        <v>8</v>
      </c>
      <c r="E217" s="37" t="s">
        <v>771</v>
      </c>
      <c r="F217" s="37">
        <v>20</v>
      </c>
      <c r="G217" s="37" t="s">
        <v>344</v>
      </c>
      <c r="H217" s="37" t="s">
        <v>928</v>
      </c>
      <c r="I217" s="38">
        <f t="shared" si="24"/>
        <v>8</v>
      </c>
      <c r="J217" s="38">
        <f t="shared" si="25"/>
        <v>4.6051701859880918</v>
      </c>
      <c r="K217" s="38">
        <f t="shared" si="26"/>
        <v>2.0794415416798357</v>
      </c>
      <c r="L217" s="39">
        <f t="shared" si="27"/>
        <v>0.125</v>
      </c>
      <c r="M217" s="39">
        <f t="shared" si="28"/>
        <v>1.25</v>
      </c>
      <c r="N217" s="39">
        <f t="shared" si="29"/>
        <v>12.5</v>
      </c>
      <c r="O217" s="40">
        <f>1</f>
        <v>1</v>
      </c>
      <c r="P217" s="38">
        <f>INDEX(Cables!$AS:$AS,MATCH(B217,Cables!$A:$A,0))+INDEX(Cables!$AT:$AT,MATCH(B217,Cables!$A:$A,0))*SQRT(C217)+INDEX(Cables!$AU:$AU,MATCH(B217,Cables!$A:$A,0))*C217</f>
        <v>7.8444765614969238</v>
      </c>
      <c r="Q217" s="41">
        <f t="shared" si="30"/>
        <v>-1.9440429812884519E-2</v>
      </c>
      <c r="R217" s="39">
        <f t="shared" si="31"/>
        <v>3.7793031130968919E-4</v>
      </c>
      <c r="S217" s="40" t="b">
        <f>IF(B217=B216,C217&gt;C216,COUNTIF(B$1:B216,B217)=0)</f>
        <v>1</v>
      </c>
      <c r="T217" s="37"/>
    </row>
    <row r="218" spans="1:20" x14ac:dyDescent="0.25">
      <c r="A218" s="37" t="s">
        <v>937</v>
      </c>
      <c r="B218" s="37" t="s">
        <v>333</v>
      </c>
      <c r="C218" s="37">
        <v>144</v>
      </c>
      <c r="D218" s="37">
        <v>9.6</v>
      </c>
      <c r="E218" s="37" t="s">
        <v>771</v>
      </c>
      <c r="F218" s="37">
        <v>20</v>
      </c>
      <c r="G218" s="37" t="s">
        <v>344</v>
      </c>
      <c r="H218" s="37" t="s">
        <v>928</v>
      </c>
      <c r="I218" s="38">
        <f t="shared" si="24"/>
        <v>9.6</v>
      </c>
      <c r="J218" s="38">
        <f t="shared" si="25"/>
        <v>4.9698132995760007</v>
      </c>
      <c r="K218" s="38">
        <f t="shared" si="26"/>
        <v>2.2617630984737906</v>
      </c>
      <c r="L218" s="39">
        <f t="shared" si="27"/>
        <v>0.10416666666666667</v>
      </c>
      <c r="M218" s="39">
        <f t="shared" si="28"/>
        <v>1.25</v>
      </c>
      <c r="N218" s="39">
        <f t="shared" si="29"/>
        <v>15</v>
      </c>
      <c r="O218" s="40">
        <f>1</f>
        <v>1</v>
      </c>
      <c r="P218" s="38">
        <f>INDEX(Cables!$AS:$AS,MATCH(B218,Cables!$A:$A,0))+INDEX(Cables!$AT:$AT,MATCH(B218,Cables!$A:$A,0))*SQRT(C218)+INDEX(Cables!$AU:$AU,MATCH(B218,Cables!$A:$A,0))*C218</f>
        <v>9.4022010588131923</v>
      </c>
      <c r="Q218" s="41">
        <f t="shared" si="30"/>
        <v>-2.0604056373625723E-2</v>
      </c>
      <c r="R218" s="39">
        <f t="shared" si="31"/>
        <v>4.2452713904754676E-4</v>
      </c>
      <c r="S218" s="40" t="b">
        <f>IF(B218=B217,C218&gt;C217,COUNTIF(B$1:B217,B218)=0)</f>
        <v>1</v>
      </c>
      <c r="T218" s="37"/>
    </row>
    <row r="219" spans="1:20" x14ac:dyDescent="0.25">
      <c r="A219" s="37" t="s">
        <v>938</v>
      </c>
      <c r="B219" s="37" t="s">
        <v>333</v>
      </c>
      <c r="C219" s="37">
        <v>200</v>
      </c>
      <c r="D219" s="37">
        <v>11.4</v>
      </c>
      <c r="E219" s="37" t="s">
        <v>771</v>
      </c>
      <c r="F219" s="37">
        <v>20</v>
      </c>
      <c r="G219" s="37" t="s">
        <v>344</v>
      </c>
      <c r="H219" s="37" t="s">
        <v>928</v>
      </c>
      <c r="I219" s="38">
        <f t="shared" si="24"/>
        <v>11.4</v>
      </c>
      <c r="J219" s="38">
        <f t="shared" si="25"/>
        <v>5.2983173665480363</v>
      </c>
      <c r="K219" s="38">
        <f t="shared" si="26"/>
        <v>2.4336133554004498</v>
      </c>
      <c r="L219" s="39">
        <f t="shared" si="27"/>
        <v>8.771929824561403E-2</v>
      </c>
      <c r="M219" s="39">
        <f t="shared" si="28"/>
        <v>1.240538212607978</v>
      </c>
      <c r="N219" s="39">
        <f t="shared" si="29"/>
        <v>17.543859649122805</v>
      </c>
      <c r="O219" s="40">
        <f>1</f>
        <v>1</v>
      </c>
      <c r="P219" s="38">
        <f>INDEX(Cables!$AS:$AS,MATCH(B219,Cables!$A:$A,0))+INDEX(Cables!$AT:$AT,MATCH(B219,Cables!$A:$A,0))*SQRT(C219)+INDEX(Cables!$AU:$AU,MATCH(B219,Cables!$A:$A,0))*C219</f>
        <v>11.0975527647053</v>
      </c>
      <c r="Q219" s="41">
        <f t="shared" si="30"/>
        <v>-2.6530459236377202E-2</v>
      </c>
      <c r="R219" s="39">
        <f t="shared" si="31"/>
        <v>7.0386526729307236E-4</v>
      </c>
      <c r="S219" s="40" t="b">
        <f>IF(B219=B218,C219&gt;C218,COUNTIF(B$1:B218,B219)=0)</f>
        <v>1</v>
      </c>
      <c r="T219" s="37"/>
    </row>
    <row r="220" spans="1:20" x14ac:dyDescent="0.25">
      <c r="A220" s="37" t="s">
        <v>939</v>
      </c>
      <c r="B220" s="37" t="s">
        <v>333</v>
      </c>
      <c r="C220" s="37">
        <v>400</v>
      </c>
      <c r="D220" s="37">
        <v>16.3</v>
      </c>
      <c r="E220" s="37" t="s">
        <v>771</v>
      </c>
      <c r="F220" s="37">
        <v>20</v>
      </c>
      <c r="G220" s="37" t="s">
        <v>344</v>
      </c>
      <c r="H220" s="37" t="s">
        <v>928</v>
      </c>
      <c r="I220" s="38">
        <f t="shared" si="24"/>
        <v>16.3</v>
      </c>
      <c r="J220" s="38">
        <f t="shared" si="25"/>
        <v>5.9914645471079817</v>
      </c>
      <c r="K220" s="38">
        <f t="shared" si="26"/>
        <v>2.7911651078127169</v>
      </c>
      <c r="L220" s="39">
        <f t="shared" si="27"/>
        <v>6.1349693251533742E-2</v>
      </c>
      <c r="M220" s="39">
        <f t="shared" si="28"/>
        <v>1.2269938650306749</v>
      </c>
      <c r="N220" s="39">
        <f t="shared" si="29"/>
        <v>24.539877300613497</v>
      </c>
      <c r="O220" s="40">
        <f>1</f>
        <v>1</v>
      </c>
      <c r="P220" s="38">
        <f>INDEX(Cables!$AS:$AS,MATCH(B220,Cables!$A:$A,0))+INDEX(Cables!$AT:$AT,MATCH(B220,Cables!$A:$A,0))*SQRT(C220)+INDEX(Cables!$AU:$AU,MATCH(B220,Cables!$A:$A,0))*C220</f>
        <v>15.875840737885138</v>
      </c>
      <c r="Q220" s="41">
        <f t="shared" si="30"/>
        <v>-2.6022040620543696E-2</v>
      </c>
      <c r="R220" s="39">
        <f t="shared" si="31"/>
        <v>6.7714659805722614E-4</v>
      </c>
      <c r="S220" s="40" t="b">
        <f>IF(B220=B219,C220&gt;C219,COUNTIF(B$1:B219,B220)=0)</f>
        <v>1</v>
      </c>
      <c r="T220" s="37"/>
    </row>
    <row r="221" spans="1:20" x14ac:dyDescent="0.25">
      <c r="A221" s="37" t="s">
        <v>940</v>
      </c>
      <c r="B221" s="37" t="s">
        <v>333</v>
      </c>
      <c r="C221" s="37">
        <v>430</v>
      </c>
      <c r="D221" s="37">
        <v>17</v>
      </c>
      <c r="E221" s="37" t="s">
        <v>771</v>
      </c>
      <c r="F221" s="37">
        <v>20</v>
      </c>
      <c r="G221" s="37" t="s">
        <v>344</v>
      </c>
      <c r="H221" s="37" t="s">
        <v>928</v>
      </c>
      <c r="I221" s="38">
        <f t="shared" si="24"/>
        <v>17</v>
      </c>
      <c r="J221" s="38">
        <f t="shared" si="25"/>
        <v>6.0637852086876078</v>
      </c>
      <c r="K221" s="38">
        <f t="shared" si="26"/>
        <v>2.8332133440562162</v>
      </c>
      <c r="L221" s="39">
        <f t="shared" si="27"/>
        <v>5.8823529411764705E-2</v>
      </c>
      <c r="M221" s="39">
        <f t="shared" si="28"/>
        <v>1.219790667842807</v>
      </c>
      <c r="N221" s="39">
        <f t="shared" si="29"/>
        <v>25.294117647058822</v>
      </c>
      <c r="O221" s="40">
        <f>1</f>
        <v>1</v>
      </c>
      <c r="P221" s="38">
        <f>INDEX(Cables!$AS:$AS,MATCH(B221,Cables!$A:$A,0))+INDEX(Cables!$AT:$AT,MATCH(B221,Cables!$A:$A,0))*SQRT(C221)+INDEX(Cables!$AU:$AU,MATCH(B221,Cables!$A:$A,0))*C221</f>
        <v>16.491294859919012</v>
      </c>
      <c r="Q221" s="41">
        <f t="shared" si="30"/>
        <v>-2.9923831769469889E-2</v>
      </c>
      <c r="R221" s="39">
        <f t="shared" si="31"/>
        <v>8.9543570776753542E-4</v>
      </c>
      <c r="S221" s="40" t="b">
        <f>IF(B221=B220,C221&gt;C220,COUNTIF(B$1:B220,B221)=0)</f>
        <v>1</v>
      </c>
      <c r="T221" s="37"/>
    </row>
    <row r="222" spans="1:20" x14ac:dyDescent="0.25">
      <c r="A222" s="37" t="s">
        <v>941</v>
      </c>
      <c r="B222" s="37" t="s">
        <v>333</v>
      </c>
      <c r="C222" s="37">
        <v>800</v>
      </c>
      <c r="D222" s="37">
        <v>23.4</v>
      </c>
      <c r="E222" s="37" t="s">
        <v>771</v>
      </c>
      <c r="F222" s="37">
        <v>20</v>
      </c>
      <c r="G222" s="37" t="s">
        <v>344</v>
      </c>
      <c r="H222" s="37" t="s">
        <v>928</v>
      </c>
      <c r="I222" s="38">
        <f t="shared" si="24"/>
        <v>23.4</v>
      </c>
      <c r="J222" s="38">
        <f t="shared" si="25"/>
        <v>6.6846117276679271</v>
      </c>
      <c r="K222" s="38">
        <f t="shared" si="26"/>
        <v>3.1527360223636558</v>
      </c>
      <c r="L222" s="39">
        <f t="shared" si="27"/>
        <v>4.2735042735042736E-2</v>
      </c>
      <c r="M222" s="39">
        <f t="shared" si="28"/>
        <v>1.2087295404898248</v>
      </c>
      <c r="N222" s="39">
        <f t="shared" si="29"/>
        <v>34.188034188034187</v>
      </c>
      <c r="O222" s="40">
        <f>1</f>
        <v>1</v>
      </c>
      <c r="P222" s="38">
        <f>INDEX(Cables!$AS:$AS,MATCH(B222,Cables!$A:$A,0))+INDEX(Cables!$AT:$AT,MATCH(B222,Cables!$A:$A,0))*SQRT(C222)+INDEX(Cables!$AU:$AU,MATCH(B222,Cables!$A:$A,0))*C222</f>
        <v>22.988847368819066</v>
      </c>
      <c r="Q222" s="41">
        <f t="shared" si="30"/>
        <v>-1.7570625264142437E-2</v>
      </c>
      <c r="R222" s="39">
        <f t="shared" si="31"/>
        <v>3.0872687217292047E-4</v>
      </c>
      <c r="S222" s="40" t="b">
        <f>IF(B222=B221,C222&gt;C221,COUNTIF(B$1:B221,B222)=0)</f>
        <v>1</v>
      </c>
      <c r="T222" s="37"/>
    </row>
    <row r="223" spans="1:20" x14ac:dyDescent="0.25">
      <c r="A223" s="37" t="s">
        <v>942</v>
      </c>
      <c r="B223" s="37" t="s">
        <v>333</v>
      </c>
      <c r="C223" s="37">
        <v>1000</v>
      </c>
      <c r="D223" s="37">
        <v>26.4</v>
      </c>
      <c r="E223" s="37" t="s">
        <v>771</v>
      </c>
      <c r="F223" s="37">
        <v>20</v>
      </c>
      <c r="G223" s="37" t="s">
        <v>344</v>
      </c>
      <c r="H223" s="37" t="s">
        <v>928</v>
      </c>
      <c r="I223" s="38">
        <f t="shared" si="24"/>
        <v>26.4</v>
      </c>
      <c r="J223" s="38">
        <f t="shared" si="25"/>
        <v>6.9077552789821368</v>
      </c>
      <c r="K223" s="38">
        <f t="shared" si="26"/>
        <v>3.2733640101522705</v>
      </c>
      <c r="L223" s="39">
        <f t="shared" si="27"/>
        <v>3.787878787878788E-2</v>
      </c>
      <c r="M223" s="39">
        <f t="shared" si="28"/>
        <v>1.1978324470334771</v>
      </c>
      <c r="N223" s="39">
        <f t="shared" si="29"/>
        <v>37.878787878787882</v>
      </c>
      <c r="O223" s="40">
        <f>1</f>
        <v>1</v>
      </c>
      <c r="P223" s="38">
        <f>INDEX(Cables!$AS:$AS,MATCH(B223,Cables!$A:$A,0))+INDEX(Cables!$AT:$AT,MATCH(B223,Cables!$A:$A,0))*SQRT(C223)+INDEX(Cables!$AU:$AU,MATCH(B223,Cables!$A:$A,0))*C223</f>
        <v>25.973078912126617</v>
      </c>
      <c r="Q223" s="41">
        <f t="shared" si="30"/>
        <v>-1.6171253328537194E-2</v>
      </c>
      <c r="R223" s="39">
        <f t="shared" si="31"/>
        <v>2.6150943421572527E-4</v>
      </c>
      <c r="S223" s="40" t="b">
        <f>IF(B223=B222,C223&gt;C222,COUNTIF(B$1:B222,B223)=0)</f>
        <v>1</v>
      </c>
      <c r="T223" s="37"/>
    </row>
    <row r="224" spans="1:20" x14ac:dyDescent="0.25">
      <c r="A224" s="37" t="s">
        <v>943</v>
      </c>
      <c r="B224" s="37" t="s">
        <v>333</v>
      </c>
      <c r="C224" s="37">
        <v>1296</v>
      </c>
      <c r="D224" s="37">
        <v>30.5</v>
      </c>
      <c r="E224" s="37" t="s">
        <v>771</v>
      </c>
      <c r="F224" s="37">
        <v>20</v>
      </c>
      <c r="G224" s="37" t="s">
        <v>344</v>
      </c>
      <c r="H224" s="37" t="s">
        <v>928</v>
      </c>
      <c r="I224" s="38">
        <f t="shared" si="24"/>
        <v>30.5</v>
      </c>
      <c r="J224" s="38">
        <f t="shared" si="25"/>
        <v>7.1670378769122198</v>
      </c>
      <c r="K224" s="38">
        <f t="shared" si="26"/>
        <v>3.417726683613366</v>
      </c>
      <c r="L224" s="39">
        <f t="shared" si="27"/>
        <v>3.2786885245901641E-2</v>
      </c>
      <c r="M224" s="39">
        <f t="shared" si="28"/>
        <v>1.180327868852459</v>
      </c>
      <c r="N224" s="39">
        <f t="shared" si="29"/>
        <v>42.491803278688522</v>
      </c>
      <c r="O224" s="40">
        <f>1</f>
        <v>1</v>
      </c>
      <c r="P224" s="38">
        <f>INDEX(Cables!$AS:$AS,MATCH(B224,Cables!$A:$A,0))+INDEX(Cables!$AT:$AT,MATCH(B224,Cables!$A:$A,0))*SQRT(C224)+INDEX(Cables!$AU:$AU,MATCH(B224,Cables!$A:$A,0))*C224</f>
        <v>29.988280207102001</v>
      </c>
      <c r="Q224" s="41">
        <f t="shared" si="30"/>
        <v>-1.6777698127803276E-2</v>
      </c>
      <c r="R224" s="39">
        <f t="shared" si="31"/>
        <v>2.8149115446769355E-4</v>
      </c>
      <c r="S224" s="40" t="b">
        <f>IF(B224=B223,C224&gt;C223,COUNTIF(B$1:B223,B224)=0)</f>
        <v>1</v>
      </c>
      <c r="T224" s="37"/>
    </row>
    <row r="225" spans="1:20" x14ac:dyDescent="0.25">
      <c r="A225" s="37" t="s">
        <v>944</v>
      </c>
      <c r="B225" s="37" t="s">
        <v>333</v>
      </c>
      <c r="C225" s="37">
        <v>2400</v>
      </c>
      <c r="D225" s="37">
        <v>42.5</v>
      </c>
      <c r="E225" s="37" t="s">
        <v>771</v>
      </c>
      <c r="F225" s="37">
        <v>20</v>
      </c>
      <c r="G225" s="37" t="s">
        <v>344</v>
      </c>
      <c r="H225" s="37" t="s">
        <v>928</v>
      </c>
      <c r="I225" s="38">
        <f t="shared" si="24"/>
        <v>42.5</v>
      </c>
      <c r="J225" s="38">
        <f t="shared" si="25"/>
        <v>7.7832240163360371</v>
      </c>
      <c r="K225" s="38">
        <f t="shared" si="26"/>
        <v>3.7495040759303713</v>
      </c>
      <c r="L225" s="39">
        <f t="shared" si="27"/>
        <v>2.3529411764705882E-2</v>
      </c>
      <c r="M225" s="39">
        <f t="shared" si="28"/>
        <v>1.152701055427378</v>
      </c>
      <c r="N225" s="39">
        <f t="shared" si="29"/>
        <v>56.470588235294116</v>
      </c>
      <c r="O225" s="40">
        <f>1</f>
        <v>1</v>
      </c>
      <c r="P225" s="38">
        <f>INDEX(Cables!$AS:$AS,MATCH(B225,Cables!$A:$A,0))+INDEX(Cables!$AT:$AT,MATCH(B225,Cables!$A:$A,0))*SQRT(C225)+INDEX(Cables!$AU:$AU,MATCH(B225,Cables!$A:$A,0))*C225</f>
        <v>42.588256050111973</v>
      </c>
      <c r="Q225" s="41">
        <f t="shared" si="30"/>
        <v>2.0766129438112291E-3</v>
      </c>
      <c r="R225" s="39">
        <f t="shared" si="31"/>
        <v>4.3123213184043386E-6</v>
      </c>
      <c r="S225" s="40" t="b">
        <f>IF(B225=B224,C225&gt;C224,COUNTIF(B$1:B224,B225)=0)</f>
        <v>1</v>
      </c>
      <c r="T225" s="37"/>
    </row>
    <row r="226" spans="1:20" x14ac:dyDescent="0.25">
      <c r="A226" s="37" t="s">
        <v>945</v>
      </c>
      <c r="B226" s="37" t="s">
        <v>333</v>
      </c>
      <c r="C226" s="37">
        <v>3000</v>
      </c>
      <c r="D226" s="37">
        <v>48.1</v>
      </c>
      <c r="E226" s="37" t="s">
        <v>771</v>
      </c>
      <c r="F226" s="37">
        <v>20</v>
      </c>
      <c r="G226" s="37" t="s">
        <v>344</v>
      </c>
      <c r="H226" s="37" t="s">
        <v>928</v>
      </c>
      <c r="I226" s="38">
        <f t="shared" si="24"/>
        <v>48.1</v>
      </c>
      <c r="J226" s="38">
        <f t="shared" si="25"/>
        <v>8.0063675676502459</v>
      </c>
      <c r="K226" s="38">
        <f t="shared" si="26"/>
        <v>3.8732821771117156</v>
      </c>
      <c r="L226" s="39">
        <f t="shared" si="27"/>
        <v>2.0790020790020788E-2</v>
      </c>
      <c r="M226" s="39">
        <f t="shared" si="28"/>
        <v>1.1387163357695762</v>
      </c>
      <c r="N226" s="39">
        <f t="shared" si="29"/>
        <v>62.370062370062371</v>
      </c>
      <c r="O226" s="40">
        <f>1</f>
        <v>1</v>
      </c>
      <c r="P226" s="38">
        <f>INDEX(Cables!$AS:$AS,MATCH(B226,Cables!$A:$A,0))+INDEX(Cables!$AT:$AT,MATCH(B226,Cables!$A:$A,0))*SQRT(C226)+INDEX(Cables!$AU:$AU,MATCH(B226,Cables!$A:$A,0))*C226</f>
        <v>48.526557028570309</v>
      </c>
      <c r="Q226" s="41">
        <f t="shared" si="30"/>
        <v>8.868129492106247E-3</v>
      </c>
      <c r="R226" s="39">
        <f t="shared" si="31"/>
        <v>7.8643720688764606E-5</v>
      </c>
      <c r="S226" s="40" t="b">
        <f>IF(B226=B225,C226&gt;C225,COUNTIF(B$1:B225,B226)=0)</f>
        <v>1</v>
      </c>
      <c r="T226" s="37"/>
    </row>
    <row r="227" spans="1:20" x14ac:dyDescent="0.25">
      <c r="A227" s="37" t="s">
        <v>946</v>
      </c>
      <c r="B227" s="37" t="s">
        <v>333</v>
      </c>
      <c r="C227" s="37">
        <v>4000</v>
      </c>
      <c r="D227" s="37">
        <v>56.9</v>
      </c>
      <c r="E227" s="37" t="s">
        <v>771</v>
      </c>
      <c r="F227" s="37">
        <v>20</v>
      </c>
      <c r="G227" s="37" t="s">
        <v>344</v>
      </c>
      <c r="H227" s="37" t="s">
        <v>928</v>
      </c>
      <c r="I227" s="38">
        <f t="shared" si="24"/>
        <v>56.9</v>
      </c>
      <c r="J227" s="38">
        <f t="shared" si="25"/>
        <v>8.2940496401020276</v>
      </c>
      <c r="K227" s="38">
        <f t="shared" si="26"/>
        <v>4.0412953411322849</v>
      </c>
      <c r="L227" s="39">
        <f t="shared" si="27"/>
        <v>1.7574692442882251E-2</v>
      </c>
      <c r="M227" s="39">
        <f t="shared" si="28"/>
        <v>1.1115211459291316</v>
      </c>
      <c r="N227" s="39">
        <f t="shared" si="29"/>
        <v>70.298769771528995</v>
      </c>
      <c r="O227" s="40">
        <f>1</f>
        <v>1</v>
      </c>
      <c r="P227" s="38">
        <f>INDEX(Cables!$AS:$AS,MATCH(B227,Cables!$A:$A,0))+INDEX(Cables!$AT:$AT,MATCH(B227,Cables!$A:$A,0))*SQRT(C227)+INDEX(Cables!$AU:$AU,MATCH(B227,Cables!$A:$A,0))*C227</f>
        <v>57.594733459799066</v>
      </c>
      <c r="Q227" s="41">
        <f t="shared" si="30"/>
        <v>1.2209726885748173E-2</v>
      </c>
      <c r="R227" s="39">
        <f t="shared" si="31"/>
        <v>1.4907743062456179E-4</v>
      </c>
      <c r="S227" s="40" t="b">
        <f>IF(B227=B226,C227&gt;C226,COUNTIF(B$1:B226,B227)=0)</f>
        <v>1</v>
      </c>
      <c r="T227" s="37"/>
    </row>
    <row r="228" spans="1:20" x14ac:dyDescent="0.25">
      <c r="A228" s="37" t="s">
        <v>947</v>
      </c>
      <c r="B228" s="37" t="s">
        <v>333</v>
      </c>
      <c r="C228" s="37">
        <v>5000</v>
      </c>
      <c r="D228" s="37">
        <v>65.2</v>
      </c>
      <c r="E228" s="37" t="s">
        <v>771</v>
      </c>
      <c r="F228" s="37">
        <v>20</v>
      </c>
      <c r="G228" s="37" t="s">
        <v>344</v>
      </c>
      <c r="H228" s="37" t="s">
        <v>928</v>
      </c>
      <c r="I228" s="38">
        <f t="shared" si="24"/>
        <v>65.2</v>
      </c>
      <c r="J228" s="38">
        <f t="shared" si="25"/>
        <v>8.5171931914162382</v>
      </c>
      <c r="K228" s="38">
        <f t="shared" si="26"/>
        <v>4.1774594689326072</v>
      </c>
      <c r="L228" s="39">
        <f t="shared" si="27"/>
        <v>1.5337423312883436E-2</v>
      </c>
      <c r="M228" s="39">
        <f t="shared" si="28"/>
        <v>1.084519603046852</v>
      </c>
      <c r="N228" s="39">
        <f t="shared" si="29"/>
        <v>76.687116564417181</v>
      </c>
      <c r="O228" s="40">
        <f>1</f>
        <v>1</v>
      </c>
      <c r="P228" s="38">
        <f>INDEX(Cables!$AS:$AS,MATCH(B228,Cables!$A:$A,0))+INDEX(Cables!$AT:$AT,MATCH(B228,Cables!$A:$A,0))*SQRT(C228)+INDEX(Cables!$AU:$AU,MATCH(B228,Cables!$A:$A,0))*C228</f>
        <v>65.944981875366409</v>
      </c>
      <c r="Q228" s="41">
        <f t="shared" si="30"/>
        <v>1.14261023829203E-2</v>
      </c>
      <c r="R228" s="39">
        <f t="shared" si="31"/>
        <v>1.3055581566497697E-4</v>
      </c>
      <c r="S228" s="40" t="b">
        <f>IF(B228=B227,C228&gt;C227,COUNTIF(B$1:B227,B228)=0)</f>
        <v>1</v>
      </c>
      <c r="T228" s="37"/>
    </row>
    <row r="229" spans="1:20" x14ac:dyDescent="0.25">
      <c r="A229" s="37" t="s">
        <v>948</v>
      </c>
      <c r="B229" s="37" t="s">
        <v>333</v>
      </c>
      <c r="C229" s="37">
        <v>6000</v>
      </c>
      <c r="D229" s="37">
        <v>72.900000000000006</v>
      </c>
      <c r="E229" s="37" t="s">
        <v>771</v>
      </c>
      <c r="F229" s="37">
        <v>20</v>
      </c>
      <c r="G229" s="37" t="s">
        <v>344</v>
      </c>
      <c r="H229" s="37" t="s">
        <v>928</v>
      </c>
      <c r="I229" s="38">
        <f t="shared" si="24"/>
        <v>72.900000000000006</v>
      </c>
      <c r="J229" s="38">
        <f t="shared" si="25"/>
        <v>8.6995147482101913</v>
      </c>
      <c r="K229" s="38">
        <f t="shared" si="26"/>
        <v>4.2890886390146123</v>
      </c>
      <c r="L229" s="39">
        <f t="shared" si="27"/>
        <v>1.3717421124828532E-2</v>
      </c>
      <c r="M229" s="39">
        <f t="shared" si="28"/>
        <v>1.0625468713874942</v>
      </c>
      <c r="N229" s="39">
        <f t="shared" si="29"/>
        <v>82.304526748971185</v>
      </c>
      <c r="O229" s="40">
        <f>1</f>
        <v>1</v>
      </c>
      <c r="P229" s="38">
        <f>INDEX(Cables!$AS:$AS,MATCH(B229,Cables!$A:$A,0))+INDEX(Cables!$AT:$AT,MATCH(B229,Cables!$A:$A,0))*SQRT(C229)+INDEX(Cables!$AU:$AU,MATCH(B229,Cables!$A:$A,0))*C229</f>
        <v>73.785263834705958</v>
      </c>
      <c r="Q229" s="41">
        <f t="shared" si="30"/>
        <v>1.2143536827242229E-2</v>
      </c>
      <c r="R229" s="39">
        <f t="shared" si="31"/>
        <v>1.4746548667458827E-4</v>
      </c>
      <c r="S229" s="40" t="b">
        <f>IF(B229=B228,C229&gt;C228,COUNTIF(B$1:B228,B229)=0)</f>
        <v>1</v>
      </c>
      <c r="T229" s="37"/>
    </row>
    <row r="230" spans="1:20" x14ac:dyDescent="0.25">
      <c r="A230" s="37" t="s">
        <v>949</v>
      </c>
      <c r="B230" s="37" t="s">
        <v>346</v>
      </c>
      <c r="C230" s="37">
        <v>30</v>
      </c>
      <c r="D230" s="37">
        <v>1.3</v>
      </c>
      <c r="E230" s="37" t="s">
        <v>707</v>
      </c>
      <c r="F230" s="37">
        <v>25</v>
      </c>
      <c r="G230" s="37" t="s">
        <v>207</v>
      </c>
      <c r="H230" s="37" t="s">
        <v>950</v>
      </c>
      <c r="I230" s="38">
        <f t="shared" si="24"/>
        <v>4.2650918635170605</v>
      </c>
      <c r="J230" s="38">
        <f t="shared" si="25"/>
        <v>3.4011973816621555</v>
      </c>
      <c r="K230" s="38">
        <f t="shared" si="26"/>
        <v>1.4504637196371368</v>
      </c>
      <c r="L230" s="39">
        <f t="shared" si="27"/>
        <v>0.23446153846153844</v>
      </c>
      <c r="M230" s="39">
        <f t="shared" si="28"/>
        <v>1.2841987348274972</v>
      </c>
      <c r="N230" s="39">
        <f t="shared" si="29"/>
        <v>7.0338461538461541</v>
      </c>
      <c r="O230" s="40">
        <f>1</f>
        <v>1</v>
      </c>
      <c r="P230" s="38">
        <f>INDEX(Cables!$AS:$AS,MATCH(B230,Cables!$A:$A,0))+INDEX(Cables!$AT:$AT,MATCH(B230,Cables!$A:$A,0))*SQRT(C230)+INDEX(Cables!$AU:$AU,MATCH(B230,Cables!$A:$A,0))*C230</f>
        <v>4.2720208992450859</v>
      </c>
      <c r="Q230" s="41">
        <f t="shared" si="30"/>
        <v>1.6245923768478665E-3</v>
      </c>
      <c r="R230" s="39">
        <f t="shared" si="31"/>
        <v>2.6393003909122005E-6</v>
      </c>
      <c r="S230" s="40" t="b">
        <f>IF(B230=B229,C230&gt;C229,COUNTIF(B$1:B229,B230)=0)</f>
        <v>1</v>
      </c>
      <c r="T230" s="37"/>
    </row>
    <row r="231" spans="1:20" x14ac:dyDescent="0.25">
      <c r="A231" s="37" t="s">
        <v>951</v>
      </c>
      <c r="B231" s="37" t="s">
        <v>346</v>
      </c>
      <c r="C231" s="37">
        <v>50</v>
      </c>
      <c r="D231" s="37">
        <v>1.7</v>
      </c>
      <c r="E231" s="37" t="s">
        <v>707</v>
      </c>
      <c r="F231" s="37"/>
      <c r="G231" s="37" t="s">
        <v>352</v>
      </c>
      <c r="H231" s="37" t="s">
        <v>952</v>
      </c>
      <c r="I231" s="38">
        <f t="shared" si="24"/>
        <v>5.5774278215223099</v>
      </c>
      <c r="J231" s="38">
        <f t="shared" si="25"/>
        <v>3.912023005428146</v>
      </c>
      <c r="K231" s="38">
        <f t="shared" si="26"/>
        <v>1.7187277062318163</v>
      </c>
      <c r="L231" s="39">
        <f t="shared" si="27"/>
        <v>0.17929411764705883</v>
      </c>
      <c r="M231" s="39">
        <f t="shared" si="28"/>
        <v>1.2678008641509393</v>
      </c>
      <c r="N231" s="39">
        <f t="shared" si="29"/>
        <v>8.9647058823529413</v>
      </c>
      <c r="O231" s="40">
        <f>1</f>
        <v>1</v>
      </c>
      <c r="P231" s="38">
        <f>INDEX(Cables!$AS:$AS,MATCH(B231,Cables!$A:$A,0))+INDEX(Cables!$AT:$AT,MATCH(B231,Cables!$A:$A,0))*SQRT(C231)+INDEX(Cables!$AU:$AU,MATCH(B231,Cables!$A:$A,0))*C231</f>
        <v>5.5786298057760497</v>
      </c>
      <c r="Q231" s="41">
        <f t="shared" si="30"/>
        <v>2.1550870619990725E-4</v>
      </c>
      <c r="R231" s="39">
        <f t="shared" si="31"/>
        <v>4.6444002447957943E-8</v>
      </c>
      <c r="S231" s="40" t="b">
        <f>IF(B231=B230,C231&gt;C230,COUNTIF(B$1:B230,B231)=0)</f>
        <v>1</v>
      </c>
      <c r="T231" s="37"/>
    </row>
    <row r="232" spans="1:20" x14ac:dyDescent="0.25">
      <c r="A232" s="37" t="s">
        <v>953</v>
      </c>
      <c r="B232" s="37" t="s">
        <v>346</v>
      </c>
      <c r="C232" s="37">
        <v>150</v>
      </c>
      <c r="D232" s="37">
        <v>3</v>
      </c>
      <c r="E232" s="37" t="s">
        <v>707</v>
      </c>
      <c r="F232" s="37"/>
      <c r="G232" s="37" t="s">
        <v>352</v>
      </c>
      <c r="H232" s="37" t="s">
        <v>952</v>
      </c>
      <c r="I232" s="38">
        <f t="shared" si="24"/>
        <v>9.8425196850393704</v>
      </c>
      <c r="J232" s="38">
        <f t="shared" si="25"/>
        <v>5.0106352940962555</v>
      </c>
      <c r="K232" s="38">
        <f t="shared" si="26"/>
        <v>2.2867117438377558</v>
      </c>
      <c r="L232" s="39">
        <f t="shared" si="27"/>
        <v>0.1016</v>
      </c>
      <c r="M232" s="39">
        <f t="shared" si="28"/>
        <v>1.2443407893338545</v>
      </c>
      <c r="N232" s="39">
        <f t="shared" si="29"/>
        <v>15.24</v>
      </c>
      <c r="O232" s="40">
        <f>1</f>
        <v>1</v>
      </c>
      <c r="P232" s="38">
        <f>INDEX(Cables!$AS:$AS,MATCH(B232,Cables!$A:$A,0))+INDEX(Cables!$AT:$AT,MATCH(B232,Cables!$A:$A,0))*SQRT(C232)+INDEX(Cables!$AU:$AU,MATCH(B232,Cables!$A:$A,0))*C232</f>
        <v>9.8540009657736771</v>
      </c>
      <c r="Q232" s="41">
        <f t="shared" si="30"/>
        <v>1.1664981226056081E-3</v>
      </c>
      <c r="R232" s="39">
        <f t="shared" si="31"/>
        <v>1.3607178700424084E-6</v>
      </c>
      <c r="S232" s="40" t="b">
        <f>IF(B232=B231,C232&gt;C231,COUNTIF(B$1:B231,B232)=0)</f>
        <v>1</v>
      </c>
      <c r="T232" s="37"/>
    </row>
    <row r="233" spans="1:20" x14ac:dyDescent="0.25">
      <c r="A233" s="37" t="s">
        <v>954</v>
      </c>
      <c r="B233" s="37" t="s">
        <v>346</v>
      </c>
      <c r="C233" s="37">
        <v>220</v>
      </c>
      <c r="D233" s="37">
        <v>3.7</v>
      </c>
      <c r="E233" s="37" t="s">
        <v>707</v>
      </c>
      <c r="F233" s="37"/>
      <c r="G233" s="37" t="s">
        <v>352</v>
      </c>
      <c r="H233" s="37" t="s">
        <v>952</v>
      </c>
      <c r="I233" s="38">
        <f t="shared" si="24"/>
        <v>12.139107611548557</v>
      </c>
      <c r="J233" s="38">
        <f t="shared" si="25"/>
        <v>5.393627546352362</v>
      </c>
      <c r="K233" s="38">
        <f t="shared" si="26"/>
        <v>2.4964322748198247</v>
      </c>
      <c r="L233" s="39">
        <f t="shared" si="27"/>
        <v>8.2378378378378372E-2</v>
      </c>
      <c r="M233" s="39">
        <f t="shared" si="28"/>
        <v>1.2218688101982476</v>
      </c>
      <c r="N233" s="39">
        <f t="shared" si="29"/>
        <v>18.123243243243241</v>
      </c>
      <c r="O233" s="40">
        <f>1</f>
        <v>1</v>
      </c>
      <c r="P233" s="38">
        <f>INDEX(Cables!$AS:$AS,MATCH(B233,Cables!$A:$A,0))+INDEX(Cables!$AT:$AT,MATCH(B233,Cables!$A:$A,0))*SQRT(C233)+INDEX(Cables!$AU:$AU,MATCH(B233,Cables!$A:$A,0))*C233</f>
        <v>12.007241352378143</v>
      </c>
      <c r="Q233" s="41">
        <f t="shared" si="30"/>
        <v>-1.086292859328164E-2</v>
      </c>
      <c r="R233" s="39">
        <f t="shared" si="31"/>
        <v>1.1800321762273583E-4</v>
      </c>
      <c r="S233" s="40" t="b">
        <f>IF(B233=B232,C233&gt;C232,COUNTIF(B$1:B232,B233)=0)</f>
        <v>1</v>
      </c>
      <c r="T233" s="37"/>
    </row>
    <row r="234" spans="1:20" x14ac:dyDescent="0.25">
      <c r="A234" s="37" t="s">
        <v>955</v>
      </c>
      <c r="B234" s="37" t="s">
        <v>346</v>
      </c>
      <c r="C234" s="37">
        <v>450</v>
      </c>
      <c r="D234" s="37">
        <v>5.3</v>
      </c>
      <c r="E234" s="37" t="s">
        <v>707</v>
      </c>
      <c r="F234" s="37"/>
      <c r="G234" s="37" t="s">
        <v>352</v>
      </c>
      <c r="H234" s="37" t="s">
        <v>952</v>
      </c>
      <c r="I234" s="38">
        <f t="shared" si="24"/>
        <v>17.388451443569554</v>
      </c>
      <c r="J234" s="38">
        <f t="shared" si="25"/>
        <v>6.1092475827643655</v>
      </c>
      <c r="K234" s="38">
        <f t="shared" si="26"/>
        <v>2.8558062757277218</v>
      </c>
      <c r="L234" s="39">
        <f t="shared" si="27"/>
        <v>5.7509433962264149E-2</v>
      </c>
      <c r="M234" s="39">
        <f t="shared" si="28"/>
        <v>1.2199593221075076</v>
      </c>
      <c r="N234" s="39">
        <f t="shared" si="29"/>
        <v>25.879245283018868</v>
      </c>
      <c r="O234" s="40">
        <f>1</f>
        <v>1</v>
      </c>
      <c r="P234" s="38">
        <f>INDEX(Cables!$AS:$AS,MATCH(B234,Cables!$A:$A,0))+INDEX(Cables!$AT:$AT,MATCH(B234,Cables!$A:$A,0))*SQRT(C234)+INDEX(Cables!$AU:$AU,MATCH(B234,Cables!$A:$A,0))*C234</f>
        <v>17.374390577631189</v>
      </c>
      <c r="Q234" s="41">
        <f t="shared" si="30"/>
        <v>-8.0863244113471566E-4</v>
      </c>
      <c r="R234" s="39">
        <f t="shared" si="31"/>
        <v>6.5388642485548939E-7</v>
      </c>
      <c r="S234" s="40" t="b">
        <f>IF(B234=B233,C234&gt;C233,COUNTIF(B$1:B233,B234)=0)</f>
        <v>1</v>
      </c>
      <c r="T234" s="37"/>
    </row>
    <row r="235" spans="1:20" x14ac:dyDescent="0.25">
      <c r="A235" s="37" t="s">
        <v>956</v>
      </c>
      <c r="B235" s="37" t="s">
        <v>346</v>
      </c>
      <c r="C235" s="37">
        <v>700</v>
      </c>
      <c r="D235" s="37">
        <v>6.6</v>
      </c>
      <c r="E235" s="37" t="s">
        <v>707</v>
      </c>
      <c r="F235" s="37">
        <v>25</v>
      </c>
      <c r="G235" s="37" t="s">
        <v>207</v>
      </c>
      <c r="H235" s="37" t="s">
        <v>950</v>
      </c>
      <c r="I235" s="38">
        <f t="shared" si="24"/>
        <v>21.653543307086615</v>
      </c>
      <c r="J235" s="38">
        <f t="shared" si="25"/>
        <v>6.5510803350434044</v>
      </c>
      <c r="K235" s="38">
        <f t="shared" si="26"/>
        <v>3.0751691042020259</v>
      </c>
      <c r="L235" s="39">
        <f t="shared" si="27"/>
        <v>4.6181818181818178E-2</v>
      </c>
      <c r="M235" s="39">
        <f t="shared" si="28"/>
        <v>1.2218560600189199</v>
      </c>
      <c r="N235" s="39">
        <f t="shared" si="29"/>
        <v>32.327272727272728</v>
      </c>
      <c r="O235" s="40">
        <f>1</f>
        <v>1</v>
      </c>
      <c r="P235" s="38">
        <f>INDEX(Cables!$AS:$AS,MATCH(B235,Cables!$A:$A,0))+INDEX(Cables!$AT:$AT,MATCH(B235,Cables!$A:$A,0))*SQRT(C235)+INDEX(Cables!$AU:$AU,MATCH(B235,Cables!$A:$A,0))*C235</f>
        <v>21.840992137594807</v>
      </c>
      <c r="Q235" s="41">
        <f t="shared" si="30"/>
        <v>8.656727808923792E-3</v>
      </c>
      <c r="R235" s="39">
        <f t="shared" si="31"/>
        <v>7.4938936357794517E-5</v>
      </c>
      <c r="S235" s="40" t="b">
        <f>IF(B235=B234,C235&gt;C234,COUNTIF(B$1:B234,B235)=0)</f>
        <v>1</v>
      </c>
      <c r="T235" s="37"/>
    </row>
    <row r="236" spans="1:20" x14ac:dyDescent="0.25">
      <c r="A236" s="37" t="s">
        <v>957</v>
      </c>
      <c r="B236" s="37" t="s">
        <v>346</v>
      </c>
      <c r="C236" s="37">
        <v>900</v>
      </c>
      <c r="D236" s="37">
        <v>7.6</v>
      </c>
      <c r="E236" s="37" t="s">
        <v>707</v>
      </c>
      <c r="F236" s="37"/>
      <c r="G236" s="37" t="s">
        <v>352</v>
      </c>
      <c r="H236" s="37" t="s">
        <v>952</v>
      </c>
      <c r="I236" s="38">
        <f t="shared" si="24"/>
        <v>24.934383202099738</v>
      </c>
      <c r="J236" s="38">
        <f t="shared" si="25"/>
        <v>6.8023947633243109</v>
      </c>
      <c r="K236" s="38">
        <f t="shared" si="26"/>
        <v>3.2162477024619314</v>
      </c>
      <c r="L236" s="39">
        <f t="shared" si="27"/>
        <v>4.0105263157894734E-2</v>
      </c>
      <c r="M236" s="39">
        <f t="shared" si="28"/>
        <v>1.203157894736842</v>
      </c>
      <c r="N236" s="39">
        <f t="shared" si="29"/>
        <v>36.094736842105263</v>
      </c>
      <c r="O236" s="40">
        <f>1</f>
        <v>1</v>
      </c>
      <c r="P236" s="38">
        <f>INDEX(Cables!$AS:$AS,MATCH(B236,Cables!$A:$A,0))+INDEX(Cables!$AT:$AT,MATCH(B236,Cables!$A:$A,0))*SQRT(C236)+INDEX(Cables!$AU:$AU,MATCH(B236,Cables!$A:$A,0))*C236</f>
        <v>24.886431670488513</v>
      </c>
      <c r="Q236" s="41">
        <f t="shared" si="30"/>
        <v>-1.9231087940922986E-3</v>
      </c>
      <c r="R236" s="39">
        <f t="shared" si="31"/>
        <v>3.6983474339151351E-6</v>
      </c>
      <c r="S236" s="40" t="b">
        <f>IF(B236=B235,C236&gt;C235,COUNTIF(B$1:B235,B236)=0)</f>
        <v>1</v>
      </c>
      <c r="T236" s="37"/>
    </row>
    <row r="237" spans="1:20" x14ac:dyDescent="0.25">
      <c r="A237" s="37" t="s">
        <v>958</v>
      </c>
      <c r="B237" s="37" t="s">
        <v>346</v>
      </c>
      <c r="C237" s="37">
        <v>1500</v>
      </c>
      <c r="D237" s="37">
        <v>9.9</v>
      </c>
      <c r="E237" s="37" t="s">
        <v>707</v>
      </c>
      <c r="F237" s="37"/>
      <c r="G237" s="37" t="s">
        <v>352</v>
      </c>
      <c r="H237" s="37" t="s">
        <v>952</v>
      </c>
      <c r="I237" s="38">
        <f t="shared" si="24"/>
        <v>32.480314960629919</v>
      </c>
      <c r="J237" s="38">
        <f t="shared" si="25"/>
        <v>7.3132203870903014</v>
      </c>
      <c r="K237" s="38">
        <f t="shared" si="26"/>
        <v>3.4806342123101901</v>
      </c>
      <c r="L237" s="39">
        <f t="shared" si="27"/>
        <v>3.0787878787878791E-2</v>
      </c>
      <c r="M237" s="39">
        <f t="shared" si="28"/>
        <v>1.1924094181050715</v>
      </c>
      <c r="N237" s="39">
        <f t="shared" si="29"/>
        <v>46.181818181818187</v>
      </c>
      <c r="O237" s="40">
        <f>1</f>
        <v>1</v>
      </c>
      <c r="P237" s="38">
        <f>INDEX(Cables!$AS:$AS,MATCH(B237,Cables!$A:$A,0))+INDEX(Cables!$AT:$AT,MATCH(B237,Cables!$A:$A,0))*SQRT(C237)+INDEX(Cables!$AU:$AU,MATCH(B237,Cables!$A:$A,0))*C237</f>
        <v>32.488742835286992</v>
      </c>
      <c r="Q237" s="41">
        <f t="shared" si="30"/>
        <v>2.5947638338141843E-4</v>
      </c>
      <c r="R237" s="39">
        <f t="shared" si="31"/>
        <v>6.7327993532700841E-8</v>
      </c>
      <c r="S237" s="40" t="b">
        <f>IF(B237=B236,C237&gt;C236,COUNTIF(B$1:B236,B237)=0)</f>
        <v>1</v>
      </c>
      <c r="T237" s="37"/>
    </row>
    <row r="238" spans="1:20" x14ac:dyDescent="0.25">
      <c r="A238" s="37" t="s">
        <v>959</v>
      </c>
      <c r="B238" s="37" t="s">
        <v>346</v>
      </c>
      <c r="C238" s="37">
        <v>1800</v>
      </c>
      <c r="D238" s="37">
        <v>10.9</v>
      </c>
      <c r="E238" s="37" t="s">
        <v>707</v>
      </c>
      <c r="F238" s="37"/>
      <c r="G238" s="37" t="s">
        <v>352</v>
      </c>
      <c r="H238" s="37" t="s">
        <v>952</v>
      </c>
      <c r="I238" s="38">
        <f t="shared" si="24"/>
        <v>35.761154855643042</v>
      </c>
      <c r="J238" s="38">
        <f t="shared" si="25"/>
        <v>7.4955419438842563</v>
      </c>
      <c r="K238" s="38">
        <f t="shared" si="26"/>
        <v>3.5768622444047438</v>
      </c>
      <c r="L238" s="39">
        <f t="shared" si="27"/>
        <v>2.7963302752293581E-2</v>
      </c>
      <c r="M238" s="39">
        <f t="shared" si="28"/>
        <v>1.1863824600311543</v>
      </c>
      <c r="N238" s="39">
        <f t="shared" si="29"/>
        <v>50.333944954128441</v>
      </c>
      <c r="O238" s="40">
        <f>1</f>
        <v>1</v>
      </c>
      <c r="P238" s="38">
        <f>INDEX(Cables!$AS:$AS,MATCH(B238,Cables!$A:$A,0))+INDEX(Cables!$AT:$AT,MATCH(B238,Cables!$A:$A,0))*SQRT(C238)+INDEX(Cables!$AU:$AU,MATCH(B238,Cables!$A:$A,0))*C238</f>
        <v>35.749621791711739</v>
      </c>
      <c r="Q238" s="41">
        <f t="shared" si="30"/>
        <v>-3.225025583726282E-4</v>
      </c>
      <c r="R238" s="39">
        <f t="shared" si="31"/>
        <v>1.0400790015689046E-7</v>
      </c>
      <c r="S238" s="40" t="b">
        <f>IF(B238=B237,C238&gt;C237,COUNTIF(B$1:B237,B238)=0)</f>
        <v>1</v>
      </c>
      <c r="T238" s="37"/>
    </row>
    <row r="239" spans="1:20" x14ac:dyDescent="0.25">
      <c r="A239" s="37" t="s">
        <v>960</v>
      </c>
      <c r="B239" s="37" t="s">
        <v>346</v>
      </c>
      <c r="C239" s="37">
        <v>2000</v>
      </c>
      <c r="D239" s="37">
        <v>11.5</v>
      </c>
      <c r="E239" s="37" t="s">
        <v>707</v>
      </c>
      <c r="F239" s="37"/>
      <c r="G239" s="37" t="s">
        <v>352</v>
      </c>
      <c r="H239" s="37" t="s">
        <v>952</v>
      </c>
      <c r="I239" s="38">
        <f t="shared" si="24"/>
        <v>37.729658792650916</v>
      </c>
      <c r="J239" s="38">
        <f t="shared" si="25"/>
        <v>7.6009024595420822</v>
      </c>
      <c r="K239" s="38">
        <f t="shared" si="26"/>
        <v>3.63044649053885</v>
      </c>
      <c r="L239" s="39">
        <f t="shared" si="27"/>
        <v>2.6504347826086957E-2</v>
      </c>
      <c r="M239" s="39">
        <f t="shared" si="28"/>
        <v>1.1853104687685843</v>
      </c>
      <c r="N239" s="39">
        <f t="shared" si="29"/>
        <v>53.00869565217392</v>
      </c>
      <c r="O239" s="40">
        <f>1</f>
        <v>1</v>
      </c>
      <c r="P239" s="38">
        <f>INDEX(Cables!$AS:$AS,MATCH(B239,Cables!$A:$A,0))+INDEX(Cables!$AT:$AT,MATCH(B239,Cables!$A:$A,0))*SQRT(C239)+INDEX(Cables!$AU:$AU,MATCH(B239,Cables!$A:$A,0))*C239</f>
        <v>37.786577283604416</v>
      </c>
      <c r="Q239" s="41">
        <f t="shared" si="30"/>
        <v>1.5085874819675826E-3</v>
      </c>
      <c r="R239" s="39">
        <f t="shared" si="31"/>
        <v>2.2758361907492914E-6</v>
      </c>
      <c r="S239" s="40" t="b">
        <f>IF(B239=B238,C239&gt;C238,COUNTIF(B$1:B238,B239)=0)</f>
        <v>1</v>
      </c>
      <c r="T239" s="37"/>
    </row>
    <row r="240" spans="1:20" x14ac:dyDescent="0.25">
      <c r="A240" s="37" t="s">
        <v>961</v>
      </c>
      <c r="B240" s="37" t="s">
        <v>346</v>
      </c>
      <c r="C240" s="37">
        <v>2500</v>
      </c>
      <c r="D240" s="37">
        <v>12.9</v>
      </c>
      <c r="E240" s="37" t="s">
        <v>707</v>
      </c>
      <c r="F240" s="37"/>
      <c r="G240" s="37" t="s">
        <v>352</v>
      </c>
      <c r="H240" s="37" t="s">
        <v>952</v>
      </c>
      <c r="I240" s="38">
        <f t="shared" si="24"/>
        <v>42.322834645669289</v>
      </c>
      <c r="J240" s="38">
        <f t="shared" si="25"/>
        <v>7.8240460108562919</v>
      </c>
      <c r="K240" s="38">
        <f t="shared" si="26"/>
        <v>3.7453267665372723</v>
      </c>
      <c r="L240" s="39">
        <f t="shared" si="27"/>
        <v>2.3627906976744186E-2</v>
      </c>
      <c r="M240" s="39">
        <f t="shared" si="28"/>
        <v>1.1813953488372093</v>
      </c>
      <c r="N240" s="39">
        <f t="shared" si="29"/>
        <v>59.069767441860471</v>
      </c>
      <c r="O240" s="40">
        <f>1</f>
        <v>1</v>
      </c>
      <c r="P240" s="38">
        <f>INDEX(Cables!$AS:$AS,MATCH(B240,Cables!$A:$A,0))+INDEX(Cables!$AT:$AT,MATCH(B240,Cables!$A:$A,0))*SQRT(C240)+INDEX(Cables!$AU:$AU,MATCH(B240,Cables!$A:$A,0))*C240</f>
        <v>42.508127905139283</v>
      </c>
      <c r="Q240" s="41">
        <f t="shared" si="30"/>
        <v>4.3780918981748407E-3</v>
      </c>
      <c r="R240" s="39">
        <f t="shared" si="31"/>
        <v>1.9167688668864178E-5</v>
      </c>
      <c r="S240" s="40" t="b">
        <f>IF(B240=B239,C240&gt;C239,COUNTIF(B$1:B239,B240)=0)</f>
        <v>1</v>
      </c>
      <c r="T240" s="37"/>
    </row>
    <row r="241" spans="1:20" x14ac:dyDescent="0.25">
      <c r="A241" s="37" t="s">
        <v>962</v>
      </c>
      <c r="B241" s="37" t="s">
        <v>346</v>
      </c>
      <c r="C241" s="37">
        <v>5800</v>
      </c>
      <c r="D241" s="37">
        <v>20.399999999999999</v>
      </c>
      <c r="E241" s="37" t="s">
        <v>707</v>
      </c>
      <c r="F241" s="37"/>
      <c r="G241" s="37" t="s">
        <v>352</v>
      </c>
      <c r="H241" s="37" t="s">
        <v>952</v>
      </c>
      <c r="I241" s="38">
        <f t="shared" si="24"/>
        <v>66.929133858267704</v>
      </c>
      <c r="J241" s="38">
        <f t="shared" si="25"/>
        <v>8.66561319653451</v>
      </c>
      <c r="K241" s="38">
        <f t="shared" si="26"/>
        <v>4.2036343560198164</v>
      </c>
      <c r="L241" s="39">
        <f t="shared" si="27"/>
        <v>1.4941176470588237E-2</v>
      </c>
      <c r="M241" s="39">
        <f t="shared" si="28"/>
        <v>1.1378860993467255</v>
      </c>
      <c r="N241" s="39">
        <f t="shared" si="29"/>
        <v>86.658823529411777</v>
      </c>
      <c r="O241" s="40">
        <f>1</f>
        <v>1</v>
      </c>
      <c r="P241" s="38">
        <f>INDEX(Cables!$AS:$AS,MATCH(B241,Cables!$A:$A,0))+INDEX(Cables!$AT:$AT,MATCH(B241,Cables!$A:$A,0))*SQRT(C241)+INDEX(Cables!$AU:$AU,MATCH(B241,Cables!$A:$A,0))*C241</f>
        <v>66.652559763613809</v>
      </c>
      <c r="Q241" s="41">
        <f t="shared" si="30"/>
        <v>-4.1323423554170402E-3</v>
      </c>
      <c r="R241" s="39">
        <f t="shared" si="31"/>
        <v>1.7076253342373651E-5</v>
      </c>
      <c r="S241" s="40" t="b">
        <f>IF(B241=B240,C241&gt;C240,COUNTIF(B$1:B240,B241)=0)</f>
        <v>1</v>
      </c>
      <c r="T241" s="37"/>
    </row>
    <row r="242" spans="1:20" x14ac:dyDescent="0.25">
      <c r="A242" s="37" t="s">
        <v>963</v>
      </c>
      <c r="B242" s="37" t="s">
        <v>354</v>
      </c>
      <c r="C242" s="37">
        <v>30</v>
      </c>
      <c r="D242" s="37">
        <v>4.67</v>
      </c>
      <c r="E242" s="37" t="s">
        <v>771</v>
      </c>
      <c r="F242" s="37">
        <v>20</v>
      </c>
      <c r="G242" s="37" t="s">
        <v>298</v>
      </c>
      <c r="H242" s="37" t="s">
        <v>964</v>
      </c>
      <c r="I242" s="38">
        <f t="shared" si="24"/>
        <v>4.67</v>
      </c>
      <c r="J242" s="38">
        <f t="shared" si="25"/>
        <v>3.4011973816621555</v>
      </c>
      <c r="K242" s="38">
        <f t="shared" si="26"/>
        <v>1.5411590716808059</v>
      </c>
      <c r="L242" s="39">
        <f t="shared" si="27"/>
        <v>0.21413276231263384</v>
      </c>
      <c r="M242" s="39">
        <f t="shared" si="28"/>
        <v>1.1728534421952166</v>
      </c>
      <c r="N242" s="39">
        <f t="shared" si="29"/>
        <v>6.4239828693790155</v>
      </c>
      <c r="O242" s="40">
        <f>1</f>
        <v>1</v>
      </c>
      <c r="P242" s="38">
        <f>INDEX(Cables!$AS:$AS,MATCH(B242,Cables!$A:$A,0))+INDEX(Cables!$AT:$AT,MATCH(B242,Cables!$A:$A,0))*SQRT(C242)+INDEX(Cables!$AU:$AU,MATCH(B242,Cables!$A:$A,0))*C242</f>
        <v>4.6683229100840906</v>
      </c>
      <c r="Q242" s="41">
        <f t="shared" si="30"/>
        <v>-3.5911989634029862E-4</v>
      </c>
      <c r="R242" s="39">
        <f t="shared" si="31"/>
        <v>1.2896709994746682E-7</v>
      </c>
      <c r="S242" s="40" t="b">
        <f>IF(B242=B241,C242&gt;C241,COUNTIF(B$1:B241,B242)=0)</f>
        <v>1</v>
      </c>
      <c r="T242" s="37" t="s">
        <v>855</v>
      </c>
    </row>
    <row r="243" spans="1:20" x14ac:dyDescent="0.25">
      <c r="A243" s="37" t="s">
        <v>965</v>
      </c>
      <c r="B243" s="37" t="s">
        <v>354</v>
      </c>
      <c r="C243" s="37">
        <v>50</v>
      </c>
      <c r="D243" s="37">
        <v>5.9</v>
      </c>
      <c r="E243" s="37" t="s">
        <v>771</v>
      </c>
      <c r="F243" s="37">
        <v>20</v>
      </c>
      <c r="G243" s="37" t="s">
        <v>298</v>
      </c>
      <c r="H243" s="37" t="s">
        <v>964</v>
      </c>
      <c r="I243" s="38">
        <f t="shared" si="24"/>
        <v>5.9</v>
      </c>
      <c r="J243" s="38">
        <f t="shared" si="25"/>
        <v>3.912023005428146</v>
      </c>
      <c r="K243" s="38">
        <f t="shared" si="26"/>
        <v>1.7749523509116738</v>
      </c>
      <c r="L243" s="39">
        <f t="shared" si="27"/>
        <v>0.16949152542372881</v>
      </c>
      <c r="M243" s="39">
        <f t="shared" si="28"/>
        <v>1.1984860698077076</v>
      </c>
      <c r="N243" s="39">
        <f t="shared" si="29"/>
        <v>8.4745762711864394</v>
      </c>
      <c r="O243" s="40">
        <f>1</f>
        <v>1</v>
      </c>
      <c r="P243" s="38">
        <f>INDEX(Cables!$AS:$AS,MATCH(B243,Cables!$A:$A,0))+INDEX(Cables!$AT:$AT,MATCH(B243,Cables!$A:$A,0))*SQRT(C243)+INDEX(Cables!$AU:$AU,MATCH(B243,Cables!$A:$A,0))*C243</f>
        <v>5.9035425490283586</v>
      </c>
      <c r="Q243" s="41">
        <f t="shared" si="30"/>
        <v>6.0043203870474571E-4</v>
      </c>
      <c r="R243" s="39">
        <f t="shared" si="31"/>
        <v>3.6051863310313724E-7</v>
      </c>
      <c r="S243" s="40" t="b">
        <f>IF(B243=B242,C243&gt;C242,COUNTIF(B$1:B242,B243)=0)</f>
        <v>1</v>
      </c>
      <c r="T243" s="37" t="s">
        <v>855</v>
      </c>
    </row>
    <row r="244" spans="1:20" x14ac:dyDescent="0.25">
      <c r="A244" s="37" t="s">
        <v>966</v>
      </c>
      <c r="B244" s="37" t="s">
        <v>354</v>
      </c>
      <c r="C244" s="37">
        <v>150</v>
      </c>
      <c r="D244" s="37">
        <v>9.99</v>
      </c>
      <c r="E244" s="37" t="s">
        <v>771</v>
      </c>
      <c r="F244" s="37">
        <v>20</v>
      </c>
      <c r="G244" s="37" t="s">
        <v>298</v>
      </c>
      <c r="H244" s="37" t="s">
        <v>964</v>
      </c>
      <c r="I244" s="38">
        <f t="shared" si="24"/>
        <v>9.99</v>
      </c>
      <c r="J244" s="38">
        <f t="shared" si="25"/>
        <v>5.0106352940962555</v>
      </c>
      <c r="K244" s="38">
        <f t="shared" si="26"/>
        <v>2.3015845926604621</v>
      </c>
      <c r="L244" s="39">
        <f t="shared" si="27"/>
        <v>0.10010010010010009</v>
      </c>
      <c r="M244" s="39">
        <f t="shared" si="28"/>
        <v>1.2259708422338229</v>
      </c>
      <c r="N244" s="39">
        <f t="shared" si="29"/>
        <v>15.015015015015015</v>
      </c>
      <c r="O244" s="40">
        <f>1</f>
        <v>1</v>
      </c>
      <c r="P244" s="38">
        <f>INDEX(Cables!$AS:$AS,MATCH(B244,Cables!$A:$A,0))+INDEX(Cables!$AT:$AT,MATCH(B244,Cables!$A:$A,0))*SQRT(C244)+INDEX(Cables!$AU:$AU,MATCH(B244,Cables!$A:$A,0))*C244</f>
        <v>9.9853848513722703</v>
      </c>
      <c r="Q244" s="41">
        <f t="shared" si="30"/>
        <v>-4.6197683961257674E-4</v>
      </c>
      <c r="R244" s="39">
        <f t="shared" si="31"/>
        <v>2.1342260033842444E-7</v>
      </c>
      <c r="S244" s="40" t="b">
        <f>IF(B244=B243,C244&gt;C243,COUNTIF(B$1:B243,B244)=0)</f>
        <v>1</v>
      </c>
      <c r="T244" s="37" t="s">
        <v>855</v>
      </c>
    </row>
    <row r="245" spans="1:20" x14ac:dyDescent="0.25">
      <c r="A245" s="37" t="s">
        <v>967</v>
      </c>
      <c r="B245" s="37" t="s">
        <v>354</v>
      </c>
      <c r="C245" s="37">
        <v>220</v>
      </c>
      <c r="D245" s="37">
        <v>12.06</v>
      </c>
      <c r="E245" s="37" t="s">
        <v>771</v>
      </c>
      <c r="F245" s="37">
        <v>20</v>
      </c>
      <c r="G245" s="37" t="s">
        <v>298</v>
      </c>
      <c r="H245" s="37" t="s">
        <v>964</v>
      </c>
      <c r="I245" s="38">
        <f t="shared" si="24"/>
        <v>12.06</v>
      </c>
      <c r="J245" s="38">
        <f t="shared" si="25"/>
        <v>5.393627546352362</v>
      </c>
      <c r="K245" s="38">
        <f t="shared" si="26"/>
        <v>2.4898941912990393</v>
      </c>
      <c r="L245" s="39">
        <f t="shared" si="27"/>
        <v>8.2918739635157543E-2</v>
      </c>
      <c r="M245" s="39">
        <f t="shared" si="28"/>
        <v>1.229883662868269</v>
      </c>
      <c r="N245" s="39">
        <f t="shared" si="29"/>
        <v>18.24212271973466</v>
      </c>
      <c r="O245" s="40">
        <f>1</f>
        <v>1</v>
      </c>
      <c r="P245" s="38">
        <f>INDEX(Cables!$AS:$AS,MATCH(B245,Cables!$A:$A,0))+INDEX(Cables!$AT:$AT,MATCH(B245,Cables!$A:$A,0))*SQRT(C245)+INDEX(Cables!$AU:$AU,MATCH(B245,Cables!$A:$A,0))*C245</f>
        <v>12.063922086921</v>
      </c>
      <c r="Q245" s="41">
        <f t="shared" si="30"/>
        <v>3.2521450422873244E-4</v>
      </c>
      <c r="R245" s="39">
        <f t="shared" si="31"/>
        <v>1.0576447376074022E-7</v>
      </c>
      <c r="S245" s="40" t="b">
        <f>IF(B245=B244,C245&gt;C244,COUNTIF(B$1:B244,B245)=0)</f>
        <v>1</v>
      </c>
      <c r="T245" s="37" t="s">
        <v>855</v>
      </c>
    </row>
    <row r="246" spans="1:20" x14ac:dyDescent="0.25">
      <c r="A246" s="37" t="s">
        <v>968</v>
      </c>
      <c r="B246" s="37" t="s">
        <v>354</v>
      </c>
      <c r="C246" s="37">
        <v>450</v>
      </c>
      <c r="D246" s="37">
        <v>17.309999999999999</v>
      </c>
      <c r="E246" s="37" t="s">
        <v>771</v>
      </c>
      <c r="F246" s="37">
        <v>20</v>
      </c>
      <c r="G246" s="37" t="s">
        <v>298</v>
      </c>
      <c r="H246" s="37" t="s">
        <v>964</v>
      </c>
      <c r="I246" s="38">
        <f t="shared" si="24"/>
        <v>17.309999999999999</v>
      </c>
      <c r="J246" s="38">
        <f t="shared" si="25"/>
        <v>6.1092475827643655</v>
      </c>
      <c r="K246" s="38">
        <f t="shared" si="26"/>
        <v>2.851284369188118</v>
      </c>
      <c r="L246" s="39">
        <f t="shared" si="27"/>
        <v>5.7770075101097634E-2</v>
      </c>
      <c r="M246" s="39">
        <f t="shared" si="28"/>
        <v>1.2254883556092679</v>
      </c>
      <c r="N246" s="39">
        <f t="shared" si="29"/>
        <v>25.996533795493935</v>
      </c>
      <c r="O246" s="40">
        <f>1</f>
        <v>1</v>
      </c>
      <c r="P246" s="38">
        <f>INDEX(Cables!$AS:$AS,MATCH(B246,Cables!$A:$A,0))+INDEX(Cables!$AT:$AT,MATCH(B246,Cables!$A:$A,0))*SQRT(C246)+INDEX(Cables!$AU:$AU,MATCH(B246,Cables!$A:$A,0))*C246</f>
        <v>17.309232826126806</v>
      </c>
      <c r="Q246" s="41">
        <f t="shared" si="30"/>
        <v>-4.4319692269922939E-5</v>
      </c>
      <c r="R246" s="39">
        <f t="shared" si="31"/>
        <v>1.9642351229006672E-9</v>
      </c>
      <c r="S246" s="40" t="b">
        <f>IF(B246=B245,C246&gt;C245,COUNTIF(B$1:B245,B246)=0)</f>
        <v>1</v>
      </c>
      <c r="T246" s="37" t="s">
        <v>855</v>
      </c>
    </row>
    <row r="247" spans="1:20" x14ac:dyDescent="0.25">
      <c r="A247" s="37" t="s">
        <v>969</v>
      </c>
      <c r="B247" s="37" t="s">
        <v>354</v>
      </c>
      <c r="C247" s="37">
        <v>900</v>
      </c>
      <c r="D247" s="37">
        <v>24.8</v>
      </c>
      <c r="E247" s="37" t="s">
        <v>771</v>
      </c>
      <c r="F247" s="37">
        <v>20</v>
      </c>
      <c r="G247" s="37" t="s">
        <v>298</v>
      </c>
      <c r="H247" s="37" t="s">
        <v>964</v>
      </c>
      <c r="I247" s="38">
        <f t="shared" si="24"/>
        <v>24.8</v>
      </c>
      <c r="J247" s="38">
        <f t="shared" si="25"/>
        <v>6.8023947633243109</v>
      </c>
      <c r="K247" s="38">
        <f t="shared" si="26"/>
        <v>3.2108436531709366</v>
      </c>
      <c r="L247" s="39">
        <f t="shared" si="27"/>
        <v>4.0322580645161289E-2</v>
      </c>
      <c r="M247" s="39">
        <f t="shared" si="28"/>
        <v>1.2096774193548387</v>
      </c>
      <c r="N247" s="39">
        <f t="shared" si="29"/>
        <v>36.29032258064516</v>
      </c>
      <c r="O247" s="40">
        <f>1</f>
        <v>1</v>
      </c>
      <c r="P247" s="38">
        <f>INDEX(Cables!$AS:$AS,MATCH(B247,Cables!$A:$A,0))+INDEX(Cables!$AT:$AT,MATCH(B247,Cables!$A:$A,0))*SQRT(C247)+INDEX(Cables!$AU:$AU,MATCH(B247,Cables!$A:$A,0))*C247</f>
        <v>24.799240449848963</v>
      </c>
      <c r="Q247" s="41">
        <f t="shared" si="30"/>
        <v>-3.0627022219231748E-5</v>
      </c>
      <c r="R247" s="39">
        <f t="shared" si="31"/>
        <v>9.3801449001731526E-10</v>
      </c>
      <c r="S247" s="40" t="b">
        <f>IF(B247=B246,C247&gt;C246,COUNTIF(B$1:B246,B247)=0)</f>
        <v>1</v>
      </c>
      <c r="T247" s="37" t="s">
        <v>855</v>
      </c>
    </row>
    <row r="248" spans="1:20" x14ac:dyDescent="0.25">
      <c r="A248" s="37" t="s">
        <v>970</v>
      </c>
      <c r="B248" s="37" t="s">
        <v>354</v>
      </c>
      <c r="C248" s="37">
        <v>1500</v>
      </c>
      <c r="D248" s="37">
        <v>32.549999999999997</v>
      </c>
      <c r="E248" s="37" t="s">
        <v>771</v>
      </c>
      <c r="F248" s="37">
        <v>20</v>
      </c>
      <c r="G248" s="37" t="s">
        <v>298</v>
      </c>
      <c r="H248" s="37" t="s">
        <v>964</v>
      </c>
      <c r="I248" s="38">
        <f t="shared" si="24"/>
        <v>32.549999999999997</v>
      </c>
      <c r="J248" s="38">
        <f t="shared" si="25"/>
        <v>7.3132203870903014</v>
      </c>
      <c r="K248" s="38">
        <f t="shared" si="26"/>
        <v>3.482777368654578</v>
      </c>
      <c r="L248" s="39">
        <f t="shared" si="27"/>
        <v>3.0721966205837177E-2</v>
      </c>
      <c r="M248" s="39">
        <f t="shared" si="28"/>
        <v>1.1898566347795445</v>
      </c>
      <c r="N248" s="39">
        <f t="shared" si="29"/>
        <v>46.082949308755765</v>
      </c>
      <c r="O248" s="40">
        <f>1</f>
        <v>1</v>
      </c>
      <c r="P248" s="38">
        <f>INDEX(Cables!$AS:$AS,MATCH(B248,Cables!$A:$A,0))+INDEX(Cables!$AT:$AT,MATCH(B248,Cables!$A:$A,0))*SQRT(C248)+INDEX(Cables!$AU:$AU,MATCH(B248,Cables!$A:$A,0))*C248</f>
        <v>32.546887990534167</v>
      </c>
      <c r="Q248" s="41">
        <f t="shared" si="30"/>
        <v>-9.5607049641510677E-5</v>
      </c>
      <c r="R248" s="39">
        <f t="shared" si="31"/>
        <v>9.140707941154287E-9</v>
      </c>
      <c r="S248" s="40" t="b">
        <f>IF(B248=B247,C248&gt;C247,COUNTIF(B$1:B247,B248)=0)</f>
        <v>1</v>
      </c>
      <c r="T248" s="37" t="s">
        <v>855</v>
      </c>
    </row>
    <row r="249" spans="1:20" x14ac:dyDescent="0.25">
      <c r="A249" s="37" t="s">
        <v>971</v>
      </c>
      <c r="B249" s="37" t="s">
        <v>354</v>
      </c>
      <c r="C249" s="37">
        <v>1800</v>
      </c>
      <c r="D249" s="37">
        <v>35.92</v>
      </c>
      <c r="E249" s="37" t="s">
        <v>771</v>
      </c>
      <c r="F249" s="37">
        <v>20</v>
      </c>
      <c r="G249" s="37" t="s">
        <v>298</v>
      </c>
      <c r="H249" s="37" t="s">
        <v>964</v>
      </c>
      <c r="I249" s="38">
        <f t="shared" si="24"/>
        <v>35.92</v>
      </c>
      <c r="J249" s="38">
        <f t="shared" si="25"/>
        <v>7.4955419438842563</v>
      </c>
      <c r="K249" s="38">
        <f t="shared" si="26"/>
        <v>3.5812942434339989</v>
      </c>
      <c r="L249" s="39">
        <f t="shared" si="27"/>
        <v>2.7839643652561245E-2</v>
      </c>
      <c r="M249" s="39">
        <f t="shared" si="28"/>
        <v>1.181136048752585</v>
      </c>
      <c r="N249" s="39">
        <f t="shared" si="29"/>
        <v>50.111358574610243</v>
      </c>
      <c r="O249" s="40">
        <f>1</f>
        <v>1</v>
      </c>
      <c r="P249" s="38">
        <f>INDEX(Cables!$AS:$AS,MATCH(B249,Cables!$A:$A,0))+INDEX(Cables!$AT:$AT,MATCH(B249,Cables!$A:$A,0))*SQRT(C249)+INDEX(Cables!$AU:$AU,MATCH(B249,Cables!$A:$A,0))*C249</f>
        <v>35.919542051757524</v>
      </c>
      <c r="Q249" s="41">
        <f t="shared" si="30"/>
        <v>-1.2749115881893758E-5</v>
      </c>
      <c r="R249" s="39">
        <f t="shared" si="31"/>
        <v>1.6253995576995566E-10</v>
      </c>
      <c r="S249" s="40" t="b">
        <f>IF(B249=B248,C249&gt;C248,COUNTIF(B$1:B248,B249)=0)</f>
        <v>1</v>
      </c>
      <c r="T249" s="37" t="s">
        <v>855</v>
      </c>
    </row>
    <row r="250" spans="1:20" x14ac:dyDescent="0.25">
      <c r="A250" s="37" t="s">
        <v>972</v>
      </c>
      <c r="B250" s="37" t="s">
        <v>354</v>
      </c>
      <c r="C250" s="37">
        <v>2000</v>
      </c>
      <c r="D250" s="37">
        <v>38.04</v>
      </c>
      <c r="E250" s="37" t="s">
        <v>771</v>
      </c>
      <c r="F250" s="37">
        <v>20</v>
      </c>
      <c r="G250" s="37" t="s">
        <v>298</v>
      </c>
      <c r="H250" s="37" t="s">
        <v>964</v>
      </c>
      <c r="I250" s="38">
        <f t="shared" si="24"/>
        <v>38.04</v>
      </c>
      <c r="J250" s="38">
        <f t="shared" si="25"/>
        <v>7.6009024595420822</v>
      </c>
      <c r="K250" s="38">
        <f t="shared" si="26"/>
        <v>3.6386382376771897</v>
      </c>
      <c r="L250" s="39">
        <f t="shared" si="27"/>
        <v>2.6288117770767613E-2</v>
      </c>
      <c r="M250" s="39">
        <f t="shared" si="28"/>
        <v>1.1756403667191324</v>
      </c>
      <c r="N250" s="39">
        <f t="shared" si="29"/>
        <v>52.576235541535226</v>
      </c>
      <c r="O250" s="40">
        <f>1</f>
        <v>1</v>
      </c>
      <c r="P250" s="38">
        <f>INDEX(Cables!$AS:$AS,MATCH(B250,Cables!$A:$A,0))+INDEX(Cables!$AT:$AT,MATCH(B250,Cables!$A:$A,0))*SQRT(C250)+INDEX(Cables!$AU:$AU,MATCH(B250,Cables!$A:$A,0))*C250</f>
        <v>38.040928150533134</v>
      </c>
      <c r="Q250" s="41">
        <f t="shared" si="30"/>
        <v>2.4399330524005336E-5</v>
      </c>
      <c r="R250" s="39">
        <f t="shared" si="31"/>
        <v>5.9532733001965851E-10</v>
      </c>
      <c r="S250" s="40" t="b">
        <f>IF(B250=B249,C250&gt;C249,COUNTIF(B$1:B249,B250)=0)</f>
        <v>1</v>
      </c>
      <c r="T250" s="37" t="s">
        <v>855</v>
      </c>
    </row>
    <row r="251" spans="1:20" x14ac:dyDescent="0.25">
      <c r="A251" s="37" t="s">
        <v>973</v>
      </c>
      <c r="B251" s="37" t="s">
        <v>354</v>
      </c>
      <c r="C251" s="37">
        <v>2500</v>
      </c>
      <c r="D251" s="37">
        <v>43</v>
      </c>
      <c r="E251" s="37" t="s">
        <v>771</v>
      </c>
      <c r="F251" s="37">
        <v>20</v>
      </c>
      <c r="G251" s="37" t="s">
        <v>298</v>
      </c>
      <c r="H251" s="37" t="s">
        <v>964</v>
      </c>
      <c r="I251" s="38">
        <f t="shared" si="24"/>
        <v>43</v>
      </c>
      <c r="J251" s="38">
        <f t="shared" si="25"/>
        <v>7.8240460108562919</v>
      </c>
      <c r="K251" s="38">
        <f t="shared" si="26"/>
        <v>3.7612001156935624</v>
      </c>
      <c r="L251" s="39">
        <f t="shared" si="27"/>
        <v>2.3255813953488372E-2</v>
      </c>
      <c r="M251" s="39">
        <f t="shared" si="28"/>
        <v>1.1627906976744187</v>
      </c>
      <c r="N251" s="39">
        <f t="shared" si="29"/>
        <v>58.139534883720927</v>
      </c>
      <c r="O251" s="40">
        <f>1</f>
        <v>1</v>
      </c>
      <c r="P251" s="38">
        <f>INDEX(Cables!$AS:$AS,MATCH(B251,Cables!$A:$A,0))+INDEX(Cables!$AT:$AT,MATCH(B251,Cables!$A:$A,0))*SQRT(C251)+INDEX(Cables!$AU:$AU,MATCH(B251,Cables!$A:$A,0))*C251</f>
        <v>43.000397714741837</v>
      </c>
      <c r="Q251" s="41">
        <f t="shared" si="30"/>
        <v>9.2491800427474402E-6</v>
      </c>
      <c r="R251" s="39">
        <f t="shared" si="31"/>
        <v>8.5547331463157536E-11</v>
      </c>
      <c r="S251" s="40" t="b">
        <f>IF(B251=B250,C251&gt;C250,COUNTIF(B$1:B250,B251)=0)</f>
        <v>1</v>
      </c>
      <c r="T251" s="37" t="s">
        <v>855</v>
      </c>
    </row>
    <row r="252" spans="1:20" x14ac:dyDescent="0.25">
      <c r="A252" s="37" t="s">
        <v>974</v>
      </c>
      <c r="B252" s="37" t="s">
        <v>354</v>
      </c>
      <c r="C252" s="37">
        <v>5800</v>
      </c>
      <c r="D252" s="37">
        <v>69.22</v>
      </c>
      <c r="E252" s="37" t="s">
        <v>771</v>
      </c>
      <c r="F252" s="37">
        <v>20</v>
      </c>
      <c r="G252" s="37" t="s">
        <v>298</v>
      </c>
      <c r="H252" s="37" t="s">
        <v>964</v>
      </c>
      <c r="I252" s="38">
        <f t="shared" si="24"/>
        <v>69.22</v>
      </c>
      <c r="J252" s="38">
        <f t="shared" si="25"/>
        <v>8.66561319653451</v>
      </c>
      <c r="K252" s="38">
        <f t="shared" si="26"/>
        <v>4.2372898382071984</v>
      </c>
      <c r="L252" s="39">
        <f t="shared" si="27"/>
        <v>1.444669170759896E-2</v>
      </c>
      <c r="M252" s="39">
        <f t="shared" si="28"/>
        <v>1.1002272617543931</v>
      </c>
      <c r="N252" s="39">
        <f t="shared" si="29"/>
        <v>83.790811904073962</v>
      </c>
      <c r="O252" s="40">
        <f>1</f>
        <v>1</v>
      </c>
      <c r="P252" s="38">
        <f>INDEX(Cables!$AS:$AS,MATCH(B252,Cables!$A:$A,0))+INDEX(Cables!$AT:$AT,MATCH(B252,Cables!$A:$A,0))*SQRT(C252)+INDEX(Cables!$AU:$AU,MATCH(B252,Cables!$A:$A,0))*C252</f>
        <v>69.223065133759661</v>
      </c>
      <c r="Q252" s="41">
        <f t="shared" si="30"/>
        <v>4.4281042468341525E-5</v>
      </c>
      <c r="R252" s="39">
        <f t="shared" si="31"/>
        <v>1.9608107220830656E-9</v>
      </c>
      <c r="S252" s="40" t="b">
        <f>IF(B252=B251,C252&gt;C251,COUNTIF(B$1:B251,B252)=0)</f>
        <v>1</v>
      </c>
      <c r="T252" s="37" t="s">
        <v>855</v>
      </c>
    </row>
    <row r="253" spans="1:20" x14ac:dyDescent="0.25">
      <c r="A253" s="37" t="s">
        <v>975</v>
      </c>
      <c r="B253" s="37" t="s">
        <v>360</v>
      </c>
      <c r="C253" s="37">
        <v>1</v>
      </c>
      <c r="D253" s="37">
        <v>0.81</v>
      </c>
      <c r="E253" s="37" t="s">
        <v>771</v>
      </c>
      <c r="F253" s="37">
        <v>20</v>
      </c>
      <c r="G253" s="37" t="s">
        <v>298</v>
      </c>
      <c r="H253" s="37" t="s">
        <v>976</v>
      </c>
      <c r="I253" s="38">
        <f t="shared" si="24"/>
        <v>0.81</v>
      </c>
      <c r="J253" s="38">
        <f t="shared" si="25"/>
        <v>0</v>
      </c>
      <c r="K253" s="38">
        <f t="shared" si="26"/>
        <v>-0.21072103131565253</v>
      </c>
      <c r="L253" s="39">
        <f t="shared" si="27"/>
        <v>1.2345679012345678</v>
      </c>
      <c r="M253" s="39">
        <f t="shared" si="28"/>
        <v>1.2345679012345678</v>
      </c>
      <c r="N253" s="39">
        <f t="shared" si="29"/>
        <v>1.2345679012345678</v>
      </c>
      <c r="O253" s="40">
        <f>1</f>
        <v>1</v>
      </c>
      <c r="P253" s="38">
        <f>INDEX(Cables!$AS:$AS,MATCH(B253,Cables!$A:$A,0))+INDEX(Cables!$AT:$AT,MATCH(B253,Cables!$A:$A,0))*SQRT(C253)+INDEX(Cables!$AU:$AU,MATCH(B253,Cables!$A:$A,0))*C253</f>
        <v>0.81003142842720421</v>
      </c>
      <c r="Q253" s="41">
        <f t="shared" si="30"/>
        <v>3.8800527412563568E-5</v>
      </c>
      <c r="R253" s="39">
        <f t="shared" si="31"/>
        <v>1.5054809274930969E-9</v>
      </c>
      <c r="S253" s="40" t="b">
        <f>IF(B253=B252,C253&gt;C252,COUNTIF(B$1:B252,B253)=0)</f>
        <v>1</v>
      </c>
      <c r="T253" s="37" t="s">
        <v>855</v>
      </c>
    </row>
    <row r="254" spans="1:20" x14ac:dyDescent="0.25">
      <c r="A254" s="37" t="s">
        <v>977</v>
      </c>
      <c r="B254" s="37" t="s">
        <v>360</v>
      </c>
      <c r="C254" s="37">
        <v>10</v>
      </c>
      <c r="D254" s="37">
        <v>2.09</v>
      </c>
      <c r="E254" s="37" t="s">
        <v>771</v>
      </c>
      <c r="F254" s="37">
        <v>20</v>
      </c>
      <c r="G254" s="37" t="s">
        <v>298</v>
      </c>
      <c r="H254" s="37" t="s">
        <v>976</v>
      </c>
      <c r="I254" s="38">
        <f t="shared" si="24"/>
        <v>2.09</v>
      </c>
      <c r="J254" s="38">
        <f t="shared" si="25"/>
        <v>2.3025850929940459</v>
      </c>
      <c r="K254" s="38">
        <f t="shared" si="26"/>
        <v>0.73716406597671957</v>
      </c>
      <c r="L254" s="39">
        <f t="shared" si="27"/>
        <v>0.47846889952153115</v>
      </c>
      <c r="M254" s="39">
        <f t="shared" si="28"/>
        <v>1.5130515120422869</v>
      </c>
      <c r="N254" s="39">
        <f t="shared" si="29"/>
        <v>4.7846889952153111</v>
      </c>
      <c r="O254" s="40">
        <f>1</f>
        <v>1</v>
      </c>
      <c r="P254" s="38">
        <f>INDEX(Cables!$AS:$AS,MATCH(B254,Cables!$A:$A,0))+INDEX(Cables!$AT:$AT,MATCH(B254,Cables!$A:$A,0))*SQRT(C254)+INDEX(Cables!$AU:$AU,MATCH(B254,Cables!$A:$A,0))*C254</f>
        <v>2.0896963248064462</v>
      </c>
      <c r="Q254" s="41">
        <f t="shared" si="30"/>
        <v>-1.4529913567162822E-4</v>
      </c>
      <c r="R254" s="39">
        <f t="shared" si="31"/>
        <v>2.1111838826922223E-8</v>
      </c>
      <c r="S254" s="40" t="b">
        <f>IF(B254=B253,C254&gt;C253,COUNTIF(B$1:B253,B254)=0)</f>
        <v>1</v>
      </c>
      <c r="T254" s="37" t="s">
        <v>855</v>
      </c>
    </row>
    <row r="255" spans="1:20" x14ac:dyDescent="0.25">
      <c r="A255" s="37" t="s">
        <v>978</v>
      </c>
      <c r="B255" s="37" t="s">
        <v>360</v>
      </c>
      <c r="C255" s="37">
        <v>50</v>
      </c>
      <c r="D255" s="37">
        <v>4.6399999999999997</v>
      </c>
      <c r="E255" s="37" t="s">
        <v>771</v>
      </c>
      <c r="F255" s="37">
        <v>20</v>
      </c>
      <c r="G255" s="37" t="s">
        <v>298</v>
      </c>
      <c r="H255" s="37" t="s">
        <v>976</v>
      </c>
      <c r="I255" s="38">
        <f t="shared" si="24"/>
        <v>4.6399999999999997</v>
      </c>
      <c r="J255" s="38">
        <f t="shared" si="25"/>
        <v>3.912023005428146</v>
      </c>
      <c r="K255" s="38">
        <f t="shared" si="26"/>
        <v>1.5347143662381639</v>
      </c>
      <c r="L255" s="39">
        <f t="shared" si="27"/>
        <v>0.21551724137931036</v>
      </c>
      <c r="M255" s="39">
        <f t="shared" si="28"/>
        <v>1.5239370284192837</v>
      </c>
      <c r="N255" s="39">
        <f t="shared" si="29"/>
        <v>10.775862068965518</v>
      </c>
      <c r="O255" s="40">
        <f>1</f>
        <v>1</v>
      </c>
      <c r="P255" s="38">
        <f>INDEX(Cables!$AS:$AS,MATCH(B255,Cables!$A:$A,0))+INDEX(Cables!$AT:$AT,MATCH(B255,Cables!$A:$A,0))*SQRT(C255)+INDEX(Cables!$AU:$AU,MATCH(B255,Cables!$A:$A,0))*C255</f>
        <v>4.6400463584017535</v>
      </c>
      <c r="Q255" s="41">
        <f t="shared" si="30"/>
        <v>9.9910348607679111E-6</v>
      </c>
      <c r="R255" s="39">
        <f t="shared" si="31"/>
        <v>9.9820777589079672E-11</v>
      </c>
      <c r="S255" s="40" t="b">
        <f>IF(B255=B254,C255&gt;C254,COUNTIF(B$1:B254,B255)=0)</f>
        <v>1</v>
      </c>
      <c r="T255" s="37" t="s">
        <v>855</v>
      </c>
    </row>
    <row r="256" spans="1:20" x14ac:dyDescent="0.25">
      <c r="A256" s="37" t="s">
        <v>979</v>
      </c>
      <c r="B256" s="37" t="s">
        <v>360</v>
      </c>
      <c r="C256" s="37">
        <v>100</v>
      </c>
      <c r="D256" s="37">
        <v>6.75</v>
      </c>
      <c r="E256" s="37" t="s">
        <v>771</v>
      </c>
      <c r="F256" s="37">
        <v>20</v>
      </c>
      <c r="G256" s="37" t="s">
        <v>298</v>
      </c>
      <c r="H256" s="37" t="s">
        <v>976</v>
      </c>
      <c r="I256" s="38">
        <f t="shared" si="24"/>
        <v>6.75</v>
      </c>
      <c r="J256" s="38">
        <f t="shared" si="25"/>
        <v>4.6051701859880918</v>
      </c>
      <c r="K256" s="38">
        <f t="shared" si="26"/>
        <v>1.9095425048844386</v>
      </c>
      <c r="L256" s="39">
        <f t="shared" si="27"/>
        <v>0.14814814814814814</v>
      </c>
      <c r="M256" s="39">
        <f t="shared" si="28"/>
        <v>1.4814814814814814</v>
      </c>
      <c r="N256" s="39">
        <f t="shared" si="29"/>
        <v>14.814814814814815</v>
      </c>
      <c r="O256" s="40">
        <f>1</f>
        <v>1</v>
      </c>
      <c r="P256" s="38">
        <f>INDEX(Cables!$AS:$AS,MATCH(B256,Cables!$A:$A,0))+INDEX(Cables!$AT:$AT,MATCH(B256,Cables!$A:$A,0))*SQRT(C256)+INDEX(Cables!$AU:$AU,MATCH(B256,Cables!$A:$A,0))*C256</f>
        <v>6.7511514774816543</v>
      </c>
      <c r="Q256" s="41">
        <f t="shared" si="30"/>
        <v>1.7058925654134249E-4</v>
      </c>
      <c r="R256" s="39">
        <f t="shared" si="31"/>
        <v>2.9100694447327961E-8</v>
      </c>
      <c r="S256" s="40" t="b">
        <f>IF(B256=B255,C256&gt;C255,COUNTIF(B$1:B255,B256)=0)</f>
        <v>1</v>
      </c>
      <c r="T256" s="37" t="s">
        <v>855</v>
      </c>
    </row>
    <row r="257" spans="1:20" x14ac:dyDescent="0.25">
      <c r="A257" s="37" t="s">
        <v>980</v>
      </c>
      <c r="B257" s="37" t="s">
        <v>360</v>
      </c>
      <c r="C257" s="37">
        <v>200</v>
      </c>
      <c r="D257" s="37">
        <v>10.029999999999999</v>
      </c>
      <c r="E257" s="37" t="s">
        <v>771</v>
      </c>
      <c r="F257" s="37">
        <v>20</v>
      </c>
      <c r="G257" s="37" t="s">
        <v>298</v>
      </c>
      <c r="H257" s="37" t="s">
        <v>976</v>
      </c>
      <c r="I257" s="38">
        <f t="shared" si="24"/>
        <v>10.029999999999999</v>
      </c>
      <c r="J257" s="38">
        <f t="shared" si="25"/>
        <v>5.2983173665480363</v>
      </c>
      <c r="K257" s="38">
        <f t="shared" si="26"/>
        <v>2.3055806019738441</v>
      </c>
      <c r="L257" s="39">
        <f t="shared" si="27"/>
        <v>9.9700897308075784E-2</v>
      </c>
      <c r="M257" s="39">
        <f t="shared" si="28"/>
        <v>1.4099836115384798</v>
      </c>
      <c r="N257" s="39">
        <f t="shared" si="29"/>
        <v>19.940179461615156</v>
      </c>
      <c r="O257" s="40">
        <f>1</f>
        <v>1</v>
      </c>
      <c r="P257" s="38">
        <f>INDEX(Cables!$AS:$AS,MATCH(B257,Cables!$A:$A,0))+INDEX(Cables!$AT:$AT,MATCH(B257,Cables!$A:$A,0))*SQRT(C257)+INDEX(Cables!$AU:$AU,MATCH(B257,Cables!$A:$A,0))*C257</f>
        <v>10.029314728596091</v>
      </c>
      <c r="Q257" s="41">
        <f t="shared" si="30"/>
        <v>-6.832217386920636E-5</v>
      </c>
      <c r="R257" s="39">
        <f t="shared" si="31"/>
        <v>4.667919442214064E-9</v>
      </c>
      <c r="S257" s="40" t="b">
        <f>IF(B257=B256,C257&gt;C256,COUNTIF(B$1:B256,B257)=0)</f>
        <v>1</v>
      </c>
      <c r="T257" s="37" t="s">
        <v>855</v>
      </c>
    </row>
    <row r="258" spans="1:20" x14ac:dyDescent="0.25">
      <c r="A258" s="37" t="s">
        <v>981</v>
      </c>
      <c r="B258" s="37" t="s">
        <v>360</v>
      </c>
      <c r="C258" s="37">
        <v>400</v>
      </c>
      <c r="D258" s="37">
        <v>15.25</v>
      </c>
      <c r="E258" s="37" t="s">
        <v>771</v>
      </c>
      <c r="F258" s="37">
        <v>20</v>
      </c>
      <c r="G258" s="37" t="s">
        <v>298</v>
      </c>
      <c r="H258" s="37" t="s">
        <v>976</v>
      </c>
      <c r="I258" s="38">
        <f t="shared" ref="I258:I321" si="32">IF(E258="dB/100ft",D258*100/30.48,D258)</f>
        <v>15.25</v>
      </c>
      <c r="J258" s="38">
        <f t="shared" ref="J258:J321" si="33">LN(C258)</f>
        <v>5.9914645471079817</v>
      </c>
      <c r="K258" s="38">
        <f t="shared" ref="K258:K321" si="34">LN(I258)</f>
        <v>2.7245795030534206</v>
      </c>
      <c r="L258" s="39">
        <f t="shared" ref="L258:L321" si="35">1/I258</f>
        <v>6.5573770491803282E-2</v>
      </c>
      <c r="M258" s="39">
        <f t="shared" ref="M258:M321" si="36">SQRT(C258)/I258</f>
        <v>1.3114754098360655</v>
      </c>
      <c r="N258" s="39">
        <f t="shared" ref="N258:N321" si="37">C258/I258</f>
        <v>26.229508196721312</v>
      </c>
      <c r="O258" s="40">
        <f>1</f>
        <v>1</v>
      </c>
      <c r="P258" s="38">
        <f>INDEX(Cables!$AS:$AS,MATCH(B258,Cables!$A:$A,0))+INDEX(Cables!$AT:$AT,MATCH(B258,Cables!$A:$A,0))*SQRT(C258)+INDEX(Cables!$AU:$AU,MATCH(B258,Cables!$A:$A,0))*C258</f>
        <v>15.25055717822795</v>
      </c>
      <c r="Q258" s="41">
        <f t="shared" ref="Q258:Q321" si="38">P258/I258-1</f>
        <v>3.6536277242538162E-5</v>
      </c>
      <c r="R258" s="39">
        <f t="shared" ref="R258:R321" si="39">Q258^2</f>
        <v>1.3348995547436121E-9</v>
      </c>
      <c r="S258" s="40" t="b">
        <f>IF(B258=B257,C258&gt;C257,COUNTIF(B$1:B257,B258)=0)</f>
        <v>1</v>
      </c>
      <c r="T258" s="37" t="s">
        <v>855</v>
      </c>
    </row>
    <row r="259" spans="1:20" x14ac:dyDescent="0.25">
      <c r="A259" s="37" t="s">
        <v>982</v>
      </c>
      <c r="B259" s="37" t="s">
        <v>360</v>
      </c>
      <c r="C259" s="37">
        <v>700</v>
      </c>
      <c r="D259" s="37">
        <v>21.8</v>
      </c>
      <c r="E259" s="37" t="s">
        <v>771</v>
      </c>
      <c r="F259" s="37">
        <v>20</v>
      </c>
      <c r="G259" s="37" t="s">
        <v>298</v>
      </c>
      <c r="H259" s="37" t="s">
        <v>976</v>
      </c>
      <c r="I259" s="38">
        <f t="shared" si="32"/>
        <v>21.8</v>
      </c>
      <c r="J259" s="38">
        <f t="shared" si="33"/>
        <v>6.5510803350434044</v>
      </c>
      <c r="K259" s="38">
        <f t="shared" si="34"/>
        <v>3.0819099697950434</v>
      </c>
      <c r="L259" s="39">
        <f t="shared" si="35"/>
        <v>4.5871559633027519E-2</v>
      </c>
      <c r="M259" s="39">
        <f t="shared" si="36"/>
        <v>1.2136473903966012</v>
      </c>
      <c r="N259" s="39">
        <f t="shared" si="37"/>
        <v>32.110091743119263</v>
      </c>
      <c r="O259" s="40">
        <f>1</f>
        <v>1</v>
      </c>
      <c r="P259" s="38">
        <f>INDEX(Cables!$AS:$AS,MATCH(B259,Cables!$A:$A,0))+INDEX(Cables!$AT:$AT,MATCH(B259,Cables!$A:$A,0))*SQRT(C259)+INDEX(Cables!$AU:$AU,MATCH(B259,Cables!$A:$A,0))*C259</f>
        <v>21.800777106109383</v>
      </c>
      <c r="Q259" s="41">
        <f t="shared" si="38"/>
        <v>3.5647069237754181E-5</v>
      </c>
      <c r="R259" s="39">
        <f t="shared" si="39"/>
        <v>1.2707135452412404E-9</v>
      </c>
      <c r="S259" s="40" t="b">
        <f>IF(B259=B258,C259&gt;C258,COUNTIF(B$1:B258,B259)=0)</f>
        <v>1</v>
      </c>
      <c r="T259" s="37" t="s">
        <v>855</v>
      </c>
    </row>
    <row r="260" spans="1:20" x14ac:dyDescent="0.25">
      <c r="A260" s="37" t="s">
        <v>983</v>
      </c>
      <c r="B260" s="37" t="s">
        <v>360</v>
      </c>
      <c r="C260" s="37">
        <v>900</v>
      </c>
      <c r="D260" s="37">
        <v>25.75</v>
      </c>
      <c r="E260" s="37" t="s">
        <v>771</v>
      </c>
      <c r="F260" s="37">
        <v>20</v>
      </c>
      <c r="G260" s="37" t="s">
        <v>298</v>
      </c>
      <c r="H260" s="37" t="s">
        <v>976</v>
      </c>
      <c r="I260" s="38">
        <f t="shared" si="32"/>
        <v>25.75</v>
      </c>
      <c r="J260" s="38">
        <f t="shared" si="33"/>
        <v>6.8023947633243109</v>
      </c>
      <c r="K260" s="38">
        <f t="shared" si="34"/>
        <v>3.2484346271097451</v>
      </c>
      <c r="L260" s="39">
        <f t="shared" si="35"/>
        <v>3.8834951456310676E-2</v>
      </c>
      <c r="M260" s="39">
        <f t="shared" si="36"/>
        <v>1.1650485436893203</v>
      </c>
      <c r="N260" s="39">
        <f t="shared" si="37"/>
        <v>34.95145631067961</v>
      </c>
      <c r="O260" s="40">
        <f>1</f>
        <v>1</v>
      </c>
      <c r="P260" s="38">
        <f>INDEX(Cables!$AS:$AS,MATCH(B260,Cables!$A:$A,0))+INDEX(Cables!$AT:$AT,MATCH(B260,Cables!$A:$A,0))*SQRT(C260)+INDEX(Cables!$AU:$AU,MATCH(B260,Cables!$A:$A,0))*C260</f>
        <v>25.748027301918356</v>
      </c>
      <c r="Q260" s="41">
        <f t="shared" si="38"/>
        <v>-7.6609634238611335E-5</v>
      </c>
      <c r="R260" s="39">
        <f t="shared" si="39"/>
        <v>5.8690360581738103E-9</v>
      </c>
      <c r="S260" s="40" t="b">
        <f>IF(B260=B259,C260&gt;C259,COUNTIF(B$1:B259,B260)=0)</f>
        <v>1</v>
      </c>
      <c r="T260" s="37" t="s">
        <v>855</v>
      </c>
    </row>
    <row r="261" spans="1:20" x14ac:dyDescent="0.25">
      <c r="A261" s="37" t="s">
        <v>984</v>
      </c>
      <c r="B261" s="37" t="s">
        <v>360</v>
      </c>
      <c r="C261" s="37">
        <v>1000</v>
      </c>
      <c r="D261" s="37">
        <v>27.64</v>
      </c>
      <c r="E261" s="37" t="s">
        <v>771</v>
      </c>
      <c r="F261" s="37">
        <v>20</v>
      </c>
      <c r="G261" s="37" t="s">
        <v>298</v>
      </c>
      <c r="H261" s="37" t="s">
        <v>976</v>
      </c>
      <c r="I261" s="38">
        <f t="shared" si="32"/>
        <v>27.64</v>
      </c>
      <c r="J261" s="38">
        <f t="shared" si="33"/>
        <v>6.9077552789821368</v>
      </c>
      <c r="K261" s="38">
        <f t="shared" si="34"/>
        <v>3.3192639988994692</v>
      </c>
      <c r="L261" s="39">
        <f t="shared" si="35"/>
        <v>3.6179450072358899E-2</v>
      </c>
      <c r="M261" s="39">
        <f t="shared" si="36"/>
        <v>1.1440946672099781</v>
      </c>
      <c r="N261" s="39">
        <f t="shared" si="37"/>
        <v>36.179450072358897</v>
      </c>
      <c r="O261" s="40">
        <f>1</f>
        <v>1</v>
      </c>
      <c r="P261" s="38">
        <f>INDEX(Cables!$AS:$AS,MATCH(B261,Cables!$A:$A,0))+INDEX(Cables!$AT:$AT,MATCH(B261,Cables!$A:$A,0))*SQRT(C261)+INDEX(Cables!$AU:$AU,MATCH(B261,Cables!$A:$A,0))*C261</f>
        <v>27.639961354197723</v>
      </c>
      <c r="Q261" s="41">
        <f t="shared" si="38"/>
        <v>-1.3981838740129149E-6</v>
      </c>
      <c r="R261" s="39">
        <f t="shared" si="39"/>
        <v>1.9549181455497627E-12</v>
      </c>
      <c r="S261" s="40" t="b">
        <f>IF(B261=B260,C261&gt;C260,COUNTIF(B$1:B260,B261)=0)</f>
        <v>1</v>
      </c>
      <c r="T261" s="37" t="s">
        <v>855</v>
      </c>
    </row>
    <row r="262" spans="1:20" x14ac:dyDescent="0.25">
      <c r="A262" s="37" t="s">
        <v>985</v>
      </c>
      <c r="B262" s="37" t="s">
        <v>371</v>
      </c>
      <c r="C262" s="37">
        <v>1</v>
      </c>
      <c r="D262" s="37">
        <v>0.17</v>
      </c>
      <c r="E262" s="37" t="s">
        <v>707</v>
      </c>
      <c r="F262" s="37"/>
      <c r="G262" s="37" t="s">
        <v>376</v>
      </c>
      <c r="H262" s="37" t="s">
        <v>718</v>
      </c>
      <c r="I262" s="38">
        <f t="shared" si="32"/>
        <v>0.55774278215223094</v>
      </c>
      <c r="J262" s="38">
        <f t="shared" si="33"/>
        <v>0</v>
      </c>
      <c r="K262" s="38">
        <f t="shared" si="34"/>
        <v>-0.58385738676222954</v>
      </c>
      <c r="L262" s="39">
        <f t="shared" si="35"/>
        <v>1.7929411764705883</v>
      </c>
      <c r="M262" s="39">
        <f t="shared" si="36"/>
        <v>1.7929411764705883</v>
      </c>
      <c r="N262" s="39">
        <f t="shared" si="37"/>
        <v>1.7929411764705883</v>
      </c>
      <c r="O262" s="40">
        <f>1</f>
        <v>1</v>
      </c>
      <c r="P262" s="38">
        <f>INDEX(Cables!$AS:$AS,MATCH(B262,Cables!$A:$A,0))+INDEX(Cables!$AT:$AT,MATCH(B262,Cables!$A:$A,0))*SQRT(C262)+INDEX(Cables!$AU:$AU,MATCH(B262,Cables!$A:$A,0))*C262</f>
        <v>0.56109944392056965</v>
      </c>
      <c r="Q262" s="41">
        <f t="shared" si="38"/>
        <v>6.0182970999389518E-3</v>
      </c>
      <c r="R262" s="39">
        <f t="shared" si="39"/>
        <v>3.6219899983133597E-5</v>
      </c>
      <c r="S262" s="40" t="b">
        <f>IF(B262=B261,C262&gt;C261,COUNTIF(B$1:B261,B262)=0)</f>
        <v>1</v>
      </c>
      <c r="T262" s="37"/>
    </row>
    <row r="263" spans="1:20" x14ac:dyDescent="0.25">
      <c r="A263" s="37" t="s">
        <v>986</v>
      </c>
      <c r="B263" s="37" t="s">
        <v>371</v>
      </c>
      <c r="C263" s="37">
        <v>10</v>
      </c>
      <c r="D263" s="37">
        <v>0.55000000000000004</v>
      </c>
      <c r="E263" s="37" t="s">
        <v>707</v>
      </c>
      <c r="F263" s="37"/>
      <c r="G263" s="37" t="s">
        <v>376</v>
      </c>
      <c r="H263" s="37" t="s">
        <v>718</v>
      </c>
      <c r="I263" s="38">
        <f t="shared" si="32"/>
        <v>1.8044619422572181</v>
      </c>
      <c r="J263" s="38">
        <f t="shared" si="33"/>
        <v>2.3025850929940459</v>
      </c>
      <c r="K263" s="38">
        <f t="shared" si="34"/>
        <v>0.59026245441402558</v>
      </c>
      <c r="L263" s="39">
        <f t="shared" si="35"/>
        <v>0.55418181818181811</v>
      </c>
      <c r="M263" s="39">
        <f t="shared" si="36"/>
        <v>1.7524767833078581</v>
      </c>
      <c r="N263" s="39">
        <f t="shared" si="37"/>
        <v>5.5418181818181811</v>
      </c>
      <c r="O263" s="40">
        <f>1</f>
        <v>1</v>
      </c>
      <c r="P263" s="38">
        <f>INDEX(Cables!$AS:$AS,MATCH(B263,Cables!$A:$A,0))+INDEX(Cables!$AT:$AT,MATCH(B263,Cables!$A:$A,0))*SQRT(C263)+INDEX(Cables!$AU:$AU,MATCH(B263,Cables!$A:$A,0))*C263</f>
        <v>1.7688258532820837</v>
      </c>
      <c r="Q263" s="41">
        <f t="shared" si="38"/>
        <v>-1.9748872581129007E-2</v>
      </c>
      <c r="R263" s="39">
        <f t="shared" si="39"/>
        <v>3.9001796822566906E-4</v>
      </c>
      <c r="S263" s="40" t="b">
        <f>IF(B263=B262,C263&gt;C262,COUNTIF(B$1:B262,B263)=0)</f>
        <v>1</v>
      </c>
      <c r="T263" s="37"/>
    </row>
    <row r="264" spans="1:20" x14ac:dyDescent="0.25">
      <c r="A264" s="37" t="s">
        <v>987</v>
      </c>
      <c r="B264" s="37" t="s">
        <v>371</v>
      </c>
      <c r="C264" s="37">
        <v>50</v>
      </c>
      <c r="D264" s="37">
        <v>1.3</v>
      </c>
      <c r="E264" s="37" t="s">
        <v>707</v>
      </c>
      <c r="F264" s="37"/>
      <c r="G264" s="37" t="s">
        <v>376</v>
      </c>
      <c r="H264" s="37" t="s">
        <v>718</v>
      </c>
      <c r="I264" s="38">
        <f t="shared" si="32"/>
        <v>4.2650918635170605</v>
      </c>
      <c r="J264" s="38">
        <f t="shared" si="33"/>
        <v>3.912023005428146</v>
      </c>
      <c r="K264" s="38">
        <f t="shared" si="34"/>
        <v>1.4504637196371368</v>
      </c>
      <c r="L264" s="39">
        <f t="shared" si="35"/>
        <v>0.23446153846153844</v>
      </c>
      <c r="M264" s="39">
        <f t="shared" si="36"/>
        <v>1.6578934377358439</v>
      </c>
      <c r="N264" s="39">
        <f t="shared" si="37"/>
        <v>11.723076923076922</v>
      </c>
      <c r="O264" s="40">
        <f>1</f>
        <v>1</v>
      </c>
      <c r="P264" s="38">
        <f>INDEX(Cables!$AS:$AS,MATCH(B264,Cables!$A:$A,0))+INDEX(Cables!$AT:$AT,MATCH(B264,Cables!$A:$A,0))*SQRT(C264)+INDEX(Cables!$AU:$AU,MATCH(B264,Cables!$A:$A,0))*C264</f>
        <v>4.1789741857465703</v>
      </c>
      <c r="Q264" s="41">
        <f t="shared" si="38"/>
        <v>-2.0191283218804146E-2</v>
      </c>
      <c r="R264" s="39">
        <f t="shared" si="39"/>
        <v>4.0768791802196189E-4</v>
      </c>
      <c r="S264" s="40" t="b">
        <f>IF(B264=B263,C264&gt;C263,COUNTIF(B$1:B263,B264)=0)</f>
        <v>1</v>
      </c>
      <c r="T264" s="37"/>
    </row>
    <row r="265" spans="1:20" x14ac:dyDescent="0.25">
      <c r="A265" s="37" t="s">
        <v>988</v>
      </c>
      <c r="B265" s="37" t="s">
        <v>371</v>
      </c>
      <c r="C265" s="37">
        <v>100</v>
      </c>
      <c r="D265" s="37">
        <v>1.9</v>
      </c>
      <c r="E265" s="37" t="s">
        <v>707</v>
      </c>
      <c r="F265" s="37"/>
      <c r="G265" s="37" t="s">
        <v>376</v>
      </c>
      <c r="H265" s="37" t="s">
        <v>718</v>
      </c>
      <c r="I265" s="38">
        <f t="shared" si="32"/>
        <v>6.2335958005249346</v>
      </c>
      <c r="J265" s="38">
        <f t="shared" si="33"/>
        <v>4.6051701859880918</v>
      </c>
      <c r="K265" s="38">
        <f t="shared" si="34"/>
        <v>1.8299533413420406</v>
      </c>
      <c r="L265" s="39">
        <f t="shared" si="35"/>
        <v>0.16042105263157894</v>
      </c>
      <c r="M265" s="39">
        <f t="shared" si="36"/>
        <v>1.6042105263157895</v>
      </c>
      <c r="N265" s="39">
        <f t="shared" si="37"/>
        <v>16.042105263157893</v>
      </c>
      <c r="O265" s="40">
        <f>1</f>
        <v>1</v>
      </c>
      <c r="P265" s="38">
        <f>INDEX(Cables!$AS:$AS,MATCH(B265,Cables!$A:$A,0))+INDEX(Cables!$AT:$AT,MATCH(B265,Cables!$A:$A,0))*SQRT(C265)+INDEX(Cables!$AU:$AU,MATCH(B265,Cables!$A:$A,0))*C265</f>
        <v>6.1764514024227397</v>
      </c>
      <c r="Q265" s="41">
        <f t="shared" si="38"/>
        <v>-9.1671644955521048E-3</v>
      </c>
      <c r="R265" s="39">
        <f t="shared" si="39"/>
        <v>8.4036904888511079E-5</v>
      </c>
      <c r="S265" s="40" t="b">
        <f>IF(B265=B264,C265&gt;C264,COUNTIF(B$1:B264,B265)=0)</f>
        <v>1</v>
      </c>
      <c r="T265" s="37"/>
    </row>
    <row r="266" spans="1:20" x14ac:dyDescent="0.25">
      <c r="A266" s="37" t="s">
        <v>989</v>
      </c>
      <c r="B266" s="37" t="s">
        <v>371</v>
      </c>
      <c r="C266" s="37">
        <v>200</v>
      </c>
      <c r="D266" s="37">
        <v>2.7</v>
      </c>
      <c r="E266" s="37" t="s">
        <v>707</v>
      </c>
      <c r="F266" s="37"/>
      <c r="G266" s="37" t="s">
        <v>376</v>
      </c>
      <c r="H266" s="37" t="s">
        <v>718</v>
      </c>
      <c r="I266" s="38">
        <f t="shared" si="32"/>
        <v>8.8582677165354333</v>
      </c>
      <c r="J266" s="38">
        <f t="shared" si="33"/>
        <v>5.2983173665480363</v>
      </c>
      <c r="K266" s="38">
        <f t="shared" si="34"/>
        <v>2.1813512281799294</v>
      </c>
      <c r="L266" s="39">
        <f t="shared" si="35"/>
        <v>0.11288888888888889</v>
      </c>
      <c r="M266" s="39">
        <f t="shared" si="36"/>
        <v>1.5964899770789607</v>
      </c>
      <c r="N266" s="39">
        <f t="shared" si="37"/>
        <v>22.577777777777776</v>
      </c>
      <c r="O266" s="40">
        <f>1</f>
        <v>1</v>
      </c>
      <c r="P266" s="38">
        <f>INDEX(Cables!$AS:$AS,MATCH(B266,Cables!$A:$A,0))+INDEX(Cables!$AT:$AT,MATCH(B266,Cables!$A:$A,0))*SQRT(C266)+INDEX(Cables!$AU:$AU,MATCH(B266,Cables!$A:$A,0))*C266</f>
        <v>9.2813841192987514</v>
      </c>
      <c r="Q266" s="41">
        <f t="shared" si="38"/>
        <v>4.7765140578614584E-2</v>
      </c>
      <c r="R266" s="39">
        <f t="shared" si="39"/>
        <v>2.2815086544948136E-3</v>
      </c>
      <c r="S266" s="40" t="b">
        <f>IF(B266=B265,C266&gt;C265,COUNTIF(B$1:B265,B266)=0)</f>
        <v>1</v>
      </c>
      <c r="T266" s="37"/>
    </row>
    <row r="267" spans="1:20" x14ac:dyDescent="0.25">
      <c r="A267" s="37" t="s">
        <v>990</v>
      </c>
      <c r="B267" s="37" t="s">
        <v>371</v>
      </c>
      <c r="C267" s="37">
        <v>400</v>
      </c>
      <c r="D267" s="37">
        <v>4.0999999999999996</v>
      </c>
      <c r="E267" s="37" t="s">
        <v>707</v>
      </c>
      <c r="F267" s="37"/>
      <c r="G267" s="37" t="s">
        <v>376</v>
      </c>
      <c r="H267" s="37" t="s">
        <v>718</v>
      </c>
      <c r="I267" s="38">
        <f t="shared" si="32"/>
        <v>13.451443569553804</v>
      </c>
      <c r="J267" s="38">
        <f t="shared" si="33"/>
        <v>5.9914645471079817</v>
      </c>
      <c r="K267" s="38">
        <f t="shared" si="34"/>
        <v>2.5990864288799078</v>
      </c>
      <c r="L267" s="39">
        <f t="shared" si="35"/>
        <v>7.4341463414634157E-2</v>
      </c>
      <c r="M267" s="39">
        <f t="shared" si="36"/>
        <v>1.4868292682926831</v>
      </c>
      <c r="N267" s="39">
        <f t="shared" si="37"/>
        <v>29.73658536585366</v>
      </c>
      <c r="O267" s="40">
        <f>1</f>
        <v>1</v>
      </c>
      <c r="P267" s="38">
        <f>INDEX(Cables!$AS:$AS,MATCH(B267,Cables!$A:$A,0))+INDEX(Cables!$AT:$AT,MATCH(B267,Cables!$A:$A,0))*SQRT(C267)+INDEX(Cables!$AU:$AU,MATCH(B267,Cables!$A:$A,0))*C267</f>
        <v>14.232568770803367</v>
      </c>
      <c r="Q267" s="41">
        <f t="shared" si="38"/>
        <v>5.8069990570942975E-2</v>
      </c>
      <c r="R267" s="39">
        <f t="shared" si="39"/>
        <v>3.3721238049094059E-3</v>
      </c>
      <c r="S267" s="40" t="b">
        <f>IF(B267=B266,C267&gt;C266,COUNTIF(B$1:B266,B267)=0)</f>
        <v>1</v>
      </c>
      <c r="T267" s="37"/>
    </row>
    <row r="268" spans="1:20" x14ac:dyDescent="0.25">
      <c r="A268" s="37" t="s">
        <v>991</v>
      </c>
      <c r="B268" s="37" t="s">
        <v>371</v>
      </c>
      <c r="C268" s="37">
        <v>700</v>
      </c>
      <c r="D268" s="37">
        <v>6.5</v>
      </c>
      <c r="E268" s="37" t="s">
        <v>707</v>
      </c>
      <c r="F268" s="37"/>
      <c r="G268" s="37" t="s">
        <v>376</v>
      </c>
      <c r="H268" s="37" t="s">
        <v>718</v>
      </c>
      <c r="I268" s="38">
        <f t="shared" si="32"/>
        <v>21.325459317585302</v>
      </c>
      <c r="J268" s="38">
        <f t="shared" si="33"/>
        <v>6.5510803350434044</v>
      </c>
      <c r="K268" s="38">
        <f t="shared" si="34"/>
        <v>3.0599016320712371</v>
      </c>
      <c r="L268" s="39">
        <f t="shared" si="35"/>
        <v>4.6892307692307691E-2</v>
      </c>
      <c r="M268" s="39">
        <f t="shared" si="36"/>
        <v>1.2406538455576726</v>
      </c>
      <c r="N268" s="39">
        <f t="shared" si="37"/>
        <v>32.824615384615385</v>
      </c>
      <c r="O268" s="40">
        <f>1</f>
        <v>1</v>
      </c>
      <c r="P268" s="38">
        <f>INDEX(Cables!$AS:$AS,MATCH(B268,Cables!$A:$A,0))+INDEX(Cables!$AT:$AT,MATCH(B268,Cables!$A:$A,0))*SQRT(C268)+INDEX(Cables!$AU:$AU,MATCH(B268,Cables!$A:$A,0))*C268</f>
        <v>20.451047026827972</v>
      </c>
      <c r="Q268" s="41">
        <f t="shared" si="38"/>
        <v>-4.1003210188128358E-2</v>
      </c>
      <c r="R268" s="39">
        <f t="shared" si="39"/>
        <v>1.6812632457318332E-3</v>
      </c>
      <c r="S268" s="40" t="b">
        <f>IF(B268=B267,C268&gt;C267,COUNTIF(B$1:B267,B268)=0)</f>
        <v>1</v>
      </c>
      <c r="T268" s="37"/>
    </row>
    <row r="269" spans="1:20" x14ac:dyDescent="0.25">
      <c r="A269" s="37" t="s">
        <v>992</v>
      </c>
      <c r="B269" s="37" t="s">
        <v>371</v>
      </c>
      <c r="C269" s="37">
        <v>900</v>
      </c>
      <c r="D269" s="37">
        <v>7.6</v>
      </c>
      <c r="E269" s="37" t="s">
        <v>707</v>
      </c>
      <c r="F269" s="37"/>
      <c r="G269" s="37" t="s">
        <v>376</v>
      </c>
      <c r="H269" s="37" t="s">
        <v>718</v>
      </c>
      <c r="I269" s="38">
        <f t="shared" si="32"/>
        <v>24.934383202099738</v>
      </c>
      <c r="J269" s="38">
        <f t="shared" si="33"/>
        <v>6.8023947633243109</v>
      </c>
      <c r="K269" s="38">
        <f t="shared" si="34"/>
        <v>3.2162477024619314</v>
      </c>
      <c r="L269" s="39">
        <f t="shared" si="35"/>
        <v>4.0105263157894734E-2</v>
      </c>
      <c r="M269" s="39">
        <f t="shared" si="36"/>
        <v>1.203157894736842</v>
      </c>
      <c r="N269" s="39">
        <f t="shared" si="37"/>
        <v>36.094736842105263</v>
      </c>
      <c r="O269" s="40">
        <f>1</f>
        <v>1</v>
      </c>
      <c r="P269" s="38">
        <f>INDEX(Cables!$AS:$AS,MATCH(B269,Cables!$A:$A,0))+INDEX(Cables!$AT:$AT,MATCH(B269,Cables!$A:$A,0))*SQRT(C269)+INDEX(Cables!$AU:$AU,MATCH(B269,Cables!$A:$A,0))*C269</f>
        <v>24.201146575488551</v>
      </c>
      <c r="Q269" s="41">
        <f t="shared" si="38"/>
        <v>-2.940664786724867E-2</v>
      </c>
      <c r="R269" s="39">
        <f t="shared" si="39"/>
        <v>8.647509387883607E-4</v>
      </c>
      <c r="S269" s="40" t="b">
        <f>IF(B269=B268,C269&gt;C268,COUNTIF(B$1:B268,B269)=0)</f>
        <v>1</v>
      </c>
      <c r="T269" s="37"/>
    </row>
    <row r="270" spans="1:20" x14ac:dyDescent="0.25">
      <c r="A270" s="37" t="s">
        <v>993</v>
      </c>
      <c r="B270" s="37" t="s">
        <v>371</v>
      </c>
      <c r="C270" s="37">
        <v>1000</v>
      </c>
      <c r="D270" s="37">
        <v>8</v>
      </c>
      <c r="E270" s="37" t="s">
        <v>707</v>
      </c>
      <c r="F270" s="37"/>
      <c r="G270" s="37" t="s">
        <v>376</v>
      </c>
      <c r="H270" s="37" t="s">
        <v>718</v>
      </c>
      <c r="I270" s="38">
        <f t="shared" si="32"/>
        <v>26.246719160104988</v>
      </c>
      <c r="J270" s="38">
        <f t="shared" si="33"/>
        <v>6.9077552789821368</v>
      </c>
      <c r="K270" s="38">
        <f t="shared" si="34"/>
        <v>3.267540996849482</v>
      </c>
      <c r="L270" s="39">
        <f t="shared" si="35"/>
        <v>3.8100000000000002E-2</v>
      </c>
      <c r="M270" s="39">
        <f t="shared" si="36"/>
        <v>1.2048277885241525</v>
      </c>
      <c r="N270" s="39">
        <f t="shared" si="37"/>
        <v>38.1</v>
      </c>
      <c r="O270" s="40">
        <f>1</f>
        <v>1</v>
      </c>
      <c r="P270" s="38">
        <f>INDEX(Cables!$AS:$AS,MATCH(B270,Cables!$A:$A,0))+INDEX(Cables!$AT:$AT,MATCH(B270,Cables!$A:$A,0))*SQRT(C270)+INDEX(Cables!$AU:$AU,MATCH(B270,Cables!$A:$A,0))*C270</f>
        <v>25.999180263071327</v>
      </c>
      <c r="Q270" s="41">
        <f t="shared" si="38"/>
        <v>-9.4312319769824793E-3</v>
      </c>
      <c r="R270" s="39">
        <f t="shared" si="39"/>
        <v>8.8948136603656842E-5</v>
      </c>
      <c r="S270" s="40" t="b">
        <f>IF(B270=B269,C270&gt;C269,COUNTIF(B$1:B269,B270)=0)</f>
        <v>1</v>
      </c>
      <c r="T270" s="37"/>
    </row>
    <row r="271" spans="1:20" x14ac:dyDescent="0.25">
      <c r="A271" s="37" t="s">
        <v>994</v>
      </c>
      <c r="B271" s="37" t="s">
        <v>371</v>
      </c>
      <c r="C271" s="37">
        <v>4000</v>
      </c>
      <c r="D271" s="37">
        <v>21.5</v>
      </c>
      <c r="E271" s="37" t="s">
        <v>707</v>
      </c>
      <c r="F271" s="37"/>
      <c r="G271" s="37" t="s">
        <v>376</v>
      </c>
      <c r="H271" s="37" t="s">
        <v>718</v>
      </c>
      <c r="I271" s="38">
        <f t="shared" si="32"/>
        <v>70.538057742782158</v>
      </c>
      <c r="J271" s="38">
        <f t="shared" si="33"/>
        <v>8.2940496401020276</v>
      </c>
      <c r="K271" s="38">
        <f t="shared" si="34"/>
        <v>4.2561523903032628</v>
      </c>
      <c r="L271" s="39">
        <f t="shared" si="35"/>
        <v>1.4176744186046511E-2</v>
      </c>
      <c r="M271" s="39">
        <f t="shared" si="36"/>
        <v>0.8966160286691367</v>
      </c>
      <c r="N271" s="39">
        <f t="shared" si="37"/>
        <v>56.706976744186044</v>
      </c>
      <c r="O271" s="40">
        <f>1</f>
        <v>1</v>
      </c>
      <c r="P271" s="38">
        <f>INDEX(Cables!$AS:$AS,MATCH(B271,Cables!$A:$A,0))+INDEX(Cables!$AT:$AT,MATCH(B271,Cables!$A:$A,0))*SQRT(C271)+INDEX(Cables!$AU:$AU,MATCH(B271,Cables!$A:$A,0))*C271</f>
        <v>71.090170418841524</v>
      </c>
      <c r="Q271" s="41">
        <f t="shared" si="38"/>
        <v>7.82716017036722E-3</v>
      </c>
      <c r="R271" s="39">
        <f t="shared" si="39"/>
        <v>6.1264436332583009E-5</v>
      </c>
      <c r="S271" s="40" t="b">
        <f>IF(B271=B270,C271&gt;C270,COUNTIF(B$1:B270,B271)=0)</f>
        <v>1</v>
      </c>
      <c r="T271" s="37"/>
    </row>
    <row r="272" spans="1:20" x14ac:dyDescent="0.25">
      <c r="A272" s="37" t="s">
        <v>995</v>
      </c>
      <c r="B272" s="37" t="s">
        <v>378</v>
      </c>
      <c r="C272" s="37">
        <v>1</v>
      </c>
      <c r="D272" s="37">
        <v>0.17</v>
      </c>
      <c r="E272" s="37" t="s">
        <v>707</v>
      </c>
      <c r="F272" s="37"/>
      <c r="G272" s="37" t="s">
        <v>382</v>
      </c>
      <c r="H272" s="37" t="s">
        <v>708</v>
      </c>
      <c r="I272" s="38">
        <f t="shared" si="32"/>
        <v>0.55774278215223094</v>
      </c>
      <c r="J272" s="38">
        <f t="shared" si="33"/>
        <v>0</v>
      </c>
      <c r="K272" s="38">
        <f t="shared" si="34"/>
        <v>-0.58385738676222954</v>
      </c>
      <c r="L272" s="39">
        <f t="shared" si="35"/>
        <v>1.7929411764705883</v>
      </c>
      <c r="M272" s="39">
        <f t="shared" si="36"/>
        <v>1.7929411764705883</v>
      </c>
      <c r="N272" s="39">
        <f t="shared" si="37"/>
        <v>1.7929411764705883</v>
      </c>
      <c r="O272" s="40">
        <f>1</f>
        <v>1</v>
      </c>
      <c r="P272" s="38">
        <f>INDEX(Cables!$AS:$AS,MATCH(B272,Cables!$A:$A,0))+INDEX(Cables!$AT:$AT,MATCH(B272,Cables!$A:$A,0))*SQRT(C272)+INDEX(Cables!$AU:$AU,MATCH(B272,Cables!$A:$A,0))*C272</f>
        <v>0.55828011375755171</v>
      </c>
      <c r="Q272" s="41">
        <f t="shared" si="38"/>
        <v>9.6340396059857447E-4</v>
      </c>
      <c r="R272" s="39">
        <f t="shared" si="39"/>
        <v>9.2814719129701966E-7</v>
      </c>
      <c r="S272" s="40" t="b">
        <f>IF(B272=B271,C272&gt;C271,COUNTIF(B$1:B271,B272)=0)</f>
        <v>1</v>
      </c>
      <c r="T272" s="37"/>
    </row>
    <row r="273" spans="1:20" x14ac:dyDescent="0.25">
      <c r="A273" s="37" t="s">
        <v>996</v>
      </c>
      <c r="B273" s="37" t="s">
        <v>378</v>
      </c>
      <c r="C273" s="37">
        <v>10</v>
      </c>
      <c r="D273" s="37">
        <v>0.55000000000000004</v>
      </c>
      <c r="E273" s="37" t="s">
        <v>707</v>
      </c>
      <c r="F273" s="37"/>
      <c r="G273" s="37" t="s">
        <v>382</v>
      </c>
      <c r="H273" s="37" t="s">
        <v>708</v>
      </c>
      <c r="I273" s="38">
        <f t="shared" si="32"/>
        <v>1.8044619422572181</v>
      </c>
      <c r="J273" s="38">
        <f t="shared" si="33"/>
        <v>2.3025850929940459</v>
      </c>
      <c r="K273" s="38">
        <f t="shared" si="34"/>
        <v>0.59026245441402558</v>
      </c>
      <c r="L273" s="39">
        <f t="shared" si="35"/>
        <v>0.55418181818181811</v>
      </c>
      <c r="M273" s="39">
        <f t="shared" si="36"/>
        <v>1.7524767833078581</v>
      </c>
      <c r="N273" s="39">
        <f t="shared" si="37"/>
        <v>5.5418181818181811</v>
      </c>
      <c r="O273" s="40">
        <f>1</f>
        <v>1</v>
      </c>
      <c r="P273" s="38">
        <f>INDEX(Cables!$AS:$AS,MATCH(B273,Cables!$A:$A,0))+INDEX(Cables!$AT:$AT,MATCH(B273,Cables!$A:$A,0))*SQRT(C273)+INDEX(Cables!$AU:$AU,MATCH(B273,Cables!$A:$A,0))*C273</f>
        <v>1.792857376240806</v>
      </c>
      <c r="Q273" s="41">
        <f t="shared" si="38"/>
        <v>-6.4310394941862192E-3</v>
      </c>
      <c r="R273" s="39">
        <f t="shared" si="39"/>
        <v>4.1358268975782944E-5</v>
      </c>
      <c r="S273" s="40" t="b">
        <f>IF(B273=B272,C273&gt;C272,COUNTIF(B$1:B272,B273)=0)</f>
        <v>1</v>
      </c>
      <c r="T273" s="37"/>
    </row>
    <row r="274" spans="1:20" x14ac:dyDescent="0.25">
      <c r="A274" s="37" t="s">
        <v>997</v>
      </c>
      <c r="B274" s="37" t="s">
        <v>378</v>
      </c>
      <c r="C274" s="37">
        <v>50</v>
      </c>
      <c r="D274" s="37">
        <v>1.3</v>
      </c>
      <c r="E274" s="37" t="s">
        <v>707</v>
      </c>
      <c r="F274" s="37"/>
      <c r="G274" s="37" t="s">
        <v>382</v>
      </c>
      <c r="H274" s="37" t="s">
        <v>708</v>
      </c>
      <c r="I274" s="38">
        <f t="shared" si="32"/>
        <v>4.2650918635170605</v>
      </c>
      <c r="J274" s="38">
        <f t="shared" si="33"/>
        <v>3.912023005428146</v>
      </c>
      <c r="K274" s="38">
        <f t="shared" si="34"/>
        <v>1.4504637196371368</v>
      </c>
      <c r="L274" s="39">
        <f t="shared" si="35"/>
        <v>0.23446153846153844</v>
      </c>
      <c r="M274" s="39">
        <f t="shared" si="36"/>
        <v>1.6578934377358439</v>
      </c>
      <c r="N274" s="39">
        <f t="shared" si="37"/>
        <v>11.723076923076922</v>
      </c>
      <c r="O274" s="40">
        <f>1</f>
        <v>1</v>
      </c>
      <c r="P274" s="38">
        <f>INDEX(Cables!$AS:$AS,MATCH(B274,Cables!$A:$A,0))+INDEX(Cables!$AT:$AT,MATCH(B274,Cables!$A:$A,0))*SQRT(C274)+INDEX(Cables!$AU:$AU,MATCH(B274,Cables!$A:$A,0))*C274</f>
        <v>4.2269475812072876</v>
      </c>
      <c r="Q274" s="41">
        <f t="shared" si="38"/>
        <v>-8.9433671138605675E-3</v>
      </c>
      <c r="R274" s="39">
        <f t="shared" si="39"/>
        <v>7.9983815333282697E-5</v>
      </c>
      <c r="S274" s="40" t="b">
        <f>IF(B274=B273,C274&gt;C273,COUNTIF(B$1:B273,B274)=0)</f>
        <v>1</v>
      </c>
      <c r="T274" s="37"/>
    </row>
    <row r="275" spans="1:20" x14ac:dyDescent="0.25">
      <c r="A275" s="37" t="s">
        <v>998</v>
      </c>
      <c r="B275" s="37" t="s">
        <v>378</v>
      </c>
      <c r="C275" s="37">
        <v>100</v>
      </c>
      <c r="D275" s="37">
        <v>1.9</v>
      </c>
      <c r="E275" s="37" t="s">
        <v>707</v>
      </c>
      <c r="F275" s="37"/>
      <c r="G275" s="37" t="s">
        <v>382</v>
      </c>
      <c r="H275" s="37" t="s">
        <v>708</v>
      </c>
      <c r="I275" s="38">
        <f t="shared" si="32"/>
        <v>6.2335958005249346</v>
      </c>
      <c r="J275" s="38">
        <f t="shared" si="33"/>
        <v>4.6051701859880918</v>
      </c>
      <c r="K275" s="38">
        <f t="shared" si="34"/>
        <v>1.8299533413420406</v>
      </c>
      <c r="L275" s="39">
        <f t="shared" si="35"/>
        <v>0.16042105263157894</v>
      </c>
      <c r="M275" s="39">
        <f t="shared" si="36"/>
        <v>1.6042105263157895</v>
      </c>
      <c r="N275" s="39">
        <f t="shared" si="37"/>
        <v>16.042105263157893</v>
      </c>
      <c r="O275" s="40">
        <f>1</f>
        <v>1</v>
      </c>
      <c r="P275" s="38">
        <f>INDEX(Cables!$AS:$AS,MATCH(B275,Cables!$A:$A,0))+INDEX(Cables!$AT:$AT,MATCH(B275,Cables!$A:$A,0))*SQRT(C275)+INDEX(Cables!$AU:$AU,MATCH(B275,Cables!$A:$A,0))*C275</f>
        <v>6.2216064962524547</v>
      </c>
      <c r="Q275" s="41">
        <f t="shared" si="38"/>
        <v>-1.923336811711529E-3</v>
      </c>
      <c r="R275" s="39">
        <f t="shared" si="39"/>
        <v>3.6992244912846697E-6</v>
      </c>
      <c r="S275" s="40" t="b">
        <f>IF(B275=B274,C275&gt;C274,COUNTIF(B$1:B274,B275)=0)</f>
        <v>1</v>
      </c>
      <c r="T275" s="37"/>
    </row>
    <row r="276" spans="1:20" x14ac:dyDescent="0.25">
      <c r="A276" s="37" t="s">
        <v>999</v>
      </c>
      <c r="B276" s="37" t="s">
        <v>378</v>
      </c>
      <c r="C276" s="37">
        <v>200</v>
      </c>
      <c r="D276" s="37">
        <v>2.7</v>
      </c>
      <c r="E276" s="37" t="s">
        <v>707</v>
      </c>
      <c r="F276" s="37"/>
      <c r="G276" s="37" t="s">
        <v>382</v>
      </c>
      <c r="H276" s="37" t="s">
        <v>708</v>
      </c>
      <c r="I276" s="38">
        <f t="shared" si="32"/>
        <v>8.8582677165354333</v>
      </c>
      <c r="J276" s="38">
        <f t="shared" si="33"/>
        <v>5.2983173665480363</v>
      </c>
      <c r="K276" s="38">
        <f t="shared" si="34"/>
        <v>2.1813512281799294</v>
      </c>
      <c r="L276" s="39">
        <f t="shared" si="35"/>
        <v>0.11288888888888889</v>
      </c>
      <c r="M276" s="39">
        <f t="shared" si="36"/>
        <v>1.5964899770789607</v>
      </c>
      <c r="N276" s="39">
        <f t="shared" si="37"/>
        <v>22.577777777777776</v>
      </c>
      <c r="O276" s="40">
        <f>1</f>
        <v>1</v>
      </c>
      <c r="P276" s="38">
        <f>INDEX(Cables!$AS:$AS,MATCH(B276,Cables!$A:$A,0))+INDEX(Cables!$AT:$AT,MATCH(B276,Cables!$A:$A,0))*SQRT(C276)+INDEX(Cables!$AU:$AU,MATCH(B276,Cables!$A:$A,0))*C276</f>
        <v>9.2921948701521089</v>
      </c>
      <c r="Q276" s="41">
        <f t="shared" si="38"/>
        <v>4.8985554230504658E-2</v>
      </c>
      <c r="R276" s="39">
        <f t="shared" si="39"/>
        <v>2.3995845232697129E-3</v>
      </c>
      <c r="S276" s="40" t="b">
        <f>IF(B276=B275,C276&gt;C275,COUNTIF(B$1:B275,B276)=0)</f>
        <v>1</v>
      </c>
      <c r="T276" s="37"/>
    </row>
    <row r="277" spans="1:20" x14ac:dyDescent="0.25">
      <c r="A277" s="37" t="s">
        <v>1000</v>
      </c>
      <c r="B277" s="37" t="s">
        <v>378</v>
      </c>
      <c r="C277" s="37">
        <v>400</v>
      </c>
      <c r="D277" s="37">
        <v>4.0999999999999996</v>
      </c>
      <c r="E277" s="37" t="s">
        <v>707</v>
      </c>
      <c r="F277" s="37"/>
      <c r="G277" s="37" t="s">
        <v>382</v>
      </c>
      <c r="H277" s="37" t="s">
        <v>708</v>
      </c>
      <c r="I277" s="38">
        <f t="shared" si="32"/>
        <v>13.451443569553804</v>
      </c>
      <c r="J277" s="38">
        <f t="shared" si="33"/>
        <v>5.9914645471079817</v>
      </c>
      <c r="K277" s="38">
        <f t="shared" si="34"/>
        <v>2.5990864288799078</v>
      </c>
      <c r="L277" s="39">
        <f t="shared" si="35"/>
        <v>7.4341463414634157E-2</v>
      </c>
      <c r="M277" s="39">
        <f t="shared" si="36"/>
        <v>1.4868292682926831</v>
      </c>
      <c r="N277" s="39">
        <f t="shared" si="37"/>
        <v>29.73658536585366</v>
      </c>
      <c r="O277" s="40">
        <f>1</f>
        <v>1</v>
      </c>
      <c r="P277" s="38">
        <f>INDEX(Cables!$AS:$AS,MATCH(B277,Cables!$A:$A,0))+INDEX(Cables!$AT:$AT,MATCH(B277,Cables!$A:$A,0))*SQRT(C277)+INDEX(Cables!$AU:$AU,MATCH(B277,Cables!$A:$A,0))*C277</f>
        <v>14.134091960854896</v>
      </c>
      <c r="Q277" s="41">
        <f t="shared" si="38"/>
        <v>5.0749080406969016E-2</v>
      </c>
      <c r="R277" s="39">
        <f t="shared" si="39"/>
        <v>2.5754691621530067E-3</v>
      </c>
      <c r="S277" s="40" t="b">
        <f>IF(B277=B276,C277&gt;C276,COUNTIF(B$1:B276,B277)=0)</f>
        <v>1</v>
      </c>
      <c r="T277" s="37"/>
    </row>
    <row r="278" spans="1:20" x14ac:dyDescent="0.25">
      <c r="A278" s="37" t="s">
        <v>1001</v>
      </c>
      <c r="B278" s="37" t="s">
        <v>378</v>
      </c>
      <c r="C278" s="37">
        <v>700</v>
      </c>
      <c r="D278" s="37">
        <v>6.5</v>
      </c>
      <c r="E278" s="37" t="s">
        <v>707</v>
      </c>
      <c r="F278" s="37"/>
      <c r="G278" s="37" t="s">
        <v>382</v>
      </c>
      <c r="H278" s="37" t="s">
        <v>708</v>
      </c>
      <c r="I278" s="38">
        <f t="shared" si="32"/>
        <v>21.325459317585302</v>
      </c>
      <c r="J278" s="38">
        <f t="shared" si="33"/>
        <v>6.5510803350434044</v>
      </c>
      <c r="K278" s="38">
        <f t="shared" si="34"/>
        <v>3.0599016320712371</v>
      </c>
      <c r="L278" s="39">
        <f t="shared" si="35"/>
        <v>4.6892307692307691E-2</v>
      </c>
      <c r="M278" s="39">
        <f t="shared" si="36"/>
        <v>1.2406538455576726</v>
      </c>
      <c r="N278" s="39">
        <f t="shared" si="37"/>
        <v>32.824615384615385</v>
      </c>
      <c r="O278" s="40">
        <f>1</f>
        <v>1</v>
      </c>
      <c r="P278" s="38">
        <f>INDEX(Cables!$AS:$AS,MATCH(B278,Cables!$A:$A,0))+INDEX(Cables!$AT:$AT,MATCH(B278,Cables!$A:$A,0))*SQRT(C278)+INDEX(Cables!$AU:$AU,MATCH(B278,Cables!$A:$A,0))*C278</f>
        <v>20.149665079257883</v>
      </c>
      <c r="Q278" s="41">
        <f t="shared" si="38"/>
        <v>-5.5135705206491914E-2</v>
      </c>
      <c r="R278" s="39">
        <f t="shared" si="39"/>
        <v>3.0399459886171795E-3</v>
      </c>
      <c r="S278" s="40" t="b">
        <f>IF(B278=B277,C278&gt;C277,COUNTIF(B$1:B277,B278)=0)</f>
        <v>1</v>
      </c>
      <c r="T278" s="37"/>
    </row>
    <row r="279" spans="1:20" x14ac:dyDescent="0.25">
      <c r="A279" s="37" t="s">
        <v>1002</v>
      </c>
      <c r="B279" s="37" t="s">
        <v>378</v>
      </c>
      <c r="C279" s="37">
        <v>900</v>
      </c>
      <c r="D279" s="37">
        <v>7.6</v>
      </c>
      <c r="E279" s="37" t="s">
        <v>707</v>
      </c>
      <c r="F279" s="37"/>
      <c r="G279" s="37" t="s">
        <v>382</v>
      </c>
      <c r="H279" s="37" t="s">
        <v>708</v>
      </c>
      <c r="I279" s="38">
        <f t="shared" si="32"/>
        <v>24.934383202099738</v>
      </c>
      <c r="J279" s="38">
        <f t="shared" si="33"/>
        <v>6.8023947633243109</v>
      </c>
      <c r="K279" s="38">
        <f t="shared" si="34"/>
        <v>3.2162477024619314</v>
      </c>
      <c r="L279" s="39">
        <f t="shared" si="35"/>
        <v>4.0105263157894734E-2</v>
      </c>
      <c r="M279" s="39">
        <f t="shared" si="36"/>
        <v>1.203157894736842</v>
      </c>
      <c r="N279" s="39">
        <f t="shared" si="37"/>
        <v>36.094736842105263</v>
      </c>
      <c r="O279" s="40">
        <f>1</f>
        <v>1</v>
      </c>
      <c r="P279" s="38">
        <f>INDEX(Cables!$AS:$AS,MATCH(B279,Cables!$A:$A,0))+INDEX(Cables!$AT:$AT,MATCH(B279,Cables!$A:$A,0))*SQRT(C279)+INDEX(Cables!$AU:$AU,MATCH(B279,Cables!$A:$A,0))*C279</f>
        <v>23.751735946682238</v>
      </c>
      <c r="Q279" s="41">
        <f t="shared" si="38"/>
        <v>-4.743037940148076E-2</v>
      </c>
      <c r="R279" s="39">
        <f t="shared" si="39"/>
        <v>2.2496408901684106E-3</v>
      </c>
      <c r="S279" s="40" t="b">
        <f>IF(B279=B278,C279&gt;C278,COUNTIF(B$1:B278,B279)=0)</f>
        <v>1</v>
      </c>
      <c r="T279" s="37"/>
    </row>
    <row r="280" spans="1:20" x14ac:dyDescent="0.25">
      <c r="A280" s="37" t="s">
        <v>1003</v>
      </c>
      <c r="B280" s="37" t="s">
        <v>378</v>
      </c>
      <c r="C280" s="37">
        <v>1000</v>
      </c>
      <c r="D280" s="37">
        <v>8</v>
      </c>
      <c r="E280" s="37" t="s">
        <v>707</v>
      </c>
      <c r="F280" s="37"/>
      <c r="G280" s="37" t="s">
        <v>382</v>
      </c>
      <c r="H280" s="37" t="s">
        <v>708</v>
      </c>
      <c r="I280" s="38">
        <f t="shared" si="32"/>
        <v>26.246719160104988</v>
      </c>
      <c r="J280" s="38">
        <f t="shared" si="33"/>
        <v>6.9077552789821368</v>
      </c>
      <c r="K280" s="38">
        <f t="shared" si="34"/>
        <v>3.267540996849482</v>
      </c>
      <c r="L280" s="39">
        <f t="shared" si="35"/>
        <v>3.8100000000000002E-2</v>
      </c>
      <c r="M280" s="39">
        <f t="shared" si="36"/>
        <v>1.2048277885241525</v>
      </c>
      <c r="N280" s="39">
        <f t="shared" si="37"/>
        <v>38.1</v>
      </c>
      <c r="O280" s="40">
        <f>1</f>
        <v>1</v>
      </c>
      <c r="P280" s="38">
        <f>INDEX(Cables!$AS:$AS,MATCH(B280,Cables!$A:$A,0))+INDEX(Cables!$AT:$AT,MATCH(B280,Cables!$A:$A,0))*SQRT(C280)+INDEX(Cables!$AU:$AU,MATCH(B280,Cables!$A:$A,0))*C280</f>
        <v>25.473271132045856</v>
      </c>
      <c r="Q280" s="41">
        <f t="shared" si="38"/>
        <v>-2.9468369869052879E-2</v>
      </c>
      <c r="R280" s="39">
        <f t="shared" si="39"/>
        <v>8.6838482273930359E-4</v>
      </c>
      <c r="S280" s="40" t="b">
        <f>IF(B280=B279,C280&gt;C279,COUNTIF(B$1:B279,B280)=0)</f>
        <v>1</v>
      </c>
      <c r="T280" s="37"/>
    </row>
    <row r="281" spans="1:20" x14ac:dyDescent="0.25">
      <c r="A281" s="37" t="s">
        <v>1004</v>
      </c>
      <c r="B281" s="37" t="s">
        <v>378</v>
      </c>
      <c r="C281" s="37">
        <v>4000</v>
      </c>
      <c r="D281" s="37">
        <v>20</v>
      </c>
      <c r="E281" s="37" t="s">
        <v>707</v>
      </c>
      <c r="F281" s="37"/>
      <c r="G281" s="37" t="s">
        <v>382</v>
      </c>
      <c r="H281" s="37" t="s">
        <v>708</v>
      </c>
      <c r="I281" s="38">
        <f t="shared" si="32"/>
        <v>65.616797900262469</v>
      </c>
      <c r="J281" s="38">
        <f t="shared" si="33"/>
        <v>8.2940496401020276</v>
      </c>
      <c r="K281" s="38">
        <f t="shared" si="34"/>
        <v>4.1838317287236366</v>
      </c>
      <c r="L281" s="39">
        <f t="shared" si="35"/>
        <v>1.524E-2</v>
      </c>
      <c r="M281" s="39">
        <f t="shared" si="36"/>
        <v>0.96386223081932199</v>
      </c>
      <c r="N281" s="39">
        <f t="shared" si="37"/>
        <v>60.96</v>
      </c>
      <c r="O281" s="40">
        <f>1</f>
        <v>1</v>
      </c>
      <c r="P281" s="38">
        <f>INDEX(Cables!$AS:$AS,MATCH(B281,Cables!$A:$A,0))+INDEX(Cables!$AT:$AT,MATCH(B281,Cables!$A:$A,0))*SQRT(C281)+INDEX(Cables!$AU:$AU,MATCH(B281,Cables!$A:$A,0))*C281</f>
        <v>67.983847923465845</v>
      </c>
      <c r="Q281" s="41">
        <f t="shared" si="38"/>
        <v>3.6073842353619545E-2</v>
      </c>
      <c r="R281" s="39">
        <f t="shared" si="39"/>
        <v>1.3013221021537953E-3</v>
      </c>
      <c r="S281" s="40" t="b">
        <f>IF(B281=B280,C281&gt;C280,COUNTIF(B$1:B280,B281)=0)</f>
        <v>1</v>
      </c>
      <c r="T281" s="37"/>
    </row>
    <row r="282" spans="1:20" x14ac:dyDescent="0.25">
      <c r="A282" s="37" t="s">
        <v>1005</v>
      </c>
      <c r="B282" s="37" t="s">
        <v>384</v>
      </c>
      <c r="C282" s="37">
        <v>10</v>
      </c>
      <c r="D282" s="37">
        <v>2.1</v>
      </c>
      <c r="E282" s="37" t="s">
        <v>771</v>
      </c>
      <c r="F282" s="37">
        <v>20</v>
      </c>
      <c r="G282" s="37" t="s">
        <v>223</v>
      </c>
      <c r="H282" s="37" t="s">
        <v>1006</v>
      </c>
      <c r="I282" s="38">
        <f t="shared" si="32"/>
        <v>2.1</v>
      </c>
      <c r="J282" s="38">
        <f t="shared" si="33"/>
        <v>2.3025850929940459</v>
      </c>
      <c r="K282" s="38">
        <f t="shared" si="34"/>
        <v>0.74193734472937733</v>
      </c>
      <c r="L282" s="39">
        <f t="shared" si="35"/>
        <v>0.47619047619047616</v>
      </c>
      <c r="M282" s="39">
        <f t="shared" si="36"/>
        <v>1.5058465048420855</v>
      </c>
      <c r="N282" s="39">
        <f t="shared" si="37"/>
        <v>4.7619047619047619</v>
      </c>
      <c r="O282" s="40">
        <f>1</f>
        <v>1</v>
      </c>
      <c r="P282" s="38">
        <f>INDEX(Cables!$AS:$AS,MATCH(B282,Cables!$A:$A,0))+INDEX(Cables!$AT:$AT,MATCH(B282,Cables!$A:$A,0))*SQRT(C282)+INDEX(Cables!$AU:$AU,MATCH(B282,Cables!$A:$A,0))*C282</f>
        <v>2.1227177205198871</v>
      </c>
      <c r="Q282" s="41">
        <f t="shared" si="38"/>
        <v>1.0817962152327221E-2</v>
      </c>
      <c r="R282" s="39">
        <f t="shared" si="39"/>
        <v>1.170283051291842E-4</v>
      </c>
      <c r="S282" s="40" t="b">
        <f>IF(B282=B281,C282&gt;C281,COUNTIF(B$1:B281,B282)=0)</f>
        <v>1</v>
      </c>
      <c r="T282" s="37"/>
    </row>
    <row r="283" spans="1:20" x14ac:dyDescent="0.25">
      <c r="A283" s="37" t="s">
        <v>1007</v>
      </c>
      <c r="B283" s="37" t="s">
        <v>384</v>
      </c>
      <c r="C283" s="37">
        <v>28</v>
      </c>
      <c r="D283" s="37">
        <v>3.4</v>
      </c>
      <c r="E283" s="37" t="s">
        <v>771</v>
      </c>
      <c r="F283" s="37">
        <v>20</v>
      </c>
      <c r="G283" s="37" t="s">
        <v>223</v>
      </c>
      <c r="H283" s="37" t="s">
        <v>1006</v>
      </c>
      <c r="I283" s="38">
        <f t="shared" si="32"/>
        <v>3.4</v>
      </c>
      <c r="J283" s="38">
        <f t="shared" si="33"/>
        <v>3.3322045101752038</v>
      </c>
      <c r="K283" s="38">
        <f t="shared" si="34"/>
        <v>1.2237754316221157</v>
      </c>
      <c r="L283" s="39">
        <f t="shared" si="35"/>
        <v>0.29411764705882354</v>
      </c>
      <c r="M283" s="39">
        <f t="shared" si="36"/>
        <v>1.55632430062623</v>
      </c>
      <c r="N283" s="39">
        <f t="shared" si="37"/>
        <v>8.2352941176470598</v>
      </c>
      <c r="O283" s="40">
        <f>1</f>
        <v>1</v>
      </c>
      <c r="P283" s="38">
        <f>INDEX(Cables!$AS:$AS,MATCH(B283,Cables!$A:$A,0))+INDEX(Cables!$AT:$AT,MATCH(B283,Cables!$A:$A,0))*SQRT(C283)+INDEX(Cables!$AU:$AU,MATCH(B283,Cables!$A:$A,0))*C283</f>
        <v>3.3387285378569711</v>
      </c>
      <c r="Q283" s="41">
        <f t="shared" si="38"/>
        <v>-1.8021018277361467E-2</v>
      </c>
      <c r="R283" s="39">
        <f t="shared" si="39"/>
        <v>3.2475709975299607E-4</v>
      </c>
      <c r="S283" s="40" t="b">
        <f>IF(B283=B282,C283&gt;C282,COUNTIF(B$1:B282,B283)=0)</f>
        <v>1</v>
      </c>
      <c r="T283" s="37"/>
    </row>
    <row r="284" spans="1:20" x14ac:dyDescent="0.25">
      <c r="A284" s="37" t="s">
        <v>1008</v>
      </c>
      <c r="B284" s="37" t="s">
        <v>384</v>
      </c>
      <c r="C284" s="37">
        <v>50</v>
      </c>
      <c r="D284" s="37">
        <v>4.5</v>
      </c>
      <c r="E284" s="37" t="s">
        <v>771</v>
      </c>
      <c r="F284" s="37">
        <v>20</v>
      </c>
      <c r="G284" s="37" t="s">
        <v>223</v>
      </c>
      <c r="H284" s="37" t="s">
        <v>1006</v>
      </c>
      <c r="I284" s="38">
        <f t="shared" si="32"/>
        <v>4.5</v>
      </c>
      <c r="J284" s="38">
        <f t="shared" si="33"/>
        <v>3.912023005428146</v>
      </c>
      <c r="K284" s="38">
        <f t="shared" si="34"/>
        <v>1.5040773967762742</v>
      </c>
      <c r="L284" s="39">
        <f t="shared" si="35"/>
        <v>0.22222222222222221</v>
      </c>
      <c r="M284" s="39">
        <f t="shared" si="36"/>
        <v>1.5713484026367723</v>
      </c>
      <c r="N284" s="39">
        <f t="shared" si="37"/>
        <v>11.111111111111111</v>
      </c>
      <c r="O284" s="40">
        <f>1</f>
        <v>1</v>
      </c>
      <c r="P284" s="38">
        <f>INDEX(Cables!$AS:$AS,MATCH(B284,Cables!$A:$A,0))+INDEX(Cables!$AT:$AT,MATCH(B284,Cables!$A:$A,0))*SQRT(C284)+INDEX(Cables!$AU:$AU,MATCH(B284,Cables!$A:$A,0))*C284</f>
        <v>4.4019815809918699</v>
      </c>
      <c r="Q284" s="41">
        <f t="shared" si="38"/>
        <v>-2.1781870890695609E-2</v>
      </c>
      <c r="R284" s="39">
        <f t="shared" si="39"/>
        <v>4.7444989949893275E-4</v>
      </c>
      <c r="S284" s="40" t="b">
        <f>IF(B284=B283,C284&gt;C283,COUNTIF(B$1:B283,B284)=0)</f>
        <v>1</v>
      </c>
      <c r="T284" s="37"/>
    </row>
    <row r="285" spans="1:20" x14ac:dyDescent="0.25">
      <c r="A285" s="37" t="s">
        <v>1009</v>
      </c>
      <c r="B285" s="37" t="s">
        <v>384</v>
      </c>
      <c r="C285" s="37">
        <v>100</v>
      </c>
      <c r="D285" s="37">
        <v>6.1</v>
      </c>
      <c r="E285" s="37" t="s">
        <v>771</v>
      </c>
      <c r="F285" s="37">
        <v>20</v>
      </c>
      <c r="G285" s="37" t="s">
        <v>223</v>
      </c>
      <c r="H285" s="37" t="s">
        <v>1006</v>
      </c>
      <c r="I285" s="38">
        <f t="shared" si="32"/>
        <v>6.1</v>
      </c>
      <c r="J285" s="38">
        <f t="shared" si="33"/>
        <v>4.6051701859880918</v>
      </c>
      <c r="K285" s="38">
        <f t="shared" si="34"/>
        <v>1.8082887711792655</v>
      </c>
      <c r="L285" s="39">
        <f t="shared" si="35"/>
        <v>0.16393442622950821</v>
      </c>
      <c r="M285" s="39">
        <f t="shared" si="36"/>
        <v>1.639344262295082</v>
      </c>
      <c r="N285" s="39">
        <f t="shared" si="37"/>
        <v>16.393442622950822</v>
      </c>
      <c r="O285" s="40">
        <f>1</f>
        <v>1</v>
      </c>
      <c r="P285" s="38">
        <f>INDEX(Cables!$AS:$AS,MATCH(B285,Cables!$A:$A,0))+INDEX(Cables!$AT:$AT,MATCH(B285,Cables!$A:$A,0))*SQRT(C285)+INDEX(Cables!$AU:$AU,MATCH(B285,Cables!$A:$A,0))*C285</f>
        <v>6.2450100790524603</v>
      </c>
      <c r="Q285" s="41">
        <f t="shared" si="38"/>
        <v>2.3772144106960713E-2</v>
      </c>
      <c r="R285" s="39">
        <f t="shared" si="39"/>
        <v>5.6511483544210701E-4</v>
      </c>
      <c r="S285" s="40" t="b">
        <f>IF(B285=B284,C285&gt;C284,COUNTIF(B$1:B284,B285)=0)</f>
        <v>1</v>
      </c>
      <c r="T285" s="37"/>
    </row>
    <row r="286" spans="1:20" x14ac:dyDescent="0.25">
      <c r="A286" s="37" t="s">
        <v>1010</v>
      </c>
      <c r="B286" s="37" t="s">
        <v>384</v>
      </c>
      <c r="C286" s="37">
        <v>144</v>
      </c>
      <c r="D286" s="37">
        <v>7.5</v>
      </c>
      <c r="E286" s="37" t="s">
        <v>771</v>
      </c>
      <c r="F286" s="37">
        <v>20</v>
      </c>
      <c r="G286" s="37" t="s">
        <v>223</v>
      </c>
      <c r="H286" s="37" t="s">
        <v>1006</v>
      </c>
      <c r="I286" s="38">
        <f t="shared" si="32"/>
        <v>7.5</v>
      </c>
      <c r="J286" s="38">
        <f t="shared" si="33"/>
        <v>4.9698132995760007</v>
      </c>
      <c r="K286" s="38">
        <f t="shared" si="34"/>
        <v>2.0149030205422647</v>
      </c>
      <c r="L286" s="39">
        <f t="shared" si="35"/>
        <v>0.13333333333333333</v>
      </c>
      <c r="M286" s="39">
        <f t="shared" si="36"/>
        <v>1.6</v>
      </c>
      <c r="N286" s="39">
        <f t="shared" si="37"/>
        <v>19.2</v>
      </c>
      <c r="O286" s="40">
        <f>1</f>
        <v>1</v>
      </c>
      <c r="P286" s="38">
        <f>INDEX(Cables!$AS:$AS,MATCH(B286,Cables!$A:$A,0))+INDEX(Cables!$AT:$AT,MATCH(B286,Cables!$A:$A,0))*SQRT(C286)+INDEX(Cables!$AU:$AU,MATCH(B286,Cables!$A:$A,0))*C286</f>
        <v>7.5700237258548544</v>
      </c>
      <c r="Q286" s="41">
        <f t="shared" si="38"/>
        <v>9.3364967806472965E-3</v>
      </c>
      <c r="R286" s="39">
        <f t="shared" si="39"/>
        <v>8.7170172135037338E-5</v>
      </c>
      <c r="S286" s="40" t="b">
        <f>IF(B286=B285,C286&gt;C285,COUNTIF(B$1:B285,B286)=0)</f>
        <v>1</v>
      </c>
      <c r="T286" s="37"/>
    </row>
    <row r="287" spans="1:20" x14ac:dyDescent="0.25">
      <c r="A287" s="37" t="s">
        <v>1011</v>
      </c>
      <c r="B287" s="37" t="s">
        <v>384</v>
      </c>
      <c r="C287" s="37">
        <v>200</v>
      </c>
      <c r="D287" s="37">
        <v>9</v>
      </c>
      <c r="E287" s="37" t="s">
        <v>771</v>
      </c>
      <c r="F287" s="37">
        <v>20</v>
      </c>
      <c r="G287" s="37" t="s">
        <v>223</v>
      </c>
      <c r="H287" s="37" t="s">
        <v>1006</v>
      </c>
      <c r="I287" s="38">
        <f t="shared" si="32"/>
        <v>9</v>
      </c>
      <c r="J287" s="38">
        <f t="shared" si="33"/>
        <v>5.2983173665480363</v>
      </c>
      <c r="K287" s="38">
        <f t="shared" si="34"/>
        <v>2.1972245773362196</v>
      </c>
      <c r="L287" s="39">
        <f t="shared" si="35"/>
        <v>0.1111111111111111</v>
      </c>
      <c r="M287" s="39">
        <f t="shared" si="36"/>
        <v>1.5713484026367723</v>
      </c>
      <c r="N287" s="39">
        <f t="shared" si="37"/>
        <v>22.222222222222221</v>
      </c>
      <c r="O287" s="40">
        <f>1</f>
        <v>1</v>
      </c>
      <c r="P287" s="38">
        <f>INDEX(Cables!$AS:$AS,MATCH(B287,Cables!$A:$A,0))+INDEX(Cables!$AT:$AT,MATCH(B287,Cables!$A:$A,0))*SQRT(C287)+INDEX(Cables!$AU:$AU,MATCH(B287,Cables!$A:$A,0))*C287</f>
        <v>9.0490730858054782</v>
      </c>
      <c r="Q287" s="41">
        <f t="shared" si="38"/>
        <v>5.4525650894976518E-3</v>
      </c>
      <c r="R287" s="39">
        <f t="shared" si="39"/>
        <v>2.9730466055208537E-5</v>
      </c>
      <c r="S287" s="40" t="b">
        <f>IF(B287=B286,C287&gt;C286,COUNTIF(B$1:B286,B287)=0)</f>
        <v>1</v>
      </c>
      <c r="T287" s="37"/>
    </row>
    <row r="288" spans="1:20" x14ac:dyDescent="0.25">
      <c r="A288" s="37" t="s">
        <v>1012</v>
      </c>
      <c r="B288" s="37" t="s">
        <v>384</v>
      </c>
      <c r="C288" s="37">
        <v>430</v>
      </c>
      <c r="D288" s="37">
        <v>14.1</v>
      </c>
      <c r="E288" s="37" t="s">
        <v>771</v>
      </c>
      <c r="F288" s="37">
        <v>20</v>
      </c>
      <c r="G288" s="37" t="s">
        <v>223</v>
      </c>
      <c r="H288" s="37" t="s">
        <v>1006</v>
      </c>
      <c r="I288" s="38">
        <f t="shared" si="32"/>
        <v>14.1</v>
      </c>
      <c r="J288" s="38">
        <f t="shared" si="33"/>
        <v>6.0637852086876078</v>
      </c>
      <c r="K288" s="38">
        <f t="shared" si="34"/>
        <v>2.6461747973841225</v>
      </c>
      <c r="L288" s="39">
        <f t="shared" si="35"/>
        <v>7.0921985815602842E-2</v>
      </c>
      <c r="M288" s="39">
        <f t="shared" si="36"/>
        <v>1.4706695995267887</v>
      </c>
      <c r="N288" s="39">
        <f t="shared" si="37"/>
        <v>30.49645390070922</v>
      </c>
      <c r="O288" s="40">
        <f>1</f>
        <v>1</v>
      </c>
      <c r="P288" s="38">
        <f>INDEX(Cables!$AS:$AS,MATCH(B288,Cables!$A:$A,0))+INDEX(Cables!$AT:$AT,MATCH(B288,Cables!$A:$A,0))*SQRT(C288)+INDEX(Cables!$AU:$AU,MATCH(B288,Cables!$A:$A,0))*C288</f>
        <v>13.990871402171475</v>
      </c>
      <c r="Q288" s="41">
        <f t="shared" si="38"/>
        <v>-7.739616867271204E-3</v>
      </c>
      <c r="R288" s="39">
        <f t="shared" si="39"/>
        <v>5.9901669252148926E-5</v>
      </c>
      <c r="S288" s="40" t="b">
        <f>IF(B288=B287,C288&gt;C287,COUNTIF(B$1:B287,B288)=0)</f>
        <v>1</v>
      </c>
      <c r="T288" s="37"/>
    </row>
    <row r="289" spans="1:20" x14ac:dyDescent="0.25">
      <c r="A289" s="37" t="s">
        <v>1013</v>
      </c>
      <c r="B289" s="37" t="s">
        <v>384</v>
      </c>
      <c r="C289" s="37">
        <v>800</v>
      </c>
      <c r="D289" s="37">
        <v>20.5</v>
      </c>
      <c r="E289" s="37" t="s">
        <v>771</v>
      </c>
      <c r="F289" s="37">
        <v>20</v>
      </c>
      <c r="G289" s="37" t="s">
        <v>223</v>
      </c>
      <c r="H289" s="37" t="s">
        <v>1006</v>
      </c>
      <c r="I289" s="38">
        <f t="shared" si="32"/>
        <v>20.5</v>
      </c>
      <c r="J289" s="38">
        <f t="shared" si="33"/>
        <v>6.6846117276679271</v>
      </c>
      <c r="K289" s="38">
        <f t="shared" si="34"/>
        <v>3.0204248861443626</v>
      </c>
      <c r="L289" s="39">
        <f t="shared" si="35"/>
        <v>4.878048780487805E-2</v>
      </c>
      <c r="M289" s="39">
        <f t="shared" si="36"/>
        <v>1.3797205486566781</v>
      </c>
      <c r="N289" s="39">
        <f t="shared" si="37"/>
        <v>39.024390243902438</v>
      </c>
      <c r="O289" s="40">
        <f>1</f>
        <v>1</v>
      </c>
      <c r="P289" s="38">
        <f>INDEX(Cables!$AS:$AS,MATCH(B289,Cables!$A:$A,0))+INDEX(Cables!$AT:$AT,MATCH(B289,Cables!$A:$A,0))*SQRT(C289)+INDEX(Cables!$AU:$AU,MATCH(B289,Cables!$A:$A,0))*C289</f>
        <v>20.367479562499227</v>
      </c>
      <c r="Q289" s="41">
        <f t="shared" si="38"/>
        <v>-6.4644115854035622E-3</v>
      </c>
      <c r="R289" s="39">
        <f t="shared" si="39"/>
        <v>4.1788617145499798E-5</v>
      </c>
      <c r="S289" s="40" t="b">
        <f>IF(B289=B288,C289&gt;C288,COUNTIF(B$1:B288,B289)=0)</f>
        <v>1</v>
      </c>
      <c r="T289" s="37"/>
    </row>
    <row r="290" spans="1:20" x14ac:dyDescent="0.25">
      <c r="A290" s="37" t="s">
        <v>1014</v>
      </c>
      <c r="B290" s="37" t="s">
        <v>384</v>
      </c>
      <c r="C290" s="37">
        <v>1296</v>
      </c>
      <c r="D290" s="37">
        <v>27.6</v>
      </c>
      <c r="E290" s="37" t="s">
        <v>771</v>
      </c>
      <c r="F290" s="37">
        <v>20</v>
      </c>
      <c r="G290" s="37" t="s">
        <v>223</v>
      </c>
      <c r="H290" s="37" t="s">
        <v>1006</v>
      </c>
      <c r="I290" s="38">
        <f t="shared" si="32"/>
        <v>27.6</v>
      </c>
      <c r="J290" s="38">
        <f t="shared" si="33"/>
        <v>7.1670378769122198</v>
      </c>
      <c r="K290" s="38">
        <f t="shared" si="34"/>
        <v>3.3178157727231046</v>
      </c>
      <c r="L290" s="39">
        <f t="shared" si="35"/>
        <v>3.6231884057971016E-2</v>
      </c>
      <c r="M290" s="39">
        <f t="shared" si="36"/>
        <v>1.3043478260869565</v>
      </c>
      <c r="N290" s="39">
        <f t="shared" si="37"/>
        <v>46.95652173913043</v>
      </c>
      <c r="O290" s="40">
        <f>1</f>
        <v>1</v>
      </c>
      <c r="P290" s="38">
        <f>INDEX(Cables!$AS:$AS,MATCH(B290,Cables!$A:$A,0))+INDEX(Cables!$AT:$AT,MATCH(B290,Cables!$A:$A,0))*SQRT(C290)+INDEX(Cables!$AU:$AU,MATCH(B290,Cables!$A:$A,0))*C290</f>
        <v>27.680572298981964</v>
      </c>
      <c r="Q290" s="41">
        <f t="shared" si="38"/>
        <v>2.9192861949987048E-3</v>
      </c>
      <c r="R290" s="39">
        <f t="shared" si="39"/>
        <v>8.5222318883100157E-6</v>
      </c>
      <c r="S290" s="40" t="b">
        <f>IF(B290=B289,C290&gt;C289,COUNTIF(B$1:B289,B290)=0)</f>
        <v>1</v>
      </c>
      <c r="T290" s="37"/>
    </row>
    <row r="291" spans="1:20" x14ac:dyDescent="0.25">
      <c r="A291" s="37" t="s">
        <v>1015</v>
      </c>
      <c r="B291" s="37" t="s">
        <v>388</v>
      </c>
      <c r="C291" s="37">
        <v>5</v>
      </c>
      <c r="D291" s="37">
        <v>1.6</v>
      </c>
      <c r="E291" s="37" t="s">
        <v>771</v>
      </c>
      <c r="F291" s="37">
        <v>20</v>
      </c>
      <c r="G291" s="37" t="s">
        <v>395</v>
      </c>
      <c r="H291" s="37" t="s">
        <v>867</v>
      </c>
      <c r="I291" s="38">
        <f t="shared" si="32"/>
        <v>1.6</v>
      </c>
      <c r="J291" s="38">
        <f t="shared" si="33"/>
        <v>1.6094379124341003</v>
      </c>
      <c r="K291" s="38">
        <f t="shared" si="34"/>
        <v>0.47000362924573563</v>
      </c>
      <c r="L291" s="39">
        <f t="shared" si="35"/>
        <v>0.625</v>
      </c>
      <c r="M291" s="39">
        <f t="shared" si="36"/>
        <v>1.3975424859373686</v>
      </c>
      <c r="N291" s="39">
        <f t="shared" si="37"/>
        <v>3.125</v>
      </c>
      <c r="O291" s="40">
        <f>1</f>
        <v>1</v>
      </c>
      <c r="P291" s="38">
        <f>INDEX(Cables!$AS:$AS,MATCH(B291,Cables!$A:$A,0))+INDEX(Cables!$AT:$AT,MATCH(B291,Cables!$A:$A,0))*SQRT(C291)+INDEX(Cables!$AU:$AU,MATCH(B291,Cables!$A:$A,0))*C291</f>
        <v>1.6204003663489304</v>
      </c>
      <c r="Q291" s="41">
        <f t="shared" si="38"/>
        <v>1.2750228968081423E-2</v>
      </c>
      <c r="R291" s="39">
        <f t="shared" si="39"/>
        <v>1.6256833873850267E-4</v>
      </c>
      <c r="S291" s="40" t="b">
        <f>IF(B291=B290,C291&gt;C290,COUNTIF(B$1:B290,B291)=0)</f>
        <v>1</v>
      </c>
      <c r="T291" s="37"/>
    </row>
    <row r="292" spans="1:20" x14ac:dyDescent="0.25">
      <c r="A292" s="37" t="s">
        <v>1016</v>
      </c>
      <c r="B292" s="37" t="s">
        <v>388</v>
      </c>
      <c r="C292" s="37">
        <v>10</v>
      </c>
      <c r="D292" s="37">
        <v>2.2000000000000002</v>
      </c>
      <c r="E292" s="37" t="s">
        <v>771</v>
      </c>
      <c r="F292" s="37">
        <v>20</v>
      </c>
      <c r="G292" s="37" t="s">
        <v>395</v>
      </c>
      <c r="H292" s="37" t="s">
        <v>867</v>
      </c>
      <c r="I292" s="38">
        <f t="shared" si="32"/>
        <v>2.2000000000000002</v>
      </c>
      <c r="J292" s="38">
        <f t="shared" si="33"/>
        <v>2.3025850929940459</v>
      </c>
      <c r="K292" s="38">
        <f t="shared" si="34"/>
        <v>0.78845736036427028</v>
      </c>
      <c r="L292" s="39">
        <f t="shared" si="35"/>
        <v>0.45454545454545453</v>
      </c>
      <c r="M292" s="39">
        <f t="shared" si="36"/>
        <v>1.4373989364401725</v>
      </c>
      <c r="N292" s="39">
        <f t="shared" si="37"/>
        <v>4.545454545454545</v>
      </c>
      <c r="O292" s="40">
        <f>1</f>
        <v>1</v>
      </c>
      <c r="P292" s="38">
        <f>INDEX(Cables!$AS:$AS,MATCH(B292,Cables!$A:$A,0))+INDEX(Cables!$AT:$AT,MATCH(B292,Cables!$A:$A,0))*SQRT(C292)+INDEX(Cables!$AU:$AU,MATCH(B292,Cables!$A:$A,0))*C292</f>
        <v>2.1617294774271749</v>
      </c>
      <c r="Q292" s="41">
        <f t="shared" si="38"/>
        <v>-1.7395692078556957E-2</v>
      </c>
      <c r="R292" s="39">
        <f t="shared" si="39"/>
        <v>3.0261010289196928E-4</v>
      </c>
      <c r="S292" s="40" t="b">
        <f>IF(B292=B291,C292&gt;C291,COUNTIF(B$1:B291,B292)=0)</f>
        <v>1</v>
      </c>
      <c r="T292" s="37"/>
    </row>
    <row r="293" spans="1:20" x14ac:dyDescent="0.25">
      <c r="A293" s="37" t="s">
        <v>1017</v>
      </c>
      <c r="B293" s="37" t="s">
        <v>388</v>
      </c>
      <c r="C293" s="37">
        <v>50</v>
      </c>
      <c r="D293" s="37">
        <v>4.5199999999999996</v>
      </c>
      <c r="E293" s="37" t="s">
        <v>771</v>
      </c>
      <c r="F293" s="37">
        <v>20</v>
      </c>
      <c r="G293" s="37" t="s">
        <v>395</v>
      </c>
      <c r="H293" s="37" t="s">
        <v>867</v>
      </c>
      <c r="I293" s="38">
        <f t="shared" si="32"/>
        <v>4.5199999999999996</v>
      </c>
      <c r="J293" s="38">
        <f t="shared" si="33"/>
        <v>3.912023005428146</v>
      </c>
      <c r="K293" s="38">
        <f t="shared" si="34"/>
        <v>1.5085119938441398</v>
      </c>
      <c r="L293" s="39">
        <f t="shared" si="35"/>
        <v>0.22123893805309736</v>
      </c>
      <c r="M293" s="39">
        <f t="shared" si="36"/>
        <v>1.5643955335985567</v>
      </c>
      <c r="N293" s="39">
        <f t="shared" si="37"/>
        <v>11.061946902654869</v>
      </c>
      <c r="O293" s="40">
        <f>1</f>
        <v>1</v>
      </c>
      <c r="P293" s="38">
        <f>INDEX(Cables!$AS:$AS,MATCH(B293,Cables!$A:$A,0))+INDEX(Cables!$AT:$AT,MATCH(B293,Cables!$A:$A,0))*SQRT(C293)+INDEX(Cables!$AU:$AU,MATCH(B293,Cables!$A:$A,0))*C293</f>
        <v>4.5077260833834538</v>
      </c>
      <c r="Q293" s="41">
        <f t="shared" si="38"/>
        <v>-2.7154682779968464E-3</v>
      </c>
      <c r="R293" s="39">
        <f t="shared" si="39"/>
        <v>7.3737679688071583E-6</v>
      </c>
      <c r="S293" s="40" t="b">
        <f>IF(B293=B292,C293&gt;C292,COUNTIF(B$1:B292,B293)=0)</f>
        <v>1</v>
      </c>
      <c r="T293" s="37"/>
    </row>
    <row r="294" spans="1:20" x14ac:dyDescent="0.25">
      <c r="A294" s="37" t="s">
        <v>1018</v>
      </c>
      <c r="B294" s="37" t="s">
        <v>388</v>
      </c>
      <c r="C294" s="37">
        <v>100</v>
      </c>
      <c r="D294" s="37">
        <v>6.28</v>
      </c>
      <c r="E294" s="37" t="s">
        <v>771</v>
      </c>
      <c r="F294" s="37">
        <v>20</v>
      </c>
      <c r="G294" s="37" t="s">
        <v>395</v>
      </c>
      <c r="H294" s="37" t="s">
        <v>867</v>
      </c>
      <c r="I294" s="38">
        <f t="shared" si="32"/>
        <v>6.28</v>
      </c>
      <c r="J294" s="38">
        <f t="shared" si="33"/>
        <v>4.6051701859880918</v>
      </c>
      <c r="K294" s="38">
        <f t="shared" si="34"/>
        <v>1.8373699804801074</v>
      </c>
      <c r="L294" s="39">
        <f t="shared" si="35"/>
        <v>0.15923566878980891</v>
      </c>
      <c r="M294" s="39">
        <f t="shared" si="36"/>
        <v>1.592356687898089</v>
      </c>
      <c r="N294" s="39">
        <f t="shared" si="37"/>
        <v>15.923566878980891</v>
      </c>
      <c r="O294" s="40">
        <f>1</f>
        <v>1</v>
      </c>
      <c r="P294" s="38">
        <f>INDEX(Cables!$AS:$AS,MATCH(B294,Cables!$A:$A,0))+INDEX(Cables!$AT:$AT,MATCH(B294,Cables!$A:$A,0))*SQRT(C294)+INDEX(Cables!$AU:$AU,MATCH(B294,Cables!$A:$A,0))*C294</f>
        <v>6.3307764311633319</v>
      </c>
      <c r="Q294" s="41">
        <f t="shared" si="38"/>
        <v>8.0854189750527716E-3</v>
      </c>
      <c r="R294" s="39">
        <f t="shared" si="39"/>
        <v>6.5374000002143415E-5</v>
      </c>
      <c r="S294" s="40" t="b">
        <f>IF(B294=B293,C294&gt;C293,COUNTIF(B$1:B293,B294)=0)</f>
        <v>1</v>
      </c>
      <c r="T294" s="37"/>
    </row>
    <row r="295" spans="1:20" x14ac:dyDescent="0.25">
      <c r="A295" s="37" t="s">
        <v>1019</v>
      </c>
      <c r="B295" s="37" t="s">
        <v>388</v>
      </c>
      <c r="C295" s="37">
        <v>144</v>
      </c>
      <c r="D295" s="37">
        <v>7.6</v>
      </c>
      <c r="E295" s="37" t="s">
        <v>771</v>
      </c>
      <c r="F295" s="37">
        <v>20</v>
      </c>
      <c r="G295" s="37" t="s">
        <v>395</v>
      </c>
      <c r="H295" s="37" t="s">
        <v>867</v>
      </c>
      <c r="I295" s="38">
        <f t="shared" si="32"/>
        <v>7.6</v>
      </c>
      <c r="J295" s="38">
        <f t="shared" si="33"/>
        <v>4.9698132995760007</v>
      </c>
      <c r="K295" s="38">
        <f t="shared" si="34"/>
        <v>2.0281482472922852</v>
      </c>
      <c r="L295" s="39">
        <f t="shared" si="35"/>
        <v>0.13157894736842105</v>
      </c>
      <c r="M295" s="39">
        <f t="shared" si="36"/>
        <v>1.5789473684210527</v>
      </c>
      <c r="N295" s="39">
        <f t="shared" si="37"/>
        <v>18.947368421052634</v>
      </c>
      <c r="O295" s="40">
        <f>1</f>
        <v>1</v>
      </c>
      <c r="P295" s="38">
        <f>INDEX(Cables!$AS:$AS,MATCH(B295,Cables!$A:$A,0))+INDEX(Cables!$AT:$AT,MATCH(B295,Cables!$A:$A,0))*SQRT(C295)+INDEX(Cables!$AU:$AU,MATCH(B295,Cables!$A:$A,0))*C295</f>
        <v>7.6077012387345198</v>
      </c>
      <c r="Q295" s="41">
        <f t="shared" si="38"/>
        <v>1.0133208861211607E-3</v>
      </c>
      <c r="R295" s="39">
        <f t="shared" si="39"/>
        <v>1.0268192182493742E-6</v>
      </c>
      <c r="S295" s="40" t="b">
        <f>IF(B295=B294,C295&gt;C294,COUNTIF(B$1:B294,B295)=0)</f>
        <v>1</v>
      </c>
      <c r="T295" s="37"/>
    </row>
    <row r="296" spans="1:20" x14ac:dyDescent="0.25">
      <c r="A296" s="37" t="s">
        <v>1020</v>
      </c>
      <c r="B296" s="37" t="s">
        <v>388</v>
      </c>
      <c r="C296" s="37">
        <v>200</v>
      </c>
      <c r="D296" s="37">
        <v>9.0399999999999991</v>
      </c>
      <c r="E296" s="37" t="s">
        <v>771</v>
      </c>
      <c r="F296" s="37">
        <v>20</v>
      </c>
      <c r="G296" s="37" t="s">
        <v>395</v>
      </c>
      <c r="H296" s="37" t="s">
        <v>867</v>
      </c>
      <c r="I296" s="38">
        <f t="shared" si="32"/>
        <v>9.0399999999999991</v>
      </c>
      <c r="J296" s="38">
        <f t="shared" si="33"/>
        <v>5.2983173665480363</v>
      </c>
      <c r="K296" s="38">
        <f t="shared" si="34"/>
        <v>2.2016591744040852</v>
      </c>
      <c r="L296" s="39">
        <f t="shared" si="35"/>
        <v>0.11061946902654868</v>
      </c>
      <c r="M296" s="39">
        <f t="shared" si="36"/>
        <v>1.5643955335985567</v>
      </c>
      <c r="N296" s="39">
        <f t="shared" si="37"/>
        <v>22.123893805309738</v>
      </c>
      <c r="O296" s="40">
        <f>1</f>
        <v>1</v>
      </c>
      <c r="P296" s="38">
        <f>INDEX(Cables!$AS:$AS,MATCH(B296,Cables!$A:$A,0))+INDEX(Cables!$AT:$AT,MATCH(B296,Cables!$A:$A,0))*SQRT(C296)+INDEX(Cables!$AU:$AU,MATCH(B296,Cables!$A:$A,0))*C296</f>
        <v>9.0042386975685247</v>
      </c>
      <c r="Q296" s="41">
        <f t="shared" si="38"/>
        <v>-3.9558962866674818E-3</v>
      </c>
      <c r="R296" s="39">
        <f t="shared" si="39"/>
        <v>1.564911543086957E-5</v>
      </c>
      <c r="S296" s="40" t="b">
        <f>IF(B296=B295,C296&gt;C295,COUNTIF(B$1:B295,B296)=0)</f>
        <v>1</v>
      </c>
      <c r="T296" s="37"/>
    </row>
    <row r="297" spans="1:20" x14ac:dyDescent="0.25">
      <c r="A297" s="37" t="s">
        <v>1021</v>
      </c>
      <c r="B297" s="37" t="s">
        <v>388</v>
      </c>
      <c r="C297" s="37">
        <v>300</v>
      </c>
      <c r="D297" s="37">
        <v>11.2</v>
      </c>
      <c r="E297" s="37" t="s">
        <v>771</v>
      </c>
      <c r="F297" s="37">
        <v>20</v>
      </c>
      <c r="G297" s="37" t="s">
        <v>395</v>
      </c>
      <c r="H297" s="37" t="s">
        <v>867</v>
      </c>
      <c r="I297" s="38">
        <f t="shared" si="32"/>
        <v>11.2</v>
      </c>
      <c r="J297" s="38">
        <f t="shared" si="33"/>
        <v>5.7037824746562009</v>
      </c>
      <c r="K297" s="38">
        <f t="shared" si="34"/>
        <v>2.4159137783010487</v>
      </c>
      <c r="L297" s="39">
        <f t="shared" si="35"/>
        <v>8.9285714285714288E-2</v>
      </c>
      <c r="M297" s="39">
        <f t="shared" si="36"/>
        <v>1.5464739353293551</v>
      </c>
      <c r="N297" s="39">
        <f t="shared" si="37"/>
        <v>26.785714285714288</v>
      </c>
      <c r="O297" s="40">
        <f>1</f>
        <v>1</v>
      </c>
      <c r="P297" s="38">
        <f>INDEX(Cables!$AS:$AS,MATCH(B297,Cables!$A:$A,0))+INDEX(Cables!$AT:$AT,MATCH(B297,Cables!$A:$A,0))*SQRT(C297)+INDEX(Cables!$AU:$AU,MATCH(B297,Cables!$A:$A,0))*C297</f>
        <v>11.131348228389063</v>
      </c>
      <c r="Q297" s="41">
        <f t="shared" si="38"/>
        <v>-6.1296224652621634E-3</v>
      </c>
      <c r="R297" s="39">
        <f t="shared" si="39"/>
        <v>3.7572271566646604E-5</v>
      </c>
      <c r="S297" s="40" t="b">
        <f>IF(B297=B296,C297&gt;C296,COUNTIF(B$1:B296,B297)=0)</f>
        <v>1</v>
      </c>
      <c r="T297" s="37"/>
    </row>
    <row r="298" spans="1:20" x14ac:dyDescent="0.25">
      <c r="A298" s="37" t="s">
        <v>1022</v>
      </c>
      <c r="B298" s="37" t="s">
        <v>388</v>
      </c>
      <c r="C298" s="37">
        <v>432</v>
      </c>
      <c r="D298" s="37">
        <v>13.6</v>
      </c>
      <c r="E298" s="37" t="s">
        <v>771</v>
      </c>
      <c r="F298" s="37">
        <v>20</v>
      </c>
      <c r="G298" s="37" t="s">
        <v>395</v>
      </c>
      <c r="H298" s="37" t="s">
        <v>867</v>
      </c>
      <c r="I298" s="38">
        <f t="shared" si="32"/>
        <v>13.6</v>
      </c>
      <c r="J298" s="38">
        <f t="shared" si="33"/>
        <v>6.0684255882441107</v>
      </c>
      <c r="K298" s="38">
        <f t="shared" si="34"/>
        <v>2.6100697927420065</v>
      </c>
      <c r="L298" s="39">
        <f t="shared" si="35"/>
        <v>7.3529411764705885E-2</v>
      </c>
      <c r="M298" s="39">
        <f t="shared" si="36"/>
        <v>1.52828012432548</v>
      </c>
      <c r="N298" s="39">
        <f t="shared" si="37"/>
        <v>31.764705882352942</v>
      </c>
      <c r="O298" s="40">
        <f>1</f>
        <v>1</v>
      </c>
      <c r="P298" s="38">
        <f>INDEX(Cables!$AS:$AS,MATCH(B298,Cables!$A:$A,0))+INDEX(Cables!$AT:$AT,MATCH(B298,Cables!$A:$A,0))*SQRT(C298)+INDEX(Cables!$AU:$AU,MATCH(B298,Cables!$A:$A,0))*C298</f>
        <v>13.524533977543792</v>
      </c>
      <c r="Q298" s="41">
        <f t="shared" si="38"/>
        <v>-5.5489722394270746E-3</v>
      </c>
      <c r="R298" s="39">
        <f t="shared" si="39"/>
        <v>3.0791092913932323E-5</v>
      </c>
      <c r="S298" s="40" t="b">
        <f>IF(B298=B297,C298&gt;C297,COUNTIF(B$1:B297,B298)=0)</f>
        <v>1</v>
      </c>
      <c r="T298" s="37"/>
    </row>
    <row r="299" spans="1:20" x14ac:dyDescent="0.25">
      <c r="A299" s="37" t="s">
        <v>1023</v>
      </c>
      <c r="B299" s="37" t="s">
        <v>388</v>
      </c>
      <c r="C299" s="37">
        <v>500</v>
      </c>
      <c r="D299" s="37">
        <v>14.72</v>
      </c>
      <c r="E299" s="37" t="s">
        <v>771</v>
      </c>
      <c r="F299" s="37">
        <v>20</v>
      </c>
      <c r="G299" s="37" t="s">
        <v>395</v>
      </c>
      <c r="H299" s="37" t="s">
        <v>867</v>
      </c>
      <c r="I299" s="38">
        <f t="shared" si="32"/>
        <v>14.72</v>
      </c>
      <c r="J299" s="38">
        <f t="shared" si="33"/>
        <v>6.2146080984221914</v>
      </c>
      <c r="K299" s="38">
        <f t="shared" si="34"/>
        <v>2.6892071133007303</v>
      </c>
      <c r="L299" s="39">
        <f t="shared" si="35"/>
        <v>6.7934782608695649E-2</v>
      </c>
      <c r="M299" s="39">
        <f t="shared" si="36"/>
        <v>1.5190679194971397</v>
      </c>
      <c r="N299" s="39">
        <f t="shared" si="37"/>
        <v>33.967391304347828</v>
      </c>
      <c r="O299" s="40">
        <f>1</f>
        <v>1</v>
      </c>
      <c r="P299" s="38">
        <f>INDEX(Cables!$AS:$AS,MATCH(B299,Cables!$A:$A,0))+INDEX(Cables!$AT:$AT,MATCH(B299,Cables!$A:$A,0))*SQRT(C299)+INDEX(Cables!$AU:$AU,MATCH(B299,Cables!$A:$A,0))*C299</f>
        <v>14.639208233156415</v>
      </c>
      <c r="Q299" s="41">
        <f t="shared" si="38"/>
        <v>-5.4885711170914453E-3</v>
      </c>
      <c r="R299" s="39">
        <f t="shared" si="39"/>
        <v>3.0124412907370437E-5</v>
      </c>
      <c r="S299" s="40" t="b">
        <f>IF(B299=B298,C299&gt;C298,COUNTIF(B$1:B298,B299)=0)</f>
        <v>1</v>
      </c>
      <c r="T299" s="37"/>
    </row>
    <row r="300" spans="1:20" x14ac:dyDescent="0.25">
      <c r="A300" s="37" t="s">
        <v>1024</v>
      </c>
      <c r="B300" s="37" t="s">
        <v>388</v>
      </c>
      <c r="C300" s="37">
        <v>800</v>
      </c>
      <c r="D300" s="37">
        <v>19</v>
      </c>
      <c r="E300" s="37" t="s">
        <v>771</v>
      </c>
      <c r="F300" s="37">
        <v>20</v>
      </c>
      <c r="G300" s="37" t="s">
        <v>395</v>
      </c>
      <c r="H300" s="37" t="s">
        <v>867</v>
      </c>
      <c r="I300" s="38">
        <f t="shared" si="32"/>
        <v>19</v>
      </c>
      <c r="J300" s="38">
        <f t="shared" si="33"/>
        <v>6.6846117276679271</v>
      </c>
      <c r="K300" s="38">
        <f t="shared" si="34"/>
        <v>2.9444389791664403</v>
      </c>
      <c r="L300" s="39">
        <f t="shared" si="35"/>
        <v>5.2631578947368418E-2</v>
      </c>
      <c r="M300" s="39">
        <f t="shared" si="36"/>
        <v>1.4886458551295738</v>
      </c>
      <c r="N300" s="39">
        <f t="shared" si="37"/>
        <v>42.10526315789474</v>
      </c>
      <c r="O300" s="40">
        <f>1</f>
        <v>1</v>
      </c>
      <c r="P300" s="38">
        <f>INDEX(Cables!$AS:$AS,MATCH(B300,Cables!$A:$A,0))+INDEX(Cables!$AT:$AT,MATCH(B300,Cables!$A:$A,0))*SQRT(C300)+INDEX(Cables!$AU:$AU,MATCH(B300,Cables!$A:$A,0))*C300</f>
        <v>18.973180064303616</v>
      </c>
      <c r="Q300" s="41">
        <f t="shared" si="38"/>
        <v>-1.4115755629675597E-3</v>
      </c>
      <c r="R300" s="39">
        <f t="shared" si="39"/>
        <v>1.9925455699671833E-6</v>
      </c>
      <c r="S300" s="40" t="b">
        <f>IF(B300=B299,C300&gt;C299,COUNTIF(B$1:B299,B300)=0)</f>
        <v>1</v>
      </c>
      <c r="T300" s="37"/>
    </row>
    <row r="301" spans="1:20" x14ac:dyDescent="0.25">
      <c r="A301" s="37" t="s">
        <v>1025</v>
      </c>
      <c r="B301" s="37" t="s">
        <v>388</v>
      </c>
      <c r="C301" s="37">
        <v>1000</v>
      </c>
      <c r="D301" s="37">
        <v>21.52</v>
      </c>
      <c r="E301" s="37" t="s">
        <v>771</v>
      </c>
      <c r="F301" s="37">
        <v>20</v>
      </c>
      <c r="G301" s="37" t="s">
        <v>395</v>
      </c>
      <c r="H301" s="37" t="s">
        <v>867</v>
      </c>
      <c r="I301" s="38">
        <f t="shared" si="32"/>
        <v>21.52</v>
      </c>
      <c r="J301" s="38">
        <f t="shared" si="33"/>
        <v>6.9077552789821368</v>
      </c>
      <c r="K301" s="38">
        <f t="shared" si="34"/>
        <v>3.0689827352935835</v>
      </c>
      <c r="L301" s="39">
        <f t="shared" si="35"/>
        <v>4.6468401486988851E-2</v>
      </c>
      <c r="M301" s="39">
        <f t="shared" si="36"/>
        <v>1.4694598792603992</v>
      </c>
      <c r="N301" s="39">
        <f t="shared" si="37"/>
        <v>46.468401486988846</v>
      </c>
      <c r="O301" s="40">
        <f>1</f>
        <v>1</v>
      </c>
      <c r="P301" s="38">
        <f>INDEX(Cables!$AS:$AS,MATCH(B301,Cables!$A:$A,0))+INDEX(Cables!$AT:$AT,MATCH(B301,Cables!$A:$A,0))*SQRT(C301)+INDEX(Cables!$AU:$AU,MATCH(B301,Cables!$A:$A,0))*C301</f>
        <v>21.516373551486289</v>
      </c>
      <c r="Q301" s="41">
        <f t="shared" si="38"/>
        <v>-1.6851526550698548E-4</v>
      </c>
      <c r="R301" s="39">
        <f t="shared" si="39"/>
        <v>2.839739470888981E-8</v>
      </c>
      <c r="S301" s="40" t="b">
        <f>IF(B301=B300,C301&gt;C300,COUNTIF(B$1:B300,B301)=0)</f>
        <v>1</v>
      </c>
      <c r="T301" s="37"/>
    </row>
    <row r="302" spans="1:20" x14ac:dyDescent="0.25">
      <c r="A302" s="37" t="s">
        <v>1026</v>
      </c>
      <c r="B302" s="37" t="s">
        <v>388</v>
      </c>
      <c r="C302" s="37">
        <v>1296</v>
      </c>
      <c r="D302" s="37">
        <v>24.84</v>
      </c>
      <c r="E302" s="37" t="s">
        <v>771</v>
      </c>
      <c r="F302" s="37">
        <v>20</v>
      </c>
      <c r="G302" s="37" t="s">
        <v>395</v>
      </c>
      <c r="H302" s="37" t="s">
        <v>867</v>
      </c>
      <c r="I302" s="38">
        <f t="shared" si="32"/>
        <v>24.84</v>
      </c>
      <c r="J302" s="38">
        <f t="shared" si="33"/>
        <v>7.1670378769122198</v>
      </c>
      <c r="K302" s="38">
        <f t="shared" si="34"/>
        <v>3.2124552570652778</v>
      </c>
      <c r="L302" s="39">
        <f t="shared" si="35"/>
        <v>4.0257648953301126E-2</v>
      </c>
      <c r="M302" s="39">
        <f t="shared" si="36"/>
        <v>1.4492753623188406</v>
      </c>
      <c r="N302" s="39">
        <f t="shared" si="37"/>
        <v>52.173913043478258</v>
      </c>
      <c r="O302" s="40">
        <f>1</f>
        <v>1</v>
      </c>
      <c r="P302" s="38">
        <f>INDEX(Cables!$AS:$AS,MATCH(B302,Cables!$A:$A,0))+INDEX(Cables!$AT:$AT,MATCH(B302,Cables!$A:$A,0))*SQRT(C302)+INDEX(Cables!$AU:$AU,MATCH(B302,Cables!$A:$A,0))*C302</f>
        <v>24.960704497387891</v>
      </c>
      <c r="Q302" s="41">
        <f t="shared" si="38"/>
        <v>4.8592792829262876E-3</v>
      </c>
      <c r="R302" s="39">
        <f t="shared" si="39"/>
        <v>2.3612595149476617E-5</v>
      </c>
      <c r="S302" s="40" t="b">
        <f>IF(B302=B301,C302&gt;C301,COUNTIF(B$1:B301,B302)=0)</f>
        <v>1</v>
      </c>
      <c r="T302" s="37"/>
    </row>
    <row r="303" spans="1:20" x14ac:dyDescent="0.25">
      <c r="A303" s="37" t="s">
        <v>1027</v>
      </c>
      <c r="B303" s="37" t="s">
        <v>388</v>
      </c>
      <c r="C303" s="37">
        <v>1500</v>
      </c>
      <c r="D303" s="37">
        <v>27.08</v>
      </c>
      <c r="E303" s="37" t="s">
        <v>771</v>
      </c>
      <c r="F303" s="37">
        <v>20</v>
      </c>
      <c r="G303" s="37" t="s">
        <v>395</v>
      </c>
      <c r="H303" s="37" t="s">
        <v>867</v>
      </c>
      <c r="I303" s="38">
        <f t="shared" si="32"/>
        <v>27.08</v>
      </c>
      <c r="J303" s="38">
        <f t="shared" si="33"/>
        <v>7.3132203870903014</v>
      </c>
      <c r="K303" s="38">
        <f t="shared" si="34"/>
        <v>3.298795448044074</v>
      </c>
      <c r="L303" s="39">
        <f t="shared" si="35"/>
        <v>3.6927621861152143E-2</v>
      </c>
      <c r="M303" s="39">
        <f t="shared" si="36"/>
        <v>1.4302006448328719</v>
      </c>
      <c r="N303" s="39">
        <f t="shared" si="37"/>
        <v>55.391432791728214</v>
      </c>
      <c r="O303" s="40">
        <f>1</f>
        <v>1</v>
      </c>
      <c r="P303" s="38">
        <f>INDEX(Cables!$AS:$AS,MATCH(B303,Cables!$A:$A,0))+INDEX(Cables!$AT:$AT,MATCH(B303,Cables!$A:$A,0))*SQRT(C303)+INDEX(Cables!$AU:$AU,MATCH(B303,Cables!$A:$A,0))*C303</f>
        <v>27.171857013355911</v>
      </c>
      <c r="Q303" s="41">
        <f t="shared" si="38"/>
        <v>3.3920610545019603E-3</v>
      </c>
      <c r="R303" s="39">
        <f t="shared" si="39"/>
        <v>1.150607819746895E-5</v>
      </c>
      <c r="S303" s="40" t="b">
        <f>IF(B303=B302,C303&gt;C302,COUNTIF(B$1:B302,B303)=0)</f>
        <v>1</v>
      </c>
      <c r="T303" s="37"/>
    </row>
    <row r="304" spans="1:20" x14ac:dyDescent="0.25">
      <c r="A304" s="37" t="s">
        <v>1028</v>
      </c>
      <c r="B304" s="37" t="s">
        <v>388</v>
      </c>
      <c r="C304" s="37">
        <v>1800</v>
      </c>
      <c r="D304" s="37">
        <v>30</v>
      </c>
      <c r="E304" s="37" t="s">
        <v>771</v>
      </c>
      <c r="F304" s="37">
        <v>20</v>
      </c>
      <c r="G304" s="37" t="s">
        <v>395</v>
      </c>
      <c r="H304" s="37" t="s">
        <v>867</v>
      </c>
      <c r="I304" s="38">
        <f t="shared" si="32"/>
        <v>30</v>
      </c>
      <c r="J304" s="38">
        <f t="shared" si="33"/>
        <v>7.4955419438842563</v>
      </c>
      <c r="K304" s="38">
        <f t="shared" si="34"/>
        <v>3.4011973816621555</v>
      </c>
      <c r="L304" s="39">
        <f t="shared" si="35"/>
        <v>3.3333333333333333E-2</v>
      </c>
      <c r="M304" s="39">
        <f t="shared" si="36"/>
        <v>1.4142135623730951</v>
      </c>
      <c r="N304" s="39">
        <f t="shared" si="37"/>
        <v>60</v>
      </c>
      <c r="O304" s="40">
        <f>1</f>
        <v>1</v>
      </c>
      <c r="P304" s="38">
        <f>INDEX(Cables!$AS:$AS,MATCH(B304,Cables!$A:$A,0))+INDEX(Cables!$AT:$AT,MATCH(B304,Cables!$A:$A,0))*SQRT(C304)+INDEX(Cables!$AU:$AU,MATCH(B304,Cables!$A:$A,0))*C304</f>
        <v>30.243342948858647</v>
      </c>
      <c r="Q304" s="41">
        <f t="shared" si="38"/>
        <v>8.1114316286214905E-3</v>
      </c>
      <c r="R304" s="39">
        <f t="shared" si="39"/>
        <v>6.5795323065801083E-5</v>
      </c>
      <c r="S304" s="40" t="b">
        <f>IF(B304=B303,C304&gt;C303,COUNTIF(B$1:B303,B304)=0)</f>
        <v>1</v>
      </c>
      <c r="T304" s="37"/>
    </row>
    <row r="305" spans="1:20" x14ac:dyDescent="0.25">
      <c r="A305" s="37" t="s">
        <v>1029</v>
      </c>
      <c r="B305" s="37" t="s">
        <v>388</v>
      </c>
      <c r="C305" s="37">
        <v>2000</v>
      </c>
      <c r="D305" s="37">
        <v>31.88</v>
      </c>
      <c r="E305" s="37" t="s">
        <v>771</v>
      </c>
      <c r="F305" s="37">
        <v>20</v>
      </c>
      <c r="G305" s="37" t="s">
        <v>395</v>
      </c>
      <c r="H305" s="37" t="s">
        <v>867</v>
      </c>
      <c r="I305" s="38">
        <f t="shared" si="32"/>
        <v>31.88</v>
      </c>
      <c r="J305" s="38">
        <f t="shared" si="33"/>
        <v>7.6009024595420822</v>
      </c>
      <c r="K305" s="38">
        <f t="shared" si="34"/>
        <v>3.4619788539220142</v>
      </c>
      <c r="L305" s="39">
        <f t="shared" si="35"/>
        <v>3.1367628607277293E-2</v>
      </c>
      <c r="M305" s="39">
        <f t="shared" si="36"/>
        <v>1.4028029971767817</v>
      </c>
      <c r="N305" s="39">
        <f t="shared" si="37"/>
        <v>62.735257214554579</v>
      </c>
      <c r="O305" s="40">
        <f>1</f>
        <v>1</v>
      </c>
      <c r="P305" s="38">
        <f>INDEX(Cables!$AS:$AS,MATCH(B305,Cables!$A:$A,0))+INDEX(Cables!$AT:$AT,MATCH(B305,Cables!$A:$A,0))*SQRT(C305)+INDEX(Cables!$AU:$AU,MATCH(B305,Cables!$A:$A,0))*C305</f>
        <v>32.194951412209306</v>
      </c>
      <c r="Q305" s="41">
        <f t="shared" si="38"/>
        <v>9.8792789275190529E-3</v>
      </c>
      <c r="R305" s="39">
        <f t="shared" si="39"/>
        <v>9.7600152127722014E-5</v>
      </c>
      <c r="S305" s="40" t="b">
        <f>IF(B305=B304,C305&gt;C304,COUNTIF(B$1:B304,B305)=0)</f>
        <v>1</v>
      </c>
      <c r="T305" s="37"/>
    </row>
    <row r="306" spans="1:20" x14ac:dyDescent="0.25">
      <c r="A306" s="37" t="s">
        <v>1030</v>
      </c>
      <c r="B306" s="37" t="s">
        <v>388</v>
      </c>
      <c r="C306" s="37">
        <v>2400</v>
      </c>
      <c r="D306" s="37">
        <v>35.6</v>
      </c>
      <c r="E306" s="37" t="s">
        <v>771</v>
      </c>
      <c r="F306" s="37">
        <v>20</v>
      </c>
      <c r="G306" s="37" t="s">
        <v>395</v>
      </c>
      <c r="H306" s="37" t="s">
        <v>867</v>
      </c>
      <c r="I306" s="38">
        <f t="shared" si="32"/>
        <v>35.6</v>
      </c>
      <c r="J306" s="38">
        <f t="shared" si="33"/>
        <v>7.7832240163360371</v>
      </c>
      <c r="K306" s="38">
        <f t="shared" si="34"/>
        <v>3.572345637857985</v>
      </c>
      <c r="L306" s="39">
        <f t="shared" si="35"/>
        <v>2.8089887640449437E-2</v>
      </c>
      <c r="M306" s="39">
        <f t="shared" si="36"/>
        <v>1.3761178330242574</v>
      </c>
      <c r="N306" s="39">
        <f t="shared" si="37"/>
        <v>67.415730337078642</v>
      </c>
      <c r="O306" s="40">
        <f>1</f>
        <v>1</v>
      </c>
      <c r="P306" s="38">
        <f>INDEX(Cables!$AS:$AS,MATCH(B306,Cables!$A:$A,0))+INDEX(Cables!$AT:$AT,MATCH(B306,Cables!$A:$A,0))*SQRT(C306)+INDEX(Cables!$AU:$AU,MATCH(B306,Cables!$A:$A,0))*C306</f>
        <v>35.915928502995534</v>
      </c>
      <c r="Q306" s="41">
        <f t="shared" si="38"/>
        <v>8.8743961515598269E-3</v>
      </c>
      <c r="R306" s="39">
        <f t="shared" si="39"/>
        <v>7.875490705481987E-5</v>
      </c>
      <c r="S306" s="40" t="b">
        <f>IF(B306=B305,C306&gt;C305,COUNTIF(B$1:B305,B306)=0)</f>
        <v>1</v>
      </c>
      <c r="T306" s="37"/>
    </row>
    <row r="307" spans="1:20" x14ac:dyDescent="0.25">
      <c r="A307" s="37" t="s">
        <v>1031</v>
      </c>
      <c r="B307" s="37" t="s">
        <v>388</v>
      </c>
      <c r="C307" s="37">
        <v>3000</v>
      </c>
      <c r="D307" s="37">
        <v>40.880000000000003</v>
      </c>
      <c r="E307" s="37" t="s">
        <v>771</v>
      </c>
      <c r="F307" s="37">
        <v>20</v>
      </c>
      <c r="G307" s="37" t="s">
        <v>395</v>
      </c>
      <c r="H307" s="37" t="s">
        <v>867</v>
      </c>
      <c r="I307" s="38">
        <f t="shared" si="32"/>
        <v>40.880000000000003</v>
      </c>
      <c r="J307" s="38">
        <f t="shared" si="33"/>
        <v>8.0063675676502459</v>
      </c>
      <c r="K307" s="38">
        <f t="shared" si="34"/>
        <v>3.7106409458954492</v>
      </c>
      <c r="L307" s="39">
        <f t="shared" si="35"/>
        <v>2.446183953033268E-2</v>
      </c>
      <c r="M307" s="39">
        <f t="shared" si="36"/>
        <v>1.3398301308834788</v>
      </c>
      <c r="N307" s="39">
        <f t="shared" si="37"/>
        <v>73.385518590998032</v>
      </c>
      <c r="O307" s="40">
        <f>1</f>
        <v>1</v>
      </c>
      <c r="P307" s="38">
        <f>INDEX(Cables!$AS:$AS,MATCH(B307,Cables!$A:$A,0))+INDEX(Cables!$AT:$AT,MATCH(B307,Cables!$A:$A,0))*SQRT(C307)+INDEX(Cables!$AU:$AU,MATCH(B307,Cables!$A:$A,0))*C307</f>
        <v>41.145810222621094</v>
      </c>
      <c r="Q307" s="41">
        <f t="shared" si="38"/>
        <v>6.5022070112792374E-3</v>
      </c>
      <c r="R307" s="39">
        <f t="shared" si="39"/>
        <v>4.2278696017528874E-5</v>
      </c>
      <c r="S307" s="40" t="b">
        <f>IF(B307=B306,C307&gt;C306,COUNTIF(B$1:B306,B307)=0)</f>
        <v>1</v>
      </c>
      <c r="T307" s="37"/>
    </row>
    <row r="308" spans="1:20" x14ac:dyDescent="0.25">
      <c r="A308" s="37" t="s">
        <v>1032</v>
      </c>
      <c r="B308" s="37" t="s">
        <v>388</v>
      </c>
      <c r="C308" s="37">
        <v>4000</v>
      </c>
      <c r="D308" s="37">
        <v>49.12</v>
      </c>
      <c r="E308" s="37" t="s">
        <v>771</v>
      </c>
      <c r="F308" s="37">
        <v>20</v>
      </c>
      <c r="G308" s="37" t="s">
        <v>395</v>
      </c>
      <c r="H308" s="37" t="s">
        <v>867</v>
      </c>
      <c r="I308" s="38">
        <f t="shared" si="32"/>
        <v>49.12</v>
      </c>
      <c r="J308" s="38">
        <f t="shared" si="33"/>
        <v>8.2940496401020276</v>
      </c>
      <c r="K308" s="38">
        <f t="shared" si="34"/>
        <v>3.8942662838388871</v>
      </c>
      <c r="L308" s="39">
        <f t="shared" si="35"/>
        <v>2.0358306188925084E-2</v>
      </c>
      <c r="M308" s="39">
        <f t="shared" si="36"/>
        <v>1.2875723372021088</v>
      </c>
      <c r="N308" s="39">
        <f t="shared" si="37"/>
        <v>81.433224755700337</v>
      </c>
      <c r="O308" s="40">
        <f>1</f>
        <v>1</v>
      </c>
      <c r="P308" s="38">
        <f>INDEX(Cables!$AS:$AS,MATCH(B308,Cables!$A:$A,0))+INDEX(Cables!$AT:$AT,MATCH(B308,Cables!$A:$A,0))*SQRT(C308)+INDEX(Cables!$AU:$AU,MATCH(B308,Cables!$A:$A,0))*C308</f>
        <v>49.202335843418901</v>
      </c>
      <c r="Q308" s="41">
        <f t="shared" si="38"/>
        <v>1.6762183106453499E-3</v>
      </c>
      <c r="R308" s="39">
        <f t="shared" si="39"/>
        <v>2.8097078249427506E-6</v>
      </c>
      <c r="S308" s="40" t="b">
        <f>IF(B308=B307,C308&gt;C307,COUNTIF(B$1:B307,B308)=0)</f>
        <v>1</v>
      </c>
      <c r="T308" s="37"/>
    </row>
    <row r="309" spans="1:20" x14ac:dyDescent="0.25">
      <c r="A309" s="37" t="s">
        <v>1033</v>
      </c>
      <c r="B309" s="37" t="s">
        <v>388</v>
      </c>
      <c r="C309" s="37">
        <v>5000</v>
      </c>
      <c r="D309" s="37">
        <v>57.04</v>
      </c>
      <c r="E309" s="37" t="s">
        <v>771</v>
      </c>
      <c r="F309" s="37">
        <v>20</v>
      </c>
      <c r="G309" s="37" t="s">
        <v>395</v>
      </c>
      <c r="H309" s="37" t="s">
        <v>867</v>
      </c>
      <c r="I309" s="38">
        <f t="shared" si="32"/>
        <v>57.04</v>
      </c>
      <c r="J309" s="38">
        <f t="shared" si="33"/>
        <v>8.5171931914162382</v>
      </c>
      <c r="K309" s="38">
        <f t="shared" si="34"/>
        <v>4.0437527761060403</v>
      </c>
      <c r="L309" s="39">
        <f t="shared" si="35"/>
        <v>1.7531556802244039E-2</v>
      </c>
      <c r="M309" s="39">
        <f t="shared" si="36"/>
        <v>1.2396682699623904</v>
      </c>
      <c r="N309" s="39">
        <f t="shared" si="37"/>
        <v>87.657784011220201</v>
      </c>
      <c r="O309" s="40">
        <f>1</f>
        <v>1</v>
      </c>
      <c r="P309" s="38">
        <f>INDEX(Cables!$AS:$AS,MATCH(B309,Cables!$A:$A,0))+INDEX(Cables!$AT:$AT,MATCH(B309,Cables!$A:$A,0))*SQRT(C309)+INDEX(Cables!$AU:$AU,MATCH(B309,Cables!$A:$A,0))*C309</f>
        <v>56.687333271428528</v>
      </c>
      <c r="Q309" s="41">
        <f t="shared" si="38"/>
        <v>-6.1827967842122966E-3</v>
      </c>
      <c r="R309" s="39">
        <f t="shared" si="39"/>
        <v>3.8226976074865914E-5</v>
      </c>
      <c r="S309" s="40" t="b">
        <f>IF(B309=B308,C309&gt;C308,COUNTIF(B$1:B308,B309)=0)</f>
        <v>1</v>
      </c>
      <c r="T309" s="37"/>
    </row>
    <row r="310" spans="1:20" x14ac:dyDescent="0.25">
      <c r="A310" s="37" t="s">
        <v>1034</v>
      </c>
      <c r="B310" s="37" t="s">
        <v>388</v>
      </c>
      <c r="C310" s="37">
        <v>6000</v>
      </c>
      <c r="D310" s="37">
        <v>64.900000000000006</v>
      </c>
      <c r="E310" s="37" t="s">
        <v>771</v>
      </c>
      <c r="F310" s="37">
        <v>20</v>
      </c>
      <c r="G310" s="37" t="s">
        <v>395</v>
      </c>
      <c r="H310" s="37" t="s">
        <v>867</v>
      </c>
      <c r="I310" s="38">
        <f t="shared" si="32"/>
        <v>64.900000000000006</v>
      </c>
      <c r="J310" s="38">
        <f t="shared" si="33"/>
        <v>8.6995147482101913</v>
      </c>
      <c r="K310" s="38">
        <f t="shared" si="34"/>
        <v>4.1728476237100445</v>
      </c>
      <c r="L310" s="39">
        <f t="shared" si="35"/>
        <v>1.5408320493066254E-2</v>
      </c>
      <c r="M310" s="39">
        <f t="shared" si="36"/>
        <v>1.1935233732534412</v>
      </c>
      <c r="N310" s="39">
        <f t="shared" si="37"/>
        <v>92.449922958397522</v>
      </c>
      <c r="O310" s="40">
        <f>1</f>
        <v>1</v>
      </c>
      <c r="P310" s="38">
        <f>INDEX(Cables!$AS:$AS,MATCH(B310,Cables!$A:$A,0))+INDEX(Cables!$AT:$AT,MATCH(B310,Cables!$A:$A,0))*SQRT(C310)+INDEX(Cables!$AU:$AU,MATCH(B310,Cables!$A:$A,0))*C310</f>
        <v>63.766356561707994</v>
      </c>
      <c r="Q310" s="41">
        <f t="shared" si="38"/>
        <v>-1.7467541422064858E-2</v>
      </c>
      <c r="R310" s="39">
        <f t="shared" si="39"/>
        <v>3.0511500333155162E-4</v>
      </c>
      <c r="S310" s="40" t="b">
        <f>IF(B310=B309,C310&gt;C309,COUNTIF(B$1:B309,B310)=0)</f>
        <v>1</v>
      </c>
      <c r="T310" s="37"/>
    </row>
    <row r="311" spans="1:20" x14ac:dyDescent="0.25">
      <c r="A311" s="37" t="s">
        <v>1035</v>
      </c>
      <c r="B311" s="37" t="s">
        <v>397</v>
      </c>
      <c r="C311" s="37">
        <v>30</v>
      </c>
      <c r="D311" s="37">
        <v>1.1000000000000001</v>
      </c>
      <c r="E311" s="37" t="s">
        <v>707</v>
      </c>
      <c r="F311" s="37">
        <v>25</v>
      </c>
      <c r="G311" s="37" t="s">
        <v>207</v>
      </c>
      <c r="H311" s="37" t="s">
        <v>1036</v>
      </c>
      <c r="I311" s="38">
        <f t="shared" si="32"/>
        <v>3.6089238845144362</v>
      </c>
      <c r="J311" s="38">
        <f t="shared" si="33"/>
        <v>3.4011973816621555</v>
      </c>
      <c r="K311" s="38">
        <f t="shared" si="34"/>
        <v>1.2834096349739708</v>
      </c>
      <c r="L311" s="39">
        <f t="shared" si="35"/>
        <v>0.27709090909090905</v>
      </c>
      <c r="M311" s="39">
        <f t="shared" si="36"/>
        <v>1.5176894138870418</v>
      </c>
      <c r="N311" s="39">
        <f t="shared" si="37"/>
        <v>8.3127272727272707</v>
      </c>
      <c r="O311" s="40">
        <f>1</f>
        <v>1</v>
      </c>
      <c r="P311" s="38">
        <f>INDEX(Cables!$AS:$AS,MATCH(B311,Cables!$A:$A,0))+INDEX(Cables!$AT:$AT,MATCH(B311,Cables!$A:$A,0))*SQRT(C311)+INDEX(Cables!$AU:$AU,MATCH(B311,Cables!$A:$A,0))*C311</f>
        <v>3.6112920601340899</v>
      </c>
      <c r="Q311" s="41">
        <f t="shared" si="38"/>
        <v>6.5619993533672094E-4</v>
      </c>
      <c r="R311" s="39">
        <f t="shared" si="39"/>
        <v>4.3059835513591673E-7</v>
      </c>
      <c r="S311" s="40" t="b">
        <f>IF(B311=B310,C311&gt;C310,COUNTIF(B$1:B310,B311)=0)</f>
        <v>1</v>
      </c>
      <c r="T311" s="37"/>
    </row>
    <row r="312" spans="1:20" x14ac:dyDescent="0.25">
      <c r="A312" s="37" t="s">
        <v>1037</v>
      </c>
      <c r="B312" s="37" t="s">
        <v>397</v>
      </c>
      <c r="C312" s="37">
        <v>50</v>
      </c>
      <c r="D312" s="37">
        <v>1.4</v>
      </c>
      <c r="E312" s="37" t="s">
        <v>707</v>
      </c>
      <c r="F312" s="37">
        <v>25</v>
      </c>
      <c r="G312" s="37" t="s">
        <v>207</v>
      </c>
      <c r="H312" s="37" t="s">
        <v>1036</v>
      </c>
      <c r="I312" s="38">
        <f t="shared" si="32"/>
        <v>4.5931758530183728</v>
      </c>
      <c r="J312" s="38">
        <f t="shared" si="33"/>
        <v>3.912023005428146</v>
      </c>
      <c r="K312" s="38">
        <f t="shared" si="34"/>
        <v>1.5245716917908587</v>
      </c>
      <c r="L312" s="39">
        <f t="shared" si="35"/>
        <v>0.21771428571428572</v>
      </c>
      <c r="M312" s="39">
        <f t="shared" si="36"/>
        <v>1.5394724778975692</v>
      </c>
      <c r="N312" s="39">
        <f t="shared" si="37"/>
        <v>10.885714285714286</v>
      </c>
      <c r="O312" s="40">
        <f>1</f>
        <v>1</v>
      </c>
      <c r="P312" s="38">
        <f>INDEX(Cables!$AS:$AS,MATCH(B312,Cables!$A:$A,0))+INDEX(Cables!$AT:$AT,MATCH(B312,Cables!$A:$A,0))*SQRT(C312)+INDEX(Cables!$AU:$AU,MATCH(B312,Cables!$A:$A,0))*C312</f>
        <v>4.5955708541579465</v>
      </c>
      <c r="Q312" s="41">
        <f t="shared" si="38"/>
        <v>5.2142596238713423E-4</v>
      </c>
      <c r="R312" s="39">
        <f t="shared" si="39"/>
        <v>2.7188503425134911E-7</v>
      </c>
      <c r="S312" s="40" t="b">
        <f>IF(B312=B311,C312&gt;C311,COUNTIF(B$1:B311,B312)=0)</f>
        <v>1</v>
      </c>
      <c r="T312" s="37"/>
    </row>
    <row r="313" spans="1:20" x14ac:dyDescent="0.25">
      <c r="A313" s="37" t="s">
        <v>1038</v>
      </c>
      <c r="B313" s="37" t="s">
        <v>397</v>
      </c>
      <c r="C313" s="37">
        <v>150</v>
      </c>
      <c r="D313" s="37">
        <v>2.4</v>
      </c>
      <c r="E313" s="37" t="s">
        <v>707</v>
      </c>
      <c r="F313" s="37">
        <v>25</v>
      </c>
      <c r="G313" s="37" t="s">
        <v>207</v>
      </c>
      <c r="H313" s="37" t="s">
        <v>1036</v>
      </c>
      <c r="I313" s="38">
        <f t="shared" si="32"/>
        <v>7.8740157480314963</v>
      </c>
      <c r="J313" s="38">
        <f t="shared" si="33"/>
        <v>5.0106352940962555</v>
      </c>
      <c r="K313" s="38">
        <f t="shared" si="34"/>
        <v>2.0635681925235456</v>
      </c>
      <c r="L313" s="39">
        <f t="shared" si="35"/>
        <v>0.127</v>
      </c>
      <c r="M313" s="39">
        <f t="shared" si="36"/>
        <v>1.5554259866673181</v>
      </c>
      <c r="N313" s="39">
        <f t="shared" si="37"/>
        <v>19.05</v>
      </c>
      <c r="O313" s="40">
        <f>1</f>
        <v>1</v>
      </c>
      <c r="P313" s="38">
        <f>INDEX(Cables!$AS:$AS,MATCH(B313,Cables!$A:$A,0))+INDEX(Cables!$AT:$AT,MATCH(B313,Cables!$A:$A,0))*SQRT(C313)+INDEX(Cables!$AU:$AU,MATCH(B313,Cables!$A:$A,0))*C313</f>
        <v>7.8481312717572012</v>
      </c>
      <c r="Q313" s="41">
        <f t="shared" si="38"/>
        <v>-3.2873284868354391E-3</v>
      </c>
      <c r="R313" s="39">
        <f t="shared" si="39"/>
        <v>1.0806528580359778E-5</v>
      </c>
      <c r="S313" s="40" t="b">
        <f>IF(B313=B312,C313&gt;C312,COUNTIF(B$1:B312,B313)=0)</f>
        <v>1</v>
      </c>
      <c r="T313" s="37"/>
    </row>
    <row r="314" spans="1:20" x14ac:dyDescent="0.25">
      <c r="A314" s="37" t="s">
        <v>1039</v>
      </c>
      <c r="B314" s="37" t="s">
        <v>397</v>
      </c>
      <c r="C314" s="37">
        <v>220</v>
      </c>
      <c r="D314" s="37">
        <v>2.9</v>
      </c>
      <c r="E314" s="37" t="s">
        <v>707</v>
      </c>
      <c r="F314" s="37">
        <v>25</v>
      </c>
      <c r="G314" s="37" t="s">
        <v>207</v>
      </c>
      <c r="H314" s="37" t="s">
        <v>1036</v>
      </c>
      <c r="I314" s="38">
        <f t="shared" si="32"/>
        <v>9.514435695538058</v>
      </c>
      <c r="J314" s="38">
        <f t="shared" si="33"/>
        <v>5.393627546352362</v>
      </c>
      <c r="K314" s="38">
        <f t="shared" si="34"/>
        <v>2.252810192162074</v>
      </c>
      <c r="L314" s="39">
        <f t="shared" si="35"/>
        <v>0.10510344827586207</v>
      </c>
      <c r="M314" s="39">
        <f t="shared" si="36"/>
        <v>1.558936068183971</v>
      </c>
      <c r="N314" s="39">
        <f t="shared" si="37"/>
        <v>23.122758620689655</v>
      </c>
      <c r="O314" s="40">
        <f>1</f>
        <v>1</v>
      </c>
      <c r="P314" s="38">
        <f>INDEX(Cables!$AS:$AS,MATCH(B314,Cables!$A:$A,0))+INDEX(Cables!$AT:$AT,MATCH(B314,Cables!$A:$A,0))*SQRT(C314)+INDEX(Cables!$AU:$AU,MATCH(B314,Cables!$A:$A,0))*C314</f>
        <v>9.5043651599880086</v>
      </c>
      <c r="Q314" s="41">
        <f t="shared" si="38"/>
        <v>-1.0584480122948214E-3</v>
      </c>
      <c r="R314" s="39">
        <f t="shared" si="39"/>
        <v>1.1203121947308584E-6</v>
      </c>
      <c r="S314" s="40" t="b">
        <f>IF(B314=B313,C314&gt;C313,COUNTIF(B$1:B313,B314)=0)</f>
        <v>1</v>
      </c>
      <c r="T314" s="37"/>
    </row>
    <row r="315" spans="1:20" x14ac:dyDescent="0.25">
      <c r="A315" s="37" t="s">
        <v>1040</v>
      </c>
      <c r="B315" s="37" t="s">
        <v>397</v>
      </c>
      <c r="C315" s="37">
        <v>450</v>
      </c>
      <c r="D315" s="37">
        <v>4.2</v>
      </c>
      <c r="E315" s="37" t="s">
        <v>707</v>
      </c>
      <c r="F315" s="37">
        <v>25</v>
      </c>
      <c r="G315" s="37" t="s">
        <v>207</v>
      </c>
      <c r="H315" s="37" t="s">
        <v>1036</v>
      </c>
      <c r="I315" s="38">
        <f t="shared" si="32"/>
        <v>13.779527559055119</v>
      </c>
      <c r="J315" s="38">
        <f t="shared" si="33"/>
        <v>6.1092475827643655</v>
      </c>
      <c r="K315" s="38">
        <f t="shared" si="34"/>
        <v>2.6231839804589683</v>
      </c>
      <c r="L315" s="39">
        <f t="shared" si="35"/>
        <v>7.2571428571428565E-2</v>
      </c>
      <c r="M315" s="39">
        <f t="shared" si="36"/>
        <v>1.5394724778975692</v>
      </c>
      <c r="N315" s="39">
        <f t="shared" si="37"/>
        <v>32.657142857142858</v>
      </c>
      <c r="O315" s="40">
        <f>1</f>
        <v>1</v>
      </c>
      <c r="P315" s="38">
        <f>INDEX(Cables!$AS:$AS,MATCH(B315,Cables!$A:$A,0))+INDEX(Cables!$AT:$AT,MATCH(B315,Cables!$A:$A,0))*SQRT(C315)+INDEX(Cables!$AU:$AU,MATCH(B315,Cables!$A:$A,0))*C315</f>
        <v>13.683912165191012</v>
      </c>
      <c r="Q315" s="41">
        <f t="shared" si="38"/>
        <v>-6.9389457261379572E-3</v>
      </c>
      <c r="R315" s="39">
        <f t="shared" si="39"/>
        <v>4.8148967790288224E-5</v>
      </c>
      <c r="S315" s="40" t="b">
        <f>IF(B315=B314,C315&gt;C314,COUNTIF(B$1:B314,B315)=0)</f>
        <v>1</v>
      </c>
      <c r="T315" s="37"/>
    </row>
    <row r="316" spans="1:20" x14ac:dyDescent="0.25">
      <c r="A316" s="37" t="s">
        <v>1041</v>
      </c>
      <c r="B316" s="37" t="s">
        <v>397</v>
      </c>
      <c r="C316" s="37">
        <v>700</v>
      </c>
      <c r="D316" s="37">
        <v>5.0999999999999996</v>
      </c>
      <c r="E316" s="37" t="s">
        <v>707</v>
      </c>
      <c r="F316" s="37">
        <v>25</v>
      </c>
      <c r="G316" s="37" t="s">
        <v>207</v>
      </c>
      <c r="H316" s="37" t="s">
        <v>1036</v>
      </c>
      <c r="I316" s="38">
        <f t="shared" si="32"/>
        <v>16.732283464566926</v>
      </c>
      <c r="J316" s="38">
        <f t="shared" si="33"/>
        <v>6.5510803350434044</v>
      </c>
      <c r="K316" s="38">
        <f t="shared" si="34"/>
        <v>2.8173399948999256</v>
      </c>
      <c r="L316" s="39">
        <f t="shared" si="35"/>
        <v>5.9764705882352949E-2</v>
      </c>
      <c r="M316" s="39">
        <f t="shared" si="36"/>
        <v>1.5812254894362496</v>
      </c>
      <c r="N316" s="39">
        <f t="shared" si="37"/>
        <v>41.835294117647067</v>
      </c>
      <c r="O316" s="40">
        <f>1</f>
        <v>1</v>
      </c>
      <c r="P316" s="38">
        <f>INDEX(Cables!$AS:$AS,MATCH(B316,Cables!$A:$A,0))+INDEX(Cables!$AT:$AT,MATCH(B316,Cables!$A:$A,0))*SQRT(C316)+INDEX(Cables!$AU:$AU,MATCH(B316,Cables!$A:$A,0))*C316</f>
        <v>17.216245567276399</v>
      </c>
      <c r="Q316" s="41">
        <f t="shared" si="38"/>
        <v>2.8923852726636667E-2</v>
      </c>
      <c r="R316" s="39">
        <f t="shared" si="39"/>
        <v>8.3658925655216742E-4</v>
      </c>
      <c r="S316" s="40" t="b">
        <f>IF(B316=B315,C316&gt;C315,COUNTIF(B$1:B315,B316)=0)</f>
        <v>1</v>
      </c>
      <c r="T316" s="37"/>
    </row>
    <row r="317" spans="1:20" x14ac:dyDescent="0.25">
      <c r="A317" s="37" t="s">
        <v>1042</v>
      </c>
      <c r="B317" s="37" t="s">
        <v>397</v>
      </c>
      <c r="C317" s="37">
        <v>900</v>
      </c>
      <c r="D317" s="37">
        <v>6.1</v>
      </c>
      <c r="E317" s="37" t="s">
        <v>707</v>
      </c>
      <c r="F317" s="37">
        <v>25</v>
      </c>
      <c r="G317" s="37" t="s">
        <v>207</v>
      </c>
      <c r="H317" s="37" t="s">
        <v>1036</v>
      </c>
      <c r="I317" s="38">
        <f t="shared" si="32"/>
        <v>20.013123359580053</v>
      </c>
      <c r="J317" s="38">
        <f t="shared" si="33"/>
        <v>6.8023947633243109</v>
      </c>
      <c r="K317" s="38">
        <f t="shared" si="34"/>
        <v>2.9963882263489112</v>
      </c>
      <c r="L317" s="39">
        <f t="shared" si="35"/>
        <v>4.9967213114754098E-2</v>
      </c>
      <c r="M317" s="39">
        <f t="shared" si="36"/>
        <v>1.4990163934426228</v>
      </c>
      <c r="N317" s="39">
        <f t="shared" si="37"/>
        <v>44.970491803278691</v>
      </c>
      <c r="O317" s="40">
        <f>1</f>
        <v>1</v>
      </c>
      <c r="P317" s="38">
        <f>INDEX(Cables!$AS:$AS,MATCH(B317,Cables!$A:$A,0))+INDEX(Cables!$AT:$AT,MATCH(B317,Cables!$A:$A,0))*SQRT(C317)+INDEX(Cables!$AU:$AU,MATCH(B317,Cables!$A:$A,0))*C317</f>
        <v>19.651940718863361</v>
      </c>
      <c r="Q317" s="41">
        <f t="shared" si="38"/>
        <v>-1.8047289982040637E-2</v>
      </c>
      <c r="R317" s="39">
        <f t="shared" si="39"/>
        <v>3.2570467569586434E-4</v>
      </c>
      <c r="S317" s="40" t="b">
        <f>IF(B317=B316,C317&gt;C316,COUNTIF(B$1:B316,B317)=0)</f>
        <v>1</v>
      </c>
      <c r="T317" s="37"/>
    </row>
    <row r="318" spans="1:20" x14ac:dyDescent="0.25">
      <c r="A318" s="37" t="s">
        <v>1043</v>
      </c>
      <c r="B318" s="37" t="s">
        <v>397</v>
      </c>
      <c r="C318" s="37">
        <v>1500</v>
      </c>
      <c r="D318" s="37">
        <v>7.9</v>
      </c>
      <c r="E318" s="37" t="s">
        <v>707</v>
      </c>
      <c r="F318" s="37">
        <v>25</v>
      </c>
      <c r="G318" s="37" t="s">
        <v>207</v>
      </c>
      <c r="H318" s="37" t="s">
        <v>1036</v>
      </c>
      <c r="I318" s="38">
        <f t="shared" si="32"/>
        <v>25.918635170603675</v>
      </c>
      <c r="J318" s="38">
        <f t="shared" si="33"/>
        <v>7.3132203870903014</v>
      </c>
      <c r="K318" s="38">
        <f t="shared" si="34"/>
        <v>3.2549622146426218</v>
      </c>
      <c r="L318" s="39">
        <f t="shared" si="35"/>
        <v>3.8582278481012658E-2</v>
      </c>
      <c r="M318" s="39">
        <f t="shared" si="36"/>
        <v>1.4942852201569881</v>
      </c>
      <c r="N318" s="39">
        <f t="shared" si="37"/>
        <v>57.873417721518983</v>
      </c>
      <c r="O318" s="40">
        <f>1</f>
        <v>1</v>
      </c>
      <c r="P318" s="38">
        <f>INDEX(Cables!$AS:$AS,MATCH(B318,Cables!$A:$A,0))+INDEX(Cables!$AT:$AT,MATCH(B318,Cables!$A:$A,0))*SQRT(C318)+INDEX(Cables!$AU:$AU,MATCH(B318,Cables!$A:$A,0))*C318</f>
        <v>25.825114108892976</v>
      </c>
      <c r="Q318" s="41">
        <f t="shared" si="38"/>
        <v>-3.6082556467621485E-3</v>
      </c>
      <c r="R318" s="39">
        <f t="shared" si="39"/>
        <v>1.3019508812390931E-5</v>
      </c>
      <c r="S318" s="40" t="b">
        <f>IF(B318=B317,C318&gt;C317,COUNTIF(B$1:B317,B318)=0)</f>
        <v>1</v>
      </c>
      <c r="T318" s="37"/>
    </row>
    <row r="319" spans="1:20" x14ac:dyDescent="0.25">
      <c r="A319" s="37" t="s">
        <v>1044</v>
      </c>
      <c r="B319" s="37" t="s">
        <v>397</v>
      </c>
      <c r="C319" s="37">
        <v>2000</v>
      </c>
      <c r="D319" s="37">
        <v>9.1999999999999993</v>
      </c>
      <c r="E319" s="37" t="s">
        <v>707</v>
      </c>
      <c r="F319" s="37">
        <v>25</v>
      </c>
      <c r="G319" s="37" t="s">
        <v>207</v>
      </c>
      <c r="H319" s="37" t="s">
        <v>1036</v>
      </c>
      <c r="I319" s="38">
        <f t="shared" si="32"/>
        <v>30.183727034120732</v>
      </c>
      <c r="J319" s="38">
        <f t="shared" si="33"/>
        <v>7.6009024595420822</v>
      </c>
      <c r="K319" s="38">
        <f t="shared" si="34"/>
        <v>3.4073029392246403</v>
      </c>
      <c r="L319" s="39">
        <f t="shared" si="35"/>
        <v>3.31304347826087E-2</v>
      </c>
      <c r="M319" s="39">
        <f t="shared" si="36"/>
        <v>1.4816380859607303</v>
      </c>
      <c r="N319" s="39">
        <f t="shared" si="37"/>
        <v>66.260869565217391</v>
      </c>
      <c r="O319" s="40">
        <f>1</f>
        <v>1</v>
      </c>
      <c r="P319" s="38">
        <f>INDEX(Cables!$AS:$AS,MATCH(B319,Cables!$A:$A,0))+INDEX(Cables!$AT:$AT,MATCH(B319,Cables!$A:$A,0))*SQRT(C319)+INDEX(Cables!$AU:$AU,MATCH(B319,Cables!$A:$A,0))*C319</f>
        <v>30.202578553130614</v>
      </c>
      <c r="Q319" s="41">
        <f t="shared" si="38"/>
        <v>6.2455902111002715E-4</v>
      </c>
      <c r="R319" s="39">
        <f t="shared" si="39"/>
        <v>3.9007397084991535E-7</v>
      </c>
      <c r="S319" s="40" t="b">
        <f>IF(B319=B318,C319&gt;C318,COUNTIF(B$1:B318,B319)=0)</f>
        <v>1</v>
      </c>
      <c r="T319" s="37"/>
    </row>
    <row r="320" spans="1:20" x14ac:dyDescent="0.25">
      <c r="A320" s="37" t="s">
        <v>1045</v>
      </c>
      <c r="B320" s="37" t="s">
        <v>397</v>
      </c>
      <c r="C320" s="37">
        <v>2500</v>
      </c>
      <c r="D320" s="37">
        <v>10.4</v>
      </c>
      <c r="E320" s="37" t="s">
        <v>707</v>
      </c>
      <c r="F320" s="37">
        <v>25</v>
      </c>
      <c r="G320" s="37" t="s">
        <v>207</v>
      </c>
      <c r="H320" s="37" t="s">
        <v>1036</v>
      </c>
      <c r="I320" s="38">
        <f t="shared" si="32"/>
        <v>34.120734908136484</v>
      </c>
      <c r="J320" s="38">
        <f t="shared" si="33"/>
        <v>7.8240460108562919</v>
      </c>
      <c r="K320" s="38">
        <f t="shared" si="34"/>
        <v>3.5299052613169728</v>
      </c>
      <c r="L320" s="39">
        <f t="shared" si="35"/>
        <v>2.9307692307692305E-2</v>
      </c>
      <c r="M320" s="39">
        <f t="shared" si="36"/>
        <v>1.4653846153846153</v>
      </c>
      <c r="N320" s="39">
        <f t="shared" si="37"/>
        <v>73.269230769230774</v>
      </c>
      <c r="O320" s="40">
        <f>1</f>
        <v>1</v>
      </c>
      <c r="P320" s="38">
        <f>INDEX(Cables!$AS:$AS,MATCH(B320,Cables!$A:$A,0))+INDEX(Cables!$AT:$AT,MATCH(B320,Cables!$A:$A,0))*SQRT(C320)+INDEX(Cables!$AU:$AU,MATCH(B320,Cables!$A:$A,0))*C320</f>
        <v>34.154063846638657</v>
      </c>
      <c r="Q320" s="41">
        <f t="shared" si="38"/>
        <v>9.7679427456376366E-4</v>
      </c>
      <c r="R320" s="39">
        <f t="shared" si="39"/>
        <v>9.5412705482054939E-7</v>
      </c>
      <c r="S320" s="40" t="b">
        <f>IF(B320=B319,C320&gt;C319,COUNTIF(B$1:B319,B320)=0)</f>
        <v>1</v>
      </c>
      <c r="T320" s="37"/>
    </row>
    <row r="321" spans="1:20" x14ac:dyDescent="0.25">
      <c r="A321" s="37" t="s">
        <v>1046</v>
      </c>
      <c r="B321" s="37" t="s">
        <v>401</v>
      </c>
      <c r="C321" s="37">
        <v>0.5</v>
      </c>
      <c r="D321" s="37">
        <v>0.40699999999999997</v>
      </c>
      <c r="E321" s="37" t="s">
        <v>771</v>
      </c>
      <c r="F321" s="37">
        <v>20</v>
      </c>
      <c r="G321" s="37" t="s">
        <v>410</v>
      </c>
      <c r="H321" s="37" t="s">
        <v>1047</v>
      </c>
      <c r="I321" s="38">
        <f t="shared" si="32"/>
        <v>0.40699999999999997</v>
      </c>
      <c r="J321" s="38">
        <f t="shared" si="33"/>
        <v>-0.69314718055994529</v>
      </c>
      <c r="K321" s="38">
        <f t="shared" si="34"/>
        <v>-0.89894209353954213</v>
      </c>
      <c r="L321" s="39">
        <f t="shared" si="35"/>
        <v>2.4570024570024573</v>
      </c>
      <c r="M321" s="39">
        <f t="shared" si="36"/>
        <v>1.7373630987384463</v>
      </c>
      <c r="N321" s="39">
        <f t="shared" si="37"/>
        <v>1.2285012285012287</v>
      </c>
      <c r="O321" s="40">
        <f>1</f>
        <v>1</v>
      </c>
      <c r="P321" s="38">
        <f>INDEX(Cables!$AS:$AS,MATCH(B321,Cables!$A:$A,0))+INDEX(Cables!$AT:$AT,MATCH(B321,Cables!$A:$A,0))*SQRT(C321)+INDEX(Cables!$AU:$AU,MATCH(B321,Cables!$A:$A,0))*C321</f>
        <v>0.40735739053227182</v>
      </c>
      <c r="Q321" s="41">
        <f t="shared" si="38"/>
        <v>8.7810941590138469E-4</v>
      </c>
      <c r="R321" s="39">
        <f t="shared" si="39"/>
        <v>7.71076146294671E-7</v>
      </c>
      <c r="S321" s="40" t="b">
        <f>IF(B321=B320,C321&gt;C320,COUNTIF(B$1:B320,B321)=0)</f>
        <v>1</v>
      </c>
      <c r="T321" s="37"/>
    </row>
    <row r="322" spans="1:20" x14ac:dyDescent="0.25">
      <c r="A322" s="37" t="s">
        <v>1048</v>
      </c>
      <c r="B322" s="37" t="s">
        <v>401</v>
      </c>
      <c r="C322" s="37">
        <v>1</v>
      </c>
      <c r="D322" s="37">
        <v>0.57699999999999996</v>
      </c>
      <c r="E322" s="37" t="s">
        <v>771</v>
      </c>
      <c r="F322" s="37">
        <v>20</v>
      </c>
      <c r="G322" s="37" t="s">
        <v>410</v>
      </c>
      <c r="H322" s="37" t="s">
        <v>1047</v>
      </c>
      <c r="I322" s="38">
        <f t="shared" ref="I322:I385" si="40">IF(E322="dB/100ft",D322*100/30.48,D322)</f>
        <v>0.57699999999999996</v>
      </c>
      <c r="J322" s="38">
        <f t="shared" ref="J322:J385" si="41">LN(C322)</f>
        <v>0</v>
      </c>
      <c r="K322" s="38">
        <f t="shared" ref="K322:K385" si="42">LN(I322)</f>
        <v>-0.54991301247403757</v>
      </c>
      <c r="L322" s="39">
        <f t="shared" ref="L322:L385" si="43">1/I322</f>
        <v>1.733102253032929</v>
      </c>
      <c r="M322" s="39">
        <f t="shared" ref="M322:M385" si="44">SQRT(C322)/I322</f>
        <v>1.733102253032929</v>
      </c>
      <c r="N322" s="39">
        <f t="shared" ref="N322:N385" si="45">C322/I322</f>
        <v>1.733102253032929</v>
      </c>
      <c r="O322" s="40">
        <f>1</f>
        <v>1</v>
      </c>
      <c r="P322" s="38">
        <f>INDEX(Cables!$AS:$AS,MATCH(B322,Cables!$A:$A,0))+INDEX(Cables!$AT:$AT,MATCH(B322,Cables!$A:$A,0))*SQRT(C322)+INDEX(Cables!$AU:$AU,MATCH(B322,Cables!$A:$A,0))*C322</f>
        <v>0.57653370889033773</v>
      </c>
      <c r="Q322" s="41">
        <f t="shared" ref="Q322:Q385" si="46">P322/I322-1</f>
        <v>-8.0813017272485244E-4</v>
      </c>
      <c r="R322" s="39">
        <f t="shared" ref="R322:R385" si="47">Q322^2</f>
        <v>6.5307437606829982E-7</v>
      </c>
      <c r="S322" s="40" t="b">
        <f>IF(B322=B321,C322&gt;C321,COUNTIF(B$1:B321,B322)=0)</f>
        <v>1</v>
      </c>
      <c r="T322" s="37"/>
    </row>
    <row r="323" spans="1:20" x14ac:dyDescent="0.25">
      <c r="A323" s="37" t="s">
        <v>1049</v>
      </c>
      <c r="B323" s="37" t="s">
        <v>401</v>
      </c>
      <c r="C323" s="37">
        <v>1.5</v>
      </c>
      <c r="D323" s="37">
        <v>0.70699999999999996</v>
      </c>
      <c r="E323" s="37" t="s">
        <v>771</v>
      </c>
      <c r="F323" s="37">
        <v>20</v>
      </c>
      <c r="G323" s="37" t="s">
        <v>410</v>
      </c>
      <c r="H323" s="37" t="s">
        <v>1047</v>
      </c>
      <c r="I323" s="38">
        <f t="shared" si="40"/>
        <v>0.70699999999999996</v>
      </c>
      <c r="J323" s="38">
        <f t="shared" si="41"/>
        <v>0.40546510810816438</v>
      </c>
      <c r="K323" s="38">
        <f t="shared" si="42"/>
        <v>-0.34672461308556435</v>
      </c>
      <c r="L323" s="39">
        <f t="shared" si="43"/>
        <v>1.4144271570014144</v>
      </c>
      <c r="M323" s="39">
        <f t="shared" si="44"/>
        <v>1.7323124064944682</v>
      </c>
      <c r="N323" s="39">
        <f t="shared" si="45"/>
        <v>2.1216407355021216</v>
      </c>
      <c r="O323" s="40">
        <f>1</f>
        <v>1</v>
      </c>
      <c r="P323" s="38">
        <f>INDEX(Cables!$AS:$AS,MATCH(B323,Cables!$A:$A,0))+INDEX(Cables!$AT:$AT,MATCH(B323,Cables!$A:$A,0))*SQRT(C323)+INDEX(Cables!$AU:$AU,MATCH(B323,Cables!$A:$A,0))*C323</f>
        <v>0.70650599332489683</v>
      </c>
      <c r="Q323" s="41">
        <f t="shared" si="46"/>
        <v>-6.9873645700579967E-4</v>
      </c>
      <c r="R323" s="39">
        <f t="shared" si="47"/>
        <v>4.8823263634901776E-7</v>
      </c>
      <c r="S323" s="40" t="b">
        <f>IF(B323=B322,C323&gt;C322,COUNTIF(B$1:B322,B323)=0)</f>
        <v>1</v>
      </c>
      <c r="T323" s="37"/>
    </row>
    <row r="324" spans="1:20" x14ac:dyDescent="0.25">
      <c r="A324" s="37" t="s">
        <v>1050</v>
      </c>
      <c r="B324" s="37" t="s">
        <v>401</v>
      </c>
      <c r="C324" s="37">
        <v>2</v>
      </c>
      <c r="D324" s="37">
        <v>0.81599999999999995</v>
      </c>
      <c r="E324" s="37" t="s">
        <v>771</v>
      </c>
      <c r="F324" s="37">
        <v>20</v>
      </c>
      <c r="G324" s="37" t="s">
        <v>410</v>
      </c>
      <c r="H324" s="37" t="s">
        <v>1047</v>
      </c>
      <c r="I324" s="38">
        <f t="shared" si="40"/>
        <v>0.81599999999999995</v>
      </c>
      <c r="J324" s="38">
        <f t="shared" si="41"/>
        <v>0.69314718055994529</v>
      </c>
      <c r="K324" s="38">
        <f t="shared" si="42"/>
        <v>-0.20334092401803011</v>
      </c>
      <c r="L324" s="39">
        <f t="shared" si="43"/>
        <v>1.2254901960784315</v>
      </c>
      <c r="M324" s="39">
        <f t="shared" si="44"/>
        <v>1.7331048558493813</v>
      </c>
      <c r="N324" s="39">
        <f t="shared" si="45"/>
        <v>2.4509803921568629</v>
      </c>
      <c r="O324" s="40">
        <f>1</f>
        <v>1</v>
      </c>
      <c r="P324" s="38">
        <f>INDEX(Cables!$AS:$AS,MATCH(B324,Cables!$A:$A,0))+INDEX(Cables!$AT:$AT,MATCH(B324,Cables!$A:$A,0))*SQRT(C324)+INDEX(Cables!$AU:$AU,MATCH(B324,Cables!$A:$A,0))*C324</f>
        <v>0.81618477651095855</v>
      </c>
      <c r="Q324" s="41">
        <f t="shared" si="46"/>
        <v>2.2644180264541625E-4</v>
      </c>
      <c r="R324" s="39">
        <f t="shared" si="47"/>
        <v>5.1275889985305639E-8</v>
      </c>
      <c r="S324" s="40" t="b">
        <f>IF(B324=B323,C324&gt;C323,COUNTIF(B$1:B323,B324)=0)</f>
        <v>1</v>
      </c>
      <c r="T324" s="37"/>
    </row>
    <row r="325" spans="1:20" x14ac:dyDescent="0.25">
      <c r="A325" s="37" t="s">
        <v>1051</v>
      </c>
      <c r="B325" s="37" t="s">
        <v>401</v>
      </c>
      <c r="C325" s="37">
        <v>10</v>
      </c>
      <c r="D325" s="37">
        <v>1.833</v>
      </c>
      <c r="E325" s="37" t="s">
        <v>771</v>
      </c>
      <c r="F325" s="37">
        <v>20</v>
      </c>
      <c r="G325" s="37" t="s">
        <v>410</v>
      </c>
      <c r="H325" s="37" t="s">
        <v>1047</v>
      </c>
      <c r="I325" s="38">
        <f t="shared" si="40"/>
        <v>1.833</v>
      </c>
      <c r="J325" s="38">
        <f t="shared" si="41"/>
        <v>2.3025850929940459</v>
      </c>
      <c r="K325" s="38">
        <f t="shared" si="42"/>
        <v>0.60595396885756792</v>
      </c>
      <c r="L325" s="39">
        <f t="shared" si="43"/>
        <v>0.54555373704309873</v>
      </c>
      <c r="M325" s="39">
        <f t="shared" si="44"/>
        <v>1.7251923950727657</v>
      </c>
      <c r="N325" s="39">
        <f t="shared" si="45"/>
        <v>5.4555373704309877</v>
      </c>
      <c r="O325" s="40">
        <f>1</f>
        <v>1</v>
      </c>
      <c r="P325" s="38">
        <f>INDEX(Cables!$AS:$AS,MATCH(B325,Cables!$A:$A,0))+INDEX(Cables!$AT:$AT,MATCH(B325,Cables!$A:$A,0))*SQRT(C325)+INDEX(Cables!$AU:$AU,MATCH(B325,Cables!$A:$A,0))*C325</f>
        <v>1.8327173871203677</v>
      </c>
      <c r="Q325" s="41">
        <f t="shared" si="46"/>
        <v>-1.5418051261995025E-4</v>
      </c>
      <c r="R325" s="39">
        <f t="shared" si="47"/>
        <v>2.377163047175064E-8</v>
      </c>
      <c r="S325" s="40" t="b">
        <f>IF(B325=B324,C325&gt;C324,COUNTIF(B$1:B324,B325)=0)</f>
        <v>1</v>
      </c>
      <c r="T325" s="37"/>
    </row>
    <row r="326" spans="1:20" x14ac:dyDescent="0.25">
      <c r="A326" s="37" t="s">
        <v>1052</v>
      </c>
      <c r="B326" s="37" t="s">
        <v>401</v>
      </c>
      <c r="C326" s="37">
        <v>20</v>
      </c>
      <c r="D326" s="37">
        <v>2.6</v>
      </c>
      <c r="E326" s="37" t="s">
        <v>771</v>
      </c>
      <c r="F326" s="37">
        <v>20</v>
      </c>
      <c r="G326" s="37" t="s">
        <v>410</v>
      </c>
      <c r="H326" s="37" t="s">
        <v>1047</v>
      </c>
      <c r="I326" s="38">
        <f t="shared" si="40"/>
        <v>2.6</v>
      </c>
      <c r="J326" s="38">
        <f t="shared" si="41"/>
        <v>2.9957322735539909</v>
      </c>
      <c r="K326" s="38">
        <f t="shared" si="42"/>
        <v>0.95551144502743635</v>
      </c>
      <c r="L326" s="39">
        <f t="shared" si="43"/>
        <v>0.38461538461538458</v>
      </c>
      <c r="M326" s="39">
        <f t="shared" si="44"/>
        <v>1.7200522903844537</v>
      </c>
      <c r="N326" s="39">
        <f t="shared" si="45"/>
        <v>7.6923076923076916</v>
      </c>
      <c r="O326" s="40">
        <f>1</f>
        <v>1</v>
      </c>
      <c r="P326" s="38">
        <f>INDEX(Cables!$AS:$AS,MATCH(B326,Cables!$A:$A,0))+INDEX(Cables!$AT:$AT,MATCH(B326,Cables!$A:$A,0))*SQRT(C326)+INDEX(Cables!$AU:$AU,MATCH(B326,Cables!$A:$A,0))*C326</f>
        <v>2.5998899988889064</v>
      </c>
      <c r="Q326" s="41">
        <f t="shared" si="46"/>
        <v>-4.2308119651446319E-5</v>
      </c>
      <c r="R326" s="39">
        <f t="shared" si="47"/>
        <v>1.7899769884410982E-9</v>
      </c>
      <c r="S326" s="40" t="b">
        <f>IF(B326=B325,C326&gt;C325,COUNTIF(B$1:B325,B326)=0)</f>
        <v>1</v>
      </c>
      <c r="T326" s="37"/>
    </row>
    <row r="327" spans="1:20" x14ac:dyDescent="0.25">
      <c r="A327" s="37" t="s">
        <v>1053</v>
      </c>
      <c r="B327" s="37" t="s">
        <v>401</v>
      </c>
      <c r="C327" s="37">
        <v>30</v>
      </c>
      <c r="D327" s="37">
        <v>3.1920000000000002</v>
      </c>
      <c r="E327" s="37" t="s">
        <v>771</v>
      </c>
      <c r="F327" s="37">
        <v>20</v>
      </c>
      <c r="G327" s="37" t="s">
        <v>410</v>
      </c>
      <c r="H327" s="37" t="s">
        <v>1047</v>
      </c>
      <c r="I327" s="38">
        <f t="shared" si="40"/>
        <v>3.1920000000000002</v>
      </c>
      <c r="J327" s="38">
        <f t="shared" si="41"/>
        <v>3.4011973816621555</v>
      </c>
      <c r="K327" s="38">
        <f t="shared" si="42"/>
        <v>1.1606476795875624</v>
      </c>
      <c r="L327" s="39">
        <f t="shared" si="43"/>
        <v>0.31328320802005011</v>
      </c>
      <c r="M327" s="39">
        <f t="shared" si="44"/>
        <v>1.7159227992016481</v>
      </c>
      <c r="N327" s="39">
        <f t="shared" si="45"/>
        <v>9.3984962406015029</v>
      </c>
      <c r="O327" s="40">
        <f>1</f>
        <v>1</v>
      </c>
      <c r="P327" s="38">
        <f>INDEX(Cables!$AS:$AS,MATCH(B327,Cables!$A:$A,0))+INDEX(Cables!$AT:$AT,MATCH(B327,Cables!$A:$A,0))*SQRT(C327)+INDEX(Cables!$AU:$AU,MATCH(B327,Cables!$A:$A,0))*C327</f>
        <v>3.1917368409671076</v>
      </c>
      <c r="Q327" s="41">
        <f t="shared" si="46"/>
        <v>-8.2443306044011067E-5</v>
      </c>
      <c r="R327" s="39">
        <f t="shared" si="47"/>
        <v>6.7968987114664715E-9</v>
      </c>
      <c r="S327" s="40" t="b">
        <f>IF(B327=B326,C327&gt;C326,COUNTIF(B$1:B326,B327)=0)</f>
        <v>1</v>
      </c>
      <c r="T327" s="37"/>
    </row>
    <row r="328" spans="1:20" x14ac:dyDescent="0.25">
      <c r="A328" s="37" t="s">
        <v>1054</v>
      </c>
      <c r="B328" s="37" t="s">
        <v>401</v>
      </c>
      <c r="C328" s="37">
        <v>50</v>
      </c>
      <c r="D328" s="37">
        <v>4.1360000000000001</v>
      </c>
      <c r="E328" s="37" t="s">
        <v>771</v>
      </c>
      <c r="F328" s="37">
        <v>20</v>
      </c>
      <c r="G328" s="37" t="s">
        <v>410</v>
      </c>
      <c r="H328" s="37" t="s">
        <v>1047</v>
      </c>
      <c r="I328" s="38">
        <f t="shared" si="40"/>
        <v>4.1360000000000001</v>
      </c>
      <c r="J328" s="38">
        <f t="shared" si="41"/>
        <v>3.912023005428146</v>
      </c>
      <c r="K328" s="38">
        <f t="shared" si="42"/>
        <v>1.419729137206128</v>
      </c>
      <c r="L328" s="39">
        <f t="shared" si="43"/>
        <v>0.24177949709864602</v>
      </c>
      <c r="M328" s="39">
        <f t="shared" si="44"/>
        <v>1.7096392195032581</v>
      </c>
      <c r="N328" s="39">
        <f t="shared" si="45"/>
        <v>12.088974854932301</v>
      </c>
      <c r="O328" s="40">
        <f>1</f>
        <v>1</v>
      </c>
      <c r="P328" s="38">
        <f>INDEX(Cables!$AS:$AS,MATCH(B328,Cables!$A:$A,0))+INDEX(Cables!$AT:$AT,MATCH(B328,Cables!$A:$A,0))*SQRT(C328)+INDEX(Cables!$AU:$AU,MATCH(B328,Cables!$A:$A,0))*C328</f>
        <v>4.1359222961188324</v>
      </c>
      <c r="Q328" s="41">
        <f t="shared" si="46"/>
        <v>-1.8787205311343591E-5</v>
      </c>
      <c r="R328" s="39">
        <f t="shared" si="47"/>
        <v>3.5295908341057684E-10</v>
      </c>
      <c r="S328" s="40" t="b">
        <f>IF(B328=B327,C328&gt;C327,COUNTIF(B$1:B327,B328)=0)</f>
        <v>1</v>
      </c>
      <c r="T328" s="37"/>
    </row>
    <row r="329" spans="1:20" x14ac:dyDescent="0.25">
      <c r="A329" s="37" t="s">
        <v>1055</v>
      </c>
      <c r="B329" s="37" t="s">
        <v>401</v>
      </c>
      <c r="C329" s="37">
        <v>88</v>
      </c>
      <c r="D329" s="37">
        <v>5.516</v>
      </c>
      <c r="E329" s="37" t="s">
        <v>771</v>
      </c>
      <c r="F329" s="37">
        <v>20</v>
      </c>
      <c r="G329" s="37" t="s">
        <v>410</v>
      </c>
      <c r="H329" s="37" t="s">
        <v>1047</v>
      </c>
      <c r="I329" s="38">
        <f t="shared" si="40"/>
        <v>5.516</v>
      </c>
      <c r="J329" s="38">
        <f t="shared" si="41"/>
        <v>4.4773368144782069</v>
      </c>
      <c r="K329" s="38">
        <f t="shared" si="42"/>
        <v>1.7076529599310555</v>
      </c>
      <c r="L329" s="39">
        <f t="shared" si="43"/>
        <v>0.18129079042784627</v>
      </c>
      <c r="M329" s="39">
        <f t="shared" si="44"/>
        <v>1.7006583610672334</v>
      </c>
      <c r="N329" s="39">
        <f t="shared" si="45"/>
        <v>15.953589557650471</v>
      </c>
      <c r="O329" s="40">
        <f>1</f>
        <v>1</v>
      </c>
      <c r="P329" s="38">
        <f>INDEX(Cables!$AS:$AS,MATCH(B329,Cables!$A:$A,0))+INDEX(Cables!$AT:$AT,MATCH(B329,Cables!$A:$A,0))*SQRT(C329)+INDEX(Cables!$AU:$AU,MATCH(B329,Cables!$A:$A,0))*C329</f>
        <v>5.5165186216193085</v>
      </c>
      <c r="Q329" s="41">
        <f t="shared" si="46"/>
        <v>9.4021323297388548E-5</v>
      </c>
      <c r="R329" s="39">
        <f t="shared" si="47"/>
        <v>8.8400092345920593E-9</v>
      </c>
      <c r="S329" s="40" t="b">
        <f>IF(B329=B328,C329&gt;C328,COUNTIF(B$1:B328,B329)=0)</f>
        <v>1</v>
      </c>
      <c r="T329" s="37"/>
    </row>
    <row r="330" spans="1:20" x14ac:dyDescent="0.25">
      <c r="A330" s="37" t="s">
        <v>1056</v>
      </c>
      <c r="B330" s="37" t="s">
        <v>401</v>
      </c>
      <c r="C330" s="37">
        <v>100</v>
      </c>
      <c r="D330" s="37">
        <v>5.8890000000000002</v>
      </c>
      <c r="E330" s="37" t="s">
        <v>771</v>
      </c>
      <c r="F330" s="37">
        <v>20</v>
      </c>
      <c r="G330" s="37" t="s">
        <v>410</v>
      </c>
      <c r="H330" s="37" t="s">
        <v>1047</v>
      </c>
      <c r="I330" s="38">
        <f t="shared" si="40"/>
        <v>5.8890000000000002</v>
      </c>
      <c r="J330" s="38">
        <f t="shared" si="41"/>
        <v>4.6051701859880918</v>
      </c>
      <c r="K330" s="38">
        <f t="shared" si="42"/>
        <v>1.7730862039624338</v>
      </c>
      <c r="L330" s="39">
        <f t="shared" si="43"/>
        <v>0.16980811682798438</v>
      </c>
      <c r="M330" s="39">
        <f t="shared" si="44"/>
        <v>1.6980811682798438</v>
      </c>
      <c r="N330" s="39">
        <f t="shared" si="45"/>
        <v>16.980811682798436</v>
      </c>
      <c r="O330" s="40">
        <f>1</f>
        <v>1</v>
      </c>
      <c r="P330" s="38">
        <f>INDEX(Cables!$AS:$AS,MATCH(B330,Cables!$A:$A,0))+INDEX(Cables!$AT:$AT,MATCH(B330,Cables!$A:$A,0))*SQRT(C330)+INDEX(Cables!$AU:$AU,MATCH(B330,Cables!$A:$A,0))*C330</f>
        <v>5.8890835194224671</v>
      </c>
      <c r="Q330" s="41">
        <f t="shared" si="46"/>
        <v>1.418227584770726E-5</v>
      </c>
      <c r="R330" s="39">
        <f t="shared" si="47"/>
        <v>2.0113694822046068E-10</v>
      </c>
      <c r="S330" s="40" t="b">
        <f>IF(B330=B329,C330&gt;C329,COUNTIF(B$1:B329,B330)=0)</f>
        <v>1</v>
      </c>
      <c r="T330" s="37"/>
    </row>
    <row r="331" spans="1:20" x14ac:dyDescent="0.25">
      <c r="A331" s="37" t="s">
        <v>1057</v>
      </c>
      <c r="B331" s="37" t="s">
        <v>401</v>
      </c>
      <c r="C331" s="37">
        <v>108</v>
      </c>
      <c r="D331" s="37">
        <v>6.125</v>
      </c>
      <c r="E331" s="37" t="s">
        <v>771</v>
      </c>
      <c r="F331" s="37">
        <v>20</v>
      </c>
      <c r="G331" s="37" t="s">
        <v>410</v>
      </c>
      <c r="H331" s="37" t="s">
        <v>1047</v>
      </c>
      <c r="I331" s="38">
        <f t="shared" si="40"/>
        <v>6.125</v>
      </c>
      <c r="J331" s="38">
        <f t="shared" si="41"/>
        <v>4.6821312271242199</v>
      </c>
      <c r="K331" s="38">
        <f t="shared" si="42"/>
        <v>1.8123787564307907</v>
      </c>
      <c r="L331" s="39">
        <f t="shared" si="43"/>
        <v>0.16326530612244897</v>
      </c>
      <c r="M331" s="39">
        <f t="shared" si="44"/>
        <v>1.6967028319042063</v>
      </c>
      <c r="N331" s="39">
        <f t="shared" si="45"/>
        <v>17.632653061224488</v>
      </c>
      <c r="O331" s="40">
        <f>1</f>
        <v>1</v>
      </c>
      <c r="P331" s="38">
        <f>INDEX(Cables!$AS:$AS,MATCH(B331,Cables!$A:$A,0))+INDEX(Cables!$AT:$AT,MATCH(B331,Cables!$A:$A,0))*SQRT(C331)+INDEX(Cables!$AU:$AU,MATCH(B331,Cables!$A:$A,0))*C331</f>
        <v>6.1256818582076882</v>
      </c>
      <c r="Q331" s="41">
        <f t="shared" si="46"/>
        <v>1.1132378901024254E-4</v>
      </c>
      <c r="R331" s="39">
        <f t="shared" si="47"/>
        <v>1.2392985999596997E-8</v>
      </c>
      <c r="S331" s="40" t="b">
        <f>IF(B331=B330,C331&gt;C330,COUNTIF(B$1:B330,B331)=0)</f>
        <v>1</v>
      </c>
      <c r="T331" s="37"/>
    </row>
    <row r="332" spans="1:20" x14ac:dyDescent="0.25">
      <c r="A332" s="37" t="s">
        <v>1058</v>
      </c>
      <c r="B332" s="37" t="s">
        <v>401</v>
      </c>
      <c r="C332" s="37">
        <v>150</v>
      </c>
      <c r="D332" s="37">
        <v>7.25</v>
      </c>
      <c r="E332" s="37" t="s">
        <v>771</v>
      </c>
      <c r="F332" s="37">
        <v>20</v>
      </c>
      <c r="G332" s="37" t="s">
        <v>410</v>
      </c>
      <c r="H332" s="37" t="s">
        <v>1047</v>
      </c>
      <c r="I332" s="38">
        <f t="shared" si="40"/>
        <v>7.25</v>
      </c>
      <c r="J332" s="38">
        <f t="shared" si="41"/>
        <v>5.0106352940962555</v>
      </c>
      <c r="K332" s="38">
        <f t="shared" si="42"/>
        <v>1.9810014688665833</v>
      </c>
      <c r="L332" s="39">
        <f t="shared" si="43"/>
        <v>0.13793103448275862</v>
      </c>
      <c r="M332" s="39">
        <f t="shared" si="44"/>
        <v>1.6893032708849505</v>
      </c>
      <c r="N332" s="39">
        <f t="shared" si="45"/>
        <v>20.689655172413794</v>
      </c>
      <c r="O332" s="40">
        <f>1</f>
        <v>1</v>
      </c>
      <c r="P332" s="38">
        <f>INDEX(Cables!$AS:$AS,MATCH(B332,Cables!$A:$A,0))+INDEX(Cables!$AT:$AT,MATCH(B332,Cables!$A:$A,0))*SQRT(C332)+INDEX(Cables!$AU:$AU,MATCH(B332,Cables!$A:$A,0))*C332</f>
        <v>7.2502044034910345</v>
      </c>
      <c r="Q332" s="41">
        <f t="shared" si="46"/>
        <v>2.8193584970193086E-5</v>
      </c>
      <c r="R332" s="39">
        <f t="shared" si="47"/>
        <v>7.9487823347149745E-10</v>
      </c>
      <c r="S332" s="40" t="b">
        <f>IF(B332=B331,C332&gt;C331,COUNTIF(B$1:B331,B332)=0)</f>
        <v>1</v>
      </c>
      <c r="T332" s="37"/>
    </row>
    <row r="333" spans="1:20" x14ac:dyDescent="0.25">
      <c r="A333" s="37" t="s">
        <v>1059</v>
      </c>
      <c r="B333" s="37" t="s">
        <v>401</v>
      </c>
      <c r="C333" s="37">
        <v>174</v>
      </c>
      <c r="D333" s="37">
        <v>7.8250000000000002</v>
      </c>
      <c r="E333" s="37" t="s">
        <v>771</v>
      </c>
      <c r="F333" s="37">
        <v>20</v>
      </c>
      <c r="G333" s="37" t="s">
        <v>410</v>
      </c>
      <c r="H333" s="37" t="s">
        <v>1047</v>
      </c>
      <c r="I333" s="38">
        <f t="shared" si="40"/>
        <v>7.8250000000000002</v>
      </c>
      <c r="J333" s="38">
        <f t="shared" si="41"/>
        <v>5.1590552992145291</v>
      </c>
      <c r="K333" s="38">
        <f t="shared" si="42"/>
        <v>2.0573237364262171</v>
      </c>
      <c r="L333" s="39">
        <f t="shared" si="43"/>
        <v>0.12779552715654952</v>
      </c>
      <c r="M333" s="39">
        <f t="shared" si="44"/>
        <v>1.6857387806099577</v>
      </c>
      <c r="N333" s="39">
        <f t="shared" si="45"/>
        <v>22.236421725239616</v>
      </c>
      <c r="O333" s="40">
        <f>1</f>
        <v>1</v>
      </c>
      <c r="P333" s="38">
        <f>INDEX(Cables!$AS:$AS,MATCH(B333,Cables!$A:$A,0))+INDEX(Cables!$AT:$AT,MATCH(B333,Cables!$A:$A,0))*SQRT(C333)+INDEX(Cables!$AU:$AU,MATCH(B333,Cables!$A:$A,0))*C333</f>
        <v>7.8256972990042861</v>
      </c>
      <c r="Q333" s="41">
        <f t="shared" si="46"/>
        <v>8.9111693838406225E-5</v>
      </c>
      <c r="R333" s="39">
        <f t="shared" si="47"/>
        <v>7.9408939787498466E-9</v>
      </c>
      <c r="S333" s="40" t="b">
        <f>IF(B333=B332,C333&gt;C332,COUNTIF(B$1:B332,B333)=0)</f>
        <v>1</v>
      </c>
      <c r="T333" s="37"/>
    </row>
    <row r="334" spans="1:20" x14ac:dyDescent="0.25">
      <c r="A334" s="37" t="s">
        <v>1060</v>
      </c>
      <c r="B334" s="37" t="s">
        <v>401</v>
      </c>
      <c r="C334" s="37">
        <v>200</v>
      </c>
      <c r="D334" s="37">
        <v>8.4079999999999995</v>
      </c>
      <c r="E334" s="37" t="s">
        <v>771</v>
      </c>
      <c r="F334" s="37">
        <v>20</v>
      </c>
      <c r="G334" s="37" t="s">
        <v>410</v>
      </c>
      <c r="H334" s="37" t="s">
        <v>1047</v>
      </c>
      <c r="I334" s="38">
        <f t="shared" si="40"/>
        <v>8.4079999999999995</v>
      </c>
      <c r="J334" s="38">
        <f t="shared" si="41"/>
        <v>5.2983173665480363</v>
      </c>
      <c r="K334" s="38">
        <f t="shared" si="42"/>
        <v>2.1291836335746499</v>
      </c>
      <c r="L334" s="39">
        <f t="shared" si="43"/>
        <v>0.11893434823977166</v>
      </c>
      <c r="M334" s="39">
        <f t="shared" si="44"/>
        <v>1.6819856831268973</v>
      </c>
      <c r="N334" s="39">
        <f t="shared" si="45"/>
        <v>23.78686964795433</v>
      </c>
      <c r="O334" s="40">
        <f>1</f>
        <v>1</v>
      </c>
      <c r="P334" s="38">
        <f>INDEX(Cables!$AS:$AS,MATCH(B334,Cables!$A:$A,0))+INDEX(Cables!$AT:$AT,MATCH(B334,Cables!$A:$A,0))*SQRT(C334)+INDEX(Cables!$AU:$AU,MATCH(B334,Cables!$A:$A,0))*C334</f>
        <v>8.4083902750746251</v>
      </c>
      <c r="Q334" s="41">
        <f t="shared" si="46"/>
        <v>4.6417111634777797E-5</v>
      </c>
      <c r="R334" s="39">
        <f t="shared" si="47"/>
        <v>2.1545482525154244E-9</v>
      </c>
      <c r="S334" s="40" t="b">
        <f>IF(B334=B333,C334&gt;C333,COUNTIF(B$1:B333,B334)=0)</f>
        <v>1</v>
      </c>
      <c r="T334" s="37"/>
    </row>
    <row r="335" spans="1:20" x14ac:dyDescent="0.25">
      <c r="A335" s="37" t="s">
        <v>1061</v>
      </c>
      <c r="B335" s="37" t="s">
        <v>401</v>
      </c>
      <c r="C335" s="37">
        <v>300</v>
      </c>
      <c r="D335" s="37">
        <v>10.372999999999999</v>
      </c>
      <c r="E335" s="37" t="s">
        <v>771</v>
      </c>
      <c r="F335" s="37">
        <v>20</v>
      </c>
      <c r="G335" s="37" t="s">
        <v>410</v>
      </c>
      <c r="H335" s="37" t="s">
        <v>1047</v>
      </c>
      <c r="I335" s="38">
        <f t="shared" si="40"/>
        <v>10.372999999999999</v>
      </c>
      <c r="J335" s="38">
        <f t="shared" si="41"/>
        <v>5.7037824746562009</v>
      </c>
      <c r="K335" s="38">
        <f t="shared" si="42"/>
        <v>2.339206276449691</v>
      </c>
      <c r="L335" s="39">
        <f t="shared" si="43"/>
        <v>9.6404126096596945E-2</v>
      </c>
      <c r="M335" s="39">
        <f t="shared" si="44"/>
        <v>1.6697684445858263</v>
      </c>
      <c r="N335" s="39">
        <f t="shared" si="45"/>
        <v>28.921237828979081</v>
      </c>
      <c r="O335" s="40">
        <f>1</f>
        <v>1</v>
      </c>
      <c r="P335" s="38">
        <f>INDEX(Cables!$AS:$AS,MATCH(B335,Cables!$A:$A,0))+INDEX(Cables!$AT:$AT,MATCH(B335,Cables!$A:$A,0))*SQRT(C335)+INDEX(Cables!$AU:$AU,MATCH(B335,Cables!$A:$A,0))*C335</f>
        <v>10.373268265983205</v>
      </c>
      <c r="Q335" s="41">
        <f t="shared" si="46"/>
        <v>2.5861947672289887E-5</v>
      </c>
      <c r="R335" s="39">
        <f t="shared" si="47"/>
        <v>6.688403374042603E-10</v>
      </c>
      <c r="S335" s="40" t="b">
        <f>IF(B335=B334,C335&gt;C334,COUNTIF(B$1:B334,B335)=0)</f>
        <v>1</v>
      </c>
      <c r="T335" s="37"/>
    </row>
    <row r="336" spans="1:20" x14ac:dyDescent="0.25">
      <c r="A336" s="37" t="s">
        <v>1062</v>
      </c>
      <c r="B336" s="37" t="s">
        <v>401</v>
      </c>
      <c r="C336" s="37">
        <v>400</v>
      </c>
      <c r="D336" s="37">
        <v>12.051</v>
      </c>
      <c r="E336" s="37" t="s">
        <v>771</v>
      </c>
      <c r="F336" s="37">
        <v>20</v>
      </c>
      <c r="G336" s="37" t="s">
        <v>410</v>
      </c>
      <c r="H336" s="37" t="s">
        <v>1047</v>
      </c>
      <c r="I336" s="38">
        <f t="shared" si="40"/>
        <v>12.051</v>
      </c>
      <c r="J336" s="38">
        <f t="shared" si="41"/>
        <v>5.9914645471079817</v>
      </c>
      <c r="K336" s="38">
        <f t="shared" si="42"/>
        <v>2.4891476440452549</v>
      </c>
      <c r="L336" s="39">
        <f t="shared" si="43"/>
        <v>8.2980665504937351E-2</v>
      </c>
      <c r="M336" s="39">
        <f t="shared" si="44"/>
        <v>1.6596133100987469</v>
      </c>
      <c r="N336" s="39">
        <f t="shared" si="45"/>
        <v>33.192266201974938</v>
      </c>
      <c r="O336" s="40">
        <f>1</f>
        <v>1</v>
      </c>
      <c r="P336" s="38">
        <f>INDEX(Cables!$AS:$AS,MATCH(B336,Cables!$A:$A,0))+INDEX(Cables!$AT:$AT,MATCH(B336,Cables!$A:$A,0))*SQRT(C336)+INDEX(Cables!$AU:$AU,MATCH(B336,Cables!$A:$A,0))*C336</f>
        <v>12.051152809955175</v>
      </c>
      <c r="Q336" s="41">
        <f t="shared" si="46"/>
        <v>1.2680271776144281E-5</v>
      </c>
      <c r="R336" s="39">
        <f t="shared" si="47"/>
        <v>1.6078929231688123E-10</v>
      </c>
      <c r="S336" s="40" t="b">
        <f>IF(B336=B335,C336&gt;C335,COUNTIF(B$1:B335,B336)=0)</f>
        <v>1</v>
      </c>
      <c r="T336" s="37"/>
    </row>
    <row r="337" spans="1:20" x14ac:dyDescent="0.25">
      <c r="A337" s="37" t="s">
        <v>1063</v>
      </c>
      <c r="B337" s="37" t="s">
        <v>401</v>
      </c>
      <c r="C337" s="37">
        <v>450</v>
      </c>
      <c r="D337" s="37">
        <v>12.817</v>
      </c>
      <c r="E337" s="37" t="s">
        <v>771</v>
      </c>
      <c r="F337" s="37">
        <v>20</v>
      </c>
      <c r="G337" s="37" t="s">
        <v>410</v>
      </c>
      <c r="H337" s="37" t="s">
        <v>1047</v>
      </c>
      <c r="I337" s="38">
        <f t="shared" si="40"/>
        <v>12.817</v>
      </c>
      <c r="J337" s="38">
        <f t="shared" si="41"/>
        <v>6.1092475827643655</v>
      </c>
      <c r="K337" s="38">
        <f t="shared" si="42"/>
        <v>2.5507724147476871</v>
      </c>
      <c r="L337" s="39">
        <f t="shared" si="43"/>
        <v>7.8021377857532964E-2</v>
      </c>
      <c r="M337" s="39">
        <f t="shared" si="44"/>
        <v>1.6550833608173852</v>
      </c>
      <c r="N337" s="39">
        <f t="shared" si="45"/>
        <v>35.109620035889833</v>
      </c>
      <c r="O337" s="40">
        <f>1</f>
        <v>1</v>
      </c>
      <c r="P337" s="38">
        <f>INDEX(Cables!$AS:$AS,MATCH(B337,Cables!$A:$A,0))+INDEX(Cables!$AT:$AT,MATCH(B337,Cables!$A:$A,0))*SQRT(C337)+INDEX(Cables!$AU:$AU,MATCH(B337,Cables!$A:$A,0))*C337</f>
        <v>12.817298342303699</v>
      </c>
      <c r="Q337" s="41">
        <f t="shared" si="46"/>
        <v>2.3277077607852803E-5</v>
      </c>
      <c r="R337" s="39">
        <f t="shared" si="47"/>
        <v>5.4182234196200239E-10</v>
      </c>
      <c r="S337" s="40" t="b">
        <f>IF(B337=B336,C337&gt;C336,COUNTIF(B$1:B336,B337)=0)</f>
        <v>1</v>
      </c>
      <c r="T337" s="37"/>
    </row>
    <row r="338" spans="1:20" x14ac:dyDescent="0.25">
      <c r="A338" s="37" t="s">
        <v>1064</v>
      </c>
      <c r="B338" s="37" t="s">
        <v>401</v>
      </c>
      <c r="C338" s="37">
        <v>500</v>
      </c>
      <c r="D338" s="37">
        <v>13.545</v>
      </c>
      <c r="E338" s="37" t="s">
        <v>771</v>
      </c>
      <c r="F338" s="37">
        <v>20</v>
      </c>
      <c r="G338" s="37" t="s">
        <v>410</v>
      </c>
      <c r="H338" s="37" t="s">
        <v>1047</v>
      </c>
      <c r="I338" s="38">
        <f t="shared" si="40"/>
        <v>13.545</v>
      </c>
      <c r="J338" s="38">
        <f t="shared" si="41"/>
        <v>6.2146080984221914</v>
      </c>
      <c r="K338" s="38">
        <f t="shared" si="42"/>
        <v>2.6060174755370586</v>
      </c>
      <c r="L338" s="39">
        <f t="shared" si="43"/>
        <v>7.3827980804724996E-2</v>
      </c>
      <c r="M338" s="39">
        <f t="shared" si="44"/>
        <v>1.6508438372091472</v>
      </c>
      <c r="N338" s="39">
        <f t="shared" si="45"/>
        <v>36.913990402362494</v>
      </c>
      <c r="O338" s="40">
        <f>1</f>
        <v>1</v>
      </c>
      <c r="P338" s="38">
        <f>INDEX(Cables!$AS:$AS,MATCH(B338,Cables!$A:$A,0))+INDEX(Cables!$AT:$AT,MATCH(B338,Cables!$A:$A,0))*SQRT(C338)+INDEX(Cables!$AU:$AU,MATCH(B338,Cables!$A:$A,0))*C338</f>
        <v>13.545632725792377</v>
      </c>
      <c r="Q338" s="41">
        <f t="shared" si="46"/>
        <v>4.671286765423055E-5</v>
      </c>
      <c r="R338" s="39">
        <f t="shared" si="47"/>
        <v>2.1820920044816588E-9</v>
      </c>
      <c r="S338" s="40" t="b">
        <f>IF(B338=B337,C338&gt;C337,COUNTIF(B$1:B337,B338)=0)</f>
        <v>1</v>
      </c>
      <c r="T338" s="37"/>
    </row>
    <row r="339" spans="1:20" x14ac:dyDescent="0.25">
      <c r="A339" s="37" t="s">
        <v>1065</v>
      </c>
      <c r="B339" s="37" t="s">
        <v>401</v>
      </c>
      <c r="C339" s="37">
        <v>512</v>
      </c>
      <c r="D339" s="37">
        <v>13.715</v>
      </c>
      <c r="E339" s="37" t="s">
        <v>771</v>
      </c>
      <c r="F339" s="37">
        <v>20</v>
      </c>
      <c r="G339" s="37" t="s">
        <v>410</v>
      </c>
      <c r="H339" s="37" t="s">
        <v>1047</v>
      </c>
      <c r="I339" s="38">
        <f t="shared" si="40"/>
        <v>13.715</v>
      </c>
      <c r="J339" s="38">
        <f t="shared" si="41"/>
        <v>6.2383246250395077</v>
      </c>
      <c r="K339" s="38">
        <f t="shared" si="42"/>
        <v>2.6184901243895666</v>
      </c>
      <c r="L339" s="39">
        <f t="shared" si="43"/>
        <v>7.2912869121399923E-2</v>
      </c>
      <c r="M339" s="39">
        <f t="shared" si="44"/>
        <v>1.6498298941282918</v>
      </c>
      <c r="N339" s="39">
        <f t="shared" si="45"/>
        <v>37.331388990156761</v>
      </c>
      <c r="O339" s="40">
        <f>1</f>
        <v>1</v>
      </c>
      <c r="P339" s="38">
        <f>INDEX(Cables!$AS:$AS,MATCH(B339,Cables!$A:$A,0))+INDEX(Cables!$AT:$AT,MATCH(B339,Cables!$A:$A,0))*SQRT(C339)+INDEX(Cables!$AU:$AU,MATCH(B339,Cables!$A:$A,0))*C339</f>
        <v>13.715452766342306</v>
      </c>
      <c r="Q339" s="41">
        <f t="shared" si="46"/>
        <v>3.3012493059203507E-5</v>
      </c>
      <c r="R339" s="39">
        <f t="shared" si="47"/>
        <v>1.0898246979839598E-9</v>
      </c>
      <c r="S339" s="40" t="b">
        <f>IF(B339=B338,C339&gt;C338,COUNTIF(B$1:B338,B339)=0)</f>
        <v>1</v>
      </c>
      <c r="T339" s="37"/>
    </row>
    <row r="340" spans="1:20" x14ac:dyDescent="0.25">
      <c r="A340" s="37" t="s">
        <v>1066</v>
      </c>
      <c r="B340" s="37" t="s">
        <v>401</v>
      </c>
      <c r="C340" s="37">
        <v>600</v>
      </c>
      <c r="D340" s="37">
        <v>14.909000000000001</v>
      </c>
      <c r="E340" s="37" t="s">
        <v>771</v>
      </c>
      <c r="F340" s="37">
        <v>20</v>
      </c>
      <c r="G340" s="37" t="s">
        <v>410</v>
      </c>
      <c r="H340" s="37" t="s">
        <v>1047</v>
      </c>
      <c r="I340" s="38">
        <f t="shared" si="40"/>
        <v>14.909000000000001</v>
      </c>
      <c r="J340" s="38">
        <f t="shared" si="41"/>
        <v>6.3969296552161463</v>
      </c>
      <c r="K340" s="38">
        <f t="shared" si="42"/>
        <v>2.7019650574462619</v>
      </c>
      <c r="L340" s="39">
        <f t="shared" si="43"/>
        <v>6.7073579716949494E-2</v>
      </c>
      <c r="M340" s="39">
        <f t="shared" si="44"/>
        <v>1.6429604552841759</v>
      </c>
      <c r="N340" s="39">
        <f t="shared" si="45"/>
        <v>40.244147830169695</v>
      </c>
      <c r="O340" s="40">
        <f>1</f>
        <v>1</v>
      </c>
      <c r="P340" s="38">
        <f>INDEX(Cables!$AS:$AS,MATCH(B340,Cables!$A:$A,0))+INDEX(Cables!$AT:$AT,MATCH(B340,Cables!$A:$A,0))*SQRT(C340)+INDEX(Cables!$AU:$AU,MATCH(B340,Cables!$A:$A,0))*C340</f>
        <v>14.909834666365587</v>
      </c>
      <c r="Q340" s="41">
        <f t="shared" si="46"/>
        <v>5.598406100926212E-5</v>
      </c>
      <c r="R340" s="39">
        <f t="shared" si="47"/>
        <v>3.1342150870887831E-9</v>
      </c>
      <c r="S340" s="40" t="b">
        <f>IF(B340=B339,C340&gt;C339,COUNTIF(B$1:B339,B340)=0)</f>
        <v>1</v>
      </c>
      <c r="T340" s="37"/>
    </row>
    <row r="341" spans="1:20" x14ac:dyDescent="0.25">
      <c r="A341" s="37" t="s">
        <v>1067</v>
      </c>
      <c r="B341" s="37" t="s">
        <v>401</v>
      </c>
      <c r="C341" s="37">
        <v>700</v>
      </c>
      <c r="D341" s="37">
        <v>16.175000000000001</v>
      </c>
      <c r="E341" s="37" t="s">
        <v>771</v>
      </c>
      <c r="F341" s="37">
        <v>20</v>
      </c>
      <c r="G341" s="37" t="s">
        <v>410</v>
      </c>
      <c r="H341" s="37" t="s">
        <v>1047</v>
      </c>
      <c r="I341" s="38">
        <f t="shared" si="40"/>
        <v>16.175000000000001</v>
      </c>
      <c r="J341" s="38">
        <f t="shared" si="41"/>
        <v>6.5510803350434044</v>
      </c>
      <c r="K341" s="38">
        <f t="shared" si="42"/>
        <v>2.7834668403869642</v>
      </c>
      <c r="L341" s="39">
        <f t="shared" si="43"/>
        <v>6.1823802163833076E-2</v>
      </c>
      <c r="M341" s="39">
        <f t="shared" si="44"/>
        <v>1.6357040562995921</v>
      </c>
      <c r="N341" s="39">
        <f t="shared" si="45"/>
        <v>43.276661514683148</v>
      </c>
      <c r="O341" s="40">
        <f>1</f>
        <v>1</v>
      </c>
      <c r="P341" s="38">
        <f>INDEX(Cables!$AS:$AS,MATCH(B341,Cables!$A:$A,0))+INDEX(Cables!$AT:$AT,MATCH(B341,Cables!$A:$A,0))*SQRT(C341)+INDEX(Cables!$AU:$AU,MATCH(B341,Cables!$A:$A,0))*C341</f>
        <v>16.17531830035464</v>
      </c>
      <c r="Q341" s="41">
        <f t="shared" si="46"/>
        <v>1.9678538153877767E-5</v>
      </c>
      <c r="R341" s="39">
        <f t="shared" si="47"/>
        <v>3.87244863873623E-10</v>
      </c>
      <c r="S341" s="40" t="b">
        <f>IF(B341=B340,C341&gt;C340,COUNTIF(B$1:B340,B341)=0)</f>
        <v>1</v>
      </c>
      <c r="T341" s="37"/>
    </row>
    <row r="342" spans="1:20" x14ac:dyDescent="0.25">
      <c r="A342" s="37" t="s">
        <v>1068</v>
      </c>
      <c r="B342" s="37" t="s">
        <v>401</v>
      </c>
      <c r="C342" s="37">
        <v>800</v>
      </c>
      <c r="D342" s="37">
        <v>17.361999999999998</v>
      </c>
      <c r="E342" s="37" t="s">
        <v>771</v>
      </c>
      <c r="F342" s="37">
        <v>20</v>
      </c>
      <c r="G342" s="37" t="s">
        <v>410</v>
      </c>
      <c r="H342" s="37" t="s">
        <v>1047</v>
      </c>
      <c r="I342" s="38">
        <f t="shared" si="40"/>
        <v>17.361999999999998</v>
      </c>
      <c r="J342" s="38">
        <f t="shared" si="41"/>
        <v>6.6846117276679271</v>
      </c>
      <c r="K342" s="38">
        <f t="shared" si="42"/>
        <v>2.8542839099696162</v>
      </c>
      <c r="L342" s="39">
        <f t="shared" si="43"/>
        <v>5.7597051030987216E-2</v>
      </c>
      <c r="M342" s="39">
        <f t="shared" si="44"/>
        <v>1.6290906144143478</v>
      </c>
      <c r="N342" s="39">
        <f t="shared" si="45"/>
        <v>46.077640824789775</v>
      </c>
      <c r="O342" s="40">
        <f>1</f>
        <v>1</v>
      </c>
      <c r="P342" s="38">
        <f>INDEX(Cables!$AS:$AS,MATCH(B342,Cables!$A:$A,0))+INDEX(Cables!$AT:$AT,MATCH(B342,Cables!$A:$A,0))*SQRT(C342)+INDEX(Cables!$AU:$AU,MATCH(B342,Cables!$A:$A,0))*C342</f>
        <v>17.362646497806047</v>
      </c>
      <c r="Q342" s="41">
        <f t="shared" si="46"/>
        <v>3.7236367126380898E-5</v>
      </c>
      <c r="R342" s="39">
        <f t="shared" si="47"/>
        <v>1.3865470367706201E-9</v>
      </c>
      <c r="S342" s="40" t="b">
        <f>IF(B342=B341,C342&gt;C341,COUNTIF(B$1:B341,B342)=0)</f>
        <v>1</v>
      </c>
      <c r="T342" s="37"/>
    </row>
    <row r="343" spans="1:20" x14ac:dyDescent="0.25">
      <c r="A343" s="37" t="s">
        <v>1069</v>
      </c>
      <c r="B343" s="37" t="s">
        <v>401</v>
      </c>
      <c r="C343" s="37">
        <v>824</v>
      </c>
      <c r="D343" s="37">
        <v>17.637</v>
      </c>
      <c r="E343" s="37" t="s">
        <v>771</v>
      </c>
      <c r="F343" s="37">
        <v>20</v>
      </c>
      <c r="G343" s="37" t="s">
        <v>410</v>
      </c>
      <c r="H343" s="37" t="s">
        <v>1047</v>
      </c>
      <c r="I343" s="38">
        <f t="shared" si="40"/>
        <v>17.637</v>
      </c>
      <c r="J343" s="38">
        <f t="shared" si="41"/>
        <v>6.7141705299094721</v>
      </c>
      <c r="K343" s="38">
        <f t="shared" si="42"/>
        <v>2.8699989680882276</v>
      </c>
      <c r="L343" s="39">
        <f t="shared" si="43"/>
        <v>5.6698985088166919E-2</v>
      </c>
      <c r="M343" s="39">
        <f t="shared" si="44"/>
        <v>1.6275670572554655</v>
      </c>
      <c r="N343" s="39">
        <f t="shared" si="45"/>
        <v>46.719963712649545</v>
      </c>
      <c r="O343" s="40">
        <f>1</f>
        <v>1</v>
      </c>
      <c r="P343" s="38">
        <f>INDEX(Cables!$AS:$AS,MATCH(B343,Cables!$A:$A,0))+INDEX(Cables!$AT:$AT,MATCH(B343,Cables!$A:$A,0))*SQRT(C343)+INDEX(Cables!$AU:$AU,MATCH(B343,Cables!$A:$A,0))*C343</f>
        <v>17.637657029698286</v>
      </c>
      <c r="Q343" s="41">
        <f t="shared" si="46"/>
        <v>3.7252917065577762E-5</v>
      </c>
      <c r="R343" s="39">
        <f t="shared" si="47"/>
        <v>1.3877798298948149E-9</v>
      </c>
      <c r="S343" s="40" t="b">
        <f>IF(B343=B342,C343&gt;C342,COUNTIF(B$1:B342,B343)=0)</f>
        <v>1</v>
      </c>
      <c r="T343" s="37"/>
    </row>
    <row r="344" spans="1:20" x14ac:dyDescent="0.25">
      <c r="A344" s="37" t="s">
        <v>1070</v>
      </c>
      <c r="B344" s="37" t="s">
        <v>401</v>
      </c>
      <c r="C344" s="37">
        <v>894</v>
      </c>
      <c r="D344" s="37">
        <v>18.420000000000002</v>
      </c>
      <c r="E344" s="37" t="s">
        <v>771</v>
      </c>
      <c r="F344" s="37">
        <v>20</v>
      </c>
      <c r="G344" s="37" t="s">
        <v>410</v>
      </c>
      <c r="H344" s="37" t="s">
        <v>1047</v>
      </c>
      <c r="I344" s="38">
        <f t="shared" si="40"/>
        <v>18.420000000000002</v>
      </c>
      <c r="J344" s="38">
        <f t="shared" si="41"/>
        <v>6.7957057751735137</v>
      </c>
      <c r="K344" s="38">
        <f t="shared" si="42"/>
        <v>2.9134370308271609</v>
      </c>
      <c r="L344" s="39">
        <f t="shared" si="43"/>
        <v>5.4288816503800214E-2</v>
      </c>
      <c r="M344" s="39">
        <f t="shared" si="44"/>
        <v>1.6232265350408308</v>
      </c>
      <c r="N344" s="39">
        <f t="shared" si="45"/>
        <v>48.534201954397389</v>
      </c>
      <c r="O344" s="40">
        <f>1</f>
        <v>1</v>
      </c>
      <c r="P344" s="38">
        <f>INDEX(Cables!$AS:$AS,MATCH(B344,Cables!$A:$A,0))+INDEX(Cables!$AT:$AT,MATCH(B344,Cables!$A:$A,0))*SQRT(C344)+INDEX(Cables!$AU:$AU,MATCH(B344,Cables!$A:$A,0))*C344</f>
        <v>18.420292181395414</v>
      </c>
      <c r="Q344" s="41">
        <f t="shared" si="46"/>
        <v>1.5862182161319183E-5</v>
      </c>
      <c r="R344" s="39">
        <f t="shared" si="47"/>
        <v>2.5160882291887247E-10</v>
      </c>
      <c r="S344" s="40" t="b">
        <f>IF(B344=B343,C344&gt;C343,COUNTIF(B$1:B343,B344)=0)</f>
        <v>1</v>
      </c>
      <c r="T344" s="37"/>
    </row>
    <row r="345" spans="1:20" x14ac:dyDescent="0.25">
      <c r="A345" s="37" t="s">
        <v>1071</v>
      </c>
      <c r="B345" s="37" t="s">
        <v>401</v>
      </c>
      <c r="C345" s="37">
        <v>960</v>
      </c>
      <c r="D345" s="37">
        <v>19.134</v>
      </c>
      <c r="E345" s="37" t="s">
        <v>771</v>
      </c>
      <c r="F345" s="37">
        <v>20</v>
      </c>
      <c r="G345" s="37" t="s">
        <v>410</v>
      </c>
      <c r="H345" s="37" t="s">
        <v>1047</v>
      </c>
      <c r="I345" s="38">
        <f t="shared" si="40"/>
        <v>19.134</v>
      </c>
      <c r="J345" s="38">
        <f t="shared" si="41"/>
        <v>6.866933284461882</v>
      </c>
      <c r="K345" s="38">
        <f t="shared" si="42"/>
        <v>2.9514668572559755</v>
      </c>
      <c r="L345" s="39">
        <f t="shared" si="43"/>
        <v>5.2262987352357057E-2</v>
      </c>
      <c r="M345" s="39">
        <f t="shared" si="44"/>
        <v>1.619309437109822</v>
      </c>
      <c r="N345" s="39">
        <f t="shared" si="45"/>
        <v>50.172467858262777</v>
      </c>
      <c r="O345" s="40">
        <f>1</f>
        <v>1</v>
      </c>
      <c r="P345" s="38">
        <f>INDEX(Cables!$AS:$AS,MATCH(B345,Cables!$A:$A,0))+INDEX(Cables!$AT:$AT,MATCH(B345,Cables!$A:$A,0))*SQRT(C345)+INDEX(Cables!$AU:$AU,MATCH(B345,Cables!$A:$A,0))*C345</f>
        <v>19.133960190057305</v>
      </c>
      <c r="Q345" s="41">
        <f t="shared" si="46"/>
        <v>-2.0805865316164684E-6</v>
      </c>
      <c r="R345" s="39">
        <f t="shared" si="47"/>
        <v>4.3288403155438455E-12</v>
      </c>
      <c r="S345" s="40" t="b">
        <f>IF(B345=B344,C345&gt;C344,COUNTIF(B$1:B344,B345)=0)</f>
        <v>1</v>
      </c>
      <c r="T345" s="37"/>
    </row>
    <row r="346" spans="1:20" x14ac:dyDescent="0.25">
      <c r="A346" s="37" t="s">
        <v>1072</v>
      </c>
      <c r="B346" s="37" t="s">
        <v>401</v>
      </c>
      <c r="C346" s="37">
        <v>1000</v>
      </c>
      <c r="D346" s="37">
        <v>19.556000000000001</v>
      </c>
      <c r="E346" s="37" t="s">
        <v>771</v>
      </c>
      <c r="F346" s="37">
        <v>20</v>
      </c>
      <c r="G346" s="37" t="s">
        <v>410</v>
      </c>
      <c r="H346" s="37" t="s">
        <v>1047</v>
      </c>
      <c r="I346" s="38">
        <f t="shared" si="40"/>
        <v>19.556000000000001</v>
      </c>
      <c r="J346" s="38">
        <f t="shared" si="41"/>
        <v>6.9077552789821368</v>
      </c>
      <c r="K346" s="38">
        <f t="shared" si="42"/>
        <v>2.9732821447163991</v>
      </c>
      <c r="L346" s="39">
        <f t="shared" si="43"/>
        <v>5.1135201472693799E-2</v>
      </c>
      <c r="M346" s="39">
        <f t="shared" si="44"/>
        <v>1.6170370526530882</v>
      </c>
      <c r="N346" s="39">
        <f t="shared" si="45"/>
        <v>51.135201472693801</v>
      </c>
      <c r="O346" s="40">
        <f>1</f>
        <v>1</v>
      </c>
      <c r="P346" s="38">
        <f>INDEX(Cables!$AS:$AS,MATCH(B346,Cables!$A:$A,0))+INDEX(Cables!$AT:$AT,MATCH(B346,Cables!$A:$A,0))*SQRT(C346)+INDEX(Cables!$AU:$AU,MATCH(B346,Cables!$A:$A,0))*C346</f>
        <v>19.556085016736326</v>
      </c>
      <c r="Q346" s="41">
        <f t="shared" si="46"/>
        <v>4.3473479405253812E-6</v>
      </c>
      <c r="R346" s="39">
        <f t="shared" si="47"/>
        <v>1.8899434115990274E-11</v>
      </c>
      <c r="S346" s="40" t="b">
        <f>IF(B346=B345,C346&gt;C345,COUNTIF(B$1:B345,B346)=0)</f>
        <v>1</v>
      </c>
      <c r="T346" s="37"/>
    </row>
    <row r="347" spans="1:20" x14ac:dyDescent="0.25">
      <c r="A347" s="37" t="s">
        <v>1073</v>
      </c>
      <c r="B347" s="37" t="s">
        <v>401</v>
      </c>
      <c r="C347" s="37">
        <v>1250</v>
      </c>
      <c r="D347" s="37">
        <v>22.044</v>
      </c>
      <c r="E347" s="37" t="s">
        <v>771</v>
      </c>
      <c r="F347" s="37">
        <v>20</v>
      </c>
      <c r="G347" s="37" t="s">
        <v>410</v>
      </c>
      <c r="H347" s="37" t="s">
        <v>1047</v>
      </c>
      <c r="I347" s="38">
        <f t="shared" si="40"/>
        <v>22.044</v>
      </c>
      <c r="J347" s="38">
        <f t="shared" si="41"/>
        <v>7.1308988302963465</v>
      </c>
      <c r="K347" s="38">
        <f t="shared" si="42"/>
        <v>3.0930404560209888</v>
      </c>
      <c r="L347" s="39">
        <f t="shared" si="43"/>
        <v>4.5363817818907637E-2</v>
      </c>
      <c r="M347" s="39">
        <f t="shared" si="44"/>
        <v>1.6038531600130366</v>
      </c>
      <c r="N347" s="39">
        <f t="shared" si="45"/>
        <v>56.704772273634546</v>
      </c>
      <c r="O347" s="40">
        <f>1</f>
        <v>1</v>
      </c>
      <c r="P347" s="38">
        <f>INDEX(Cables!$AS:$AS,MATCH(B347,Cables!$A:$A,0))+INDEX(Cables!$AT:$AT,MATCH(B347,Cables!$A:$A,0))*SQRT(C347)+INDEX(Cables!$AU:$AU,MATCH(B347,Cables!$A:$A,0))*C347</f>
        <v>22.044434741581679</v>
      </c>
      <c r="Q347" s="41">
        <f t="shared" si="46"/>
        <v>1.9721537909633824E-5</v>
      </c>
      <c r="R347" s="39">
        <f t="shared" si="47"/>
        <v>3.8893905752112407E-10</v>
      </c>
      <c r="S347" s="40" t="b">
        <f>IF(B347=B346,C347&gt;C346,COUNTIF(B$1:B346,B347)=0)</f>
        <v>1</v>
      </c>
      <c r="T347" s="37"/>
    </row>
    <row r="348" spans="1:20" x14ac:dyDescent="0.25">
      <c r="A348" s="37" t="s">
        <v>1074</v>
      </c>
      <c r="B348" s="37" t="s">
        <v>401</v>
      </c>
      <c r="C348" s="37">
        <v>1500</v>
      </c>
      <c r="D348" s="37">
        <v>24.326000000000001</v>
      </c>
      <c r="E348" s="37" t="s">
        <v>771</v>
      </c>
      <c r="F348" s="37">
        <v>20</v>
      </c>
      <c r="G348" s="37" t="s">
        <v>410</v>
      </c>
      <c r="H348" s="37" t="s">
        <v>1047</v>
      </c>
      <c r="I348" s="38">
        <f t="shared" si="40"/>
        <v>24.326000000000001</v>
      </c>
      <c r="J348" s="38">
        <f t="shared" si="41"/>
        <v>7.3132203870903014</v>
      </c>
      <c r="K348" s="38">
        <f t="shared" si="42"/>
        <v>3.1915457371962446</v>
      </c>
      <c r="L348" s="39">
        <f t="shared" si="43"/>
        <v>4.1108279207432374E-2</v>
      </c>
      <c r="M348" s="39">
        <f t="shared" si="44"/>
        <v>1.5921168076163021</v>
      </c>
      <c r="N348" s="39">
        <f t="shared" si="45"/>
        <v>61.662418811148562</v>
      </c>
      <c r="O348" s="40">
        <f>1</f>
        <v>1</v>
      </c>
      <c r="P348" s="38">
        <f>INDEX(Cables!$AS:$AS,MATCH(B348,Cables!$A:$A,0))+INDEX(Cables!$AT:$AT,MATCH(B348,Cables!$A:$A,0))*SQRT(C348)+INDEX(Cables!$AU:$AU,MATCH(B348,Cables!$A:$A,0))*C348</f>
        <v>24.326796901032385</v>
      </c>
      <c r="Q348" s="41">
        <f t="shared" si="46"/>
        <v>3.2759230139900453E-5</v>
      </c>
      <c r="R348" s="39">
        <f t="shared" si="47"/>
        <v>1.0731671593589622E-9</v>
      </c>
      <c r="S348" s="40" t="b">
        <f>IF(B348=B347,C348&gt;C347,COUNTIF(B$1:B347,B348)=0)</f>
        <v>1</v>
      </c>
      <c r="T348" s="37"/>
    </row>
    <row r="349" spans="1:20" x14ac:dyDescent="0.25">
      <c r="A349" s="37" t="s">
        <v>1075</v>
      </c>
      <c r="B349" s="37" t="s">
        <v>401</v>
      </c>
      <c r="C349" s="37">
        <v>1700</v>
      </c>
      <c r="D349" s="37">
        <v>26.038</v>
      </c>
      <c r="E349" s="37" t="s">
        <v>771</v>
      </c>
      <c r="F349" s="37">
        <v>20</v>
      </c>
      <c r="G349" s="37" t="s">
        <v>410</v>
      </c>
      <c r="H349" s="37" t="s">
        <v>1047</v>
      </c>
      <c r="I349" s="38">
        <f t="shared" si="40"/>
        <v>26.038</v>
      </c>
      <c r="J349" s="38">
        <f t="shared" si="41"/>
        <v>7.4383835300443071</v>
      </c>
      <c r="K349" s="38">
        <f t="shared" si="42"/>
        <v>3.2595570094752055</v>
      </c>
      <c r="L349" s="39">
        <f t="shared" si="43"/>
        <v>3.8405407481373374E-2</v>
      </c>
      <c r="M349" s="39">
        <f t="shared" si="44"/>
        <v>1.5834955164058917</v>
      </c>
      <c r="N349" s="39">
        <f t="shared" si="45"/>
        <v>65.289192718334746</v>
      </c>
      <c r="O349" s="40">
        <f>1</f>
        <v>1</v>
      </c>
      <c r="P349" s="38">
        <f>INDEX(Cables!$AS:$AS,MATCH(B349,Cables!$A:$A,0))+INDEX(Cables!$AT:$AT,MATCH(B349,Cables!$A:$A,0))*SQRT(C349)+INDEX(Cables!$AU:$AU,MATCH(B349,Cables!$A:$A,0))*C349</f>
        <v>26.038567776765305</v>
      </c>
      <c r="Q349" s="41">
        <f t="shared" si="46"/>
        <v>2.1805698029897513E-5</v>
      </c>
      <c r="R349" s="39">
        <f t="shared" si="47"/>
        <v>4.754884665710763E-10</v>
      </c>
      <c r="S349" s="40" t="b">
        <f>IF(B349=B348,C349&gt;C348,COUNTIF(B$1:B348,B349)=0)</f>
        <v>1</v>
      </c>
      <c r="T349" s="37"/>
    </row>
    <row r="350" spans="1:20" x14ac:dyDescent="0.25">
      <c r="A350" s="37" t="s">
        <v>1076</v>
      </c>
      <c r="B350" s="37" t="s">
        <v>401</v>
      </c>
      <c r="C350" s="37">
        <v>1800</v>
      </c>
      <c r="D350" s="37">
        <v>26.861999999999998</v>
      </c>
      <c r="E350" s="37" t="s">
        <v>771</v>
      </c>
      <c r="F350" s="37">
        <v>20</v>
      </c>
      <c r="G350" s="37" t="s">
        <v>410</v>
      </c>
      <c r="H350" s="37" t="s">
        <v>1047</v>
      </c>
      <c r="I350" s="38">
        <f t="shared" si="40"/>
        <v>26.861999999999998</v>
      </c>
      <c r="J350" s="38">
        <f t="shared" si="41"/>
        <v>7.4955419438842563</v>
      </c>
      <c r="K350" s="38">
        <f t="shared" si="42"/>
        <v>3.2907126484868834</v>
      </c>
      <c r="L350" s="39">
        <f t="shared" si="43"/>
        <v>3.7227309954582684E-2</v>
      </c>
      <c r="M350" s="39">
        <f t="shared" si="44"/>
        <v>1.5794209988531329</v>
      </c>
      <c r="N350" s="39">
        <f t="shared" si="45"/>
        <v>67.009157918248832</v>
      </c>
      <c r="O350" s="40">
        <f>1</f>
        <v>1</v>
      </c>
      <c r="P350" s="38">
        <f>INDEX(Cables!$AS:$AS,MATCH(B350,Cables!$A:$A,0))+INDEX(Cables!$AT:$AT,MATCH(B350,Cables!$A:$A,0))*SQRT(C350)+INDEX(Cables!$AU:$AU,MATCH(B350,Cables!$A:$A,0))*C350</f>
        <v>26.862663073630582</v>
      </c>
      <c r="Q350" s="41">
        <f t="shared" si="46"/>
        <v>2.4684447568423806E-5</v>
      </c>
      <c r="R350" s="39">
        <f t="shared" si="47"/>
        <v>6.0932195175826392E-10</v>
      </c>
      <c r="S350" s="40" t="b">
        <f>IF(B350=B349,C350&gt;C349,COUNTIF(B$1:B349,B350)=0)</f>
        <v>1</v>
      </c>
      <c r="T350" s="37"/>
    </row>
    <row r="351" spans="1:20" x14ac:dyDescent="0.25">
      <c r="A351" s="37" t="s">
        <v>1077</v>
      </c>
      <c r="B351" s="37" t="s">
        <v>401</v>
      </c>
      <c r="C351" s="37">
        <v>2000</v>
      </c>
      <c r="D351" s="37">
        <v>28.454999999999998</v>
      </c>
      <c r="E351" s="37" t="s">
        <v>771</v>
      </c>
      <c r="F351" s="37">
        <v>20</v>
      </c>
      <c r="G351" s="37" t="s">
        <v>410</v>
      </c>
      <c r="H351" s="37" t="s">
        <v>1047</v>
      </c>
      <c r="I351" s="38">
        <f t="shared" si="40"/>
        <v>28.454999999999998</v>
      </c>
      <c r="J351" s="38">
        <f t="shared" si="41"/>
        <v>7.6009024595420822</v>
      </c>
      <c r="K351" s="38">
        <f t="shared" si="42"/>
        <v>3.3483238920550873</v>
      </c>
      <c r="L351" s="39">
        <f t="shared" si="43"/>
        <v>3.5143208574942894E-2</v>
      </c>
      <c r="M351" s="39">
        <f t="shared" si="44"/>
        <v>1.5716520664205165</v>
      </c>
      <c r="N351" s="39">
        <f t="shared" si="45"/>
        <v>70.286417149885793</v>
      </c>
      <c r="O351" s="40">
        <f>1</f>
        <v>1</v>
      </c>
      <c r="P351" s="38">
        <f>INDEX(Cables!$AS:$AS,MATCH(B351,Cables!$A:$A,0))+INDEX(Cables!$AT:$AT,MATCH(B351,Cables!$A:$A,0))*SQRT(C351)+INDEX(Cables!$AU:$AU,MATCH(B351,Cables!$A:$A,0))*C351</f>
        <v>28.455771928881216</v>
      </c>
      <c r="Q351" s="41">
        <f t="shared" si="46"/>
        <v>2.7128057677572315E-5</v>
      </c>
      <c r="R351" s="39">
        <f t="shared" si="47"/>
        <v>7.3593151335769016E-10</v>
      </c>
      <c r="S351" s="40" t="b">
        <f>IF(B351=B350,C351&gt;C350,COUNTIF(B$1:B350,B351)=0)</f>
        <v>1</v>
      </c>
      <c r="T351" s="37"/>
    </row>
    <row r="352" spans="1:20" x14ac:dyDescent="0.25">
      <c r="A352" s="37" t="s">
        <v>1078</v>
      </c>
      <c r="B352" s="37" t="s">
        <v>401</v>
      </c>
      <c r="C352" s="37">
        <v>2100</v>
      </c>
      <c r="D352" s="37">
        <v>29.227</v>
      </c>
      <c r="E352" s="37" t="s">
        <v>771</v>
      </c>
      <c r="F352" s="37">
        <v>20</v>
      </c>
      <c r="G352" s="37" t="s">
        <v>410</v>
      </c>
      <c r="H352" s="37" t="s">
        <v>1047</v>
      </c>
      <c r="I352" s="38">
        <f t="shared" si="40"/>
        <v>29.227</v>
      </c>
      <c r="J352" s="38">
        <f t="shared" si="41"/>
        <v>7.6496926237115144</v>
      </c>
      <c r="K352" s="38">
        <f t="shared" si="42"/>
        <v>3.3750929395760472</v>
      </c>
      <c r="L352" s="39">
        <f t="shared" si="43"/>
        <v>3.4214938242036474E-2</v>
      </c>
      <c r="M352" s="39">
        <f t="shared" si="44"/>
        <v>1.5679254439237142</v>
      </c>
      <c r="N352" s="39">
        <f t="shared" si="45"/>
        <v>71.851370308276586</v>
      </c>
      <c r="O352" s="40">
        <f>1</f>
        <v>1</v>
      </c>
      <c r="P352" s="38">
        <f>INDEX(Cables!$AS:$AS,MATCH(B352,Cables!$A:$A,0))+INDEX(Cables!$AT:$AT,MATCH(B352,Cables!$A:$A,0))*SQRT(C352)+INDEX(Cables!$AU:$AU,MATCH(B352,Cables!$A:$A,0))*C352</f>
        <v>29.227544123587851</v>
      </c>
      <c r="Q352" s="41">
        <f t="shared" si="46"/>
        <v>1.8617154954325699E-5</v>
      </c>
      <c r="R352" s="39">
        <f t="shared" si="47"/>
        <v>3.4659845859337393E-10</v>
      </c>
      <c r="S352" s="40" t="b">
        <f>IF(B352=B351,C352&gt;C351,COUNTIF(B$1:B351,B352)=0)</f>
        <v>1</v>
      </c>
      <c r="T352" s="37"/>
    </row>
    <row r="353" spans="1:20" x14ac:dyDescent="0.25">
      <c r="A353" s="37" t="s">
        <v>1079</v>
      </c>
      <c r="B353" s="37" t="s">
        <v>401</v>
      </c>
      <c r="C353" s="37">
        <v>2200</v>
      </c>
      <c r="D353" s="37">
        <v>29.984000000000002</v>
      </c>
      <c r="E353" s="37" t="s">
        <v>771</v>
      </c>
      <c r="F353" s="37">
        <v>20</v>
      </c>
      <c r="G353" s="37" t="s">
        <v>410</v>
      </c>
      <c r="H353" s="37" t="s">
        <v>1047</v>
      </c>
      <c r="I353" s="38">
        <f t="shared" si="40"/>
        <v>29.984000000000002</v>
      </c>
      <c r="J353" s="38">
        <f t="shared" si="41"/>
        <v>7.696212639346407</v>
      </c>
      <c r="K353" s="38">
        <f t="shared" si="42"/>
        <v>3.4006639060560118</v>
      </c>
      <c r="L353" s="39">
        <f t="shared" si="43"/>
        <v>3.3351120597652079E-2</v>
      </c>
      <c r="M353" s="39">
        <f t="shared" si="44"/>
        <v>1.5643062165899912</v>
      </c>
      <c r="N353" s="39">
        <f t="shared" si="45"/>
        <v>73.372465314834571</v>
      </c>
      <c r="O353" s="40">
        <f>1</f>
        <v>1</v>
      </c>
      <c r="P353" s="38">
        <f>INDEX(Cables!$AS:$AS,MATCH(B353,Cables!$A:$A,0))+INDEX(Cables!$AT:$AT,MATCH(B353,Cables!$A:$A,0))*SQRT(C353)+INDEX(Cables!$AU:$AU,MATCH(B353,Cables!$A:$A,0))*C353</f>
        <v>29.984361039960973</v>
      </c>
      <c r="Q353" s="41">
        <f t="shared" si="46"/>
        <v>1.2041087278813478E-5</v>
      </c>
      <c r="R353" s="39">
        <f t="shared" si="47"/>
        <v>1.4498778285600378E-10</v>
      </c>
      <c r="S353" s="40" t="b">
        <f>IF(B353=B352,C353&gt;C352,COUNTIF(B$1:B352,B353)=0)</f>
        <v>1</v>
      </c>
      <c r="T353" s="37"/>
    </row>
    <row r="354" spans="1:20" x14ac:dyDescent="0.25">
      <c r="A354" s="37" t="s">
        <v>1080</v>
      </c>
      <c r="B354" s="37" t="s">
        <v>401</v>
      </c>
      <c r="C354" s="37">
        <v>2300</v>
      </c>
      <c r="D354" s="37">
        <v>30.727</v>
      </c>
      <c r="E354" s="37" t="s">
        <v>771</v>
      </c>
      <c r="F354" s="37">
        <v>20</v>
      </c>
      <c r="G354" s="37" t="s">
        <v>410</v>
      </c>
      <c r="H354" s="37" t="s">
        <v>1047</v>
      </c>
      <c r="I354" s="38">
        <f t="shared" si="40"/>
        <v>30.727</v>
      </c>
      <c r="J354" s="38">
        <f t="shared" si="41"/>
        <v>7.7406644019172415</v>
      </c>
      <c r="K354" s="38">
        <f t="shared" si="42"/>
        <v>3.4251417469056138</v>
      </c>
      <c r="L354" s="39">
        <f t="shared" si="43"/>
        <v>3.2544667556220916E-2</v>
      </c>
      <c r="M354" s="39">
        <f t="shared" si="44"/>
        <v>1.5607874258185699</v>
      </c>
      <c r="N354" s="39">
        <f t="shared" si="45"/>
        <v>74.852735379308101</v>
      </c>
      <c r="O354" s="40">
        <f>1</f>
        <v>1</v>
      </c>
      <c r="P354" s="38">
        <f>INDEX(Cables!$AS:$AS,MATCH(B354,Cables!$A:$A,0))+INDEX(Cables!$AT:$AT,MATCH(B354,Cables!$A:$A,0))*SQRT(C354)+INDEX(Cables!$AU:$AU,MATCH(B354,Cables!$A:$A,0))*C354</f>
        <v>30.727231558942037</v>
      </c>
      <c r="Q354" s="41">
        <f t="shared" si="46"/>
        <v>7.5360087883336035E-6</v>
      </c>
      <c r="R354" s="39">
        <f t="shared" si="47"/>
        <v>5.6791428457841305E-11</v>
      </c>
      <c r="S354" s="40" t="b">
        <f>IF(B354=B353,C354&gt;C353,COUNTIF(B$1:B353,B354)=0)</f>
        <v>1</v>
      </c>
      <c r="T354" s="37"/>
    </row>
    <row r="355" spans="1:20" x14ac:dyDescent="0.25">
      <c r="A355" s="37" t="s">
        <v>1081</v>
      </c>
      <c r="B355" s="37" t="s">
        <v>401</v>
      </c>
      <c r="C355" s="37">
        <v>2500</v>
      </c>
      <c r="D355" s="37">
        <v>32.173999999999999</v>
      </c>
      <c r="E355" s="37" t="s">
        <v>771</v>
      </c>
      <c r="F355" s="37">
        <v>20</v>
      </c>
      <c r="G355" s="37" t="s">
        <v>410</v>
      </c>
      <c r="H355" s="37" t="s">
        <v>1047</v>
      </c>
      <c r="I355" s="38">
        <f t="shared" si="40"/>
        <v>32.173999999999999</v>
      </c>
      <c r="J355" s="38">
        <f t="shared" si="41"/>
        <v>7.8240460108562919</v>
      </c>
      <c r="K355" s="38">
        <f t="shared" si="42"/>
        <v>3.4711586729681163</v>
      </c>
      <c r="L355" s="39">
        <f t="shared" si="43"/>
        <v>3.1080997078386276E-2</v>
      </c>
      <c r="M355" s="39">
        <f t="shared" si="44"/>
        <v>1.5540498539193137</v>
      </c>
      <c r="N355" s="39">
        <f t="shared" si="45"/>
        <v>77.702492695965688</v>
      </c>
      <c r="O355" s="40">
        <f>1</f>
        <v>1</v>
      </c>
      <c r="P355" s="38">
        <f>INDEX(Cables!$AS:$AS,MATCH(B355,Cables!$A:$A,0))+INDEX(Cables!$AT:$AT,MATCH(B355,Cables!$A:$A,0))*SQRT(C355)+INDEX(Cables!$AU:$AU,MATCH(B355,Cables!$A:$A,0))*C355</f>
        <v>32.174641740832634</v>
      </c>
      <c r="Q355" s="41">
        <f t="shared" si="46"/>
        <v>1.9945944944144145E-5</v>
      </c>
      <c r="R355" s="39">
        <f t="shared" si="47"/>
        <v>3.9784071971482938E-10</v>
      </c>
      <c r="S355" s="40" t="b">
        <f>IF(B355=B354,C355&gt;C354,COUNTIF(B$1:B354,B355)=0)</f>
        <v>1</v>
      </c>
      <c r="T355" s="37"/>
    </row>
    <row r="356" spans="1:20" x14ac:dyDescent="0.25">
      <c r="A356" s="37" t="s">
        <v>1082</v>
      </c>
      <c r="B356" s="37" t="s">
        <v>401</v>
      </c>
      <c r="C356" s="37">
        <v>2700</v>
      </c>
      <c r="D356" s="37">
        <v>33.576000000000001</v>
      </c>
      <c r="E356" s="37" t="s">
        <v>771</v>
      </c>
      <c r="F356" s="37">
        <v>20</v>
      </c>
      <c r="G356" s="37" t="s">
        <v>410</v>
      </c>
      <c r="H356" s="37" t="s">
        <v>1047</v>
      </c>
      <c r="I356" s="38">
        <f t="shared" si="40"/>
        <v>33.576000000000001</v>
      </c>
      <c r="J356" s="38">
        <f t="shared" si="41"/>
        <v>7.90100705199242</v>
      </c>
      <c r="K356" s="38">
        <f t="shared" si="42"/>
        <v>3.5138115260312897</v>
      </c>
      <c r="L356" s="39">
        <f t="shared" si="43"/>
        <v>2.9783178460805335E-2</v>
      </c>
      <c r="M356" s="39">
        <f t="shared" si="44"/>
        <v>1.5475793491501764</v>
      </c>
      <c r="N356" s="39">
        <f t="shared" si="45"/>
        <v>80.414581844174407</v>
      </c>
      <c r="O356" s="40">
        <f>1</f>
        <v>1</v>
      </c>
      <c r="P356" s="38">
        <f>INDEX(Cables!$AS:$AS,MATCH(B356,Cables!$A:$A,0))+INDEX(Cables!$AT:$AT,MATCH(B356,Cables!$A:$A,0))*SQRT(C356)+INDEX(Cables!$AU:$AU,MATCH(B356,Cables!$A:$A,0))*C356</f>
        <v>33.57593757599598</v>
      </c>
      <c r="Q356" s="41">
        <f t="shared" si="46"/>
        <v>-1.859185251973372E-6</v>
      </c>
      <c r="R356" s="39">
        <f t="shared" si="47"/>
        <v>3.456569801155291E-12</v>
      </c>
      <c r="S356" s="40" t="b">
        <f>IF(B356=B355,C356&gt;C355,COUNTIF(B$1:B355,B356)=0)</f>
        <v>1</v>
      </c>
      <c r="T356" s="37"/>
    </row>
    <row r="357" spans="1:20" x14ac:dyDescent="0.25">
      <c r="A357" s="37" t="s">
        <v>1083</v>
      </c>
      <c r="B357" s="37" t="s">
        <v>401</v>
      </c>
      <c r="C357" s="37">
        <v>3000</v>
      </c>
      <c r="D357" s="37">
        <v>35.601999999999997</v>
      </c>
      <c r="E357" s="37" t="s">
        <v>771</v>
      </c>
      <c r="F357" s="37">
        <v>20</v>
      </c>
      <c r="G357" s="37" t="s">
        <v>410</v>
      </c>
      <c r="H357" s="37" t="s">
        <v>1047</v>
      </c>
      <c r="I357" s="38">
        <f t="shared" si="40"/>
        <v>35.601999999999997</v>
      </c>
      <c r="J357" s="38">
        <f t="shared" si="41"/>
        <v>8.0063675676502459</v>
      </c>
      <c r="K357" s="38">
        <f t="shared" si="42"/>
        <v>3.5724018160552413</v>
      </c>
      <c r="L357" s="39">
        <f t="shared" si="43"/>
        <v>2.8088309645525535E-2</v>
      </c>
      <c r="M357" s="39">
        <f t="shared" si="44"/>
        <v>1.5384600795044272</v>
      </c>
      <c r="N357" s="39">
        <f t="shared" si="45"/>
        <v>84.264928936576609</v>
      </c>
      <c r="O357" s="40">
        <f>1</f>
        <v>1</v>
      </c>
      <c r="P357" s="38">
        <f>INDEX(Cables!$AS:$AS,MATCH(B357,Cables!$A:$A,0))+INDEX(Cables!$AT:$AT,MATCH(B357,Cables!$A:$A,0))*SQRT(C357)+INDEX(Cables!$AU:$AU,MATCH(B357,Cables!$A:$A,0))*C357</f>
        <v>35.602201144122731</v>
      </c>
      <c r="Q357" s="41">
        <f t="shared" si="46"/>
        <v>5.6497984026737669E-6</v>
      </c>
      <c r="R357" s="39">
        <f t="shared" si="47"/>
        <v>3.192022199085505E-11</v>
      </c>
      <c r="S357" s="40" t="b">
        <f>IF(B357=B356,C357&gt;C356,COUNTIF(B$1:B356,B357)=0)</f>
        <v>1</v>
      </c>
      <c r="T357" s="37"/>
    </row>
    <row r="358" spans="1:20" x14ac:dyDescent="0.25">
      <c r="A358" s="37" t="s">
        <v>1084</v>
      </c>
      <c r="B358" s="37" t="s">
        <v>401</v>
      </c>
      <c r="C358" s="37">
        <v>3400</v>
      </c>
      <c r="D358" s="37">
        <v>38.183</v>
      </c>
      <c r="E358" s="37" t="s">
        <v>771</v>
      </c>
      <c r="F358" s="37">
        <v>20</v>
      </c>
      <c r="G358" s="37" t="s">
        <v>410</v>
      </c>
      <c r="H358" s="37" t="s">
        <v>1047</v>
      </c>
      <c r="I358" s="38">
        <f t="shared" si="40"/>
        <v>38.183</v>
      </c>
      <c r="J358" s="38">
        <f t="shared" si="41"/>
        <v>8.1315307106042525</v>
      </c>
      <c r="K358" s="38">
        <f t="shared" si="42"/>
        <v>3.6423903903809807</v>
      </c>
      <c r="L358" s="39">
        <f t="shared" si="43"/>
        <v>2.6189665557970823E-2</v>
      </c>
      <c r="M358" s="39">
        <f t="shared" si="44"/>
        <v>1.5271068001061467</v>
      </c>
      <c r="N358" s="39">
        <f t="shared" si="45"/>
        <v>89.044862897100799</v>
      </c>
      <c r="O358" s="40">
        <f>1</f>
        <v>1</v>
      </c>
      <c r="P358" s="38">
        <f>INDEX(Cables!$AS:$AS,MATCH(B358,Cables!$A:$A,0))+INDEX(Cables!$AT:$AT,MATCH(B358,Cables!$A:$A,0))*SQRT(C358)+INDEX(Cables!$AU:$AU,MATCH(B358,Cables!$A:$A,0))*C358</f>
        <v>38.182860238777693</v>
      </c>
      <c r="Q358" s="41">
        <f t="shared" si="46"/>
        <v>-3.6602996702495005E-6</v>
      </c>
      <c r="R358" s="39">
        <f t="shared" si="47"/>
        <v>1.3397793676028603E-11</v>
      </c>
      <c r="S358" s="40" t="b">
        <f>IF(B358=B357,C358&gt;C357,COUNTIF(B$1:B357,B358)=0)</f>
        <v>1</v>
      </c>
      <c r="T358" s="37"/>
    </row>
    <row r="359" spans="1:20" x14ac:dyDescent="0.25">
      <c r="A359" s="37" t="s">
        <v>1085</v>
      </c>
      <c r="B359" s="37" t="s">
        <v>401</v>
      </c>
      <c r="C359" s="37">
        <v>4000</v>
      </c>
      <c r="D359" s="37">
        <v>41.841000000000001</v>
      </c>
      <c r="E359" s="37" t="s">
        <v>771</v>
      </c>
      <c r="F359" s="37">
        <v>20</v>
      </c>
      <c r="G359" s="37" t="s">
        <v>410</v>
      </c>
      <c r="H359" s="37" t="s">
        <v>1047</v>
      </c>
      <c r="I359" s="38">
        <f t="shared" si="40"/>
        <v>41.841000000000001</v>
      </c>
      <c r="J359" s="38">
        <f t="shared" si="41"/>
        <v>8.2940496401020276</v>
      </c>
      <c r="K359" s="38">
        <f t="shared" si="42"/>
        <v>3.733876720044667</v>
      </c>
      <c r="L359" s="39">
        <f t="shared" si="43"/>
        <v>2.3900002390000237E-2</v>
      </c>
      <c r="M359" s="39">
        <f t="shared" si="44"/>
        <v>1.5115688727173726</v>
      </c>
      <c r="N359" s="39">
        <f t="shared" si="45"/>
        <v>95.600009560000956</v>
      </c>
      <c r="O359" s="40">
        <f>1</f>
        <v>1</v>
      </c>
      <c r="P359" s="38">
        <f>INDEX(Cables!$AS:$AS,MATCH(B359,Cables!$A:$A,0))+INDEX(Cables!$AT:$AT,MATCH(B359,Cables!$A:$A,0))*SQRT(C359)+INDEX(Cables!$AU:$AU,MATCH(B359,Cables!$A:$A,0))*C359</f>
        <v>41.841077393501891</v>
      </c>
      <c r="Q359" s="41">
        <f t="shared" si="46"/>
        <v>1.8497048801524585E-6</v>
      </c>
      <c r="R359" s="39">
        <f t="shared" si="47"/>
        <v>3.4214081436598208E-12</v>
      </c>
      <c r="S359" s="40" t="b">
        <f>IF(B359=B358,C359&gt;C358,COUNTIF(B$1:B358,B359)=0)</f>
        <v>1</v>
      </c>
      <c r="T359" s="37"/>
    </row>
    <row r="360" spans="1:20" x14ac:dyDescent="0.25">
      <c r="A360" s="37" t="s">
        <v>1086</v>
      </c>
      <c r="B360" s="37" t="s">
        <v>401</v>
      </c>
      <c r="C360" s="37">
        <v>5000</v>
      </c>
      <c r="D360" s="37">
        <v>47.5</v>
      </c>
      <c r="E360" s="37" t="s">
        <v>771</v>
      </c>
      <c r="F360" s="37">
        <v>20</v>
      </c>
      <c r="G360" s="37" t="s">
        <v>410</v>
      </c>
      <c r="H360" s="37" t="s">
        <v>1047</v>
      </c>
      <c r="I360" s="38">
        <f t="shared" si="40"/>
        <v>47.5</v>
      </c>
      <c r="J360" s="38">
        <f t="shared" si="41"/>
        <v>8.5171931914162382</v>
      </c>
      <c r="K360" s="38">
        <f t="shared" si="42"/>
        <v>3.8607297110405954</v>
      </c>
      <c r="L360" s="39">
        <f t="shared" si="43"/>
        <v>2.1052631578947368E-2</v>
      </c>
      <c r="M360" s="39">
        <f t="shared" si="44"/>
        <v>1.4886458551295738</v>
      </c>
      <c r="N360" s="39">
        <f t="shared" si="45"/>
        <v>105.26315789473684</v>
      </c>
      <c r="O360" s="40">
        <f>1</f>
        <v>1</v>
      </c>
      <c r="P360" s="38">
        <f>INDEX(Cables!$AS:$AS,MATCH(B360,Cables!$A:$A,0))+INDEX(Cables!$AT:$AT,MATCH(B360,Cables!$A:$A,0))*SQRT(C360)+INDEX(Cables!$AU:$AU,MATCH(B360,Cables!$A:$A,0))*C360</f>
        <v>47.499977284558987</v>
      </c>
      <c r="Q360" s="41">
        <f t="shared" si="46"/>
        <v>-4.7821981075113484E-7</v>
      </c>
      <c r="R360" s="39">
        <f t="shared" si="47"/>
        <v>2.2869418739485123E-13</v>
      </c>
      <c r="S360" s="40" t="b">
        <f>IF(B360=B359,C360&gt;C359,COUNTIF(B$1:B359,B360)=0)</f>
        <v>1</v>
      </c>
      <c r="T360" s="37"/>
    </row>
    <row r="361" spans="1:20" x14ac:dyDescent="0.25">
      <c r="A361" s="37" t="s">
        <v>1087</v>
      </c>
      <c r="B361" s="37" t="s">
        <v>401</v>
      </c>
      <c r="C361" s="37">
        <v>6000</v>
      </c>
      <c r="D361" s="37">
        <v>52.747</v>
      </c>
      <c r="E361" s="37" t="s">
        <v>771</v>
      </c>
      <c r="F361" s="37">
        <v>20</v>
      </c>
      <c r="G361" s="37" t="s">
        <v>410</v>
      </c>
      <c r="H361" s="37" t="s">
        <v>1047</v>
      </c>
      <c r="I361" s="38">
        <f t="shared" si="40"/>
        <v>52.747</v>
      </c>
      <c r="J361" s="38">
        <f t="shared" si="41"/>
        <v>8.6995147482101913</v>
      </c>
      <c r="K361" s="38">
        <f t="shared" si="42"/>
        <v>3.9655068987009856</v>
      </c>
      <c r="L361" s="39">
        <f t="shared" si="43"/>
        <v>1.8958424175782508E-2</v>
      </c>
      <c r="M361" s="39">
        <f t="shared" si="44"/>
        <v>1.4685132220628345</v>
      </c>
      <c r="N361" s="39">
        <f t="shared" si="45"/>
        <v>113.75054505469505</v>
      </c>
      <c r="O361" s="40">
        <f>1</f>
        <v>1</v>
      </c>
      <c r="P361" s="38">
        <f>INDEX(Cables!$AS:$AS,MATCH(B361,Cables!$A:$A,0))+INDEX(Cables!$AT:$AT,MATCH(B361,Cables!$A:$A,0))*SQRT(C361)+INDEX(Cables!$AU:$AU,MATCH(B361,Cables!$A:$A,0))*C361</f>
        <v>52.746902044826797</v>
      </c>
      <c r="Q361" s="41">
        <f t="shared" si="46"/>
        <v>-1.8570757237545976E-6</v>
      </c>
      <c r="R361" s="39">
        <f t="shared" si="47"/>
        <v>3.4487302437586627E-12</v>
      </c>
      <c r="S361" s="40" t="b">
        <f>IF(B361=B360,C361&gt;C360,COUNTIF(B$1:B360,B361)=0)</f>
        <v>1</v>
      </c>
      <c r="T361" s="37"/>
    </row>
    <row r="362" spans="1:20" x14ac:dyDescent="0.25">
      <c r="A362" s="37" t="s">
        <v>1088</v>
      </c>
      <c r="B362" s="37" t="s">
        <v>401</v>
      </c>
      <c r="C362" s="37">
        <v>8000</v>
      </c>
      <c r="D362" s="37">
        <v>62.37</v>
      </c>
      <c r="E362" s="37" t="s">
        <v>771</v>
      </c>
      <c r="F362" s="37">
        <v>20</v>
      </c>
      <c r="G362" s="37" t="s">
        <v>410</v>
      </c>
      <c r="H362" s="37" t="s">
        <v>1047</v>
      </c>
      <c r="I362" s="38">
        <f t="shared" si="40"/>
        <v>62.37</v>
      </c>
      <c r="J362" s="38">
        <f t="shared" si="41"/>
        <v>8.987196820661973</v>
      </c>
      <c r="K362" s="38">
        <f t="shared" si="42"/>
        <v>4.1330843905380314</v>
      </c>
      <c r="L362" s="39">
        <f t="shared" si="43"/>
        <v>1.60333493666827E-2</v>
      </c>
      <c r="M362" s="39">
        <f t="shared" si="44"/>
        <v>1.434066363636229</v>
      </c>
      <c r="N362" s="39">
        <f t="shared" si="45"/>
        <v>128.2667949334616</v>
      </c>
      <c r="O362" s="40">
        <f>1</f>
        <v>1</v>
      </c>
      <c r="P362" s="38">
        <f>INDEX(Cables!$AS:$AS,MATCH(B362,Cables!$A:$A,0))+INDEX(Cables!$AT:$AT,MATCH(B362,Cables!$A:$A,0))*SQRT(C362)+INDEX(Cables!$AU:$AU,MATCH(B362,Cables!$A:$A,0))*C362</f>
        <v>62.36925298325724</v>
      </c>
      <c r="Q362" s="41">
        <f t="shared" si="46"/>
        <v>-1.1977180419342481E-5</v>
      </c>
      <c r="R362" s="39">
        <f t="shared" si="47"/>
        <v>1.4345285079748094E-10</v>
      </c>
      <c r="S362" s="40" t="b">
        <f>IF(B362=B361,C362&gt;C361,COUNTIF(B$1:B361,B362)=0)</f>
        <v>1</v>
      </c>
      <c r="T362" s="37"/>
    </row>
    <row r="363" spans="1:20" x14ac:dyDescent="0.25">
      <c r="A363" s="37" t="s">
        <v>1089</v>
      </c>
      <c r="B363" s="37" t="s">
        <v>401</v>
      </c>
      <c r="C363" s="37">
        <v>10000</v>
      </c>
      <c r="D363" s="37">
        <v>71.173000000000002</v>
      </c>
      <c r="E363" s="37" t="s">
        <v>771</v>
      </c>
      <c r="F363" s="37">
        <v>20</v>
      </c>
      <c r="G363" s="37" t="s">
        <v>410</v>
      </c>
      <c r="H363" s="37" t="s">
        <v>1047</v>
      </c>
      <c r="I363" s="38">
        <f t="shared" si="40"/>
        <v>71.173000000000002</v>
      </c>
      <c r="J363" s="38">
        <f t="shared" si="41"/>
        <v>9.2103403719761836</v>
      </c>
      <c r="K363" s="38">
        <f t="shared" si="42"/>
        <v>4.2651135330151684</v>
      </c>
      <c r="L363" s="39">
        <f t="shared" si="43"/>
        <v>1.4050271872760738E-2</v>
      </c>
      <c r="M363" s="39">
        <f t="shared" si="44"/>
        <v>1.4050271872760738</v>
      </c>
      <c r="N363" s="39">
        <f t="shared" si="45"/>
        <v>140.50271872760737</v>
      </c>
      <c r="O363" s="40">
        <f>1</f>
        <v>1</v>
      </c>
      <c r="P363" s="38">
        <f>INDEX(Cables!$AS:$AS,MATCH(B363,Cables!$A:$A,0))+INDEX(Cables!$AT:$AT,MATCH(B363,Cables!$A:$A,0))*SQRT(C363)+INDEX(Cables!$AU:$AU,MATCH(B363,Cables!$A:$A,0))*C363</f>
        <v>71.17139348989285</v>
      </c>
      <c r="Q363" s="41">
        <f t="shared" si="46"/>
        <v>-2.2571903771861912E-5</v>
      </c>
      <c r="R363" s="39">
        <f t="shared" si="47"/>
        <v>5.0949083988619399E-10</v>
      </c>
      <c r="S363" s="40" t="b">
        <f>IF(B363=B362,C363&gt;C362,COUNTIF(B$1:B362,B363)=0)</f>
        <v>1</v>
      </c>
      <c r="T363" s="37"/>
    </row>
    <row r="364" spans="1:20" x14ac:dyDescent="0.25">
      <c r="A364" s="37" t="s">
        <v>1090</v>
      </c>
      <c r="B364" s="37" t="s">
        <v>401</v>
      </c>
      <c r="C364" s="37">
        <v>12000</v>
      </c>
      <c r="D364" s="37">
        <v>79.393000000000001</v>
      </c>
      <c r="E364" s="37" t="s">
        <v>771</v>
      </c>
      <c r="F364" s="37">
        <v>20</v>
      </c>
      <c r="G364" s="37" t="s">
        <v>410</v>
      </c>
      <c r="H364" s="37" t="s">
        <v>1047</v>
      </c>
      <c r="I364" s="38">
        <f t="shared" si="40"/>
        <v>79.393000000000001</v>
      </c>
      <c r="J364" s="38">
        <f t="shared" si="41"/>
        <v>9.3926619287701367</v>
      </c>
      <c r="K364" s="38">
        <f t="shared" si="42"/>
        <v>4.374410203157594</v>
      </c>
      <c r="L364" s="39">
        <f t="shared" si="43"/>
        <v>1.2595568878868414E-2</v>
      </c>
      <c r="M364" s="39">
        <f t="shared" si="44"/>
        <v>1.3797754399132571</v>
      </c>
      <c r="N364" s="39">
        <f t="shared" si="45"/>
        <v>151.14682654642095</v>
      </c>
      <c r="O364" s="40">
        <f>1</f>
        <v>1</v>
      </c>
      <c r="P364" s="38">
        <f>INDEX(Cables!$AS:$AS,MATCH(B364,Cables!$A:$A,0))+INDEX(Cables!$AT:$AT,MATCH(B364,Cables!$A:$A,0))*SQRT(C364)+INDEX(Cables!$AU:$AU,MATCH(B364,Cables!$A:$A,0))*C364</f>
        <v>79.390913179205839</v>
      </c>
      <c r="Q364" s="41">
        <f t="shared" si="46"/>
        <v>-2.6284695050726725E-5</v>
      </c>
      <c r="R364" s="39">
        <f t="shared" si="47"/>
        <v>6.9088519390969797E-10</v>
      </c>
      <c r="S364" s="40" t="b">
        <f>IF(B364=B363,C364&gt;C363,COUNTIF(B$1:B363,B364)=0)</f>
        <v>1</v>
      </c>
      <c r="T364" s="37"/>
    </row>
    <row r="365" spans="1:20" x14ac:dyDescent="0.25">
      <c r="A365" s="37" t="s">
        <v>1091</v>
      </c>
      <c r="B365" s="37" t="s">
        <v>401</v>
      </c>
      <c r="C365" s="37">
        <v>14000</v>
      </c>
      <c r="D365" s="37">
        <v>87.171999999999997</v>
      </c>
      <c r="E365" s="37" t="s">
        <v>771</v>
      </c>
      <c r="F365" s="37">
        <v>20</v>
      </c>
      <c r="G365" s="37" t="s">
        <v>410</v>
      </c>
      <c r="H365" s="37" t="s">
        <v>1047</v>
      </c>
      <c r="I365" s="38">
        <f t="shared" si="40"/>
        <v>87.171999999999997</v>
      </c>
      <c r="J365" s="38">
        <f t="shared" si="41"/>
        <v>9.5468126085973957</v>
      </c>
      <c r="K365" s="38">
        <f t="shared" si="42"/>
        <v>4.4678831784335644</v>
      </c>
      <c r="L365" s="39">
        <f t="shared" si="43"/>
        <v>1.1471573441013169E-2</v>
      </c>
      <c r="M365" s="39">
        <f t="shared" si="44"/>
        <v>1.3573348742944102</v>
      </c>
      <c r="N365" s="39">
        <f t="shared" si="45"/>
        <v>160.60202817418437</v>
      </c>
      <c r="O365" s="40">
        <f>1</f>
        <v>1</v>
      </c>
      <c r="P365" s="38">
        <f>INDEX(Cables!$AS:$AS,MATCH(B365,Cables!$A:$A,0))+INDEX(Cables!$AT:$AT,MATCH(B365,Cables!$A:$A,0))*SQRT(C365)+INDEX(Cables!$AU:$AU,MATCH(B365,Cables!$A:$A,0))*C365</f>
        <v>87.16895118022714</v>
      </c>
      <c r="Q365" s="41">
        <f t="shared" si="46"/>
        <v>-3.4974759932748789E-5</v>
      </c>
      <c r="R365" s="39">
        <f t="shared" si="47"/>
        <v>1.2232338323534101E-9</v>
      </c>
      <c r="S365" s="40" t="b">
        <f>IF(B365=B364,C365&gt;C364,COUNTIF(B$1:B364,B365)=0)</f>
        <v>1</v>
      </c>
      <c r="T365" s="37"/>
    </row>
    <row r="366" spans="1:20" x14ac:dyDescent="0.25">
      <c r="A366" s="37" t="s">
        <v>1092</v>
      </c>
      <c r="B366" s="37" t="s">
        <v>401</v>
      </c>
      <c r="C366" s="37">
        <v>16000</v>
      </c>
      <c r="D366" s="37">
        <v>94.600999999999999</v>
      </c>
      <c r="E366" s="37" t="s">
        <v>771</v>
      </c>
      <c r="F366" s="37">
        <v>20</v>
      </c>
      <c r="G366" s="37" t="s">
        <v>410</v>
      </c>
      <c r="H366" s="37" t="s">
        <v>1047</v>
      </c>
      <c r="I366" s="38">
        <f t="shared" si="40"/>
        <v>94.600999999999999</v>
      </c>
      <c r="J366" s="38">
        <f t="shared" si="41"/>
        <v>9.6803440012219184</v>
      </c>
      <c r="K366" s="38">
        <f t="shared" si="42"/>
        <v>4.5496680468264863</v>
      </c>
      <c r="L366" s="39">
        <f t="shared" si="43"/>
        <v>1.0570712783162968E-2</v>
      </c>
      <c r="M366" s="39">
        <f t="shared" si="44"/>
        <v>1.3371011554501027</v>
      </c>
      <c r="N366" s="39">
        <f t="shared" si="45"/>
        <v>169.13140453060751</v>
      </c>
      <c r="O366" s="40">
        <f>1</f>
        <v>1</v>
      </c>
      <c r="P366" s="38">
        <f>INDEX(Cables!$AS:$AS,MATCH(B366,Cables!$A:$A,0))+INDEX(Cables!$AT:$AT,MATCH(B366,Cables!$A:$A,0))*SQRT(C366)+INDEX(Cables!$AU:$AU,MATCH(B366,Cables!$A:$A,0))*C366</f>
        <v>94.597467443429736</v>
      </c>
      <c r="Q366" s="41">
        <f t="shared" si="46"/>
        <v>-3.7341640894528183E-5</v>
      </c>
      <c r="R366" s="39">
        <f t="shared" si="47"/>
        <v>1.3943981446958996E-9</v>
      </c>
      <c r="S366" s="40" t="b">
        <f>IF(B366=B365,C366&gt;C365,COUNTIF(B$1:B365,B366)=0)</f>
        <v>1</v>
      </c>
      <c r="T366" s="37"/>
    </row>
    <row r="367" spans="1:20" x14ac:dyDescent="0.25">
      <c r="A367" s="37" t="s">
        <v>1093</v>
      </c>
      <c r="B367" s="37" t="s">
        <v>401</v>
      </c>
      <c r="C367" s="37">
        <v>18000</v>
      </c>
      <c r="D367" s="37">
        <v>101.745</v>
      </c>
      <c r="E367" s="37" t="s">
        <v>771</v>
      </c>
      <c r="F367" s="37">
        <v>20</v>
      </c>
      <c r="G367" s="37" t="s">
        <v>410</v>
      </c>
      <c r="H367" s="37" t="s">
        <v>1047</v>
      </c>
      <c r="I367" s="38">
        <f t="shared" si="40"/>
        <v>101.745</v>
      </c>
      <c r="J367" s="38">
        <f t="shared" si="41"/>
        <v>9.7981270368783022</v>
      </c>
      <c r="K367" s="38">
        <f t="shared" si="42"/>
        <v>4.6224696830661527</v>
      </c>
      <c r="L367" s="39">
        <f t="shared" si="43"/>
        <v>9.8284928006290226E-3</v>
      </c>
      <c r="M367" s="39">
        <f t="shared" si="44"/>
        <v>1.3186306811144268</v>
      </c>
      <c r="N367" s="39">
        <f t="shared" si="45"/>
        <v>176.91287041132242</v>
      </c>
      <c r="O367" s="40">
        <f>1</f>
        <v>1</v>
      </c>
      <c r="P367" s="38">
        <f>INDEX(Cables!$AS:$AS,MATCH(B367,Cables!$A:$A,0))+INDEX(Cables!$AT:$AT,MATCH(B367,Cables!$A:$A,0))*SQRT(C367)+INDEX(Cables!$AU:$AU,MATCH(B367,Cables!$A:$A,0))*C367</f>
        <v>101.7403375685644</v>
      </c>
      <c r="Q367" s="41">
        <f t="shared" si="46"/>
        <v>-4.5824673798322557E-5</v>
      </c>
      <c r="R367" s="39">
        <f t="shared" si="47"/>
        <v>2.0999007287226701E-9</v>
      </c>
      <c r="S367" s="40" t="b">
        <f>IF(B367=B366,C367&gt;C366,COUNTIF(B$1:B366,B367)=0)</f>
        <v>1</v>
      </c>
      <c r="T367" s="37"/>
    </row>
    <row r="368" spans="1:20" x14ac:dyDescent="0.25">
      <c r="A368" s="37" t="s">
        <v>1094</v>
      </c>
      <c r="B368" s="37" t="s">
        <v>411</v>
      </c>
      <c r="C368" s="37">
        <v>1</v>
      </c>
      <c r="D368" s="37">
        <v>0.56999999999999995</v>
      </c>
      <c r="E368" s="37" t="s">
        <v>771</v>
      </c>
      <c r="F368" s="37">
        <v>20</v>
      </c>
      <c r="G368" s="37" t="s">
        <v>419</v>
      </c>
      <c r="H368" s="37" t="s">
        <v>1095</v>
      </c>
      <c r="I368" s="38">
        <f t="shared" si="40"/>
        <v>0.56999999999999995</v>
      </c>
      <c r="J368" s="38">
        <f t="shared" si="41"/>
        <v>0</v>
      </c>
      <c r="K368" s="38">
        <f t="shared" si="42"/>
        <v>-0.56211891815354131</v>
      </c>
      <c r="L368" s="39">
        <f t="shared" si="43"/>
        <v>1.7543859649122808</v>
      </c>
      <c r="M368" s="39">
        <f t="shared" si="44"/>
        <v>1.7543859649122808</v>
      </c>
      <c r="N368" s="39">
        <f t="shared" si="45"/>
        <v>1.7543859649122808</v>
      </c>
      <c r="O368" s="40">
        <f>1</f>
        <v>1</v>
      </c>
      <c r="P368" s="38">
        <f>INDEX(Cables!$AS:$AS,MATCH(B368,Cables!$A:$A,0))+INDEX(Cables!$AT:$AT,MATCH(B368,Cables!$A:$A,0))*SQRT(C368)+INDEX(Cables!$AU:$AU,MATCH(B368,Cables!$A:$A,0))*C368</f>
        <v>0.56999487436355889</v>
      </c>
      <c r="Q368" s="41">
        <f t="shared" si="46"/>
        <v>-8.9923446334738699E-6</v>
      </c>
      <c r="R368" s="39">
        <f t="shared" si="47"/>
        <v>8.0862262007166311E-11</v>
      </c>
      <c r="S368" s="40" t="b">
        <f>IF(B368=B367,C368&gt;C367,COUNTIF(B$1:B367,B368)=0)</f>
        <v>1</v>
      </c>
      <c r="T368" s="37"/>
    </row>
    <row r="369" spans="1:20" x14ac:dyDescent="0.25">
      <c r="A369" s="37" t="s">
        <v>1096</v>
      </c>
      <c r="B369" s="37" t="s">
        <v>411</v>
      </c>
      <c r="C369" s="37">
        <v>100</v>
      </c>
      <c r="D369" s="37">
        <v>5.82</v>
      </c>
      <c r="E369" s="37" t="s">
        <v>771</v>
      </c>
      <c r="F369" s="37">
        <v>20</v>
      </c>
      <c r="G369" s="37" t="s">
        <v>419</v>
      </c>
      <c r="H369" s="37" t="s">
        <v>1095</v>
      </c>
      <c r="I369" s="38">
        <f t="shared" si="40"/>
        <v>5.82</v>
      </c>
      <c r="J369" s="38">
        <f t="shared" si="41"/>
        <v>4.6051701859880918</v>
      </c>
      <c r="K369" s="38">
        <f t="shared" si="42"/>
        <v>1.7613002617433464</v>
      </c>
      <c r="L369" s="39">
        <f t="shared" si="43"/>
        <v>0.1718213058419244</v>
      </c>
      <c r="M369" s="39">
        <f t="shared" si="44"/>
        <v>1.7182130584192439</v>
      </c>
      <c r="N369" s="39">
        <f t="shared" si="45"/>
        <v>17.182130584192439</v>
      </c>
      <c r="O369" s="40">
        <f>1</f>
        <v>1</v>
      </c>
      <c r="P369" s="38">
        <f>INDEX(Cables!$AS:$AS,MATCH(B369,Cables!$A:$A,0))+INDEX(Cables!$AT:$AT,MATCH(B369,Cables!$A:$A,0))*SQRT(C369)+INDEX(Cables!$AU:$AU,MATCH(B369,Cables!$A:$A,0))*C369</f>
        <v>5.8222770848007928</v>
      </c>
      <c r="Q369" s="41">
        <f t="shared" si="46"/>
        <v>3.9125168398501664E-4</v>
      </c>
      <c r="R369" s="39">
        <f t="shared" si="47"/>
        <v>1.5307788022111134E-7</v>
      </c>
      <c r="S369" s="40" t="b">
        <f>IF(B369=B368,C369&gt;C368,COUNTIF(B$1:B368,B369)=0)</f>
        <v>1</v>
      </c>
      <c r="T369" s="37"/>
    </row>
    <row r="370" spans="1:20" x14ac:dyDescent="0.25">
      <c r="A370" s="37" t="s">
        <v>1097</v>
      </c>
      <c r="B370" s="37" t="s">
        <v>411</v>
      </c>
      <c r="C370" s="37">
        <v>200</v>
      </c>
      <c r="D370" s="37">
        <v>8.33</v>
      </c>
      <c r="E370" s="37" t="s">
        <v>771</v>
      </c>
      <c r="F370" s="37">
        <v>20</v>
      </c>
      <c r="G370" s="37" t="s">
        <v>419</v>
      </c>
      <c r="H370" s="37" t="s">
        <v>1095</v>
      </c>
      <c r="I370" s="38">
        <f t="shared" si="40"/>
        <v>8.33</v>
      </c>
      <c r="J370" s="38">
        <f t="shared" si="41"/>
        <v>5.2983173665480363</v>
      </c>
      <c r="K370" s="38">
        <f t="shared" si="42"/>
        <v>2.1198634561787513</v>
      </c>
      <c r="L370" s="39">
        <f t="shared" si="43"/>
        <v>0.12004801920768307</v>
      </c>
      <c r="M370" s="39">
        <f t="shared" si="44"/>
        <v>1.6977353689953123</v>
      </c>
      <c r="N370" s="39">
        <f t="shared" si="45"/>
        <v>24.009603841536613</v>
      </c>
      <c r="O370" s="40">
        <f>1</f>
        <v>1</v>
      </c>
      <c r="P370" s="38">
        <f>INDEX(Cables!$AS:$AS,MATCH(B370,Cables!$A:$A,0))+INDEX(Cables!$AT:$AT,MATCH(B370,Cables!$A:$A,0))*SQRT(C370)+INDEX(Cables!$AU:$AU,MATCH(B370,Cables!$A:$A,0))*C370</f>
        <v>8.3266950217819833</v>
      </c>
      <c r="Q370" s="41">
        <f t="shared" si="46"/>
        <v>-3.9675608859746081E-4</v>
      </c>
      <c r="R370" s="39">
        <f t="shared" si="47"/>
        <v>1.5741539383915618E-7</v>
      </c>
      <c r="S370" s="40" t="b">
        <f>IF(B370=B369,C370&gt;C369,COUNTIF(B$1:B369,B370)=0)</f>
        <v>1</v>
      </c>
      <c r="T370" s="37"/>
    </row>
    <row r="371" spans="1:20" x14ac:dyDescent="0.25">
      <c r="A371" s="37" t="s">
        <v>1098</v>
      </c>
      <c r="B371" s="37" t="s">
        <v>411</v>
      </c>
      <c r="C371" s="37">
        <v>450</v>
      </c>
      <c r="D371" s="37">
        <v>12.73</v>
      </c>
      <c r="E371" s="37" t="s">
        <v>771</v>
      </c>
      <c r="F371" s="37">
        <v>20</v>
      </c>
      <c r="G371" s="37" t="s">
        <v>419</v>
      </c>
      <c r="H371" s="37" t="s">
        <v>1095</v>
      </c>
      <c r="I371" s="38">
        <f t="shared" si="40"/>
        <v>12.73</v>
      </c>
      <c r="J371" s="38">
        <f t="shared" si="41"/>
        <v>6.1092475827643655</v>
      </c>
      <c r="K371" s="38">
        <f t="shared" si="42"/>
        <v>2.5439614125693151</v>
      </c>
      <c r="L371" s="39">
        <f t="shared" si="43"/>
        <v>7.8554595443833461E-2</v>
      </c>
      <c r="M371" s="39">
        <f t="shared" si="44"/>
        <v>1.6663946139510153</v>
      </c>
      <c r="N371" s="39">
        <f t="shared" si="45"/>
        <v>35.349567949725056</v>
      </c>
      <c r="O371" s="40">
        <f>1</f>
        <v>1</v>
      </c>
      <c r="P371" s="38">
        <f>INDEX(Cables!$AS:$AS,MATCH(B371,Cables!$A:$A,0))+INDEX(Cables!$AT:$AT,MATCH(B371,Cables!$A:$A,0))*SQRT(C371)+INDEX(Cables!$AU:$AU,MATCH(B371,Cables!$A:$A,0))*C371</f>
        <v>12.728900841428851</v>
      </c>
      <c r="Q371" s="41">
        <f t="shared" si="46"/>
        <v>-8.6343956885226447E-5</v>
      </c>
      <c r="R371" s="39">
        <f t="shared" si="47"/>
        <v>7.4552788905978441E-9</v>
      </c>
      <c r="S371" s="40" t="b">
        <f>IF(B371=B370,C371&gt;C370,COUNTIF(B$1:B370,B371)=0)</f>
        <v>1</v>
      </c>
      <c r="T371" s="37"/>
    </row>
    <row r="372" spans="1:20" x14ac:dyDescent="0.25">
      <c r="A372" s="37" t="s">
        <v>1099</v>
      </c>
      <c r="B372" s="37" t="s">
        <v>411</v>
      </c>
      <c r="C372" s="37">
        <v>700</v>
      </c>
      <c r="D372" s="37">
        <v>16.100000000000001</v>
      </c>
      <c r="E372" s="37" t="s">
        <v>771</v>
      </c>
      <c r="F372" s="37">
        <v>20</v>
      </c>
      <c r="G372" s="37" t="s">
        <v>419</v>
      </c>
      <c r="H372" s="37" t="s">
        <v>1095</v>
      </c>
      <c r="I372" s="38">
        <f t="shared" si="40"/>
        <v>16.100000000000001</v>
      </c>
      <c r="J372" s="38">
        <f t="shared" si="41"/>
        <v>6.5510803350434044</v>
      </c>
      <c r="K372" s="38">
        <f t="shared" si="42"/>
        <v>2.7788192719904172</v>
      </c>
      <c r="L372" s="39">
        <f t="shared" si="43"/>
        <v>6.2111801242236017E-2</v>
      </c>
      <c r="M372" s="39">
        <f t="shared" si="44"/>
        <v>1.6433237956922921</v>
      </c>
      <c r="N372" s="39">
        <f t="shared" si="45"/>
        <v>43.478260869565212</v>
      </c>
      <c r="O372" s="40">
        <f>1</f>
        <v>1</v>
      </c>
      <c r="P372" s="38">
        <f>INDEX(Cables!$AS:$AS,MATCH(B372,Cables!$A:$A,0))+INDEX(Cables!$AT:$AT,MATCH(B372,Cables!$A:$A,0))*SQRT(C372)+INDEX(Cables!$AU:$AU,MATCH(B372,Cables!$A:$A,0))*C372</f>
        <v>16.097194095977351</v>
      </c>
      <c r="Q372" s="41">
        <f t="shared" si="46"/>
        <v>-1.74279752959694E-4</v>
      </c>
      <c r="R372" s="39">
        <f t="shared" si="47"/>
        <v>3.0373432291691971E-8</v>
      </c>
      <c r="S372" s="40" t="b">
        <f>IF(B372=B371,C372&gt;C371,COUNTIF(B$1:B371,B372)=0)</f>
        <v>1</v>
      </c>
      <c r="T372" s="37"/>
    </row>
    <row r="373" spans="1:20" x14ac:dyDescent="0.25">
      <c r="A373" s="37" t="s">
        <v>1100</v>
      </c>
      <c r="B373" s="37" t="s">
        <v>411</v>
      </c>
      <c r="C373" s="37">
        <v>800</v>
      </c>
      <c r="D373" s="37">
        <v>17.29</v>
      </c>
      <c r="E373" s="37" t="s">
        <v>771</v>
      </c>
      <c r="F373" s="37">
        <v>20</v>
      </c>
      <c r="G373" s="37" t="s">
        <v>419</v>
      </c>
      <c r="H373" s="37" t="s">
        <v>1095</v>
      </c>
      <c r="I373" s="38">
        <f t="shared" si="40"/>
        <v>17.29</v>
      </c>
      <c r="J373" s="38">
        <f t="shared" si="41"/>
        <v>6.6846117276679271</v>
      </c>
      <c r="K373" s="38">
        <f t="shared" si="42"/>
        <v>2.8501282996951991</v>
      </c>
      <c r="L373" s="39">
        <f t="shared" si="43"/>
        <v>5.7836899942163102E-2</v>
      </c>
      <c r="M373" s="39">
        <f t="shared" si="44"/>
        <v>1.6358745660764549</v>
      </c>
      <c r="N373" s="39">
        <f t="shared" si="45"/>
        <v>46.26951995373048</v>
      </c>
      <c r="O373" s="40">
        <f>1</f>
        <v>1</v>
      </c>
      <c r="P373" s="38">
        <f>INDEX(Cables!$AS:$AS,MATCH(B373,Cables!$A:$A,0))+INDEX(Cables!$AT:$AT,MATCH(B373,Cables!$A:$A,0))*SQRT(C373)+INDEX(Cables!$AU:$AU,MATCH(B373,Cables!$A:$A,0))*C373</f>
        <v>17.291149619560034</v>
      </c>
      <c r="Q373" s="41">
        <f t="shared" si="46"/>
        <v>6.6490431465338062E-5</v>
      </c>
      <c r="R373" s="39">
        <f t="shared" si="47"/>
        <v>4.4209774764468177E-9</v>
      </c>
      <c r="S373" s="40" t="b">
        <f>IF(B373=B372,C373&gt;C372,COUNTIF(B$1:B372,B373)=0)</f>
        <v>1</v>
      </c>
      <c r="T373" s="37"/>
    </row>
    <row r="374" spans="1:20" x14ac:dyDescent="0.25">
      <c r="A374" s="37" t="s">
        <v>1101</v>
      </c>
      <c r="B374" s="37" t="s">
        <v>411</v>
      </c>
      <c r="C374" s="37">
        <v>900</v>
      </c>
      <c r="D374" s="37">
        <v>18.420000000000002</v>
      </c>
      <c r="E374" s="37" t="s">
        <v>771</v>
      </c>
      <c r="F374" s="37">
        <v>20</v>
      </c>
      <c r="G374" s="37" t="s">
        <v>419</v>
      </c>
      <c r="H374" s="37" t="s">
        <v>1095</v>
      </c>
      <c r="I374" s="38">
        <f t="shared" si="40"/>
        <v>18.420000000000002</v>
      </c>
      <c r="J374" s="38">
        <f t="shared" si="41"/>
        <v>6.8023947633243109</v>
      </c>
      <c r="K374" s="38">
        <f t="shared" si="42"/>
        <v>2.9134370308271609</v>
      </c>
      <c r="L374" s="39">
        <f t="shared" si="43"/>
        <v>5.4288816503800214E-2</v>
      </c>
      <c r="M374" s="39">
        <f t="shared" si="44"/>
        <v>1.6286644951140063</v>
      </c>
      <c r="N374" s="39">
        <f t="shared" si="45"/>
        <v>48.859934853420192</v>
      </c>
      <c r="O374" s="40">
        <f>1</f>
        <v>1</v>
      </c>
      <c r="P374" s="38">
        <f>INDEX(Cables!$AS:$AS,MATCH(B374,Cables!$A:$A,0))+INDEX(Cables!$AT:$AT,MATCH(B374,Cables!$A:$A,0))*SQRT(C374)+INDEX(Cables!$AU:$AU,MATCH(B374,Cables!$A:$A,0))*C374</f>
        <v>18.422264489425888</v>
      </c>
      <c r="Q374" s="41">
        <f t="shared" si="46"/>
        <v>1.229364509167663E-4</v>
      </c>
      <c r="R374" s="39">
        <f t="shared" si="47"/>
        <v>1.511337096401049E-8</v>
      </c>
      <c r="S374" s="40" t="b">
        <f>IF(B374=B373,C374&gt;C373,COUNTIF(B$1:B373,B374)=0)</f>
        <v>1</v>
      </c>
      <c r="T374" s="37"/>
    </row>
    <row r="375" spans="1:20" x14ac:dyDescent="0.25">
      <c r="A375" s="37" t="s">
        <v>1102</v>
      </c>
      <c r="B375" s="37" t="s">
        <v>411</v>
      </c>
      <c r="C375" s="37">
        <v>1800</v>
      </c>
      <c r="D375" s="37">
        <v>26.9</v>
      </c>
      <c r="E375" s="37" t="s">
        <v>771</v>
      </c>
      <c r="F375" s="37">
        <v>20</v>
      </c>
      <c r="G375" s="37" t="s">
        <v>419</v>
      </c>
      <c r="H375" s="37" t="s">
        <v>1095</v>
      </c>
      <c r="I375" s="38">
        <f t="shared" si="40"/>
        <v>26.9</v>
      </c>
      <c r="J375" s="38">
        <f t="shared" si="41"/>
        <v>7.4955419438842563</v>
      </c>
      <c r="K375" s="38">
        <f t="shared" si="42"/>
        <v>3.2921262866077932</v>
      </c>
      <c r="L375" s="39">
        <f t="shared" si="43"/>
        <v>3.717472118959108E-2</v>
      </c>
      <c r="M375" s="39">
        <f t="shared" si="44"/>
        <v>1.5771898465127456</v>
      </c>
      <c r="N375" s="39">
        <f t="shared" si="45"/>
        <v>66.914498141263948</v>
      </c>
      <c r="O375" s="40">
        <f>1</f>
        <v>1</v>
      </c>
      <c r="P375" s="38">
        <f>INDEX(Cables!$AS:$AS,MATCH(B375,Cables!$A:$A,0))+INDEX(Cables!$AT:$AT,MATCH(B375,Cables!$A:$A,0))*SQRT(C375)+INDEX(Cables!$AU:$AU,MATCH(B375,Cables!$A:$A,0))*C375</f>
        <v>26.895776051275334</v>
      </c>
      <c r="Q375" s="41">
        <f t="shared" si="46"/>
        <v>-1.5702411615858836E-4</v>
      </c>
      <c r="R375" s="39">
        <f t="shared" si="47"/>
        <v>2.465657305538585E-8</v>
      </c>
      <c r="S375" s="40" t="b">
        <f>IF(B375=B374,C375&gt;C374,COUNTIF(B$1:B374,B375)=0)</f>
        <v>1</v>
      </c>
      <c r="T375" s="37"/>
    </row>
    <row r="376" spans="1:20" x14ac:dyDescent="0.25">
      <c r="A376" s="37" t="s">
        <v>1103</v>
      </c>
      <c r="B376" s="37" t="s">
        <v>411</v>
      </c>
      <c r="C376" s="37">
        <v>2000</v>
      </c>
      <c r="D376" s="37">
        <v>28.51</v>
      </c>
      <c r="E376" s="37" t="s">
        <v>771</v>
      </c>
      <c r="F376" s="37">
        <v>20</v>
      </c>
      <c r="G376" s="37" t="s">
        <v>419</v>
      </c>
      <c r="H376" s="37" t="s">
        <v>1095</v>
      </c>
      <c r="I376" s="38">
        <f t="shared" si="40"/>
        <v>28.51</v>
      </c>
      <c r="J376" s="38">
        <f t="shared" si="41"/>
        <v>7.6009024595420822</v>
      </c>
      <c r="K376" s="38">
        <f t="shared" si="42"/>
        <v>3.3502549029245805</v>
      </c>
      <c r="L376" s="39">
        <f t="shared" si="43"/>
        <v>3.5075412136092596E-2</v>
      </c>
      <c r="M376" s="39">
        <f t="shared" si="44"/>
        <v>1.5686201175024832</v>
      </c>
      <c r="N376" s="39">
        <f t="shared" si="45"/>
        <v>70.15082427218519</v>
      </c>
      <c r="O376" s="40">
        <f>1</f>
        <v>1</v>
      </c>
      <c r="P376" s="38">
        <f>INDEX(Cables!$AS:$AS,MATCH(B376,Cables!$A:$A,0))+INDEX(Cables!$AT:$AT,MATCH(B376,Cables!$A:$A,0))*SQRT(C376)+INDEX(Cables!$AU:$AU,MATCH(B376,Cables!$A:$A,0))*C376</f>
        <v>28.514764304081496</v>
      </c>
      <c r="Q376" s="41">
        <f t="shared" si="46"/>
        <v>1.6710992919999335E-4</v>
      </c>
      <c r="R376" s="39">
        <f t="shared" si="47"/>
        <v>2.7925728437226788E-8</v>
      </c>
      <c r="S376" s="40" t="b">
        <f>IF(B376=B375,C376&gt;C375,COUNTIF(B$1:B375,B376)=0)</f>
        <v>1</v>
      </c>
      <c r="T376" s="37"/>
    </row>
    <row r="377" spans="1:20" x14ac:dyDescent="0.25">
      <c r="A377" s="37" t="s">
        <v>1104</v>
      </c>
      <c r="B377" s="37" t="s">
        <v>411</v>
      </c>
      <c r="C377" s="37">
        <v>2200</v>
      </c>
      <c r="D377" s="37">
        <v>30.07</v>
      </c>
      <c r="E377" s="37" t="s">
        <v>771</v>
      </c>
      <c r="F377" s="37">
        <v>20</v>
      </c>
      <c r="G377" s="37" t="s">
        <v>419</v>
      </c>
      <c r="H377" s="37" t="s">
        <v>1095</v>
      </c>
      <c r="I377" s="38">
        <f t="shared" si="40"/>
        <v>30.07</v>
      </c>
      <c r="J377" s="38">
        <f t="shared" si="41"/>
        <v>7.696212639346407</v>
      </c>
      <c r="K377" s="38">
        <f t="shared" si="42"/>
        <v>3.4035279970004377</v>
      </c>
      <c r="L377" s="39">
        <f t="shared" si="43"/>
        <v>3.325573661456601E-2</v>
      </c>
      <c r="M377" s="39">
        <f t="shared" si="44"/>
        <v>1.559832311214975</v>
      </c>
      <c r="N377" s="39">
        <f t="shared" si="45"/>
        <v>73.162620552045226</v>
      </c>
      <c r="O377" s="40">
        <f>1</f>
        <v>1</v>
      </c>
      <c r="P377" s="38">
        <f>INDEX(Cables!$AS:$AS,MATCH(B377,Cables!$A:$A,0))+INDEX(Cables!$AT:$AT,MATCH(B377,Cables!$A:$A,0))*SQRT(C377)+INDEX(Cables!$AU:$AU,MATCH(B377,Cables!$A:$A,0))*C377</f>
        <v>30.070275033816841</v>
      </c>
      <c r="Q377" s="41">
        <f t="shared" si="46"/>
        <v>9.1464521729811565E-6</v>
      </c>
      <c r="R377" s="39">
        <f t="shared" si="47"/>
        <v>8.3657587352631717E-11</v>
      </c>
      <c r="S377" s="40" t="b">
        <f>IF(B377=B376,C377&gt;C376,COUNTIF(B$1:B376,B377)=0)</f>
        <v>1</v>
      </c>
      <c r="T377" s="37"/>
    </row>
    <row r="378" spans="1:20" x14ac:dyDescent="0.25">
      <c r="A378" s="37" t="s">
        <v>1105</v>
      </c>
      <c r="B378" s="37" t="s">
        <v>411</v>
      </c>
      <c r="C378" s="37">
        <v>2400</v>
      </c>
      <c r="D378" s="37">
        <v>31.57</v>
      </c>
      <c r="E378" s="37" t="s">
        <v>771</v>
      </c>
      <c r="F378" s="37">
        <v>20</v>
      </c>
      <c r="G378" s="37" t="s">
        <v>419</v>
      </c>
      <c r="H378" s="37" t="s">
        <v>1095</v>
      </c>
      <c r="I378" s="38">
        <f t="shared" si="40"/>
        <v>31.57</v>
      </c>
      <c r="J378" s="38">
        <f t="shared" si="41"/>
        <v>7.7832240163360371</v>
      </c>
      <c r="K378" s="38">
        <f t="shared" si="42"/>
        <v>3.4522073025699003</v>
      </c>
      <c r="L378" s="39">
        <f t="shared" si="43"/>
        <v>3.1675641431738989E-2</v>
      </c>
      <c r="M378" s="39">
        <f t="shared" si="44"/>
        <v>1.5517831756624505</v>
      </c>
      <c r="N378" s="39">
        <f t="shared" si="45"/>
        <v>76.021539436173583</v>
      </c>
      <c r="O378" s="40">
        <f>1</f>
        <v>1</v>
      </c>
      <c r="P378" s="38">
        <f>INDEX(Cables!$AS:$AS,MATCH(B378,Cables!$A:$A,0))+INDEX(Cables!$AT:$AT,MATCH(B378,Cables!$A:$A,0))*SQRT(C378)+INDEX(Cables!$AU:$AU,MATCH(B378,Cables!$A:$A,0))*C378</f>
        <v>31.570794486695107</v>
      </c>
      <c r="Q378" s="41">
        <f t="shared" si="46"/>
        <v>2.516587567646944E-5</v>
      </c>
      <c r="R378" s="39">
        <f t="shared" si="47"/>
        <v>6.3332129856351623E-10</v>
      </c>
      <c r="S378" s="40" t="b">
        <f>IF(B378=B377,C378&gt;C377,COUNTIF(B$1:B377,B378)=0)</f>
        <v>1</v>
      </c>
      <c r="T378" s="37"/>
    </row>
    <row r="379" spans="1:20" x14ac:dyDescent="0.25">
      <c r="A379" s="37" t="s">
        <v>1106</v>
      </c>
      <c r="B379" s="37" t="s">
        <v>411</v>
      </c>
      <c r="C379" s="37">
        <v>2700</v>
      </c>
      <c r="D379" s="37">
        <v>33.729999999999997</v>
      </c>
      <c r="E379" s="37" t="s">
        <v>771</v>
      </c>
      <c r="F379" s="37">
        <v>20</v>
      </c>
      <c r="G379" s="37" t="s">
        <v>419</v>
      </c>
      <c r="H379" s="37" t="s">
        <v>1095</v>
      </c>
      <c r="I379" s="38">
        <f t="shared" si="40"/>
        <v>33.729999999999997</v>
      </c>
      <c r="J379" s="38">
        <f t="shared" si="41"/>
        <v>7.90100705199242</v>
      </c>
      <c r="K379" s="38">
        <f t="shared" si="42"/>
        <v>3.5183876490735586</v>
      </c>
      <c r="L379" s="39">
        <f t="shared" si="43"/>
        <v>2.9647198339756896E-2</v>
      </c>
      <c r="M379" s="39">
        <f t="shared" si="44"/>
        <v>1.5405136147959184</v>
      </c>
      <c r="N379" s="39">
        <f t="shared" si="45"/>
        <v>80.047435517343615</v>
      </c>
      <c r="O379" s="40">
        <f>1</f>
        <v>1</v>
      </c>
      <c r="P379" s="38">
        <f>INDEX(Cables!$AS:$AS,MATCH(B379,Cables!$A:$A,0))+INDEX(Cables!$AT:$AT,MATCH(B379,Cables!$A:$A,0))*SQRT(C379)+INDEX(Cables!$AU:$AU,MATCH(B379,Cables!$A:$A,0))*C379</f>
        <v>33.732869250463899</v>
      </c>
      <c r="Q379" s="41">
        <f t="shared" si="46"/>
        <v>8.5065237589665443E-5</v>
      </c>
      <c r="R379" s="39">
        <f t="shared" si="47"/>
        <v>7.2360946461862307E-9</v>
      </c>
      <c r="S379" s="40" t="b">
        <f>IF(B379=B378,C379&gt;C378,COUNTIF(B$1:B378,B379)=0)</f>
        <v>1</v>
      </c>
      <c r="T379" s="37"/>
    </row>
    <row r="380" spans="1:20" x14ac:dyDescent="0.25">
      <c r="A380" s="37" t="s">
        <v>1107</v>
      </c>
      <c r="B380" s="37" t="s">
        <v>411</v>
      </c>
      <c r="C380" s="37">
        <v>3000</v>
      </c>
      <c r="D380" s="37">
        <v>35.799999999999997</v>
      </c>
      <c r="E380" s="37" t="s">
        <v>771</v>
      </c>
      <c r="F380" s="37">
        <v>20</v>
      </c>
      <c r="G380" s="37" t="s">
        <v>419</v>
      </c>
      <c r="H380" s="37" t="s">
        <v>1095</v>
      </c>
      <c r="I380" s="38">
        <f t="shared" si="40"/>
        <v>35.799999999999997</v>
      </c>
      <c r="J380" s="38">
        <f t="shared" si="41"/>
        <v>8.0063675676502459</v>
      </c>
      <c r="K380" s="38">
        <f t="shared" si="42"/>
        <v>3.5779478934066544</v>
      </c>
      <c r="L380" s="39">
        <f t="shared" si="43"/>
        <v>2.793296089385475E-2</v>
      </c>
      <c r="M380" s="39">
        <f t="shared" si="44"/>
        <v>1.5299512779473916</v>
      </c>
      <c r="N380" s="39">
        <f t="shared" si="45"/>
        <v>83.798882681564251</v>
      </c>
      <c r="O380" s="40">
        <f>1</f>
        <v>1</v>
      </c>
      <c r="P380" s="38">
        <f>INDEX(Cables!$AS:$AS,MATCH(B380,Cables!$A:$A,0))+INDEX(Cables!$AT:$AT,MATCH(B380,Cables!$A:$A,0))*SQRT(C380)+INDEX(Cables!$AU:$AU,MATCH(B380,Cables!$A:$A,0))*C380</f>
        <v>35.803822100172418</v>
      </c>
      <c r="Q380" s="41">
        <f t="shared" si="46"/>
        <v>1.0676257464869998E-4</v>
      </c>
      <c r="R380" s="39">
        <f t="shared" si="47"/>
        <v>1.1398247345619236E-8</v>
      </c>
      <c r="S380" s="40" t="b">
        <f>IF(B380=B379,C380&gt;C379,COUNTIF(B$1:B379,B380)=0)</f>
        <v>1</v>
      </c>
      <c r="T380" s="37"/>
    </row>
    <row r="381" spans="1:20" x14ac:dyDescent="0.25">
      <c r="A381" s="37" t="s">
        <v>1108</v>
      </c>
      <c r="B381" s="37" t="s">
        <v>411</v>
      </c>
      <c r="C381" s="37">
        <v>3500</v>
      </c>
      <c r="D381" s="37">
        <v>39.090000000000003</v>
      </c>
      <c r="E381" s="37" t="s">
        <v>771</v>
      </c>
      <c r="F381" s="37">
        <v>20</v>
      </c>
      <c r="G381" s="37" t="s">
        <v>419</v>
      </c>
      <c r="H381" s="37" t="s">
        <v>1095</v>
      </c>
      <c r="I381" s="38">
        <f t="shared" si="40"/>
        <v>39.090000000000003</v>
      </c>
      <c r="J381" s="38">
        <f t="shared" si="41"/>
        <v>8.1605182474775049</v>
      </c>
      <c r="K381" s="38">
        <f t="shared" si="42"/>
        <v>3.6658666798048634</v>
      </c>
      <c r="L381" s="39">
        <f t="shared" si="43"/>
        <v>2.558199027884369E-2</v>
      </c>
      <c r="M381" s="39">
        <f t="shared" si="44"/>
        <v>1.5134509550011808</v>
      </c>
      <c r="N381" s="39">
        <f t="shared" si="45"/>
        <v>89.536965975952924</v>
      </c>
      <c r="O381" s="40">
        <f>1</f>
        <v>1</v>
      </c>
      <c r="P381" s="38">
        <f>INDEX(Cables!$AS:$AS,MATCH(B381,Cables!$A:$A,0))+INDEX(Cables!$AT:$AT,MATCH(B381,Cables!$A:$A,0))*SQRT(C381)+INDEX(Cables!$AU:$AU,MATCH(B381,Cables!$A:$A,0))*C381</f>
        <v>39.087873536332317</v>
      </c>
      <c r="Q381" s="41">
        <f t="shared" si="46"/>
        <v>-5.4399172875085888E-5</v>
      </c>
      <c r="R381" s="39">
        <f t="shared" si="47"/>
        <v>2.9592700094934802E-9</v>
      </c>
      <c r="S381" s="40" t="b">
        <f>IF(B381=B380,C381&gt;C380,COUNTIF(B$1:B380,B381)=0)</f>
        <v>1</v>
      </c>
      <c r="T381" s="37"/>
    </row>
    <row r="382" spans="1:20" x14ac:dyDescent="0.25">
      <c r="A382" s="37" t="s">
        <v>1109</v>
      </c>
      <c r="B382" s="37" t="s">
        <v>411</v>
      </c>
      <c r="C382" s="37">
        <v>4000</v>
      </c>
      <c r="D382" s="37">
        <v>42.2</v>
      </c>
      <c r="E382" s="37" t="s">
        <v>771</v>
      </c>
      <c r="F382" s="37">
        <v>20</v>
      </c>
      <c r="G382" s="37" t="s">
        <v>419</v>
      </c>
      <c r="H382" s="37" t="s">
        <v>1095</v>
      </c>
      <c r="I382" s="38">
        <f t="shared" si="40"/>
        <v>42.2</v>
      </c>
      <c r="J382" s="38">
        <f t="shared" si="41"/>
        <v>8.2940496401020276</v>
      </c>
      <c r="K382" s="38">
        <f t="shared" si="42"/>
        <v>3.7424202210419661</v>
      </c>
      <c r="L382" s="39">
        <f t="shared" si="43"/>
        <v>2.3696682464454975E-2</v>
      </c>
      <c r="M382" s="39">
        <f t="shared" si="44"/>
        <v>1.4987097915489949</v>
      </c>
      <c r="N382" s="39">
        <f t="shared" si="45"/>
        <v>94.786729857819893</v>
      </c>
      <c r="O382" s="40">
        <f>1</f>
        <v>1</v>
      </c>
      <c r="P382" s="38">
        <f>INDEX(Cables!$AS:$AS,MATCH(B382,Cables!$A:$A,0))+INDEX(Cables!$AT:$AT,MATCH(B382,Cables!$A:$A,0))*SQRT(C382)+INDEX(Cables!$AU:$AU,MATCH(B382,Cables!$A:$A,0))*C382</f>
        <v>42.199987107105002</v>
      </c>
      <c r="Q382" s="41">
        <f t="shared" si="46"/>
        <v>-3.0551883889451403E-7</v>
      </c>
      <c r="R382" s="39">
        <f t="shared" si="47"/>
        <v>9.3341760919452027E-14</v>
      </c>
      <c r="S382" s="40" t="b">
        <f>IF(B382=B381,C382&gt;C381,COUNTIF(B$1:B381,B382)=0)</f>
        <v>1</v>
      </c>
      <c r="T382" s="37"/>
    </row>
    <row r="383" spans="1:20" x14ac:dyDescent="0.25">
      <c r="A383" s="37" t="s">
        <v>1110</v>
      </c>
      <c r="B383" s="37" t="s">
        <v>411</v>
      </c>
      <c r="C383" s="37">
        <v>5000</v>
      </c>
      <c r="D383" s="37">
        <v>48.03</v>
      </c>
      <c r="E383" s="37" t="s">
        <v>771</v>
      </c>
      <c r="F383" s="37">
        <v>20</v>
      </c>
      <c r="G383" s="37" t="s">
        <v>419</v>
      </c>
      <c r="H383" s="37" t="s">
        <v>1095</v>
      </c>
      <c r="I383" s="38">
        <f t="shared" si="40"/>
        <v>48.03</v>
      </c>
      <c r="J383" s="38">
        <f t="shared" si="41"/>
        <v>8.5171931914162382</v>
      </c>
      <c r="K383" s="38">
        <f t="shared" si="42"/>
        <v>3.8718258156767331</v>
      </c>
      <c r="L383" s="39">
        <f t="shared" si="43"/>
        <v>2.0820320632937747E-2</v>
      </c>
      <c r="M383" s="39">
        <f t="shared" si="44"/>
        <v>1.4722189906028473</v>
      </c>
      <c r="N383" s="39">
        <f t="shared" si="45"/>
        <v>104.10160316468874</v>
      </c>
      <c r="O383" s="40">
        <f>1</f>
        <v>1</v>
      </c>
      <c r="P383" s="38">
        <f>INDEX(Cables!$AS:$AS,MATCH(B383,Cables!$A:$A,0))+INDEX(Cables!$AT:$AT,MATCH(B383,Cables!$A:$A,0))*SQRT(C383)+INDEX(Cables!$AU:$AU,MATCH(B383,Cables!$A:$A,0))*C383</f>
        <v>48.025544416517697</v>
      </c>
      <c r="Q383" s="41">
        <f t="shared" si="46"/>
        <v>-9.2766676708433415E-5</v>
      </c>
      <c r="R383" s="39">
        <f t="shared" si="47"/>
        <v>8.6056563075270035E-9</v>
      </c>
      <c r="S383" s="40" t="b">
        <f>IF(B383=B382,C383&gt;C382,COUNTIF(B$1:B382,B383)=0)</f>
        <v>1</v>
      </c>
      <c r="T383" s="37"/>
    </row>
    <row r="384" spans="1:20" x14ac:dyDescent="0.25">
      <c r="A384" s="37" t="s">
        <v>1111</v>
      </c>
      <c r="B384" s="37" t="s">
        <v>411</v>
      </c>
      <c r="C384" s="37">
        <v>20400</v>
      </c>
      <c r="D384" s="37">
        <v>113.49</v>
      </c>
      <c r="E384" s="37" t="s">
        <v>771</v>
      </c>
      <c r="F384" s="37">
        <v>20</v>
      </c>
      <c r="G384" s="37" t="s">
        <v>419</v>
      </c>
      <c r="H384" s="37" t="s">
        <v>1095</v>
      </c>
      <c r="I384" s="38">
        <f t="shared" si="40"/>
        <v>113.49</v>
      </c>
      <c r="J384" s="38">
        <f t="shared" si="41"/>
        <v>9.923290179832307</v>
      </c>
      <c r="K384" s="38">
        <f t="shared" si="42"/>
        <v>4.7317147273130473</v>
      </c>
      <c r="L384" s="39">
        <f t="shared" si="43"/>
        <v>8.8113490175345845E-3</v>
      </c>
      <c r="M384" s="39">
        <f t="shared" si="44"/>
        <v>1.2585123673526919</v>
      </c>
      <c r="N384" s="39">
        <f t="shared" si="45"/>
        <v>179.75151995770554</v>
      </c>
      <c r="O384" s="40">
        <f>1</f>
        <v>1</v>
      </c>
      <c r="P384" s="38">
        <f>INDEX(Cables!$AS:$AS,MATCH(B384,Cables!$A:$A,0))+INDEX(Cables!$AT:$AT,MATCH(B384,Cables!$A:$A,0))*SQRT(C384)+INDEX(Cables!$AU:$AU,MATCH(B384,Cables!$A:$A,0))*C384</f>
        <v>113.4896013713487</v>
      </c>
      <c r="Q384" s="41">
        <f t="shared" si="46"/>
        <v>-3.5124561749144689E-6</v>
      </c>
      <c r="R384" s="39">
        <f t="shared" si="47"/>
        <v>1.2337348380694783E-11</v>
      </c>
      <c r="S384" s="40" t="b">
        <f>IF(B384=B383,C384&gt;C383,COUNTIF(B$1:B383,B384)=0)</f>
        <v>1</v>
      </c>
      <c r="T384" s="37"/>
    </row>
    <row r="385" spans="1:20" x14ac:dyDescent="0.25">
      <c r="A385" s="37" t="s">
        <v>1112</v>
      </c>
      <c r="B385" s="37" t="s">
        <v>421</v>
      </c>
      <c r="C385" s="37">
        <v>1.8</v>
      </c>
      <c r="D385" s="37">
        <v>1.1000000000000001</v>
      </c>
      <c r="E385" s="37" t="s">
        <v>771</v>
      </c>
      <c r="F385" s="37">
        <v>20</v>
      </c>
      <c r="G385" s="37" t="s">
        <v>429</v>
      </c>
      <c r="H385" s="37" t="s">
        <v>928</v>
      </c>
      <c r="I385" s="38">
        <f t="shared" si="40"/>
        <v>1.1000000000000001</v>
      </c>
      <c r="J385" s="38">
        <f t="shared" si="41"/>
        <v>0.58778666490211906</v>
      </c>
      <c r="K385" s="38">
        <f t="shared" si="42"/>
        <v>9.5310179804324935E-2</v>
      </c>
      <c r="L385" s="39">
        <f t="shared" si="43"/>
        <v>0.90909090909090906</v>
      </c>
      <c r="M385" s="39">
        <f t="shared" si="44"/>
        <v>1.2196734422726125</v>
      </c>
      <c r="N385" s="39">
        <f t="shared" si="45"/>
        <v>1.6363636363636362</v>
      </c>
      <c r="O385" s="40">
        <f>1</f>
        <v>1</v>
      </c>
      <c r="P385" s="38">
        <f>INDEX(Cables!$AS:$AS,MATCH(B385,Cables!$A:$A,0))+INDEX(Cables!$AT:$AT,MATCH(B385,Cables!$A:$A,0))*SQRT(C385)+INDEX(Cables!$AU:$AU,MATCH(B385,Cables!$A:$A,0))*C385</f>
        <v>1.0343991672216009</v>
      </c>
      <c r="Q385" s="41">
        <f t="shared" si="46"/>
        <v>-5.9637120707635716E-2</v>
      </c>
      <c r="R385" s="39">
        <f t="shared" si="47"/>
        <v>3.5565861662971128E-3</v>
      </c>
      <c r="S385" s="40" t="b">
        <f>IF(B385=B384,C385&gt;C384,COUNTIF(B$1:B384,B385)=0)</f>
        <v>1</v>
      </c>
      <c r="T385" s="37"/>
    </row>
    <row r="386" spans="1:20" x14ac:dyDescent="0.25">
      <c r="A386" s="37" t="s">
        <v>1113</v>
      </c>
      <c r="B386" s="37" t="s">
        <v>421</v>
      </c>
      <c r="C386" s="37">
        <v>3.5</v>
      </c>
      <c r="D386" s="37">
        <v>1.3</v>
      </c>
      <c r="E386" s="37" t="s">
        <v>771</v>
      </c>
      <c r="F386" s="37">
        <v>20</v>
      </c>
      <c r="G386" s="37" t="s">
        <v>429</v>
      </c>
      <c r="H386" s="37" t="s">
        <v>928</v>
      </c>
      <c r="I386" s="38">
        <f t="shared" ref="I386:I449" si="48">IF(E386="dB/100ft",D386*100/30.48,D386)</f>
        <v>1.3</v>
      </c>
      <c r="J386" s="38">
        <f t="shared" ref="J386:J449" si="49">LN(C386)</f>
        <v>1.2527629684953681</v>
      </c>
      <c r="K386" s="38">
        <f t="shared" ref="K386:K449" si="50">LN(I386)</f>
        <v>0.26236426446749106</v>
      </c>
      <c r="L386" s="39">
        <f t="shared" ref="L386:L449" si="51">1/I386</f>
        <v>0.76923076923076916</v>
      </c>
      <c r="M386" s="39">
        <f t="shared" ref="M386:M449" si="52">SQRT(C386)/I386</f>
        <v>1.4390989949130544</v>
      </c>
      <c r="N386" s="39">
        <f t="shared" ref="N386:N449" si="53">C386/I386</f>
        <v>2.6923076923076921</v>
      </c>
      <c r="O386" s="40">
        <f>1</f>
        <v>1</v>
      </c>
      <c r="P386" s="38">
        <f>INDEX(Cables!$AS:$AS,MATCH(B386,Cables!$A:$A,0))+INDEX(Cables!$AT:$AT,MATCH(B386,Cables!$A:$A,0))*SQRT(C386)+INDEX(Cables!$AU:$AU,MATCH(B386,Cables!$A:$A,0))*C386</f>
        <v>1.304813012162074</v>
      </c>
      <c r="Q386" s="41">
        <f t="shared" ref="Q386:Q449" si="54">P386/I386-1</f>
        <v>3.7023170477492595E-3</v>
      </c>
      <c r="R386" s="39">
        <f t="shared" ref="R386:R449" si="55">Q386^2</f>
        <v>1.3707151522054792E-5</v>
      </c>
      <c r="S386" s="40" t="b">
        <f>IF(B386=B385,C386&gt;C385,COUNTIF(B$1:B385,B386)=0)</f>
        <v>1</v>
      </c>
      <c r="T386" s="37"/>
    </row>
    <row r="387" spans="1:20" x14ac:dyDescent="0.25">
      <c r="A387" s="37" t="s">
        <v>1114</v>
      </c>
      <c r="B387" s="37" t="s">
        <v>421</v>
      </c>
      <c r="C387" s="37">
        <v>7</v>
      </c>
      <c r="D387" s="37">
        <v>1.7</v>
      </c>
      <c r="E387" s="37" t="s">
        <v>771</v>
      </c>
      <c r="F387" s="37">
        <v>20</v>
      </c>
      <c r="G387" s="37" t="s">
        <v>429</v>
      </c>
      <c r="H387" s="37" t="s">
        <v>928</v>
      </c>
      <c r="I387" s="38">
        <f t="shared" si="48"/>
        <v>1.7</v>
      </c>
      <c r="J387" s="38">
        <f t="shared" si="49"/>
        <v>1.9459101490553132</v>
      </c>
      <c r="K387" s="38">
        <f t="shared" si="50"/>
        <v>0.53062825106217038</v>
      </c>
      <c r="L387" s="39">
        <f t="shared" si="51"/>
        <v>0.58823529411764708</v>
      </c>
      <c r="M387" s="39">
        <f t="shared" si="52"/>
        <v>1.55632430062623</v>
      </c>
      <c r="N387" s="39">
        <f t="shared" si="53"/>
        <v>4.1176470588235299</v>
      </c>
      <c r="O387" s="40">
        <f>1</f>
        <v>1</v>
      </c>
      <c r="P387" s="38">
        <f>INDEX(Cables!$AS:$AS,MATCH(B387,Cables!$A:$A,0))+INDEX(Cables!$AT:$AT,MATCH(B387,Cables!$A:$A,0))*SQRT(C387)+INDEX(Cables!$AU:$AU,MATCH(B387,Cables!$A:$A,0))*C387</f>
        <v>1.7036520981797088</v>
      </c>
      <c r="Q387" s="41">
        <f t="shared" si="54"/>
        <v>2.1482930468874617E-3</v>
      </c>
      <c r="R387" s="39">
        <f t="shared" si="55"/>
        <v>4.6151630153050137E-6</v>
      </c>
      <c r="S387" s="40" t="b">
        <f>IF(B387=B386,C387&gt;C386,COUNTIF(B$1:B386,B387)=0)</f>
        <v>1</v>
      </c>
      <c r="T387" s="37"/>
    </row>
    <row r="388" spans="1:20" x14ac:dyDescent="0.25">
      <c r="A388" s="37" t="s">
        <v>1115</v>
      </c>
      <c r="B388" s="37" t="s">
        <v>421</v>
      </c>
      <c r="C388" s="37">
        <v>10</v>
      </c>
      <c r="D388" s="37">
        <v>1.9</v>
      </c>
      <c r="E388" s="37" t="s">
        <v>771</v>
      </c>
      <c r="F388" s="37">
        <v>20</v>
      </c>
      <c r="G388" s="37" t="s">
        <v>429</v>
      </c>
      <c r="H388" s="37" t="s">
        <v>928</v>
      </c>
      <c r="I388" s="38">
        <f t="shared" si="48"/>
        <v>1.9</v>
      </c>
      <c r="J388" s="38">
        <f t="shared" si="49"/>
        <v>2.3025850929940459</v>
      </c>
      <c r="K388" s="38">
        <f t="shared" si="50"/>
        <v>0.64185388617239469</v>
      </c>
      <c r="L388" s="39">
        <f t="shared" si="51"/>
        <v>0.52631578947368418</v>
      </c>
      <c r="M388" s="39">
        <f t="shared" si="52"/>
        <v>1.6643566632465157</v>
      </c>
      <c r="N388" s="39">
        <f t="shared" si="53"/>
        <v>5.2631578947368425</v>
      </c>
      <c r="O388" s="40">
        <f>1</f>
        <v>1</v>
      </c>
      <c r="P388" s="38">
        <f>INDEX(Cables!$AS:$AS,MATCH(B388,Cables!$A:$A,0))+INDEX(Cables!$AT:$AT,MATCH(B388,Cables!$A:$A,0))*SQRT(C388)+INDEX(Cables!$AU:$AU,MATCH(B388,Cables!$A:$A,0))*C388</f>
        <v>1.9713839158075561</v>
      </c>
      <c r="Q388" s="41">
        <f t="shared" si="54"/>
        <v>3.7570482003977057E-2</v>
      </c>
      <c r="R388" s="39">
        <f t="shared" si="55"/>
        <v>1.4115411180111639E-3</v>
      </c>
      <c r="S388" s="40" t="b">
        <f>IF(B388=B387,C388&gt;C387,COUNTIF(B$1:B387,B388)=0)</f>
        <v>1</v>
      </c>
      <c r="T388" s="37"/>
    </row>
    <row r="389" spans="1:20" x14ac:dyDescent="0.25">
      <c r="A389" s="37" t="s">
        <v>1116</v>
      </c>
      <c r="B389" s="37" t="s">
        <v>421</v>
      </c>
      <c r="C389" s="37">
        <v>14</v>
      </c>
      <c r="D389" s="37">
        <v>2.2000000000000002</v>
      </c>
      <c r="E389" s="37" t="s">
        <v>771</v>
      </c>
      <c r="F389" s="37">
        <v>20</v>
      </c>
      <c r="G389" s="37" t="s">
        <v>429</v>
      </c>
      <c r="H389" s="37" t="s">
        <v>928</v>
      </c>
      <c r="I389" s="38">
        <f t="shared" si="48"/>
        <v>2.2000000000000002</v>
      </c>
      <c r="J389" s="38">
        <f t="shared" si="49"/>
        <v>2.6390573296152584</v>
      </c>
      <c r="K389" s="38">
        <f t="shared" si="50"/>
        <v>0.78845736036427028</v>
      </c>
      <c r="L389" s="39">
        <f t="shared" si="51"/>
        <v>0.45454545454545453</v>
      </c>
      <c r="M389" s="39">
        <f t="shared" si="52"/>
        <v>1.7007533576245186</v>
      </c>
      <c r="N389" s="39">
        <f t="shared" si="53"/>
        <v>6.3636363636363633</v>
      </c>
      <c r="O389" s="40">
        <f>1</f>
        <v>1</v>
      </c>
      <c r="P389" s="38">
        <f>INDEX(Cables!$AS:$AS,MATCH(B389,Cables!$A:$A,0))+INDEX(Cables!$AT:$AT,MATCH(B389,Cables!$A:$A,0))*SQRT(C389)+INDEX(Cables!$AU:$AU,MATCH(B389,Cables!$A:$A,0))*C389</f>
        <v>2.2734886147523241</v>
      </c>
      <c r="Q389" s="41">
        <f t="shared" si="54"/>
        <v>3.3403915796510919E-2</v>
      </c>
      <c r="R389" s="39">
        <f t="shared" si="55"/>
        <v>1.1158215905403917E-3</v>
      </c>
      <c r="S389" s="40" t="b">
        <f>IF(B389=B388,C389&gt;C388,COUNTIF(B$1:B388,B389)=0)</f>
        <v>1</v>
      </c>
      <c r="T389" s="37"/>
    </row>
    <row r="390" spans="1:20" x14ac:dyDescent="0.25">
      <c r="A390" s="37" t="s">
        <v>1117</v>
      </c>
      <c r="B390" s="37" t="s">
        <v>421</v>
      </c>
      <c r="C390" s="37">
        <v>21</v>
      </c>
      <c r="D390" s="37">
        <v>2.6</v>
      </c>
      <c r="E390" s="37" t="s">
        <v>771</v>
      </c>
      <c r="F390" s="37">
        <v>20</v>
      </c>
      <c r="G390" s="37" t="s">
        <v>429</v>
      </c>
      <c r="H390" s="37" t="s">
        <v>928</v>
      </c>
      <c r="I390" s="38">
        <f t="shared" si="48"/>
        <v>2.6</v>
      </c>
      <c r="J390" s="38">
        <f t="shared" si="49"/>
        <v>3.044522437723423</v>
      </c>
      <c r="K390" s="38">
        <f t="shared" si="50"/>
        <v>0.95551144502743635</v>
      </c>
      <c r="L390" s="39">
        <f t="shared" si="51"/>
        <v>0.38461538461538458</v>
      </c>
      <c r="M390" s="39">
        <f t="shared" si="52"/>
        <v>1.7625291134445538</v>
      </c>
      <c r="N390" s="39">
        <f t="shared" si="53"/>
        <v>8.0769230769230766</v>
      </c>
      <c r="O390" s="40">
        <f>1</f>
        <v>1</v>
      </c>
      <c r="P390" s="38">
        <f>INDEX(Cables!$AS:$AS,MATCH(B390,Cables!$A:$A,0))+INDEX(Cables!$AT:$AT,MATCH(B390,Cables!$A:$A,0))*SQRT(C390)+INDEX(Cables!$AU:$AU,MATCH(B390,Cables!$A:$A,0))*C390</f>
        <v>2.7153413831911561</v>
      </c>
      <c r="Q390" s="41">
        <f t="shared" si="54"/>
        <v>4.4362070458136893E-2</v>
      </c>
      <c r="R390" s="39">
        <f t="shared" si="55"/>
        <v>1.9679932953327022E-3</v>
      </c>
      <c r="S390" s="40" t="b">
        <f>IF(B390=B389,C390&gt;C389,COUNTIF(B$1:B389,B390)=0)</f>
        <v>1</v>
      </c>
      <c r="T390" s="37"/>
    </row>
    <row r="391" spans="1:20" x14ac:dyDescent="0.25">
      <c r="A391" s="37" t="s">
        <v>1118</v>
      </c>
      <c r="B391" s="37" t="s">
        <v>421</v>
      </c>
      <c r="C391" s="37">
        <v>28</v>
      </c>
      <c r="D391" s="37">
        <v>3</v>
      </c>
      <c r="E391" s="37" t="s">
        <v>771</v>
      </c>
      <c r="F391" s="37">
        <v>20</v>
      </c>
      <c r="G391" s="37" t="s">
        <v>429</v>
      </c>
      <c r="H391" s="37" t="s">
        <v>928</v>
      </c>
      <c r="I391" s="38">
        <f t="shared" si="48"/>
        <v>3</v>
      </c>
      <c r="J391" s="38">
        <f t="shared" si="49"/>
        <v>3.3322045101752038</v>
      </c>
      <c r="K391" s="38">
        <f t="shared" si="50"/>
        <v>1.0986122886681098</v>
      </c>
      <c r="L391" s="39">
        <f t="shared" si="51"/>
        <v>0.33333333333333331</v>
      </c>
      <c r="M391" s="39">
        <f t="shared" si="52"/>
        <v>1.7638342073763937</v>
      </c>
      <c r="N391" s="39">
        <f t="shared" si="53"/>
        <v>9.3333333333333339</v>
      </c>
      <c r="O391" s="40">
        <f>1</f>
        <v>1</v>
      </c>
      <c r="P391" s="38">
        <f>INDEX(Cables!$AS:$AS,MATCH(B391,Cables!$A:$A,0))+INDEX(Cables!$AT:$AT,MATCH(B391,Cables!$A:$A,0))*SQRT(C391)+INDEX(Cables!$AU:$AU,MATCH(B391,Cables!$A:$A,0))*C391</f>
        <v>3.0909448886687336</v>
      </c>
      <c r="Q391" s="41">
        <f t="shared" si="54"/>
        <v>3.0314962889577801E-2</v>
      </c>
      <c r="R391" s="39">
        <f t="shared" si="55"/>
        <v>9.1899697499647922E-4</v>
      </c>
      <c r="S391" s="40" t="b">
        <f>IF(B391=B390,C391&gt;C390,COUNTIF(B$1:B390,B391)=0)</f>
        <v>1</v>
      </c>
      <c r="T391" s="37"/>
    </row>
    <row r="392" spans="1:20" x14ac:dyDescent="0.25">
      <c r="A392" s="37" t="s">
        <v>1119</v>
      </c>
      <c r="B392" s="37" t="s">
        <v>421</v>
      </c>
      <c r="C392" s="37">
        <v>50</v>
      </c>
      <c r="D392" s="37">
        <v>4</v>
      </c>
      <c r="E392" s="37" t="s">
        <v>771</v>
      </c>
      <c r="F392" s="37">
        <v>20</v>
      </c>
      <c r="G392" s="37" t="s">
        <v>429</v>
      </c>
      <c r="H392" s="37" t="s">
        <v>928</v>
      </c>
      <c r="I392" s="38">
        <f t="shared" si="48"/>
        <v>4</v>
      </c>
      <c r="J392" s="38">
        <f t="shared" si="49"/>
        <v>3.912023005428146</v>
      </c>
      <c r="K392" s="38">
        <f t="shared" si="50"/>
        <v>1.3862943611198906</v>
      </c>
      <c r="L392" s="39">
        <f t="shared" si="51"/>
        <v>0.25</v>
      </c>
      <c r="M392" s="39">
        <f t="shared" si="52"/>
        <v>1.7677669529663689</v>
      </c>
      <c r="N392" s="39">
        <f t="shared" si="53"/>
        <v>12.5</v>
      </c>
      <c r="O392" s="40">
        <f>1</f>
        <v>1</v>
      </c>
      <c r="P392" s="38">
        <f>INDEX(Cables!$AS:$AS,MATCH(B392,Cables!$A:$A,0))+INDEX(Cables!$AT:$AT,MATCH(B392,Cables!$A:$A,0))*SQRT(C392)+INDEX(Cables!$AU:$AU,MATCH(B392,Cables!$A:$A,0))*C392</f>
        <v>4.0463060064265983</v>
      </c>
      <c r="Q392" s="41">
        <f t="shared" si="54"/>
        <v>1.1576501606649581E-2</v>
      </c>
      <c r="R392" s="39">
        <f t="shared" si="55"/>
        <v>1.3401538944876032E-4</v>
      </c>
      <c r="S392" s="40" t="b">
        <f>IF(B392=B391,C392&gt;C391,COUNTIF(B$1:B391,B392)=0)</f>
        <v>1</v>
      </c>
      <c r="T392" s="37"/>
    </row>
    <row r="393" spans="1:20" x14ac:dyDescent="0.25">
      <c r="A393" s="37" t="s">
        <v>1120</v>
      </c>
      <c r="B393" s="37" t="s">
        <v>421</v>
      </c>
      <c r="C393" s="37">
        <v>100</v>
      </c>
      <c r="D393" s="37">
        <v>5.8</v>
      </c>
      <c r="E393" s="37" t="s">
        <v>771</v>
      </c>
      <c r="F393" s="37">
        <v>20</v>
      </c>
      <c r="G393" s="37" t="s">
        <v>429</v>
      </c>
      <c r="H393" s="37" t="s">
        <v>928</v>
      </c>
      <c r="I393" s="38">
        <f t="shared" si="48"/>
        <v>5.8</v>
      </c>
      <c r="J393" s="38">
        <f t="shared" si="49"/>
        <v>4.6051701859880918</v>
      </c>
      <c r="K393" s="38">
        <f t="shared" si="50"/>
        <v>1.7578579175523736</v>
      </c>
      <c r="L393" s="39">
        <f t="shared" si="51"/>
        <v>0.17241379310344829</v>
      </c>
      <c r="M393" s="39">
        <f t="shared" si="52"/>
        <v>1.7241379310344829</v>
      </c>
      <c r="N393" s="39">
        <f t="shared" si="53"/>
        <v>17.241379310344829</v>
      </c>
      <c r="O393" s="40">
        <f>1</f>
        <v>1</v>
      </c>
      <c r="P393" s="38">
        <f>INDEX(Cables!$AS:$AS,MATCH(B393,Cables!$A:$A,0))+INDEX(Cables!$AT:$AT,MATCH(B393,Cables!$A:$A,0))*SQRT(C393)+INDEX(Cables!$AU:$AU,MATCH(B393,Cables!$A:$A,0))*C393</f>
        <v>5.6576711130686874</v>
      </c>
      <c r="Q393" s="41">
        <f t="shared" si="54"/>
        <v>-2.4539463264019346E-2</v>
      </c>
      <c r="R393" s="39">
        <f t="shared" si="55"/>
        <v>6.0218525728615504E-4</v>
      </c>
      <c r="S393" s="40" t="b">
        <f>IF(B393=B392,C393&gt;C392,COUNTIF(B$1:B392,B393)=0)</f>
        <v>1</v>
      </c>
      <c r="T393" s="37"/>
    </row>
    <row r="394" spans="1:20" x14ac:dyDescent="0.25">
      <c r="A394" s="37" t="s">
        <v>1121</v>
      </c>
      <c r="B394" s="37" t="s">
        <v>421</v>
      </c>
      <c r="C394" s="37">
        <v>144</v>
      </c>
      <c r="D394" s="37">
        <v>6.9</v>
      </c>
      <c r="E394" s="37" t="s">
        <v>771</v>
      </c>
      <c r="F394" s="37">
        <v>20</v>
      </c>
      <c r="G394" s="37" t="s">
        <v>429</v>
      </c>
      <c r="H394" s="37" t="s">
        <v>928</v>
      </c>
      <c r="I394" s="38">
        <f t="shared" si="48"/>
        <v>6.9</v>
      </c>
      <c r="J394" s="38">
        <f t="shared" si="49"/>
        <v>4.9698132995760007</v>
      </c>
      <c r="K394" s="38">
        <f t="shared" si="50"/>
        <v>1.9315214116032138</v>
      </c>
      <c r="L394" s="39">
        <f t="shared" si="51"/>
        <v>0.14492753623188406</v>
      </c>
      <c r="M394" s="39">
        <f t="shared" si="52"/>
        <v>1.7391304347826086</v>
      </c>
      <c r="N394" s="39">
        <f t="shared" si="53"/>
        <v>20.869565217391305</v>
      </c>
      <c r="O394" s="40">
        <f>1</f>
        <v>1</v>
      </c>
      <c r="P394" s="38">
        <f>INDEX(Cables!$AS:$AS,MATCH(B394,Cables!$A:$A,0))+INDEX(Cables!$AT:$AT,MATCH(B394,Cables!$A:$A,0))*SQRT(C394)+INDEX(Cables!$AU:$AU,MATCH(B394,Cables!$A:$A,0))*C394</f>
        <v>6.7858328684128839</v>
      </c>
      <c r="Q394" s="41">
        <f t="shared" si="54"/>
        <v>-1.6545961099582063E-2</v>
      </c>
      <c r="R394" s="39">
        <f t="shared" si="55"/>
        <v>2.7376882870888285E-4</v>
      </c>
      <c r="S394" s="40" t="b">
        <f>IF(B394=B393,C394&gt;C393,COUNTIF(B$1:B393,B394)=0)</f>
        <v>1</v>
      </c>
      <c r="T394" s="37"/>
    </row>
    <row r="395" spans="1:20" x14ac:dyDescent="0.25">
      <c r="A395" s="37" t="s">
        <v>1122</v>
      </c>
      <c r="B395" s="37" t="s">
        <v>421</v>
      </c>
      <c r="C395" s="37">
        <v>200</v>
      </c>
      <c r="D395" s="37">
        <v>8.1999999999999993</v>
      </c>
      <c r="E395" s="37" t="s">
        <v>771</v>
      </c>
      <c r="F395" s="37">
        <v>20</v>
      </c>
      <c r="G395" s="37" t="s">
        <v>429</v>
      </c>
      <c r="H395" s="37" t="s">
        <v>928</v>
      </c>
      <c r="I395" s="38">
        <f t="shared" si="48"/>
        <v>8.1999999999999993</v>
      </c>
      <c r="J395" s="38">
        <f t="shared" si="49"/>
        <v>5.2983173665480363</v>
      </c>
      <c r="K395" s="38">
        <f t="shared" si="50"/>
        <v>2.1041341542702074</v>
      </c>
      <c r="L395" s="39">
        <f t="shared" si="51"/>
        <v>0.12195121951219513</v>
      </c>
      <c r="M395" s="39">
        <f t="shared" si="52"/>
        <v>1.7246506858208479</v>
      </c>
      <c r="N395" s="39">
        <f t="shared" si="53"/>
        <v>24.390243902439025</v>
      </c>
      <c r="O395" s="40">
        <f>1</f>
        <v>1</v>
      </c>
      <c r="P395" s="38">
        <f>INDEX(Cables!$AS:$AS,MATCH(B395,Cables!$A:$A,0))+INDEX(Cables!$AT:$AT,MATCH(B395,Cables!$A:$A,0))*SQRT(C395)+INDEX(Cables!$AU:$AU,MATCH(B395,Cables!$A:$A,0))*C395</f>
        <v>8.019240813987949</v>
      </c>
      <c r="Q395" s="41">
        <f t="shared" si="54"/>
        <v>-2.2043803172201226E-2</v>
      </c>
      <c r="R395" s="39">
        <f t="shared" si="55"/>
        <v>4.8592925829474883E-4</v>
      </c>
      <c r="S395" s="40" t="b">
        <f>IF(B395=B394,C395&gt;C394,COUNTIF(B$1:B394,B395)=0)</f>
        <v>1</v>
      </c>
      <c r="T395" s="37"/>
    </row>
    <row r="396" spans="1:20" x14ac:dyDescent="0.25">
      <c r="A396" s="37" t="s">
        <v>1123</v>
      </c>
      <c r="B396" s="37" t="s">
        <v>421</v>
      </c>
      <c r="C396" s="37">
        <v>400</v>
      </c>
      <c r="D396" s="37">
        <v>11.8</v>
      </c>
      <c r="E396" s="37" t="s">
        <v>771</v>
      </c>
      <c r="F396" s="37">
        <v>20</v>
      </c>
      <c r="G396" s="37" t="s">
        <v>429</v>
      </c>
      <c r="H396" s="37" t="s">
        <v>928</v>
      </c>
      <c r="I396" s="38">
        <f t="shared" si="48"/>
        <v>11.8</v>
      </c>
      <c r="J396" s="38">
        <f t="shared" si="49"/>
        <v>5.9914645471079817</v>
      </c>
      <c r="K396" s="38">
        <f t="shared" si="50"/>
        <v>2.4680995314716192</v>
      </c>
      <c r="L396" s="39">
        <f t="shared" si="51"/>
        <v>8.4745762711864403E-2</v>
      </c>
      <c r="M396" s="39">
        <f t="shared" si="52"/>
        <v>1.6949152542372881</v>
      </c>
      <c r="N396" s="39">
        <f t="shared" si="53"/>
        <v>33.898305084745758</v>
      </c>
      <c r="O396" s="40">
        <f>1</f>
        <v>1</v>
      </c>
      <c r="P396" s="38">
        <f>INDEX(Cables!$AS:$AS,MATCH(B396,Cables!$A:$A,0))+INDEX(Cables!$AT:$AT,MATCH(B396,Cables!$A:$A,0))*SQRT(C396)+INDEX(Cables!$AU:$AU,MATCH(B396,Cables!$A:$A,0))*C396</f>
        <v>11.524515339859839</v>
      </c>
      <c r="Q396" s="41">
        <f t="shared" si="54"/>
        <v>-2.3346157638996723E-2</v>
      </c>
      <c r="R396" s="39">
        <f t="shared" si="55"/>
        <v>5.4504307650488505E-4</v>
      </c>
      <c r="S396" s="40" t="b">
        <f>IF(B396=B395,C396&gt;C395,COUNTIF(B$1:B395,B396)=0)</f>
        <v>1</v>
      </c>
      <c r="T396" s="37"/>
    </row>
    <row r="397" spans="1:20" x14ac:dyDescent="0.25">
      <c r="A397" s="37" t="s">
        <v>1124</v>
      </c>
      <c r="B397" s="37" t="s">
        <v>421</v>
      </c>
      <c r="C397" s="37">
        <v>430</v>
      </c>
      <c r="D397" s="37">
        <v>12.3</v>
      </c>
      <c r="E397" s="37" t="s">
        <v>771</v>
      </c>
      <c r="F397" s="37">
        <v>20</v>
      </c>
      <c r="G397" s="37" t="s">
        <v>429</v>
      </c>
      <c r="H397" s="37" t="s">
        <v>928</v>
      </c>
      <c r="I397" s="38">
        <f t="shared" si="48"/>
        <v>12.3</v>
      </c>
      <c r="J397" s="38">
        <f t="shared" si="49"/>
        <v>6.0637852086876078</v>
      </c>
      <c r="K397" s="38">
        <f t="shared" si="50"/>
        <v>2.5095992623783721</v>
      </c>
      <c r="L397" s="39">
        <f t="shared" si="51"/>
        <v>8.1300813008130079E-2</v>
      </c>
      <c r="M397" s="39">
        <f t="shared" si="52"/>
        <v>1.6858895409209527</v>
      </c>
      <c r="N397" s="39">
        <f t="shared" si="53"/>
        <v>34.959349593495936</v>
      </c>
      <c r="O397" s="40">
        <f>1</f>
        <v>1</v>
      </c>
      <c r="P397" s="38">
        <f>INDEX(Cables!$AS:$AS,MATCH(B397,Cables!$A:$A,0))+INDEX(Cables!$AT:$AT,MATCH(B397,Cables!$A:$A,0))*SQRT(C397)+INDEX(Cables!$AU:$AU,MATCH(B397,Cables!$A:$A,0))*C397</f>
        <v>11.978914109069111</v>
      </c>
      <c r="Q397" s="41">
        <f t="shared" si="54"/>
        <v>-2.610454397812112E-2</v>
      </c>
      <c r="R397" s="39">
        <f t="shared" si="55"/>
        <v>6.8144721630565965E-4</v>
      </c>
      <c r="S397" s="40" t="b">
        <f>IF(B397=B396,C397&gt;C396,COUNTIF(B$1:B396,B397)=0)</f>
        <v>1</v>
      </c>
      <c r="T397" s="37"/>
    </row>
    <row r="398" spans="1:20" x14ac:dyDescent="0.25">
      <c r="A398" s="37" t="s">
        <v>1125</v>
      </c>
      <c r="B398" s="37" t="s">
        <v>421</v>
      </c>
      <c r="C398" s="37">
        <v>800</v>
      </c>
      <c r="D398" s="37">
        <v>17.100000000000001</v>
      </c>
      <c r="E398" s="37" t="s">
        <v>771</v>
      </c>
      <c r="F398" s="37">
        <v>20</v>
      </c>
      <c r="G398" s="37" t="s">
        <v>429</v>
      </c>
      <c r="H398" s="37" t="s">
        <v>928</v>
      </c>
      <c r="I398" s="38">
        <f t="shared" si="48"/>
        <v>17.100000000000001</v>
      </c>
      <c r="J398" s="38">
        <f t="shared" si="49"/>
        <v>6.6846117276679271</v>
      </c>
      <c r="K398" s="38">
        <f t="shared" si="50"/>
        <v>2.8390784635086144</v>
      </c>
      <c r="L398" s="39">
        <f t="shared" si="51"/>
        <v>5.8479532163742687E-2</v>
      </c>
      <c r="M398" s="39">
        <f t="shared" si="52"/>
        <v>1.6540509501439706</v>
      </c>
      <c r="N398" s="39">
        <f t="shared" si="53"/>
        <v>46.783625730994146</v>
      </c>
      <c r="O398" s="40">
        <f>1</f>
        <v>1</v>
      </c>
      <c r="P398" s="38">
        <f>INDEX(Cables!$AS:$AS,MATCH(B398,Cables!$A:$A,0))+INDEX(Cables!$AT:$AT,MATCH(B398,Cables!$A:$A,0))*SQRT(C398)+INDEX(Cables!$AU:$AU,MATCH(B398,Cables!$A:$A,0))*C398</f>
        <v>16.812743366873793</v>
      </c>
      <c r="Q398" s="41">
        <f t="shared" si="54"/>
        <v>-1.6798633516152517E-2</v>
      </c>
      <c r="R398" s="39">
        <f t="shared" si="55"/>
        <v>2.8219408801000265E-4</v>
      </c>
      <c r="S398" s="40" t="b">
        <f>IF(B398=B397,C398&gt;C397,COUNTIF(B$1:B397,B398)=0)</f>
        <v>1</v>
      </c>
      <c r="T398" s="37"/>
    </row>
    <row r="399" spans="1:20" x14ac:dyDescent="0.25">
      <c r="A399" s="37" t="s">
        <v>1126</v>
      </c>
      <c r="B399" s="37" t="s">
        <v>421</v>
      </c>
      <c r="C399" s="37">
        <v>1000</v>
      </c>
      <c r="D399" s="37">
        <v>19.3</v>
      </c>
      <c r="E399" s="37" t="s">
        <v>771</v>
      </c>
      <c r="F399" s="37">
        <v>20</v>
      </c>
      <c r="G399" s="37" t="s">
        <v>429</v>
      </c>
      <c r="H399" s="37" t="s">
        <v>928</v>
      </c>
      <c r="I399" s="38">
        <f t="shared" si="48"/>
        <v>19.3</v>
      </c>
      <c r="J399" s="38">
        <f t="shared" si="49"/>
        <v>6.9077552789821368</v>
      </c>
      <c r="K399" s="38">
        <f t="shared" si="50"/>
        <v>2.9601050959108397</v>
      </c>
      <c r="L399" s="39">
        <f t="shared" si="51"/>
        <v>5.181347150259067E-2</v>
      </c>
      <c r="M399" s="39">
        <f t="shared" si="52"/>
        <v>1.6384858342841342</v>
      </c>
      <c r="N399" s="39">
        <f t="shared" si="53"/>
        <v>51.813471502590673</v>
      </c>
      <c r="O399" s="40">
        <f>1</f>
        <v>1</v>
      </c>
      <c r="P399" s="38">
        <f>INDEX(Cables!$AS:$AS,MATCH(B399,Cables!$A:$A,0))+INDEX(Cables!$AT:$AT,MATCH(B399,Cables!$A:$A,0))*SQRT(C399)+INDEX(Cables!$AU:$AU,MATCH(B399,Cables!$A:$A,0))*C399</f>
        <v>19.053498368288324</v>
      </c>
      <c r="Q399" s="41">
        <f t="shared" si="54"/>
        <v>-1.2772105270035028E-2</v>
      </c>
      <c r="R399" s="39">
        <f t="shared" si="55"/>
        <v>1.6312667302885653E-4</v>
      </c>
      <c r="S399" s="40" t="b">
        <f>IF(B399=B398,C399&gt;C398,COUNTIF(B$1:B398,B399)=0)</f>
        <v>1</v>
      </c>
      <c r="T399" s="37"/>
    </row>
    <row r="400" spans="1:20" x14ac:dyDescent="0.25">
      <c r="A400" s="37" t="s">
        <v>1127</v>
      </c>
      <c r="B400" s="37" t="s">
        <v>421</v>
      </c>
      <c r="C400" s="37">
        <v>1296</v>
      </c>
      <c r="D400" s="37">
        <v>22.3</v>
      </c>
      <c r="E400" s="37" t="s">
        <v>771</v>
      </c>
      <c r="F400" s="37">
        <v>20</v>
      </c>
      <c r="G400" s="37" t="s">
        <v>429</v>
      </c>
      <c r="H400" s="37" t="s">
        <v>928</v>
      </c>
      <c r="I400" s="38">
        <f t="shared" si="48"/>
        <v>22.3</v>
      </c>
      <c r="J400" s="38">
        <f t="shared" si="49"/>
        <v>7.1670378769122198</v>
      </c>
      <c r="K400" s="38">
        <f t="shared" si="50"/>
        <v>3.1045866784660729</v>
      </c>
      <c r="L400" s="39">
        <f t="shared" si="51"/>
        <v>4.4843049327354258E-2</v>
      </c>
      <c r="M400" s="39">
        <f t="shared" si="52"/>
        <v>1.6143497757847534</v>
      </c>
      <c r="N400" s="39">
        <f t="shared" si="53"/>
        <v>58.116591928251118</v>
      </c>
      <c r="O400" s="40">
        <f>1</f>
        <v>1</v>
      </c>
      <c r="P400" s="38">
        <f>INDEX(Cables!$AS:$AS,MATCH(B400,Cables!$A:$A,0))+INDEX(Cables!$AT:$AT,MATCH(B400,Cables!$A:$A,0))*SQRT(C400)+INDEX(Cables!$AU:$AU,MATCH(B400,Cables!$A:$A,0))*C400</f>
        <v>22.086850443090583</v>
      </c>
      <c r="Q400" s="41">
        <f t="shared" si="54"/>
        <v>-9.5582760945926992E-3</v>
      </c>
      <c r="R400" s="39">
        <f t="shared" si="55"/>
        <v>9.136064190046226E-5</v>
      </c>
      <c r="S400" s="40" t="b">
        <f>IF(B400=B399,C400&gt;C399,COUNTIF(B$1:B399,B400)=0)</f>
        <v>1</v>
      </c>
      <c r="T400" s="37"/>
    </row>
    <row r="401" spans="1:20" x14ac:dyDescent="0.25">
      <c r="A401" s="37" t="s">
        <v>1128</v>
      </c>
      <c r="B401" s="37" t="s">
        <v>421</v>
      </c>
      <c r="C401" s="37">
        <v>2400</v>
      </c>
      <c r="D401" s="37">
        <v>32.299999999999997</v>
      </c>
      <c r="E401" s="37" t="s">
        <v>771</v>
      </c>
      <c r="F401" s="37">
        <v>20</v>
      </c>
      <c r="G401" s="37" t="s">
        <v>429</v>
      </c>
      <c r="H401" s="37" t="s">
        <v>928</v>
      </c>
      <c r="I401" s="38">
        <f t="shared" si="48"/>
        <v>32.299999999999997</v>
      </c>
      <c r="J401" s="38">
        <f t="shared" si="49"/>
        <v>7.7832240163360371</v>
      </c>
      <c r="K401" s="38">
        <f t="shared" si="50"/>
        <v>3.475067230228611</v>
      </c>
      <c r="L401" s="39">
        <f t="shared" si="51"/>
        <v>3.0959752321981428E-2</v>
      </c>
      <c r="M401" s="39">
        <f t="shared" si="52"/>
        <v>1.5167119150360238</v>
      </c>
      <c r="N401" s="39">
        <f t="shared" si="53"/>
        <v>74.303405572755423</v>
      </c>
      <c r="O401" s="40">
        <f>1</f>
        <v>1</v>
      </c>
      <c r="P401" s="38">
        <f>INDEX(Cables!$AS:$AS,MATCH(B401,Cables!$A:$A,0))+INDEX(Cables!$AT:$AT,MATCH(B401,Cables!$A:$A,0))*SQRT(C401)+INDEX(Cables!$AU:$AU,MATCH(B401,Cables!$A:$A,0))*C401</f>
        <v>31.725992152229409</v>
      </c>
      <c r="Q401" s="41">
        <f t="shared" si="54"/>
        <v>-1.7771140797851026E-2</v>
      </c>
      <c r="R401" s="39">
        <f t="shared" si="55"/>
        <v>3.1581344525704523E-4</v>
      </c>
      <c r="S401" s="40" t="b">
        <f>IF(B401=B400,C401&gt;C400,COUNTIF(B$1:B400,B401)=0)</f>
        <v>1</v>
      </c>
      <c r="T401" s="37"/>
    </row>
    <row r="402" spans="1:20" x14ac:dyDescent="0.25">
      <c r="A402" s="37" t="s">
        <v>1129</v>
      </c>
      <c r="B402" s="37" t="s">
        <v>421</v>
      </c>
      <c r="C402" s="37">
        <v>3000</v>
      </c>
      <c r="D402" s="37">
        <v>36.200000000000003</v>
      </c>
      <c r="E402" s="37" t="s">
        <v>771</v>
      </c>
      <c r="F402" s="37">
        <v>20</v>
      </c>
      <c r="G402" s="37" t="s">
        <v>429</v>
      </c>
      <c r="H402" s="37" t="s">
        <v>928</v>
      </c>
      <c r="I402" s="38">
        <f t="shared" si="48"/>
        <v>36.200000000000003</v>
      </c>
      <c r="J402" s="38">
        <f t="shared" si="49"/>
        <v>8.0063675676502459</v>
      </c>
      <c r="K402" s="38">
        <f t="shared" si="50"/>
        <v>3.5890591188317256</v>
      </c>
      <c r="L402" s="39">
        <f t="shared" si="51"/>
        <v>2.7624309392265192E-2</v>
      </c>
      <c r="M402" s="39">
        <f t="shared" si="52"/>
        <v>1.5130457389645473</v>
      </c>
      <c r="N402" s="39">
        <f t="shared" si="53"/>
        <v>82.872928176795568</v>
      </c>
      <c r="O402" s="40">
        <f>1</f>
        <v>1</v>
      </c>
      <c r="P402" s="38">
        <f>INDEX(Cables!$AS:$AS,MATCH(B402,Cables!$A:$A,0))+INDEX(Cables!$AT:$AT,MATCH(B402,Cables!$A:$A,0))*SQRT(C402)+INDEX(Cables!$AU:$AU,MATCH(B402,Cables!$A:$A,0))*C402</f>
        <v>36.323597327936646</v>
      </c>
      <c r="Q402" s="41">
        <f t="shared" si="54"/>
        <v>3.4142908269791938E-3</v>
      </c>
      <c r="R402" s="39">
        <f t="shared" si="55"/>
        <v>1.1657381851194267E-5</v>
      </c>
      <c r="S402" s="40" t="b">
        <f>IF(B402=B401,C402&gt;C401,COUNTIF(B$1:B401,B402)=0)</f>
        <v>1</v>
      </c>
      <c r="T402" s="37"/>
    </row>
    <row r="403" spans="1:20" x14ac:dyDescent="0.25">
      <c r="A403" s="37" t="s">
        <v>1130</v>
      </c>
      <c r="B403" s="37" t="s">
        <v>421</v>
      </c>
      <c r="C403" s="37">
        <v>4000</v>
      </c>
      <c r="D403" s="37">
        <v>42.6</v>
      </c>
      <c r="E403" s="37" t="s">
        <v>771</v>
      </c>
      <c r="F403" s="37">
        <v>20</v>
      </c>
      <c r="G403" s="37" t="s">
        <v>429</v>
      </c>
      <c r="H403" s="37" t="s">
        <v>928</v>
      </c>
      <c r="I403" s="38">
        <f t="shared" si="48"/>
        <v>42.6</v>
      </c>
      <c r="J403" s="38">
        <f t="shared" si="49"/>
        <v>8.2940496401020276</v>
      </c>
      <c r="K403" s="38">
        <f t="shared" si="50"/>
        <v>3.751854253275325</v>
      </c>
      <c r="L403" s="39">
        <f t="shared" si="51"/>
        <v>2.3474178403755867E-2</v>
      </c>
      <c r="M403" s="39">
        <f t="shared" si="52"/>
        <v>1.4846373991400841</v>
      </c>
      <c r="N403" s="39">
        <f t="shared" si="53"/>
        <v>93.896713615023472</v>
      </c>
      <c r="O403" s="40">
        <f>1</f>
        <v>1</v>
      </c>
      <c r="P403" s="38">
        <f>INDEX(Cables!$AS:$AS,MATCH(B403,Cables!$A:$A,0))+INDEX(Cables!$AT:$AT,MATCH(B403,Cables!$A:$A,0))*SQRT(C403)+INDEX(Cables!$AU:$AU,MATCH(B403,Cables!$A:$A,0))*C403</f>
        <v>43.401967476877985</v>
      </c>
      <c r="Q403" s="41">
        <f t="shared" si="54"/>
        <v>1.8825527626243677E-2</v>
      </c>
      <c r="R403" s="39">
        <f t="shared" si="55"/>
        <v>3.5440049040646386E-4</v>
      </c>
      <c r="S403" s="40" t="b">
        <f>IF(B403=B402,C403&gt;C402,COUNTIF(B$1:B402,B403)=0)</f>
        <v>1</v>
      </c>
      <c r="T403" s="37"/>
    </row>
    <row r="404" spans="1:20" x14ac:dyDescent="0.25">
      <c r="A404" s="37" t="s">
        <v>1131</v>
      </c>
      <c r="B404" s="37" t="s">
        <v>421</v>
      </c>
      <c r="C404" s="37">
        <v>5000</v>
      </c>
      <c r="D404" s="37">
        <v>49.3</v>
      </c>
      <c r="E404" s="37" t="s">
        <v>771</v>
      </c>
      <c r="F404" s="37">
        <v>20</v>
      </c>
      <c r="G404" s="37" t="s">
        <v>429</v>
      </c>
      <c r="H404" s="37" t="s">
        <v>928</v>
      </c>
      <c r="I404" s="38">
        <f t="shared" si="48"/>
        <v>49.3</v>
      </c>
      <c r="J404" s="38">
        <f t="shared" si="49"/>
        <v>8.5171931914162382</v>
      </c>
      <c r="K404" s="38">
        <f t="shared" si="50"/>
        <v>3.8979240810486444</v>
      </c>
      <c r="L404" s="39">
        <f t="shared" si="51"/>
        <v>2.0283975659229209E-2</v>
      </c>
      <c r="M404" s="39">
        <f t="shared" si="52"/>
        <v>1.4342936738063845</v>
      </c>
      <c r="N404" s="39">
        <f t="shared" si="53"/>
        <v>101.41987829614605</v>
      </c>
      <c r="O404" s="40">
        <f>1</f>
        <v>1</v>
      </c>
      <c r="P404" s="38">
        <f>INDEX(Cables!$AS:$AS,MATCH(B404,Cables!$A:$A,0))+INDEX(Cables!$AT:$AT,MATCH(B404,Cables!$A:$A,0))*SQRT(C404)+INDEX(Cables!$AU:$AU,MATCH(B404,Cables!$A:$A,0))*C404</f>
        <v>49.974314527636494</v>
      </c>
      <c r="Q404" s="41">
        <f t="shared" si="54"/>
        <v>1.36777794652434E-2</v>
      </c>
      <c r="R404" s="39">
        <f t="shared" si="55"/>
        <v>1.8708165109983403E-4</v>
      </c>
      <c r="S404" s="40" t="b">
        <f>IF(B404=B403,C404&gt;C403,COUNTIF(B$1:B403,B404)=0)</f>
        <v>1</v>
      </c>
      <c r="T404" s="37"/>
    </row>
    <row r="405" spans="1:20" x14ac:dyDescent="0.25">
      <c r="A405" s="37" t="s">
        <v>1132</v>
      </c>
      <c r="B405" s="37" t="s">
        <v>421</v>
      </c>
      <c r="C405" s="37">
        <v>6000</v>
      </c>
      <c r="D405" s="37">
        <v>55.3</v>
      </c>
      <c r="E405" s="37" t="s">
        <v>771</v>
      </c>
      <c r="F405" s="37">
        <v>20</v>
      </c>
      <c r="G405" s="37" t="s">
        <v>429</v>
      </c>
      <c r="H405" s="37" t="s">
        <v>928</v>
      </c>
      <c r="I405" s="38">
        <f t="shared" si="48"/>
        <v>55.3</v>
      </c>
      <c r="J405" s="38">
        <f t="shared" si="49"/>
        <v>8.6995147482101913</v>
      </c>
      <c r="K405" s="38">
        <f t="shared" si="50"/>
        <v>4.0127729085282891</v>
      </c>
      <c r="L405" s="39">
        <f t="shared" si="51"/>
        <v>1.8083182640144666E-2</v>
      </c>
      <c r="M405" s="39">
        <f t="shared" si="52"/>
        <v>1.4007173042341472</v>
      </c>
      <c r="N405" s="39">
        <f t="shared" si="53"/>
        <v>108.49909584086799</v>
      </c>
      <c r="O405" s="40">
        <f>1</f>
        <v>1</v>
      </c>
      <c r="P405" s="38">
        <f>INDEX(Cables!$AS:$AS,MATCH(B405,Cables!$A:$A,0))+INDEX(Cables!$AT:$AT,MATCH(B405,Cables!$A:$A,0))*SQRT(C405)+INDEX(Cables!$AU:$AU,MATCH(B405,Cables!$A:$A,0))*C405</f>
        <v>56.187217733719351</v>
      </c>
      <c r="Q405" s="41">
        <f t="shared" si="54"/>
        <v>1.6043720320422228E-2</v>
      </c>
      <c r="R405" s="39">
        <f t="shared" si="55"/>
        <v>2.5740096171992914E-4</v>
      </c>
      <c r="S405" s="40" t="b">
        <f>IF(B405=B404,C405&gt;C404,COUNTIF(B$1:B404,B405)=0)</f>
        <v>1</v>
      </c>
      <c r="T405" s="37"/>
    </row>
    <row r="406" spans="1:20" x14ac:dyDescent="0.25">
      <c r="A406" s="37" t="s">
        <v>1133</v>
      </c>
      <c r="B406" s="37" t="s">
        <v>421</v>
      </c>
      <c r="C406" s="37">
        <v>7000</v>
      </c>
      <c r="D406" s="37">
        <v>61.6</v>
      </c>
      <c r="E406" s="37" t="s">
        <v>771</v>
      </c>
      <c r="F406" s="37">
        <v>20</v>
      </c>
      <c r="G406" s="37" t="s">
        <v>429</v>
      </c>
      <c r="H406" s="37" t="s">
        <v>928</v>
      </c>
      <c r="I406" s="38">
        <f t="shared" si="48"/>
        <v>61.6</v>
      </c>
      <c r="J406" s="38">
        <f t="shared" si="49"/>
        <v>8.8536654280374503</v>
      </c>
      <c r="K406" s="38">
        <f t="shared" si="50"/>
        <v>4.1206618705394744</v>
      </c>
      <c r="L406" s="39">
        <f t="shared" si="51"/>
        <v>1.6233766233766232E-2</v>
      </c>
      <c r="M406" s="39">
        <f t="shared" si="52"/>
        <v>1.3582143287890838</v>
      </c>
      <c r="N406" s="39">
        <f t="shared" si="53"/>
        <v>113.63636363636364</v>
      </c>
      <c r="O406" s="40">
        <f>1</f>
        <v>1</v>
      </c>
      <c r="P406" s="38">
        <f>INDEX(Cables!$AS:$AS,MATCH(B406,Cables!$A:$A,0))+INDEX(Cables!$AT:$AT,MATCH(B406,Cables!$A:$A,0))*SQRT(C406)+INDEX(Cables!$AU:$AU,MATCH(B406,Cables!$A:$A,0))*C406</f>
        <v>62.127751895176075</v>
      </c>
      <c r="Q406" s="41">
        <f t="shared" si="54"/>
        <v>8.5674008957155046E-3</v>
      </c>
      <c r="R406" s="39">
        <f t="shared" si="55"/>
        <v>7.3400358107906835E-5</v>
      </c>
      <c r="S406" s="40" t="b">
        <f>IF(B406=B405,C406&gt;C405,COUNTIF(B$1:B405,B406)=0)</f>
        <v>1</v>
      </c>
      <c r="T406" s="37"/>
    </row>
    <row r="407" spans="1:20" x14ac:dyDescent="0.25">
      <c r="A407" s="37" t="s">
        <v>1134</v>
      </c>
      <c r="B407" s="37" t="s">
        <v>421</v>
      </c>
      <c r="C407" s="37">
        <v>8000</v>
      </c>
      <c r="D407" s="37">
        <v>68.400000000000006</v>
      </c>
      <c r="E407" s="37" t="s">
        <v>771</v>
      </c>
      <c r="F407" s="37">
        <v>20</v>
      </c>
      <c r="G407" s="37" t="s">
        <v>429</v>
      </c>
      <c r="H407" s="37" t="s">
        <v>928</v>
      </c>
      <c r="I407" s="38">
        <f t="shared" si="48"/>
        <v>68.400000000000006</v>
      </c>
      <c r="J407" s="38">
        <f t="shared" si="49"/>
        <v>8.987196820661973</v>
      </c>
      <c r="K407" s="38">
        <f t="shared" si="50"/>
        <v>4.2253728246285052</v>
      </c>
      <c r="L407" s="39">
        <f t="shared" si="51"/>
        <v>1.4619883040935672E-2</v>
      </c>
      <c r="M407" s="39">
        <f t="shared" si="52"/>
        <v>1.3076420921051402</v>
      </c>
      <c r="N407" s="39">
        <f t="shared" si="53"/>
        <v>116.95906432748536</v>
      </c>
      <c r="O407" s="40">
        <f>1</f>
        <v>1</v>
      </c>
      <c r="P407" s="38">
        <f>INDEX(Cables!$AS:$AS,MATCH(B407,Cables!$A:$A,0))+INDEX(Cables!$AT:$AT,MATCH(B407,Cables!$A:$A,0))*SQRT(C407)+INDEX(Cables!$AU:$AU,MATCH(B407,Cables!$A:$A,0))*C407</f>
        <v>67.852651061274059</v>
      </c>
      <c r="Q407" s="41">
        <f t="shared" si="54"/>
        <v>-8.0021774667535794E-3</v>
      </c>
      <c r="R407" s="39">
        <f t="shared" si="55"/>
        <v>6.4034844209418738E-5</v>
      </c>
      <c r="S407" s="40" t="b">
        <f>IF(B407=B406,C407&gt;C406,COUNTIF(B$1:B406,B407)=0)</f>
        <v>1</v>
      </c>
      <c r="T407" s="37"/>
    </row>
    <row r="408" spans="1:20" x14ac:dyDescent="0.25">
      <c r="A408" s="37" t="s">
        <v>1135</v>
      </c>
      <c r="B408" s="37" t="s">
        <v>430</v>
      </c>
      <c r="C408" s="37">
        <v>140</v>
      </c>
      <c r="D408" s="37">
        <v>6</v>
      </c>
      <c r="E408" s="37" t="s">
        <v>771</v>
      </c>
      <c r="F408" s="37"/>
      <c r="G408" s="37" t="s">
        <v>442</v>
      </c>
      <c r="H408" s="37" t="s">
        <v>1136</v>
      </c>
      <c r="I408" s="38">
        <f t="shared" si="48"/>
        <v>6</v>
      </c>
      <c r="J408" s="38">
        <f t="shared" si="49"/>
        <v>4.9416424226093039</v>
      </c>
      <c r="K408" s="38">
        <f t="shared" si="50"/>
        <v>1.791759469228055</v>
      </c>
      <c r="L408" s="39">
        <f t="shared" si="51"/>
        <v>0.16666666666666666</v>
      </c>
      <c r="M408" s="39">
        <f t="shared" si="52"/>
        <v>1.9720265943665387</v>
      </c>
      <c r="N408" s="39">
        <f t="shared" si="53"/>
        <v>23.333333333333332</v>
      </c>
      <c r="O408" s="40">
        <f>1</f>
        <v>1</v>
      </c>
      <c r="P408" s="38">
        <f>INDEX(Cables!$AS:$AS,MATCH(B408,Cables!$A:$A,0))+INDEX(Cables!$AT:$AT,MATCH(B408,Cables!$A:$A,0))*SQRT(C408)+INDEX(Cables!$AU:$AU,MATCH(B408,Cables!$A:$A,0))*C408</f>
        <v>5.9684133854559871</v>
      </c>
      <c r="Q408" s="41">
        <f t="shared" si="54"/>
        <v>-5.2644357573354839E-3</v>
      </c>
      <c r="R408" s="39">
        <f t="shared" si="55"/>
        <v>2.7714283843112428E-5</v>
      </c>
      <c r="S408" s="40" t="b">
        <f>IF(B408=B407,C408&gt;C407,COUNTIF(B$1:B407,B408)=0)</f>
        <v>1</v>
      </c>
      <c r="T408" s="37" t="s">
        <v>855</v>
      </c>
    </row>
    <row r="409" spans="1:20" x14ac:dyDescent="0.25">
      <c r="A409" s="37" t="s">
        <v>1137</v>
      </c>
      <c r="B409" s="37" t="s">
        <v>430</v>
      </c>
      <c r="C409" s="37">
        <v>350</v>
      </c>
      <c r="D409" s="37">
        <v>9</v>
      </c>
      <c r="E409" s="37" t="s">
        <v>771</v>
      </c>
      <c r="F409" s="37"/>
      <c r="G409" s="37" t="s">
        <v>442</v>
      </c>
      <c r="H409" s="37" t="s">
        <v>1136</v>
      </c>
      <c r="I409" s="38">
        <f t="shared" si="48"/>
        <v>9</v>
      </c>
      <c r="J409" s="38">
        <f t="shared" si="49"/>
        <v>5.857933154483459</v>
      </c>
      <c r="K409" s="38">
        <f t="shared" si="50"/>
        <v>2.1972245773362196</v>
      </c>
      <c r="L409" s="39">
        <f t="shared" si="51"/>
        <v>0.1111111111111111</v>
      </c>
      <c r="M409" s="39">
        <f t="shared" si="52"/>
        <v>2.0786985482077451</v>
      </c>
      <c r="N409" s="39">
        <f t="shared" si="53"/>
        <v>38.888888888888886</v>
      </c>
      <c r="O409" s="40">
        <f>1</f>
        <v>1</v>
      </c>
      <c r="P409" s="38">
        <f>INDEX(Cables!$AS:$AS,MATCH(B409,Cables!$A:$A,0))+INDEX(Cables!$AT:$AT,MATCH(B409,Cables!$A:$A,0))*SQRT(C409)+INDEX(Cables!$AU:$AU,MATCH(B409,Cables!$A:$A,0))*C409</f>
        <v>9.1484467963455707</v>
      </c>
      <c r="Q409" s="41">
        <f t="shared" si="54"/>
        <v>1.6494088482841285E-2</v>
      </c>
      <c r="R409" s="39">
        <f t="shared" si="55"/>
        <v>2.720549548797975E-4</v>
      </c>
      <c r="S409" s="40" t="b">
        <f>IF(B409=B408,C409&gt;C408,COUNTIF(B$1:B408,B409)=0)</f>
        <v>1</v>
      </c>
      <c r="T409" s="37" t="s">
        <v>855</v>
      </c>
    </row>
    <row r="410" spans="1:20" x14ac:dyDescent="0.25">
      <c r="A410" s="37" t="s">
        <v>1138</v>
      </c>
      <c r="B410" s="37" t="s">
        <v>430</v>
      </c>
      <c r="C410" s="37">
        <v>900</v>
      </c>
      <c r="D410" s="37">
        <v>15</v>
      </c>
      <c r="E410" s="37" t="s">
        <v>771</v>
      </c>
      <c r="F410" s="37"/>
      <c r="G410" s="37" t="s">
        <v>442</v>
      </c>
      <c r="H410" s="37" t="s">
        <v>1136</v>
      </c>
      <c r="I410" s="38">
        <f t="shared" si="48"/>
        <v>15</v>
      </c>
      <c r="J410" s="38">
        <f t="shared" si="49"/>
        <v>6.8023947633243109</v>
      </c>
      <c r="K410" s="38">
        <f t="shared" si="50"/>
        <v>2.7080502011022101</v>
      </c>
      <c r="L410" s="39">
        <f t="shared" si="51"/>
        <v>6.6666666666666666E-2</v>
      </c>
      <c r="M410" s="39">
        <f t="shared" si="52"/>
        <v>2</v>
      </c>
      <c r="N410" s="39">
        <f t="shared" si="53"/>
        <v>60</v>
      </c>
      <c r="O410" s="40">
        <f>1</f>
        <v>1</v>
      </c>
      <c r="P410" s="38">
        <f>INDEX(Cables!$AS:$AS,MATCH(B410,Cables!$A:$A,0))+INDEX(Cables!$AT:$AT,MATCH(B410,Cables!$A:$A,0))*SQRT(C410)+INDEX(Cables!$AU:$AU,MATCH(B410,Cables!$A:$A,0))*C410</f>
        <v>14.694818310897801</v>
      </c>
      <c r="Q410" s="41">
        <f t="shared" si="54"/>
        <v>-2.0345445940146534E-2</v>
      </c>
      <c r="R410" s="39">
        <f t="shared" si="55"/>
        <v>4.1393717050342509E-4</v>
      </c>
      <c r="S410" s="40" t="b">
        <f>IF(B410=B409,C410&gt;C409,COUNTIF(B$1:B409,B410)=0)</f>
        <v>1</v>
      </c>
      <c r="T410" s="37" t="s">
        <v>855</v>
      </c>
    </row>
    <row r="411" spans="1:20" x14ac:dyDescent="0.25">
      <c r="A411" s="37" t="s">
        <v>1139</v>
      </c>
      <c r="B411" s="37" t="s">
        <v>430</v>
      </c>
      <c r="C411" s="37">
        <v>1800</v>
      </c>
      <c r="D411" s="37">
        <v>21</v>
      </c>
      <c r="E411" s="37" t="s">
        <v>771</v>
      </c>
      <c r="F411" s="37"/>
      <c r="G411" s="37" t="s">
        <v>442</v>
      </c>
      <c r="H411" s="37" t="s">
        <v>1136</v>
      </c>
      <c r="I411" s="38">
        <f t="shared" si="48"/>
        <v>21</v>
      </c>
      <c r="J411" s="38">
        <f t="shared" si="49"/>
        <v>7.4955419438842563</v>
      </c>
      <c r="K411" s="38">
        <f t="shared" si="50"/>
        <v>3.044522437723423</v>
      </c>
      <c r="L411" s="39">
        <f t="shared" si="51"/>
        <v>4.7619047619047616E-2</v>
      </c>
      <c r="M411" s="39">
        <f t="shared" si="52"/>
        <v>2.0203050891044216</v>
      </c>
      <c r="N411" s="39">
        <f t="shared" si="53"/>
        <v>85.714285714285708</v>
      </c>
      <c r="O411" s="40">
        <f>1</f>
        <v>1</v>
      </c>
      <c r="P411" s="38">
        <f>INDEX(Cables!$AS:$AS,MATCH(B411,Cables!$A:$A,0))+INDEX(Cables!$AT:$AT,MATCH(B411,Cables!$A:$A,0))*SQRT(C411)+INDEX(Cables!$AU:$AU,MATCH(B411,Cables!$A:$A,0))*C411</f>
        <v>21.264374999374255</v>
      </c>
      <c r="Q411" s="41">
        <f t="shared" si="54"/>
        <v>1.2589285684488249E-2</v>
      </c>
      <c r="R411" s="39">
        <f t="shared" si="55"/>
        <v>1.5849011404566078E-4</v>
      </c>
      <c r="S411" s="40" t="b">
        <f>IF(B411=B410,C411&gt;C410,COUNTIF(B$1:B410,B411)=0)</f>
        <v>1</v>
      </c>
      <c r="T411" s="37" t="s">
        <v>855</v>
      </c>
    </row>
    <row r="412" spans="1:20" x14ac:dyDescent="0.25">
      <c r="A412" s="37" t="s">
        <v>1140</v>
      </c>
      <c r="B412" s="37" t="s">
        <v>430</v>
      </c>
      <c r="C412" s="37">
        <v>1900</v>
      </c>
      <c r="D412" s="37">
        <v>22</v>
      </c>
      <c r="E412" s="37" t="s">
        <v>771</v>
      </c>
      <c r="F412" s="37"/>
      <c r="G412" s="37" t="s">
        <v>442</v>
      </c>
      <c r="H412" s="37" t="s">
        <v>1136</v>
      </c>
      <c r="I412" s="38">
        <f t="shared" si="48"/>
        <v>22</v>
      </c>
      <c r="J412" s="38">
        <f t="shared" si="49"/>
        <v>7.5496091651545321</v>
      </c>
      <c r="K412" s="38">
        <f t="shared" si="50"/>
        <v>3.0910424533583161</v>
      </c>
      <c r="L412" s="39">
        <f t="shared" si="51"/>
        <v>4.5454545454545456E-2</v>
      </c>
      <c r="M412" s="39">
        <f t="shared" si="52"/>
        <v>1.9813177016093972</v>
      </c>
      <c r="N412" s="39">
        <f t="shared" si="53"/>
        <v>86.36363636363636</v>
      </c>
      <c r="O412" s="40">
        <f>1</f>
        <v>1</v>
      </c>
      <c r="P412" s="38">
        <f>INDEX(Cables!$AS:$AS,MATCH(B412,Cables!$A:$A,0))+INDEX(Cables!$AT:$AT,MATCH(B412,Cables!$A:$A,0))*SQRT(C412)+INDEX(Cables!$AU:$AU,MATCH(B412,Cables!$A:$A,0))*C412</f>
        <v>21.903975721145471</v>
      </c>
      <c r="Q412" s="41">
        <f t="shared" si="54"/>
        <v>-4.3647399479330717E-3</v>
      </c>
      <c r="R412" s="39">
        <f t="shared" si="55"/>
        <v>1.9050954813082795E-5</v>
      </c>
      <c r="S412" s="40" t="b">
        <f>IF(B412=B411,C412&gt;C411,COUNTIF(B$1:B411,B412)=0)</f>
        <v>1</v>
      </c>
      <c r="T412" s="37" t="s">
        <v>855</v>
      </c>
    </row>
    <row r="413" spans="1:20" x14ac:dyDescent="0.25">
      <c r="A413" s="37" t="s">
        <v>1141</v>
      </c>
      <c r="B413" s="37" t="s">
        <v>444</v>
      </c>
      <c r="C413" s="37">
        <v>10</v>
      </c>
      <c r="D413" s="37">
        <v>0.6</v>
      </c>
      <c r="E413" s="37" t="s">
        <v>707</v>
      </c>
      <c r="F413" s="37"/>
      <c r="G413" s="37" t="s">
        <v>452</v>
      </c>
      <c r="H413" s="37" t="s">
        <v>1142</v>
      </c>
      <c r="I413" s="38">
        <f t="shared" si="48"/>
        <v>1.9685039370078741</v>
      </c>
      <c r="J413" s="38">
        <f t="shared" si="49"/>
        <v>2.3025850929940459</v>
      </c>
      <c r="K413" s="38">
        <f t="shared" si="50"/>
        <v>0.67727383140365516</v>
      </c>
      <c r="L413" s="39">
        <f t="shared" si="51"/>
        <v>0.50800000000000001</v>
      </c>
      <c r="M413" s="39">
        <f t="shared" si="52"/>
        <v>1.6064370513655368</v>
      </c>
      <c r="N413" s="39">
        <f t="shared" si="53"/>
        <v>5.08</v>
      </c>
      <c r="O413" s="40">
        <f>1</f>
        <v>1</v>
      </c>
      <c r="P413" s="38">
        <f>INDEX(Cables!$AS:$AS,MATCH(B413,Cables!$A:$A,0))+INDEX(Cables!$AT:$AT,MATCH(B413,Cables!$A:$A,0))*SQRT(C413)+INDEX(Cables!$AU:$AU,MATCH(B413,Cables!$A:$A,0))*C413</f>
        <v>1.9816870509260074</v>
      </c>
      <c r="Q413" s="41">
        <f t="shared" si="54"/>
        <v>6.6970218704116569E-3</v>
      </c>
      <c r="R413" s="39">
        <f t="shared" si="55"/>
        <v>4.485010193277205E-5</v>
      </c>
      <c r="S413" s="40" t="b">
        <f>IF(B413=B412,C413&gt;C412,COUNTIF(B$1:B412,B413)=0)</f>
        <v>1</v>
      </c>
      <c r="T413" s="37"/>
    </row>
    <row r="414" spans="1:20" x14ac:dyDescent="0.25">
      <c r="A414" s="37" t="s">
        <v>1143</v>
      </c>
      <c r="B414" s="37" t="s">
        <v>444</v>
      </c>
      <c r="C414" s="37">
        <v>50</v>
      </c>
      <c r="D414" s="37">
        <v>1.1000000000000001</v>
      </c>
      <c r="E414" s="37" t="s">
        <v>707</v>
      </c>
      <c r="F414" s="37"/>
      <c r="G414" s="37" t="s">
        <v>452</v>
      </c>
      <c r="H414" s="37" t="s">
        <v>1142</v>
      </c>
      <c r="I414" s="38">
        <f t="shared" si="48"/>
        <v>3.6089238845144362</v>
      </c>
      <c r="J414" s="38">
        <f t="shared" si="49"/>
        <v>3.912023005428146</v>
      </c>
      <c r="K414" s="38">
        <f t="shared" si="50"/>
        <v>1.2834096349739708</v>
      </c>
      <c r="L414" s="39">
        <f t="shared" si="51"/>
        <v>0.27709090909090905</v>
      </c>
      <c r="M414" s="39">
        <f t="shared" si="52"/>
        <v>1.9593286082332697</v>
      </c>
      <c r="N414" s="39">
        <f t="shared" si="53"/>
        <v>13.854545454545452</v>
      </c>
      <c r="O414" s="40">
        <f>1</f>
        <v>1</v>
      </c>
      <c r="P414" s="38">
        <f>INDEX(Cables!$AS:$AS,MATCH(B414,Cables!$A:$A,0))+INDEX(Cables!$AT:$AT,MATCH(B414,Cables!$A:$A,0))*SQRT(C414)+INDEX(Cables!$AU:$AU,MATCH(B414,Cables!$A:$A,0))*C414</f>
        <v>3.5707092365131294</v>
      </c>
      <c r="Q414" s="41">
        <f t="shared" si="54"/>
        <v>-1.0588931555271186E-2</v>
      </c>
      <c r="R414" s="39">
        <f t="shared" si="55"/>
        <v>1.1212547148221785E-4</v>
      </c>
      <c r="S414" s="40" t="b">
        <f>IF(B414=B413,C414&gt;C413,COUNTIF(B$1:B413,B414)=0)</f>
        <v>1</v>
      </c>
      <c r="T414" s="37"/>
    </row>
    <row r="415" spans="1:20" x14ac:dyDescent="0.25">
      <c r="A415" s="37" t="s">
        <v>1144</v>
      </c>
      <c r="B415" s="37" t="s">
        <v>444</v>
      </c>
      <c r="C415" s="37">
        <v>100</v>
      </c>
      <c r="D415" s="37">
        <v>1.5</v>
      </c>
      <c r="E415" s="37" t="s">
        <v>707</v>
      </c>
      <c r="F415" s="37"/>
      <c r="G415" s="37" t="s">
        <v>452</v>
      </c>
      <c r="H415" s="37" t="s">
        <v>1142</v>
      </c>
      <c r="I415" s="38">
        <f t="shared" si="48"/>
        <v>4.9212598425196852</v>
      </c>
      <c r="J415" s="38">
        <f t="shared" si="49"/>
        <v>4.6051701859880918</v>
      </c>
      <c r="K415" s="38">
        <f t="shared" si="50"/>
        <v>1.5935645632778102</v>
      </c>
      <c r="L415" s="39">
        <f t="shared" si="51"/>
        <v>0.20319999999999999</v>
      </c>
      <c r="M415" s="39">
        <f t="shared" si="52"/>
        <v>2.032</v>
      </c>
      <c r="N415" s="39">
        <f t="shared" si="53"/>
        <v>20.32</v>
      </c>
      <c r="O415" s="40">
        <f>1</f>
        <v>1</v>
      </c>
      <c r="P415" s="38">
        <f>INDEX(Cables!$AS:$AS,MATCH(B415,Cables!$A:$A,0))+INDEX(Cables!$AT:$AT,MATCH(B415,Cables!$A:$A,0))*SQRT(C415)+INDEX(Cables!$AU:$AU,MATCH(B415,Cables!$A:$A,0))*C415</f>
        <v>4.816160389715809</v>
      </c>
      <c r="Q415" s="41">
        <f t="shared" si="54"/>
        <v>-2.1356208809747645E-2</v>
      </c>
      <c r="R415" s="39">
        <f t="shared" si="55"/>
        <v>4.5608765472554292E-4</v>
      </c>
      <c r="S415" s="40" t="b">
        <f>IF(B415=B414,C415&gt;C414,COUNTIF(B$1:B414,B415)=0)</f>
        <v>1</v>
      </c>
      <c r="T415" s="37"/>
    </row>
    <row r="416" spans="1:20" x14ac:dyDescent="0.25">
      <c r="A416" s="37" t="s">
        <v>1145</v>
      </c>
      <c r="B416" s="37" t="s">
        <v>444</v>
      </c>
      <c r="C416" s="37">
        <v>200</v>
      </c>
      <c r="D416" s="37">
        <v>2</v>
      </c>
      <c r="E416" s="37" t="s">
        <v>707</v>
      </c>
      <c r="F416" s="37"/>
      <c r="G416" s="37" t="s">
        <v>452</v>
      </c>
      <c r="H416" s="37" t="s">
        <v>1142</v>
      </c>
      <c r="I416" s="38">
        <f t="shared" si="48"/>
        <v>6.5616797900262469</v>
      </c>
      <c r="J416" s="38">
        <f t="shared" si="49"/>
        <v>5.2983173665480363</v>
      </c>
      <c r="K416" s="38">
        <f t="shared" si="50"/>
        <v>1.8812466357295912</v>
      </c>
      <c r="L416" s="39">
        <f t="shared" si="51"/>
        <v>0.15240000000000001</v>
      </c>
      <c r="M416" s="39">
        <f t="shared" si="52"/>
        <v>2.155261469056597</v>
      </c>
      <c r="N416" s="39">
        <f t="shared" si="53"/>
        <v>30.48</v>
      </c>
      <c r="O416" s="40">
        <f>1</f>
        <v>1</v>
      </c>
      <c r="P416" s="38">
        <f>INDEX(Cables!$AS:$AS,MATCH(B416,Cables!$A:$A,0))+INDEX(Cables!$AT:$AT,MATCH(B416,Cables!$A:$A,0))*SQRT(C416)+INDEX(Cables!$AU:$AU,MATCH(B416,Cables!$A:$A,0))*C416</f>
        <v>6.6575882888324056</v>
      </c>
      <c r="Q416" s="41">
        <f t="shared" si="54"/>
        <v>1.4616455218058544E-2</v>
      </c>
      <c r="R416" s="39">
        <f t="shared" si="55"/>
        <v>2.1364076314151083E-4</v>
      </c>
      <c r="S416" s="40" t="b">
        <f>IF(B416=B415,C416&gt;C415,COUNTIF(B$1:B415,B416)=0)</f>
        <v>1</v>
      </c>
      <c r="T416" s="37"/>
    </row>
    <row r="417" spans="1:20" x14ac:dyDescent="0.25">
      <c r="A417" s="37" t="s">
        <v>1146</v>
      </c>
      <c r="B417" s="37" t="s">
        <v>444</v>
      </c>
      <c r="C417" s="37">
        <v>400</v>
      </c>
      <c r="D417" s="37">
        <v>2.8</v>
      </c>
      <c r="E417" s="37" t="s">
        <v>707</v>
      </c>
      <c r="F417" s="37"/>
      <c r="G417" s="37" t="s">
        <v>452</v>
      </c>
      <c r="H417" s="37" t="s">
        <v>1142</v>
      </c>
      <c r="I417" s="38">
        <f t="shared" si="48"/>
        <v>9.1863517060367457</v>
      </c>
      <c r="J417" s="38">
        <f t="shared" si="49"/>
        <v>5.9914645471079817</v>
      </c>
      <c r="K417" s="38">
        <f t="shared" si="50"/>
        <v>2.2177188723508041</v>
      </c>
      <c r="L417" s="39">
        <f t="shared" si="51"/>
        <v>0.10885714285714286</v>
      </c>
      <c r="M417" s="39">
        <f t="shared" si="52"/>
        <v>2.177142857142857</v>
      </c>
      <c r="N417" s="39">
        <f t="shared" si="53"/>
        <v>43.542857142857144</v>
      </c>
      <c r="O417" s="40">
        <f>1</f>
        <v>1</v>
      </c>
      <c r="P417" s="38">
        <f>INDEX(Cables!$AS:$AS,MATCH(B417,Cables!$A:$A,0))+INDEX(Cables!$AT:$AT,MATCH(B417,Cables!$A:$A,0))*SQRT(C417)+INDEX(Cables!$AU:$AU,MATCH(B417,Cables!$A:$A,0))*C417</f>
        <v>9.4219485718636076</v>
      </c>
      <c r="Q417" s="41">
        <f t="shared" si="54"/>
        <v>2.5646401680009756E-2</v>
      </c>
      <c r="R417" s="39">
        <f t="shared" si="55"/>
        <v>6.5773791913240726E-4</v>
      </c>
      <c r="S417" s="40" t="b">
        <f>IF(B417=B416,C417&gt;C416,COUNTIF(B$1:B416,B417)=0)</f>
        <v>1</v>
      </c>
      <c r="T417" s="37"/>
    </row>
    <row r="418" spans="1:20" x14ac:dyDescent="0.25">
      <c r="A418" s="37" t="s">
        <v>1147</v>
      </c>
      <c r="B418" s="37" t="s">
        <v>444</v>
      </c>
      <c r="C418" s="37">
        <v>700</v>
      </c>
      <c r="D418" s="37">
        <v>3.9</v>
      </c>
      <c r="E418" s="37" t="s">
        <v>707</v>
      </c>
      <c r="F418" s="37"/>
      <c r="G418" s="37" t="s">
        <v>452</v>
      </c>
      <c r="H418" s="37" t="s">
        <v>1142</v>
      </c>
      <c r="I418" s="38">
        <f t="shared" si="48"/>
        <v>12.795275590551181</v>
      </c>
      <c r="J418" s="38">
        <f t="shared" si="49"/>
        <v>6.5510803350434044</v>
      </c>
      <c r="K418" s="38">
        <f t="shared" si="50"/>
        <v>2.5490760083052466</v>
      </c>
      <c r="L418" s="39">
        <f t="shared" si="51"/>
        <v>7.8153846153846157E-2</v>
      </c>
      <c r="M418" s="39">
        <f t="shared" si="52"/>
        <v>2.0677564092627878</v>
      </c>
      <c r="N418" s="39">
        <f t="shared" si="53"/>
        <v>54.707692307692305</v>
      </c>
      <c r="O418" s="40">
        <f>1</f>
        <v>1</v>
      </c>
      <c r="P418" s="38">
        <f>INDEX(Cables!$AS:$AS,MATCH(B418,Cables!$A:$A,0))+INDEX(Cables!$AT:$AT,MATCH(B418,Cables!$A:$A,0))*SQRT(C418)+INDEX(Cables!$AU:$AU,MATCH(B418,Cables!$A:$A,0))*C418</f>
        <v>12.686758718067251</v>
      </c>
      <c r="Q418" s="41">
        <f t="shared" si="54"/>
        <v>-8.4810109572056591E-3</v>
      </c>
      <c r="R418" s="39">
        <f t="shared" si="55"/>
        <v>7.192754685624245E-5</v>
      </c>
      <c r="S418" s="40" t="b">
        <f>IF(B418=B417,C418&gt;C417,COUNTIF(B$1:B417,B418)=0)</f>
        <v>1</v>
      </c>
      <c r="T418" s="37"/>
    </row>
    <row r="419" spans="1:20" x14ac:dyDescent="0.25">
      <c r="A419" s="37" t="s">
        <v>1148</v>
      </c>
      <c r="B419" s="37" t="s">
        <v>444</v>
      </c>
      <c r="C419" s="37">
        <v>900</v>
      </c>
      <c r="D419" s="37">
        <v>4.4000000000000004</v>
      </c>
      <c r="E419" s="37" t="s">
        <v>707</v>
      </c>
      <c r="F419" s="37"/>
      <c r="G419" s="37" t="s">
        <v>452</v>
      </c>
      <c r="H419" s="37" t="s">
        <v>1142</v>
      </c>
      <c r="I419" s="38">
        <f t="shared" si="48"/>
        <v>14.435695538057745</v>
      </c>
      <c r="J419" s="38">
        <f t="shared" si="49"/>
        <v>6.8023947633243109</v>
      </c>
      <c r="K419" s="38">
        <f t="shared" si="50"/>
        <v>2.6697039960938613</v>
      </c>
      <c r="L419" s="39">
        <f t="shared" si="51"/>
        <v>6.9272727272727264E-2</v>
      </c>
      <c r="M419" s="39">
        <f t="shared" si="52"/>
        <v>2.0781818181818177</v>
      </c>
      <c r="N419" s="39">
        <f t="shared" si="53"/>
        <v>62.345454545454537</v>
      </c>
      <c r="O419" s="40">
        <f>1</f>
        <v>1</v>
      </c>
      <c r="P419" s="38">
        <f>INDEX(Cables!$AS:$AS,MATCH(B419,Cables!$A:$A,0))+INDEX(Cables!$AT:$AT,MATCH(B419,Cables!$A:$A,0))*SQRT(C419)+INDEX(Cables!$AU:$AU,MATCH(B419,Cables!$A:$A,0))*C419</f>
        <v>14.574652707263096</v>
      </c>
      <c r="Q419" s="41">
        <f t="shared" si="54"/>
        <v>9.6259420849524879E-3</v>
      </c>
      <c r="R419" s="39">
        <f t="shared" si="55"/>
        <v>9.2658761022859455E-5</v>
      </c>
      <c r="S419" s="40" t="b">
        <f>IF(B419=B418,C419&gt;C418,COUNTIF(B$1:B418,B419)=0)</f>
        <v>1</v>
      </c>
      <c r="T419" s="37"/>
    </row>
    <row r="420" spans="1:20" x14ac:dyDescent="0.25">
      <c r="A420" s="37" t="s">
        <v>1149</v>
      </c>
      <c r="B420" s="37" t="s">
        <v>444</v>
      </c>
      <c r="C420" s="37">
        <v>1000</v>
      </c>
      <c r="D420" s="37">
        <v>4.8</v>
      </c>
      <c r="E420" s="37" t="s">
        <v>707</v>
      </c>
      <c r="F420" s="37"/>
      <c r="G420" s="37" t="s">
        <v>452</v>
      </c>
      <c r="H420" s="37" t="s">
        <v>1142</v>
      </c>
      <c r="I420" s="38">
        <f t="shared" si="48"/>
        <v>15.748031496062993</v>
      </c>
      <c r="J420" s="38">
        <f t="shared" si="49"/>
        <v>6.9077552789821368</v>
      </c>
      <c r="K420" s="38">
        <f t="shared" si="50"/>
        <v>2.756715373083491</v>
      </c>
      <c r="L420" s="39">
        <f t="shared" si="51"/>
        <v>6.3500000000000001E-2</v>
      </c>
      <c r="M420" s="39">
        <f t="shared" si="52"/>
        <v>2.0080463142069207</v>
      </c>
      <c r="N420" s="39">
        <f t="shared" si="53"/>
        <v>63.5</v>
      </c>
      <c r="O420" s="40">
        <f>1</f>
        <v>1</v>
      </c>
      <c r="P420" s="38">
        <f>INDEX(Cables!$AS:$AS,MATCH(B420,Cables!$A:$A,0))+INDEX(Cables!$AT:$AT,MATCH(B420,Cables!$A:$A,0))*SQRT(C420)+INDEX(Cables!$AU:$AU,MATCH(B420,Cables!$A:$A,0))*C420</f>
        <v>15.462398851515394</v>
      </c>
      <c r="Q420" s="41">
        <f t="shared" si="54"/>
        <v>-1.8137672928772552E-2</v>
      </c>
      <c r="R420" s="39">
        <f t="shared" si="55"/>
        <v>3.2897517927112872E-4</v>
      </c>
      <c r="S420" s="40" t="b">
        <f>IF(B420=B419,C420&gt;C419,COUNTIF(B$1:B419,B420)=0)</f>
        <v>1</v>
      </c>
      <c r="T420" s="37"/>
    </row>
    <row r="421" spans="1:20" x14ac:dyDescent="0.25">
      <c r="A421" s="37" t="s">
        <v>1150</v>
      </c>
      <c r="B421" s="37" t="s">
        <v>454</v>
      </c>
      <c r="C421" s="37">
        <v>100</v>
      </c>
      <c r="D421" s="37">
        <v>4.21</v>
      </c>
      <c r="E421" s="37" t="s">
        <v>771</v>
      </c>
      <c r="F421" s="37">
        <v>20</v>
      </c>
      <c r="G421" s="37" t="s">
        <v>460</v>
      </c>
      <c r="H421" s="37" t="s">
        <v>1151</v>
      </c>
      <c r="I421" s="38">
        <f t="shared" si="48"/>
        <v>4.21</v>
      </c>
      <c r="J421" s="38">
        <f t="shared" si="49"/>
        <v>4.6051701859880918</v>
      </c>
      <c r="K421" s="38">
        <f t="shared" si="50"/>
        <v>1.43746264769429</v>
      </c>
      <c r="L421" s="39">
        <f t="shared" si="51"/>
        <v>0.23752969121140144</v>
      </c>
      <c r="M421" s="39">
        <f t="shared" si="52"/>
        <v>2.3752969121140142</v>
      </c>
      <c r="N421" s="39">
        <f t="shared" si="53"/>
        <v>23.752969121140143</v>
      </c>
      <c r="O421" s="40">
        <f>1</f>
        <v>1</v>
      </c>
      <c r="P421" s="38">
        <f>INDEX(Cables!$AS:$AS,MATCH(B421,Cables!$A:$A,0))+INDEX(Cables!$AT:$AT,MATCH(B421,Cables!$A:$A,0))*SQRT(C421)+INDEX(Cables!$AU:$AU,MATCH(B421,Cables!$A:$A,0))*C421</f>
        <v>4.2090879566177088</v>
      </c>
      <c r="Q421" s="41">
        <f t="shared" si="54"/>
        <v>-2.1663738296706647E-4</v>
      </c>
      <c r="R421" s="39">
        <f t="shared" si="55"/>
        <v>4.6931755698819424E-8</v>
      </c>
      <c r="S421" s="40" t="b">
        <f>IF(B421=B420,C421&gt;C420,COUNTIF(B$1:B420,B421)=0)</f>
        <v>1</v>
      </c>
      <c r="T421" s="37"/>
    </row>
    <row r="422" spans="1:20" x14ac:dyDescent="0.25">
      <c r="A422" s="37" t="s">
        <v>1152</v>
      </c>
      <c r="B422" s="37" t="s">
        <v>454</v>
      </c>
      <c r="C422" s="37">
        <v>150</v>
      </c>
      <c r="D422" s="37">
        <v>5.2</v>
      </c>
      <c r="E422" s="37" t="s">
        <v>771</v>
      </c>
      <c r="F422" s="37">
        <v>20</v>
      </c>
      <c r="G422" s="37" t="s">
        <v>460</v>
      </c>
      <c r="H422" s="37" t="s">
        <v>1151</v>
      </c>
      <c r="I422" s="38">
        <f t="shared" si="48"/>
        <v>5.2</v>
      </c>
      <c r="J422" s="38">
        <f t="shared" si="49"/>
        <v>5.0106352940962555</v>
      </c>
      <c r="K422" s="38">
        <f t="shared" si="50"/>
        <v>1.6486586255873816</v>
      </c>
      <c r="L422" s="39">
        <f t="shared" si="51"/>
        <v>0.19230769230769229</v>
      </c>
      <c r="M422" s="39">
        <f t="shared" si="52"/>
        <v>2.3552785988299787</v>
      </c>
      <c r="N422" s="39">
        <f t="shared" si="53"/>
        <v>28.846153846153847</v>
      </c>
      <c r="O422" s="40">
        <f>1</f>
        <v>1</v>
      </c>
      <c r="P422" s="38">
        <f>INDEX(Cables!$AS:$AS,MATCH(B422,Cables!$A:$A,0))+INDEX(Cables!$AT:$AT,MATCH(B422,Cables!$A:$A,0))*SQRT(C422)+INDEX(Cables!$AU:$AU,MATCH(B422,Cables!$A:$A,0))*C422</f>
        <v>5.1985716218884459</v>
      </c>
      <c r="Q422" s="41">
        <f t="shared" si="54"/>
        <v>-2.7468809837583041E-4</v>
      </c>
      <c r="R422" s="39">
        <f t="shared" si="55"/>
        <v>7.5453551389329887E-8</v>
      </c>
      <c r="S422" s="40" t="b">
        <f>IF(B422=B421,C422&gt;C421,COUNTIF(B$1:B421,B422)=0)</f>
        <v>1</v>
      </c>
      <c r="T422" s="37"/>
    </row>
    <row r="423" spans="1:20" x14ac:dyDescent="0.25">
      <c r="A423" s="37" t="s">
        <v>1153</v>
      </c>
      <c r="B423" s="37" t="s">
        <v>454</v>
      </c>
      <c r="C423" s="37">
        <v>200</v>
      </c>
      <c r="D423" s="37">
        <v>6.04</v>
      </c>
      <c r="E423" s="37" t="s">
        <v>771</v>
      </c>
      <c r="F423" s="37">
        <v>20</v>
      </c>
      <c r="G423" s="37" t="s">
        <v>460</v>
      </c>
      <c r="H423" s="37" t="s">
        <v>1151</v>
      </c>
      <c r="I423" s="38">
        <f t="shared" si="48"/>
        <v>6.04</v>
      </c>
      <c r="J423" s="38">
        <f t="shared" si="49"/>
        <v>5.2983173665480363</v>
      </c>
      <c r="K423" s="38">
        <f t="shared" si="50"/>
        <v>1.7984040119467235</v>
      </c>
      <c r="L423" s="39">
        <f t="shared" si="51"/>
        <v>0.16556291390728478</v>
      </c>
      <c r="M423" s="39">
        <f t="shared" si="52"/>
        <v>2.3414131827369125</v>
      </c>
      <c r="N423" s="39">
        <f t="shared" si="53"/>
        <v>33.11258278145695</v>
      </c>
      <c r="O423" s="40">
        <f>1</f>
        <v>1</v>
      </c>
      <c r="P423" s="38">
        <f>INDEX(Cables!$AS:$AS,MATCH(B423,Cables!$A:$A,0))+INDEX(Cables!$AT:$AT,MATCH(B423,Cables!$A:$A,0))*SQRT(C423)+INDEX(Cables!$AU:$AU,MATCH(B423,Cables!$A:$A,0))*C423</f>
        <v>6.0453125507040024</v>
      </c>
      <c r="Q423" s="41">
        <f t="shared" si="54"/>
        <v>8.7956137483491403E-4</v>
      </c>
      <c r="R423" s="39">
        <f t="shared" si="55"/>
        <v>7.7362821210148413E-7</v>
      </c>
      <c r="S423" s="40" t="b">
        <f>IF(B423=B422,C423&gt;C422,COUNTIF(B$1:B422,B423)=0)</f>
        <v>1</v>
      </c>
      <c r="T423" s="37"/>
    </row>
    <row r="424" spans="1:20" x14ac:dyDescent="0.25">
      <c r="A424" s="37" t="s">
        <v>1154</v>
      </c>
      <c r="B424" s="37" t="s">
        <v>454</v>
      </c>
      <c r="C424" s="37">
        <v>450</v>
      </c>
      <c r="D424" s="37">
        <v>9.31</v>
      </c>
      <c r="E424" s="37" t="s">
        <v>771</v>
      </c>
      <c r="F424" s="37">
        <v>20</v>
      </c>
      <c r="G424" s="37" t="s">
        <v>460</v>
      </c>
      <c r="H424" s="37" t="s">
        <v>1151</v>
      </c>
      <c r="I424" s="38">
        <f t="shared" si="48"/>
        <v>9.31</v>
      </c>
      <c r="J424" s="38">
        <f t="shared" si="49"/>
        <v>6.1092475827643655</v>
      </c>
      <c r="K424" s="38">
        <f t="shared" si="50"/>
        <v>2.2310890912889758</v>
      </c>
      <c r="L424" s="39">
        <f t="shared" si="51"/>
        <v>0.10741138560687433</v>
      </c>
      <c r="M424" s="39">
        <f t="shared" si="52"/>
        <v>2.2785395741779189</v>
      </c>
      <c r="N424" s="39">
        <f t="shared" si="53"/>
        <v>48.335123523093444</v>
      </c>
      <c r="O424" s="40">
        <f>1</f>
        <v>1</v>
      </c>
      <c r="P424" s="38">
        <f>INDEX(Cables!$AS:$AS,MATCH(B424,Cables!$A:$A,0))+INDEX(Cables!$AT:$AT,MATCH(B424,Cables!$A:$A,0))*SQRT(C424)+INDEX(Cables!$AU:$AU,MATCH(B424,Cables!$A:$A,0))*C424</f>
        <v>9.3069153457385791</v>
      </c>
      <c r="Q424" s="41">
        <f t="shared" si="54"/>
        <v>-3.3132698833737706E-4</v>
      </c>
      <c r="R424" s="39">
        <f t="shared" si="55"/>
        <v>1.097775732007164E-7</v>
      </c>
      <c r="S424" s="40" t="b">
        <f>IF(B424=B423,C424&gt;C423,COUNTIF(B$1:B423,B424)=0)</f>
        <v>1</v>
      </c>
      <c r="T424" s="37"/>
    </row>
    <row r="425" spans="1:20" x14ac:dyDescent="0.25">
      <c r="A425" s="37" t="s">
        <v>1155</v>
      </c>
      <c r="B425" s="37" t="s">
        <v>454</v>
      </c>
      <c r="C425" s="37">
        <v>700</v>
      </c>
      <c r="D425" s="37">
        <v>11.83</v>
      </c>
      <c r="E425" s="37" t="s">
        <v>771</v>
      </c>
      <c r="F425" s="37">
        <v>20</v>
      </c>
      <c r="G425" s="37" t="s">
        <v>460</v>
      </c>
      <c r="H425" s="37" t="s">
        <v>1151</v>
      </c>
      <c r="I425" s="38">
        <f t="shared" si="48"/>
        <v>11.83</v>
      </c>
      <c r="J425" s="38">
        <f t="shared" si="49"/>
        <v>6.5510803350434044</v>
      </c>
      <c r="K425" s="38">
        <f t="shared" si="50"/>
        <v>2.4706386779902956</v>
      </c>
      <c r="L425" s="39">
        <f t="shared" si="51"/>
        <v>8.453085376162299E-2</v>
      </c>
      <c r="M425" s="39">
        <f t="shared" si="52"/>
        <v>2.2364761716522321</v>
      </c>
      <c r="N425" s="39">
        <f t="shared" si="53"/>
        <v>59.171597633136095</v>
      </c>
      <c r="O425" s="40">
        <f>1</f>
        <v>1</v>
      </c>
      <c r="P425" s="38">
        <f>INDEX(Cables!$AS:$AS,MATCH(B425,Cables!$A:$A,0))+INDEX(Cables!$AT:$AT,MATCH(B425,Cables!$A:$A,0))*SQRT(C425)+INDEX(Cables!$AU:$AU,MATCH(B425,Cables!$A:$A,0))*C425</f>
        <v>11.829332513929185</v>
      </c>
      <c r="Q425" s="41">
        <f t="shared" si="54"/>
        <v>-5.642316744003395E-5</v>
      </c>
      <c r="R425" s="39">
        <f t="shared" si="55"/>
        <v>3.1835738239661073E-9</v>
      </c>
      <c r="S425" s="40" t="b">
        <f>IF(B425=B424,C425&gt;C424,COUNTIF(B$1:B424,B425)=0)</f>
        <v>1</v>
      </c>
      <c r="T425" s="37"/>
    </row>
    <row r="426" spans="1:20" x14ac:dyDescent="0.25">
      <c r="A426" s="37" t="s">
        <v>1156</v>
      </c>
      <c r="B426" s="37" t="s">
        <v>454</v>
      </c>
      <c r="C426" s="37">
        <v>800</v>
      </c>
      <c r="D426" s="37">
        <v>12.73</v>
      </c>
      <c r="E426" s="37" t="s">
        <v>771</v>
      </c>
      <c r="F426" s="37">
        <v>20</v>
      </c>
      <c r="G426" s="37" t="s">
        <v>460</v>
      </c>
      <c r="H426" s="37" t="s">
        <v>1151</v>
      </c>
      <c r="I426" s="38">
        <f t="shared" si="48"/>
        <v>12.73</v>
      </c>
      <c r="J426" s="38">
        <f t="shared" si="49"/>
        <v>6.6846117276679271</v>
      </c>
      <c r="K426" s="38">
        <f t="shared" si="50"/>
        <v>2.5439614125693151</v>
      </c>
      <c r="L426" s="39">
        <f t="shared" si="51"/>
        <v>7.8554595443833461E-2</v>
      </c>
      <c r="M426" s="39">
        <f t="shared" si="52"/>
        <v>2.2218594852680207</v>
      </c>
      <c r="N426" s="39">
        <f t="shared" si="53"/>
        <v>62.843676355066769</v>
      </c>
      <c r="O426" s="40">
        <f>1</f>
        <v>1</v>
      </c>
      <c r="P426" s="38">
        <f>INDEX(Cables!$AS:$AS,MATCH(B426,Cables!$A:$A,0))+INDEX(Cables!$AT:$AT,MATCH(B426,Cables!$A:$A,0))*SQRT(C426)+INDEX(Cables!$AU:$AU,MATCH(B426,Cables!$A:$A,0))*C426</f>
        <v>12.728654885136235</v>
      </c>
      <c r="Q426" s="41">
        <f t="shared" si="54"/>
        <v>-1.056649539485921E-4</v>
      </c>
      <c r="R426" s="39">
        <f t="shared" si="55"/>
        <v>1.116508249295809E-8</v>
      </c>
      <c r="S426" s="40" t="b">
        <f>IF(B426=B425,C426&gt;C425,COUNTIF(B$1:B425,B426)=0)</f>
        <v>1</v>
      </c>
      <c r="T426" s="37"/>
    </row>
    <row r="427" spans="1:20" x14ac:dyDescent="0.25">
      <c r="A427" s="37" t="s">
        <v>1157</v>
      </c>
      <c r="B427" s="37" t="s">
        <v>454</v>
      </c>
      <c r="C427" s="37">
        <v>870</v>
      </c>
      <c r="D427" s="37">
        <v>13.33</v>
      </c>
      <c r="E427" s="37" t="s">
        <v>771</v>
      </c>
      <c r="F427" s="37">
        <v>20</v>
      </c>
      <c r="G427" s="37" t="s">
        <v>460</v>
      </c>
      <c r="H427" s="37" t="s">
        <v>1151</v>
      </c>
      <c r="I427" s="38">
        <f t="shared" si="48"/>
        <v>13.33</v>
      </c>
      <c r="J427" s="38">
        <f t="shared" si="49"/>
        <v>6.7684932116486296</v>
      </c>
      <c r="K427" s="38">
        <f t="shared" si="50"/>
        <v>2.5900171341906173</v>
      </c>
      <c r="L427" s="39">
        <f t="shared" si="51"/>
        <v>7.5018754688672168E-2</v>
      </c>
      <c r="M427" s="39">
        <f t="shared" si="52"/>
        <v>2.2127353644039949</v>
      </c>
      <c r="N427" s="39">
        <f t="shared" si="53"/>
        <v>65.266316579144785</v>
      </c>
      <c r="O427" s="40">
        <f>1</f>
        <v>1</v>
      </c>
      <c r="P427" s="38">
        <f>INDEX(Cables!$AS:$AS,MATCH(B427,Cables!$A:$A,0))+INDEX(Cables!$AT:$AT,MATCH(B427,Cables!$A:$A,0))*SQRT(C427)+INDEX(Cables!$AU:$AU,MATCH(B427,Cables!$A:$A,0))*C427</f>
        <v>13.330972510505235</v>
      </c>
      <c r="Q427" s="41">
        <f t="shared" si="54"/>
        <v>7.2956527024325979E-5</v>
      </c>
      <c r="R427" s="39">
        <f t="shared" si="55"/>
        <v>5.3226548354512065E-9</v>
      </c>
      <c r="S427" s="40" t="b">
        <f>IF(B427=B426,C427&gt;C426,COUNTIF(B$1:B426,B427)=0)</f>
        <v>1</v>
      </c>
      <c r="T427" s="37"/>
    </row>
    <row r="428" spans="1:20" x14ac:dyDescent="0.25">
      <c r="A428" s="37" t="s">
        <v>1158</v>
      </c>
      <c r="B428" s="37" t="s">
        <v>454</v>
      </c>
      <c r="C428" s="37">
        <v>900</v>
      </c>
      <c r="D428" s="37">
        <v>13.58</v>
      </c>
      <c r="E428" s="37" t="s">
        <v>771</v>
      </c>
      <c r="F428" s="37">
        <v>20</v>
      </c>
      <c r="G428" s="37" t="s">
        <v>460</v>
      </c>
      <c r="H428" s="37" t="s">
        <v>1151</v>
      </c>
      <c r="I428" s="38">
        <f t="shared" si="48"/>
        <v>13.58</v>
      </c>
      <c r="J428" s="38">
        <f t="shared" si="49"/>
        <v>6.8023947633243109</v>
      </c>
      <c r="K428" s="38">
        <f t="shared" si="50"/>
        <v>2.6085981221305499</v>
      </c>
      <c r="L428" s="39">
        <f t="shared" si="51"/>
        <v>7.3637702503681887E-2</v>
      </c>
      <c r="M428" s="39">
        <f t="shared" si="52"/>
        <v>2.2091310751104567</v>
      </c>
      <c r="N428" s="39">
        <f t="shared" si="53"/>
        <v>66.273932253313703</v>
      </c>
      <c r="O428" s="40">
        <f>1</f>
        <v>1</v>
      </c>
      <c r="P428" s="38">
        <f>INDEX(Cables!$AS:$AS,MATCH(B428,Cables!$A:$A,0))+INDEX(Cables!$AT:$AT,MATCH(B428,Cables!$A:$A,0))*SQRT(C428)+INDEX(Cables!$AU:$AU,MATCH(B428,Cables!$A:$A,0))*C428</f>
        <v>13.58304994858343</v>
      </c>
      <c r="Q428" s="41">
        <f t="shared" si="54"/>
        <v>2.2459120643802954E-4</v>
      </c>
      <c r="R428" s="39">
        <f t="shared" si="55"/>
        <v>5.0441210009289604E-8</v>
      </c>
      <c r="S428" s="40" t="b">
        <f>IF(B428=B427,C428&gt;C427,COUNTIF(B$1:B427,B428)=0)</f>
        <v>1</v>
      </c>
      <c r="T428" s="37"/>
    </row>
    <row r="429" spans="1:20" x14ac:dyDescent="0.25">
      <c r="A429" s="37" t="s">
        <v>1159</v>
      </c>
      <c r="B429" s="37" t="s">
        <v>454</v>
      </c>
      <c r="C429" s="37">
        <v>960</v>
      </c>
      <c r="D429" s="37">
        <v>14.08</v>
      </c>
      <c r="E429" s="37" t="s">
        <v>771</v>
      </c>
      <c r="F429" s="37">
        <v>20</v>
      </c>
      <c r="G429" s="37" t="s">
        <v>460</v>
      </c>
      <c r="H429" s="37" t="s">
        <v>1151</v>
      </c>
      <c r="I429" s="38">
        <f t="shared" si="48"/>
        <v>14.08</v>
      </c>
      <c r="J429" s="38">
        <f t="shared" si="49"/>
        <v>6.866933284461882</v>
      </c>
      <c r="K429" s="38">
        <f t="shared" si="50"/>
        <v>2.6447553507298962</v>
      </c>
      <c r="L429" s="39">
        <f t="shared" si="51"/>
        <v>7.1022727272727279E-2</v>
      </c>
      <c r="M429" s="39">
        <f t="shared" si="52"/>
        <v>2.2005587194360325</v>
      </c>
      <c r="N429" s="39">
        <f t="shared" si="53"/>
        <v>68.181818181818187</v>
      </c>
      <c r="O429" s="40">
        <f>1</f>
        <v>1</v>
      </c>
      <c r="P429" s="38">
        <f>INDEX(Cables!$AS:$AS,MATCH(B429,Cables!$A:$A,0))+INDEX(Cables!$AT:$AT,MATCH(B429,Cables!$A:$A,0))*SQRT(C429)+INDEX(Cables!$AU:$AU,MATCH(B429,Cables!$A:$A,0))*C429</f>
        <v>14.077247191846405</v>
      </c>
      <c r="Q429" s="41">
        <f t="shared" si="54"/>
        <v>-1.9551194272693362E-4</v>
      </c>
      <c r="R429" s="39">
        <f t="shared" si="55"/>
        <v>3.8224919748859774E-8</v>
      </c>
      <c r="S429" s="40" t="b">
        <f>IF(B429=B428,C429&gt;C428,COUNTIF(B$1:B428,B429)=0)</f>
        <v>1</v>
      </c>
      <c r="T429" s="37"/>
    </row>
    <row r="430" spans="1:20" x14ac:dyDescent="0.25">
      <c r="A430" s="37" t="s">
        <v>1160</v>
      </c>
      <c r="B430" s="37" t="s">
        <v>454</v>
      </c>
      <c r="C430" s="37">
        <v>1800</v>
      </c>
      <c r="D430" s="37">
        <v>20.05</v>
      </c>
      <c r="E430" s="37" t="s">
        <v>771</v>
      </c>
      <c r="F430" s="37">
        <v>20</v>
      </c>
      <c r="G430" s="37" t="s">
        <v>460</v>
      </c>
      <c r="H430" s="37" t="s">
        <v>1151</v>
      </c>
      <c r="I430" s="38">
        <f t="shared" si="48"/>
        <v>20.05</v>
      </c>
      <c r="J430" s="38">
        <f t="shared" si="49"/>
        <v>7.4955419438842563</v>
      </c>
      <c r="K430" s="38">
        <f t="shared" si="50"/>
        <v>2.998229153752578</v>
      </c>
      <c r="L430" s="39">
        <f t="shared" si="51"/>
        <v>4.987531172069825E-2</v>
      </c>
      <c r="M430" s="39">
        <f t="shared" si="52"/>
        <v>2.1160302678899177</v>
      </c>
      <c r="N430" s="39">
        <f t="shared" si="53"/>
        <v>89.775561097256855</v>
      </c>
      <c r="O430" s="40">
        <f>1</f>
        <v>1</v>
      </c>
      <c r="P430" s="38">
        <f>INDEX(Cables!$AS:$AS,MATCH(B430,Cables!$A:$A,0))+INDEX(Cables!$AT:$AT,MATCH(B430,Cables!$A:$A,0))*SQRT(C430)+INDEX(Cables!$AU:$AU,MATCH(B430,Cables!$A:$A,0))*C430</f>
        <v>20.052544197020794</v>
      </c>
      <c r="Q430" s="41">
        <f t="shared" si="54"/>
        <v>1.2689261949083708E-4</v>
      </c>
      <c r="R430" s="39">
        <f t="shared" si="55"/>
        <v>1.6101736881246364E-8</v>
      </c>
      <c r="S430" s="40" t="b">
        <f>IF(B430=B429,C430&gt;C429,COUNTIF(B$1:B429,B430)=0)</f>
        <v>1</v>
      </c>
      <c r="T430" s="37"/>
    </row>
    <row r="431" spans="1:20" x14ac:dyDescent="0.25">
      <c r="A431" s="37" t="s">
        <v>1161</v>
      </c>
      <c r="B431" s="37" t="s">
        <v>454</v>
      </c>
      <c r="C431" s="37">
        <v>2000</v>
      </c>
      <c r="D431" s="37">
        <v>21.3</v>
      </c>
      <c r="E431" s="37" t="s">
        <v>771</v>
      </c>
      <c r="F431" s="37">
        <v>20</v>
      </c>
      <c r="G431" s="37" t="s">
        <v>460</v>
      </c>
      <c r="H431" s="37" t="s">
        <v>1151</v>
      </c>
      <c r="I431" s="38">
        <f t="shared" si="48"/>
        <v>21.3</v>
      </c>
      <c r="J431" s="38">
        <f t="shared" si="49"/>
        <v>7.6009024595420822</v>
      </c>
      <c r="K431" s="38">
        <f t="shared" si="50"/>
        <v>3.0587070727153796</v>
      </c>
      <c r="L431" s="39">
        <f t="shared" si="51"/>
        <v>4.6948356807511735E-2</v>
      </c>
      <c r="M431" s="39">
        <f t="shared" si="52"/>
        <v>2.099594345070225</v>
      </c>
      <c r="N431" s="39">
        <f t="shared" si="53"/>
        <v>93.896713615023472</v>
      </c>
      <c r="O431" s="40">
        <f>1</f>
        <v>1</v>
      </c>
      <c r="P431" s="38">
        <f>INDEX(Cables!$AS:$AS,MATCH(B431,Cables!$A:$A,0))+INDEX(Cables!$AT:$AT,MATCH(B431,Cables!$A:$A,0))*SQRT(C431)+INDEX(Cables!$AU:$AU,MATCH(B431,Cables!$A:$A,0))*C431</f>
        <v>21.301455144789553</v>
      </c>
      <c r="Q431" s="41">
        <f t="shared" si="54"/>
        <v>6.8316656786526764E-5</v>
      </c>
      <c r="R431" s="39">
        <f t="shared" si="55"/>
        <v>4.6671655944880931E-9</v>
      </c>
      <c r="S431" s="40" t="b">
        <f>IF(B431=B430,C431&gt;C430,COUNTIF(B$1:B430,B431)=0)</f>
        <v>1</v>
      </c>
      <c r="T431" s="37"/>
    </row>
    <row r="432" spans="1:20" x14ac:dyDescent="0.25">
      <c r="A432" s="37" t="s">
        <v>1162</v>
      </c>
      <c r="B432" s="37" t="s">
        <v>454</v>
      </c>
      <c r="C432" s="37">
        <v>2200</v>
      </c>
      <c r="D432" s="37">
        <v>22.51</v>
      </c>
      <c r="E432" s="37" t="s">
        <v>771</v>
      </c>
      <c r="F432" s="37">
        <v>20</v>
      </c>
      <c r="G432" s="37" t="s">
        <v>460</v>
      </c>
      <c r="H432" s="37" t="s">
        <v>1151</v>
      </c>
      <c r="I432" s="38">
        <f t="shared" si="48"/>
        <v>22.51</v>
      </c>
      <c r="J432" s="38">
        <f t="shared" si="49"/>
        <v>7.696212639346407</v>
      </c>
      <c r="K432" s="38">
        <f t="shared" si="50"/>
        <v>3.113959654918641</v>
      </c>
      <c r="L432" s="39">
        <f t="shared" si="51"/>
        <v>4.4424700133274098E-2</v>
      </c>
      <c r="M432" s="39">
        <f t="shared" si="52"/>
        <v>2.0837031363053886</v>
      </c>
      <c r="N432" s="39">
        <f t="shared" si="53"/>
        <v>97.734340293203019</v>
      </c>
      <c r="O432" s="40">
        <f>1</f>
        <v>1</v>
      </c>
      <c r="P432" s="38">
        <f>INDEX(Cables!$AS:$AS,MATCH(B432,Cables!$A:$A,0))+INDEX(Cables!$AT:$AT,MATCH(B432,Cables!$A:$A,0))*SQRT(C432)+INDEX(Cables!$AU:$AU,MATCH(B432,Cables!$A:$A,0))*C432</f>
        <v>22.504983461313145</v>
      </c>
      <c r="Q432" s="41">
        <f t="shared" si="54"/>
        <v>-2.2285822687051482E-4</v>
      </c>
      <c r="R432" s="39">
        <f t="shared" si="55"/>
        <v>4.9665789283869856E-8</v>
      </c>
      <c r="S432" s="40" t="b">
        <f>IF(B432=B431,C432&gt;C431,COUNTIF(B$1:B431,B432)=0)</f>
        <v>1</v>
      </c>
      <c r="T432" s="37"/>
    </row>
    <row r="433" spans="1:20" x14ac:dyDescent="0.25">
      <c r="A433" s="37" t="s">
        <v>1163</v>
      </c>
      <c r="B433" s="37" t="s">
        <v>454</v>
      </c>
      <c r="C433" s="37">
        <v>2400</v>
      </c>
      <c r="D433" s="37">
        <v>23.67</v>
      </c>
      <c r="E433" s="37" t="s">
        <v>771</v>
      </c>
      <c r="F433" s="37">
        <v>20</v>
      </c>
      <c r="G433" s="37" t="s">
        <v>460</v>
      </c>
      <c r="H433" s="37" t="s">
        <v>1151</v>
      </c>
      <c r="I433" s="38">
        <f t="shared" si="48"/>
        <v>23.67</v>
      </c>
      <c r="J433" s="38">
        <f t="shared" si="49"/>
        <v>7.7832240163360371</v>
      </c>
      <c r="K433" s="38">
        <f t="shared" si="50"/>
        <v>3.1642084235258925</v>
      </c>
      <c r="L433" s="39">
        <f t="shared" si="51"/>
        <v>4.2247570764681025E-2</v>
      </c>
      <c r="M433" s="39">
        <f t="shared" si="52"/>
        <v>2.069699824911853</v>
      </c>
      <c r="N433" s="39">
        <f t="shared" si="53"/>
        <v>101.39416983523446</v>
      </c>
      <c r="O433" s="40">
        <f>1</f>
        <v>1</v>
      </c>
      <c r="P433" s="38">
        <f>INDEX(Cables!$AS:$AS,MATCH(B433,Cables!$A:$A,0))+INDEX(Cables!$AT:$AT,MATCH(B433,Cables!$A:$A,0))*SQRT(C433)+INDEX(Cables!$AU:$AU,MATCH(B433,Cables!$A:$A,0))*C433</f>
        <v>23.669196304916959</v>
      </c>
      <c r="Q433" s="41">
        <f t="shared" si="54"/>
        <v>-3.3954164894045569E-5</v>
      </c>
      <c r="R433" s="39">
        <f t="shared" si="55"/>
        <v>1.1528853136520365E-9</v>
      </c>
      <c r="S433" s="40" t="b">
        <f>IF(B433=B432,C433&gt;C432,COUNTIF(B$1:B432,B433)=0)</f>
        <v>1</v>
      </c>
      <c r="T433" s="37"/>
    </row>
    <row r="434" spans="1:20" x14ac:dyDescent="0.25">
      <c r="A434" s="37" t="s">
        <v>1164</v>
      </c>
      <c r="B434" s="37" t="s">
        <v>454</v>
      </c>
      <c r="C434" s="37">
        <v>2600</v>
      </c>
      <c r="D434" s="37">
        <v>24.8</v>
      </c>
      <c r="E434" s="37" t="s">
        <v>771</v>
      </c>
      <c r="F434" s="37">
        <v>20</v>
      </c>
      <c r="G434" s="37" t="s">
        <v>460</v>
      </c>
      <c r="H434" s="37" t="s">
        <v>1151</v>
      </c>
      <c r="I434" s="38">
        <f t="shared" si="48"/>
        <v>24.8</v>
      </c>
      <c r="J434" s="38">
        <f t="shared" si="49"/>
        <v>7.8632667240095735</v>
      </c>
      <c r="K434" s="38">
        <f t="shared" si="50"/>
        <v>3.2108436531709366</v>
      </c>
      <c r="L434" s="39">
        <f t="shared" si="51"/>
        <v>4.0322580645161289E-2</v>
      </c>
      <c r="M434" s="39">
        <f t="shared" si="52"/>
        <v>2.0560562554809616</v>
      </c>
      <c r="N434" s="39">
        <f t="shared" si="53"/>
        <v>104.83870967741935</v>
      </c>
      <c r="O434" s="40">
        <f>1</f>
        <v>1</v>
      </c>
      <c r="P434" s="38">
        <f>INDEX(Cables!$AS:$AS,MATCH(B434,Cables!$A:$A,0))+INDEX(Cables!$AT:$AT,MATCH(B434,Cables!$A:$A,0))*SQRT(C434)+INDEX(Cables!$AU:$AU,MATCH(B434,Cables!$A:$A,0))*C434</f>
        <v>24.798918568117063</v>
      </c>
      <c r="Q434" s="41">
        <f t="shared" si="54"/>
        <v>-4.3606124311978967E-5</v>
      </c>
      <c r="R434" s="39">
        <f t="shared" si="55"/>
        <v>1.9014940775117632E-9</v>
      </c>
      <c r="S434" s="40" t="b">
        <f>IF(B434=B433,C434&gt;C433,COUNTIF(B$1:B433,B434)=0)</f>
        <v>1</v>
      </c>
      <c r="T434" s="37"/>
    </row>
    <row r="435" spans="1:20" x14ac:dyDescent="0.25">
      <c r="A435" s="37" t="s">
        <v>1165</v>
      </c>
      <c r="B435" s="37" t="s">
        <v>454</v>
      </c>
      <c r="C435" s="37">
        <v>2700</v>
      </c>
      <c r="D435" s="37">
        <v>25.35</v>
      </c>
      <c r="E435" s="37" t="s">
        <v>771</v>
      </c>
      <c r="F435" s="37">
        <v>20</v>
      </c>
      <c r="G435" s="37" t="s">
        <v>460</v>
      </c>
      <c r="H435" s="37" t="s">
        <v>1151</v>
      </c>
      <c r="I435" s="38">
        <f t="shared" si="48"/>
        <v>25.35</v>
      </c>
      <c r="J435" s="38">
        <f t="shared" si="49"/>
        <v>7.90100705199242</v>
      </c>
      <c r="K435" s="38">
        <f t="shared" si="50"/>
        <v>3.2327787300371922</v>
      </c>
      <c r="L435" s="39">
        <f t="shared" si="51"/>
        <v>3.9447731755424063E-2</v>
      </c>
      <c r="M435" s="39">
        <f t="shared" si="52"/>
        <v>2.0497642693122806</v>
      </c>
      <c r="N435" s="39">
        <f t="shared" si="53"/>
        <v>106.50887573964496</v>
      </c>
      <c r="O435" s="40">
        <f>1</f>
        <v>1</v>
      </c>
      <c r="P435" s="38">
        <f>INDEX(Cables!$AS:$AS,MATCH(B435,Cables!$A:$A,0))+INDEX(Cables!$AT:$AT,MATCH(B435,Cables!$A:$A,0))*SQRT(C435)+INDEX(Cables!$AU:$AU,MATCH(B435,Cables!$A:$A,0))*C435</f>
        <v>25.352097220237248</v>
      </c>
      <c r="Q435" s="41">
        <f t="shared" si="54"/>
        <v>8.2730581350887178E-5</v>
      </c>
      <c r="R435" s="39">
        <f t="shared" si="55"/>
        <v>6.8443490906557612E-9</v>
      </c>
      <c r="S435" s="40" t="b">
        <f>IF(B435=B434,C435&gt;C434,COUNTIF(B$1:B434,B435)=0)</f>
        <v>1</v>
      </c>
      <c r="T435" s="37"/>
    </row>
    <row r="436" spans="1:20" x14ac:dyDescent="0.25">
      <c r="A436" s="37" t="s">
        <v>1166</v>
      </c>
      <c r="B436" s="37" t="s">
        <v>454</v>
      </c>
      <c r="C436" s="37">
        <v>3000</v>
      </c>
      <c r="D436" s="37">
        <v>26.97</v>
      </c>
      <c r="E436" s="37" t="s">
        <v>771</v>
      </c>
      <c r="F436" s="37">
        <v>20</v>
      </c>
      <c r="G436" s="37" t="s">
        <v>460</v>
      </c>
      <c r="H436" s="37" t="s">
        <v>1151</v>
      </c>
      <c r="I436" s="38">
        <f t="shared" si="48"/>
        <v>26.97</v>
      </c>
      <c r="J436" s="38">
        <f t="shared" si="49"/>
        <v>8.0063675676502459</v>
      </c>
      <c r="K436" s="38">
        <f t="shared" si="50"/>
        <v>3.2947251371516386</v>
      </c>
      <c r="L436" s="39">
        <f t="shared" si="51"/>
        <v>3.7078235076010387E-2</v>
      </c>
      <c r="M436" s="39">
        <f t="shared" si="52"/>
        <v>2.0308585743610164</v>
      </c>
      <c r="N436" s="39">
        <f t="shared" si="53"/>
        <v>111.23470522803115</v>
      </c>
      <c r="O436" s="40">
        <f>1</f>
        <v>1</v>
      </c>
      <c r="P436" s="38">
        <f>INDEX(Cables!$AS:$AS,MATCH(B436,Cables!$A:$A,0))+INDEX(Cables!$AT:$AT,MATCH(B436,Cables!$A:$A,0))*SQRT(C436)+INDEX(Cables!$AU:$AU,MATCH(B436,Cables!$A:$A,0))*C436</f>
        <v>26.969851418671031</v>
      </c>
      <c r="Q436" s="41">
        <f t="shared" si="54"/>
        <v>-5.5091334434376193E-6</v>
      </c>
      <c r="R436" s="39">
        <f t="shared" si="55"/>
        <v>3.0350551297602839E-11</v>
      </c>
      <c r="S436" s="40" t="b">
        <f>IF(B436=B435,C436&gt;C435,COUNTIF(B$1:B435,B436)=0)</f>
        <v>1</v>
      </c>
      <c r="T436" s="37"/>
    </row>
    <row r="437" spans="1:20" x14ac:dyDescent="0.25">
      <c r="A437" s="37" t="s">
        <v>1167</v>
      </c>
      <c r="B437" s="37" t="s">
        <v>454</v>
      </c>
      <c r="C437" s="37">
        <v>3500</v>
      </c>
      <c r="D437" s="37">
        <v>29.55</v>
      </c>
      <c r="E437" s="37" t="s">
        <v>771</v>
      </c>
      <c r="F437" s="37">
        <v>20</v>
      </c>
      <c r="G437" s="37" t="s">
        <v>460</v>
      </c>
      <c r="H437" s="37" t="s">
        <v>1151</v>
      </c>
      <c r="I437" s="38">
        <f t="shared" si="48"/>
        <v>29.55</v>
      </c>
      <c r="J437" s="38">
        <f t="shared" si="49"/>
        <v>8.1605182474775049</v>
      </c>
      <c r="K437" s="38">
        <f t="shared" si="50"/>
        <v>3.3860837438521072</v>
      </c>
      <c r="L437" s="39">
        <f t="shared" si="51"/>
        <v>3.3840947546531303E-2</v>
      </c>
      <c r="M437" s="39">
        <f t="shared" si="52"/>
        <v>2.002057456209684</v>
      </c>
      <c r="N437" s="39">
        <f t="shared" si="53"/>
        <v>118.44331641285956</v>
      </c>
      <c r="O437" s="40">
        <f>1</f>
        <v>1</v>
      </c>
      <c r="P437" s="38">
        <f>INDEX(Cables!$AS:$AS,MATCH(B437,Cables!$A:$A,0))+INDEX(Cables!$AT:$AT,MATCH(B437,Cables!$A:$A,0))*SQRT(C437)+INDEX(Cables!$AU:$AU,MATCH(B437,Cables!$A:$A,0))*C437</f>
        <v>29.546329737106952</v>
      </c>
      <c r="Q437" s="41">
        <f t="shared" si="54"/>
        <v>-1.2420517404565512E-4</v>
      </c>
      <c r="R437" s="39">
        <f t="shared" si="55"/>
        <v>1.5426925259711481E-8</v>
      </c>
      <c r="S437" s="40" t="b">
        <f>IF(B437=B436,C437&gt;C436,COUNTIF(B$1:B436,B437)=0)</f>
        <v>1</v>
      </c>
      <c r="T437" s="37"/>
    </row>
    <row r="438" spans="1:20" x14ac:dyDescent="0.25">
      <c r="A438" s="37" t="s">
        <v>1168</v>
      </c>
      <c r="B438" s="37" t="s">
        <v>454</v>
      </c>
      <c r="C438" s="37">
        <v>4000</v>
      </c>
      <c r="D438" s="37">
        <v>32</v>
      </c>
      <c r="E438" s="37" t="s">
        <v>771</v>
      </c>
      <c r="F438" s="37">
        <v>20</v>
      </c>
      <c r="G438" s="37" t="s">
        <v>460</v>
      </c>
      <c r="H438" s="37" t="s">
        <v>1151</v>
      </c>
      <c r="I438" s="38">
        <f t="shared" si="48"/>
        <v>32</v>
      </c>
      <c r="J438" s="38">
        <f t="shared" si="49"/>
        <v>8.2940496401020276</v>
      </c>
      <c r="K438" s="38">
        <f t="shared" si="50"/>
        <v>3.4657359027997265</v>
      </c>
      <c r="L438" s="39">
        <f t="shared" si="51"/>
        <v>3.125E-2</v>
      </c>
      <c r="M438" s="39">
        <f t="shared" si="52"/>
        <v>1.976423537605237</v>
      </c>
      <c r="N438" s="39">
        <f t="shared" si="53"/>
        <v>125</v>
      </c>
      <c r="O438" s="40">
        <f>1</f>
        <v>1</v>
      </c>
      <c r="P438" s="38">
        <f>INDEX(Cables!$AS:$AS,MATCH(B438,Cables!$A:$A,0))+INDEX(Cables!$AT:$AT,MATCH(B438,Cables!$A:$A,0))*SQRT(C438)+INDEX(Cables!$AU:$AU,MATCH(B438,Cables!$A:$A,0))*C438</f>
        <v>31.999882768536263</v>
      </c>
      <c r="Q438" s="41">
        <f t="shared" si="54"/>
        <v>-3.6634832417670182E-6</v>
      </c>
      <c r="R438" s="39">
        <f t="shared" si="55"/>
        <v>1.3421109462707782E-11</v>
      </c>
      <c r="S438" s="40" t="b">
        <f>IF(B438=B437,C438&gt;C437,COUNTIF(B$1:B437,B438)=0)</f>
        <v>1</v>
      </c>
      <c r="T438" s="37"/>
    </row>
    <row r="439" spans="1:20" x14ac:dyDescent="0.25">
      <c r="A439" s="37" t="s">
        <v>1169</v>
      </c>
      <c r="B439" s="37" t="s">
        <v>454</v>
      </c>
      <c r="C439" s="37">
        <v>5000</v>
      </c>
      <c r="D439" s="37">
        <v>36.619999999999997</v>
      </c>
      <c r="E439" s="37" t="s">
        <v>771</v>
      </c>
      <c r="F439" s="37">
        <v>20</v>
      </c>
      <c r="G439" s="37" t="s">
        <v>460</v>
      </c>
      <c r="H439" s="37" t="s">
        <v>1151</v>
      </c>
      <c r="I439" s="38">
        <f t="shared" si="48"/>
        <v>36.619999999999997</v>
      </c>
      <c r="J439" s="38">
        <f t="shared" si="49"/>
        <v>8.5171931914162382</v>
      </c>
      <c r="K439" s="38">
        <f t="shared" si="50"/>
        <v>3.6005945392463645</v>
      </c>
      <c r="L439" s="39">
        <f t="shared" si="51"/>
        <v>2.7307482250136541E-2</v>
      </c>
      <c r="M439" s="39">
        <f t="shared" si="52"/>
        <v>1.9309305876202829</v>
      </c>
      <c r="N439" s="39">
        <f t="shared" si="53"/>
        <v>136.53741125068271</v>
      </c>
      <c r="O439" s="40">
        <f>1</f>
        <v>1</v>
      </c>
      <c r="P439" s="38">
        <f>INDEX(Cables!$AS:$AS,MATCH(B439,Cables!$A:$A,0))+INDEX(Cables!$AT:$AT,MATCH(B439,Cables!$A:$A,0))*SQRT(C439)+INDEX(Cables!$AU:$AU,MATCH(B439,Cables!$A:$A,0))*C439</f>
        <v>36.621963753146858</v>
      </c>
      <c r="Q439" s="41">
        <f t="shared" si="54"/>
        <v>5.3625154201597525E-5</v>
      </c>
      <c r="R439" s="39">
        <f t="shared" si="55"/>
        <v>2.8756571631451125E-9</v>
      </c>
      <c r="S439" s="40" t="b">
        <f>IF(B439=B438,C439&gt;C438,COUNTIF(B$1:B438,B439)=0)</f>
        <v>1</v>
      </c>
      <c r="T439" s="37"/>
    </row>
    <row r="440" spans="1:20" x14ac:dyDescent="0.25">
      <c r="A440" s="37" t="s">
        <v>1170</v>
      </c>
      <c r="B440" s="37" t="s">
        <v>454</v>
      </c>
      <c r="C440" s="37">
        <v>6000</v>
      </c>
      <c r="D440" s="37">
        <v>40.950000000000003</v>
      </c>
      <c r="E440" s="37" t="s">
        <v>771</v>
      </c>
      <c r="F440" s="37">
        <v>20</v>
      </c>
      <c r="G440" s="37" t="s">
        <v>460</v>
      </c>
      <c r="H440" s="37" t="s">
        <v>1151</v>
      </c>
      <c r="I440" s="38">
        <f t="shared" si="48"/>
        <v>40.950000000000003</v>
      </c>
      <c r="J440" s="38">
        <f t="shared" si="49"/>
        <v>8.6995147482101913</v>
      </c>
      <c r="K440" s="38">
        <f t="shared" si="50"/>
        <v>3.7123518102990785</v>
      </c>
      <c r="L440" s="39">
        <f t="shared" si="51"/>
        <v>2.442002442002442E-2</v>
      </c>
      <c r="M440" s="39">
        <f t="shared" si="52"/>
        <v>1.8915669578546601</v>
      </c>
      <c r="N440" s="39">
        <f t="shared" si="53"/>
        <v>146.52014652014651</v>
      </c>
      <c r="O440" s="40">
        <f>1</f>
        <v>1</v>
      </c>
      <c r="P440" s="38">
        <f>INDEX(Cables!$AS:$AS,MATCH(B440,Cables!$A:$A,0))+INDEX(Cables!$AT:$AT,MATCH(B440,Cables!$A:$A,0))*SQRT(C440)+INDEX(Cables!$AU:$AU,MATCH(B440,Cables!$A:$A,0))*C440</f>
        <v>40.954264986100753</v>
      </c>
      <c r="Q440" s="41">
        <f t="shared" si="54"/>
        <v>1.0415106473149471E-4</v>
      </c>
      <c r="R440" s="39">
        <f t="shared" si="55"/>
        <v>1.0847444284704002E-8</v>
      </c>
      <c r="S440" s="40" t="b">
        <f>IF(B440=B439,C440&gt;C439,COUNTIF(B$1:B439,B440)=0)</f>
        <v>1</v>
      </c>
      <c r="T440" s="37"/>
    </row>
    <row r="441" spans="1:20" x14ac:dyDescent="0.25">
      <c r="A441" s="37" t="s">
        <v>1171</v>
      </c>
      <c r="B441" s="37" t="s">
        <v>461</v>
      </c>
      <c r="C441" s="37">
        <v>5</v>
      </c>
      <c r="D441" s="37">
        <v>0.4</v>
      </c>
      <c r="E441" s="37" t="s">
        <v>707</v>
      </c>
      <c r="F441" s="37"/>
      <c r="G441" s="37" t="s">
        <v>471</v>
      </c>
      <c r="H441" s="37" t="s">
        <v>708</v>
      </c>
      <c r="I441" s="38">
        <f t="shared" si="48"/>
        <v>1.3123359580052494</v>
      </c>
      <c r="J441" s="38">
        <f t="shared" si="49"/>
        <v>1.6094379124341003</v>
      </c>
      <c r="K441" s="38">
        <f t="shared" si="50"/>
        <v>0.27180872329549083</v>
      </c>
      <c r="L441" s="39">
        <f t="shared" si="51"/>
        <v>0.76200000000000001</v>
      </c>
      <c r="M441" s="39">
        <f t="shared" si="52"/>
        <v>1.7038837988548399</v>
      </c>
      <c r="N441" s="39">
        <f t="shared" si="53"/>
        <v>3.81</v>
      </c>
      <c r="O441" s="40">
        <f>1</f>
        <v>1</v>
      </c>
      <c r="P441" s="38">
        <f>INDEX(Cables!$AS:$AS,MATCH(B441,Cables!$A:$A,0))+INDEX(Cables!$AT:$AT,MATCH(B441,Cables!$A:$A,0))*SQRT(C441)+INDEX(Cables!$AU:$AU,MATCH(B441,Cables!$A:$A,0))*C441</f>
        <v>1.3112404532987496</v>
      </c>
      <c r="Q441" s="41">
        <f t="shared" si="54"/>
        <v>-8.3477458635283774E-4</v>
      </c>
      <c r="R441" s="39">
        <f t="shared" si="55"/>
        <v>6.9684861002055133E-7</v>
      </c>
      <c r="S441" s="40" t="b">
        <f>IF(B441=B440,C441&gt;C440,COUNTIF(B$1:B440,B441)=0)</f>
        <v>1</v>
      </c>
      <c r="T441" s="37"/>
    </row>
    <row r="442" spans="1:20" x14ac:dyDescent="0.25">
      <c r="A442" s="37" t="s">
        <v>1172</v>
      </c>
      <c r="B442" s="37" t="s">
        <v>461</v>
      </c>
      <c r="C442" s="37">
        <v>10</v>
      </c>
      <c r="D442" s="37">
        <v>0.5</v>
      </c>
      <c r="E442" s="37" t="s">
        <v>707</v>
      </c>
      <c r="F442" s="37"/>
      <c r="G442" s="37" t="s">
        <v>471</v>
      </c>
      <c r="H442" s="37" t="s">
        <v>708</v>
      </c>
      <c r="I442" s="38">
        <f t="shared" si="48"/>
        <v>1.6404199475065617</v>
      </c>
      <c r="J442" s="38">
        <f t="shared" si="49"/>
        <v>2.3025850929940459</v>
      </c>
      <c r="K442" s="38">
        <f t="shared" si="50"/>
        <v>0.49495227460970054</v>
      </c>
      <c r="L442" s="39">
        <f t="shared" si="51"/>
        <v>0.60960000000000003</v>
      </c>
      <c r="M442" s="39">
        <f t="shared" si="52"/>
        <v>1.9277244616386442</v>
      </c>
      <c r="N442" s="39">
        <f t="shared" si="53"/>
        <v>6.0960000000000001</v>
      </c>
      <c r="O442" s="40">
        <f>1</f>
        <v>1</v>
      </c>
      <c r="P442" s="38">
        <f>INDEX(Cables!$AS:$AS,MATCH(B442,Cables!$A:$A,0))+INDEX(Cables!$AT:$AT,MATCH(B442,Cables!$A:$A,0))*SQRT(C442)+INDEX(Cables!$AU:$AU,MATCH(B442,Cables!$A:$A,0))*C442</f>
        <v>1.664926249486993</v>
      </c>
      <c r="Q442" s="41">
        <f t="shared" si="54"/>
        <v>1.4939041687270782E-2</v>
      </c>
      <c r="R442" s="39">
        <f t="shared" si="55"/>
        <v>2.2317496653401426E-4</v>
      </c>
      <c r="S442" s="40" t="b">
        <f>IF(B442=B441,C442&gt;C441,COUNTIF(B$1:B441,B442)=0)</f>
        <v>1</v>
      </c>
      <c r="T442" s="37"/>
    </row>
    <row r="443" spans="1:20" x14ac:dyDescent="0.25">
      <c r="A443" s="37" t="s">
        <v>1173</v>
      </c>
      <c r="B443" s="37" t="s">
        <v>461</v>
      </c>
      <c r="C443" s="37">
        <v>50</v>
      </c>
      <c r="D443" s="37">
        <v>1</v>
      </c>
      <c r="E443" s="37" t="s">
        <v>707</v>
      </c>
      <c r="F443" s="37"/>
      <c r="G443" s="37" t="s">
        <v>471</v>
      </c>
      <c r="H443" s="37" t="s">
        <v>708</v>
      </c>
      <c r="I443" s="38">
        <f t="shared" si="48"/>
        <v>3.2808398950131235</v>
      </c>
      <c r="J443" s="38">
        <f t="shared" si="49"/>
        <v>3.912023005428146</v>
      </c>
      <c r="K443" s="38">
        <f t="shared" si="50"/>
        <v>1.1880994551696458</v>
      </c>
      <c r="L443" s="39">
        <f t="shared" si="51"/>
        <v>0.30480000000000002</v>
      </c>
      <c r="M443" s="39">
        <f t="shared" si="52"/>
        <v>2.155261469056597</v>
      </c>
      <c r="N443" s="39">
        <f t="shared" si="53"/>
        <v>15.24</v>
      </c>
      <c r="O443" s="40">
        <f>1</f>
        <v>1</v>
      </c>
      <c r="P443" s="38">
        <f>INDEX(Cables!$AS:$AS,MATCH(B443,Cables!$A:$A,0))+INDEX(Cables!$AT:$AT,MATCH(B443,Cables!$A:$A,0))*SQRT(C443)+INDEX(Cables!$AU:$AU,MATCH(B443,Cables!$A:$A,0))*C443</f>
        <v>3.1982070808740151</v>
      </c>
      <c r="Q443" s="41">
        <f t="shared" si="54"/>
        <v>-2.5186481749600254E-2</v>
      </c>
      <c r="R443" s="39">
        <f t="shared" si="55"/>
        <v>6.3435886292294665E-4</v>
      </c>
      <c r="S443" s="40" t="b">
        <f>IF(B443=B442,C443&gt;C442,COUNTIF(B$1:B442,B443)=0)</f>
        <v>1</v>
      </c>
      <c r="T443" s="37"/>
    </row>
    <row r="444" spans="1:20" x14ac:dyDescent="0.25">
      <c r="A444" s="37" t="s">
        <v>1174</v>
      </c>
      <c r="B444" s="37" t="s">
        <v>461</v>
      </c>
      <c r="C444" s="37">
        <v>100</v>
      </c>
      <c r="D444" s="37">
        <v>1.4</v>
      </c>
      <c r="E444" s="37" t="s">
        <v>707</v>
      </c>
      <c r="F444" s="37"/>
      <c r="G444" s="37" t="s">
        <v>471</v>
      </c>
      <c r="H444" s="37" t="s">
        <v>708</v>
      </c>
      <c r="I444" s="38">
        <f t="shared" si="48"/>
        <v>4.5931758530183728</v>
      </c>
      <c r="J444" s="38">
        <f t="shared" si="49"/>
        <v>4.6051701859880918</v>
      </c>
      <c r="K444" s="38">
        <f t="shared" si="50"/>
        <v>1.5245716917908587</v>
      </c>
      <c r="L444" s="39">
        <f t="shared" si="51"/>
        <v>0.21771428571428572</v>
      </c>
      <c r="M444" s="39">
        <f t="shared" si="52"/>
        <v>2.177142857142857</v>
      </c>
      <c r="N444" s="39">
        <f t="shared" si="53"/>
        <v>21.771428571428572</v>
      </c>
      <c r="O444" s="40">
        <f>1</f>
        <v>1</v>
      </c>
      <c r="P444" s="38">
        <f>INDEX(Cables!$AS:$AS,MATCH(B444,Cables!$A:$A,0))+INDEX(Cables!$AT:$AT,MATCH(B444,Cables!$A:$A,0))*SQRT(C444)+INDEX(Cables!$AU:$AU,MATCH(B444,Cables!$A:$A,0))*C444</f>
        <v>4.39020719609639</v>
      </c>
      <c r="Q444" s="41">
        <f t="shared" si="54"/>
        <v>-4.4189176164157407E-2</v>
      </c>
      <c r="R444" s="39">
        <f t="shared" si="55"/>
        <v>1.952683290066937E-3</v>
      </c>
      <c r="S444" s="40" t="b">
        <f>IF(B444=B443,C444&gt;C443,COUNTIF(B$1:B443,B444)=0)</f>
        <v>1</v>
      </c>
      <c r="T444" s="37"/>
    </row>
    <row r="445" spans="1:20" x14ac:dyDescent="0.25">
      <c r="A445" s="37" t="s">
        <v>1175</v>
      </c>
      <c r="B445" s="37" t="s">
        <v>461</v>
      </c>
      <c r="C445" s="37">
        <v>200</v>
      </c>
      <c r="D445" s="37">
        <v>1.8</v>
      </c>
      <c r="E445" s="37" t="s">
        <v>707</v>
      </c>
      <c r="F445" s="37"/>
      <c r="G445" s="37" t="s">
        <v>471</v>
      </c>
      <c r="H445" s="37" t="s">
        <v>708</v>
      </c>
      <c r="I445" s="38">
        <f t="shared" si="48"/>
        <v>5.9055118110236222</v>
      </c>
      <c r="J445" s="38">
        <f t="shared" si="49"/>
        <v>5.2983173665480363</v>
      </c>
      <c r="K445" s="38">
        <f t="shared" si="50"/>
        <v>1.7758861200717648</v>
      </c>
      <c r="L445" s="39">
        <f t="shared" si="51"/>
        <v>0.16933333333333334</v>
      </c>
      <c r="M445" s="39">
        <f t="shared" si="52"/>
        <v>2.3947349656184409</v>
      </c>
      <c r="N445" s="39">
        <f t="shared" si="53"/>
        <v>33.866666666666667</v>
      </c>
      <c r="O445" s="40">
        <f>1</f>
        <v>1</v>
      </c>
      <c r="P445" s="38">
        <f>INDEX(Cables!$AS:$AS,MATCH(B445,Cables!$A:$A,0))+INDEX(Cables!$AT:$AT,MATCH(B445,Cables!$A:$A,0))*SQRT(C445)+INDEX(Cables!$AU:$AU,MATCH(B445,Cables!$A:$A,0))*C445</f>
        <v>6.1389578700019856</v>
      </c>
      <c r="Q445" s="41">
        <f t="shared" si="54"/>
        <v>3.9530199320336301E-2</v>
      </c>
      <c r="R445" s="39">
        <f t="shared" si="55"/>
        <v>1.5626366583055165E-3</v>
      </c>
      <c r="S445" s="40" t="b">
        <f>IF(B445=B444,C445&gt;C444,COUNTIF(B$1:B444,B445)=0)</f>
        <v>1</v>
      </c>
      <c r="T445" s="37"/>
    </row>
    <row r="446" spans="1:20" x14ac:dyDescent="0.25">
      <c r="A446" s="37" t="s">
        <v>1176</v>
      </c>
      <c r="B446" s="37" t="s">
        <v>461</v>
      </c>
      <c r="C446" s="37">
        <v>400</v>
      </c>
      <c r="D446" s="37">
        <v>2.6</v>
      </c>
      <c r="E446" s="37" t="s">
        <v>707</v>
      </c>
      <c r="F446" s="37"/>
      <c r="G446" s="37" t="s">
        <v>471</v>
      </c>
      <c r="H446" s="37" t="s">
        <v>708</v>
      </c>
      <c r="I446" s="38">
        <f t="shared" si="48"/>
        <v>8.530183727034121</v>
      </c>
      <c r="J446" s="38">
        <f t="shared" si="49"/>
        <v>5.9914645471079817</v>
      </c>
      <c r="K446" s="38">
        <f t="shared" si="50"/>
        <v>2.1436109001970824</v>
      </c>
      <c r="L446" s="39">
        <f t="shared" si="51"/>
        <v>0.11723076923076922</v>
      </c>
      <c r="M446" s="39">
        <f t="shared" si="52"/>
        <v>2.3446153846153845</v>
      </c>
      <c r="N446" s="39">
        <f t="shared" si="53"/>
        <v>46.892307692307689</v>
      </c>
      <c r="O446" s="40">
        <f>1</f>
        <v>1</v>
      </c>
      <c r="P446" s="38">
        <f>INDEX(Cables!$AS:$AS,MATCH(B446,Cables!$A:$A,0))+INDEX(Cables!$AT:$AT,MATCH(B446,Cables!$A:$A,0))*SQRT(C446)+INDEX(Cables!$AU:$AU,MATCH(B446,Cables!$A:$A,0))*C446</f>
        <v>8.7380806794640051</v>
      </c>
      <c r="Q446" s="41">
        <f t="shared" si="54"/>
        <v>2.4371919654087915E-2</v>
      </c>
      <c r="R446" s="39">
        <f t="shared" si="55"/>
        <v>5.939904676253168E-4</v>
      </c>
      <c r="S446" s="40" t="b">
        <f>IF(B446=B445,C446&gt;C445,COUNTIF(B$1:B445,B446)=0)</f>
        <v>1</v>
      </c>
      <c r="T446" s="37"/>
    </row>
    <row r="447" spans="1:20" x14ac:dyDescent="0.25">
      <c r="A447" s="37" t="s">
        <v>1177</v>
      </c>
      <c r="B447" s="37" t="s">
        <v>461</v>
      </c>
      <c r="C447" s="37">
        <v>700</v>
      </c>
      <c r="D447" s="37">
        <v>3.6</v>
      </c>
      <c r="E447" s="37" t="s">
        <v>707</v>
      </c>
      <c r="F447" s="37"/>
      <c r="G447" s="37" t="s">
        <v>471</v>
      </c>
      <c r="H447" s="37" t="s">
        <v>708</v>
      </c>
      <c r="I447" s="38">
        <f t="shared" si="48"/>
        <v>11.811023622047244</v>
      </c>
      <c r="J447" s="38">
        <f t="shared" si="49"/>
        <v>6.5510803350434044</v>
      </c>
      <c r="K447" s="38">
        <f t="shared" si="50"/>
        <v>2.4690333006317102</v>
      </c>
      <c r="L447" s="39">
        <f t="shared" si="51"/>
        <v>8.4666666666666668E-2</v>
      </c>
      <c r="M447" s="39">
        <f t="shared" si="52"/>
        <v>2.2400694433680197</v>
      </c>
      <c r="N447" s="39">
        <f t="shared" si="53"/>
        <v>59.266666666666666</v>
      </c>
      <c r="O447" s="40">
        <f>1</f>
        <v>1</v>
      </c>
      <c r="P447" s="38">
        <f>INDEX(Cables!$AS:$AS,MATCH(B447,Cables!$A:$A,0))+INDEX(Cables!$AT:$AT,MATCH(B447,Cables!$A:$A,0))*SQRT(C447)+INDEX(Cables!$AU:$AU,MATCH(B447,Cables!$A:$A,0))*C447</f>
        <v>11.774346356423425</v>
      </c>
      <c r="Q447" s="41">
        <f t="shared" si="54"/>
        <v>-3.1053418228166318E-3</v>
      </c>
      <c r="R447" s="39">
        <f t="shared" si="55"/>
        <v>9.6431478365341224E-6</v>
      </c>
      <c r="S447" s="40" t="b">
        <f>IF(B447=B446,C447&gt;C446,COUNTIF(B$1:B446,B447)=0)</f>
        <v>1</v>
      </c>
      <c r="T447" s="37"/>
    </row>
    <row r="448" spans="1:20" x14ac:dyDescent="0.25">
      <c r="A448" s="37" t="s">
        <v>1178</v>
      </c>
      <c r="B448" s="37" t="s">
        <v>461</v>
      </c>
      <c r="C448" s="37">
        <v>900</v>
      </c>
      <c r="D448" s="37">
        <v>4.0999999999999996</v>
      </c>
      <c r="E448" s="37" t="s">
        <v>707</v>
      </c>
      <c r="F448" s="37"/>
      <c r="G448" s="37" t="s">
        <v>471</v>
      </c>
      <c r="H448" s="37" t="s">
        <v>708</v>
      </c>
      <c r="I448" s="38">
        <f t="shared" si="48"/>
        <v>13.451443569553804</v>
      </c>
      <c r="J448" s="38">
        <f t="shared" si="49"/>
        <v>6.8023947633243109</v>
      </c>
      <c r="K448" s="38">
        <f t="shared" si="50"/>
        <v>2.5990864288799078</v>
      </c>
      <c r="L448" s="39">
        <f t="shared" si="51"/>
        <v>7.4341463414634157E-2</v>
      </c>
      <c r="M448" s="39">
        <f t="shared" si="52"/>
        <v>2.2302439024390246</v>
      </c>
      <c r="N448" s="39">
        <f t="shared" si="53"/>
        <v>66.907317073170745</v>
      </c>
      <c r="O448" s="40">
        <f>1</f>
        <v>1</v>
      </c>
      <c r="P448" s="38">
        <f>INDEX(Cables!$AS:$AS,MATCH(B448,Cables!$A:$A,0))+INDEX(Cables!$AT:$AT,MATCH(B448,Cables!$A:$A,0))*SQRT(C448)+INDEX(Cables!$AU:$AU,MATCH(B448,Cables!$A:$A,0))*C448</f>
        <v>13.516199320866157</v>
      </c>
      <c r="Q448" s="41">
        <f t="shared" si="54"/>
        <v>4.8140373170744155E-3</v>
      </c>
      <c r="R448" s="39">
        <f t="shared" si="55"/>
        <v>2.3174955290185035E-5</v>
      </c>
      <c r="S448" s="40" t="b">
        <f>IF(B448=B447,C448&gt;C447,COUNTIF(B$1:B447,B448)=0)</f>
        <v>1</v>
      </c>
      <c r="T448" s="37"/>
    </row>
    <row r="449" spans="1:20" x14ac:dyDescent="0.25">
      <c r="A449" s="37" t="s">
        <v>1179</v>
      </c>
      <c r="B449" s="37" t="s">
        <v>461</v>
      </c>
      <c r="C449" s="37">
        <v>1000</v>
      </c>
      <c r="D449" s="37">
        <v>4.4000000000000004</v>
      </c>
      <c r="E449" s="37" t="s">
        <v>707</v>
      </c>
      <c r="F449" s="37"/>
      <c r="G449" s="37" t="s">
        <v>471</v>
      </c>
      <c r="H449" s="37" t="s">
        <v>708</v>
      </c>
      <c r="I449" s="38">
        <f t="shared" si="48"/>
        <v>14.435695538057745</v>
      </c>
      <c r="J449" s="38">
        <f t="shared" si="49"/>
        <v>6.9077552789821368</v>
      </c>
      <c r="K449" s="38">
        <f t="shared" si="50"/>
        <v>2.6697039960938613</v>
      </c>
      <c r="L449" s="39">
        <f t="shared" si="51"/>
        <v>6.9272727272727264E-2</v>
      </c>
      <c r="M449" s="39">
        <f t="shared" si="52"/>
        <v>2.1905959791348222</v>
      </c>
      <c r="N449" s="39">
        <f t="shared" si="53"/>
        <v>69.272727272727266</v>
      </c>
      <c r="O449" s="40">
        <f>1</f>
        <v>1</v>
      </c>
      <c r="P449" s="38">
        <f>INDEX(Cables!$AS:$AS,MATCH(B449,Cables!$A:$A,0))+INDEX(Cables!$AT:$AT,MATCH(B449,Cables!$A:$A,0))*SQRT(C449)+INDEX(Cables!$AU:$AU,MATCH(B449,Cables!$A:$A,0))*C449</f>
        <v>14.332155869155532</v>
      </c>
      <c r="Q449" s="41">
        <f t="shared" si="54"/>
        <v>-7.1724752457714702E-3</v>
      </c>
      <c r="R449" s="39">
        <f t="shared" si="55"/>
        <v>5.144440115120451E-5</v>
      </c>
      <c r="S449" s="40" t="b">
        <f>IF(B449=B448,C449&gt;C448,COUNTIF(B$1:B448,B449)=0)</f>
        <v>1</v>
      </c>
      <c r="T449" s="37"/>
    </row>
    <row r="450" spans="1:20" x14ac:dyDescent="0.25">
      <c r="A450" s="37" t="s">
        <v>1180</v>
      </c>
      <c r="B450" s="37" t="s">
        <v>461</v>
      </c>
      <c r="C450" s="37">
        <v>1500</v>
      </c>
      <c r="D450" s="37">
        <v>5.5</v>
      </c>
      <c r="E450" s="37" t="s">
        <v>707</v>
      </c>
      <c r="F450" s="37"/>
      <c r="G450" s="37" t="s">
        <v>471</v>
      </c>
      <c r="H450" s="37" t="s">
        <v>708</v>
      </c>
      <c r="I450" s="38">
        <f t="shared" ref="I450:I513" si="56">IF(E450="dB/100ft",D450*100/30.48,D450)</f>
        <v>18.044619422572179</v>
      </c>
      <c r="J450" s="38">
        <f t="shared" ref="J450:J513" si="57">LN(C450)</f>
        <v>7.3132203870903014</v>
      </c>
      <c r="K450" s="38">
        <f t="shared" ref="K450:K513" si="58">LN(I450)</f>
        <v>2.892847547408071</v>
      </c>
      <c r="L450" s="39">
        <f t="shared" ref="L450:L513" si="59">1/I450</f>
        <v>5.5418181818181818E-2</v>
      </c>
      <c r="M450" s="39">
        <f t="shared" ref="M450:M513" si="60">SQRT(C450)/I450</f>
        <v>2.1463369525891283</v>
      </c>
      <c r="N450" s="39">
        <f t="shared" ref="N450:N513" si="61">C450/I450</f>
        <v>83.127272727272725</v>
      </c>
      <c r="O450" s="40">
        <f>1</f>
        <v>1</v>
      </c>
      <c r="P450" s="38">
        <f>INDEX(Cables!$AS:$AS,MATCH(B450,Cables!$A:$A,0))+INDEX(Cables!$AT:$AT,MATCH(B450,Cables!$A:$A,0))*SQRT(C450)+INDEX(Cables!$AU:$AU,MATCH(B450,Cables!$A:$A,0))*C450</f>
        <v>18.03916065074073</v>
      </c>
      <c r="Q450" s="41">
        <f t="shared" ref="Q450:Q513" si="62">P450/I450-1</f>
        <v>-3.0251520985924429E-4</v>
      </c>
      <c r="R450" s="39">
        <f t="shared" ref="R450:R513" si="63">Q450^2</f>
        <v>9.1515452196182619E-8</v>
      </c>
      <c r="S450" s="40" t="b">
        <f>IF(B450=B449,C450&gt;C449,COUNTIF(B$1:B449,B450)=0)</f>
        <v>1</v>
      </c>
      <c r="T450" s="37"/>
    </row>
    <row r="451" spans="1:20" x14ac:dyDescent="0.25">
      <c r="A451" s="37" t="s">
        <v>1181</v>
      </c>
      <c r="B451" s="37" t="s">
        <v>461</v>
      </c>
      <c r="C451" s="37">
        <v>1800</v>
      </c>
      <c r="D451" s="37">
        <v>6.1</v>
      </c>
      <c r="E451" s="37" t="s">
        <v>707</v>
      </c>
      <c r="F451" s="37"/>
      <c r="G451" s="37" t="s">
        <v>471</v>
      </c>
      <c r="H451" s="37" t="s">
        <v>708</v>
      </c>
      <c r="I451" s="38">
        <f t="shared" si="56"/>
        <v>20.013123359580053</v>
      </c>
      <c r="J451" s="38">
        <f t="shared" si="57"/>
        <v>7.4955419438842563</v>
      </c>
      <c r="K451" s="38">
        <f t="shared" si="58"/>
        <v>2.9963882263489112</v>
      </c>
      <c r="L451" s="39">
        <f t="shared" si="59"/>
        <v>4.9967213114754098E-2</v>
      </c>
      <c r="M451" s="39">
        <f t="shared" si="60"/>
        <v>2.119929313826161</v>
      </c>
      <c r="N451" s="39">
        <f t="shared" si="61"/>
        <v>89.940983606557381</v>
      </c>
      <c r="O451" s="40">
        <f>1</f>
        <v>1</v>
      </c>
      <c r="P451" s="38">
        <f>INDEX(Cables!$AS:$AS,MATCH(B451,Cables!$A:$A,0))+INDEX(Cables!$AT:$AT,MATCH(B451,Cables!$A:$A,0))*SQRT(C451)+INDEX(Cables!$AU:$AU,MATCH(B451,Cables!$A:$A,0))*C451</f>
        <v>20.053186816686548</v>
      </c>
      <c r="Q451" s="41">
        <f t="shared" si="62"/>
        <v>2.0018592993540363E-3</v>
      </c>
      <c r="R451" s="39">
        <f t="shared" si="63"/>
        <v>4.0074406544102327E-6</v>
      </c>
      <c r="S451" s="40" t="b">
        <f>IF(B451=B450,C451&gt;C450,COUNTIF(B$1:B450,B451)=0)</f>
        <v>1</v>
      </c>
      <c r="T451" s="37"/>
    </row>
    <row r="452" spans="1:20" x14ac:dyDescent="0.25">
      <c r="A452" s="37" t="s">
        <v>1182</v>
      </c>
      <c r="B452" s="37" t="s">
        <v>461</v>
      </c>
      <c r="C452" s="37">
        <v>2000</v>
      </c>
      <c r="D452" s="37">
        <v>6.5</v>
      </c>
      <c r="E452" s="37" t="s">
        <v>707</v>
      </c>
      <c r="F452" s="37"/>
      <c r="G452" s="37" t="s">
        <v>471</v>
      </c>
      <c r="H452" s="37" t="s">
        <v>708</v>
      </c>
      <c r="I452" s="38">
        <f t="shared" si="56"/>
        <v>21.325459317585302</v>
      </c>
      <c r="J452" s="38">
        <f t="shared" si="57"/>
        <v>7.6009024595420822</v>
      </c>
      <c r="K452" s="38">
        <f t="shared" si="58"/>
        <v>3.0599016320712371</v>
      </c>
      <c r="L452" s="39">
        <f t="shared" si="59"/>
        <v>4.6892307692307691E-2</v>
      </c>
      <c r="M452" s="39">
        <f t="shared" si="60"/>
        <v>2.097087752436726</v>
      </c>
      <c r="N452" s="39">
        <f t="shared" si="61"/>
        <v>93.784615384615378</v>
      </c>
      <c r="O452" s="40">
        <f>1</f>
        <v>1</v>
      </c>
      <c r="P452" s="38">
        <f>INDEX(Cables!$AS:$AS,MATCH(B452,Cables!$A:$A,0))+INDEX(Cables!$AT:$AT,MATCH(B452,Cables!$A:$A,0))*SQRT(C452)+INDEX(Cables!$AU:$AU,MATCH(B452,Cables!$A:$A,0))*C452</f>
        <v>21.33313952280016</v>
      </c>
      <c r="Q452" s="41">
        <f t="shared" si="62"/>
        <v>3.6014254607508178E-4</v>
      </c>
      <c r="R452" s="39">
        <f t="shared" si="63"/>
        <v>1.297026534934424E-7</v>
      </c>
      <c r="S452" s="40" t="b">
        <f>IF(B452=B451,C452&gt;C451,COUNTIF(B$1:B451,B452)=0)</f>
        <v>1</v>
      </c>
      <c r="T452" s="37"/>
    </row>
    <row r="453" spans="1:20" x14ac:dyDescent="0.25">
      <c r="A453" s="37" t="s">
        <v>1183</v>
      </c>
      <c r="B453" s="37" t="s">
        <v>461</v>
      </c>
      <c r="C453" s="37">
        <v>2500</v>
      </c>
      <c r="D453" s="37">
        <v>7.5</v>
      </c>
      <c r="E453" s="37" t="s">
        <v>707</v>
      </c>
      <c r="F453" s="37"/>
      <c r="G453" s="37" t="s">
        <v>471</v>
      </c>
      <c r="H453" s="37" t="s">
        <v>708</v>
      </c>
      <c r="I453" s="38">
        <f t="shared" si="56"/>
        <v>24.606299212598426</v>
      </c>
      <c r="J453" s="38">
        <f t="shared" si="57"/>
        <v>7.8240460108562919</v>
      </c>
      <c r="K453" s="38">
        <f t="shared" si="58"/>
        <v>3.2030024757119104</v>
      </c>
      <c r="L453" s="39">
        <f t="shared" si="59"/>
        <v>4.0639999999999996E-2</v>
      </c>
      <c r="M453" s="39">
        <f t="shared" si="60"/>
        <v>2.032</v>
      </c>
      <c r="N453" s="39">
        <f t="shared" si="61"/>
        <v>101.6</v>
      </c>
      <c r="O453" s="40">
        <f>1</f>
        <v>1</v>
      </c>
      <c r="P453" s="38">
        <f>INDEX(Cables!$AS:$AS,MATCH(B453,Cables!$A:$A,0))+INDEX(Cables!$AT:$AT,MATCH(B453,Cables!$A:$A,0))*SQRT(C453)+INDEX(Cables!$AU:$AU,MATCH(B453,Cables!$A:$A,0))*C453</f>
        <v>24.363172077774063</v>
      </c>
      <c r="Q453" s="41">
        <f t="shared" si="62"/>
        <v>-9.880686759262125E-3</v>
      </c>
      <c r="R453" s="39">
        <f t="shared" si="63"/>
        <v>9.7627970834657869E-5</v>
      </c>
      <c r="S453" s="40" t="b">
        <f>IF(B453=B452,C453&gt;C452,COUNTIF(B$1:B452,B453)=0)</f>
        <v>1</v>
      </c>
      <c r="T453" s="37"/>
    </row>
    <row r="454" spans="1:20" x14ac:dyDescent="0.25">
      <c r="A454" s="37" t="s">
        <v>1184</v>
      </c>
      <c r="B454" s="37" t="s">
        <v>461</v>
      </c>
      <c r="C454" s="37">
        <v>3000</v>
      </c>
      <c r="D454" s="37">
        <v>8.3000000000000007</v>
      </c>
      <c r="E454" s="37" t="s">
        <v>707</v>
      </c>
      <c r="F454" s="37"/>
      <c r="G454" s="37" t="s">
        <v>471</v>
      </c>
      <c r="H454" s="37" t="s">
        <v>708</v>
      </c>
      <c r="I454" s="38">
        <f t="shared" si="56"/>
        <v>27.230971128608928</v>
      </c>
      <c r="J454" s="38">
        <f t="shared" si="57"/>
        <v>8.0063675676502459</v>
      </c>
      <c r="K454" s="38">
        <f t="shared" si="58"/>
        <v>3.3043549699721981</v>
      </c>
      <c r="L454" s="39">
        <f t="shared" si="59"/>
        <v>3.6722891566265056E-2</v>
      </c>
      <c r="M454" s="39">
        <f t="shared" si="60"/>
        <v>2.0113956087659592</v>
      </c>
      <c r="N454" s="39">
        <f t="shared" si="61"/>
        <v>110.16867469879516</v>
      </c>
      <c r="O454" s="40">
        <f>1</f>
        <v>1</v>
      </c>
      <c r="P454" s="38">
        <f>INDEX(Cables!$AS:$AS,MATCH(B454,Cables!$A:$A,0))+INDEX(Cables!$AT:$AT,MATCH(B454,Cables!$A:$A,0))*SQRT(C454)+INDEX(Cables!$AU:$AU,MATCH(B454,Cables!$A:$A,0))*C454</f>
        <v>27.205715406778047</v>
      </c>
      <c r="Q454" s="41">
        <f t="shared" si="62"/>
        <v>-9.2746313422320537E-4</v>
      </c>
      <c r="R454" s="39">
        <f t="shared" si="63"/>
        <v>8.6018786534313142E-7</v>
      </c>
      <c r="S454" s="40" t="b">
        <f>IF(B454=B453,C454&gt;C453,COUNTIF(B$1:B453,B454)=0)</f>
        <v>1</v>
      </c>
      <c r="T454" s="37"/>
    </row>
    <row r="455" spans="1:20" x14ac:dyDescent="0.25">
      <c r="A455" s="37" t="s">
        <v>1185</v>
      </c>
      <c r="B455" s="37" t="s">
        <v>461</v>
      </c>
      <c r="C455" s="37">
        <v>4000</v>
      </c>
      <c r="D455" s="37">
        <v>9.9</v>
      </c>
      <c r="E455" s="37" t="s">
        <v>707</v>
      </c>
      <c r="F455" s="37"/>
      <c r="G455" s="37" t="s">
        <v>471</v>
      </c>
      <c r="H455" s="37" t="s">
        <v>708</v>
      </c>
      <c r="I455" s="38">
        <f t="shared" si="56"/>
        <v>32.480314960629919</v>
      </c>
      <c r="J455" s="38">
        <f t="shared" si="57"/>
        <v>8.2940496401020276</v>
      </c>
      <c r="K455" s="38">
        <f t="shared" si="58"/>
        <v>3.4806342123101901</v>
      </c>
      <c r="L455" s="39">
        <f t="shared" si="59"/>
        <v>3.0787878787878791E-2</v>
      </c>
      <c r="M455" s="39">
        <f t="shared" si="60"/>
        <v>1.9471964258976204</v>
      </c>
      <c r="N455" s="39">
        <f t="shared" si="61"/>
        <v>123.15151515151516</v>
      </c>
      <c r="O455" s="40">
        <f>1</f>
        <v>1</v>
      </c>
      <c r="P455" s="38">
        <f>INDEX(Cables!$AS:$AS,MATCH(B455,Cables!$A:$A,0))+INDEX(Cables!$AT:$AT,MATCH(B455,Cables!$A:$A,0))*SQRT(C455)+INDEX(Cables!$AU:$AU,MATCH(B455,Cables!$A:$A,0))*C455</f>
        <v>32.494184447893105</v>
      </c>
      <c r="Q455" s="41">
        <f t="shared" si="62"/>
        <v>4.2701209270901153E-4</v>
      </c>
      <c r="R455" s="39">
        <f t="shared" si="63"/>
        <v>1.8233932731972944E-7</v>
      </c>
      <c r="S455" s="40" t="b">
        <f>IF(B455=B454,C455&gt;C454,COUNTIF(B$1:B454,B455)=0)</f>
        <v>1</v>
      </c>
      <c r="T455" s="37"/>
    </row>
    <row r="456" spans="1:20" x14ac:dyDescent="0.25">
      <c r="A456" s="37" t="s">
        <v>1186</v>
      </c>
      <c r="B456" s="37" t="s">
        <v>472</v>
      </c>
      <c r="C456" s="37">
        <v>5</v>
      </c>
      <c r="D456" s="37">
        <v>0.8</v>
      </c>
      <c r="E456" s="37" t="s">
        <v>771</v>
      </c>
      <c r="F456" s="37">
        <v>20</v>
      </c>
      <c r="G456" s="37" t="s">
        <v>479</v>
      </c>
      <c r="H456" s="37" t="s">
        <v>1187</v>
      </c>
      <c r="I456" s="38">
        <f t="shared" si="56"/>
        <v>0.8</v>
      </c>
      <c r="J456" s="38">
        <f t="shared" si="57"/>
        <v>1.6094379124341003</v>
      </c>
      <c r="K456" s="38">
        <f t="shared" si="58"/>
        <v>-0.22314355131420971</v>
      </c>
      <c r="L456" s="39">
        <f t="shared" si="59"/>
        <v>1.25</v>
      </c>
      <c r="M456" s="39">
        <f t="shared" si="60"/>
        <v>2.7950849718747373</v>
      </c>
      <c r="N456" s="39">
        <f t="shared" si="61"/>
        <v>6.25</v>
      </c>
      <c r="O456" s="40">
        <f>1</f>
        <v>1</v>
      </c>
      <c r="P456" s="38">
        <f>INDEX(Cables!$AS:$AS,MATCH(B456,Cables!$A:$A,0))+INDEX(Cables!$AT:$AT,MATCH(B456,Cables!$A:$A,0))*SQRT(C456)+INDEX(Cables!$AU:$AU,MATCH(B456,Cables!$A:$A,0))*C456</f>
        <v>0.80792062644864782</v>
      </c>
      <c r="Q456" s="41">
        <f t="shared" si="62"/>
        <v>9.9007830608097702E-3</v>
      </c>
      <c r="R456" s="39">
        <f t="shared" si="63"/>
        <v>9.8025505217217682E-5</v>
      </c>
      <c r="S456" s="40" t="b">
        <f>IF(B456=B455,C456&gt;C455,COUNTIF(B$1:B455,B456)=0)</f>
        <v>1</v>
      </c>
      <c r="T456" s="37"/>
    </row>
    <row r="457" spans="1:20" x14ac:dyDescent="0.25">
      <c r="A457" s="37" t="s">
        <v>1188</v>
      </c>
      <c r="B457" s="37" t="s">
        <v>472</v>
      </c>
      <c r="C457" s="37">
        <v>10</v>
      </c>
      <c r="D457" s="37">
        <v>1.2</v>
      </c>
      <c r="E457" s="37" t="s">
        <v>771</v>
      </c>
      <c r="F457" s="37">
        <v>20</v>
      </c>
      <c r="G457" s="37" t="s">
        <v>479</v>
      </c>
      <c r="H457" s="37" t="s">
        <v>1187</v>
      </c>
      <c r="I457" s="38">
        <f t="shared" si="56"/>
        <v>1.2</v>
      </c>
      <c r="J457" s="38">
        <f t="shared" si="57"/>
        <v>2.3025850929940459</v>
      </c>
      <c r="K457" s="38">
        <f t="shared" si="58"/>
        <v>0.18232155679395459</v>
      </c>
      <c r="L457" s="39">
        <f t="shared" si="59"/>
        <v>0.83333333333333337</v>
      </c>
      <c r="M457" s="39">
        <f t="shared" si="60"/>
        <v>2.6352313834736498</v>
      </c>
      <c r="N457" s="39">
        <f t="shared" si="61"/>
        <v>8.3333333333333339</v>
      </c>
      <c r="O457" s="40">
        <f>1</f>
        <v>1</v>
      </c>
      <c r="P457" s="38">
        <f>INDEX(Cables!$AS:$AS,MATCH(B457,Cables!$A:$A,0))+INDEX(Cables!$AT:$AT,MATCH(B457,Cables!$A:$A,0))*SQRT(C457)+INDEX(Cables!$AU:$AU,MATCH(B457,Cables!$A:$A,0))*C457</f>
        <v>1.1805940844331715</v>
      </c>
      <c r="Q457" s="41">
        <f t="shared" si="62"/>
        <v>-1.6171596305690428E-2</v>
      </c>
      <c r="R457" s="39">
        <f t="shared" si="63"/>
        <v>2.6152052707422026E-4</v>
      </c>
      <c r="S457" s="40" t="b">
        <f>IF(B457=B456,C457&gt;C456,COUNTIF(B$1:B456,B457)=0)</f>
        <v>1</v>
      </c>
      <c r="T457" s="37"/>
    </row>
    <row r="458" spans="1:20" x14ac:dyDescent="0.25">
      <c r="A458" s="37" t="s">
        <v>1189</v>
      </c>
      <c r="B458" s="37" t="s">
        <v>472</v>
      </c>
      <c r="C458" s="37">
        <v>50</v>
      </c>
      <c r="D458" s="37">
        <v>2.8</v>
      </c>
      <c r="E458" s="37" t="s">
        <v>771</v>
      </c>
      <c r="F458" s="37">
        <v>20</v>
      </c>
      <c r="G458" s="37" t="s">
        <v>479</v>
      </c>
      <c r="H458" s="37" t="s">
        <v>1187</v>
      </c>
      <c r="I458" s="38">
        <f t="shared" si="56"/>
        <v>2.8</v>
      </c>
      <c r="J458" s="38">
        <f t="shared" si="57"/>
        <v>3.912023005428146</v>
      </c>
      <c r="K458" s="38">
        <f t="shared" si="58"/>
        <v>1.0296194171811581</v>
      </c>
      <c r="L458" s="39">
        <f t="shared" si="59"/>
        <v>0.35714285714285715</v>
      </c>
      <c r="M458" s="39">
        <f t="shared" si="60"/>
        <v>2.5253813613805272</v>
      </c>
      <c r="N458" s="39">
        <f t="shared" si="61"/>
        <v>17.857142857142858</v>
      </c>
      <c r="O458" s="40">
        <f>1</f>
        <v>1</v>
      </c>
      <c r="P458" s="38">
        <f>INDEX(Cables!$AS:$AS,MATCH(B458,Cables!$A:$A,0))+INDEX(Cables!$AT:$AT,MATCH(B458,Cables!$A:$A,0))*SQRT(C458)+INDEX(Cables!$AU:$AU,MATCH(B458,Cables!$A:$A,0))*C458</f>
        <v>2.7885737395678349</v>
      </c>
      <c r="Q458" s="41">
        <f t="shared" si="62"/>
        <v>-4.0808072972017273E-3</v>
      </c>
      <c r="R458" s="39">
        <f t="shared" si="63"/>
        <v>1.6652988196894867E-5</v>
      </c>
      <c r="S458" s="40" t="b">
        <f>IF(B458=B457,C458&gt;C457,COUNTIF(B$1:B457,B458)=0)</f>
        <v>1</v>
      </c>
      <c r="T458" s="37"/>
    </row>
    <row r="459" spans="1:20" x14ac:dyDescent="0.25">
      <c r="A459" s="37" t="s">
        <v>1190</v>
      </c>
      <c r="B459" s="37" t="s">
        <v>472</v>
      </c>
      <c r="C459" s="37">
        <v>100</v>
      </c>
      <c r="D459" s="37">
        <v>4</v>
      </c>
      <c r="E459" s="37" t="s">
        <v>771</v>
      </c>
      <c r="F459" s="37">
        <v>20</v>
      </c>
      <c r="G459" s="37" t="s">
        <v>479</v>
      </c>
      <c r="H459" s="37" t="s">
        <v>1187</v>
      </c>
      <c r="I459" s="38">
        <f t="shared" si="56"/>
        <v>4</v>
      </c>
      <c r="J459" s="38">
        <f t="shared" si="57"/>
        <v>4.6051701859880918</v>
      </c>
      <c r="K459" s="38">
        <f t="shared" si="58"/>
        <v>1.3862943611198906</v>
      </c>
      <c r="L459" s="39">
        <f t="shared" si="59"/>
        <v>0.25</v>
      </c>
      <c r="M459" s="39">
        <f t="shared" si="60"/>
        <v>2.5</v>
      </c>
      <c r="N459" s="39">
        <f t="shared" si="61"/>
        <v>25</v>
      </c>
      <c r="O459" s="40">
        <f>1</f>
        <v>1</v>
      </c>
      <c r="P459" s="38">
        <f>INDEX(Cables!$AS:$AS,MATCH(B459,Cables!$A:$A,0))+INDEX(Cables!$AT:$AT,MATCH(B459,Cables!$A:$A,0))*SQRT(C459)+INDEX(Cables!$AU:$AU,MATCH(B459,Cables!$A:$A,0))*C459</f>
        <v>4.030789891388995</v>
      </c>
      <c r="Q459" s="41">
        <f t="shared" si="62"/>
        <v>7.6974728472487541E-3</v>
      </c>
      <c r="R459" s="39">
        <f t="shared" si="63"/>
        <v>5.9251088234131839E-5</v>
      </c>
      <c r="S459" s="40" t="b">
        <f>IF(B459=B458,C459&gt;C458,COUNTIF(B$1:B458,B459)=0)</f>
        <v>1</v>
      </c>
      <c r="T459" s="37"/>
    </row>
    <row r="460" spans="1:20" x14ac:dyDescent="0.25">
      <c r="A460" s="37" t="s">
        <v>1191</v>
      </c>
      <c r="B460" s="37" t="s">
        <v>472</v>
      </c>
      <c r="C460" s="37">
        <v>144</v>
      </c>
      <c r="D460" s="37">
        <v>4.9000000000000004</v>
      </c>
      <c r="E460" s="37" t="s">
        <v>771</v>
      </c>
      <c r="F460" s="37">
        <v>20</v>
      </c>
      <c r="G460" s="37" t="s">
        <v>479</v>
      </c>
      <c r="H460" s="37" t="s">
        <v>1187</v>
      </c>
      <c r="I460" s="38">
        <f t="shared" si="56"/>
        <v>4.9000000000000004</v>
      </c>
      <c r="J460" s="38">
        <f t="shared" si="57"/>
        <v>4.9698132995760007</v>
      </c>
      <c r="K460" s="38">
        <f t="shared" si="58"/>
        <v>1.589235205116581</v>
      </c>
      <c r="L460" s="39">
        <f t="shared" si="59"/>
        <v>0.2040816326530612</v>
      </c>
      <c r="M460" s="39">
        <f t="shared" si="60"/>
        <v>2.4489795918367343</v>
      </c>
      <c r="N460" s="39">
        <f t="shared" si="61"/>
        <v>29.387755102040813</v>
      </c>
      <c r="O460" s="40">
        <f>1</f>
        <v>1</v>
      </c>
      <c r="P460" s="38">
        <f>INDEX(Cables!$AS:$AS,MATCH(B460,Cables!$A:$A,0))+INDEX(Cables!$AT:$AT,MATCH(B460,Cables!$A:$A,0))*SQRT(C460)+INDEX(Cables!$AU:$AU,MATCH(B460,Cables!$A:$A,0))*C460</f>
        <v>4.8974007834699256</v>
      </c>
      <c r="Q460" s="41">
        <f t="shared" si="62"/>
        <v>-5.3045235307647154E-4</v>
      </c>
      <c r="R460" s="39">
        <f t="shared" si="63"/>
        <v>2.8137969888436562E-7</v>
      </c>
      <c r="S460" s="40" t="b">
        <f>IF(B460=B459,C460&gt;C459,COUNTIF(B$1:B459,B460)=0)</f>
        <v>1</v>
      </c>
      <c r="T460" s="37"/>
    </row>
    <row r="461" spans="1:20" x14ac:dyDescent="0.25">
      <c r="A461" s="37" t="s">
        <v>1192</v>
      </c>
      <c r="B461" s="37" t="s">
        <v>472</v>
      </c>
      <c r="C461" s="37">
        <v>200</v>
      </c>
      <c r="D461" s="37">
        <v>5.8</v>
      </c>
      <c r="E461" s="37" t="s">
        <v>771</v>
      </c>
      <c r="F461" s="37">
        <v>20</v>
      </c>
      <c r="G461" s="37" t="s">
        <v>479</v>
      </c>
      <c r="H461" s="37" t="s">
        <v>1187</v>
      </c>
      <c r="I461" s="38">
        <f t="shared" si="56"/>
        <v>5.8</v>
      </c>
      <c r="J461" s="38">
        <f t="shared" si="57"/>
        <v>5.2983173665480363</v>
      </c>
      <c r="K461" s="38">
        <f t="shared" si="58"/>
        <v>1.7578579175523736</v>
      </c>
      <c r="L461" s="39">
        <f t="shared" si="59"/>
        <v>0.17241379310344829</v>
      </c>
      <c r="M461" s="39">
        <f t="shared" si="60"/>
        <v>2.4382992454708536</v>
      </c>
      <c r="N461" s="39">
        <f t="shared" si="61"/>
        <v>34.482758620689658</v>
      </c>
      <c r="O461" s="40">
        <f>1</f>
        <v>1</v>
      </c>
      <c r="P461" s="38">
        <f>INDEX(Cables!$AS:$AS,MATCH(B461,Cables!$A:$A,0))+INDEX(Cables!$AT:$AT,MATCH(B461,Cables!$A:$A,0))*SQRT(C461)+INDEX(Cables!$AU:$AU,MATCH(B461,Cables!$A:$A,0))*C461</f>
        <v>5.8421369451669243</v>
      </c>
      <c r="Q461" s="41">
        <f t="shared" si="62"/>
        <v>7.264990546021366E-3</v>
      </c>
      <c r="R461" s="39">
        <f t="shared" si="63"/>
        <v>5.2780087633779823E-5</v>
      </c>
      <c r="S461" s="40" t="b">
        <f>IF(B461=B460,C461&gt;C460,COUNTIF(B$1:B460,B461)=0)</f>
        <v>1</v>
      </c>
      <c r="T461" s="37"/>
    </row>
    <row r="462" spans="1:20" x14ac:dyDescent="0.25">
      <c r="A462" s="37" t="s">
        <v>1193</v>
      </c>
      <c r="B462" s="37" t="s">
        <v>472</v>
      </c>
      <c r="C462" s="37">
        <v>300</v>
      </c>
      <c r="D462" s="37">
        <v>7.3</v>
      </c>
      <c r="E462" s="37" t="s">
        <v>771</v>
      </c>
      <c r="F462" s="37">
        <v>20</v>
      </c>
      <c r="G462" s="37" t="s">
        <v>479</v>
      </c>
      <c r="H462" s="37" t="s">
        <v>1187</v>
      </c>
      <c r="I462" s="38">
        <f t="shared" si="56"/>
        <v>7.3</v>
      </c>
      <c r="J462" s="38">
        <f t="shared" si="57"/>
        <v>5.7037824746562009</v>
      </c>
      <c r="K462" s="38">
        <f t="shared" si="58"/>
        <v>1.9878743481543455</v>
      </c>
      <c r="L462" s="39">
        <f t="shared" si="59"/>
        <v>0.13698630136986301</v>
      </c>
      <c r="M462" s="39">
        <f t="shared" si="60"/>
        <v>2.3726723391354487</v>
      </c>
      <c r="N462" s="39">
        <f t="shared" si="61"/>
        <v>41.095890410958908</v>
      </c>
      <c r="O462" s="40">
        <f>1</f>
        <v>1</v>
      </c>
      <c r="P462" s="38">
        <f>INDEX(Cables!$AS:$AS,MATCH(B462,Cables!$A:$A,0))+INDEX(Cables!$AT:$AT,MATCH(B462,Cables!$A:$A,0))*SQRT(C462)+INDEX(Cables!$AU:$AU,MATCH(B462,Cables!$A:$A,0))*C462</f>
        <v>7.2753969765507893</v>
      </c>
      <c r="Q462" s="41">
        <f t="shared" si="62"/>
        <v>-3.3702771848234114E-3</v>
      </c>
      <c r="R462" s="39">
        <f t="shared" si="63"/>
        <v>1.135876830254122E-5</v>
      </c>
      <c r="S462" s="40" t="b">
        <f>IF(B462=B461,C462&gt;C461,COUNTIF(B$1:B461,B462)=0)</f>
        <v>1</v>
      </c>
      <c r="T462" s="37"/>
    </row>
    <row r="463" spans="1:20" x14ac:dyDescent="0.25">
      <c r="A463" s="37" t="s">
        <v>1194</v>
      </c>
      <c r="B463" s="37" t="s">
        <v>472</v>
      </c>
      <c r="C463" s="37">
        <v>432</v>
      </c>
      <c r="D463" s="37">
        <v>8.9</v>
      </c>
      <c r="E463" s="37" t="s">
        <v>771</v>
      </c>
      <c r="F463" s="37">
        <v>20</v>
      </c>
      <c r="G463" s="37" t="s">
        <v>479</v>
      </c>
      <c r="H463" s="37" t="s">
        <v>1187</v>
      </c>
      <c r="I463" s="38">
        <f t="shared" si="56"/>
        <v>8.9</v>
      </c>
      <c r="J463" s="38">
        <f t="shared" si="57"/>
        <v>6.0684255882441107</v>
      </c>
      <c r="K463" s="38">
        <f t="shared" si="58"/>
        <v>2.1860512767380942</v>
      </c>
      <c r="L463" s="39">
        <f t="shared" si="59"/>
        <v>0.11235955056179775</v>
      </c>
      <c r="M463" s="39">
        <f t="shared" si="60"/>
        <v>2.3353494034636548</v>
      </c>
      <c r="N463" s="39">
        <f t="shared" si="61"/>
        <v>48.539325842696627</v>
      </c>
      <c r="O463" s="40">
        <f>1</f>
        <v>1</v>
      </c>
      <c r="P463" s="38">
        <f>INDEX(Cables!$AS:$AS,MATCH(B463,Cables!$A:$A,0))+INDEX(Cables!$AT:$AT,MATCH(B463,Cables!$A:$A,0))*SQRT(C463)+INDEX(Cables!$AU:$AU,MATCH(B463,Cables!$A:$A,0))*C463</f>
        <v>8.8803895328266549</v>
      </c>
      <c r="Q463" s="41">
        <f t="shared" si="62"/>
        <v>-2.2034232779040153E-3</v>
      </c>
      <c r="R463" s="39">
        <f t="shared" si="63"/>
        <v>4.8550741416092755E-6</v>
      </c>
      <c r="S463" s="40" t="b">
        <f>IF(B463=B462,C463&gt;C462,COUNTIF(B$1:B462,B463)=0)</f>
        <v>1</v>
      </c>
      <c r="T463" s="37"/>
    </row>
    <row r="464" spans="1:20" x14ac:dyDescent="0.25">
      <c r="A464" s="37" t="s">
        <v>1195</v>
      </c>
      <c r="B464" s="37" t="s">
        <v>472</v>
      </c>
      <c r="C464" s="37">
        <v>500</v>
      </c>
      <c r="D464" s="37">
        <v>9.6</v>
      </c>
      <c r="E464" s="37" t="s">
        <v>771</v>
      </c>
      <c r="F464" s="37">
        <v>20</v>
      </c>
      <c r="G464" s="37" t="s">
        <v>479</v>
      </c>
      <c r="H464" s="37" t="s">
        <v>1187</v>
      </c>
      <c r="I464" s="38">
        <f t="shared" si="56"/>
        <v>9.6</v>
      </c>
      <c r="J464" s="38">
        <f t="shared" si="57"/>
        <v>6.2146080984221914</v>
      </c>
      <c r="K464" s="38">
        <f t="shared" si="58"/>
        <v>2.2617630984737906</v>
      </c>
      <c r="L464" s="39">
        <f t="shared" si="59"/>
        <v>0.10416666666666667</v>
      </c>
      <c r="M464" s="39">
        <f t="shared" si="60"/>
        <v>2.3292374765622812</v>
      </c>
      <c r="N464" s="39">
        <f t="shared" si="61"/>
        <v>52.083333333333336</v>
      </c>
      <c r="O464" s="40">
        <f>1</f>
        <v>1</v>
      </c>
      <c r="P464" s="38">
        <f>INDEX(Cables!$AS:$AS,MATCH(B464,Cables!$A:$A,0))+INDEX(Cables!$AT:$AT,MATCH(B464,Cables!$A:$A,0))*SQRT(C464)+INDEX(Cables!$AU:$AU,MATCH(B464,Cables!$A:$A,0))*C464</f>
        <v>9.6254216416186065</v>
      </c>
      <c r="Q464" s="41">
        <f t="shared" si="62"/>
        <v>2.6480876686048038E-3</v>
      </c>
      <c r="R464" s="39">
        <f t="shared" si="63"/>
        <v>7.0123683006168252E-6</v>
      </c>
      <c r="S464" s="40" t="b">
        <f>IF(B464=B463,C464&gt;C463,COUNTIF(B$1:B463,B464)=0)</f>
        <v>1</v>
      </c>
      <c r="T464" s="37"/>
    </row>
    <row r="465" spans="1:20" x14ac:dyDescent="0.25">
      <c r="A465" s="37" t="s">
        <v>1196</v>
      </c>
      <c r="B465" s="37" t="s">
        <v>472</v>
      </c>
      <c r="C465" s="37">
        <v>800</v>
      </c>
      <c r="D465" s="37">
        <v>12.5</v>
      </c>
      <c r="E465" s="37" t="s">
        <v>771</v>
      </c>
      <c r="F465" s="37">
        <v>20</v>
      </c>
      <c r="G465" s="37" t="s">
        <v>479</v>
      </c>
      <c r="H465" s="37" t="s">
        <v>1187</v>
      </c>
      <c r="I465" s="38">
        <f t="shared" si="56"/>
        <v>12.5</v>
      </c>
      <c r="J465" s="38">
        <f t="shared" si="57"/>
        <v>6.6846117276679271</v>
      </c>
      <c r="K465" s="38">
        <f t="shared" si="58"/>
        <v>2.5257286443082556</v>
      </c>
      <c r="L465" s="39">
        <f t="shared" si="59"/>
        <v>0.08</v>
      </c>
      <c r="M465" s="39">
        <f t="shared" si="60"/>
        <v>2.2627416997969521</v>
      </c>
      <c r="N465" s="39">
        <f t="shared" si="61"/>
        <v>64</v>
      </c>
      <c r="O465" s="40">
        <f>1</f>
        <v>1</v>
      </c>
      <c r="P465" s="38">
        <f>INDEX(Cables!$AS:$AS,MATCH(B465,Cables!$A:$A,0))+INDEX(Cables!$AT:$AT,MATCH(B465,Cables!$A:$A,0))*SQRT(C465)+INDEX(Cables!$AU:$AU,MATCH(B465,Cables!$A:$A,0))*C465</f>
        <v>12.508389901131208</v>
      </c>
      <c r="Q465" s="41">
        <f t="shared" si="62"/>
        <v>6.7119209049670836E-4</v>
      </c>
      <c r="R465" s="39">
        <f t="shared" si="63"/>
        <v>4.5049882234534156E-7</v>
      </c>
      <c r="S465" s="40" t="b">
        <f>IF(B465=B464,C465&gt;C464,COUNTIF(B$1:B464,B465)=0)</f>
        <v>1</v>
      </c>
      <c r="T465" s="37"/>
    </row>
    <row r="466" spans="1:20" x14ac:dyDescent="0.25">
      <c r="A466" s="37" t="s">
        <v>1197</v>
      </c>
      <c r="B466" s="37" t="s">
        <v>472</v>
      </c>
      <c r="C466" s="37">
        <v>1000</v>
      </c>
      <c r="D466" s="37">
        <v>14.2</v>
      </c>
      <c r="E466" s="37" t="s">
        <v>771</v>
      </c>
      <c r="F466" s="37">
        <v>20</v>
      </c>
      <c r="G466" s="37" t="s">
        <v>479</v>
      </c>
      <c r="H466" s="37" t="s">
        <v>1187</v>
      </c>
      <c r="I466" s="38">
        <f t="shared" si="56"/>
        <v>14.2</v>
      </c>
      <c r="J466" s="38">
        <f t="shared" si="57"/>
        <v>6.9077552789821368</v>
      </c>
      <c r="K466" s="38">
        <f t="shared" si="58"/>
        <v>2.653241964607215</v>
      </c>
      <c r="L466" s="39">
        <f t="shared" si="59"/>
        <v>7.0422535211267609E-2</v>
      </c>
      <c r="M466" s="39">
        <f t="shared" si="60"/>
        <v>2.2269560987101262</v>
      </c>
      <c r="N466" s="39">
        <f t="shared" si="61"/>
        <v>70.422535211267615</v>
      </c>
      <c r="O466" s="40">
        <f>1</f>
        <v>1</v>
      </c>
      <c r="P466" s="38">
        <f>INDEX(Cables!$AS:$AS,MATCH(B466,Cables!$A:$A,0))+INDEX(Cables!$AT:$AT,MATCH(B466,Cables!$A:$A,0))*SQRT(C466)+INDEX(Cables!$AU:$AU,MATCH(B466,Cables!$A:$A,0))*C466</f>
        <v>14.190846038613</v>
      </c>
      <c r="Q466" s="41">
        <f t="shared" si="62"/>
        <v>-6.4464516809858985E-4</v>
      </c>
      <c r="R466" s="39">
        <f t="shared" si="63"/>
        <v>4.1556739275285916E-7</v>
      </c>
      <c r="S466" s="40" t="b">
        <f>IF(B466=B465,C466&gt;C465,COUNTIF(B$1:B465,B466)=0)</f>
        <v>1</v>
      </c>
      <c r="T466" s="37"/>
    </row>
    <row r="467" spans="1:20" x14ac:dyDescent="0.25">
      <c r="A467" s="37" t="s">
        <v>1198</v>
      </c>
      <c r="B467" s="37" t="s">
        <v>472</v>
      </c>
      <c r="C467" s="37">
        <v>1296</v>
      </c>
      <c r="D467" s="37">
        <v>16.5</v>
      </c>
      <c r="E467" s="37" t="s">
        <v>771</v>
      </c>
      <c r="F467" s="37">
        <v>20</v>
      </c>
      <c r="G467" s="37" t="s">
        <v>479</v>
      </c>
      <c r="H467" s="37" t="s">
        <v>1187</v>
      </c>
      <c r="I467" s="38">
        <f t="shared" si="56"/>
        <v>16.5</v>
      </c>
      <c r="J467" s="38">
        <f t="shared" si="57"/>
        <v>7.1670378769122198</v>
      </c>
      <c r="K467" s="38">
        <f t="shared" si="58"/>
        <v>2.8033603809065348</v>
      </c>
      <c r="L467" s="39">
        <f t="shared" si="59"/>
        <v>6.0606060606060608E-2</v>
      </c>
      <c r="M467" s="39">
        <f t="shared" si="60"/>
        <v>2.1818181818181817</v>
      </c>
      <c r="N467" s="39">
        <f t="shared" si="61"/>
        <v>78.545454545454547</v>
      </c>
      <c r="O467" s="40">
        <f>1</f>
        <v>1</v>
      </c>
      <c r="P467" s="38">
        <f>INDEX(Cables!$AS:$AS,MATCH(B467,Cables!$A:$A,0))+INDEX(Cables!$AT:$AT,MATCH(B467,Cables!$A:$A,0))*SQRT(C467)+INDEX(Cables!$AU:$AU,MATCH(B467,Cables!$A:$A,0))*C467</f>
        <v>16.459714701554599</v>
      </c>
      <c r="Q467" s="41">
        <f t="shared" si="62"/>
        <v>-2.4415332391152234E-3</v>
      </c>
      <c r="R467" s="39">
        <f t="shared" si="63"/>
        <v>5.9610845577044741E-6</v>
      </c>
      <c r="S467" s="40" t="b">
        <f>IF(B467=B466,C467&gt;C466,COUNTIF(B$1:B466,B467)=0)</f>
        <v>1</v>
      </c>
      <c r="T467" s="37"/>
    </row>
    <row r="468" spans="1:20" x14ac:dyDescent="0.25">
      <c r="A468" s="37" t="s">
        <v>1199</v>
      </c>
      <c r="B468" s="37" t="s">
        <v>472</v>
      </c>
      <c r="C468" s="37">
        <v>1500</v>
      </c>
      <c r="D468" s="37">
        <v>17.899999999999999</v>
      </c>
      <c r="E468" s="37" t="s">
        <v>771</v>
      </c>
      <c r="F468" s="37">
        <v>20</v>
      </c>
      <c r="G468" s="37" t="s">
        <v>479</v>
      </c>
      <c r="H468" s="37" t="s">
        <v>1187</v>
      </c>
      <c r="I468" s="38">
        <f t="shared" si="56"/>
        <v>17.899999999999999</v>
      </c>
      <c r="J468" s="38">
        <f t="shared" si="57"/>
        <v>7.3132203870903014</v>
      </c>
      <c r="K468" s="38">
        <f t="shared" si="58"/>
        <v>2.884800712846709</v>
      </c>
      <c r="L468" s="39">
        <f t="shared" si="59"/>
        <v>5.5865921787709501E-2</v>
      </c>
      <c r="M468" s="39">
        <f t="shared" si="60"/>
        <v>2.1636778470432496</v>
      </c>
      <c r="N468" s="39">
        <f t="shared" si="61"/>
        <v>83.798882681564251</v>
      </c>
      <c r="O468" s="40">
        <f>1</f>
        <v>1</v>
      </c>
      <c r="P468" s="38">
        <f>INDEX(Cables!$AS:$AS,MATCH(B468,Cables!$A:$A,0))+INDEX(Cables!$AT:$AT,MATCH(B468,Cables!$A:$A,0))*SQRT(C468)+INDEX(Cables!$AU:$AU,MATCH(B468,Cables!$A:$A,0))*C468</f>
        <v>17.910842152123784</v>
      </c>
      <c r="Q468" s="41">
        <f t="shared" si="62"/>
        <v>6.057068225577833E-4</v>
      </c>
      <c r="R468" s="39">
        <f t="shared" si="63"/>
        <v>3.66880754893046E-7</v>
      </c>
      <c r="S468" s="40" t="b">
        <f>IF(B468=B467,C468&gt;C467,COUNTIF(B$1:B467,B468)=0)</f>
        <v>1</v>
      </c>
      <c r="T468" s="37"/>
    </row>
    <row r="469" spans="1:20" x14ac:dyDescent="0.25">
      <c r="A469" s="37" t="s">
        <v>1200</v>
      </c>
      <c r="B469" s="37" t="s">
        <v>472</v>
      </c>
      <c r="C469" s="37">
        <v>1800</v>
      </c>
      <c r="D469" s="37">
        <v>19.899999999999999</v>
      </c>
      <c r="E469" s="37" t="s">
        <v>771</v>
      </c>
      <c r="F469" s="37">
        <v>20</v>
      </c>
      <c r="G469" s="37" t="s">
        <v>479</v>
      </c>
      <c r="H469" s="37" t="s">
        <v>1187</v>
      </c>
      <c r="I469" s="38">
        <f t="shared" si="56"/>
        <v>19.899999999999999</v>
      </c>
      <c r="J469" s="38">
        <f t="shared" si="57"/>
        <v>7.4955419438842563</v>
      </c>
      <c r="K469" s="38">
        <f t="shared" si="58"/>
        <v>2.9907197317304468</v>
      </c>
      <c r="L469" s="39">
        <f t="shared" si="59"/>
        <v>5.0251256281407038E-2</v>
      </c>
      <c r="M469" s="39">
        <f t="shared" si="60"/>
        <v>2.1319802447835605</v>
      </c>
      <c r="N469" s="39">
        <f t="shared" si="61"/>
        <v>90.452261306532677</v>
      </c>
      <c r="O469" s="40">
        <f>1</f>
        <v>1</v>
      </c>
      <c r="P469" s="38">
        <f>INDEX(Cables!$AS:$AS,MATCH(B469,Cables!$A:$A,0))+INDEX(Cables!$AT:$AT,MATCH(B469,Cables!$A:$A,0))*SQRT(C469)+INDEX(Cables!$AU:$AU,MATCH(B469,Cables!$A:$A,0))*C469</f>
        <v>19.920144916783634</v>
      </c>
      <c r="Q469" s="41">
        <f t="shared" si="62"/>
        <v>1.0123073760621715E-3</v>
      </c>
      <c r="R469" s="39">
        <f t="shared" si="63"/>
        <v>1.0247662236298786E-6</v>
      </c>
      <c r="S469" s="40" t="b">
        <f>IF(B469=B468,C469&gt;C468,COUNTIF(B$1:B468,B469)=0)</f>
        <v>1</v>
      </c>
      <c r="T469" s="37"/>
    </row>
    <row r="470" spans="1:20" x14ac:dyDescent="0.25">
      <c r="A470" s="37" t="s">
        <v>1201</v>
      </c>
      <c r="B470" s="37" t="s">
        <v>472</v>
      </c>
      <c r="C470" s="37">
        <v>2000</v>
      </c>
      <c r="D470" s="37">
        <v>21.2</v>
      </c>
      <c r="E470" s="37" t="s">
        <v>771</v>
      </c>
      <c r="F470" s="37">
        <v>20</v>
      </c>
      <c r="G470" s="37" t="s">
        <v>479</v>
      </c>
      <c r="H470" s="37" t="s">
        <v>1187</v>
      </c>
      <c r="I470" s="38">
        <f t="shared" si="56"/>
        <v>21.2</v>
      </c>
      <c r="J470" s="38">
        <f t="shared" si="57"/>
        <v>7.6009024595420822</v>
      </c>
      <c r="K470" s="38">
        <f t="shared" si="58"/>
        <v>3.0540011816779669</v>
      </c>
      <c r="L470" s="39">
        <f t="shared" si="59"/>
        <v>4.716981132075472E-2</v>
      </c>
      <c r="M470" s="39">
        <f t="shared" si="60"/>
        <v>2.1094980919809339</v>
      </c>
      <c r="N470" s="39">
        <f t="shared" si="61"/>
        <v>94.339622641509436</v>
      </c>
      <c r="O470" s="40">
        <f>1</f>
        <v>1</v>
      </c>
      <c r="P470" s="38">
        <f>INDEX(Cables!$AS:$AS,MATCH(B470,Cables!$A:$A,0))+INDEX(Cables!$AT:$AT,MATCH(B470,Cables!$A:$A,0))*SQRT(C470)+INDEX(Cables!$AU:$AU,MATCH(B470,Cables!$A:$A,0))*C470</f>
        <v>21.193212383566781</v>
      </c>
      <c r="Q470" s="41">
        <f t="shared" si="62"/>
        <v>-3.2017058647260122E-4</v>
      </c>
      <c r="R470" s="39">
        <f t="shared" si="63"/>
        <v>1.0250920444220941E-7</v>
      </c>
      <c r="S470" s="40" t="b">
        <f>IF(B470=B469,C470&gt;C469,COUNTIF(B$1:B469,B470)=0)</f>
        <v>1</v>
      </c>
      <c r="T470" s="37"/>
    </row>
    <row r="471" spans="1:20" x14ac:dyDescent="0.25">
      <c r="A471" s="37" t="s">
        <v>1202</v>
      </c>
      <c r="B471" s="37" t="s">
        <v>472</v>
      </c>
      <c r="C471" s="37">
        <v>2400</v>
      </c>
      <c r="D471" s="37">
        <v>23.6</v>
      </c>
      <c r="E471" s="37" t="s">
        <v>771</v>
      </c>
      <c r="F471" s="37">
        <v>20</v>
      </c>
      <c r="G471" s="37" t="s">
        <v>479</v>
      </c>
      <c r="H471" s="37" t="s">
        <v>1187</v>
      </c>
      <c r="I471" s="38">
        <f t="shared" si="56"/>
        <v>23.6</v>
      </c>
      <c r="J471" s="38">
        <f t="shared" si="57"/>
        <v>7.7832240163360371</v>
      </c>
      <c r="K471" s="38">
        <f t="shared" si="58"/>
        <v>3.1612467120315646</v>
      </c>
      <c r="L471" s="39">
        <f t="shared" si="59"/>
        <v>4.2372881355932202E-2</v>
      </c>
      <c r="M471" s="39">
        <f t="shared" si="60"/>
        <v>2.0758387650704897</v>
      </c>
      <c r="N471" s="39">
        <f t="shared" si="61"/>
        <v>101.69491525423729</v>
      </c>
      <c r="O471" s="40">
        <f>1</f>
        <v>1</v>
      </c>
      <c r="P471" s="38">
        <f>INDEX(Cables!$AS:$AS,MATCH(B471,Cables!$A:$A,0))+INDEX(Cables!$AT:$AT,MATCH(B471,Cables!$A:$A,0))*SQRT(C471)+INDEX(Cables!$AU:$AU,MATCH(B471,Cables!$A:$A,0))*C471</f>
        <v>23.613233705111014</v>
      </c>
      <c r="Q471" s="41">
        <f t="shared" si="62"/>
        <v>5.6075021656831758E-4</v>
      </c>
      <c r="R471" s="39">
        <f t="shared" si="63"/>
        <v>3.1444080538141508E-7</v>
      </c>
      <c r="S471" s="40" t="b">
        <f>IF(B471=B470,C471&gt;C470,COUNTIF(B$1:B470,B471)=0)</f>
        <v>1</v>
      </c>
      <c r="T471" s="37"/>
    </row>
    <row r="472" spans="1:20" x14ac:dyDescent="0.25">
      <c r="A472" s="37" t="s">
        <v>1203</v>
      </c>
      <c r="B472" s="37" t="s">
        <v>472</v>
      </c>
      <c r="C472" s="37">
        <v>3000</v>
      </c>
      <c r="D472" s="37">
        <v>27</v>
      </c>
      <c r="E472" s="37" t="s">
        <v>771</v>
      </c>
      <c r="F472" s="37">
        <v>20</v>
      </c>
      <c r="G472" s="37" t="s">
        <v>479</v>
      </c>
      <c r="H472" s="37" t="s">
        <v>1187</v>
      </c>
      <c r="I472" s="38">
        <f t="shared" si="56"/>
        <v>27</v>
      </c>
      <c r="J472" s="38">
        <f t="shared" si="57"/>
        <v>8.0063675676502459</v>
      </c>
      <c r="K472" s="38">
        <f t="shared" si="58"/>
        <v>3.2958368660043291</v>
      </c>
      <c r="L472" s="39">
        <f t="shared" si="59"/>
        <v>3.7037037037037035E-2</v>
      </c>
      <c r="M472" s="39">
        <f t="shared" si="60"/>
        <v>2.0286020648339487</v>
      </c>
      <c r="N472" s="39">
        <f t="shared" si="61"/>
        <v>111.11111111111111</v>
      </c>
      <c r="O472" s="40">
        <f>1</f>
        <v>1</v>
      </c>
      <c r="P472" s="38">
        <f>INDEX(Cables!$AS:$AS,MATCH(B472,Cables!$A:$A,0))+INDEX(Cables!$AT:$AT,MATCH(B472,Cables!$A:$A,0))*SQRT(C472)+INDEX(Cables!$AU:$AU,MATCH(B472,Cables!$A:$A,0))*C472</f>
        <v>26.999962584004226</v>
      </c>
      <c r="Q472" s="41">
        <f t="shared" si="62"/>
        <v>-1.3857776212100603E-6</v>
      </c>
      <c r="R472" s="39">
        <f t="shared" si="63"/>
        <v>1.9203796154466134E-12</v>
      </c>
      <c r="S472" s="40" t="b">
        <f>IF(B472=B471,C472&gt;C471,COUNTIF(B$1:B471,B472)=0)</f>
        <v>1</v>
      </c>
      <c r="T472" s="37"/>
    </row>
    <row r="473" spans="1:20" x14ac:dyDescent="0.25">
      <c r="A473" s="37" t="s">
        <v>1204</v>
      </c>
      <c r="B473" s="37" t="s">
        <v>472</v>
      </c>
      <c r="C473" s="37">
        <v>4000</v>
      </c>
      <c r="D473" s="37">
        <v>32.200000000000003</v>
      </c>
      <c r="E473" s="37" t="s">
        <v>771</v>
      </c>
      <c r="F473" s="37">
        <v>20</v>
      </c>
      <c r="G473" s="37" t="s">
        <v>479</v>
      </c>
      <c r="H473" s="37" t="s">
        <v>1187</v>
      </c>
      <c r="I473" s="38">
        <f t="shared" si="56"/>
        <v>32.200000000000003</v>
      </c>
      <c r="J473" s="38">
        <f t="shared" si="57"/>
        <v>8.2940496401020276</v>
      </c>
      <c r="K473" s="38">
        <f t="shared" si="58"/>
        <v>3.4719664525503626</v>
      </c>
      <c r="L473" s="39">
        <f t="shared" si="59"/>
        <v>3.1055900621118009E-2</v>
      </c>
      <c r="M473" s="39">
        <f t="shared" si="60"/>
        <v>1.9641476150114154</v>
      </c>
      <c r="N473" s="39">
        <f t="shared" si="61"/>
        <v>124.22360248447204</v>
      </c>
      <c r="O473" s="40">
        <f>1</f>
        <v>1</v>
      </c>
      <c r="P473" s="38">
        <f>INDEX(Cables!$AS:$AS,MATCH(B473,Cables!$A:$A,0))+INDEX(Cables!$AT:$AT,MATCH(B473,Cables!$A:$A,0))*SQRT(C473)+INDEX(Cables!$AU:$AU,MATCH(B473,Cables!$A:$A,0))*C473</f>
        <v>32.187816326775923</v>
      </c>
      <c r="Q473" s="41">
        <f t="shared" si="62"/>
        <v>-3.7837494484715961E-4</v>
      </c>
      <c r="R473" s="39">
        <f t="shared" si="63"/>
        <v>1.4316759888809107E-7</v>
      </c>
      <c r="S473" s="40" t="b">
        <f>IF(B473=B472,C473&gt;C472,COUNTIF(B$1:B472,B473)=0)</f>
        <v>1</v>
      </c>
      <c r="T473" s="37"/>
    </row>
    <row r="474" spans="1:20" x14ac:dyDescent="0.25">
      <c r="A474" s="37" t="s">
        <v>1205</v>
      </c>
      <c r="B474" s="37" t="s">
        <v>472</v>
      </c>
      <c r="C474" s="37">
        <v>5000</v>
      </c>
      <c r="D474" s="37">
        <v>37</v>
      </c>
      <c r="E474" s="37" t="s">
        <v>771</v>
      </c>
      <c r="F474" s="37">
        <v>20</v>
      </c>
      <c r="G474" s="37" t="s">
        <v>479</v>
      </c>
      <c r="H474" s="37" t="s">
        <v>1187</v>
      </c>
      <c r="I474" s="38">
        <f t="shared" si="56"/>
        <v>37</v>
      </c>
      <c r="J474" s="38">
        <f t="shared" si="57"/>
        <v>8.5171931914162382</v>
      </c>
      <c r="K474" s="38">
        <f t="shared" si="58"/>
        <v>3.6109179126442243</v>
      </c>
      <c r="L474" s="39">
        <f t="shared" si="59"/>
        <v>2.7027027027027029E-2</v>
      </c>
      <c r="M474" s="39">
        <f t="shared" si="60"/>
        <v>1.9110994086122908</v>
      </c>
      <c r="N474" s="39">
        <f t="shared" si="61"/>
        <v>135.13513513513513</v>
      </c>
      <c r="O474" s="40">
        <f>1</f>
        <v>1</v>
      </c>
      <c r="P474" s="38">
        <f>INDEX(Cables!$AS:$AS,MATCH(B474,Cables!$A:$A,0))+INDEX(Cables!$AT:$AT,MATCH(B474,Cables!$A:$A,0))*SQRT(C474)+INDEX(Cables!$AU:$AU,MATCH(B474,Cables!$A:$A,0))*C474</f>
        <v>36.980161127152904</v>
      </c>
      <c r="Q474" s="41">
        <f t="shared" si="62"/>
        <v>-5.3618575262426305E-4</v>
      </c>
      <c r="R474" s="39">
        <f t="shared" si="63"/>
        <v>2.8749516131724743E-7</v>
      </c>
      <c r="S474" s="40" t="b">
        <f>IF(B474=B473,C474&gt;C473,COUNTIF(B$1:B473,B474)=0)</f>
        <v>1</v>
      </c>
      <c r="T474" s="37"/>
    </row>
    <row r="475" spans="1:20" x14ac:dyDescent="0.25">
      <c r="A475" s="37" t="s">
        <v>1206</v>
      </c>
      <c r="B475" s="37" t="s">
        <v>472</v>
      </c>
      <c r="C475" s="37">
        <v>6000</v>
      </c>
      <c r="D475" s="37">
        <v>41.5</v>
      </c>
      <c r="E475" s="37" t="s">
        <v>771</v>
      </c>
      <c r="F475" s="37">
        <v>20</v>
      </c>
      <c r="G475" s="37" t="s">
        <v>479</v>
      </c>
      <c r="H475" s="37" t="s">
        <v>1187</v>
      </c>
      <c r="I475" s="38">
        <f t="shared" si="56"/>
        <v>41.5</v>
      </c>
      <c r="J475" s="38">
        <f t="shared" si="57"/>
        <v>8.6995147482101913</v>
      </c>
      <c r="K475" s="38">
        <f t="shared" si="58"/>
        <v>3.7256934272366524</v>
      </c>
      <c r="L475" s="39">
        <f t="shared" si="59"/>
        <v>2.4096385542168676E-2</v>
      </c>
      <c r="M475" s="39">
        <f t="shared" si="60"/>
        <v>1.8664979981722492</v>
      </c>
      <c r="N475" s="39">
        <f t="shared" si="61"/>
        <v>144.57831325301206</v>
      </c>
      <c r="O475" s="40">
        <f>1</f>
        <v>1</v>
      </c>
      <c r="P475" s="38">
        <f>INDEX(Cables!$AS:$AS,MATCH(B475,Cables!$A:$A,0))+INDEX(Cables!$AT:$AT,MATCH(B475,Cables!$A:$A,0))*SQRT(C475)+INDEX(Cables!$AU:$AU,MATCH(B475,Cables!$A:$A,0))*C475</f>
        <v>41.491563703017839</v>
      </c>
      <c r="Q475" s="41">
        <f t="shared" si="62"/>
        <v>-2.0328426463034344E-4</v>
      </c>
      <c r="R475" s="39">
        <f t="shared" si="63"/>
        <v>4.1324492246299497E-8</v>
      </c>
      <c r="S475" s="40" t="b">
        <f>IF(B475=B474,C475&gt;C474,COUNTIF(B$1:B474,B475)=0)</f>
        <v>1</v>
      </c>
      <c r="T475" s="37"/>
    </row>
    <row r="476" spans="1:20" x14ac:dyDescent="0.25">
      <c r="A476" s="37" t="s">
        <v>1207</v>
      </c>
      <c r="B476" s="37" t="s">
        <v>481</v>
      </c>
      <c r="C476" s="37">
        <v>5</v>
      </c>
      <c r="D476" s="37">
        <v>0.8</v>
      </c>
      <c r="E476" s="37" t="s">
        <v>771</v>
      </c>
      <c r="F476" s="37"/>
      <c r="G476" s="37" t="s">
        <v>487</v>
      </c>
      <c r="H476" s="37" t="s">
        <v>718</v>
      </c>
      <c r="I476" s="38">
        <f t="shared" si="56"/>
        <v>0.8</v>
      </c>
      <c r="J476" s="38">
        <f t="shared" si="57"/>
        <v>1.6094379124341003</v>
      </c>
      <c r="K476" s="38">
        <f t="shared" si="58"/>
        <v>-0.22314355131420971</v>
      </c>
      <c r="L476" s="39">
        <f t="shared" si="59"/>
        <v>1.25</v>
      </c>
      <c r="M476" s="39">
        <f t="shared" si="60"/>
        <v>2.7950849718747373</v>
      </c>
      <c r="N476" s="39">
        <f t="shared" si="61"/>
        <v>6.25</v>
      </c>
      <c r="O476" s="40">
        <f>1</f>
        <v>1</v>
      </c>
      <c r="P476" s="38">
        <f>INDEX(Cables!$AS:$AS,MATCH(B476,Cables!$A:$A,0))+INDEX(Cables!$AT:$AT,MATCH(B476,Cables!$A:$A,0))*SQRT(C476)+INDEX(Cables!$AU:$AU,MATCH(B476,Cables!$A:$A,0))*C476</f>
        <v>0.80416068450243106</v>
      </c>
      <c r="Q476" s="41">
        <f t="shared" si="62"/>
        <v>5.2008556280387364E-3</v>
      </c>
      <c r="R476" s="39">
        <f t="shared" si="63"/>
        <v>2.7048899263702199E-5</v>
      </c>
      <c r="S476" s="40" t="b">
        <f>IF(B476=B475,C476&gt;C475,COUNTIF(B$1:B475,B476)=0)</f>
        <v>1</v>
      </c>
      <c r="T476" s="37"/>
    </row>
    <row r="477" spans="1:20" x14ac:dyDescent="0.25">
      <c r="A477" s="37" t="s">
        <v>1208</v>
      </c>
      <c r="B477" s="37" t="s">
        <v>481</v>
      </c>
      <c r="C477" s="37">
        <v>50</v>
      </c>
      <c r="D477" s="37">
        <v>2.8</v>
      </c>
      <c r="E477" s="37" t="s">
        <v>771</v>
      </c>
      <c r="F477" s="37"/>
      <c r="G477" s="37" t="s">
        <v>487</v>
      </c>
      <c r="H477" s="37" t="s">
        <v>718</v>
      </c>
      <c r="I477" s="38">
        <f t="shared" si="56"/>
        <v>2.8</v>
      </c>
      <c r="J477" s="38">
        <f t="shared" si="57"/>
        <v>3.912023005428146</v>
      </c>
      <c r="K477" s="38">
        <f t="shared" si="58"/>
        <v>1.0296194171811581</v>
      </c>
      <c r="L477" s="39">
        <f t="shared" si="59"/>
        <v>0.35714285714285715</v>
      </c>
      <c r="M477" s="39">
        <f t="shared" si="60"/>
        <v>2.5253813613805272</v>
      </c>
      <c r="N477" s="39">
        <f t="shared" si="61"/>
        <v>17.857142857142858</v>
      </c>
      <c r="O477" s="40">
        <f>1</f>
        <v>1</v>
      </c>
      <c r="P477" s="38">
        <f>INDEX(Cables!$AS:$AS,MATCH(B477,Cables!$A:$A,0))+INDEX(Cables!$AT:$AT,MATCH(B477,Cables!$A:$A,0))*SQRT(C477)+INDEX(Cables!$AU:$AU,MATCH(B477,Cables!$A:$A,0))*C477</f>
        <v>2.7421300704387304</v>
      </c>
      <c r="Q477" s="41">
        <f t="shared" si="62"/>
        <v>-2.0667831986167617E-2</v>
      </c>
      <c r="R477" s="39">
        <f t="shared" si="63"/>
        <v>4.2715927900845326E-4</v>
      </c>
      <c r="S477" s="40" t="b">
        <f>IF(B477=B476,C477&gt;C476,COUNTIF(B$1:B476,B477)=0)</f>
        <v>1</v>
      </c>
      <c r="T477" s="37"/>
    </row>
    <row r="478" spans="1:20" x14ac:dyDescent="0.25">
      <c r="A478" s="37" t="s">
        <v>1209</v>
      </c>
      <c r="B478" s="37" t="s">
        <v>481</v>
      </c>
      <c r="C478" s="37">
        <v>100</v>
      </c>
      <c r="D478" s="37">
        <v>4</v>
      </c>
      <c r="E478" s="37" t="s">
        <v>771</v>
      </c>
      <c r="F478" s="37"/>
      <c r="G478" s="37" t="s">
        <v>487</v>
      </c>
      <c r="H478" s="37" t="s">
        <v>718</v>
      </c>
      <c r="I478" s="38">
        <f t="shared" si="56"/>
        <v>4</v>
      </c>
      <c r="J478" s="38">
        <f t="shared" si="57"/>
        <v>4.6051701859880918</v>
      </c>
      <c r="K478" s="38">
        <f t="shared" si="58"/>
        <v>1.3862943611198906</v>
      </c>
      <c r="L478" s="39">
        <f t="shared" si="59"/>
        <v>0.25</v>
      </c>
      <c r="M478" s="39">
        <f t="shared" si="60"/>
        <v>2.5</v>
      </c>
      <c r="N478" s="39">
        <f t="shared" si="61"/>
        <v>25</v>
      </c>
      <c r="O478" s="40">
        <f>1</f>
        <v>1</v>
      </c>
      <c r="P478" s="38">
        <f>INDEX(Cables!$AS:$AS,MATCH(B478,Cables!$A:$A,0))+INDEX(Cables!$AT:$AT,MATCH(B478,Cables!$A:$A,0))*SQRT(C478)+INDEX(Cables!$AU:$AU,MATCH(B478,Cables!$A:$A,0))*C478</f>
        <v>3.9634168289852543</v>
      </c>
      <c r="Q478" s="41">
        <f t="shared" si="62"/>
        <v>-9.1457927536864325E-3</v>
      </c>
      <c r="R478" s="39">
        <f t="shared" si="63"/>
        <v>8.3645525093383261E-5</v>
      </c>
      <c r="S478" s="40" t="b">
        <f>IF(B478=B477,C478&gt;C477,COUNTIF(B$1:B477,B478)=0)</f>
        <v>1</v>
      </c>
      <c r="T478" s="37"/>
    </row>
    <row r="479" spans="1:20" x14ac:dyDescent="0.25">
      <c r="A479" s="37" t="s">
        <v>1210</v>
      </c>
      <c r="B479" s="37" t="s">
        <v>481</v>
      </c>
      <c r="C479" s="37">
        <v>200</v>
      </c>
      <c r="D479" s="37">
        <v>5.7</v>
      </c>
      <c r="E479" s="37" t="s">
        <v>771</v>
      </c>
      <c r="F479" s="37"/>
      <c r="G479" s="37" t="s">
        <v>487</v>
      </c>
      <c r="H479" s="37" t="s">
        <v>718</v>
      </c>
      <c r="I479" s="38">
        <f t="shared" si="56"/>
        <v>5.7</v>
      </c>
      <c r="J479" s="38">
        <f t="shared" si="57"/>
        <v>5.2983173665480363</v>
      </c>
      <c r="K479" s="38">
        <f t="shared" si="58"/>
        <v>1.7404661748405046</v>
      </c>
      <c r="L479" s="39">
        <f t="shared" si="59"/>
        <v>0.17543859649122806</v>
      </c>
      <c r="M479" s="39">
        <f t="shared" si="60"/>
        <v>2.4810764252159561</v>
      </c>
      <c r="N479" s="39">
        <f t="shared" si="61"/>
        <v>35.087719298245609</v>
      </c>
      <c r="O479" s="40">
        <f>1</f>
        <v>1</v>
      </c>
      <c r="P479" s="38">
        <f>INDEX(Cables!$AS:$AS,MATCH(B479,Cables!$A:$A,0))+INDEX(Cables!$AT:$AT,MATCH(B479,Cables!$A:$A,0))*SQRT(C479)+INDEX(Cables!$AU:$AU,MATCH(B479,Cables!$A:$A,0))*C479</f>
        <v>5.7515118176933875</v>
      </c>
      <c r="Q479" s="41">
        <f t="shared" si="62"/>
        <v>9.0371609988397772E-3</v>
      </c>
      <c r="R479" s="39">
        <f t="shared" si="63"/>
        <v>8.1670278918950757E-5</v>
      </c>
      <c r="S479" s="40" t="b">
        <f>IF(B479=B478,C479&gt;C478,COUNTIF(B$1:B478,B479)=0)</f>
        <v>1</v>
      </c>
      <c r="T479" s="37"/>
    </row>
    <row r="480" spans="1:20" x14ac:dyDescent="0.25">
      <c r="A480" s="37" t="s">
        <v>1211</v>
      </c>
      <c r="B480" s="37" t="s">
        <v>481</v>
      </c>
      <c r="C480" s="37">
        <v>400</v>
      </c>
      <c r="D480" s="37">
        <v>8.4</v>
      </c>
      <c r="E480" s="37" t="s">
        <v>771</v>
      </c>
      <c r="F480" s="37"/>
      <c r="G480" s="37" t="s">
        <v>487</v>
      </c>
      <c r="H480" s="37" t="s">
        <v>718</v>
      </c>
      <c r="I480" s="38">
        <f t="shared" si="56"/>
        <v>8.4</v>
      </c>
      <c r="J480" s="38">
        <f t="shared" si="57"/>
        <v>5.9914645471079817</v>
      </c>
      <c r="K480" s="38">
        <f t="shared" si="58"/>
        <v>2.1282317058492679</v>
      </c>
      <c r="L480" s="39">
        <f t="shared" si="59"/>
        <v>0.11904761904761904</v>
      </c>
      <c r="M480" s="39">
        <f t="shared" si="60"/>
        <v>2.3809523809523809</v>
      </c>
      <c r="N480" s="39">
        <f t="shared" si="61"/>
        <v>47.61904761904762</v>
      </c>
      <c r="O480" s="40">
        <f>1</f>
        <v>1</v>
      </c>
      <c r="P480" s="38">
        <f>INDEX(Cables!$AS:$AS,MATCH(B480,Cables!$A:$A,0))+INDEX(Cables!$AT:$AT,MATCH(B480,Cables!$A:$A,0))*SQRT(C480)+INDEX(Cables!$AU:$AU,MATCH(B480,Cables!$A:$A,0))*C480</f>
        <v>8.4021293839857218</v>
      </c>
      <c r="Q480" s="41">
        <f t="shared" si="62"/>
        <v>2.5349809353825137E-4</v>
      </c>
      <c r="R480" s="39">
        <f t="shared" si="63"/>
        <v>6.4261283427528038E-8</v>
      </c>
      <c r="S480" s="40" t="b">
        <f>IF(B480=B479,C480&gt;C479,COUNTIF(B$1:B479,B480)=0)</f>
        <v>1</v>
      </c>
      <c r="T480" s="37"/>
    </row>
    <row r="481" spans="1:20" x14ac:dyDescent="0.25">
      <c r="A481" s="37" t="s">
        <v>1212</v>
      </c>
      <c r="B481" s="37" t="s">
        <v>481</v>
      </c>
      <c r="C481" s="37">
        <v>600</v>
      </c>
      <c r="D481" s="37">
        <v>10.5</v>
      </c>
      <c r="E481" s="37" t="s">
        <v>771</v>
      </c>
      <c r="F481" s="37"/>
      <c r="G481" s="37" t="s">
        <v>487</v>
      </c>
      <c r="H481" s="37" t="s">
        <v>718</v>
      </c>
      <c r="I481" s="38">
        <f t="shared" si="56"/>
        <v>10.5</v>
      </c>
      <c r="J481" s="38">
        <f t="shared" si="57"/>
        <v>6.3969296552161463</v>
      </c>
      <c r="K481" s="38">
        <f t="shared" si="58"/>
        <v>2.3513752571634776</v>
      </c>
      <c r="L481" s="39">
        <f t="shared" si="59"/>
        <v>9.5238095238095233E-2</v>
      </c>
      <c r="M481" s="39">
        <f t="shared" si="60"/>
        <v>2.3328473740792171</v>
      </c>
      <c r="N481" s="39">
        <f t="shared" si="61"/>
        <v>57.142857142857146</v>
      </c>
      <c r="O481" s="40">
        <f>1</f>
        <v>1</v>
      </c>
      <c r="P481" s="38">
        <f>INDEX(Cables!$AS:$AS,MATCH(B481,Cables!$A:$A,0))+INDEX(Cables!$AT:$AT,MATCH(B481,Cables!$A:$A,0))*SQRT(C481)+INDEX(Cables!$AU:$AU,MATCH(B481,Cables!$A:$A,0))*C481</f>
        <v>10.532832248533444</v>
      </c>
      <c r="Q481" s="41">
        <f t="shared" si="62"/>
        <v>3.1268808127089542E-3</v>
      </c>
      <c r="R481" s="39">
        <f t="shared" si="63"/>
        <v>9.7773836168874098E-6</v>
      </c>
      <c r="S481" s="40" t="b">
        <f>IF(B481=B480,C481&gt;C480,COUNTIF(B$1:B480,B481)=0)</f>
        <v>1</v>
      </c>
      <c r="T481" s="37"/>
    </row>
    <row r="482" spans="1:20" x14ac:dyDescent="0.25">
      <c r="A482" s="37" t="s">
        <v>1213</v>
      </c>
      <c r="B482" s="37" t="s">
        <v>481</v>
      </c>
      <c r="C482" s="37">
        <v>800</v>
      </c>
      <c r="D482" s="37">
        <v>12.3</v>
      </c>
      <c r="E482" s="37" t="s">
        <v>771</v>
      </c>
      <c r="F482" s="37"/>
      <c r="G482" s="37" t="s">
        <v>487</v>
      </c>
      <c r="H482" s="37" t="s">
        <v>718</v>
      </c>
      <c r="I482" s="38">
        <f t="shared" si="56"/>
        <v>12.3</v>
      </c>
      <c r="J482" s="38">
        <f t="shared" si="57"/>
        <v>6.6846117276679271</v>
      </c>
      <c r="K482" s="38">
        <f t="shared" si="58"/>
        <v>2.5095992623783721</v>
      </c>
      <c r="L482" s="39">
        <f t="shared" si="59"/>
        <v>8.1300813008130079E-2</v>
      </c>
      <c r="M482" s="39">
        <f t="shared" si="60"/>
        <v>2.2995342477611302</v>
      </c>
      <c r="N482" s="39">
        <f t="shared" si="61"/>
        <v>65.040650406504056</v>
      </c>
      <c r="O482" s="40">
        <f>1</f>
        <v>1</v>
      </c>
      <c r="P482" s="38">
        <f>INDEX(Cables!$AS:$AS,MATCH(B482,Cables!$A:$A,0))+INDEX(Cables!$AT:$AT,MATCH(B482,Cables!$A:$A,0))*SQRT(C482)+INDEX(Cables!$AU:$AU,MATCH(B482,Cables!$A:$A,0))*C482</f>
        <v>12.394407459800561</v>
      </c>
      <c r="Q482" s="41">
        <f t="shared" si="62"/>
        <v>7.6754032358179458E-3</v>
      </c>
      <c r="R482" s="39">
        <f t="shared" si="63"/>
        <v>5.8911814832404592E-5</v>
      </c>
      <c r="S482" s="40" t="b">
        <f>IF(B482=B481,C482&gt;C481,COUNTIF(B$1:B481,B482)=0)</f>
        <v>1</v>
      </c>
      <c r="T482" s="37"/>
    </row>
    <row r="483" spans="1:20" x14ac:dyDescent="0.25">
      <c r="A483" s="37" t="s">
        <v>1214</v>
      </c>
      <c r="B483" s="37" t="s">
        <v>481</v>
      </c>
      <c r="C483" s="37">
        <v>1000</v>
      </c>
      <c r="D483" s="37">
        <v>14</v>
      </c>
      <c r="E483" s="37" t="s">
        <v>771</v>
      </c>
      <c r="F483" s="37"/>
      <c r="G483" s="37" t="s">
        <v>487</v>
      </c>
      <c r="H483" s="37" t="s">
        <v>718</v>
      </c>
      <c r="I483" s="38">
        <f t="shared" si="56"/>
        <v>14</v>
      </c>
      <c r="J483" s="38">
        <f t="shared" si="57"/>
        <v>6.9077552789821368</v>
      </c>
      <c r="K483" s="38">
        <f t="shared" si="58"/>
        <v>2.6390573296152584</v>
      </c>
      <c r="L483" s="39">
        <f t="shared" si="59"/>
        <v>7.1428571428571425E-2</v>
      </c>
      <c r="M483" s="39">
        <f t="shared" si="60"/>
        <v>2.2587697572631282</v>
      </c>
      <c r="N483" s="39">
        <f t="shared" si="61"/>
        <v>71.428571428571431</v>
      </c>
      <c r="O483" s="40">
        <f>1</f>
        <v>1</v>
      </c>
      <c r="P483" s="38">
        <f>INDEX(Cables!$AS:$AS,MATCH(B483,Cables!$A:$A,0))+INDEX(Cables!$AT:$AT,MATCH(B483,Cables!$A:$A,0))*SQRT(C483)+INDEX(Cables!$AU:$AU,MATCH(B483,Cables!$A:$A,0))*C483</f>
        <v>14.083995269621486</v>
      </c>
      <c r="Q483" s="41">
        <f t="shared" si="62"/>
        <v>5.999662115820481E-3</v>
      </c>
      <c r="R483" s="39">
        <f t="shared" si="63"/>
        <v>3.5995945504011494E-5</v>
      </c>
      <c r="S483" s="40" t="b">
        <f>IF(B483=B482,C483&gt;C482,COUNTIF(B$1:B482,B483)=0)</f>
        <v>1</v>
      </c>
      <c r="T483" s="37"/>
    </row>
    <row r="484" spans="1:20" x14ac:dyDescent="0.25">
      <c r="A484" s="37" t="s">
        <v>1215</v>
      </c>
      <c r="B484" s="37" t="s">
        <v>481</v>
      </c>
      <c r="C484" s="37">
        <v>1350</v>
      </c>
      <c r="D484" s="37">
        <v>16.7</v>
      </c>
      <c r="E484" s="37" t="s">
        <v>771</v>
      </c>
      <c r="F484" s="37"/>
      <c r="G484" s="37" t="s">
        <v>487</v>
      </c>
      <c r="H484" s="37" t="s">
        <v>718</v>
      </c>
      <c r="I484" s="38">
        <f t="shared" si="56"/>
        <v>16.7</v>
      </c>
      <c r="J484" s="38">
        <f t="shared" si="57"/>
        <v>7.2078598714324755</v>
      </c>
      <c r="K484" s="38">
        <f t="shared" si="58"/>
        <v>2.8154087194227095</v>
      </c>
      <c r="L484" s="39">
        <f t="shared" si="59"/>
        <v>5.9880239520958084E-2</v>
      </c>
      <c r="M484" s="39">
        <f t="shared" si="60"/>
        <v>2.2001404875298007</v>
      </c>
      <c r="N484" s="39">
        <f t="shared" si="61"/>
        <v>80.838323353293418</v>
      </c>
      <c r="O484" s="40">
        <f>1</f>
        <v>1</v>
      </c>
      <c r="P484" s="38">
        <f>INDEX(Cables!$AS:$AS,MATCH(B484,Cables!$A:$A,0))+INDEX(Cables!$AT:$AT,MATCH(B484,Cables!$A:$A,0))*SQRT(C484)+INDEX(Cables!$AU:$AU,MATCH(B484,Cables!$A:$A,0))*C484</f>
        <v>16.765050408005273</v>
      </c>
      <c r="Q484" s="41">
        <f t="shared" si="62"/>
        <v>3.8952340122917484E-3</v>
      </c>
      <c r="R484" s="39">
        <f t="shared" si="63"/>
        <v>1.5172848010514472E-5</v>
      </c>
      <c r="S484" s="40" t="b">
        <f>IF(B484=B483,C484&gt;C483,COUNTIF(B$1:B483,B484)=0)</f>
        <v>1</v>
      </c>
      <c r="T484" s="37"/>
    </row>
    <row r="485" spans="1:20" x14ac:dyDescent="0.25">
      <c r="A485" s="37" t="s">
        <v>1216</v>
      </c>
      <c r="B485" s="37" t="s">
        <v>481</v>
      </c>
      <c r="C485" s="37">
        <v>1750</v>
      </c>
      <c r="D485" s="37">
        <v>19.5</v>
      </c>
      <c r="E485" s="37" t="s">
        <v>771</v>
      </c>
      <c r="F485" s="37"/>
      <c r="G485" s="37" t="s">
        <v>487</v>
      </c>
      <c r="H485" s="37" t="s">
        <v>718</v>
      </c>
      <c r="I485" s="38">
        <f t="shared" si="56"/>
        <v>19.5</v>
      </c>
      <c r="J485" s="38">
        <f t="shared" si="57"/>
        <v>7.4673710669175595</v>
      </c>
      <c r="K485" s="38">
        <f t="shared" si="58"/>
        <v>2.9704144655697009</v>
      </c>
      <c r="L485" s="39">
        <f t="shared" si="59"/>
        <v>5.128205128205128E-2</v>
      </c>
      <c r="M485" s="39">
        <f t="shared" si="60"/>
        <v>2.1452821193181424</v>
      </c>
      <c r="N485" s="39">
        <f t="shared" si="61"/>
        <v>89.743589743589737</v>
      </c>
      <c r="O485" s="40">
        <f>1</f>
        <v>1</v>
      </c>
      <c r="P485" s="38">
        <f>INDEX(Cables!$AS:$AS,MATCH(B485,Cables!$A:$A,0))+INDEX(Cables!$AT:$AT,MATCH(B485,Cables!$A:$A,0))*SQRT(C485)+INDEX(Cables!$AU:$AU,MATCH(B485,Cables!$A:$A,0))*C485</f>
        <v>19.539097957740022</v>
      </c>
      <c r="Q485" s="41">
        <f t="shared" si="62"/>
        <v>2.0050234738473449E-3</v>
      </c>
      <c r="R485" s="39">
        <f t="shared" si="63"/>
        <v>4.0201191306788745E-6</v>
      </c>
      <c r="S485" s="40" t="b">
        <f>IF(B485=B484,C485&gt;C484,COUNTIF(B$1:B484,B485)=0)</f>
        <v>1</v>
      </c>
      <c r="T485" s="37"/>
    </row>
    <row r="486" spans="1:20" x14ac:dyDescent="0.25">
      <c r="A486" s="37" t="s">
        <v>1217</v>
      </c>
      <c r="B486" s="37" t="s">
        <v>481</v>
      </c>
      <c r="C486" s="37">
        <v>2150</v>
      </c>
      <c r="D486" s="37">
        <v>22.1</v>
      </c>
      <c r="E486" s="37" t="s">
        <v>771</v>
      </c>
      <c r="F486" s="37"/>
      <c r="G486" s="37" t="s">
        <v>487</v>
      </c>
      <c r="H486" s="37" t="s">
        <v>718</v>
      </c>
      <c r="I486" s="38">
        <f t="shared" si="56"/>
        <v>22.1</v>
      </c>
      <c r="J486" s="38">
        <f t="shared" si="57"/>
        <v>7.6732231211217083</v>
      </c>
      <c r="K486" s="38">
        <f t="shared" si="58"/>
        <v>3.095577608523707</v>
      </c>
      <c r="L486" s="39">
        <f t="shared" si="59"/>
        <v>4.5248868778280542E-2</v>
      </c>
      <c r="M486" s="39">
        <f t="shared" si="60"/>
        <v>2.0981037320126026</v>
      </c>
      <c r="N486" s="39">
        <f t="shared" si="61"/>
        <v>97.285067873303163</v>
      </c>
      <c r="O486" s="40">
        <f>1</f>
        <v>1</v>
      </c>
      <c r="P486" s="38">
        <f>INDEX(Cables!$AS:$AS,MATCH(B486,Cables!$A:$A,0))+INDEX(Cables!$AT:$AT,MATCH(B486,Cables!$A:$A,0))*SQRT(C486)+INDEX(Cables!$AU:$AU,MATCH(B486,Cables!$A:$A,0))*C486</f>
        <v>22.101221139490193</v>
      </c>
      <c r="Q486" s="41">
        <f t="shared" si="62"/>
        <v>5.5255180551716521E-5</v>
      </c>
      <c r="R486" s="39">
        <f t="shared" si="63"/>
        <v>3.0531349778027916E-9</v>
      </c>
      <c r="S486" s="40" t="b">
        <f>IF(B486=B485,C486&gt;C485,COUNTIF(B$1:B485,B486)=0)</f>
        <v>1</v>
      </c>
      <c r="T486" s="37"/>
    </row>
    <row r="487" spans="1:20" x14ac:dyDescent="0.25">
      <c r="A487" s="37" t="s">
        <v>1218</v>
      </c>
      <c r="B487" s="37" t="s">
        <v>481</v>
      </c>
      <c r="C487" s="37">
        <v>2400</v>
      </c>
      <c r="D487" s="37">
        <v>23.6</v>
      </c>
      <c r="E487" s="37" t="s">
        <v>771</v>
      </c>
      <c r="F487" s="37"/>
      <c r="G487" s="37" t="s">
        <v>487</v>
      </c>
      <c r="H487" s="37" t="s">
        <v>718</v>
      </c>
      <c r="I487" s="38">
        <f t="shared" si="56"/>
        <v>23.6</v>
      </c>
      <c r="J487" s="38">
        <f t="shared" si="57"/>
        <v>7.7832240163360371</v>
      </c>
      <c r="K487" s="38">
        <f t="shared" si="58"/>
        <v>3.1612467120315646</v>
      </c>
      <c r="L487" s="39">
        <f t="shared" si="59"/>
        <v>4.2372881355932202E-2</v>
      </c>
      <c r="M487" s="39">
        <f t="shared" si="60"/>
        <v>2.0758387650704897</v>
      </c>
      <c r="N487" s="39">
        <f t="shared" si="61"/>
        <v>101.69491525423729</v>
      </c>
      <c r="O487" s="40">
        <f>1</f>
        <v>1</v>
      </c>
      <c r="P487" s="38">
        <f>INDEX(Cables!$AS:$AS,MATCH(B487,Cables!$A:$A,0))+INDEX(Cables!$AT:$AT,MATCH(B487,Cables!$A:$A,0))*SQRT(C487)+INDEX(Cables!$AU:$AU,MATCH(B487,Cables!$A:$A,0))*C487</f>
        <v>23.621400715074955</v>
      </c>
      <c r="Q487" s="41">
        <f t="shared" si="62"/>
        <v>9.0680996080316767E-4</v>
      </c>
      <c r="R487" s="39">
        <f t="shared" si="63"/>
        <v>8.2230430501184247E-7</v>
      </c>
      <c r="S487" s="40" t="b">
        <f>IF(B487=B486,C487&gt;C486,COUNTIF(B$1:B486,B487)=0)</f>
        <v>1</v>
      </c>
      <c r="T487" s="37"/>
    </row>
    <row r="488" spans="1:20" x14ac:dyDescent="0.25">
      <c r="A488" s="37" t="s">
        <v>1219</v>
      </c>
      <c r="B488" s="37" t="s">
        <v>481</v>
      </c>
      <c r="C488" s="37">
        <v>5000</v>
      </c>
      <c r="D488" s="37">
        <v>37.4</v>
      </c>
      <c r="E488" s="37" t="s">
        <v>771</v>
      </c>
      <c r="F488" s="37"/>
      <c r="G488" s="37" t="s">
        <v>487</v>
      </c>
      <c r="H488" s="37" t="s">
        <v>718</v>
      </c>
      <c r="I488" s="38">
        <f t="shared" si="56"/>
        <v>37.4</v>
      </c>
      <c r="J488" s="38">
        <f t="shared" si="57"/>
        <v>8.5171931914162382</v>
      </c>
      <c r="K488" s="38">
        <f t="shared" si="58"/>
        <v>3.6216707044204863</v>
      </c>
      <c r="L488" s="39">
        <f t="shared" si="59"/>
        <v>2.6737967914438502E-2</v>
      </c>
      <c r="M488" s="39">
        <f t="shared" si="60"/>
        <v>1.8906598427447796</v>
      </c>
      <c r="N488" s="39">
        <f t="shared" si="61"/>
        <v>133.68983957219251</v>
      </c>
      <c r="O488" s="40">
        <f>1</f>
        <v>1</v>
      </c>
      <c r="P488" s="38">
        <f>INDEX(Cables!$AS:$AS,MATCH(B488,Cables!$A:$A,0))+INDEX(Cables!$AT:$AT,MATCH(B488,Cables!$A:$A,0))*SQRT(C488)+INDEX(Cables!$AU:$AU,MATCH(B488,Cables!$A:$A,0))*C488</f>
        <v>37.316151566904935</v>
      </c>
      <c r="Q488" s="41">
        <f t="shared" si="62"/>
        <v>-2.2419367137717083E-3</v>
      </c>
      <c r="R488" s="39">
        <f t="shared" si="63"/>
        <v>5.0262802285574869E-6</v>
      </c>
      <c r="S488" s="40" t="b">
        <f>IF(B488=B487,C488&gt;C487,COUNTIF(B$1:B487,B488)=0)</f>
        <v>1</v>
      </c>
      <c r="T488" s="37"/>
    </row>
    <row r="489" spans="1:20" x14ac:dyDescent="0.25">
      <c r="A489" s="37" t="s">
        <v>1220</v>
      </c>
      <c r="B489" s="37" t="s">
        <v>481</v>
      </c>
      <c r="C489" s="37">
        <v>10000</v>
      </c>
      <c r="D489" s="37">
        <v>59.3</v>
      </c>
      <c r="E489" s="37" t="s">
        <v>771</v>
      </c>
      <c r="F489" s="37"/>
      <c r="G489" s="37" t="s">
        <v>487</v>
      </c>
      <c r="H489" s="37" t="s">
        <v>718</v>
      </c>
      <c r="I489" s="38">
        <f t="shared" si="56"/>
        <v>59.3</v>
      </c>
      <c r="J489" s="38">
        <f t="shared" si="57"/>
        <v>9.2103403719761836</v>
      </c>
      <c r="K489" s="38">
        <f t="shared" si="58"/>
        <v>4.0826093060036799</v>
      </c>
      <c r="L489" s="39">
        <f t="shared" si="59"/>
        <v>1.6863406408094434E-2</v>
      </c>
      <c r="M489" s="39">
        <f t="shared" si="60"/>
        <v>1.6863406408094437</v>
      </c>
      <c r="N489" s="39">
        <f t="shared" si="61"/>
        <v>168.63406408094437</v>
      </c>
      <c r="O489" s="40">
        <f>1</f>
        <v>1</v>
      </c>
      <c r="P489" s="38">
        <f>INDEX(Cables!$AS:$AS,MATCH(B489,Cables!$A:$A,0))+INDEX(Cables!$AT:$AT,MATCH(B489,Cables!$A:$A,0))*SQRT(C489)+INDEX(Cables!$AU:$AU,MATCH(B489,Cables!$A:$A,0))*C489</f>
        <v>58.891001366338038</v>
      </c>
      <c r="Q489" s="41">
        <f t="shared" si="62"/>
        <v>-6.8971101797969947E-3</v>
      </c>
      <c r="R489" s="39">
        <f t="shared" si="63"/>
        <v>4.7570128832259334E-5</v>
      </c>
      <c r="S489" s="40" t="b">
        <f>IF(B489=B488,C489&gt;C488,COUNTIF(B$1:B488,B489)=0)</f>
        <v>1</v>
      </c>
      <c r="T489" s="37"/>
    </row>
    <row r="490" spans="1:20" x14ac:dyDescent="0.25">
      <c r="A490" s="37" t="s">
        <v>1221</v>
      </c>
      <c r="B490" s="37" t="s">
        <v>489</v>
      </c>
      <c r="C490" s="37">
        <v>30</v>
      </c>
      <c r="D490" s="37">
        <v>2.38</v>
      </c>
      <c r="E490" s="37" t="s">
        <v>771</v>
      </c>
      <c r="F490" s="37">
        <v>20</v>
      </c>
      <c r="G490" s="37" t="s">
        <v>298</v>
      </c>
      <c r="H490" s="37" t="s">
        <v>1222</v>
      </c>
      <c r="I490" s="38">
        <f t="shared" si="56"/>
        <v>2.38</v>
      </c>
      <c r="J490" s="38">
        <f t="shared" si="57"/>
        <v>3.4011973816621555</v>
      </c>
      <c r="K490" s="38">
        <f t="shared" si="58"/>
        <v>0.86710048768338333</v>
      </c>
      <c r="L490" s="39">
        <f t="shared" si="59"/>
        <v>0.42016806722689076</v>
      </c>
      <c r="M490" s="39">
        <f t="shared" si="60"/>
        <v>2.3013552836351518</v>
      </c>
      <c r="N490" s="39">
        <f t="shared" si="61"/>
        <v>12.605042016806724</v>
      </c>
      <c r="O490" s="40">
        <f>1</f>
        <v>1</v>
      </c>
      <c r="P490" s="38">
        <f>INDEX(Cables!$AS:$AS,MATCH(B490,Cables!$A:$A,0))+INDEX(Cables!$AT:$AT,MATCH(B490,Cables!$A:$A,0))*SQRT(C490)+INDEX(Cables!$AU:$AU,MATCH(B490,Cables!$A:$A,0))*C490</f>
        <v>2.3813237288686251</v>
      </c>
      <c r="Q490" s="41">
        <f t="shared" si="62"/>
        <v>5.5618860026274142E-4</v>
      </c>
      <c r="R490" s="39">
        <f t="shared" si="63"/>
        <v>3.0934575906222756E-7</v>
      </c>
      <c r="S490" s="40" t="b">
        <f>IF(B490=B489,C490&gt;C489,COUNTIF(B$1:B489,B490)=0)</f>
        <v>1</v>
      </c>
      <c r="T490" s="37" t="s">
        <v>855</v>
      </c>
    </row>
    <row r="491" spans="1:20" x14ac:dyDescent="0.25">
      <c r="A491" s="37" t="s">
        <v>1223</v>
      </c>
      <c r="B491" s="37" t="s">
        <v>489</v>
      </c>
      <c r="C491" s="37">
        <v>50</v>
      </c>
      <c r="D491" s="37">
        <v>3.01</v>
      </c>
      <c r="E491" s="37" t="s">
        <v>771</v>
      </c>
      <c r="F491" s="37">
        <v>20</v>
      </c>
      <c r="G491" s="37" t="s">
        <v>298</v>
      </c>
      <c r="H491" s="37" t="s">
        <v>1222</v>
      </c>
      <c r="I491" s="38">
        <f t="shared" si="56"/>
        <v>3.01</v>
      </c>
      <c r="J491" s="38">
        <f t="shared" si="57"/>
        <v>3.912023005428146</v>
      </c>
      <c r="K491" s="38">
        <f t="shared" si="58"/>
        <v>1.1019400787607843</v>
      </c>
      <c r="L491" s="39">
        <f t="shared" si="59"/>
        <v>0.33222591362126247</v>
      </c>
      <c r="M491" s="39">
        <f t="shared" si="60"/>
        <v>2.349191964074909</v>
      </c>
      <c r="N491" s="39">
        <f t="shared" si="61"/>
        <v>16.611295681063122</v>
      </c>
      <c r="O491" s="40">
        <f>1</f>
        <v>1</v>
      </c>
      <c r="P491" s="38">
        <f>INDEX(Cables!$AS:$AS,MATCH(B491,Cables!$A:$A,0))+INDEX(Cables!$AT:$AT,MATCH(B491,Cables!$A:$A,0))*SQRT(C491)+INDEX(Cables!$AU:$AU,MATCH(B491,Cables!$A:$A,0))*C491</f>
        <v>3.0068271229752703</v>
      </c>
      <c r="Q491" s="41">
        <f t="shared" si="62"/>
        <v>-1.0541119683487032E-3</v>
      </c>
      <c r="R491" s="39">
        <f t="shared" si="63"/>
        <v>1.1111520418159776E-6</v>
      </c>
      <c r="S491" s="40" t="b">
        <f>IF(B491=B490,C491&gt;C490,COUNTIF(B$1:B490,B491)=0)</f>
        <v>1</v>
      </c>
      <c r="T491" s="37" t="s">
        <v>855</v>
      </c>
    </row>
    <row r="492" spans="1:20" x14ac:dyDescent="0.25">
      <c r="A492" s="37" t="s">
        <v>1224</v>
      </c>
      <c r="B492" s="37" t="s">
        <v>489</v>
      </c>
      <c r="C492" s="37">
        <v>150</v>
      </c>
      <c r="D492" s="37">
        <v>5.0999999999999996</v>
      </c>
      <c r="E492" s="37" t="s">
        <v>771</v>
      </c>
      <c r="F492" s="37">
        <v>20</v>
      </c>
      <c r="G492" s="37" t="s">
        <v>298</v>
      </c>
      <c r="H492" s="37" t="s">
        <v>1222</v>
      </c>
      <c r="I492" s="38">
        <f t="shared" si="56"/>
        <v>5.0999999999999996</v>
      </c>
      <c r="J492" s="38">
        <f t="shared" si="57"/>
        <v>5.0106352940962555</v>
      </c>
      <c r="K492" s="38">
        <f t="shared" si="58"/>
        <v>1.62924053973028</v>
      </c>
      <c r="L492" s="39">
        <f t="shared" si="59"/>
        <v>0.19607843137254904</v>
      </c>
      <c r="M492" s="39">
        <f t="shared" si="60"/>
        <v>2.401460532140371</v>
      </c>
      <c r="N492" s="39">
        <f t="shared" si="61"/>
        <v>29.411764705882355</v>
      </c>
      <c r="O492" s="40">
        <f>1</f>
        <v>1</v>
      </c>
      <c r="P492" s="38">
        <f>INDEX(Cables!$AS:$AS,MATCH(B492,Cables!$A:$A,0))+INDEX(Cables!$AT:$AT,MATCH(B492,Cables!$A:$A,0))*SQRT(C492)+INDEX(Cables!$AU:$AU,MATCH(B492,Cables!$A:$A,0))*C492</f>
        <v>5.1014913701966522</v>
      </c>
      <c r="Q492" s="41">
        <f t="shared" si="62"/>
        <v>2.9242552875530237E-4</v>
      </c>
      <c r="R492" s="39">
        <f t="shared" si="63"/>
        <v>8.5512689867818173E-8</v>
      </c>
      <c r="S492" s="40" t="b">
        <f>IF(B492=B491,C492&gt;C491,COUNTIF(B$1:B491,B492)=0)</f>
        <v>1</v>
      </c>
      <c r="T492" s="37" t="s">
        <v>855</v>
      </c>
    </row>
    <row r="493" spans="1:20" x14ac:dyDescent="0.25">
      <c r="A493" s="37" t="s">
        <v>1225</v>
      </c>
      <c r="B493" s="37" t="s">
        <v>489</v>
      </c>
      <c r="C493" s="37">
        <v>220</v>
      </c>
      <c r="D493" s="37">
        <v>6.18</v>
      </c>
      <c r="E493" s="37" t="s">
        <v>771</v>
      </c>
      <c r="F493" s="37">
        <v>20</v>
      </c>
      <c r="G493" s="37" t="s">
        <v>298</v>
      </c>
      <c r="H493" s="37" t="s">
        <v>1222</v>
      </c>
      <c r="I493" s="38">
        <f t="shared" si="56"/>
        <v>6.18</v>
      </c>
      <c r="J493" s="38">
        <f t="shared" si="57"/>
        <v>5.393627546352362</v>
      </c>
      <c r="K493" s="38">
        <f t="shared" si="58"/>
        <v>1.8213182714695995</v>
      </c>
      <c r="L493" s="39">
        <f t="shared" si="59"/>
        <v>0.16181229773462785</v>
      </c>
      <c r="M493" s="39">
        <f t="shared" si="60"/>
        <v>2.40006423530604</v>
      </c>
      <c r="N493" s="39">
        <f t="shared" si="61"/>
        <v>35.598705501618127</v>
      </c>
      <c r="O493" s="40">
        <f>1</f>
        <v>1</v>
      </c>
      <c r="P493" s="38">
        <f>INDEX(Cables!$AS:$AS,MATCH(B493,Cables!$A:$A,0))+INDEX(Cables!$AT:$AT,MATCH(B493,Cables!$A:$A,0))*SQRT(C493)+INDEX(Cables!$AU:$AU,MATCH(B493,Cables!$A:$A,0))*C493</f>
        <v>6.1836884194798492</v>
      </c>
      <c r="Q493" s="41">
        <f t="shared" si="62"/>
        <v>5.9683163104362613E-4</v>
      </c>
      <c r="R493" s="39">
        <f t="shared" si="63"/>
        <v>3.5620799581419509E-7</v>
      </c>
      <c r="S493" s="40" t="b">
        <f>IF(B493=B492,C493&gt;C492,COUNTIF(B$1:B492,B493)=0)</f>
        <v>1</v>
      </c>
      <c r="T493" s="37" t="s">
        <v>855</v>
      </c>
    </row>
    <row r="494" spans="1:20" x14ac:dyDescent="0.25">
      <c r="A494" s="37" t="s">
        <v>1226</v>
      </c>
      <c r="B494" s="37" t="s">
        <v>489</v>
      </c>
      <c r="C494" s="37">
        <v>450</v>
      </c>
      <c r="D494" s="37">
        <v>8.9600000000000009</v>
      </c>
      <c r="E494" s="37" t="s">
        <v>771</v>
      </c>
      <c r="F494" s="37">
        <v>20</v>
      </c>
      <c r="G494" s="37" t="s">
        <v>298</v>
      </c>
      <c r="H494" s="37" t="s">
        <v>1222</v>
      </c>
      <c r="I494" s="38">
        <f t="shared" si="56"/>
        <v>8.9600000000000009</v>
      </c>
      <c r="J494" s="38">
        <f t="shared" si="57"/>
        <v>6.1092475827643655</v>
      </c>
      <c r="K494" s="38">
        <f t="shared" si="58"/>
        <v>2.192770226986839</v>
      </c>
      <c r="L494" s="39">
        <f t="shared" si="59"/>
        <v>0.11160714285714285</v>
      </c>
      <c r="M494" s="39">
        <f t="shared" si="60"/>
        <v>2.3675450262942439</v>
      </c>
      <c r="N494" s="39">
        <f t="shared" si="61"/>
        <v>50.223214285714278</v>
      </c>
      <c r="O494" s="40">
        <f>1</f>
        <v>1</v>
      </c>
      <c r="P494" s="38">
        <f>INDEX(Cables!$AS:$AS,MATCH(B494,Cables!$A:$A,0))+INDEX(Cables!$AT:$AT,MATCH(B494,Cables!$A:$A,0))*SQRT(C494)+INDEX(Cables!$AU:$AU,MATCH(B494,Cables!$A:$A,0))*C494</f>
        <v>8.958192629969199</v>
      </c>
      <c r="Q494" s="41">
        <f t="shared" si="62"/>
        <v>-2.0171540522340159E-4</v>
      </c>
      <c r="R494" s="39">
        <f t="shared" si="63"/>
        <v>4.0689104704441106E-8</v>
      </c>
      <c r="S494" s="40" t="b">
        <f>IF(B494=B493,C494&gt;C493,COUNTIF(B$1:B493,B494)=0)</f>
        <v>1</v>
      </c>
      <c r="T494" s="37" t="s">
        <v>855</v>
      </c>
    </row>
    <row r="495" spans="1:20" x14ac:dyDescent="0.25">
      <c r="A495" s="37" t="s">
        <v>1227</v>
      </c>
      <c r="B495" s="37" t="s">
        <v>489</v>
      </c>
      <c r="C495" s="37">
        <v>900</v>
      </c>
      <c r="D495" s="37">
        <v>13.02</v>
      </c>
      <c r="E495" s="37" t="s">
        <v>771</v>
      </c>
      <c r="F495" s="37">
        <v>20</v>
      </c>
      <c r="G495" s="37" t="s">
        <v>298</v>
      </c>
      <c r="H495" s="37" t="s">
        <v>1222</v>
      </c>
      <c r="I495" s="38">
        <f t="shared" si="56"/>
        <v>13.02</v>
      </c>
      <c r="J495" s="38">
        <f t="shared" si="57"/>
        <v>6.8023947633243109</v>
      </c>
      <c r="K495" s="38">
        <f t="shared" si="58"/>
        <v>2.5664866367804233</v>
      </c>
      <c r="L495" s="39">
        <f t="shared" si="59"/>
        <v>7.6804915514592939E-2</v>
      </c>
      <c r="M495" s="39">
        <f t="shared" si="60"/>
        <v>2.3041474654377883</v>
      </c>
      <c r="N495" s="39">
        <f t="shared" si="61"/>
        <v>69.124423963133637</v>
      </c>
      <c r="O495" s="40">
        <f>1</f>
        <v>1</v>
      </c>
      <c r="P495" s="38">
        <f>INDEX(Cables!$AS:$AS,MATCH(B495,Cables!$A:$A,0))+INDEX(Cables!$AT:$AT,MATCH(B495,Cables!$A:$A,0))*SQRT(C495)+INDEX(Cables!$AU:$AU,MATCH(B495,Cables!$A:$A,0))*C495</f>
        <v>13.019190773319096</v>
      </c>
      <c r="Q495" s="41">
        <f t="shared" si="62"/>
        <v>-6.2152586858932324E-5</v>
      </c>
      <c r="R495" s="39">
        <f t="shared" si="63"/>
        <v>3.862944053257127E-9</v>
      </c>
      <c r="S495" s="40" t="b">
        <f>IF(B495=B494,C495&gt;C494,COUNTIF(B$1:B494,B495)=0)</f>
        <v>1</v>
      </c>
      <c r="T495" s="37" t="s">
        <v>855</v>
      </c>
    </row>
    <row r="496" spans="1:20" x14ac:dyDescent="0.25">
      <c r="A496" s="37" t="s">
        <v>1228</v>
      </c>
      <c r="B496" s="37" t="s">
        <v>489</v>
      </c>
      <c r="C496" s="37">
        <v>1500</v>
      </c>
      <c r="D496" s="37">
        <v>17.329999999999998</v>
      </c>
      <c r="E496" s="37" t="s">
        <v>771</v>
      </c>
      <c r="F496" s="37">
        <v>20</v>
      </c>
      <c r="G496" s="37" t="s">
        <v>298</v>
      </c>
      <c r="H496" s="37" t="s">
        <v>1222</v>
      </c>
      <c r="I496" s="38">
        <f t="shared" si="56"/>
        <v>17.329999999999998</v>
      </c>
      <c r="J496" s="38">
        <f t="shared" si="57"/>
        <v>7.3132203870903014</v>
      </c>
      <c r="K496" s="38">
        <f t="shared" si="58"/>
        <v>2.8524391037275145</v>
      </c>
      <c r="L496" s="39">
        <f t="shared" si="59"/>
        <v>5.7703404500865557E-2</v>
      </c>
      <c r="M496" s="39">
        <f t="shared" si="60"/>
        <v>2.2348432465132242</v>
      </c>
      <c r="N496" s="39">
        <f t="shared" si="61"/>
        <v>86.555106751298339</v>
      </c>
      <c r="O496" s="40">
        <f>1</f>
        <v>1</v>
      </c>
      <c r="P496" s="38">
        <f>INDEX(Cables!$AS:$AS,MATCH(B496,Cables!$A:$A,0))+INDEX(Cables!$AT:$AT,MATCH(B496,Cables!$A:$A,0))*SQRT(C496)+INDEX(Cables!$AU:$AU,MATCH(B496,Cables!$A:$A,0))*C496</f>
        <v>17.329602370896708</v>
      </c>
      <c r="Q496" s="41">
        <f t="shared" si="62"/>
        <v>-2.2944552988457545E-5</v>
      </c>
      <c r="R496" s="39">
        <f t="shared" si="63"/>
        <v>5.2645251184013605E-10</v>
      </c>
      <c r="S496" s="40" t="b">
        <f>IF(B496=B495,C496&gt;C495,COUNTIF(B$1:B495,B496)=0)</f>
        <v>1</v>
      </c>
      <c r="T496" s="37" t="s">
        <v>855</v>
      </c>
    </row>
    <row r="497" spans="1:20" x14ac:dyDescent="0.25">
      <c r="A497" s="37" t="s">
        <v>1229</v>
      </c>
      <c r="B497" s="37" t="s">
        <v>489</v>
      </c>
      <c r="C497" s="37">
        <v>1800</v>
      </c>
      <c r="D497" s="37">
        <v>19.239999999999998</v>
      </c>
      <c r="E497" s="37" t="s">
        <v>771</v>
      </c>
      <c r="F497" s="37">
        <v>20</v>
      </c>
      <c r="G497" s="37" t="s">
        <v>298</v>
      </c>
      <c r="H497" s="37" t="s">
        <v>1222</v>
      </c>
      <c r="I497" s="38">
        <f t="shared" si="56"/>
        <v>19.239999999999998</v>
      </c>
      <c r="J497" s="38">
        <f t="shared" si="57"/>
        <v>7.4955419438842563</v>
      </c>
      <c r="K497" s="38">
        <f t="shared" si="58"/>
        <v>2.9569914452375605</v>
      </c>
      <c r="L497" s="39">
        <f t="shared" si="59"/>
        <v>5.1975051975051978E-2</v>
      </c>
      <c r="M497" s="39">
        <f t="shared" si="60"/>
        <v>2.2051147022449511</v>
      </c>
      <c r="N497" s="39">
        <f t="shared" si="61"/>
        <v>93.555093555093563</v>
      </c>
      <c r="O497" s="40">
        <f>1</f>
        <v>1</v>
      </c>
      <c r="P497" s="38">
        <f>INDEX(Cables!$AS:$AS,MATCH(B497,Cables!$A:$A,0))+INDEX(Cables!$AT:$AT,MATCH(B497,Cables!$A:$A,0))*SQRT(C497)+INDEX(Cables!$AU:$AU,MATCH(B497,Cables!$A:$A,0))*C497</f>
        <v>19.237639473257691</v>
      </c>
      <c r="Q497" s="41">
        <f t="shared" si="62"/>
        <v>-1.2268850011998289E-4</v>
      </c>
      <c r="R497" s="39">
        <f t="shared" si="63"/>
        <v>1.5052468061691042E-8</v>
      </c>
      <c r="S497" s="40" t="b">
        <f>IF(B497=B496,C497&gt;C496,COUNTIF(B$1:B496,B497)=0)</f>
        <v>1</v>
      </c>
      <c r="T497" s="37" t="s">
        <v>855</v>
      </c>
    </row>
    <row r="498" spans="1:20" x14ac:dyDescent="0.25">
      <c r="A498" s="37" t="s">
        <v>1230</v>
      </c>
      <c r="B498" s="37" t="s">
        <v>489</v>
      </c>
      <c r="C498" s="37">
        <v>2000</v>
      </c>
      <c r="D498" s="37">
        <v>20.45</v>
      </c>
      <c r="E498" s="37" t="s">
        <v>771</v>
      </c>
      <c r="F498" s="37">
        <v>20</v>
      </c>
      <c r="G498" s="37" t="s">
        <v>298</v>
      </c>
      <c r="H498" s="37" t="s">
        <v>1222</v>
      </c>
      <c r="I498" s="38">
        <f t="shared" si="56"/>
        <v>20.45</v>
      </c>
      <c r="J498" s="38">
        <f t="shared" si="57"/>
        <v>7.6009024595420822</v>
      </c>
      <c r="K498" s="38">
        <f t="shared" si="58"/>
        <v>3.0179828824888109</v>
      </c>
      <c r="L498" s="39">
        <f t="shared" si="59"/>
        <v>4.8899755501222497E-2</v>
      </c>
      <c r="M498" s="39">
        <f t="shared" si="60"/>
        <v>2.1868635476770559</v>
      </c>
      <c r="N498" s="39">
        <f t="shared" si="61"/>
        <v>97.799511002444987</v>
      </c>
      <c r="O498" s="40">
        <f>1</f>
        <v>1</v>
      </c>
      <c r="P498" s="38">
        <f>INDEX(Cables!$AS:$AS,MATCH(B498,Cables!$A:$A,0))+INDEX(Cables!$AT:$AT,MATCH(B498,Cables!$A:$A,0))*SQRT(C498)+INDEX(Cables!$AU:$AU,MATCH(B498,Cables!$A:$A,0))*C498</f>
        <v>20.447005256548728</v>
      </c>
      <c r="Q498" s="41">
        <f t="shared" si="62"/>
        <v>-1.4644222255610906E-4</v>
      </c>
      <c r="R498" s="39">
        <f t="shared" si="63"/>
        <v>2.1445324547172976E-8</v>
      </c>
      <c r="S498" s="40" t="b">
        <f>IF(B498=B497,C498&gt;C497,COUNTIF(B$1:B497,B498)=0)</f>
        <v>1</v>
      </c>
      <c r="T498" s="37" t="s">
        <v>855</v>
      </c>
    </row>
    <row r="499" spans="1:20" x14ac:dyDescent="0.25">
      <c r="A499" s="37" t="s">
        <v>1231</v>
      </c>
      <c r="B499" s="37" t="s">
        <v>489</v>
      </c>
      <c r="C499" s="37">
        <v>2500</v>
      </c>
      <c r="D499" s="37">
        <v>23.3</v>
      </c>
      <c r="E499" s="37" t="s">
        <v>771</v>
      </c>
      <c r="F499" s="37">
        <v>20</v>
      </c>
      <c r="G499" s="37" t="s">
        <v>298</v>
      </c>
      <c r="H499" s="37" t="s">
        <v>1222</v>
      </c>
      <c r="I499" s="38">
        <f t="shared" si="56"/>
        <v>23.3</v>
      </c>
      <c r="J499" s="38">
        <f t="shared" si="57"/>
        <v>7.8240460108562919</v>
      </c>
      <c r="K499" s="38">
        <f t="shared" si="58"/>
        <v>3.1484533605716547</v>
      </c>
      <c r="L499" s="39">
        <f t="shared" si="59"/>
        <v>4.2918454935622317E-2</v>
      </c>
      <c r="M499" s="39">
        <f t="shared" si="60"/>
        <v>2.1459227467811157</v>
      </c>
      <c r="N499" s="39">
        <f t="shared" si="61"/>
        <v>107.29613733905579</v>
      </c>
      <c r="O499" s="40">
        <f>1</f>
        <v>1</v>
      </c>
      <c r="P499" s="38">
        <f>INDEX(Cables!$AS:$AS,MATCH(B499,Cables!$A:$A,0))+INDEX(Cables!$AT:$AT,MATCH(B499,Cables!$A:$A,0))*SQRT(C499)+INDEX(Cables!$AU:$AU,MATCH(B499,Cables!$A:$A,0))*C499</f>
        <v>23.300766675236744</v>
      </c>
      <c r="Q499" s="41">
        <f t="shared" si="62"/>
        <v>3.2904516598541989E-5</v>
      </c>
      <c r="R499" s="39">
        <f t="shared" si="63"/>
        <v>1.0827072125837252E-9</v>
      </c>
      <c r="S499" s="40" t="b">
        <f>IF(B499=B498,C499&gt;C498,COUNTIF(B$1:B498,B499)=0)</f>
        <v>1</v>
      </c>
      <c r="T499" s="37" t="s">
        <v>855</v>
      </c>
    </row>
    <row r="500" spans="1:20" x14ac:dyDescent="0.25">
      <c r="A500" s="37" t="s">
        <v>1232</v>
      </c>
      <c r="B500" s="37" t="s">
        <v>489</v>
      </c>
      <c r="C500" s="37">
        <v>5800</v>
      </c>
      <c r="D500" s="37">
        <v>38.92</v>
      </c>
      <c r="E500" s="37" t="s">
        <v>771</v>
      </c>
      <c r="F500" s="37">
        <v>20</v>
      </c>
      <c r="G500" s="37" t="s">
        <v>298</v>
      </c>
      <c r="H500" s="37" t="s">
        <v>1222</v>
      </c>
      <c r="I500" s="38">
        <f t="shared" si="56"/>
        <v>38.92</v>
      </c>
      <c r="J500" s="38">
        <f t="shared" si="57"/>
        <v>8.66561319653451</v>
      </c>
      <c r="K500" s="38">
        <f t="shared" si="58"/>
        <v>3.6615082573178044</v>
      </c>
      <c r="L500" s="39">
        <f t="shared" si="59"/>
        <v>2.5693730729701953E-2</v>
      </c>
      <c r="M500" s="39">
        <f t="shared" si="60"/>
        <v>1.9567762348057318</v>
      </c>
      <c r="N500" s="39">
        <f t="shared" si="61"/>
        <v>149.02363823227131</v>
      </c>
      <c r="O500" s="40">
        <f>1</f>
        <v>1</v>
      </c>
      <c r="P500" s="38">
        <f>INDEX(Cables!$AS:$AS,MATCH(B500,Cables!$A:$A,0))+INDEX(Cables!$AT:$AT,MATCH(B500,Cables!$A:$A,0))*SQRT(C500)+INDEX(Cables!$AU:$AU,MATCH(B500,Cables!$A:$A,0))*C500</f>
        <v>38.92504960723705</v>
      </c>
      <c r="Q500" s="41">
        <f t="shared" si="62"/>
        <v>1.2974324863956888E-4</v>
      </c>
      <c r="R500" s="39">
        <f t="shared" si="63"/>
        <v>1.6833310567548992E-8</v>
      </c>
      <c r="S500" s="40" t="b">
        <f>IF(B500=B499,C500&gt;C499,COUNTIF(B$1:B499,B500)=0)</f>
        <v>1</v>
      </c>
      <c r="T500" s="37" t="s">
        <v>855</v>
      </c>
    </row>
    <row r="501" spans="1:20" x14ac:dyDescent="0.25">
      <c r="A501" s="37" t="s">
        <v>1233</v>
      </c>
      <c r="B501" s="37" t="s">
        <v>501</v>
      </c>
      <c r="C501" s="37">
        <v>30</v>
      </c>
      <c r="D501" s="37">
        <v>0.7</v>
      </c>
      <c r="E501" s="37" t="s">
        <v>707</v>
      </c>
      <c r="F501" s="37">
        <v>25</v>
      </c>
      <c r="G501" s="37" t="s">
        <v>207</v>
      </c>
      <c r="H501" s="37" t="s">
        <v>1234</v>
      </c>
      <c r="I501" s="38">
        <f t="shared" si="56"/>
        <v>2.2965879265091864</v>
      </c>
      <c r="J501" s="38">
        <f t="shared" si="57"/>
        <v>3.4011973816621555</v>
      </c>
      <c r="K501" s="38">
        <f t="shared" si="58"/>
        <v>0.83142451123091354</v>
      </c>
      <c r="L501" s="39">
        <f t="shared" si="59"/>
        <v>0.43542857142857144</v>
      </c>
      <c r="M501" s="39">
        <f t="shared" si="60"/>
        <v>2.3849405075367804</v>
      </c>
      <c r="N501" s="39">
        <f t="shared" si="61"/>
        <v>13.062857142857142</v>
      </c>
      <c r="O501" s="40">
        <f>1</f>
        <v>1</v>
      </c>
      <c r="P501" s="38">
        <f>INDEX(Cables!$AS:$AS,MATCH(B501,Cables!$A:$A,0))+INDEX(Cables!$AT:$AT,MATCH(B501,Cables!$A:$A,0))*SQRT(C501)+INDEX(Cables!$AU:$AU,MATCH(B501,Cables!$A:$A,0))*C501</f>
        <v>2.2908225989512832</v>
      </c>
      <c r="Q501" s="41">
        <f t="shared" si="62"/>
        <v>-2.5103883423556184E-3</v>
      </c>
      <c r="R501" s="39">
        <f t="shared" si="63"/>
        <v>6.302049629434989E-6</v>
      </c>
      <c r="S501" s="40" t="b">
        <f>IF(B501=B500,C501&gt;C500,COUNTIF(B$1:B500,B501)=0)</f>
        <v>1</v>
      </c>
      <c r="T501" s="37"/>
    </row>
    <row r="502" spans="1:20" x14ac:dyDescent="0.25">
      <c r="A502" s="37" t="s">
        <v>1235</v>
      </c>
      <c r="B502" s="37" t="s">
        <v>501</v>
      </c>
      <c r="C502" s="37">
        <v>50</v>
      </c>
      <c r="D502" s="37">
        <v>0.9</v>
      </c>
      <c r="E502" s="37" t="s">
        <v>707</v>
      </c>
      <c r="F502" s="37"/>
      <c r="G502" s="37" t="s">
        <v>504</v>
      </c>
      <c r="H502" s="37" t="s">
        <v>952</v>
      </c>
      <c r="I502" s="38">
        <f t="shared" si="56"/>
        <v>2.9527559055118111</v>
      </c>
      <c r="J502" s="38">
        <f t="shared" si="57"/>
        <v>3.912023005428146</v>
      </c>
      <c r="K502" s="38">
        <f t="shared" si="58"/>
        <v>1.0827389395118197</v>
      </c>
      <c r="L502" s="39">
        <f t="shared" si="59"/>
        <v>0.33866666666666667</v>
      </c>
      <c r="M502" s="39">
        <f t="shared" si="60"/>
        <v>2.3947349656184409</v>
      </c>
      <c r="N502" s="39">
        <f t="shared" si="61"/>
        <v>16.933333333333334</v>
      </c>
      <c r="O502" s="40">
        <f>1</f>
        <v>1</v>
      </c>
      <c r="P502" s="38">
        <f>INDEX(Cables!$AS:$AS,MATCH(B502,Cables!$A:$A,0))+INDEX(Cables!$AT:$AT,MATCH(B502,Cables!$A:$A,0))*SQRT(C502)+INDEX(Cables!$AU:$AU,MATCH(B502,Cables!$A:$A,0))*C502</f>
        <v>2.935577093296815</v>
      </c>
      <c r="Q502" s="41">
        <f t="shared" si="62"/>
        <v>-5.8178910701452979E-3</v>
      </c>
      <c r="R502" s="39">
        <f t="shared" si="63"/>
        <v>3.38478565040764E-5</v>
      </c>
      <c r="S502" s="40" t="b">
        <f>IF(B502=B501,C502&gt;C501,COUNTIF(B$1:B501,B502)=0)</f>
        <v>1</v>
      </c>
      <c r="T502" s="37"/>
    </row>
    <row r="503" spans="1:20" x14ac:dyDescent="0.25">
      <c r="A503" s="37" t="s">
        <v>1236</v>
      </c>
      <c r="B503" s="37" t="s">
        <v>501</v>
      </c>
      <c r="C503" s="37">
        <v>150</v>
      </c>
      <c r="D503" s="37">
        <v>1.5</v>
      </c>
      <c r="E503" s="37" t="s">
        <v>707</v>
      </c>
      <c r="F503" s="37"/>
      <c r="G503" s="37" t="s">
        <v>504</v>
      </c>
      <c r="H503" s="37" t="s">
        <v>952</v>
      </c>
      <c r="I503" s="38">
        <f t="shared" si="56"/>
        <v>4.9212598425196852</v>
      </c>
      <c r="J503" s="38">
        <f t="shared" si="57"/>
        <v>5.0106352940962555</v>
      </c>
      <c r="K503" s="38">
        <f t="shared" si="58"/>
        <v>1.5935645632778102</v>
      </c>
      <c r="L503" s="39">
        <f t="shared" si="59"/>
        <v>0.20319999999999999</v>
      </c>
      <c r="M503" s="39">
        <f t="shared" si="60"/>
        <v>2.488681578667709</v>
      </c>
      <c r="N503" s="39">
        <f t="shared" si="61"/>
        <v>30.48</v>
      </c>
      <c r="O503" s="40">
        <f>1</f>
        <v>1</v>
      </c>
      <c r="P503" s="38">
        <f>INDEX(Cables!$AS:$AS,MATCH(B503,Cables!$A:$A,0))+INDEX(Cables!$AT:$AT,MATCH(B503,Cables!$A:$A,0))*SQRT(C503)+INDEX(Cables!$AU:$AU,MATCH(B503,Cables!$A:$A,0))*C503</f>
        <v>5.0643558435979426</v>
      </c>
      <c r="Q503" s="41">
        <f t="shared" si="62"/>
        <v>2.9077107419101855E-2</v>
      </c>
      <c r="R503" s="39">
        <f t="shared" si="63"/>
        <v>8.4547817586198815E-4</v>
      </c>
      <c r="S503" s="40" t="b">
        <f>IF(B503=B502,C503&gt;C502,COUNTIF(B$1:B502,B503)=0)</f>
        <v>1</v>
      </c>
      <c r="T503" s="37"/>
    </row>
    <row r="504" spans="1:20" x14ac:dyDescent="0.25">
      <c r="A504" s="37" t="s">
        <v>1237</v>
      </c>
      <c r="B504" s="37" t="s">
        <v>501</v>
      </c>
      <c r="C504" s="37">
        <v>220</v>
      </c>
      <c r="D504" s="37">
        <v>1.9</v>
      </c>
      <c r="E504" s="37" t="s">
        <v>707</v>
      </c>
      <c r="F504" s="37"/>
      <c r="G504" s="37" t="s">
        <v>504</v>
      </c>
      <c r="H504" s="37" t="s">
        <v>952</v>
      </c>
      <c r="I504" s="38">
        <f t="shared" si="56"/>
        <v>6.2335958005249346</v>
      </c>
      <c r="J504" s="38">
        <f t="shared" si="57"/>
        <v>5.393627546352362</v>
      </c>
      <c r="K504" s="38">
        <f t="shared" si="58"/>
        <v>1.8299533413420406</v>
      </c>
      <c r="L504" s="39">
        <f t="shared" si="59"/>
        <v>0.16042105263157894</v>
      </c>
      <c r="M504" s="39">
        <f t="shared" si="60"/>
        <v>2.3794287356492188</v>
      </c>
      <c r="N504" s="39">
        <f t="shared" si="61"/>
        <v>35.292631578947365</v>
      </c>
      <c r="O504" s="40">
        <f>1</f>
        <v>1</v>
      </c>
      <c r="P504" s="38">
        <f>INDEX(Cables!$AS:$AS,MATCH(B504,Cables!$A:$A,0))+INDEX(Cables!$AT:$AT,MATCH(B504,Cables!$A:$A,0))*SQRT(C504)+INDEX(Cables!$AU:$AU,MATCH(B504,Cables!$A:$A,0))*C504</f>
        <v>6.147325816302077</v>
      </c>
      <c r="Q504" s="41">
        <f t="shared" si="62"/>
        <v>-1.3839521679540501E-2</v>
      </c>
      <c r="R504" s="39">
        <f t="shared" si="63"/>
        <v>1.9153236031847152E-4</v>
      </c>
      <c r="S504" s="40" t="b">
        <f>IF(B504=B503,C504&gt;C503,COUNTIF(B$1:B503,B504)=0)</f>
        <v>1</v>
      </c>
      <c r="T504" s="37"/>
    </row>
    <row r="505" spans="1:20" x14ac:dyDescent="0.25">
      <c r="A505" s="37" t="s">
        <v>1238</v>
      </c>
      <c r="B505" s="37" t="s">
        <v>501</v>
      </c>
      <c r="C505" s="37">
        <v>450</v>
      </c>
      <c r="D505" s="37">
        <v>2.7</v>
      </c>
      <c r="E505" s="37" t="s">
        <v>707</v>
      </c>
      <c r="F505" s="37"/>
      <c r="G505" s="37" t="s">
        <v>504</v>
      </c>
      <c r="H505" s="37" t="s">
        <v>952</v>
      </c>
      <c r="I505" s="38">
        <f t="shared" si="56"/>
        <v>8.8582677165354333</v>
      </c>
      <c r="J505" s="38">
        <f t="shared" si="57"/>
        <v>6.1092475827643655</v>
      </c>
      <c r="K505" s="38">
        <f t="shared" si="58"/>
        <v>2.1813512281799294</v>
      </c>
      <c r="L505" s="39">
        <f t="shared" si="59"/>
        <v>0.11288888888888889</v>
      </c>
      <c r="M505" s="39">
        <f t="shared" si="60"/>
        <v>2.3947349656184409</v>
      </c>
      <c r="N505" s="39">
        <f t="shared" si="61"/>
        <v>50.8</v>
      </c>
      <c r="O505" s="40">
        <f>1</f>
        <v>1</v>
      </c>
      <c r="P505" s="38">
        <f>INDEX(Cables!$AS:$AS,MATCH(B505,Cables!$A:$A,0))+INDEX(Cables!$AT:$AT,MATCH(B505,Cables!$A:$A,0))*SQRT(C505)+INDEX(Cables!$AU:$AU,MATCH(B505,Cables!$A:$A,0))*C505</f>
        <v>8.8773639977123207</v>
      </c>
      <c r="Q505" s="41">
        <f t="shared" si="62"/>
        <v>2.1557579639686075E-3</v>
      </c>
      <c r="R505" s="39">
        <f t="shared" si="63"/>
        <v>4.6472923992140762E-6</v>
      </c>
      <c r="S505" s="40" t="b">
        <f>IF(B505=B504,C505&gt;C504,COUNTIF(B$1:B504,B505)=0)</f>
        <v>1</v>
      </c>
      <c r="T505" s="37"/>
    </row>
    <row r="506" spans="1:20" x14ac:dyDescent="0.25">
      <c r="A506" s="37" t="s">
        <v>1239</v>
      </c>
      <c r="B506" s="37" t="s">
        <v>501</v>
      </c>
      <c r="C506" s="37">
        <v>700</v>
      </c>
      <c r="D506" s="37">
        <v>3.42</v>
      </c>
      <c r="E506" s="37" t="s">
        <v>707</v>
      </c>
      <c r="F506" s="37">
        <v>25</v>
      </c>
      <c r="G506" s="37" t="s">
        <v>207</v>
      </c>
      <c r="H506" s="37" t="s">
        <v>1234</v>
      </c>
      <c r="I506" s="38">
        <f t="shared" si="56"/>
        <v>11.220472440944881</v>
      </c>
      <c r="J506" s="38">
        <f t="shared" si="57"/>
        <v>6.5510803350434044</v>
      </c>
      <c r="K506" s="38">
        <f t="shared" si="58"/>
        <v>2.4177400062441596</v>
      </c>
      <c r="L506" s="39">
        <f t="shared" si="59"/>
        <v>8.9122807017543867E-2</v>
      </c>
      <c r="M506" s="39">
        <f t="shared" si="60"/>
        <v>2.3579678351242315</v>
      </c>
      <c r="N506" s="39">
        <f t="shared" si="61"/>
        <v>62.385964912280706</v>
      </c>
      <c r="O506" s="40">
        <f>1</f>
        <v>1</v>
      </c>
      <c r="P506" s="38">
        <f>INDEX(Cables!$AS:$AS,MATCH(B506,Cables!$A:$A,0))+INDEX(Cables!$AT:$AT,MATCH(B506,Cables!$A:$A,0))*SQRT(C506)+INDEX(Cables!$AU:$AU,MATCH(B506,Cables!$A:$A,0))*C506</f>
        <v>11.181664095746751</v>
      </c>
      <c r="Q506" s="41">
        <f t="shared" si="62"/>
        <v>-3.4587086597632766E-3</v>
      </c>
      <c r="R506" s="39">
        <f t="shared" si="63"/>
        <v>1.1962665593121481E-5</v>
      </c>
      <c r="S506" s="40" t="b">
        <f>IF(B506=B505,C506&gt;C505,COUNTIF(B$1:B505,B506)=0)</f>
        <v>1</v>
      </c>
      <c r="T506" s="37"/>
    </row>
    <row r="507" spans="1:20" x14ac:dyDescent="0.25">
      <c r="A507" s="37" t="s">
        <v>1240</v>
      </c>
      <c r="B507" s="37" t="s">
        <v>501</v>
      </c>
      <c r="C507" s="37">
        <v>900</v>
      </c>
      <c r="D507" s="37">
        <v>3.9</v>
      </c>
      <c r="E507" s="37" t="s">
        <v>707</v>
      </c>
      <c r="F507" s="37"/>
      <c r="G507" s="37" t="s">
        <v>504</v>
      </c>
      <c r="H507" s="37" t="s">
        <v>952</v>
      </c>
      <c r="I507" s="38">
        <f t="shared" si="56"/>
        <v>12.795275590551181</v>
      </c>
      <c r="J507" s="38">
        <f t="shared" si="57"/>
        <v>6.8023947633243109</v>
      </c>
      <c r="K507" s="38">
        <f t="shared" si="58"/>
        <v>2.5490760083052466</v>
      </c>
      <c r="L507" s="39">
        <f t="shared" si="59"/>
        <v>7.8153846153846157E-2</v>
      </c>
      <c r="M507" s="39">
        <f t="shared" si="60"/>
        <v>2.3446153846153845</v>
      </c>
      <c r="N507" s="39">
        <f t="shared" si="61"/>
        <v>70.33846153846153</v>
      </c>
      <c r="O507" s="40">
        <f>1</f>
        <v>1</v>
      </c>
      <c r="P507" s="38">
        <f>INDEX(Cables!$AS:$AS,MATCH(B507,Cables!$A:$A,0))+INDEX(Cables!$AT:$AT,MATCH(B507,Cables!$A:$A,0))*SQRT(C507)+INDEX(Cables!$AU:$AU,MATCH(B507,Cables!$A:$A,0))*C507</f>
        <v>12.769095767060797</v>
      </c>
      <c r="Q507" s="41">
        <f t="shared" si="62"/>
        <v>-2.0460538974023113E-3</v>
      </c>
      <c r="R507" s="39">
        <f t="shared" si="63"/>
        <v>4.1863365510751879E-6</v>
      </c>
      <c r="S507" s="40" t="b">
        <f>IF(B507=B506,C507&gt;C506,COUNTIF(B$1:B506,B507)=0)</f>
        <v>1</v>
      </c>
      <c r="T507" s="37"/>
    </row>
    <row r="508" spans="1:20" x14ac:dyDescent="0.25">
      <c r="A508" s="37" t="s">
        <v>1241</v>
      </c>
      <c r="B508" s="37" t="s">
        <v>501</v>
      </c>
      <c r="C508" s="37">
        <v>1500</v>
      </c>
      <c r="D508" s="37">
        <v>5.0999999999999996</v>
      </c>
      <c r="E508" s="37" t="s">
        <v>707</v>
      </c>
      <c r="F508" s="37"/>
      <c r="G508" s="37" t="s">
        <v>504</v>
      </c>
      <c r="H508" s="37" t="s">
        <v>952</v>
      </c>
      <c r="I508" s="38">
        <f t="shared" si="56"/>
        <v>16.732283464566926</v>
      </c>
      <c r="J508" s="38">
        <f t="shared" si="57"/>
        <v>7.3132203870903014</v>
      </c>
      <c r="K508" s="38">
        <f t="shared" si="58"/>
        <v>2.8173399948999256</v>
      </c>
      <c r="L508" s="39">
        <f t="shared" si="59"/>
        <v>5.9764705882352949E-2</v>
      </c>
      <c r="M508" s="39">
        <f t="shared" si="60"/>
        <v>2.3146771057333742</v>
      </c>
      <c r="N508" s="39">
        <f t="shared" si="61"/>
        <v>89.647058823529434</v>
      </c>
      <c r="O508" s="40">
        <f>1</f>
        <v>1</v>
      </c>
      <c r="P508" s="38">
        <f>INDEX(Cables!$AS:$AS,MATCH(B508,Cables!$A:$A,0))+INDEX(Cables!$AT:$AT,MATCH(B508,Cables!$A:$A,0))*SQRT(C508)+INDEX(Cables!$AU:$AU,MATCH(B508,Cables!$A:$A,0))*C508</f>
        <v>16.787382135170272</v>
      </c>
      <c r="Q508" s="41">
        <f t="shared" si="62"/>
        <v>3.2929558431176176E-3</v>
      </c>
      <c r="R508" s="39">
        <f t="shared" si="63"/>
        <v>1.084355818472246E-5</v>
      </c>
      <c r="S508" s="40" t="b">
        <f>IF(B508=B507,C508&gt;C507,COUNTIF(B$1:B507,B508)=0)</f>
        <v>1</v>
      </c>
      <c r="T508" s="37"/>
    </row>
    <row r="509" spans="1:20" x14ac:dyDescent="0.25">
      <c r="A509" s="37" t="s">
        <v>1242</v>
      </c>
      <c r="B509" s="37" t="s">
        <v>501</v>
      </c>
      <c r="C509" s="37">
        <v>1800</v>
      </c>
      <c r="D509" s="37">
        <v>5.7</v>
      </c>
      <c r="E509" s="37" t="s">
        <v>707</v>
      </c>
      <c r="F509" s="37"/>
      <c r="G509" s="37" t="s">
        <v>504</v>
      </c>
      <c r="H509" s="37" t="s">
        <v>952</v>
      </c>
      <c r="I509" s="38">
        <f t="shared" si="56"/>
        <v>18.700787401574804</v>
      </c>
      <c r="J509" s="38">
        <f t="shared" si="57"/>
        <v>7.4955419438842563</v>
      </c>
      <c r="K509" s="38">
        <f t="shared" si="58"/>
        <v>2.9285656300101501</v>
      </c>
      <c r="L509" s="39">
        <f t="shared" si="59"/>
        <v>5.3473684210526312E-2</v>
      </c>
      <c r="M509" s="39">
        <f t="shared" si="60"/>
        <v>2.2686962832174702</v>
      </c>
      <c r="N509" s="39">
        <f t="shared" si="61"/>
        <v>96.252631578947373</v>
      </c>
      <c r="O509" s="40">
        <f>1</f>
        <v>1</v>
      </c>
      <c r="P509" s="38">
        <f>INDEX(Cables!$AS:$AS,MATCH(B509,Cables!$A:$A,0))+INDEX(Cables!$AT:$AT,MATCH(B509,Cables!$A:$A,0))*SQRT(C509)+INDEX(Cables!$AU:$AU,MATCH(B509,Cables!$A:$A,0))*C509</f>
        <v>18.534485858406423</v>
      </c>
      <c r="Q509" s="41">
        <f t="shared" si="62"/>
        <v>-8.8927562031091423E-3</v>
      </c>
      <c r="R509" s="39">
        <f t="shared" si="63"/>
        <v>7.9081112887936125E-5</v>
      </c>
      <c r="S509" s="40" t="b">
        <f>IF(B509=B508,C509&gt;C508,COUNTIF(B$1:B508,B509)=0)</f>
        <v>1</v>
      </c>
      <c r="T509" s="37"/>
    </row>
    <row r="510" spans="1:20" x14ac:dyDescent="0.25">
      <c r="A510" s="37" t="s">
        <v>1243</v>
      </c>
      <c r="B510" s="37" t="s">
        <v>501</v>
      </c>
      <c r="C510" s="37">
        <v>2000</v>
      </c>
      <c r="D510" s="37">
        <v>6</v>
      </c>
      <c r="E510" s="37" t="s">
        <v>707</v>
      </c>
      <c r="F510" s="37"/>
      <c r="G510" s="37" t="s">
        <v>504</v>
      </c>
      <c r="H510" s="37" t="s">
        <v>952</v>
      </c>
      <c r="I510" s="38">
        <f t="shared" si="56"/>
        <v>19.685039370078741</v>
      </c>
      <c r="J510" s="38">
        <f t="shared" si="57"/>
        <v>7.6009024595420822</v>
      </c>
      <c r="K510" s="38">
        <f t="shared" si="58"/>
        <v>2.9798589243977007</v>
      </c>
      <c r="L510" s="39">
        <f t="shared" si="59"/>
        <v>5.0799999999999998E-2</v>
      </c>
      <c r="M510" s="39">
        <f t="shared" si="60"/>
        <v>2.2718450651397863</v>
      </c>
      <c r="N510" s="39">
        <f t="shared" si="61"/>
        <v>101.6</v>
      </c>
      <c r="O510" s="40">
        <f>1</f>
        <v>1</v>
      </c>
      <c r="P510" s="38">
        <f>INDEX(Cables!$AS:$AS,MATCH(B510,Cables!$A:$A,0))+INDEX(Cables!$AT:$AT,MATCH(B510,Cables!$A:$A,0))*SQRT(C510)+INDEX(Cables!$AU:$AU,MATCH(B510,Cables!$A:$A,0))*C510</f>
        <v>19.632792882006129</v>
      </c>
      <c r="Q510" s="41">
        <f t="shared" si="62"/>
        <v>-2.6541215940887319E-3</v>
      </c>
      <c r="R510" s="39">
        <f t="shared" si="63"/>
        <v>7.0443614362081119E-6</v>
      </c>
      <c r="S510" s="40" t="b">
        <f>IF(B510=B509,C510&gt;C509,COUNTIF(B$1:B509,B510)=0)</f>
        <v>1</v>
      </c>
      <c r="T510" s="37"/>
    </row>
    <row r="511" spans="1:20" x14ac:dyDescent="0.25">
      <c r="A511" s="37" t="s">
        <v>1244</v>
      </c>
      <c r="B511" s="37" t="s">
        <v>501</v>
      </c>
      <c r="C511" s="37">
        <v>2500</v>
      </c>
      <c r="D511" s="37">
        <v>6.8</v>
      </c>
      <c r="E511" s="37" t="s">
        <v>707</v>
      </c>
      <c r="F511" s="37"/>
      <c r="G511" s="37" t="s">
        <v>504</v>
      </c>
      <c r="H511" s="37" t="s">
        <v>952</v>
      </c>
      <c r="I511" s="38">
        <f t="shared" si="56"/>
        <v>22.309711286089239</v>
      </c>
      <c r="J511" s="38">
        <f t="shared" si="57"/>
        <v>7.8240460108562919</v>
      </c>
      <c r="K511" s="38">
        <f t="shared" si="58"/>
        <v>3.1050220673517068</v>
      </c>
      <c r="L511" s="39">
        <f t="shared" si="59"/>
        <v>4.4823529411764707E-2</v>
      </c>
      <c r="M511" s="39">
        <f t="shared" si="60"/>
        <v>2.2411764705882353</v>
      </c>
      <c r="N511" s="39">
        <f t="shared" si="61"/>
        <v>112.05882352941177</v>
      </c>
      <c r="O511" s="40">
        <f>1</f>
        <v>1</v>
      </c>
      <c r="P511" s="38">
        <f>INDEX(Cables!$AS:$AS,MATCH(B511,Cables!$A:$A,0))+INDEX(Cables!$AT:$AT,MATCH(B511,Cables!$A:$A,0))*SQRT(C511)+INDEX(Cables!$AU:$AU,MATCH(B511,Cables!$A:$A,0))*C511</f>
        <v>22.198700322593631</v>
      </c>
      <c r="Q511" s="41">
        <f t="shared" si="62"/>
        <v>-4.9759031872738113E-3</v>
      </c>
      <c r="R511" s="39">
        <f t="shared" si="63"/>
        <v>2.4759612529121674E-5</v>
      </c>
      <c r="S511" s="40" t="b">
        <f>IF(B511=B510,C511&gt;C510,COUNTIF(B$1:B510,B511)=0)</f>
        <v>1</v>
      </c>
      <c r="T511" s="37"/>
    </row>
    <row r="512" spans="1:20" x14ac:dyDescent="0.25">
      <c r="A512" s="37" t="s">
        <v>1245</v>
      </c>
      <c r="B512" s="37" t="s">
        <v>501</v>
      </c>
      <c r="C512" s="37">
        <v>5800</v>
      </c>
      <c r="D512" s="37">
        <v>10.8</v>
      </c>
      <c r="E512" s="37" t="s">
        <v>707</v>
      </c>
      <c r="F512" s="37"/>
      <c r="G512" s="37" t="s">
        <v>504</v>
      </c>
      <c r="H512" s="37" t="s">
        <v>952</v>
      </c>
      <c r="I512" s="38">
        <f t="shared" si="56"/>
        <v>35.433070866141733</v>
      </c>
      <c r="J512" s="38">
        <f t="shared" si="57"/>
        <v>8.66561319653451</v>
      </c>
      <c r="K512" s="38">
        <f t="shared" si="58"/>
        <v>3.5676455892998198</v>
      </c>
      <c r="L512" s="39">
        <f t="shared" si="59"/>
        <v>2.8222222222222221E-2</v>
      </c>
      <c r="M512" s="39">
        <f t="shared" si="60"/>
        <v>2.1493404098771474</v>
      </c>
      <c r="N512" s="39">
        <f t="shared" si="61"/>
        <v>163.6888888888889</v>
      </c>
      <c r="O512" s="40">
        <f>1</f>
        <v>1</v>
      </c>
      <c r="P512" s="38">
        <f>INDEX(Cables!$AS:$AS,MATCH(B512,Cables!$A:$A,0))+INDEX(Cables!$AT:$AT,MATCH(B512,Cables!$A:$A,0))*SQRT(C512)+INDEX(Cables!$AU:$AU,MATCH(B512,Cables!$A:$A,0))*C512</f>
        <v>35.729986535232747</v>
      </c>
      <c r="Q512" s="41">
        <f t="shared" si="62"/>
        <v>8.3796199943464433E-3</v>
      </c>
      <c r="R512" s="39">
        <f t="shared" si="63"/>
        <v>7.0218031249650692E-5</v>
      </c>
      <c r="S512" s="40" t="b">
        <f>IF(B512=B511,C512&gt;C511,COUNTIF(B$1:B511,B512)=0)</f>
        <v>1</v>
      </c>
      <c r="T512" s="37"/>
    </row>
    <row r="513" spans="1:20" x14ac:dyDescent="0.25">
      <c r="A513" s="37" t="s">
        <v>1246</v>
      </c>
      <c r="B513" s="37" t="s">
        <v>506</v>
      </c>
      <c r="C513" s="37">
        <v>1.8</v>
      </c>
      <c r="D513" s="37">
        <v>0.8</v>
      </c>
      <c r="E513" s="37" t="s">
        <v>771</v>
      </c>
      <c r="F513" s="37">
        <v>20</v>
      </c>
      <c r="G513" s="37" t="s">
        <v>513</v>
      </c>
      <c r="H513" s="37" t="s">
        <v>928</v>
      </c>
      <c r="I513" s="38">
        <f t="shared" si="56"/>
        <v>0.8</v>
      </c>
      <c r="J513" s="38">
        <f t="shared" si="57"/>
        <v>0.58778666490211906</v>
      </c>
      <c r="K513" s="38">
        <f t="shared" si="58"/>
        <v>-0.22314355131420971</v>
      </c>
      <c r="L513" s="39">
        <f t="shared" si="59"/>
        <v>1.25</v>
      </c>
      <c r="M513" s="39">
        <f t="shared" si="60"/>
        <v>1.6770509831248421</v>
      </c>
      <c r="N513" s="39">
        <f t="shared" si="61"/>
        <v>2.25</v>
      </c>
      <c r="O513" s="40">
        <f>1</f>
        <v>1</v>
      </c>
      <c r="P513" s="38">
        <f>INDEX(Cables!$AS:$AS,MATCH(B513,Cables!$A:$A,0))+INDEX(Cables!$AT:$AT,MATCH(B513,Cables!$A:$A,0))*SQRT(C513)+INDEX(Cables!$AU:$AU,MATCH(B513,Cables!$A:$A,0))*C513</f>
        <v>0.77248239912582206</v>
      </c>
      <c r="Q513" s="41">
        <f t="shared" si="62"/>
        <v>-3.4397001092722479E-2</v>
      </c>
      <c r="R513" s="39">
        <f t="shared" si="63"/>
        <v>1.1831536841727514E-3</v>
      </c>
      <c r="S513" s="40" t="b">
        <f>IF(B513=B512,C513&gt;C512,COUNTIF(B$1:B512,B513)=0)</f>
        <v>1</v>
      </c>
      <c r="T513" s="37"/>
    </row>
    <row r="514" spans="1:20" x14ac:dyDescent="0.25">
      <c r="A514" s="37" t="s">
        <v>1247</v>
      </c>
      <c r="B514" s="37" t="s">
        <v>506</v>
      </c>
      <c r="C514" s="37">
        <v>3.5</v>
      </c>
      <c r="D514" s="37">
        <v>1</v>
      </c>
      <c r="E514" s="37" t="s">
        <v>771</v>
      </c>
      <c r="F514" s="37">
        <v>20</v>
      </c>
      <c r="G514" s="37" t="s">
        <v>513</v>
      </c>
      <c r="H514" s="37" t="s">
        <v>928</v>
      </c>
      <c r="I514" s="38">
        <f t="shared" ref="I514:I577" si="64">IF(E514="dB/100ft",D514*100/30.48,D514)</f>
        <v>1</v>
      </c>
      <c r="J514" s="38">
        <f t="shared" ref="J514:J577" si="65">LN(C514)</f>
        <v>1.2527629684953681</v>
      </c>
      <c r="K514" s="38">
        <f t="shared" ref="K514:K577" si="66">LN(I514)</f>
        <v>0</v>
      </c>
      <c r="L514" s="39">
        <f t="shared" ref="L514:L577" si="67">1/I514</f>
        <v>1</v>
      </c>
      <c r="M514" s="39">
        <f t="shared" ref="M514:M577" si="68">SQRT(C514)/I514</f>
        <v>1.8708286933869707</v>
      </c>
      <c r="N514" s="39">
        <f t="shared" ref="N514:N577" si="69">C514/I514</f>
        <v>3.5</v>
      </c>
      <c r="O514" s="40">
        <f>1</f>
        <v>1</v>
      </c>
      <c r="P514" s="38">
        <f>INDEX(Cables!$AS:$AS,MATCH(B514,Cables!$A:$A,0))+INDEX(Cables!$AT:$AT,MATCH(B514,Cables!$A:$A,0))*SQRT(C514)+INDEX(Cables!$AU:$AU,MATCH(B514,Cables!$A:$A,0))*C514</f>
        <v>0.944821292272642</v>
      </c>
      <c r="Q514" s="41">
        <f t="shared" ref="Q514:Q577" si="70">P514/I514-1</f>
        <v>-5.5178707727358001E-2</v>
      </c>
      <c r="R514" s="39">
        <f t="shared" ref="R514:R577" si="71">Q514^2</f>
        <v>3.0446897864611975E-3</v>
      </c>
      <c r="S514" s="40" t="b">
        <f>IF(B514=B513,C514&gt;C513,COUNTIF(B$1:B513,B514)=0)</f>
        <v>1</v>
      </c>
      <c r="T514" s="37"/>
    </row>
    <row r="515" spans="1:20" x14ac:dyDescent="0.25">
      <c r="A515" s="37" t="s">
        <v>1248</v>
      </c>
      <c r="B515" s="37" t="s">
        <v>506</v>
      </c>
      <c r="C515" s="37">
        <v>7</v>
      </c>
      <c r="D515" s="37">
        <v>1.2</v>
      </c>
      <c r="E515" s="37" t="s">
        <v>771</v>
      </c>
      <c r="F515" s="37">
        <v>20</v>
      </c>
      <c r="G515" s="37" t="s">
        <v>513</v>
      </c>
      <c r="H515" s="37" t="s">
        <v>928</v>
      </c>
      <c r="I515" s="38">
        <f t="shared" si="64"/>
        <v>1.2</v>
      </c>
      <c r="J515" s="38">
        <f t="shared" si="65"/>
        <v>1.9459101490553132</v>
      </c>
      <c r="K515" s="38">
        <f t="shared" si="66"/>
        <v>0.18232155679395459</v>
      </c>
      <c r="L515" s="39">
        <f t="shared" si="67"/>
        <v>0.83333333333333337</v>
      </c>
      <c r="M515" s="39">
        <f t="shared" si="68"/>
        <v>2.2047927592204926</v>
      </c>
      <c r="N515" s="39">
        <f t="shared" si="69"/>
        <v>5.8333333333333339</v>
      </c>
      <c r="O515" s="40">
        <f>1</f>
        <v>1</v>
      </c>
      <c r="P515" s="38">
        <f>INDEX(Cables!$AS:$AS,MATCH(B515,Cables!$A:$A,0))+INDEX(Cables!$AT:$AT,MATCH(B515,Cables!$A:$A,0))*SQRT(C515)+INDEX(Cables!$AU:$AU,MATCH(B515,Cables!$A:$A,0))*C515</f>
        <v>1.200587603278112</v>
      </c>
      <c r="Q515" s="41">
        <f t="shared" si="70"/>
        <v>4.8966939842665091E-4</v>
      </c>
      <c r="R515" s="39">
        <f t="shared" si="71"/>
        <v>2.3977611975551818E-7</v>
      </c>
      <c r="S515" s="40" t="b">
        <f>IF(B515=B514,C515&gt;C514,COUNTIF(B$1:B514,B515)=0)</f>
        <v>1</v>
      </c>
      <c r="T515" s="37"/>
    </row>
    <row r="516" spans="1:20" x14ac:dyDescent="0.25">
      <c r="A516" s="37" t="s">
        <v>1249</v>
      </c>
      <c r="B516" s="37" t="s">
        <v>506</v>
      </c>
      <c r="C516" s="37">
        <v>10</v>
      </c>
      <c r="D516" s="37">
        <v>1.3</v>
      </c>
      <c r="E516" s="37" t="s">
        <v>771</v>
      </c>
      <c r="F516" s="37">
        <v>20</v>
      </c>
      <c r="G516" s="37" t="s">
        <v>513</v>
      </c>
      <c r="H516" s="37" t="s">
        <v>928</v>
      </c>
      <c r="I516" s="38">
        <f t="shared" si="64"/>
        <v>1.3</v>
      </c>
      <c r="J516" s="38">
        <f t="shared" si="65"/>
        <v>2.3025850929940459</v>
      </c>
      <c r="K516" s="38">
        <f t="shared" si="66"/>
        <v>0.26236426446749106</v>
      </c>
      <c r="L516" s="39">
        <f t="shared" si="67"/>
        <v>0.76923076923076916</v>
      </c>
      <c r="M516" s="39">
        <f t="shared" si="68"/>
        <v>2.4325212770525995</v>
      </c>
      <c r="N516" s="39">
        <f t="shared" si="69"/>
        <v>7.6923076923076916</v>
      </c>
      <c r="O516" s="40">
        <f>1</f>
        <v>1</v>
      </c>
      <c r="P516" s="38">
        <f>INDEX(Cables!$AS:$AS,MATCH(B516,Cables!$A:$A,0))+INDEX(Cables!$AT:$AT,MATCH(B516,Cables!$A:$A,0))*SQRT(C516)+INDEX(Cables!$AU:$AU,MATCH(B516,Cables!$A:$A,0))*C516</f>
        <v>1.3733133333593017</v>
      </c>
      <c r="Q516" s="41">
        <f t="shared" si="70"/>
        <v>5.639487181484748E-2</v>
      </c>
      <c r="R516" s="39">
        <f t="shared" si="71"/>
        <v>3.1803815670130788E-3</v>
      </c>
      <c r="S516" s="40" t="b">
        <f>IF(B516=B515,C516&gt;C515,COUNTIF(B$1:B515,B516)=0)</f>
        <v>1</v>
      </c>
      <c r="T516" s="37"/>
    </row>
    <row r="517" spans="1:20" x14ac:dyDescent="0.25">
      <c r="A517" s="37" t="s">
        <v>1250</v>
      </c>
      <c r="B517" s="37" t="s">
        <v>506</v>
      </c>
      <c r="C517" s="37">
        <v>14</v>
      </c>
      <c r="D517" s="37">
        <v>1.5</v>
      </c>
      <c r="E517" s="37" t="s">
        <v>771</v>
      </c>
      <c r="F517" s="37">
        <v>20</v>
      </c>
      <c r="G517" s="37" t="s">
        <v>513</v>
      </c>
      <c r="H517" s="37" t="s">
        <v>928</v>
      </c>
      <c r="I517" s="38">
        <f t="shared" si="64"/>
        <v>1.5</v>
      </c>
      <c r="J517" s="38">
        <f t="shared" si="65"/>
        <v>2.6390573296152584</v>
      </c>
      <c r="K517" s="38">
        <f t="shared" si="66"/>
        <v>0.40546510810816438</v>
      </c>
      <c r="L517" s="39">
        <f t="shared" si="67"/>
        <v>0.66666666666666663</v>
      </c>
      <c r="M517" s="39">
        <f t="shared" si="68"/>
        <v>2.4944382578492941</v>
      </c>
      <c r="N517" s="39">
        <f t="shared" si="69"/>
        <v>9.3333333333333339</v>
      </c>
      <c r="O517" s="40">
        <f>1</f>
        <v>1</v>
      </c>
      <c r="P517" s="38">
        <f>INDEX(Cables!$AS:$AS,MATCH(B517,Cables!$A:$A,0))+INDEX(Cables!$AT:$AT,MATCH(B517,Cables!$A:$A,0))*SQRT(C517)+INDEX(Cables!$AU:$AU,MATCH(B517,Cables!$A:$A,0))*C517</f>
        <v>1.5691932281975809</v>
      </c>
      <c r="Q517" s="41">
        <f t="shared" si="70"/>
        <v>4.6128818798387261E-2</v>
      </c>
      <c r="R517" s="39">
        <f t="shared" si="71"/>
        <v>2.127867923734446E-3</v>
      </c>
      <c r="S517" s="40" t="b">
        <f>IF(B517=B516,C517&gt;C516,COUNTIF(B$1:B516,B517)=0)</f>
        <v>1</v>
      </c>
      <c r="T517" s="37"/>
    </row>
    <row r="518" spans="1:20" x14ac:dyDescent="0.25">
      <c r="A518" s="37" t="s">
        <v>1251</v>
      </c>
      <c r="B518" s="37" t="s">
        <v>506</v>
      </c>
      <c r="C518" s="37">
        <v>21</v>
      </c>
      <c r="D518" s="37">
        <v>1.8</v>
      </c>
      <c r="E518" s="37" t="s">
        <v>771</v>
      </c>
      <c r="F518" s="37">
        <v>20</v>
      </c>
      <c r="G518" s="37" t="s">
        <v>513</v>
      </c>
      <c r="H518" s="37" t="s">
        <v>928</v>
      </c>
      <c r="I518" s="38">
        <f t="shared" si="64"/>
        <v>1.8</v>
      </c>
      <c r="J518" s="38">
        <f t="shared" si="65"/>
        <v>3.044522437723423</v>
      </c>
      <c r="K518" s="38">
        <f t="shared" si="66"/>
        <v>0.58778666490211906</v>
      </c>
      <c r="L518" s="39">
        <f t="shared" si="67"/>
        <v>0.55555555555555558</v>
      </c>
      <c r="M518" s="39">
        <f t="shared" si="68"/>
        <v>2.5458753860865775</v>
      </c>
      <c r="N518" s="39">
        <f t="shared" si="69"/>
        <v>11.666666666666666</v>
      </c>
      <c r="O518" s="40">
        <f>1</f>
        <v>1</v>
      </c>
      <c r="P518" s="38">
        <f>INDEX(Cables!$AS:$AS,MATCH(B518,Cables!$A:$A,0))+INDEX(Cables!$AT:$AT,MATCH(B518,Cables!$A:$A,0))*SQRT(C518)+INDEX(Cables!$AU:$AU,MATCH(B518,Cables!$A:$A,0))*C518</f>
        <v>1.8575135656873716</v>
      </c>
      <c r="Q518" s="41">
        <f t="shared" si="70"/>
        <v>3.1951980937428681E-2</v>
      </c>
      <c r="R518" s="39">
        <f t="shared" si="71"/>
        <v>1.0209290858258057E-3</v>
      </c>
      <c r="S518" s="40" t="b">
        <f>IF(B518=B517,C518&gt;C517,COUNTIF(B$1:B517,B518)=0)</f>
        <v>1</v>
      </c>
      <c r="T518" s="37"/>
    </row>
    <row r="519" spans="1:20" x14ac:dyDescent="0.25">
      <c r="A519" s="37" t="s">
        <v>1252</v>
      </c>
      <c r="B519" s="37" t="s">
        <v>506</v>
      </c>
      <c r="C519" s="37">
        <v>28</v>
      </c>
      <c r="D519" s="37">
        <v>2</v>
      </c>
      <c r="E519" s="37" t="s">
        <v>771</v>
      </c>
      <c r="F519" s="37">
        <v>20</v>
      </c>
      <c r="G519" s="37" t="s">
        <v>513</v>
      </c>
      <c r="H519" s="37" t="s">
        <v>928</v>
      </c>
      <c r="I519" s="38">
        <f t="shared" si="64"/>
        <v>2</v>
      </c>
      <c r="J519" s="38">
        <f t="shared" si="65"/>
        <v>3.3322045101752038</v>
      </c>
      <c r="K519" s="38">
        <f t="shared" si="66"/>
        <v>0.69314718055994529</v>
      </c>
      <c r="L519" s="39">
        <f t="shared" si="67"/>
        <v>0.5</v>
      </c>
      <c r="M519" s="39">
        <f t="shared" si="68"/>
        <v>2.6457513110645907</v>
      </c>
      <c r="N519" s="39">
        <f t="shared" si="69"/>
        <v>14</v>
      </c>
      <c r="O519" s="40">
        <f>1</f>
        <v>1</v>
      </c>
      <c r="P519" s="38">
        <f>INDEX(Cables!$AS:$AS,MATCH(B519,Cables!$A:$A,0))+INDEX(Cables!$AT:$AT,MATCH(B519,Cables!$A:$A,0))*SQRT(C519)+INDEX(Cables!$AU:$AU,MATCH(B519,Cables!$A:$A,0))*C519</f>
        <v>2.1042751803205006</v>
      </c>
      <c r="Q519" s="41">
        <f t="shared" si="70"/>
        <v>5.2137590160250324E-2</v>
      </c>
      <c r="R519" s="39">
        <f t="shared" si="71"/>
        <v>2.7183283077182314E-3</v>
      </c>
      <c r="S519" s="40" t="b">
        <f>IF(B519=B518,C519&gt;C518,COUNTIF(B$1:B518,B519)=0)</f>
        <v>1</v>
      </c>
      <c r="T519" s="37"/>
    </row>
    <row r="520" spans="1:20" x14ac:dyDescent="0.25">
      <c r="A520" s="37" t="s">
        <v>1253</v>
      </c>
      <c r="B520" s="37" t="s">
        <v>506</v>
      </c>
      <c r="C520" s="37">
        <v>50</v>
      </c>
      <c r="D520" s="37">
        <v>2.7</v>
      </c>
      <c r="E520" s="37" t="s">
        <v>771</v>
      </c>
      <c r="F520" s="37">
        <v>20</v>
      </c>
      <c r="G520" s="37" t="s">
        <v>513</v>
      </c>
      <c r="H520" s="37" t="s">
        <v>928</v>
      </c>
      <c r="I520" s="38">
        <f t="shared" si="64"/>
        <v>2.7</v>
      </c>
      <c r="J520" s="38">
        <f t="shared" si="65"/>
        <v>3.912023005428146</v>
      </c>
      <c r="K520" s="38">
        <f t="shared" si="66"/>
        <v>0.99325177301028345</v>
      </c>
      <c r="L520" s="39">
        <f t="shared" si="67"/>
        <v>0.37037037037037035</v>
      </c>
      <c r="M520" s="39">
        <f t="shared" si="68"/>
        <v>2.6189140043946204</v>
      </c>
      <c r="N520" s="39">
        <f t="shared" si="69"/>
        <v>18.518518518518519</v>
      </c>
      <c r="O520" s="40">
        <f>1</f>
        <v>1</v>
      </c>
      <c r="P520" s="38">
        <f>INDEX(Cables!$AS:$AS,MATCH(B520,Cables!$A:$A,0))+INDEX(Cables!$AT:$AT,MATCH(B520,Cables!$A:$A,0))*SQRT(C520)+INDEX(Cables!$AU:$AU,MATCH(B520,Cables!$A:$A,0))*C520</f>
        <v>2.7386001323133211</v>
      </c>
      <c r="Q520" s="41">
        <f t="shared" si="70"/>
        <v>1.4296345301229918E-2</v>
      </c>
      <c r="R520" s="39">
        <f t="shared" si="71"/>
        <v>2.0438548897199876E-4</v>
      </c>
      <c r="S520" s="40" t="b">
        <f>IF(B520=B519,C520&gt;C519,COUNTIF(B$1:B519,B520)=0)</f>
        <v>1</v>
      </c>
      <c r="T520" s="37"/>
    </row>
    <row r="521" spans="1:20" x14ac:dyDescent="0.25">
      <c r="A521" s="37" t="s">
        <v>1254</v>
      </c>
      <c r="B521" s="37" t="s">
        <v>506</v>
      </c>
      <c r="C521" s="37">
        <v>100</v>
      </c>
      <c r="D521" s="37">
        <v>3.9</v>
      </c>
      <c r="E521" s="37" t="s">
        <v>771</v>
      </c>
      <c r="F521" s="37">
        <v>20</v>
      </c>
      <c r="G521" s="37" t="s">
        <v>513</v>
      </c>
      <c r="H521" s="37" t="s">
        <v>928</v>
      </c>
      <c r="I521" s="38">
        <f t="shared" si="64"/>
        <v>3.9</v>
      </c>
      <c r="J521" s="38">
        <f t="shared" si="65"/>
        <v>4.6051701859880918</v>
      </c>
      <c r="K521" s="38">
        <f t="shared" si="66"/>
        <v>1.3609765531356006</v>
      </c>
      <c r="L521" s="39">
        <f t="shared" si="67"/>
        <v>0.25641025641025644</v>
      </c>
      <c r="M521" s="39">
        <f t="shared" si="68"/>
        <v>2.5641025641025643</v>
      </c>
      <c r="N521" s="39">
        <f t="shared" si="69"/>
        <v>25.641025641025642</v>
      </c>
      <c r="O521" s="40">
        <f>1</f>
        <v>1</v>
      </c>
      <c r="P521" s="38">
        <f>INDEX(Cables!$AS:$AS,MATCH(B521,Cables!$A:$A,0))+INDEX(Cables!$AT:$AT,MATCH(B521,Cables!$A:$A,0))*SQRT(C521)+INDEX(Cables!$AU:$AU,MATCH(B521,Cables!$A:$A,0))*C521</f>
        <v>3.8290113719126668</v>
      </c>
      <c r="Q521" s="41">
        <f t="shared" si="70"/>
        <v>-1.8202212330085454E-2</v>
      </c>
      <c r="R521" s="39">
        <f t="shared" si="71"/>
        <v>3.3132053370951497E-4</v>
      </c>
      <c r="S521" s="40" t="b">
        <f>IF(B521=B520,C521&gt;C520,COUNTIF(B$1:B520,B521)=0)</f>
        <v>1</v>
      </c>
      <c r="T521" s="37"/>
    </row>
    <row r="522" spans="1:20" x14ac:dyDescent="0.25">
      <c r="A522" s="37" t="s">
        <v>1255</v>
      </c>
      <c r="B522" s="37" t="s">
        <v>506</v>
      </c>
      <c r="C522" s="37">
        <v>144</v>
      </c>
      <c r="D522" s="37">
        <v>4.7</v>
      </c>
      <c r="E522" s="37" t="s">
        <v>771</v>
      </c>
      <c r="F522" s="37">
        <v>20</v>
      </c>
      <c r="G522" s="37" t="s">
        <v>513</v>
      </c>
      <c r="H522" s="37" t="s">
        <v>928</v>
      </c>
      <c r="I522" s="38">
        <f t="shared" si="64"/>
        <v>4.7</v>
      </c>
      <c r="J522" s="38">
        <f t="shared" si="65"/>
        <v>4.9698132995760007</v>
      </c>
      <c r="K522" s="38">
        <f t="shared" si="66"/>
        <v>1.547562508716013</v>
      </c>
      <c r="L522" s="39">
        <f t="shared" si="67"/>
        <v>0.21276595744680851</v>
      </c>
      <c r="M522" s="39">
        <f t="shared" si="68"/>
        <v>2.5531914893617018</v>
      </c>
      <c r="N522" s="39">
        <f t="shared" si="69"/>
        <v>30.638297872340424</v>
      </c>
      <c r="O522" s="40">
        <f>1</f>
        <v>1</v>
      </c>
      <c r="P522" s="38">
        <f>INDEX(Cables!$AS:$AS,MATCH(B522,Cables!$A:$A,0))+INDEX(Cables!$AT:$AT,MATCH(B522,Cables!$A:$A,0))*SQRT(C522)+INDEX(Cables!$AU:$AU,MATCH(B522,Cables!$A:$A,0))*C522</f>
        <v>4.6067544693871936</v>
      </c>
      <c r="Q522" s="41">
        <f t="shared" si="70"/>
        <v>-1.9839474598469464E-2</v>
      </c>
      <c r="R522" s="39">
        <f t="shared" si="71"/>
        <v>3.9360475234331512E-4</v>
      </c>
      <c r="S522" s="40" t="b">
        <f>IF(B522=B521,C522&gt;C521,COUNTIF(B$1:B521,B522)=0)</f>
        <v>1</v>
      </c>
      <c r="T522" s="37"/>
    </row>
    <row r="523" spans="1:20" x14ac:dyDescent="0.25">
      <c r="A523" s="37" t="s">
        <v>1256</v>
      </c>
      <c r="B523" s="37" t="s">
        <v>506</v>
      </c>
      <c r="C523" s="37">
        <v>200</v>
      </c>
      <c r="D523" s="37">
        <v>5.7</v>
      </c>
      <c r="E523" s="37" t="s">
        <v>771</v>
      </c>
      <c r="F523" s="37">
        <v>20</v>
      </c>
      <c r="G523" s="37" t="s">
        <v>513</v>
      </c>
      <c r="H523" s="37" t="s">
        <v>928</v>
      </c>
      <c r="I523" s="38">
        <f t="shared" si="64"/>
        <v>5.7</v>
      </c>
      <c r="J523" s="38">
        <f t="shared" si="65"/>
        <v>5.2983173665480363</v>
      </c>
      <c r="K523" s="38">
        <f t="shared" si="66"/>
        <v>1.7404661748405046</v>
      </c>
      <c r="L523" s="39">
        <f t="shared" si="67"/>
        <v>0.17543859649122806</v>
      </c>
      <c r="M523" s="39">
        <f t="shared" si="68"/>
        <v>2.4810764252159561</v>
      </c>
      <c r="N523" s="39">
        <f t="shared" si="69"/>
        <v>35.087719298245609</v>
      </c>
      <c r="O523" s="40">
        <f>1</f>
        <v>1</v>
      </c>
      <c r="P523" s="38">
        <f>INDEX(Cables!$AS:$AS,MATCH(B523,Cables!$A:$A,0))+INDEX(Cables!$AT:$AT,MATCH(B523,Cables!$A:$A,0))*SQRT(C523)+INDEX(Cables!$AU:$AU,MATCH(B523,Cables!$A:$A,0))*C523</f>
        <v>5.4696205797666666</v>
      </c>
      <c r="Q523" s="41">
        <f t="shared" si="70"/>
        <v>-4.0417442146198912E-2</v>
      </c>
      <c r="R523" s="39">
        <f t="shared" si="71"/>
        <v>1.6335696296413361E-3</v>
      </c>
      <c r="S523" s="40" t="b">
        <f>IF(B523=B522,C523&gt;C522,COUNTIF(B$1:B522,B523)=0)</f>
        <v>1</v>
      </c>
      <c r="T523" s="37"/>
    </row>
    <row r="524" spans="1:20" x14ac:dyDescent="0.25">
      <c r="A524" s="37" t="s">
        <v>1257</v>
      </c>
      <c r="B524" s="37" t="s">
        <v>506</v>
      </c>
      <c r="C524" s="37">
        <v>400</v>
      </c>
      <c r="D524" s="37">
        <v>8.3000000000000007</v>
      </c>
      <c r="E524" s="37" t="s">
        <v>771</v>
      </c>
      <c r="F524" s="37">
        <v>20</v>
      </c>
      <c r="G524" s="37" t="s">
        <v>513</v>
      </c>
      <c r="H524" s="37" t="s">
        <v>928</v>
      </c>
      <c r="I524" s="38">
        <f t="shared" si="64"/>
        <v>8.3000000000000007</v>
      </c>
      <c r="J524" s="38">
        <f t="shared" si="65"/>
        <v>5.9914645471079817</v>
      </c>
      <c r="K524" s="38">
        <f t="shared" si="66"/>
        <v>2.1162555148025524</v>
      </c>
      <c r="L524" s="39">
        <f t="shared" si="67"/>
        <v>0.12048192771084336</v>
      </c>
      <c r="M524" s="39">
        <f t="shared" si="68"/>
        <v>2.4096385542168672</v>
      </c>
      <c r="N524" s="39">
        <f t="shared" si="69"/>
        <v>48.192771084337345</v>
      </c>
      <c r="O524" s="40">
        <f>1</f>
        <v>1</v>
      </c>
      <c r="P524" s="38">
        <f>INDEX(Cables!$AS:$AS,MATCH(B524,Cables!$A:$A,0))+INDEX(Cables!$AT:$AT,MATCH(B524,Cables!$A:$A,0))*SQRT(C524)+INDEX(Cables!$AU:$AU,MATCH(B524,Cables!$A:$A,0))*C524</f>
        <v>7.9868620605650626</v>
      </c>
      <c r="Q524" s="41">
        <f t="shared" si="70"/>
        <v>-3.7727462582522686E-2</v>
      </c>
      <c r="R524" s="39">
        <f t="shared" si="71"/>
        <v>1.4233614329156494E-3</v>
      </c>
      <c r="S524" s="40" t="b">
        <f>IF(B524=B523,C524&gt;C523,COUNTIF(B$1:B523,B524)=0)</f>
        <v>1</v>
      </c>
      <c r="T524" s="37"/>
    </row>
    <row r="525" spans="1:20" x14ac:dyDescent="0.25">
      <c r="A525" s="37" t="s">
        <v>1258</v>
      </c>
      <c r="B525" s="37" t="s">
        <v>506</v>
      </c>
      <c r="C525" s="37">
        <v>430</v>
      </c>
      <c r="D525" s="37">
        <v>8.6</v>
      </c>
      <c r="E525" s="37" t="s">
        <v>771</v>
      </c>
      <c r="F525" s="37">
        <v>20</v>
      </c>
      <c r="G525" s="37" t="s">
        <v>513</v>
      </c>
      <c r="H525" s="37" t="s">
        <v>928</v>
      </c>
      <c r="I525" s="38">
        <f t="shared" si="64"/>
        <v>8.6</v>
      </c>
      <c r="J525" s="38">
        <f t="shared" si="65"/>
        <v>6.0637852086876078</v>
      </c>
      <c r="K525" s="38">
        <f t="shared" si="66"/>
        <v>2.1517622032594619</v>
      </c>
      <c r="L525" s="39">
        <f t="shared" si="67"/>
        <v>0.11627906976744186</v>
      </c>
      <c r="M525" s="39">
        <f t="shared" si="68"/>
        <v>2.4112141108520606</v>
      </c>
      <c r="N525" s="39">
        <f t="shared" si="69"/>
        <v>50</v>
      </c>
      <c r="O525" s="40">
        <f>1</f>
        <v>1</v>
      </c>
      <c r="P525" s="38">
        <f>INDEX(Cables!$AS:$AS,MATCH(B525,Cables!$A:$A,0))+INDEX(Cables!$AT:$AT,MATCH(B525,Cables!$A:$A,0))*SQRT(C525)+INDEX(Cables!$AU:$AU,MATCH(B525,Cables!$A:$A,0))*C525</f>
        <v>8.3196632204065768</v>
      </c>
      <c r="Q525" s="41">
        <f t="shared" si="70"/>
        <v>-3.2597299952723535E-2</v>
      </c>
      <c r="R525" s="39">
        <f t="shared" si="71"/>
        <v>1.0625839642078299E-3</v>
      </c>
      <c r="S525" s="40" t="b">
        <f>IF(B525=B524,C525&gt;C524,COUNTIF(B$1:B524,B525)=0)</f>
        <v>1</v>
      </c>
      <c r="T525" s="37"/>
    </row>
    <row r="526" spans="1:20" x14ac:dyDescent="0.25">
      <c r="A526" s="37" t="s">
        <v>1259</v>
      </c>
      <c r="B526" s="37" t="s">
        <v>506</v>
      </c>
      <c r="C526" s="37">
        <v>800</v>
      </c>
      <c r="D526" s="37">
        <v>12.1</v>
      </c>
      <c r="E526" s="37" t="s">
        <v>771</v>
      </c>
      <c r="F526" s="37">
        <v>20</v>
      </c>
      <c r="G526" s="37" t="s">
        <v>513</v>
      </c>
      <c r="H526" s="37" t="s">
        <v>928</v>
      </c>
      <c r="I526" s="38">
        <f t="shared" si="64"/>
        <v>12.1</v>
      </c>
      <c r="J526" s="38">
        <f t="shared" si="65"/>
        <v>6.6846117276679271</v>
      </c>
      <c r="K526" s="38">
        <f t="shared" si="66"/>
        <v>2.4932054526026954</v>
      </c>
      <c r="L526" s="39">
        <f t="shared" si="67"/>
        <v>8.2644628099173556E-2</v>
      </c>
      <c r="M526" s="39">
        <f t="shared" si="68"/>
        <v>2.3375430783026365</v>
      </c>
      <c r="N526" s="39">
        <f t="shared" si="69"/>
        <v>66.11570247933885</v>
      </c>
      <c r="O526" s="40">
        <f>1</f>
        <v>1</v>
      </c>
      <c r="P526" s="38">
        <f>INDEX(Cables!$AS:$AS,MATCH(B526,Cables!$A:$A,0))+INDEX(Cables!$AT:$AT,MATCH(B526,Cables!$A:$A,0))*SQRT(C526)+INDEX(Cables!$AU:$AU,MATCH(B526,Cables!$A:$A,0))*C526</f>
        <v>11.940918479472472</v>
      </c>
      <c r="Q526" s="41">
        <f t="shared" si="70"/>
        <v>-1.3147233101448497E-2</v>
      </c>
      <c r="R526" s="39">
        <f t="shared" si="71"/>
        <v>1.7284973822382307E-4</v>
      </c>
      <c r="S526" s="40" t="b">
        <f>IF(B526=B525,C526&gt;C525,COUNTIF(B$1:B525,B526)=0)</f>
        <v>1</v>
      </c>
      <c r="T526" s="37"/>
    </row>
    <row r="527" spans="1:20" x14ac:dyDescent="0.25">
      <c r="A527" s="37" t="s">
        <v>1260</v>
      </c>
      <c r="B527" s="37" t="s">
        <v>506</v>
      </c>
      <c r="C527" s="37">
        <v>1000</v>
      </c>
      <c r="D527" s="37">
        <v>13.8</v>
      </c>
      <c r="E527" s="37" t="s">
        <v>771</v>
      </c>
      <c r="F527" s="37">
        <v>20</v>
      </c>
      <c r="G527" s="37" t="s">
        <v>513</v>
      </c>
      <c r="H527" s="37" t="s">
        <v>928</v>
      </c>
      <c r="I527" s="38">
        <f t="shared" si="64"/>
        <v>13.8</v>
      </c>
      <c r="J527" s="38">
        <f t="shared" si="65"/>
        <v>6.9077552789821368</v>
      </c>
      <c r="K527" s="38">
        <f t="shared" si="66"/>
        <v>2.6246685921631592</v>
      </c>
      <c r="L527" s="39">
        <f t="shared" si="67"/>
        <v>7.2463768115942032E-2</v>
      </c>
      <c r="M527" s="39">
        <f t="shared" si="68"/>
        <v>2.2915055508466513</v>
      </c>
      <c r="N527" s="39">
        <f t="shared" si="69"/>
        <v>72.463768115942031</v>
      </c>
      <c r="O527" s="40">
        <f>1</f>
        <v>1</v>
      </c>
      <c r="P527" s="38">
        <f>INDEX(Cables!$AS:$AS,MATCH(B527,Cables!$A:$A,0))+INDEX(Cables!$AT:$AT,MATCH(B527,Cables!$A:$A,0))*SQRT(C527)+INDEX(Cables!$AU:$AU,MATCH(B527,Cables!$A:$A,0))*C527</f>
        <v>13.664916169853225</v>
      </c>
      <c r="Q527" s="41">
        <f t="shared" si="70"/>
        <v>-9.7886833439693177E-3</v>
      </c>
      <c r="R527" s="39">
        <f t="shared" si="71"/>
        <v>9.5818321608502345E-5</v>
      </c>
      <c r="S527" s="40" t="b">
        <f>IF(B527=B526,C527&gt;C526,COUNTIF(B$1:B526,B527)=0)</f>
        <v>1</v>
      </c>
      <c r="T527" s="37"/>
    </row>
    <row r="528" spans="1:20" x14ac:dyDescent="0.25">
      <c r="A528" s="37" t="s">
        <v>1261</v>
      </c>
      <c r="B528" s="37" t="s">
        <v>506</v>
      </c>
      <c r="C528" s="37">
        <v>1296</v>
      </c>
      <c r="D528" s="37">
        <v>16.399999999999999</v>
      </c>
      <c r="E528" s="37" t="s">
        <v>771</v>
      </c>
      <c r="F528" s="37">
        <v>20</v>
      </c>
      <c r="G528" s="37" t="s">
        <v>513</v>
      </c>
      <c r="H528" s="37" t="s">
        <v>928</v>
      </c>
      <c r="I528" s="38">
        <f t="shared" si="64"/>
        <v>16.399999999999999</v>
      </c>
      <c r="J528" s="38">
        <f t="shared" si="65"/>
        <v>7.1670378769122198</v>
      </c>
      <c r="K528" s="38">
        <f t="shared" si="66"/>
        <v>2.7972813348301528</v>
      </c>
      <c r="L528" s="39">
        <f t="shared" si="67"/>
        <v>6.0975609756097567E-2</v>
      </c>
      <c r="M528" s="39">
        <f t="shared" si="68"/>
        <v>2.1951219512195124</v>
      </c>
      <c r="N528" s="39">
        <f t="shared" si="69"/>
        <v>79.024390243902445</v>
      </c>
      <c r="O528" s="40">
        <f>1</f>
        <v>1</v>
      </c>
      <c r="P528" s="38">
        <f>INDEX(Cables!$AS:$AS,MATCH(B528,Cables!$A:$A,0))+INDEX(Cables!$AT:$AT,MATCH(B528,Cables!$A:$A,0))*SQRT(C528)+INDEX(Cables!$AU:$AU,MATCH(B528,Cables!$A:$A,0))*C528</f>
        <v>16.038926209063675</v>
      </c>
      <c r="Q528" s="41">
        <f t="shared" si="70"/>
        <v>-2.2016694569288009E-2</v>
      </c>
      <c r="R528" s="39">
        <f t="shared" si="71"/>
        <v>4.847348397573161E-4</v>
      </c>
      <c r="S528" s="40" t="b">
        <f>IF(B528=B527,C528&gt;C527,COUNTIF(B$1:B527,B528)=0)</f>
        <v>1</v>
      </c>
      <c r="T528" s="37"/>
    </row>
    <row r="529" spans="1:20" x14ac:dyDescent="0.25">
      <c r="A529" s="37" t="s">
        <v>1262</v>
      </c>
      <c r="B529" s="37" t="s">
        <v>506</v>
      </c>
      <c r="C529" s="37">
        <v>2400</v>
      </c>
      <c r="D529" s="37">
        <v>23.7</v>
      </c>
      <c r="E529" s="37" t="s">
        <v>771</v>
      </c>
      <c r="F529" s="37">
        <v>20</v>
      </c>
      <c r="G529" s="37" t="s">
        <v>513</v>
      </c>
      <c r="H529" s="37" t="s">
        <v>928</v>
      </c>
      <c r="I529" s="38">
        <f t="shared" si="64"/>
        <v>23.7</v>
      </c>
      <c r="J529" s="38">
        <f t="shared" si="65"/>
        <v>7.7832240163360371</v>
      </c>
      <c r="K529" s="38">
        <f t="shared" si="66"/>
        <v>3.1654750481410856</v>
      </c>
      <c r="L529" s="39">
        <f t="shared" si="67"/>
        <v>4.2194092827004218E-2</v>
      </c>
      <c r="M529" s="39">
        <f t="shared" si="68"/>
        <v>2.0670799517157623</v>
      </c>
      <c r="N529" s="39">
        <f t="shared" si="69"/>
        <v>101.26582278481013</v>
      </c>
      <c r="O529" s="40">
        <f>1</f>
        <v>1</v>
      </c>
      <c r="P529" s="38">
        <f>INDEX(Cables!$AS:$AS,MATCH(B529,Cables!$A:$A,0))+INDEX(Cables!$AT:$AT,MATCH(B529,Cables!$A:$A,0))*SQRT(C529)+INDEX(Cables!$AU:$AU,MATCH(B529,Cables!$A:$A,0))*C529</f>
        <v>23.842950590433635</v>
      </c>
      <c r="Q529" s="41">
        <f t="shared" si="70"/>
        <v>6.0316704824319167E-3</v>
      </c>
      <c r="R529" s="39">
        <f t="shared" si="71"/>
        <v>3.6381048808640468E-5</v>
      </c>
      <c r="S529" s="40" t="b">
        <f>IF(B529=B528,C529&gt;C528,COUNTIF(B$1:B528,B529)=0)</f>
        <v>1</v>
      </c>
      <c r="T529" s="37"/>
    </row>
    <row r="530" spans="1:20" x14ac:dyDescent="0.25">
      <c r="A530" s="37" t="s">
        <v>1263</v>
      </c>
      <c r="B530" s="37" t="s">
        <v>506</v>
      </c>
      <c r="C530" s="37">
        <v>3000</v>
      </c>
      <c r="D530" s="37">
        <v>27.3</v>
      </c>
      <c r="E530" s="37" t="s">
        <v>771</v>
      </c>
      <c r="F530" s="37">
        <v>20</v>
      </c>
      <c r="G530" s="37" t="s">
        <v>513</v>
      </c>
      <c r="H530" s="37" t="s">
        <v>928</v>
      </c>
      <c r="I530" s="38">
        <f t="shared" si="64"/>
        <v>27.3</v>
      </c>
      <c r="J530" s="38">
        <f t="shared" si="65"/>
        <v>8.0063675676502459</v>
      </c>
      <c r="K530" s="38">
        <f t="shared" si="66"/>
        <v>3.3068867021909143</v>
      </c>
      <c r="L530" s="39">
        <f t="shared" si="67"/>
        <v>3.6630036630036632E-2</v>
      </c>
      <c r="M530" s="39">
        <f t="shared" si="68"/>
        <v>2.006309734451158</v>
      </c>
      <c r="N530" s="39">
        <f t="shared" si="69"/>
        <v>109.89010989010988</v>
      </c>
      <c r="O530" s="40">
        <f>1</f>
        <v>1</v>
      </c>
      <c r="P530" s="38">
        <f>INDEX(Cables!$AS:$AS,MATCH(B530,Cables!$A:$A,0))+INDEX(Cables!$AT:$AT,MATCH(B530,Cables!$A:$A,0))*SQRT(C530)+INDEX(Cables!$AU:$AU,MATCH(B530,Cables!$A:$A,0))*C530</f>
        <v>27.682126585098157</v>
      </c>
      <c r="Q530" s="41">
        <f t="shared" si="70"/>
        <v>1.3997310809456209E-2</v>
      </c>
      <c r="R530" s="39">
        <f t="shared" si="71"/>
        <v>1.9592470989651965E-4</v>
      </c>
      <c r="S530" s="40" t="b">
        <f>IF(B530=B529,C530&gt;C529,COUNTIF(B$1:B529,B530)=0)</f>
        <v>1</v>
      </c>
      <c r="T530" s="37"/>
    </row>
    <row r="531" spans="1:20" x14ac:dyDescent="0.25">
      <c r="A531" s="37" t="s">
        <v>1264</v>
      </c>
      <c r="B531" s="37" t="s">
        <v>506</v>
      </c>
      <c r="C531" s="37">
        <v>4000</v>
      </c>
      <c r="D531" s="37">
        <v>32.9</v>
      </c>
      <c r="E531" s="37" t="s">
        <v>771</v>
      </c>
      <c r="F531" s="37">
        <v>20</v>
      </c>
      <c r="G531" s="37" t="s">
        <v>513</v>
      </c>
      <c r="H531" s="37" t="s">
        <v>928</v>
      </c>
      <c r="I531" s="38">
        <f t="shared" si="64"/>
        <v>32.9</v>
      </c>
      <c r="J531" s="38">
        <f t="shared" si="65"/>
        <v>8.2940496401020276</v>
      </c>
      <c r="K531" s="38">
        <f t="shared" si="66"/>
        <v>3.493472657771326</v>
      </c>
      <c r="L531" s="39">
        <f t="shared" si="67"/>
        <v>3.0395136778115502E-2</v>
      </c>
      <c r="M531" s="39">
        <f t="shared" si="68"/>
        <v>1.9223572402239388</v>
      </c>
      <c r="N531" s="39">
        <f t="shared" si="69"/>
        <v>121.58054711246201</v>
      </c>
      <c r="O531" s="40">
        <f>1</f>
        <v>1</v>
      </c>
      <c r="P531" s="38">
        <f>INDEX(Cables!$AS:$AS,MATCH(B531,Cables!$A:$A,0))+INDEX(Cables!$AT:$AT,MATCH(B531,Cables!$A:$A,0))*SQRT(C531)+INDEX(Cables!$AU:$AU,MATCH(B531,Cables!$A:$A,0))*C531</f>
        <v>33.714213685240878</v>
      </c>
      <c r="Q531" s="41">
        <f t="shared" si="70"/>
        <v>2.4748136329510118E-2</v>
      </c>
      <c r="R531" s="39">
        <f t="shared" si="71"/>
        <v>6.1247025178401849E-4</v>
      </c>
      <c r="S531" s="40" t="b">
        <f>IF(B531=B530,C531&gt;C530,COUNTIF(B$1:B530,B531)=0)</f>
        <v>1</v>
      </c>
      <c r="T531" s="37"/>
    </row>
    <row r="532" spans="1:20" x14ac:dyDescent="0.25">
      <c r="A532" s="37" t="s">
        <v>1265</v>
      </c>
      <c r="B532" s="37" t="s">
        <v>506</v>
      </c>
      <c r="C532" s="37">
        <v>5000</v>
      </c>
      <c r="D532" s="37">
        <v>38.9</v>
      </c>
      <c r="E532" s="37" t="s">
        <v>771</v>
      </c>
      <c r="F532" s="37">
        <v>20</v>
      </c>
      <c r="G532" s="37" t="s">
        <v>513</v>
      </c>
      <c r="H532" s="37" t="s">
        <v>928</v>
      </c>
      <c r="I532" s="38">
        <f t="shared" si="64"/>
        <v>38.9</v>
      </c>
      <c r="J532" s="38">
        <f t="shared" si="65"/>
        <v>8.5171931914162382</v>
      </c>
      <c r="K532" s="38">
        <f t="shared" si="66"/>
        <v>3.6609942506244004</v>
      </c>
      <c r="L532" s="39">
        <f t="shared" si="67"/>
        <v>2.570694087403599E-2</v>
      </c>
      <c r="M532" s="39">
        <f t="shared" si="68"/>
        <v>1.8177552215592483</v>
      </c>
      <c r="N532" s="39">
        <f t="shared" si="69"/>
        <v>128.53470437017995</v>
      </c>
      <c r="O532" s="40">
        <f>1</f>
        <v>1</v>
      </c>
      <c r="P532" s="38">
        <f>INDEX(Cables!$AS:$AS,MATCH(B532,Cables!$A:$A,0))+INDEX(Cables!$AT:$AT,MATCH(B532,Cables!$A:$A,0))*SQRT(C532)+INDEX(Cables!$AU:$AU,MATCH(B532,Cables!$A:$A,0))*C532</f>
        <v>39.428868216982835</v>
      </c>
      <c r="Q532" s="41">
        <f t="shared" si="70"/>
        <v>1.3595583984134629E-2</v>
      </c>
      <c r="R532" s="39">
        <f t="shared" si="71"/>
        <v>1.8483990386965803E-4</v>
      </c>
      <c r="S532" s="40" t="b">
        <f>IF(B532=B531,C532&gt;C531,COUNTIF(B$1:B531,B532)=0)</f>
        <v>1</v>
      </c>
      <c r="T532" s="37"/>
    </row>
    <row r="533" spans="1:20" x14ac:dyDescent="0.25">
      <c r="A533" s="37" t="s">
        <v>1266</v>
      </c>
      <c r="B533" s="37" t="s">
        <v>506</v>
      </c>
      <c r="C533" s="37">
        <v>6000</v>
      </c>
      <c r="D533" s="37">
        <v>44.5</v>
      </c>
      <c r="E533" s="37" t="s">
        <v>771</v>
      </c>
      <c r="F533" s="37">
        <v>20</v>
      </c>
      <c r="G533" s="37" t="s">
        <v>513</v>
      </c>
      <c r="H533" s="37" t="s">
        <v>928</v>
      </c>
      <c r="I533" s="38">
        <f t="shared" si="64"/>
        <v>44.5</v>
      </c>
      <c r="J533" s="38">
        <f t="shared" si="65"/>
        <v>8.6995147482101913</v>
      </c>
      <c r="K533" s="38">
        <f t="shared" si="66"/>
        <v>3.7954891891721947</v>
      </c>
      <c r="L533" s="39">
        <f t="shared" si="67"/>
        <v>2.247191011235955E-2</v>
      </c>
      <c r="M533" s="39">
        <f t="shared" si="68"/>
        <v>1.7406666724527715</v>
      </c>
      <c r="N533" s="39">
        <f t="shared" si="69"/>
        <v>134.83146067415731</v>
      </c>
      <c r="O533" s="40">
        <f>1</f>
        <v>1</v>
      </c>
      <c r="P533" s="38">
        <f>INDEX(Cables!$AS:$AS,MATCH(B533,Cables!$A:$A,0))+INDEX(Cables!$AT:$AT,MATCH(B533,Cables!$A:$A,0))*SQRT(C533)+INDEX(Cables!$AU:$AU,MATCH(B533,Cables!$A:$A,0))*C533</f>
        <v>44.918040585517247</v>
      </c>
      <c r="Q533" s="41">
        <f t="shared" si="70"/>
        <v>9.3941704610616128E-3</v>
      </c>
      <c r="R533" s="39">
        <f t="shared" si="71"/>
        <v>8.8250438651482559E-5</v>
      </c>
      <c r="S533" s="40" t="b">
        <f>IF(B533=B532,C533&gt;C532,COUNTIF(B$1:B532,B533)=0)</f>
        <v>1</v>
      </c>
      <c r="T533" s="37"/>
    </row>
    <row r="534" spans="1:20" x14ac:dyDescent="0.25">
      <c r="A534" s="37" t="s">
        <v>1267</v>
      </c>
      <c r="B534" s="37" t="s">
        <v>506</v>
      </c>
      <c r="C534" s="37">
        <v>7000</v>
      </c>
      <c r="D534" s="37">
        <v>50.2</v>
      </c>
      <c r="E534" s="37" t="s">
        <v>771</v>
      </c>
      <c r="F534" s="37">
        <v>20</v>
      </c>
      <c r="G534" s="37" t="s">
        <v>513</v>
      </c>
      <c r="H534" s="37" t="s">
        <v>928</v>
      </c>
      <c r="I534" s="38">
        <f t="shared" si="64"/>
        <v>50.2</v>
      </c>
      <c r="J534" s="38">
        <f t="shared" si="65"/>
        <v>8.8536654280374503</v>
      </c>
      <c r="K534" s="38">
        <f t="shared" si="66"/>
        <v>3.9160150266976834</v>
      </c>
      <c r="L534" s="39">
        <f t="shared" si="67"/>
        <v>1.9920318725099601E-2</v>
      </c>
      <c r="M534" s="39">
        <f t="shared" si="68"/>
        <v>1.6666534393109074</v>
      </c>
      <c r="N534" s="39">
        <f t="shared" si="69"/>
        <v>139.44223107569721</v>
      </c>
      <c r="O534" s="40">
        <f>1</f>
        <v>1</v>
      </c>
      <c r="P534" s="38">
        <f>INDEX(Cables!$AS:$AS,MATCH(B534,Cables!$A:$A,0))+INDEX(Cables!$AT:$AT,MATCH(B534,Cables!$A:$A,0))*SQRT(C534)+INDEX(Cables!$AU:$AU,MATCH(B534,Cables!$A:$A,0))*C534</f>
        <v>50.236353549216162</v>
      </c>
      <c r="Q534" s="41">
        <f t="shared" si="70"/>
        <v>7.2417428717441723E-4</v>
      </c>
      <c r="R534" s="39">
        <f t="shared" si="71"/>
        <v>5.244283982045753E-7</v>
      </c>
      <c r="S534" s="40" t="b">
        <f>IF(B534=B533,C534&gt;C533,COUNTIF(B$1:B533,B534)=0)</f>
        <v>1</v>
      </c>
      <c r="T534" s="37"/>
    </row>
    <row r="535" spans="1:20" x14ac:dyDescent="0.25">
      <c r="A535" s="37" t="s">
        <v>1268</v>
      </c>
      <c r="B535" s="37" t="s">
        <v>506</v>
      </c>
      <c r="C535" s="37">
        <v>8000</v>
      </c>
      <c r="D535" s="37">
        <v>55.8</v>
      </c>
      <c r="E535" s="37" t="s">
        <v>771</v>
      </c>
      <c r="F535" s="37">
        <v>20</v>
      </c>
      <c r="G535" s="37" t="s">
        <v>513</v>
      </c>
      <c r="H535" s="37" t="s">
        <v>928</v>
      </c>
      <c r="I535" s="38">
        <f t="shared" si="64"/>
        <v>55.8</v>
      </c>
      <c r="J535" s="38">
        <f t="shared" si="65"/>
        <v>8.987196820661973</v>
      </c>
      <c r="K535" s="38">
        <f t="shared" si="66"/>
        <v>4.0217738693872649</v>
      </c>
      <c r="L535" s="39">
        <f t="shared" si="67"/>
        <v>1.7921146953405021E-2</v>
      </c>
      <c r="M535" s="39">
        <f t="shared" si="68"/>
        <v>1.6029161129030751</v>
      </c>
      <c r="N535" s="39">
        <f t="shared" si="69"/>
        <v>143.36917562724014</v>
      </c>
      <c r="O535" s="40">
        <f>1</f>
        <v>1</v>
      </c>
      <c r="P535" s="38">
        <f>INDEX(Cables!$AS:$AS,MATCH(B535,Cables!$A:$A,0))+INDEX(Cables!$AT:$AT,MATCH(B535,Cables!$A:$A,0))*SQRT(C535)+INDEX(Cables!$AU:$AU,MATCH(B535,Cables!$A:$A,0))*C535</f>
        <v>55.4193968569258</v>
      </c>
      <c r="Q535" s="41">
        <f t="shared" si="70"/>
        <v>-6.8208448579605285E-3</v>
      </c>
      <c r="R535" s="39">
        <f t="shared" si="71"/>
        <v>4.652392457636658E-5</v>
      </c>
      <c r="S535" s="40" t="b">
        <f>IF(B535=B534,C535&gt;C534,COUNTIF(B$1:B534,B535)=0)</f>
        <v>1</v>
      </c>
      <c r="T535" s="37"/>
    </row>
    <row r="536" spans="1:20" x14ac:dyDescent="0.25">
      <c r="A536" s="37" t="s">
        <v>1269</v>
      </c>
      <c r="B536" s="37" t="s">
        <v>515</v>
      </c>
      <c r="C536" s="37">
        <v>1.8</v>
      </c>
      <c r="D536" s="37">
        <v>0.8</v>
      </c>
      <c r="E536" s="37" t="s">
        <v>771</v>
      </c>
      <c r="F536" s="37">
        <v>20</v>
      </c>
      <c r="G536" s="37" t="s">
        <v>522</v>
      </c>
      <c r="H536" s="37" t="s">
        <v>888</v>
      </c>
      <c r="I536" s="38">
        <f t="shared" si="64"/>
        <v>0.8</v>
      </c>
      <c r="J536" s="38">
        <f t="shared" si="65"/>
        <v>0.58778666490211906</v>
      </c>
      <c r="K536" s="38">
        <f t="shared" si="66"/>
        <v>-0.22314355131420971</v>
      </c>
      <c r="L536" s="39">
        <f t="shared" si="67"/>
        <v>1.25</v>
      </c>
      <c r="M536" s="39">
        <f t="shared" si="68"/>
        <v>1.6770509831248421</v>
      </c>
      <c r="N536" s="39">
        <f t="shared" si="69"/>
        <v>2.25</v>
      </c>
      <c r="O536" s="40">
        <f>1</f>
        <v>1</v>
      </c>
      <c r="P536" s="38">
        <f>INDEX(Cables!$AS:$AS,MATCH(B536,Cables!$A:$A,0))+INDEX(Cables!$AT:$AT,MATCH(B536,Cables!$A:$A,0))*SQRT(C536)+INDEX(Cables!$AU:$AU,MATCH(B536,Cables!$A:$A,0))*C536</f>
        <v>0.73096827436700995</v>
      </c>
      <c r="Q536" s="41">
        <f t="shared" si="70"/>
        <v>-8.6289657041237589E-2</v>
      </c>
      <c r="R536" s="39">
        <f t="shared" si="71"/>
        <v>7.4459049122944038E-3</v>
      </c>
      <c r="S536" s="40" t="b">
        <f>IF(B536=B535,C536&gt;C535,COUNTIF(B$1:B535,B536)=0)</f>
        <v>1</v>
      </c>
      <c r="T536" s="37"/>
    </row>
    <row r="537" spans="1:20" x14ac:dyDescent="0.25">
      <c r="A537" s="37" t="s">
        <v>1270</v>
      </c>
      <c r="B537" s="37" t="s">
        <v>515</v>
      </c>
      <c r="C537" s="37">
        <v>3.5</v>
      </c>
      <c r="D537" s="37">
        <v>1</v>
      </c>
      <c r="E537" s="37" t="s">
        <v>771</v>
      </c>
      <c r="F537" s="37">
        <v>20</v>
      </c>
      <c r="G537" s="37" t="s">
        <v>522</v>
      </c>
      <c r="H537" s="37" t="s">
        <v>888</v>
      </c>
      <c r="I537" s="38">
        <f t="shared" si="64"/>
        <v>1</v>
      </c>
      <c r="J537" s="38">
        <f t="shared" si="65"/>
        <v>1.2527629684953681</v>
      </c>
      <c r="K537" s="38">
        <f t="shared" si="66"/>
        <v>0</v>
      </c>
      <c r="L537" s="39">
        <f t="shared" si="67"/>
        <v>1</v>
      </c>
      <c r="M537" s="39">
        <f t="shared" si="68"/>
        <v>1.8708286933869707</v>
      </c>
      <c r="N537" s="39">
        <f t="shared" si="69"/>
        <v>3.5</v>
      </c>
      <c r="O537" s="40">
        <f>1</f>
        <v>1</v>
      </c>
      <c r="P537" s="38">
        <f>INDEX(Cables!$AS:$AS,MATCH(B537,Cables!$A:$A,0))+INDEX(Cables!$AT:$AT,MATCH(B537,Cables!$A:$A,0))*SQRT(C537)+INDEX(Cables!$AU:$AU,MATCH(B537,Cables!$A:$A,0))*C537</f>
        <v>0.91600372959890386</v>
      </c>
      <c r="Q537" s="41">
        <f t="shared" si="70"/>
        <v>-8.399627040109614E-2</v>
      </c>
      <c r="R537" s="39">
        <f t="shared" si="71"/>
        <v>7.0553734412940597E-3</v>
      </c>
      <c r="S537" s="40" t="b">
        <f>IF(B537=B536,C537&gt;C536,COUNTIF(B$1:B536,B537)=0)</f>
        <v>1</v>
      </c>
      <c r="T537" s="37"/>
    </row>
    <row r="538" spans="1:20" x14ac:dyDescent="0.25">
      <c r="A538" s="37" t="s">
        <v>1271</v>
      </c>
      <c r="B538" s="37" t="s">
        <v>515</v>
      </c>
      <c r="C538" s="37">
        <v>7</v>
      </c>
      <c r="D538" s="37">
        <v>1.1000000000000001</v>
      </c>
      <c r="E538" s="37" t="s">
        <v>771</v>
      </c>
      <c r="F538" s="37">
        <v>20</v>
      </c>
      <c r="G538" s="37" t="s">
        <v>522</v>
      </c>
      <c r="H538" s="37" t="s">
        <v>888</v>
      </c>
      <c r="I538" s="38">
        <f t="shared" si="64"/>
        <v>1.1000000000000001</v>
      </c>
      <c r="J538" s="38">
        <f t="shared" si="65"/>
        <v>1.9459101490553132</v>
      </c>
      <c r="K538" s="38">
        <f t="shared" si="66"/>
        <v>9.5310179804324935E-2</v>
      </c>
      <c r="L538" s="39">
        <f t="shared" si="67"/>
        <v>0.90909090909090906</v>
      </c>
      <c r="M538" s="39">
        <f t="shared" si="68"/>
        <v>2.4052284646041731</v>
      </c>
      <c r="N538" s="39">
        <f t="shared" si="69"/>
        <v>6.3636363636363633</v>
      </c>
      <c r="O538" s="40">
        <f>1</f>
        <v>1</v>
      </c>
      <c r="P538" s="38">
        <f>INDEX(Cables!$AS:$AS,MATCH(B538,Cables!$A:$A,0))+INDEX(Cables!$AT:$AT,MATCH(B538,Cables!$A:$A,0))*SQRT(C538)+INDEX(Cables!$AU:$AU,MATCH(B538,Cables!$A:$A,0))*C538</f>
        <v>1.1887147354916645</v>
      </c>
      <c r="Q538" s="41">
        <f t="shared" si="70"/>
        <v>8.0649759537876786E-2</v>
      </c>
      <c r="R538" s="39">
        <f t="shared" si="71"/>
        <v>6.5043837135173475E-3</v>
      </c>
      <c r="S538" s="40" t="b">
        <f>IF(B538=B537,C538&gt;C537,COUNTIF(B$1:B537,B538)=0)</f>
        <v>1</v>
      </c>
      <c r="T538" s="37"/>
    </row>
    <row r="539" spans="1:20" x14ac:dyDescent="0.25">
      <c r="A539" s="37" t="s">
        <v>1272</v>
      </c>
      <c r="B539" s="37" t="s">
        <v>515</v>
      </c>
      <c r="C539" s="37">
        <v>10</v>
      </c>
      <c r="D539" s="37">
        <v>1.3</v>
      </c>
      <c r="E539" s="37" t="s">
        <v>771</v>
      </c>
      <c r="F539" s="37">
        <v>20</v>
      </c>
      <c r="G539" s="37" t="s">
        <v>522</v>
      </c>
      <c r="H539" s="37" t="s">
        <v>888</v>
      </c>
      <c r="I539" s="38">
        <f t="shared" si="64"/>
        <v>1.3</v>
      </c>
      <c r="J539" s="38">
        <f t="shared" si="65"/>
        <v>2.3025850929940459</v>
      </c>
      <c r="K539" s="38">
        <f t="shared" si="66"/>
        <v>0.26236426446749106</v>
      </c>
      <c r="L539" s="39">
        <f t="shared" si="67"/>
        <v>0.76923076923076916</v>
      </c>
      <c r="M539" s="39">
        <f t="shared" si="68"/>
        <v>2.4325212770525995</v>
      </c>
      <c r="N539" s="39">
        <f t="shared" si="69"/>
        <v>7.6923076923076916</v>
      </c>
      <c r="O539" s="40">
        <f>1</f>
        <v>1</v>
      </c>
      <c r="P539" s="38">
        <f>INDEX(Cables!$AS:$AS,MATCH(B539,Cables!$A:$A,0))+INDEX(Cables!$AT:$AT,MATCH(B539,Cables!$A:$A,0))*SQRT(C539)+INDEX(Cables!$AU:$AU,MATCH(B539,Cables!$A:$A,0))*C539</f>
        <v>1.3716473954961654</v>
      </c>
      <c r="Q539" s="41">
        <f t="shared" si="70"/>
        <v>5.5113381150896368E-2</v>
      </c>
      <c r="R539" s="39">
        <f t="shared" si="71"/>
        <v>3.037484781883979E-3</v>
      </c>
      <c r="S539" s="40" t="b">
        <f>IF(B539=B538,C539&gt;C538,COUNTIF(B$1:B538,B539)=0)</f>
        <v>1</v>
      </c>
      <c r="T539" s="37"/>
    </row>
    <row r="540" spans="1:20" x14ac:dyDescent="0.25">
      <c r="A540" s="37" t="s">
        <v>1273</v>
      </c>
      <c r="B540" s="37" t="s">
        <v>515</v>
      </c>
      <c r="C540" s="37">
        <v>14</v>
      </c>
      <c r="D540" s="37">
        <v>1.5</v>
      </c>
      <c r="E540" s="37" t="s">
        <v>771</v>
      </c>
      <c r="F540" s="37">
        <v>20</v>
      </c>
      <c r="G540" s="37" t="s">
        <v>522</v>
      </c>
      <c r="H540" s="37" t="s">
        <v>888</v>
      </c>
      <c r="I540" s="38">
        <f t="shared" si="64"/>
        <v>1.5</v>
      </c>
      <c r="J540" s="38">
        <f t="shared" si="65"/>
        <v>2.6390573296152584</v>
      </c>
      <c r="K540" s="38">
        <f t="shared" si="66"/>
        <v>0.40546510810816438</v>
      </c>
      <c r="L540" s="39">
        <f t="shared" si="67"/>
        <v>0.66666666666666663</v>
      </c>
      <c r="M540" s="39">
        <f t="shared" si="68"/>
        <v>2.4944382578492941</v>
      </c>
      <c r="N540" s="39">
        <f t="shared" si="69"/>
        <v>9.3333333333333339</v>
      </c>
      <c r="O540" s="40">
        <f>1</f>
        <v>1</v>
      </c>
      <c r="P540" s="38">
        <f>INDEX(Cables!$AS:$AS,MATCH(B540,Cables!$A:$A,0))+INDEX(Cables!$AT:$AT,MATCH(B540,Cables!$A:$A,0))*SQRT(C540)+INDEX(Cables!$AU:$AU,MATCH(B540,Cables!$A:$A,0))*C540</f>
        <v>1.5779410262390503</v>
      </c>
      <c r="Q540" s="41">
        <f t="shared" si="70"/>
        <v>5.1960684159366943E-2</v>
      </c>
      <c r="R540" s="39">
        <f t="shared" si="71"/>
        <v>2.6999126983094867E-3</v>
      </c>
      <c r="S540" s="40" t="b">
        <f>IF(B540=B539,C540&gt;C539,COUNTIF(B$1:B539,B540)=0)</f>
        <v>1</v>
      </c>
      <c r="T540" s="37"/>
    </row>
    <row r="541" spans="1:20" x14ac:dyDescent="0.25">
      <c r="A541" s="37" t="s">
        <v>1274</v>
      </c>
      <c r="B541" s="37" t="s">
        <v>515</v>
      </c>
      <c r="C541" s="37">
        <v>21</v>
      </c>
      <c r="D541" s="37">
        <v>1.8</v>
      </c>
      <c r="E541" s="37" t="s">
        <v>771</v>
      </c>
      <c r="F541" s="37">
        <v>20</v>
      </c>
      <c r="G541" s="37" t="s">
        <v>522</v>
      </c>
      <c r="H541" s="37" t="s">
        <v>888</v>
      </c>
      <c r="I541" s="38">
        <f t="shared" si="64"/>
        <v>1.8</v>
      </c>
      <c r="J541" s="38">
        <f t="shared" si="65"/>
        <v>3.044522437723423</v>
      </c>
      <c r="K541" s="38">
        <f t="shared" si="66"/>
        <v>0.58778666490211906</v>
      </c>
      <c r="L541" s="39">
        <f t="shared" si="67"/>
        <v>0.55555555555555558</v>
      </c>
      <c r="M541" s="39">
        <f t="shared" si="68"/>
        <v>2.5458753860865775</v>
      </c>
      <c r="N541" s="39">
        <f t="shared" si="69"/>
        <v>11.666666666666666</v>
      </c>
      <c r="O541" s="40">
        <f>1</f>
        <v>1</v>
      </c>
      <c r="P541" s="38">
        <f>INDEX(Cables!$AS:$AS,MATCH(B541,Cables!$A:$A,0))+INDEX(Cables!$AT:$AT,MATCH(B541,Cables!$A:$A,0))*SQRT(C541)+INDEX(Cables!$AU:$AU,MATCH(B541,Cables!$A:$A,0))*C541</f>
        <v>1.8794286908764435</v>
      </c>
      <c r="Q541" s="41">
        <f t="shared" si="70"/>
        <v>4.4127050486913122E-2</v>
      </c>
      <c r="R541" s="39">
        <f t="shared" si="71"/>
        <v>1.9471965846745796E-3</v>
      </c>
      <c r="S541" s="40" t="b">
        <f>IF(B541=B540,C541&gt;C540,COUNTIF(B$1:B540,B541)=0)</f>
        <v>1</v>
      </c>
      <c r="T541" s="37"/>
    </row>
    <row r="542" spans="1:20" x14ac:dyDescent="0.25">
      <c r="A542" s="37" t="s">
        <v>1275</v>
      </c>
      <c r="B542" s="37" t="s">
        <v>515</v>
      </c>
      <c r="C542" s="37">
        <v>28</v>
      </c>
      <c r="D542" s="37">
        <v>2</v>
      </c>
      <c r="E542" s="37" t="s">
        <v>771</v>
      </c>
      <c r="F542" s="37">
        <v>20</v>
      </c>
      <c r="G542" s="37" t="s">
        <v>522</v>
      </c>
      <c r="H542" s="37" t="s">
        <v>888</v>
      </c>
      <c r="I542" s="38">
        <f t="shared" si="64"/>
        <v>2</v>
      </c>
      <c r="J542" s="38">
        <f t="shared" si="65"/>
        <v>3.3322045101752038</v>
      </c>
      <c r="K542" s="38">
        <f t="shared" si="66"/>
        <v>0.69314718055994529</v>
      </c>
      <c r="L542" s="39">
        <f t="shared" si="67"/>
        <v>0.5</v>
      </c>
      <c r="M542" s="39">
        <f t="shared" si="68"/>
        <v>2.6457513110645907</v>
      </c>
      <c r="N542" s="39">
        <f t="shared" si="69"/>
        <v>14</v>
      </c>
      <c r="O542" s="40">
        <f>1</f>
        <v>1</v>
      </c>
      <c r="P542" s="38">
        <f>INDEX(Cables!$AS:$AS,MATCH(B542,Cables!$A:$A,0))+INDEX(Cables!$AT:$AT,MATCH(B542,Cables!$A:$A,0))*SQRT(C542)+INDEX(Cables!$AU:$AU,MATCH(B542,Cables!$A:$A,0))*C542</f>
        <v>2.1354995006570463</v>
      </c>
      <c r="Q542" s="41">
        <f t="shared" si="70"/>
        <v>6.7749750328523151E-2</v>
      </c>
      <c r="R542" s="39">
        <f t="shared" si="71"/>
        <v>4.590028669577223E-3</v>
      </c>
      <c r="S542" s="40" t="b">
        <f>IF(B542=B541,C542&gt;C541,COUNTIF(B$1:B541,B542)=0)</f>
        <v>1</v>
      </c>
      <c r="T542" s="37"/>
    </row>
    <row r="543" spans="1:20" x14ac:dyDescent="0.25">
      <c r="A543" s="37" t="s">
        <v>1276</v>
      </c>
      <c r="B543" s="37" t="s">
        <v>515</v>
      </c>
      <c r="C543" s="37">
        <v>50</v>
      </c>
      <c r="D543" s="37">
        <v>2.7</v>
      </c>
      <c r="E543" s="37" t="s">
        <v>771</v>
      </c>
      <c r="F543" s="37">
        <v>20</v>
      </c>
      <c r="G543" s="37" t="s">
        <v>522</v>
      </c>
      <c r="H543" s="37" t="s">
        <v>888</v>
      </c>
      <c r="I543" s="38">
        <f t="shared" si="64"/>
        <v>2.7</v>
      </c>
      <c r="J543" s="38">
        <f t="shared" si="65"/>
        <v>3.912023005428146</v>
      </c>
      <c r="K543" s="38">
        <f t="shared" si="66"/>
        <v>0.99325177301028345</v>
      </c>
      <c r="L543" s="39">
        <f t="shared" si="67"/>
        <v>0.37037037037037035</v>
      </c>
      <c r="M543" s="39">
        <f t="shared" si="68"/>
        <v>2.6189140043946204</v>
      </c>
      <c r="N543" s="39">
        <f t="shared" si="69"/>
        <v>18.518518518518519</v>
      </c>
      <c r="O543" s="40">
        <f>1</f>
        <v>1</v>
      </c>
      <c r="P543" s="38">
        <f>INDEX(Cables!$AS:$AS,MATCH(B543,Cables!$A:$A,0))+INDEX(Cables!$AT:$AT,MATCH(B543,Cables!$A:$A,0))*SQRT(C543)+INDEX(Cables!$AU:$AU,MATCH(B543,Cables!$A:$A,0))*C543</f>
        <v>2.785972453745885</v>
      </c>
      <c r="Q543" s="41">
        <f t="shared" si="70"/>
        <v>3.1841649535512939E-2</v>
      </c>
      <c r="R543" s="39">
        <f t="shared" si="71"/>
        <v>1.0138906451424314E-3</v>
      </c>
      <c r="S543" s="40" t="b">
        <f>IF(B543=B542,C543&gt;C542,COUNTIF(B$1:B542,B543)=0)</f>
        <v>1</v>
      </c>
      <c r="T543" s="37"/>
    </row>
    <row r="544" spans="1:20" x14ac:dyDescent="0.25">
      <c r="A544" s="37" t="s">
        <v>1277</v>
      </c>
      <c r="B544" s="37" t="s">
        <v>515</v>
      </c>
      <c r="C544" s="37">
        <v>100</v>
      </c>
      <c r="D544" s="37">
        <v>3.9</v>
      </c>
      <c r="E544" s="37" t="s">
        <v>771</v>
      </c>
      <c r="F544" s="37">
        <v>20</v>
      </c>
      <c r="G544" s="37" t="s">
        <v>522</v>
      </c>
      <c r="H544" s="37" t="s">
        <v>888</v>
      </c>
      <c r="I544" s="38">
        <f t="shared" si="64"/>
        <v>3.9</v>
      </c>
      <c r="J544" s="38">
        <f t="shared" si="65"/>
        <v>4.6051701859880918</v>
      </c>
      <c r="K544" s="38">
        <f t="shared" si="66"/>
        <v>1.3609765531356006</v>
      </c>
      <c r="L544" s="39">
        <f t="shared" si="67"/>
        <v>0.25641025641025644</v>
      </c>
      <c r="M544" s="39">
        <f t="shared" si="68"/>
        <v>2.5641025641025643</v>
      </c>
      <c r="N544" s="39">
        <f t="shared" si="69"/>
        <v>25.641025641025642</v>
      </c>
      <c r="O544" s="40">
        <f>1</f>
        <v>1</v>
      </c>
      <c r="P544" s="38">
        <f>INDEX(Cables!$AS:$AS,MATCH(B544,Cables!$A:$A,0))+INDEX(Cables!$AT:$AT,MATCH(B544,Cables!$A:$A,0))*SQRT(C544)+INDEX(Cables!$AU:$AU,MATCH(B544,Cables!$A:$A,0))*C544</f>
        <v>3.8804764302946126</v>
      </c>
      <c r="Q544" s="41">
        <f t="shared" si="70"/>
        <v>-5.0060435142018633E-3</v>
      </c>
      <c r="R544" s="39">
        <f t="shared" si="71"/>
        <v>2.5060471666082541E-5</v>
      </c>
      <c r="S544" s="40" t="b">
        <f>IF(B544=B543,C544&gt;C543,COUNTIF(B$1:B543,B544)=0)</f>
        <v>1</v>
      </c>
      <c r="T544" s="37"/>
    </row>
    <row r="545" spans="1:20" x14ac:dyDescent="0.25">
      <c r="A545" s="37" t="s">
        <v>1278</v>
      </c>
      <c r="B545" s="37" t="s">
        <v>515</v>
      </c>
      <c r="C545" s="37">
        <v>144</v>
      </c>
      <c r="D545" s="37">
        <v>4.7</v>
      </c>
      <c r="E545" s="37" t="s">
        <v>771</v>
      </c>
      <c r="F545" s="37">
        <v>20</v>
      </c>
      <c r="G545" s="37" t="s">
        <v>522</v>
      </c>
      <c r="H545" s="37" t="s">
        <v>888</v>
      </c>
      <c r="I545" s="38">
        <f t="shared" si="64"/>
        <v>4.7</v>
      </c>
      <c r="J545" s="38">
        <f t="shared" si="65"/>
        <v>4.9698132995760007</v>
      </c>
      <c r="K545" s="38">
        <f t="shared" si="66"/>
        <v>1.547562508716013</v>
      </c>
      <c r="L545" s="39">
        <f t="shared" si="67"/>
        <v>0.21276595744680851</v>
      </c>
      <c r="M545" s="39">
        <f t="shared" si="68"/>
        <v>2.5531914893617018</v>
      </c>
      <c r="N545" s="39">
        <f t="shared" si="69"/>
        <v>30.638297872340424</v>
      </c>
      <c r="O545" s="40">
        <f>1</f>
        <v>1</v>
      </c>
      <c r="P545" s="38">
        <f>INDEX(Cables!$AS:$AS,MATCH(B545,Cables!$A:$A,0))+INDEX(Cables!$AT:$AT,MATCH(B545,Cables!$A:$A,0))*SQRT(C545)+INDEX(Cables!$AU:$AU,MATCH(B545,Cables!$A:$A,0))*C545</f>
        <v>4.6449418662609157</v>
      </c>
      <c r="Q545" s="41">
        <f t="shared" si="70"/>
        <v>-1.1714496540230712E-2</v>
      </c>
      <c r="R545" s="39">
        <f t="shared" si="71"/>
        <v>1.3722942919107731E-4</v>
      </c>
      <c r="S545" s="40" t="b">
        <f>IF(B545=B544,C545&gt;C544,COUNTIF(B$1:B544,B545)=0)</f>
        <v>1</v>
      </c>
      <c r="T545" s="37"/>
    </row>
    <row r="546" spans="1:20" x14ac:dyDescent="0.25">
      <c r="A546" s="37" t="s">
        <v>1279</v>
      </c>
      <c r="B546" s="37" t="s">
        <v>515</v>
      </c>
      <c r="C546" s="37">
        <v>200</v>
      </c>
      <c r="D546" s="37">
        <v>5.6</v>
      </c>
      <c r="E546" s="37" t="s">
        <v>771</v>
      </c>
      <c r="F546" s="37">
        <v>20</v>
      </c>
      <c r="G546" s="37" t="s">
        <v>522</v>
      </c>
      <c r="H546" s="37" t="s">
        <v>888</v>
      </c>
      <c r="I546" s="38">
        <f t="shared" si="64"/>
        <v>5.6</v>
      </c>
      <c r="J546" s="38">
        <f t="shared" si="65"/>
        <v>5.2983173665480363</v>
      </c>
      <c r="K546" s="38">
        <f t="shared" si="66"/>
        <v>1.7227665977411035</v>
      </c>
      <c r="L546" s="39">
        <f t="shared" si="67"/>
        <v>0.17857142857142858</v>
      </c>
      <c r="M546" s="39">
        <f t="shared" si="68"/>
        <v>2.5253813613805272</v>
      </c>
      <c r="N546" s="39">
        <f t="shared" si="69"/>
        <v>35.714285714285715</v>
      </c>
      <c r="O546" s="40">
        <f>1</f>
        <v>1</v>
      </c>
      <c r="P546" s="38">
        <f>INDEX(Cables!$AS:$AS,MATCH(B546,Cables!$A:$A,0))+INDEX(Cables!$AT:$AT,MATCH(B546,Cables!$A:$A,0))*SQRT(C546)+INDEX(Cables!$AU:$AU,MATCH(B546,Cables!$A:$A,0))*C546</f>
        <v>5.4791200495073173</v>
      </c>
      <c r="Q546" s="41">
        <f t="shared" si="70"/>
        <v>-2.1585705445121839E-2</v>
      </c>
      <c r="R546" s="39">
        <f t="shared" si="71"/>
        <v>4.659426795635626E-4</v>
      </c>
      <c r="S546" s="40" t="b">
        <f>IF(B546=B545,C546&gt;C545,COUNTIF(B$1:B545,B546)=0)</f>
        <v>1</v>
      </c>
      <c r="T546" s="37"/>
    </row>
    <row r="547" spans="1:20" x14ac:dyDescent="0.25">
      <c r="A547" s="37" t="s">
        <v>1280</v>
      </c>
      <c r="B547" s="37" t="s">
        <v>515</v>
      </c>
      <c r="C547" s="37">
        <v>400</v>
      </c>
      <c r="D547" s="37">
        <v>8.3000000000000007</v>
      </c>
      <c r="E547" s="37" t="s">
        <v>771</v>
      </c>
      <c r="F547" s="37">
        <v>20</v>
      </c>
      <c r="G547" s="37" t="s">
        <v>522</v>
      </c>
      <c r="H547" s="37" t="s">
        <v>888</v>
      </c>
      <c r="I547" s="38">
        <f t="shared" si="64"/>
        <v>8.3000000000000007</v>
      </c>
      <c r="J547" s="38">
        <f t="shared" si="65"/>
        <v>5.9914645471079817</v>
      </c>
      <c r="K547" s="38">
        <f t="shared" si="66"/>
        <v>2.1162555148025524</v>
      </c>
      <c r="L547" s="39">
        <f t="shared" si="67"/>
        <v>0.12048192771084336</v>
      </c>
      <c r="M547" s="39">
        <f t="shared" si="68"/>
        <v>2.4096385542168672</v>
      </c>
      <c r="N547" s="39">
        <f t="shared" si="69"/>
        <v>48.192771084337345</v>
      </c>
      <c r="O547" s="40">
        <f>1</f>
        <v>1</v>
      </c>
      <c r="P547" s="38">
        <f>INDEX(Cables!$AS:$AS,MATCH(B547,Cables!$A:$A,0))+INDEX(Cables!$AT:$AT,MATCH(B547,Cables!$A:$A,0))*SQRT(C547)+INDEX(Cables!$AU:$AU,MATCH(B547,Cables!$A:$A,0))*C547</f>
        <v>7.8415060402115513</v>
      </c>
      <c r="Q547" s="41">
        <f t="shared" si="70"/>
        <v>-5.5240236119090236E-2</v>
      </c>
      <c r="R547" s="39">
        <f t="shared" si="71"/>
        <v>3.0514836864928415E-3</v>
      </c>
      <c r="S547" s="40" t="b">
        <f>IF(B547=B546,C547&gt;C546,COUNTIF(B$1:B546,B547)=0)</f>
        <v>1</v>
      </c>
      <c r="T547" s="37"/>
    </row>
    <row r="548" spans="1:20" x14ac:dyDescent="0.25">
      <c r="A548" s="37" t="s">
        <v>1281</v>
      </c>
      <c r="B548" s="37" t="s">
        <v>515</v>
      </c>
      <c r="C548" s="37">
        <v>430</v>
      </c>
      <c r="D548" s="37">
        <v>8.6</v>
      </c>
      <c r="E548" s="37" t="s">
        <v>771</v>
      </c>
      <c r="F548" s="37">
        <v>20</v>
      </c>
      <c r="G548" s="37" t="s">
        <v>522</v>
      </c>
      <c r="H548" s="37" t="s">
        <v>888</v>
      </c>
      <c r="I548" s="38">
        <f t="shared" si="64"/>
        <v>8.6</v>
      </c>
      <c r="J548" s="38">
        <f t="shared" si="65"/>
        <v>6.0637852086876078</v>
      </c>
      <c r="K548" s="38">
        <f t="shared" si="66"/>
        <v>2.1517622032594619</v>
      </c>
      <c r="L548" s="39">
        <f t="shared" si="67"/>
        <v>0.11627906976744186</v>
      </c>
      <c r="M548" s="39">
        <f t="shared" si="68"/>
        <v>2.4112141108520606</v>
      </c>
      <c r="N548" s="39">
        <f t="shared" si="69"/>
        <v>50</v>
      </c>
      <c r="O548" s="40">
        <f>1</f>
        <v>1</v>
      </c>
      <c r="P548" s="38">
        <f>INDEX(Cables!$AS:$AS,MATCH(B548,Cables!$A:$A,0))+INDEX(Cables!$AT:$AT,MATCH(B548,Cables!$A:$A,0))*SQRT(C548)+INDEX(Cables!$AU:$AU,MATCH(B548,Cables!$A:$A,0))*C548</f>
        <v>8.1469212251476932</v>
      </c>
      <c r="Q548" s="41">
        <f t="shared" si="70"/>
        <v>-5.2683578471198422E-2</v>
      </c>
      <c r="R548" s="39">
        <f t="shared" si="71"/>
        <v>2.775559440530922E-3</v>
      </c>
      <c r="S548" s="40" t="b">
        <f>IF(B548=B547,C548&gt;C547,COUNTIF(B$1:B547,B548)=0)</f>
        <v>1</v>
      </c>
      <c r="T548" s="37"/>
    </row>
    <row r="549" spans="1:20" x14ac:dyDescent="0.25">
      <c r="A549" s="37" t="s">
        <v>1282</v>
      </c>
      <c r="B549" s="37" t="s">
        <v>515</v>
      </c>
      <c r="C549" s="37">
        <v>800</v>
      </c>
      <c r="D549" s="37">
        <v>11.9</v>
      </c>
      <c r="E549" s="37" t="s">
        <v>771</v>
      </c>
      <c r="F549" s="37">
        <v>20</v>
      </c>
      <c r="G549" s="37" t="s">
        <v>522</v>
      </c>
      <c r="H549" s="37" t="s">
        <v>888</v>
      </c>
      <c r="I549" s="38">
        <f t="shared" si="64"/>
        <v>11.9</v>
      </c>
      <c r="J549" s="38">
        <f t="shared" si="65"/>
        <v>6.6846117276679271</v>
      </c>
      <c r="K549" s="38">
        <f t="shared" si="66"/>
        <v>2.4765384001174837</v>
      </c>
      <c r="L549" s="39">
        <f t="shared" si="67"/>
        <v>8.4033613445378144E-2</v>
      </c>
      <c r="M549" s="39">
        <f t="shared" si="68"/>
        <v>2.3768295165934372</v>
      </c>
      <c r="N549" s="39">
        <f t="shared" si="69"/>
        <v>67.226890756302524</v>
      </c>
      <c r="O549" s="40">
        <f>1</f>
        <v>1</v>
      </c>
      <c r="P549" s="38">
        <f>INDEX(Cables!$AS:$AS,MATCH(B549,Cables!$A:$A,0))+INDEX(Cables!$AT:$AT,MATCH(B549,Cables!$A:$A,0))*SQRT(C549)+INDEX(Cables!$AU:$AU,MATCH(B549,Cables!$A:$A,0))*C549</f>
        <v>11.38554935385052</v>
      </c>
      <c r="Q549" s="41">
        <f t="shared" si="70"/>
        <v>-4.3231146735250525E-2</v>
      </c>
      <c r="R549" s="39">
        <f t="shared" si="71"/>
        <v>1.8689320480447622E-3</v>
      </c>
      <c r="S549" s="40" t="b">
        <f>IF(B549=B548,C549&gt;C548,COUNTIF(B$1:B548,B549)=0)</f>
        <v>1</v>
      </c>
      <c r="T549" s="37"/>
    </row>
    <row r="550" spans="1:20" x14ac:dyDescent="0.25">
      <c r="A550" s="37" t="s">
        <v>1283</v>
      </c>
      <c r="B550" s="37" t="s">
        <v>515</v>
      </c>
      <c r="C550" s="37">
        <v>1000</v>
      </c>
      <c r="D550" s="37">
        <v>13.4</v>
      </c>
      <c r="E550" s="37" t="s">
        <v>771</v>
      </c>
      <c r="F550" s="37">
        <v>20</v>
      </c>
      <c r="G550" s="37" t="s">
        <v>522</v>
      </c>
      <c r="H550" s="37" t="s">
        <v>888</v>
      </c>
      <c r="I550" s="38">
        <f t="shared" si="64"/>
        <v>13.4</v>
      </c>
      <c r="J550" s="38">
        <f t="shared" si="65"/>
        <v>6.9077552789821368</v>
      </c>
      <c r="K550" s="38">
        <f t="shared" si="66"/>
        <v>2.5952547069568657</v>
      </c>
      <c r="L550" s="39">
        <f t="shared" si="67"/>
        <v>7.4626865671641784E-2</v>
      </c>
      <c r="M550" s="39">
        <f t="shared" si="68"/>
        <v>2.3599087016181932</v>
      </c>
      <c r="N550" s="39">
        <f t="shared" si="69"/>
        <v>74.626865671641795</v>
      </c>
      <c r="O550" s="40">
        <f>1</f>
        <v>1</v>
      </c>
      <c r="P550" s="38">
        <f>INDEX(Cables!$AS:$AS,MATCH(B550,Cables!$A:$A,0))+INDEX(Cables!$AT:$AT,MATCH(B550,Cables!$A:$A,0))*SQRT(C550)+INDEX(Cables!$AU:$AU,MATCH(B550,Cables!$A:$A,0))*C550</f>
        <v>12.881050233101577</v>
      </c>
      <c r="Q550" s="41">
        <f t="shared" si="70"/>
        <v>-3.8727594544658461E-2</v>
      </c>
      <c r="R550" s="39">
        <f t="shared" si="71"/>
        <v>1.4998265792154598E-3</v>
      </c>
      <c r="S550" s="40" t="b">
        <f>IF(B550=B549,C550&gt;C549,COUNTIF(B$1:B549,B550)=0)</f>
        <v>1</v>
      </c>
      <c r="T550" s="37"/>
    </row>
    <row r="551" spans="1:20" x14ac:dyDescent="0.25">
      <c r="A551" s="37" t="s">
        <v>1284</v>
      </c>
      <c r="B551" s="37" t="s">
        <v>515</v>
      </c>
      <c r="C551" s="37">
        <v>1296</v>
      </c>
      <c r="D551" s="37">
        <v>15.4</v>
      </c>
      <c r="E551" s="37" t="s">
        <v>771</v>
      </c>
      <c r="F551" s="37">
        <v>20</v>
      </c>
      <c r="G551" s="37" t="s">
        <v>522</v>
      </c>
      <c r="H551" s="37" t="s">
        <v>888</v>
      </c>
      <c r="I551" s="38">
        <f t="shared" si="64"/>
        <v>15.4</v>
      </c>
      <c r="J551" s="38">
        <f t="shared" si="65"/>
        <v>7.1670378769122198</v>
      </c>
      <c r="K551" s="38">
        <f t="shared" si="66"/>
        <v>2.7343675094195836</v>
      </c>
      <c r="L551" s="39">
        <f t="shared" si="67"/>
        <v>6.4935064935064929E-2</v>
      </c>
      <c r="M551" s="39">
        <f t="shared" si="68"/>
        <v>2.3376623376623376</v>
      </c>
      <c r="N551" s="39">
        <f t="shared" si="69"/>
        <v>84.15584415584415</v>
      </c>
      <c r="O551" s="40">
        <f>1</f>
        <v>1</v>
      </c>
      <c r="P551" s="38">
        <f>INDEX(Cables!$AS:$AS,MATCH(B551,Cables!$A:$A,0))+INDEX(Cables!$AT:$AT,MATCH(B551,Cables!$A:$A,0))*SQRT(C551)+INDEX(Cables!$AU:$AU,MATCH(B551,Cables!$A:$A,0))*C551</f>
        <v>14.900406052522857</v>
      </c>
      <c r="Q551" s="41">
        <f t="shared" si="70"/>
        <v>-3.2441165420593721E-2</v>
      </c>
      <c r="R551" s="39">
        <f t="shared" si="71"/>
        <v>1.0524292138463258E-3</v>
      </c>
      <c r="S551" s="40" t="b">
        <f>IF(B551=B550,C551&gt;C550,COUNTIF(B$1:B550,B551)=0)</f>
        <v>1</v>
      </c>
      <c r="T551" s="37"/>
    </row>
    <row r="552" spans="1:20" x14ac:dyDescent="0.25">
      <c r="A552" s="37" t="s">
        <v>1285</v>
      </c>
      <c r="B552" s="37" t="s">
        <v>515</v>
      </c>
      <c r="C552" s="37">
        <v>2400</v>
      </c>
      <c r="D552" s="37">
        <v>21.8</v>
      </c>
      <c r="E552" s="37" t="s">
        <v>771</v>
      </c>
      <c r="F552" s="37">
        <v>20</v>
      </c>
      <c r="G552" s="37" t="s">
        <v>522</v>
      </c>
      <c r="H552" s="37" t="s">
        <v>888</v>
      </c>
      <c r="I552" s="38">
        <f t="shared" si="64"/>
        <v>21.8</v>
      </c>
      <c r="J552" s="38">
        <f t="shared" si="65"/>
        <v>7.7832240163360371</v>
      </c>
      <c r="K552" s="38">
        <f t="shared" si="66"/>
        <v>3.0819099697950434</v>
      </c>
      <c r="L552" s="39">
        <f t="shared" si="67"/>
        <v>4.5871559633027519E-2</v>
      </c>
      <c r="M552" s="39">
        <f t="shared" si="68"/>
        <v>2.2472382961313557</v>
      </c>
      <c r="N552" s="39">
        <f t="shared" si="69"/>
        <v>110.09174311926606</v>
      </c>
      <c r="O552" s="40">
        <f>1</f>
        <v>1</v>
      </c>
      <c r="P552" s="38">
        <f>INDEX(Cables!$AS:$AS,MATCH(B552,Cables!$A:$A,0))+INDEX(Cables!$AT:$AT,MATCH(B552,Cables!$A:$A,0))*SQRT(C552)+INDEX(Cables!$AU:$AU,MATCH(B552,Cables!$A:$A,0))*C552</f>
        <v>21.284152250407832</v>
      </c>
      <c r="Q552" s="41">
        <f t="shared" si="70"/>
        <v>-2.3662740806980165E-2</v>
      </c>
      <c r="R552" s="39">
        <f t="shared" si="71"/>
        <v>5.5992530249832431E-4</v>
      </c>
      <c r="S552" s="40" t="b">
        <f>IF(B552=B551,C552&gt;C551,COUNTIF(B$1:B551,B552)=0)</f>
        <v>1</v>
      </c>
      <c r="T552" s="37"/>
    </row>
    <row r="553" spans="1:20" x14ac:dyDescent="0.25">
      <c r="A553" s="37" t="s">
        <v>1286</v>
      </c>
      <c r="B553" s="37" t="s">
        <v>515</v>
      </c>
      <c r="C553" s="37">
        <v>3000</v>
      </c>
      <c r="D553" s="37">
        <v>24.6</v>
      </c>
      <c r="E553" s="37" t="s">
        <v>771</v>
      </c>
      <c r="F553" s="37">
        <v>20</v>
      </c>
      <c r="G553" s="37" t="s">
        <v>522</v>
      </c>
      <c r="H553" s="37" t="s">
        <v>888</v>
      </c>
      <c r="I553" s="38">
        <f t="shared" si="64"/>
        <v>24.6</v>
      </c>
      <c r="J553" s="38">
        <f t="shared" si="65"/>
        <v>8.0063675676502459</v>
      </c>
      <c r="K553" s="38">
        <f t="shared" si="66"/>
        <v>3.202746442938317</v>
      </c>
      <c r="L553" s="39">
        <f t="shared" si="67"/>
        <v>4.065040650406504E-2</v>
      </c>
      <c r="M553" s="39">
        <f t="shared" si="68"/>
        <v>2.2265144614031143</v>
      </c>
      <c r="N553" s="39">
        <f t="shared" si="69"/>
        <v>121.95121951219511</v>
      </c>
      <c r="O553" s="40">
        <f>1</f>
        <v>1</v>
      </c>
      <c r="P553" s="38">
        <f>INDEX(Cables!$AS:$AS,MATCH(B553,Cables!$A:$A,0))+INDEX(Cables!$AT:$AT,MATCH(B553,Cables!$A:$A,0))*SQRT(C553)+INDEX(Cables!$AU:$AU,MATCH(B553,Cables!$A:$A,0))*C553</f>
        <v>24.314104841572217</v>
      </c>
      <c r="Q553" s="41">
        <f t="shared" si="70"/>
        <v>-1.1621754407633578E-2</v>
      </c>
      <c r="R553" s="39">
        <f t="shared" si="71"/>
        <v>1.3506517551135048E-4</v>
      </c>
      <c r="S553" s="40" t="b">
        <f>IF(B553=B552,C553&gt;C552,COUNTIF(B$1:B552,B553)=0)</f>
        <v>1</v>
      </c>
      <c r="T553" s="37"/>
    </row>
    <row r="554" spans="1:20" x14ac:dyDescent="0.25">
      <c r="A554" s="37" t="s">
        <v>1287</v>
      </c>
      <c r="B554" s="37" t="s">
        <v>515</v>
      </c>
      <c r="C554" s="37">
        <v>4000</v>
      </c>
      <c r="D554" s="37">
        <v>29.1</v>
      </c>
      <c r="E554" s="37" t="s">
        <v>771</v>
      </c>
      <c r="F554" s="37">
        <v>20</v>
      </c>
      <c r="G554" s="37" t="s">
        <v>522</v>
      </c>
      <c r="H554" s="37" t="s">
        <v>888</v>
      </c>
      <c r="I554" s="38">
        <f t="shared" si="64"/>
        <v>29.1</v>
      </c>
      <c r="J554" s="38">
        <f t="shared" si="65"/>
        <v>8.2940496401020276</v>
      </c>
      <c r="K554" s="38">
        <f t="shared" si="66"/>
        <v>3.3707381741774469</v>
      </c>
      <c r="L554" s="39">
        <f t="shared" si="67"/>
        <v>3.4364261168384876E-2</v>
      </c>
      <c r="M554" s="39">
        <f t="shared" si="68"/>
        <v>2.1733867080195046</v>
      </c>
      <c r="N554" s="39">
        <f t="shared" si="69"/>
        <v>137.45704467353951</v>
      </c>
      <c r="O554" s="40">
        <f>1</f>
        <v>1</v>
      </c>
      <c r="P554" s="38">
        <f>INDEX(Cables!$AS:$AS,MATCH(B554,Cables!$A:$A,0))+INDEX(Cables!$AT:$AT,MATCH(B554,Cables!$A:$A,0))*SQRT(C554)+INDEX(Cables!$AU:$AU,MATCH(B554,Cables!$A:$A,0))*C554</f>
        <v>28.963458322747506</v>
      </c>
      <c r="Q554" s="41">
        <f t="shared" si="70"/>
        <v>-4.6921538574740129E-3</v>
      </c>
      <c r="R554" s="39">
        <f t="shared" si="71"/>
        <v>2.2016307822208259E-5</v>
      </c>
      <c r="S554" s="40" t="b">
        <f>IF(B554=B553,C554&gt;C553,COUNTIF(B$1:B553,B554)=0)</f>
        <v>1</v>
      </c>
      <c r="T554" s="37"/>
    </row>
    <row r="555" spans="1:20" x14ac:dyDescent="0.25">
      <c r="A555" s="37" t="s">
        <v>1288</v>
      </c>
      <c r="B555" s="37" t="s">
        <v>515</v>
      </c>
      <c r="C555" s="37">
        <v>5000</v>
      </c>
      <c r="D555" s="37">
        <v>33.1</v>
      </c>
      <c r="E555" s="37" t="s">
        <v>771</v>
      </c>
      <c r="F555" s="37">
        <v>20</v>
      </c>
      <c r="G555" s="37" t="s">
        <v>522</v>
      </c>
      <c r="H555" s="37" t="s">
        <v>888</v>
      </c>
      <c r="I555" s="38">
        <f t="shared" si="64"/>
        <v>33.1</v>
      </c>
      <c r="J555" s="38">
        <f t="shared" si="65"/>
        <v>8.5171931914162382</v>
      </c>
      <c r="K555" s="38">
        <f t="shared" si="66"/>
        <v>3.4995332823830174</v>
      </c>
      <c r="L555" s="39">
        <f t="shared" si="67"/>
        <v>3.0211480362537763E-2</v>
      </c>
      <c r="M555" s="39">
        <f t="shared" si="68"/>
        <v>2.1362742634034668</v>
      </c>
      <c r="N555" s="39">
        <f t="shared" si="69"/>
        <v>151.05740181268882</v>
      </c>
      <c r="O555" s="40">
        <f>1</f>
        <v>1</v>
      </c>
      <c r="P555" s="38">
        <f>INDEX(Cables!$AS:$AS,MATCH(B555,Cables!$A:$A,0))+INDEX(Cables!$AT:$AT,MATCH(B555,Cables!$A:$A,0))*SQRT(C555)+INDEX(Cables!$AU:$AU,MATCH(B555,Cables!$A:$A,0))*C555</f>
        <v>33.265910169442833</v>
      </c>
      <c r="Q555" s="41">
        <f t="shared" si="70"/>
        <v>5.0123918260673861E-3</v>
      </c>
      <c r="R555" s="39">
        <f t="shared" si="71"/>
        <v>2.5124071818027144E-5</v>
      </c>
      <c r="S555" s="40" t="b">
        <f>IF(B555=B554,C555&gt;C554,COUNTIF(B$1:B554,B555)=0)</f>
        <v>1</v>
      </c>
      <c r="T555" s="37"/>
    </row>
    <row r="556" spans="1:20" x14ac:dyDescent="0.25">
      <c r="A556" s="37" t="s">
        <v>1289</v>
      </c>
      <c r="B556" s="37" t="s">
        <v>515</v>
      </c>
      <c r="C556" s="37">
        <v>6000</v>
      </c>
      <c r="D556" s="37">
        <v>36.9</v>
      </c>
      <c r="E556" s="37" t="s">
        <v>771</v>
      </c>
      <c r="F556" s="37">
        <v>20</v>
      </c>
      <c r="G556" s="37" t="s">
        <v>522</v>
      </c>
      <c r="H556" s="37" t="s">
        <v>888</v>
      </c>
      <c r="I556" s="38">
        <f t="shared" si="64"/>
        <v>36.9</v>
      </c>
      <c r="J556" s="38">
        <f t="shared" si="65"/>
        <v>8.6995147482101913</v>
      </c>
      <c r="K556" s="38">
        <f t="shared" si="66"/>
        <v>3.6082115510464816</v>
      </c>
      <c r="L556" s="39">
        <f t="shared" si="67"/>
        <v>2.7100271002710029E-2</v>
      </c>
      <c r="M556" s="39">
        <f t="shared" si="68"/>
        <v>2.0991779654240741</v>
      </c>
      <c r="N556" s="39">
        <f t="shared" si="69"/>
        <v>162.60162601626016</v>
      </c>
      <c r="O556" s="40">
        <f>1</f>
        <v>1</v>
      </c>
      <c r="P556" s="38">
        <f>INDEX(Cables!$AS:$AS,MATCH(B556,Cables!$A:$A,0))+INDEX(Cables!$AT:$AT,MATCH(B556,Cables!$A:$A,0))*SQRT(C556)+INDEX(Cables!$AU:$AU,MATCH(B556,Cables!$A:$A,0))*C556</f>
        <v>37.321947064588443</v>
      </c>
      <c r="Q556" s="41">
        <f t="shared" si="70"/>
        <v>1.1434879799144815E-2</v>
      </c>
      <c r="R556" s="39">
        <f t="shared" si="71"/>
        <v>1.3075647602089015E-4</v>
      </c>
      <c r="S556" s="40" t="b">
        <f>IF(B556=B555,C556&gt;C555,COUNTIF(B$1:B555,B556)=0)</f>
        <v>1</v>
      </c>
      <c r="T556" s="37"/>
    </row>
    <row r="557" spans="1:20" x14ac:dyDescent="0.25">
      <c r="A557" s="37" t="s">
        <v>1290</v>
      </c>
      <c r="B557" s="37" t="s">
        <v>515</v>
      </c>
      <c r="C557" s="37">
        <v>7000</v>
      </c>
      <c r="D557" s="37">
        <v>40.700000000000003</v>
      </c>
      <c r="E557" s="37" t="s">
        <v>771</v>
      </c>
      <c r="F557" s="37">
        <v>20</v>
      </c>
      <c r="G557" s="37" t="s">
        <v>522</v>
      </c>
      <c r="H557" s="37" t="s">
        <v>888</v>
      </c>
      <c r="I557" s="38">
        <f t="shared" si="64"/>
        <v>40.700000000000003</v>
      </c>
      <c r="J557" s="38">
        <f t="shared" si="65"/>
        <v>8.8536654280374503</v>
      </c>
      <c r="K557" s="38">
        <f t="shared" si="66"/>
        <v>3.7062280924485496</v>
      </c>
      <c r="L557" s="39">
        <f t="shared" si="67"/>
        <v>2.4570024570024569E-2</v>
      </c>
      <c r="M557" s="39">
        <f t="shared" si="68"/>
        <v>2.0556757408699644</v>
      </c>
      <c r="N557" s="39">
        <f t="shared" si="69"/>
        <v>171.99017199017197</v>
      </c>
      <c r="O557" s="40">
        <f>1</f>
        <v>1</v>
      </c>
      <c r="P557" s="38">
        <f>INDEX(Cables!$AS:$AS,MATCH(B557,Cables!$A:$A,0))+INDEX(Cables!$AT:$AT,MATCH(B557,Cables!$A:$A,0))*SQRT(C557)+INDEX(Cables!$AU:$AU,MATCH(B557,Cables!$A:$A,0))*C557</f>
        <v>41.191262707084022</v>
      </c>
      <c r="Q557" s="41">
        <f t="shared" si="70"/>
        <v>1.20703367833912E-2</v>
      </c>
      <c r="R557" s="39">
        <f t="shared" si="71"/>
        <v>1.4569303006448662E-4</v>
      </c>
      <c r="S557" s="40" t="b">
        <f>IF(B557=B556,C557&gt;C556,COUNTIF(B$1:B556,B557)=0)</f>
        <v>1</v>
      </c>
      <c r="T557" s="37"/>
    </row>
    <row r="558" spans="1:20" x14ac:dyDescent="0.25">
      <c r="A558" s="37" t="s">
        <v>1291</v>
      </c>
      <c r="B558" s="37" t="s">
        <v>515</v>
      </c>
      <c r="C558" s="37">
        <v>8000</v>
      </c>
      <c r="D558" s="37">
        <v>44.2</v>
      </c>
      <c r="E558" s="37" t="s">
        <v>771</v>
      </c>
      <c r="F558" s="37">
        <v>20</v>
      </c>
      <c r="G558" s="37" t="s">
        <v>522</v>
      </c>
      <c r="H558" s="37" t="s">
        <v>888</v>
      </c>
      <c r="I558" s="38">
        <f t="shared" si="64"/>
        <v>44.2</v>
      </c>
      <c r="J558" s="38">
        <f t="shared" si="65"/>
        <v>8.987196820661973</v>
      </c>
      <c r="K558" s="38">
        <f t="shared" si="66"/>
        <v>3.7887247890836524</v>
      </c>
      <c r="L558" s="39">
        <f t="shared" si="67"/>
        <v>2.2624434389140271E-2</v>
      </c>
      <c r="M558" s="39">
        <f t="shared" si="68"/>
        <v>2.0235909298640631</v>
      </c>
      <c r="N558" s="39">
        <f t="shared" si="69"/>
        <v>180.99547511312215</v>
      </c>
      <c r="O558" s="40">
        <f>1</f>
        <v>1</v>
      </c>
      <c r="P558" s="38">
        <f>INDEX(Cables!$AS:$AS,MATCH(B558,Cables!$A:$A,0))+INDEX(Cables!$AT:$AT,MATCH(B558,Cables!$A:$A,0))*SQRT(C558)+INDEX(Cables!$AU:$AU,MATCH(B558,Cables!$A:$A,0))*C558</f>
        <v>44.9127508440573</v>
      </c>
      <c r="Q558" s="41">
        <f t="shared" si="70"/>
        <v>1.612558470717862E-2</v>
      </c>
      <c r="R558" s="39">
        <f t="shared" si="71"/>
        <v>2.6003448214839296E-4</v>
      </c>
      <c r="S558" s="40" t="b">
        <f>IF(B558=B557,C558&gt;C557,COUNTIF(B$1:B557,B558)=0)</f>
        <v>1</v>
      </c>
      <c r="T558" s="37"/>
    </row>
    <row r="559" spans="1:20" x14ac:dyDescent="0.25">
      <c r="A559" s="37" t="s">
        <v>1292</v>
      </c>
      <c r="B559" s="37" t="s">
        <v>515</v>
      </c>
      <c r="C559" s="37">
        <v>9000</v>
      </c>
      <c r="D559" s="37">
        <v>47.5</v>
      </c>
      <c r="E559" s="37" t="s">
        <v>771</v>
      </c>
      <c r="F559" s="37">
        <v>20</v>
      </c>
      <c r="G559" s="37" t="s">
        <v>522</v>
      </c>
      <c r="H559" s="37" t="s">
        <v>888</v>
      </c>
      <c r="I559" s="38">
        <f t="shared" si="64"/>
        <v>47.5</v>
      </c>
      <c r="J559" s="38">
        <f t="shared" si="65"/>
        <v>9.1049798563183568</v>
      </c>
      <c r="K559" s="38">
        <f t="shared" si="66"/>
        <v>3.8607297110405954</v>
      </c>
      <c r="L559" s="39">
        <f t="shared" si="67"/>
        <v>2.1052631578947368E-2</v>
      </c>
      <c r="M559" s="39">
        <f t="shared" si="68"/>
        <v>1.9972279958958183</v>
      </c>
      <c r="N559" s="39">
        <f t="shared" si="69"/>
        <v>189.47368421052633</v>
      </c>
      <c r="O559" s="40">
        <f>1</f>
        <v>1</v>
      </c>
      <c r="P559" s="38">
        <f>INDEX(Cables!$AS:$AS,MATCH(B559,Cables!$A:$A,0))+INDEX(Cables!$AT:$AT,MATCH(B559,Cables!$A:$A,0))*SQRT(C559)+INDEX(Cables!$AU:$AU,MATCH(B559,Cables!$A:$A,0))*C559</f>
        <v>48.513427164529034</v>
      </c>
      <c r="Q559" s="41">
        <f t="shared" si="70"/>
        <v>2.1335308726927016E-2</v>
      </c>
      <c r="R559" s="39">
        <f t="shared" si="71"/>
        <v>4.5519539847328809E-4</v>
      </c>
      <c r="S559" s="40" t="b">
        <f>IF(B559=B558,C559&gt;C558,COUNTIF(B$1:B558,B559)=0)</f>
        <v>1</v>
      </c>
      <c r="T559" s="37"/>
    </row>
    <row r="560" spans="1:20" x14ac:dyDescent="0.25">
      <c r="A560" s="37" t="s">
        <v>1293</v>
      </c>
      <c r="B560" s="37" t="s">
        <v>515</v>
      </c>
      <c r="C560" s="37">
        <v>10000</v>
      </c>
      <c r="D560" s="37">
        <v>50.7</v>
      </c>
      <c r="E560" s="37" t="s">
        <v>771</v>
      </c>
      <c r="F560" s="37">
        <v>20</v>
      </c>
      <c r="G560" s="37" t="s">
        <v>522</v>
      </c>
      <c r="H560" s="37" t="s">
        <v>888</v>
      </c>
      <c r="I560" s="38">
        <f t="shared" si="64"/>
        <v>50.7</v>
      </c>
      <c r="J560" s="38">
        <f t="shared" si="65"/>
        <v>9.2103403719761836</v>
      </c>
      <c r="K560" s="38">
        <f t="shared" si="66"/>
        <v>3.9259259105971376</v>
      </c>
      <c r="L560" s="39">
        <f t="shared" si="67"/>
        <v>1.9723865877712032E-2</v>
      </c>
      <c r="M560" s="39">
        <f t="shared" si="68"/>
        <v>1.972386587771203</v>
      </c>
      <c r="N560" s="39">
        <f t="shared" si="69"/>
        <v>197.23865877712029</v>
      </c>
      <c r="O560" s="40">
        <f>1</f>
        <v>1</v>
      </c>
      <c r="P560" s="38">
        <f>INDEX(Cables!$AS:$AS,MATCH(B560,Cables!$A:$A,0))+INDEX(Cables!$AT:$AT,MATCH(B560,Cables!$A:$A,0))*SQRT(C560)+INDEX(Cables!$AU:$AU,MATCH(B560,Cables!$A:$A,0))*C560</f>
        <v>52.012961627235178</v>
      </c>
      <c r="Q560" s="41">
        <f t="shared" si="70"/>
        <v>2.5896679038169168E-2</v>
      </c>
      <c r="R560" s="39">
        <f t="shared" si="71"/>
        <v>6.7063798520595043E-4</v>
      </c>
      <c r="S560" s="40" t="b">
        <f>IF(B560=B559,C560&gt;C559,COUNTIF(B$1:B559,B560)=0)</f>
        <v>1</v>
      </c>
      <c r="T560" s="37"/>
    </row>
    <row r="561" spans="1:20" x14ac:dyDescent="0.25">
      <c r="A561" s="37" t="s">
        <v>1294</v>
      </c>
      <c r="B561" s="37" t="s">
        <v>524</v>
      </c>
      <c r="C561" s="37">
        <v>7</v>
      </c>
      <c r="D561" s="37">
        <v>1</v>
      </c>
      <c r="E561" s="37" t="s">
        <v>771</v>
      </c>
      <c r="F561" s="37">
        <v>20</v>
      </c>
      <c r="G561" s="37" t="s">
        <v>529</v>
      </c>
      <c r="H561" s="37" t="s">
        <v>1295</v>
      </c>
      <c r="I561" s="38">
        <f t="shared" si="64"/>
        <v>1</v>
      </c>
      <c r="J561" s="38">
        <f t="shared" si="65"/>
        <v>1.9459101490553132</v>
      </c>
      <c r="K561" s="38">
        <f t="shared" si="66"/>
        <v>0</v>
      </c>
      <c r="L561" s="39">
        <f t="shared" si="67"/>
        <v>1</v>
      </c>
      <c r="M561" s="39">
        <f t="shared" si="68"/>
        <v>2.6457513110645907</v>
      </c>
      <c r="N561" s="39">
        <f t="shared" si="69"/>
        <v>7</v>
      </c>
      <c r="O561" s="40">
        <f>1</f>
        <v>1</v>
      </c>
      <c r="P561" s="38">
        <f>INDEX(Cables!$AS:$AS,MATCH(B561,Cables!$A:$A,0))+INDEX(Cables!$AT:$AT,MATCH(B561,Cables!$A:$A,0))*SQRT(C561)+INDEX(Cables!$AU:$AU,MATCH(B561,Cables!$A:$A,0))*C561</f>
        <v>0.99768276449317017</v>
      </c>
      <c r="Q561" s="41">
        <f t="shared" si="70"/>
        <v>-2.3172355068298289E-3</v>
      </c>
      <c r="R561" s="39">
        <f t="shared" si="71"/>
        <v>5.3695803941128943E-6</v>
      </c>
      <c r="S561" s="40" t="b">
        <f>IF(B561=B560,C561&gt;C560,COUNTIF(B$1:B560,B561)=0)</f>
        <v>1</v>
      </c>
      <c r="T561" s="37"/>
    </row>
    <row r="562" spans="1:20" x14ac:dyDescent="0.25">
      <c r="A562" s="37" t="s">
        <v>1296</v>
      </c>
      <c r="B562" s="37" t="s">
        <v>524</v>
      </c>
      <c r="C562" s="37">
        <v>10</v>
      </c>
      <c r="D562" s="37">
        <v>1.2</v>
      </c>
      <c r="E562" s="37" t="s">
        <v>771</v>
      </c>
      <c r="F562" s="37">
        <v>20</v>
      </c>
      <c r="G562" s="37" t="s">
        <v>529</v>
      </c>
      <c r="H562" s="37" t="s">
        <v>1295</v>
      </c>
      <c r="I562" s="38">
        <f t="shared" si="64"/>
        <v>1.2</v>
      </c>
      <c r="J562" s="38">
        <f t="shared" si="65"/>
        <v>2.3025850929940459</v>
      </c>
      <c r="K562" s="38">
        <f t="shared" si="66"/>
        <v>0.18232155679395459</v>
      </c>
      <c r="L562" s="39">
        <f t="shared" si="67"/>
        <v>0.83333333333333337</v>
      </c>
      <c r="M562" s="39">
        <f t="shared" si="68"/>
        <v>2.6352313834736498</v>
      </c>
      <c r="N562" s="39">
        <f t="shared" si="69"/>
        <v>8.3333333333333339</v>
      </c>
      <c r="O562" s="40">
        <f>1</f>
        <v>1</v>
      </c>
      <c r="P562" s="38">
        <f>INDEX(Cables!$AS:$AS,MATCH(B562,Cables!$A:$A,0))+INDEX(Cables!$AT:$AT,MATCH(B562,Cables!$A:$A,0))*SQRT(C562)+INDEX(Cables!$AU:$AU,MATCH(B562,Cables!$A:$A,0))*C562</f>
        <v>1.1968933100302743</v>
      </c>
      <c r="Q562" s="41">
        <f t="shared" si="70"/>
        <v>-2.5889083081046538E-3</v>
      </c>
      <c r="R562" s="39">
        <f t="shared" si="71"/>
        <v>6.7024462277733009E-6</v>
      </c>
      <c r="S562" s="40" t="b">
        <f>IF(B562=B561,C562&gt;C561,COUNTIF(B$1:B561,B562)=0)</f>
        <v>1</v>
      </c>
      <c r="T562" s="37"/>
    </row>
    <row r="563" spans="1:20" x14ac:dyDescent="0.25">
      <c r="A563" s="37" t="s">
        <v>1297</v>
      </c>
      <c r="B563" s="37" t="s">
        <v>524</v>
      </c>
      <c r="C563" s="37">
        <v>14</v>
      </c>
      <c r="D563" s="37">
        <v>1.4</v>
      </c>
      <c r="E563" s="37" t="s">
        <v>771</v>
      </c>
      <c r="F563" s="37">
        <v>20</v>
      </c>
      <c r="G563" s="37" t="s">
        <v>529</v>
      </c>
      <c r="H563" s="37" t="s">
        <v>1295</v>
      </c>
      <c r="I563" s="38">
        <f t="shared" si="64"/>
        <v>1.4</v>
      </c>
      <c r="J563" s="38">
        <f t="shared" si="65"/>
        <v>2.6390573296152584</v>
      </c>
      <c r="K563" s="38">
        <f t="shared" si="66"/>
        <v>0.33647223662121289</v>
      </c>
      <c r="L563" s="39">
        <f t="shared" si="67"/>
        <v>0.7142857142857143</v>
      </c>
      <c r="M563" s="39">
        <f t="shared" si="68"/>
        <v>2.6726124191242442</v>
      </c>
      <c r="N563" s="39">
        <f t="shared" si="69"/>
        <v>10</v>
      </c>
      <c r="O563" s="40">
        <f>1</f>
        <v>1</v>
      </c>
      <c r="P563" s="38">
        <f>INDEX(Cables!$AS:$AS,MATCH(B563,Cables!$A:$A,0))+INDEX(Cables!$AT:$AT,MATCH(B563,Cables!$A:$A,0))*SQRT(C563)+INDEX(Cables!$AU:$AU,MATCH(B563,Cables!$A:$A,0))*C563</f>
        <v>1.4213837161657097</v>
      </c>
      <c r="Q563" s="41">
        <f t="shared" si="70"/>
        <v>1.527408297550692E-2</v>
      </c>
      <c r="R563" s="39">
        <f t="shared" si="71"/>
        <v>2.3329761074267032E-4</v>
      </c>
      <c r="S563" s="40" t="b">
        <f>IF(B563=B562,C563&gt;C562,COUNTIF(B$1:B562,B563)=0)</f>
        <v>1</v>
      </c>
      <c r="T563" s="37"/>
    </row>
    <row r="564" spans="1:20" x14ac:dyDescent="0.25">
      <c r="A564" s="37" t="s">
        <v>1298</v>
      </c>
      <c r="B564" s="37" t="s">
        <v>524</v>
      </c>
      <c r="C564" s="37">
        <v>21</v>
      </c>
      <c r="D564" s="37">
        <v>1.8</v>
      </c>
      <c r="E564" s="37" t="s">
        <v>771</v>
      </c>
      <c r="F564" s="37">
        <v>20</v>
      </c>
      <c r="G564" s="37" t="s">
        <v>529</v>
      </c>
      <c r="H564" s="37" t="s">
        <v>1295</v>
      </c>
      <c r="I564" s="38">
        <f t="shared" si="64"/>
        <v>1.8</v>
      </c>
      <c r="J564" s="38">
        <f t="shared" si="65"/>
        <v>3.044522437723423</v>
      </c>
      <c r="K564" s="38">
        <f t="shared" si="66"/>
        <v>0.58778666490211906</v>
      </c>
      <c r="L564" s="39">
        <f t="shared" si="67"/>
        <v>0.55555555555555558</v>
      </c>
      <c r="M564" s="39">
        <f t="shared" si="68"/>
        <v>2.5458753860865775</v>
      </c>
      <c r="N564" s="39">
        <f t="shared" si="69"/>
        <v>11.666666666666666</v>
      </c>
      <c r="O564" s="40">
        <f>1</f>
        <v>1</v>
      </c>
      <c r="P564" s="38">
        <f>INDEX(Cables!$AS:$AS,MATCH(B564,Cables!$A:$A,0))+INDEX(Cables!$AT:$AT,MATCH(B564,Cables!$A:$A,0))*SQRT(C564)+INDEX(Cables!$AU:$AU,MATCH(B564,Cables!$A:$A,0))*C564</f>
        <v>1.7491659877114318</v>
      </c>
      <c r="Q564" s="41">
        <f t="shared" si="70"/>
        <v>-2.8241117938093474E-2</v>
      </c>
      <c r="R564" s="39">
        <f t="shared" si="71"/>
        <v>7.9756074239330503E-4</v>
      </c>
      <c r="S564" s="40" t="b">
        <f>IF(B564=B563,C564&gt;C563,COUNTIF(B$1:B563,B564)=0)</f>
        <v>1</v>
      </c>
      <c r="T564" s="37"/>
    </row>
    <row r="565" spans="1:20" x14ac:dyDescent="0.25">
      <c r="A565" s="37" t="s">
        <v>1299</v>
      </c>
      <c r="B565" s="37" t="s">
        <v>524</v>
      </c>
      <c r="C565" s="37">
        <v>28</v>
      </c>
      <c r="D565" s="37">
        <v>2</v>
      </c>
      <c r="E565" s="37" t="s">
        <v>771</v>
      </c>
      <c r="F565" s="37">
        <v>20</v>
      </c>
      <c r="G565" s="37" t="s">
        <v>529</v>
      </c>
      <c r="H565" s="37" t="s">
        <v>1295</v>
      </c>
      <c r="I565" s="38">
        <f t="shared" si="64"/>
        <v>2</v>
      </c>
      <c r="J565" s="38">
        <f t="shared" si="65"/>
        <v>3.3322045101752038</v>
      </c>
      <c r="K565" s="38">
        <f t="shared" si="66"/>
        <v>0.69314718055994529</v>
      </c>
      <c r="L565" s="39">
        <f t="shared" si="67"/>
        <v>0.5</v>
      </c>
      <c r="M565" s="39">
        <f t="shared" si="68"/>
        <v>2.6457513110645907</v>
      </c>
      <c r="N565" s="39">
        <f t="shared" si="69"/>
        <v>14</v>
      </c>
      <c r="O565" s="40">
        <f>1</f>
        <v>1</v>
      </c>
      <c r="P565" s="38">
        <f>INDEX(Cables!$AS:$AS,MATCH(B565,Cables!$A:$A,0))+INDEX(Cables!$AT:$AT,MATCH(B565,Cables!$A:$A,0))*SQRT(C565)+INDEX(Cables!$AU:$AU,MATCH(B565,Cables!$A:$A,0))*C565</f>
        <v>2.0272970968613198</v>
      </c>
      <c r="Q565" s="41">
        <f t="shared" si="70"/>
        <v>1.3648548430659879E-2</v>
      </c>
      <c r="R565" s="39">
        <f t="shared" si="71"/>
        <v>1.8628287426406825E-4</v>
      </c>
      <c r="S565" s="40" t="b">
        <f>IF(B565=B564,C565&gt;C564,COUNTIF(B$1:B564,B565)=0)</f>
        <v>1</v>
      </c>
      <c r="T565" s="37"/>
    </row>
    <row r="566" spans="1:20" x14ac:dyDescent="0.25">
      <c r="A566" s="37" t="s">
        <v>1300</v>
      </c>
      <c r="B566" s="37" t="s">
        <v>524</v>
      </c>
      <c r="C566" s="37">
        <v>50</v>
      </c>
      <c r="D566" s="37">
        <v>2.7</v>
      </c>
      <c r="E566" s="37" t="s">
        <v>771</v>
      </c>
      <c r="F566" s="37">
        <v>20</v>
      </c>
      <c r="G566" s="37" t="s">
        <v>529</v>
      </c>
      <c r="H566" s="37" t="s">
        <v>1295</v>
      </c>
      <c r="I566" s="38">
        <f t="shared" si="64"/>
        <v>2.7</v>
      </c>
      <c r="J566" s="38">
        <f t="shared" si="65"/>
        <v>3.912023005428146</v>
      </c>
      <c r="K566" s="38">
        <f t="shared" si="66"/>
        <v>0.99325177301028345</v>
      </c>
      <c r="L566" s="39">
        <f t="shared" si="67"/>
        <v>0.37037037037037035</v>
      </c>
      <c r="M566" s="39">
        <f t="shared" si="68"/>
        <v>2.6189140043946204</v>
      </c>
      <c r="N566" s="39">
        <f t="shared" si="69"/>
        <v>18.518518518518519</v>
      </c>
      <c r="O566" s="40">
        <f>1</f>
        <v>1</v>
      </c>
      <c r="P566" s="38">
        <f>INDEX(Cables!$AS:$AS,MATCH(B566,Cables!$A:$A,0))+INDEX(Cables!$AT:$AT,MATCH(B566,Cables!$A:$A,0))*SQRT(C566)+INDEX(Cables!$AU:$AU,MATCH(B566,Cables!$A:$A,0))*C566</f>
        <v>2.732714750707677</v>
      </c>
      <c r="Q566" s="41">
        <f t="shared" si="70"/>
        <v>1.2116574336176633E-2</v>
      </c>
      <c r="R566" s="39">
        <f t="shared" si="71"/>
        <v>1.4681137364409421E-4</v>
      </c>
      <c r="S566" s="40" t="b">
        <f>IF(B566=B565,C566&gt;C565,COUNTIF(B$1:B565,B566)=0)</f>
        <v>1</v>
      </c>
      <c r="T566" s="37"/>
    </row>
    <row r="567" spans="1:20" x14ac:dyDescent="0.25">
      <c r="A567" s="37" t="s">
        <v>1301</v>
      </c>
      <c r="B567" s="37" t="s">
        <v>524</v>
      </c>
      <c r="C567" s="37">
        <v>100</v>
      </c>
      <c r="D567" s="37">
        <v>3.9</v>
      </c>
      <c r="E567" s="37" t="s">
        <v>771</v>
      </c>
      <c r="F567" s="37">
        <v>20</v>
      </c>
      <c r="G567" s="37" t="s">
        <v>529</v>
      </c>
      <c r="H567" s="37" t="s">
        <v>1295</v>
      </c>
      <c r="I567" s="38">
        <f t="shared" si="64"/>
        <v>3.9</v>
      </c>
      <c r="J567" s="38">
        <f t="shared" si="65"/>
        <v>4.6051701859880918</v>
      </c>
      <c r="K567" s="38">
        <f t="shared" si="66"/>
        <v>1.3609765531356006</v>
      </c>
      <c r="L567" s="39">
        <f t="shared" si="67"/>
        <v>0.25641025641025644</v>
      </c>
      <c r="M567" s="39">
        <f t="shared" si="68"/>
        <v>2.5641025641025643</v>
      </c>
      <c r="N567" s="39">
        <f t="shared" si="69"/>
        <v>25.641025641025642</v>
      </c>
      <c r="O567" s="40">
        <f>1</f>
        <v>1</v>
      </c>
      <c r="P567" s="38">
        <f>INDEX(Cables!$AS:$AS,MATCH(B567,Cables!$A:$A,0))+INDEX(Cables!$AT:$AT,MATCH(B567,Cables!$A:$A,0))*SQRT(C567)+INDEX(Cables!$AU:$AU,MATCH(B567,Cables!$A:$A,0))*C567</f>
        <v>3.9163065084137409</v>
      </c>
      <c r="Q567" s="41">
        <f t="shared" si="70"/>
        <v>4.181156003523423E-3</v>
      </c>
      <c r="R567" s="39">
        <f t="shared" si="71"/>
        <v>1.7482065525799962E-5</v>
      </c>
      <c r="S567" s="40" t="b">
        <f>IF(B567=B566,C567&gt;C566,COUNTIF(B$1:B566,B567)=0)</f>
        <v>1</v>
      </c>
      <c r="T567" s="37"/>
    </row>
    <row r="568" spans="1:20" x14ac:dyDescent="0.25">
      <c r="A568" s="37" t="s">
        <v>1302</v>
      </c>
      <c r="B568" s="37" t="s">
        <v>524</v>
      </c>
      <c r="C568" s="37">
        <v>144</v>
      </c>
      <c r="D568" s="37">
        <v>4.8</v>
      </c>
      <c r="E568" s="37" t="s">
        <v>771</v>
      </c>
      <c r="F568" s="37">
        <v>20</v>
      </c>
      <c r="G568" s="37" t="s">
        <v>529</v>
      </c>
      <c r="H568" s="37" t="s">
        <v>1295</v>
      </c>
      <c r="I568" s="38">
        <f t="shared" si="64"/>
        <v>4.8</v>
      </c>
      <c r="J568" s="38">
        <f t="shared" si="65"/>
        <v>4.9698132995760007</v>
      </c>
      <c r="K568" s="38">
        <f t="shared" si="66"/>
        <v>1.5686159179138452</v>
      </c>
      <c r="L568" s="39">
        <f t="shared" si="67"/>
        <v>0.20833333333333334</v>
      </c>
      <c r="M568" s="39">
        <f t="shared" si="68"/>
        <v>2.5</v>
      </c>
      <c r="N568" s="39">
        <f t="shared" si="69"/>
        <v>30</v>
      </c>
      <c r="O568" s="40">
        <f>1</f>
        <v>1</v>
      </c>
      <c r="P568" s="38">
        <f>INDEX(Cables!$AS:$AS,MATCH(B568,Cables!$A:$A,0))+INDEX(Cables!$AT:$AT,MATCH(B568,Cables!$A:$A,0))*SQRT(C568)+INDEX(Cables!$AU:$AU,MATCH(B568,Cables!$A:$A,0))*C568</f>
        <v>4.7406441593961803</v>
      </c>
      <c r="Q568" s="41">
        <f t="shared" si="70"/>
        <v>-1.236580012579569E-2</v>
      </c>
      <c r="R568" s="39">
        <f t="shared" si="71"/>
        <v>1.529130127511287E-4</v>
      </c>
      <c r="S568" s="40" t="b">
        <f>IF(B568=B567,C568&gt;C567,COUNTIF(B$1:B567,B568)=0)</f>
        <v>1</v>
      </c>
      <c r="T568" s="37"/>
    </row>
    <row r="569" spans="1:20" x14ac:dyDescent="0.25">
      <c r="A569" s="37" t="s">
        <v>1303</v>
      </c>
      <c r="B569" s="37" t="s">
        <v>524</v>
      </c>
      <c r="C569" s="37">
        <v>230</v>
      </c>
      <c r="D569" s="37">
        <v>6.1</v>
      </c>
      <c r="E569" s="37" t="s">
        <v>771</v>
      </c>
      <c r="F569" s="37">
        <v>20</v>
      </c>
      <c r="G569" s="37" t="s">
        <v>529</v>
      </c>
      <c r="H569" s="37" t="s">
        <v>1295</v>
      </c>
      <c r="I569" s="38">
        <f t="shared" si="64"/>
        <v>6.1</v>
      </c>
      <c r="J569" s="38">
        <f t="shared" si="65"/>
        <v>5.4380793089231956</v>
      </c>
      <c r="K569" s="38">
        <f t="shared" si="66"/>
        <v>1.8082887711792655</v>
      </c>
      <c r="L569" s="39">
        <f t="shared" si="67"/>
        <v>0.16393442622950821</v>
      </c>
      <c r="M569" s="39">
        <f t="shared" si="68"/>
        <v>2.4861886701808364</v>
      </c>
      <c r="N569" s="39">
        <f t="shared" si="69"/>
        <v>37.704918032786885</v>
      </c>
      <c r="O569" s="40">
        <f>1</f>
        <v>1</v>
      </c>
      <c r="P569" s="38">
        <f>INDEX(Cables!$AS:$AS,MATCH(B569,Cables!$A:$A,0))+INDEX(Cables!$AT:$AT,MATCH(B569,Cables!$A:$A,0))*SQRT(C569)+INDEX(Cables!$AU:$AU,MATCH(B569,Cables!$A:$A,0))*C569</f>
        <v>6.0722275517925075</v>
      </c>
      <c r="Q569" s="41">
        <f t="shared" si="70"/>
        <v>-4.5528603618839592E-3</v>
      </c>
      <c r="R569" s="39">
        <f t="shared" si="71"/>
        <v>2.0728537474814135E-5</v>
      </c>
      <c r="S569" s="40" t="b">
        <f>IF(B569=B568,C569&gt;C568,COUNTIF(B$1:B568,B569)=0)</f>
        <v>1</v>
      </c>
      <c r="T569" s="37"/>
    </row>
    <row r="570" spans="1:20" x14ac:dyDescent="0.25">
      <c r="A570" s="37" t="s">
        <v>1304</v>
      </c>
      <c r="B570" s="37" t="s">
        <v>524</v>
      </c>
      <c r="C570" s="37">
        <v>300</v>
      </c>
      <c r="D570" s="37">
        <v>7</v>
      </c>
      <c r="E570" s="37" t="s">
        <v>771</v>
      </c>
      <c r="F570" s="37">
        <v>20</v>
      </c>
      <c r="G570" s="37" t="s">
        <v>529</v>
      </c>
      <c r="H570" s="37" t="s">
        <v>1295</v>
      </c>
      <c r="I570" s="38">
        <f t="shared" si="64"/>
        <v>7</v>
      </c>
      <c r="J570" s="38">
        <f t="shared" si="65"/>
        <v>5.7037824746562009</v>
      </c>
      <c r="K570" s="38">
        <f t="shared" si="66"/>
        <v>1.9459101490553132</v>
      </c>
      <c r="L570" s="39">
        <f t="shared" si="67"/>
        <v>0.14285714285714285</v>
      </c>
      <c r="M570" s="39">
        <f t="shared" si="68"/>
        <v>2.4743582965269679</v>
      </c>
      <c r="N570" s="39">
        <f t="shared" si="69"/>
        <v>42.857142857142854</v>
      </c>
      <c r="O570" s="40">
        <f>1</f>
        <v>1</v>
      </c>
      <c r="P570" s="38">
        <f>INDEX(Cables!$AS:$AS,MATCH(B570,Cables!$A:$A,0))+INDEX(Cables!$AT:$AT,MATCH(B570,Cables!$A:$A,0))*SQRT(C570)+INDEX(Cables!$AU:$AU,MATCH(B570,Cables!$A:$A,0))*C570</f>
        <v>6.997324555961387</v>
      </c>
      <c r="Q570" s="41">
        <f t="shared" si="70"/>
        <v>-3.8220629123042471E-4</v>
      </c>
      <c r="R570" s="39">
        <f t="shared" si="71"/>
        <v>1.4608164905611622E-7</v>
      </c>
      <c r="S570" s="40" t="b">
        <f>IF(B570=B569,C570&gt;C569,COUNTIF(B$1:B569,B570)=0)</f>
        <v>1</v>
      </c>
      <c r="T570" s="37"/>
    </row>
    <row r="571" spans="1:20" x14ac:dyDescent="0.25">
      <c r="A571" s="37" t="s">
        <v>1305</v>
      </c>
      <c r="B571" s="37" t="s">
        <v>524</v>
      </c>
      <c r="C571" s="37">
        <v>400</v>
      </c>
      <c r="D571" s="37">
        <v>8.1999999999999993</v>
      </c>
      <c r="E571" s="37" t="s">
        <v>771</v>
      </c>
      <c r="F571" s="37">
        <v>20</v>
      </c>
      <c r="G571" s="37" t="s">
        <v>529</v>
      </c>
      <c r="H571" s="37" t="s">
        <v>1295</v>
      </c>
      <c r="I571" s="38">
        <f t="shared" si="64"/>
        <v>8.1999999999999993</v>
      </c>
      <c r="J571" s="38">
        <f t="shared" si="65"/>
        <v>5.9914645471079817</v>
      </c>
      <c r="K571" s="38">
        <f t="shared" si="66"/>
        <v>2.1041341542702074</v>
      </c>
      <c r="L571" s="39">
        <f t="shared" si="67"/>
        <v>0.12195121951219513</v>
      </c>
      <c r="M571" s="39">
        <f t="shared" si="68"/>
        <v>2.4390243902439028</v>
      </c>
      <c r="N571" s="39">
        <f t="shared" si="69"/>
        <v>48.780487804878049</v>
      </c>
      <c r="O571" s="40">
        <f>1</f>
        <v>1</v>
      </c>
      <c r="P571" s="38">
        <f>INDEX(Cables!$AS:$AS,MATCH(B571,Cables!$A:$A,0))+INDEX(Cables!$AT:$AT,MATCH(B571,Cables!$A:$A,0))*SQRT(C571)+INDEX(Cables!$AU:$AU,MATCH(B571,Cables!$A:$A,0))*C571</f>
        <v>8.1689005585134726</v>
      </c>
      <c r="Q571" s="41">
        <f t="shared" si="70"/>
        <v>-3.7926148154300288E-3</v>
      </c>
      <c r="R571" s="39">
        <f t="shared" si="71"/>
        <v>1.4383927138219351E-5</v>
      </c>
      <c r="S571" s="40" t="b">
        <f>IF(B571=B570,C571&gt;C570,COUNTIF(B$1:B570,B571)=0)</f>
        <v>1</v>
      </c>
      <c r="T571" s="37"/>
    </row>
    <row r="572" spans="1:20" x14ac:dyDescent="0.25">
      <c r="A572" s="37" t="s">
        <v>1306</v>
      </c>
      <c r="B572" s="37" t="s">
        <v>524</v>
      </c>
      <c r="C572" s="37">
        <v>432</v>
      </c>
      <c r="D572" s="37">
        <v>8.5</v>
      </c>
      <c r="E572" s="37" t="s">
        <v>771</v>
      </c>
      <c r="F572" s="37">
        <v>20</v>
      </c>
      <c r="G572" s="37" t="s">
        <v>529</v>
      </c>
      <c r="H572" s="37" t="s">
        <v>1295</v>
      </c>
      <c r="I572" s="38">
        <f t="shared" si="64"/>
        <v>8.5</v>
      </c>
      <c r="J572" s="38">
        <f t="shared" si="65"/>
        <v>6.0684255882441107</v>
      </c>
      <c r="K572" s="38">
        <f t="shared" si="66"/>
        <v>2.1400661634962708</v>
      </c>
      <c r="L572" s="39">
        <f t="shared" si="67"/>
        <v>0.11764705882352941</v>
      </c>
      <c r="M572" s="39">
        <f t="shared" si="68"/>
        <v>2.4452481989207682</v>
      </c>
      <c r="N572" s="39">
        <f t="shared" si="69"/>
        <v>50.823529411764703</v>
      </c>
      <c r="O572" s="40">
        <f>1</f>
        <v>1</v>
      </c>
      <c r="P572" s="38">
        <f>INDEX(Cables!$AS:$AS,MATCH(B572,Cables!$A:$A,0))+INDEX(Cables!$AT:$AT,MATCH(B572,Cables!$A:$A,0))*SQRT(C572)+INDEX(Cables!$AU:$AU,MATCH(B572,Cables!$A:$A,0))*C572</f>
        <v>8.5164092935658751</v>
      </c>
      <c r="Q572" s="41">
        <f t="shared" si="70"/>
        <v>1.9305051253970529E-3</v>
      </c>
      <c r="R572" s="39">
        <f t="shared" si="71"/>
        <v>3.7268500391842911E-6</v>
      </c>
      <c r="S572" s="40" t="b">
        <f>IF(B572=B571,C572&gt;C571,COUNTIF(B$1:B571,B572)=0)</f>
        <v>1</v>
      </c>
      <c r="T572" s="37"/>
    </row>
    <row r="573" spans="1:20" x14ac:dyDescent="0.25">
      <c r="A573" s="37" t="s">
        <v>1307</v>
      </c>
      <c r="B573" s="37" t="s">
        <v>524</v>
      </c>
      <c r="C573" s="37">
        <v>470</v>
      </c>
      <c r="D573" s="37">
        <v>8.9</v>
      </c>
      <c r="E573" s="37" t="s">
        <v>771</v>
      </c>
      <c r="F573" s="37">
        <v>20</v>
      </c>
      <c r="G573" s="37" t="s">
        <v>529</v>
      </c>
      <c r="H573" s="37" t="s">
        <v>1295</v>
      </c>
      <c r="I573" s="38">
        <f t="shared" si="64"/>
        <v>8.9</v>
      </c>
      <c r="J573" s="38">
        <f t="shared" si="65"/>
        <v>6.1527326947041043</v>
      </c>
      <c r="K573" s="38">
        <f t="shared" si="66"/>
        <v>2.1860512767380942</v>
      </c>
      <c r="L573" s="39">
        <f t="shared" si="67"/>
        <v>0.11235955056179775</v>
      </c>
      <c r="M573" s="39">
        <f t="shared" si="68"/>
        <v>2.4358970099639099</v>
      </c>
      <c r="N573" s="39">
        <f t="shared" si="69"/>
        <v>52.80898876404494</v>
      </c>
      <c r="O573" s="40">
        <f>1</f>
        <v>1</v>
      </c>
      <c r="P573" s="38">
        <f>INDEX(Cables!$AS:$AS,MATCH(B573,Cables!$A:$A,0))+INDEX(Cables!$AT:$AT,MATCH(B573,Cables!$A:$A,0))*SQRT(C573)+INDEX(Cables!$AU:$AU,MATCH(B573,Cables!$A:$A,0))*C573</f>
        <v>8.9152139452090253</v>
      </c>
      <c r="Q573" s="41">
        <f t="shared" si="70"/>
        <v>1.7094320459578594E-3</v>
      </c>
      <c r="R573" s="39">
        <f t="shared" si="71"/>
        <v>2.9221579197476731E-6</v>
      </c>
      <c r="S573" s="40" t="b">
        <f>IF(B573=B572,C573&gt;C572,COUNTIF(B$1:B572,B573)=0)</f>
        <v>1</v>
      </c>
      <c r="T573" s="37"/>
    </row>
    <row r="574" spans="1:20" x14ac:dyDescent="0.25">
      <c r="A574" s="37" t="s">
        <v>1308</v>
      </c>
      <c r="B574" s="37" t="s">
        <v>524</v>
      </c>
      <c r="C574" s="37">
        <v>800</v>
      </c>
      <c r="D574" s="37">
        <v>11.9</v>
      </c>
      <c r="E574" s="37" t="s">
        <v>771</v>
      </c>
      <c r="F574" s="37">
        <v>20</v>
      </c>
      <c r="G574" s="37" t="s">
        <v>529</v>
      </c>
      <c r="H574" s="37" t="s">
        <v>1295</v>
      </c>
      <c r="I574" s="38">
        <f t="shared" si="64"/>
        <v>11.9</v>
      </c>
      <c r="J574" s="38">
        <f t="shared" si="65"/>
        <v>6.6846117276679271</v>
      </c>
      <c r="K574" s="38">
        <f t="shared" si="66"/>
        <v>2.4765384001174837</v>
      </c>
      <c r="L574" s="39">
        <f t="shared" si="67"/>
        <v>8.4033613445378144E-2</v>
      </c>
      <c r="M574" s="39">
        <f t="shared" si="68"/>
        <v>2.3768295165934372</v>
      </c>
      <c r="N574" s="39">
        <f t="shared" si="69"/>
        <v>67.226890756302524</v>
      </c>
      <c r="O574" s="40">
        <f>1</f>
        <v>1</v>
      </c>
      <c r="P574" s="38">
        <f>INDEX(Cables!$AS:$AS,MATCH(B574,Cables!$A:$A,0))+INDEX(Cables!$AT:$AT,MATCH(B574,Cables!$A:$A,0))*SQRT(C574)+INDEX(Cables!$AU:$AU,MATCH(B574,Cables!$A:$A,0))*C574</f>
        <v>11.939721627888682</v>
      </c>
      <c r="Q574" s="41">
        <f t="shared" si="70"/>
        <v>3.3379519234186805E-3</v>
      </c>
      <c r="R574" s="39">
        <f t="shared" si="71"/>
        <v>1.1141923043054468E-5</v>
      </c>
      <c r="S574" s="40" t="b">
        <f>IF(B574=B573,C574&gt;C573,COUNTIF(B$1:B573,B574)=0)</f>
        <v>1</v>
      </c>
      <c r="T574" s="37"/>
    </row>
    <row r="575" spans="1:20" x14ac:dyDescent="0.25">
      <c r="A575" s="37" t="s">
        <v>1309</v>
      </c>
      <c r="B575" s="37" t="s">
        <v>524</v>
      </c>
      <c r="C575" s="37">
        <v>860</v>
      </c>
      <c r="D575" s="37">
        <v>12.4</v>
      </c>
      <c r="E575" s="37" t="s">
        <v>771</v>
      </c>
      <c r="F575" s="37">
        <v>20</v>
      </c>
      <c r="G575" s="37" t="s">
        <v>529</v>
      </c>
      <c r="H575" s="37" t="s">
        <v>1295</v>
      </c>
      <c r="I575" s="38">
        <f t="shared" si="64"/>
        <v>12.4</v>
      </c>
      <c r="J575" s="38">
        <f t="shared" si="65"/>
        <v>6.7569323892475532</v>
      </c>
      <c r="K575" s="38">
        <f t="shared" si="66"/>
        <v>2.5176964726109912</v>
      </c>
      <c r="L575" s="39">
        <f t="shared" si="67"/>
        <v>8.0645161290322578E-2</v>
      </c>
      <c r="M575" s="39">
        <f t="shared" si="68"/>
        <v>2.3649803707443837</v>
      </c>
      <c r="N575" s="39">
        <f t="shared" si="69"/>
        <v>69.354838709677423</v>
      </c>
      <c r="O575" s="40">
        <f>1</f>
        <v>1</v>
      </c>
      <c r="P575" s="38">
        <f>INDEX(Cables!$AS:$AS,MATCH(B575,Cables!$A:$A,0))+INDEX(Cables!$AT:$AT,MATCH(B575,Cables!$A:$A,0))*SQRT(C575)+INDEX(Cables!$AU:$AU,MATCH(B575,Cables!$A:$A,0))*C575</f>
        <v>12.429676238990616</v>
      </c>
      <c r="Q575" s="41">
        <f t="shared" si="70"/>
        <v>2.393245079888473E-3</v>
      </c>
      <c r="R575" s="39">
        <f t="shared" si="71"/>
        <v>5.7276220124103839E-6</v>
      </c>
      <c r="S575" s="40" t="b">
        <f>IF(B575=B574,C575&gt;C574,COUNTIF(B$1:B574,B575)=0)</f>
        <v>1</v>
      </c>
      <c r="T575" s="37"/>
    </row>
    <row r="576" spans="1:20" x14ac:dyDescent="0.25">
      <c r="A576" s="37" t="s">
        <v>1310</v>
      </c>
      <c r="B576" s="37" t="s">
        <v>524</v>
      </c>
      <c r="C576" s="37">
        <v>900</v>
      </c>
      <c r="D576" s="37">
        <v>12.8</v>
      </c>
      <c r="E576" s="37" t="s">
        <v>771</v>
      </c>
      <c r="F576" s="37">
        <v>20</v>
      </c>
      <c r="G576" s="37" t="s">
        <v>529</v>
      </c>
      <c r="H576" s="37" t="s">
        <v>1295</v>
      </c>
      <c r="I576" s="38">
        <f t="shared" si="64"/>
        <v>12.8</v>
      </c>
      <c r="J576" s="38">
        <f t="shared" si="65"/>
        <v>6.8023947633243109</v>
      </c>
      <c r="K576" s="38">
        <f t="shared" si="66"/>
        <v>2.5494451709255714</v>
      </c>
      <c r="L576" s="39">
        <f t="shared" si="67"/>
        <v>7.8125E-2</v>
      </c>
      <c r="M576" s="39">
        <f t="shared" si="68"/>
        <v>2.34375</v>
      </c>
      <c r="N576" s="39">
        <f t="shared" si="69"/>
        <v>70.3125</v>
      </c>
      <c r="O576" s="40">
        <f>1</f>
        <v>1</v>
      </c>
      <c r="P576" s="38">
        <f>INDEX(Cables!$AS:$AS,MATCH(B576,Cables!$A:$A,0))+INDEX(Cables!$AT:$AT,MATCH(B576,Cables!$A:$A,0))*SQRT(C576)+INDEX(Cables!$AU:$AU,MATCH(B576,Cables!$A:$A,0))*C576</f>
        <v>12.748759096582035</v>
      </c>
      <c r="Q576" s="41">
        <f t="shared" si="70"/>
        <v>-4.0031955795285512E-3</v>
      </c>
      <c r="R576" s="39">
        <f t="shared" si="71"/>
        <v>1.6025574847956932E-5</v>
      </c>
      <c r="S576" s="40" t="b">
        <f>IF(B576=B575,C576&gt;C575,COUNTIF(B$1:B575,B576)=0)</f>
        <v>1</v>
      </c>
      <c r="T576" s="37"/>
    </row>
    <row r="577" spans="1:20" x14ac:dyDescent="0.25">
      <c r="A577" s="37" t="s">
        <v>1311</v>
      </c>
      <c r="B577" s="37" t="s">
        <v>524</v>
      </c>
      <c r="C577" s="37">
        <v>1000</v>
      </c>
      <c r="D577" s="37">
        <v>13.5</v>
      </c>
      <c r="E577" s="37" t="s">
        <v>771</v>
      </c>
      <c r="F577" s="37">
        <v>20</v>
      </c>
      <c r="G577" s="37" t="s">
        <v>529</v>
      </c>
      <c r="H577" s="37" t="s">
        <v>1295</v>
      </c>
      <c r="I577" s="38">
        <f t="shared" si="64"/>
        <v>13.5</v>
      </c>
      <c r="J577" s="38">
        <f t="shared" si="65"/>
        <v>6.9077552789821368</v>
      </c>
      <c r="K577" s="38">
        <f t="shared" si="66"/>
        <v>2.6026896854443837</v>
      </c>
      <c r="L577" s="39">
        <f t="shared" si="67"/>
        <v>7.407407407407407E-2</v>
      </c>
      <c r="M577" s="39">
        <f t="shared" si="68"/>
        <v>2.3424278964210217</v>
      </c>
      <c r="N577" s="39">
        <f t="shared" si="69"/>
        <v>74.074074074074076</v>
      </c>
      <c r="O577" s="40">
        <f>1</f>
        <v>1</v>
      </c>
      <c r="P577" s="38">
        <f>INDEX(Cables!$AS:$AS,MATCH(B577,Cables!$A:$A,0))+INDEX(Cables!$AT:$AT,MATCH(B577,Cables!$A:$A,0))*SQRT(C577)+INDEX(Cables!$AU:$AU,MATCH(B577,Cables!$A:$A,0))*C577</f>
        <v>13.522830779616928</v>
      </c>
      <c r="Q577" s="41">
        <f t="shared" si="70"/>
        <v>1.6911688605132369E-3</v>
      </c>
      <c r="R577" s="39">
        <f t="shared" si="71"/>
        <v>2.8600521147696401E-6</v>
      </c>
      <c r="S577" s="40" t="b">
        <f>IF(B577=B576,C577&gt;C576,COUNTIF(B$1:B576,B577)=0)</f>
        <v>1</v>
      </c>
      <c r="T577" s="37"/>
    </row>
    <row r="578" spans="1:20" x14ac:dyDescent="0.25">
      <c r="A578" s="37" t="s">
        <v>1312</v>
      </c>
      <c r="B578" s="37" t="s">
        <v>524</v>
      </c>
      <c r="C578" s="37">
        <v>1296</v>
      </c>
      <c r="D578" s="37">
        <v>15.7</v>
      </c>
      <c r="E578" s="37" t="s">
        <v>771</v>
      </c>
      <c r="F578" s="37">
        <v>20</v>
      </c>
      <c r="G578" s="37" t="s">
        <v>529</v>
      </c>
      <c r="H578" s="37" t="s">
        <v>1295</v>
      </c>
      <c r="I578" s="38">
        <f t="shared" ref="I578:I641" si="72">IF(E578="dB/100ft",D578*100/30.48,D578)</f>
        <v>15.7</v>
      </c>
      <c r="J578" s="38">
        <f t="shared" ref="J578:J641" si="73">LN(C578)</f>
        <v>7.1670378769122198</v>
      </c>
      <c r="K578" s="38">
        <f t="shared" ref="K578:K641" si="74">LN(I578)</f>
        <v>2.7536607123542622</v>
      </c>
      <c r="L578" s="39">
        <f t="shared" ref="L578:L641" si="75">1/I578</f>
        <v>6.3694267515923567E-2</v>
      </c>
      <c r="M578" s="39">
        <f t="shared" ref="M578:M641" si="76">SQRT(C578)/I578</f>
        <v>2.2929936305732483</v>
      </c>
      <c r="N578" s="39">
        <f t="shared" ref="N578:N641" si="77">C578/I578</f>
        <v>82.547770700636946</v>
      </c>
      <c r="O578" s="40">
        <f>1</f>
        <v>1</v>
      </c>
      <c r="P578" s="38">
        <f>INDEX(Cables!$AS:$AS,MATCH(B578,Cables!$A:$A,0))+INDEX(Cables!$AT:$AT,MATCH(B578,Cables!$A:$A,0))*SQRT(C578)+INDEX(Cables!$AU:$AU,MATCH(B578,Cables!$A:$A,0))*C578</f>
        <v>15.65376117364821</v>
      </c>
      <c r="Q578" s="41">
        <f t="shared" ref="Q578:Q641" si="78">P578/I578-1</f>
        <v>-2.9451481752732489E-3</v>
      </c>
      <c r="R578" s="39">
        <f t="shared" ref="R578:R641" si="79">Q578^2</f>
        <v>8.6738977743153468E-6</v>
      </c>
      <c r="S578" s="40" t="b">
        <f>IF(B578=B577,C578&gt;C577,COUNTIF(B$1:B577,B578)=0)</f>
        <v>1</v>
      </c>
      <c r="T578" s="37"/>
    </row>
    <row r="579" spans="1:20" x14ac:dyDescent="0.25">
      <c r="A579" s="37" t="s">
        <v>1313</v>
      </c>
      <c r="B579" s="37" t="s">
        <v>524</v>
      </c>
      <c r="C579" s="37">
        <v>1350</v>
      </c>
      <c r="D579" s="37">
        <v>16</v>
      </c>
      <c r="E579" s="37" t="s">
        <v>771</v>
      </c>
      <c r="F579" s="37">
        <v>20</v>
      </c>
      <c r="G579" s="37" t="s">
        <v>529</v>
      </c>
      <c r="H579" s="37" t="s">
        <v>1295</v>
      </c>
      <c r="I579" s="38">
        <f t="shared" si="72"/>
        <v>16</v>
      </c>
      <c r="J579" s="38">
        <f t="shared" si="73"/>
        <v>7.2078598714324755</v>
      </c>
      <c r="K579" s="38">
        <f t="shared" si="74"/>
        <v>2.7725887222397811</v>
      </c>
      <c r="L579" s="39">
        <f t="shared" si="75"/>
        <v>6.25E-2</v>
      </c>
      <c r="M579" s="39">
        <f t="shared" si="76"/>
        <v>2.2963966338592297</v>
      </c>
      <c r="N579" s="39">
        <f t="shared" si="77"/>
        <v>84.375</v>
      </c>
      <c r="O579" s="40">
        <f>1</f>
        <v>1</v>
      </c>
      <c r="P579" s="38">
        <f>INDEX(Cables!$AS:$AS,MATCH(B579,Cables!$A:$A,0))+INDEX(Cables!$AT:$AT,MATCH(B579,Cables!$A:$A,0))*SQRT(C579)+INDEX(Cables!$AU:$AU,MATCH(B579,Cables!$A:$A,0))*C579</f>
        <v>16.021370734454656</v>
      </c>
      <c r="Q579" s="41">
        <f t="shared" si="78"/>
        <v>1.3356709034160197E-3</v>
      </c>
      <c r="R579" s="39">
        <f t="shared" si="79"/>
        <v>1.7840167622321662E-6</v>
      </c>
      <c r="S579" s="40" t="b">
        <f>IF(B579=B578,C579&gt;C578,COUNTIF(B$1:B578,B579)=0)</f>
        <v>1</v>
      </c>
      <c r="T579" s="37"/>
    </row>
    <row r="580" spans="1:20" x14ac:dyDescent="0.25">
      <c r="A580" s="37" t="s">
        <v>1314</v>
      </c>
      <c r="B580" s="37" t="s">
        <v>524</v>
      </c>
      <c r="C580" s="37">
        <v>1750</v>
      </c>
      <c r="D580" s="37">
        <v>18.600000000000001</v>
      </c>
      <c r="E580" s="37" t="s">
        <v>771</v>
      </c>
      <c r="F580" s="37">
        <v>20</v>
      </c>
      <c r="G580" s="37" t="s">
        <v>529</v>
      </c>
      <c r="H580" s="37" t="s">
        <v>1295</v>
      </c>
      <c r="I580" s="38">
        <f t="shared" si="72"/>
        <v>18.600000000000001</v>
      </c>
      <c r="J580" s="38">
        <f t="shared" si="73"/>
        <v>7.4673710669175595</v>
      </c>
      <c r="K580" s="38">
        <f t="shared" si="74"/>
        <v>2.9231615807191558</v>
      </c>
      <c r="L580" s="39">
        <f t="shared" si="75"/>
        <v>5.3763440860215048E-2</v>
      </c>
      <c r="M580" s="39">
        <f t="shared" si="76"/>
        <v>2.2490860928335366</v>
      </c>
      <c r="N580" s="39">
        <f t="shared" si="77"/>
        <v>94.086021505376337</v>
      </c>
      <c r="O580" s="40">
        <f>1</f>
        <v>1</v>
      </c>
      <c r="P580" s="38">
        <f>INDEX(Cables!$AS:$AS,MATCH(B580,Cables!$A:$A,0))+INDEX(Cables!$AT:$AT,MATCH(B580,Cables!$A:$A,0))*SQRT(C580)+INDEX(Cables!$AU:$AU,MATCH(B580,Cables!$A:$A,0))*C580</f>
        <v>18.590850106078104</v>
      </c>
      <c r="Q580" s="41">
        <f t="shared" si="78"/>
        <v>-4.9192978074719118E-4</v>
      </c>
      <c r="R580" s="39">
        <f t="shared" si="79"/>
        <v>2.4199490918597956E-7</v>
      </c>
      <c r="S580" s="40" t="b">
        <f>IF(B580=B579,C580&gt;C579,COUNTIF(B$1:B579,B580)=0)</f>
        <v>1</v>
      </c>
      <c r="T580" s="37"/>
    </row>
    <row r="581" spans="1:20" x14ac:dyDescent="0.25">
      <c r="A581" s="37" t="s">
        <v>1315</v>
      </c>
      <c r="B581" s="37" t="s">
        <v>524</v>
      </c>
      <c r="C581" s="37">
        <v>2050</v>
      </c>
      <c r="D581" s="37">
        <v>20.399999999999999</v>
      </c>
      <c r="E581" s="37" t="s">
        <v>771</v>
      </c>
      <c r="F581" s="37">
        <v>20</v>
      </c>
      <c r="G581" s="37" t="s">
        <v>529</v>
      </c>
      <c r="H581" s="37" t="s">
        <v>1295</v>
      </c>
      <c r="I581" s="38">
        <f t="shared" si="72"/>
        <v>20.399999999999999</v>
      </c>
      <c r="J581" s="38">
        <f t="shared" si="73"/>
        <v>7.6255950721324535</v>
      </c>
      <c r="K581" s="38">
        <f t="shared" si="74"/>
        <v>3.0155349008501706</v>
      </c>
      <c r="L581" s="39">
        <f t="shared" si="75"/>
        <v>4.9019607843137261E-2</v>
      </c>
      <c r="M581" s="39">
        <f t="shared" si="76"/>
        <v>2.2194571417003477</v>
      </c>
      <c r="N581" s="39">
        <f t="shared" si="77"/>
        <v>100.49019607843138</v>
      </c>
      <c r="O581" s="40">
        <f>1</f>
        <v>1</v>
      </c>
      <c r="P581" s="38">
        <f>INDEX(Cables!$AS:$AS,MATCH(B581,Cables!$A:$A,0))+INDEX(Cables!$AT:$AT,MATCH(B581,Cables!$A:$A,0))*SQRT(C581)+INDEX(Cables!$AU:$AU,MATCH(B581,Cables!$A:$A,0))*C581</f>
        <v>20.377246942420882</v>
      </c>
      <c r="Q581" s="41">
        <f t="shared" si="78"/>
        <v>-1.1153459597605941E-3</v>
      </c>
      <c r="R581" s="39">
        <f t="shared" si="79"/>
        <v>1.2439966099542808E-6</v>
      </c>
      <c r="S581" s="40" t="b">
        <f>IF(B581=B580,C581&gt;C580,COUNTIF(B$1:B580,B581)=0)</f>
        <v>1</v>
      </c>
      <c r="T581" s="37"/>
    </row>
    <row r="582" spans="1:20" x14ac:dyDescent="0.25">
      <c r="A582" s="37" t="s">
        <v>1316</v>
      </c>
      <c r="B582" s="37" t="s">
        <v>524</v>
      </c>
      <c r="C582" s="37">
        <v>2320</v>
      </c>
      <c r="D582" s="37">
        <v>21.8</v>
      </c>
      <c r="E582" s="37" t="s">
        <v>771</v>
      </c>
      <c r="F582" s="37">
        <v>20</v>
      </c>
      <c r="G582" s="37" t="s">
        <v>529</v>
      </c>
      <c r="H582" s="37" t="s">
        <v>1295</v>
      </c>
      <c r="I582" s="38">
        <f t="shared" si="72"/>
        <v>21.8</v>
      </c>
      <c r="J582" s="38">
        <f t="shared" si="73"/>
        <v>7.7493224646603558</v>
      </c>
      <c r="K582" s="38">
        <f t="shared" si="74"/>
        <v>3.0819099697950434</v>
      </c>
      <c r="L582" s="39">
        <f t="shared" si="75"/>
        <v>4.5871559633027519E-2</v>
      </c>
      <c r="M582" s="39">
        <f t="shared" si="76"/>
        <v>2.2094668951912468</v>
      </c>
      <c r="N582" s="39">
        <f t="shared" si="77"/>
        <v>106.42201834862385</v>
      </c>
      <c r="O582" s="40">
        <f>1</f>
        <v>1</v>
      </c>
      <c r="P582" s="38">
        <f>INDEX(Cables!$AS:$AS,MATCH(B582,Cables!$A:$A,0))+INDEX(Cables!$AT:$AT,MATCH(B582,Cables!$A:$A,0))*SQRT(C582)+INDEX(Cables!$AU:$AU,MATCH(B582,Cables!$A:$A,0))*C582</f>
        <v>21.905978620021365</v>
      </c>
      <c r="Q582" s="41">
        <f t="shared" si="78"/>
        <v>4.8614045881358869E-3</v>
      </c>
      <c r="R582" s="39">
        <f t="shared" si="79"/>
        <v>2.3633254569548654E-5</v>
      </c>
      <c r="S582" s="40" t="b">
        <f>IF(B582=B581,C582&gt;C581,COUNTIF(B$1:B581,B582)=0)</f>
        <v>1</v>
      </c>
      <c r="T582" s="37"/>
    </row>
    <row r="583" spans="1:20" x14ac:dyDescent="0.25">
      <c r="A583" s="37" t="s">
        <v>1317</v>
      </c>
      <c r="B583" s="37" t="s">
        <v>524</v>
      </c>
      <c r="C583" s="37">
        <v>5000</v>
      </c>
      <c r="D583" s="37">
        <v>34.799999999999997</v>
      </c>
      <c r="E583" s="37" t="s">
        <v>771</v>
      </c>
      <c r="F583" s="37">
        <v>20</v>
      </c>
      <c r="G583" s="37" t="s">
        <v>529</v>
      </c>
      <c r="H583" s="37" t="s">
        <v>1295</v>
      </c>
      <c r="I583" s="38">
        <f t="shared" si="72"/>
        <v>34.799999999999997</v>
      </c>
      <c r="J583" s="38">
        <f t="shared" si="73"/>
        <v>8.5171931914162382</v>
      </c>
      <c r="K583" s="38">
        <f t="shared" si="74"/>
        <v>3.5496173867804286</v>
      </c>
      <c r="L583" s="39">
        <f t="shared" si="75"/>
        <v>2.8735632183908049E-2</v>
      </c>
      <c r="M583" s="39">
        <f t="shared" si="76"/>
        <v>2.0319160378923784</v>
      </c>
      <c r="N583" s="39">
        <f t="shared" si="77"/>
        <v>143.67816091954023</v>
      </c>
      <c r="O583" s="40">
        <f>1</f>
        <v>1</v>
      </c>
      <c r="P583" s="38">
        <f>INDEX(Cables!$AS:$AS,MATCH(B583,Cables!$A:$A,0))+INDEX(Cables!$AT:$AT,MATCH(B583,Cables!$A:$A,0))*SQRT(C583)+INDEX(Cables!$AU:$AU,MATCH(B583,Cables!$A:$A,0))*C583</f>
        <v>34.771805969829884</v>
      </c>
      <c r="Q583" s="41">
        <f t="shared" si="78"/>
        <v>-8.1017328075039252E-4</v>
      </c>
      <c r="R583" s="39">
        <f t="shared" si="79"/>
        <v>6.563807448418543E-7</v>
      </c>
      <c r="S583" s="40" t="b">
        <f>IF(B583=B582,C583&gt;C582,COUNTIF(B$1:B582,B583)=0)</f>
        <v>1</v>
      </c>
      <c r="T583" s="37"/>
    </row>
    <row r="584" spans="1:20" x14ac:dyDescent="0.25">
      <c r="A584" s="37" t="s">
        <v>1318</v>
      </c>
      <c r="B584" s="37" t="s">
        <v>524</v>
      </c>
      <c r="C584" s="37">
        <v>10000</v>
      </c>
      <c r="D584" s="37">
        <v>54</v>
      </c>
      <c r="E584" s="37" t="s">
        <v>771</v>
      </c>
      <c r="F584" s="37">
        <v>20</v>
      </c>
      <c r="G584" s="37" t="s">
        <v>529</v>
      </c>
      <c r="H584" s="37" t="s">
        <v>1295</v>
      </c>
      <c r="I584" s="38">
        <f t="shared" si="72"/>
        <v>54</v>
      </c>
      <c r="J584" s="38">
        <f t="shared" si="73"/>
        <v>9.2103403719761836</v>
      </c>
      <c r="K584" s="38">
        <f t="shared" si="74"/>
        <v>3.9889840465642745</v>
      </c>
      <c r="L584" s="39">
        <f t="shared" si="75"/>
        <v>1.8518518518518517E-2</v>
      </c>
      <c r="M584" s="39">
        <f t="shared" si="76"/>
        <v>1.8518518518518519</v>
      </c>
      <c r="N584" s="39">
        <f t="shared" si="77"/>
        <v>185.18518518518519</v>
      </c>
      <c r="O584" s="40">
        <f>1</f>
        <v>1</v>
      </c>
      <c r="P584" s="38">
        <f>INDEX(Cables!$AS:$AS,MATCH(B584,Cables!$A:$A,0))+INDEX(Cables!$AT:$AT,MATCH(B584,Cables!$A:$A,0))*SQRT(C584)+INDEX(Cables!$AU:$AU,MATCH(B584,Cables!$A:$A,0))*C584</f>
        <v>53.971174526189195</v>
      </c>
      <c r="Q584" s="41">
        <f t="shared" si="78"/>
        <v>-5.3380507057043669E-4</v>
      </c>
      <c r="R584" s="39">
        <f t="shared" si="79"/>
        <v>2.849478533667089E-7</v>
      </c>
      <c r="S584" s="40" t="b">
        <f>IF(B584=B583,C584&gt;C583,COUNTIF(B$1:B583,B584)=0)</f>
        <v>1</v>
      </c>
      <c r="T584" s="37"/>
    </row>
    <row r="585" spans="1:20" x14ac:dyDescent="0.25">
      <c r="A585" s="37" t="s">
        <v>1319</v>
      </c>
      <c r="B585" s="37" t="s">
        <v>531</v>
      </c>
      <c r="C585" s="37">
        <v>0.5</v>
      </c>
      <c r="D585" s="37">
        <v>0.27</v>
      </c>
      <c r="E585" s="37" t="s">
        <v>771</v>
      </c>
      <c r="F585" s="37">
        <v>20</v>
      </c>
      <c r="G585" s="37" t="s">
        <v>536</v>
      </c>
      <c r="H585" s="37" t="s">
        <v>1320</v>
      </c>
      <c r="I585" s="38">
        <f t="shared" si="72"/>
        <v>0.27</v>
      </c>
      <c r="J585" s="38">
        <f t="shared" si="73"/>
        <v>-0.69314718055994529</v>
      </c>
      <c r="K585" s="38">
        <f t="shared" si="74"/>
        <v>-1.3093333199837622</v>
      </c>
      <c r="L585" s="39">
        <f t="shared" si="75"/>
        <v>3.7037037037037033</v>
      </c>
      <c r="M585" s="39">
        <f t="shared" si="76"/>
        <v>2.6189140043946204</v>
      </c>
      <c r="N585" s="39">
        <f t="shared" si="77"/>
        <v>1.8518518518518516</v>
      </c>
      <c r="O585" s="40">
        <f>1</f>
        <v>1</v>
      </c>
      <c r="P585" s="38">
        <f>INDEX(Cables!$AS:$AS,MATCH(B585,Cables!$A:$A,0))+INDEX(Cables!$AT:$AT,MATCH(B585,Cables!$A:$A,0))*SQRT(C585)+INDEX(Cables!$AU:$AU,MATCH(B585,Cables!$A:$A,0))*C585</f>
        <v>0.2702006740357874</v>
      </c>
      <c r="Q585" s="41">
        <f t="shared" si="78"/>
        <v>7.4323716958279995E-4</v>
      </c>
      <c r="R585" s="39">
        <f t="shared" si="79"/>
        <v>5.5240149024945173E-7</v>
      </c>
      <c r="S585" s="40" t="b">
        <f>IF(B585=B584,C585&gt;C584,COUNTIF(B$1:B584,B585)=0)</f>
        <v>1</v>
      </c>
      <c r="T585" s="37"/>
    </row>
    <row r="586" spans="1:20" x14ac:dyDescent="0.25">
      <c r="A586" s="37" t="s">
        <v>1321</v>
      </c>
      <c r="B586" s="37" t="s">
        <v>531</v>
      </c>
      <c r="C586" s="37">
        <v>1</v>
      </c>
      <c r="D586" s="37">
        <v>0.38300000000000001</v>
      </c>
      <c r="E586" s="37" t="s">
        <v>771</v>
      </c>
      <c r="F586" s="37">
        <v>20</v>
      </c>
      <c r="G586" s="37" t="s">
        <v>536</v>
      </c>
      <c r="H586" s="37" t="s">
        <v>1320</v>
      </c>
      <c r="I586" s="38">
        <f t="shared" si="72"/>
        <v>0.38300000000000001</v>
      </c>
      <c r="J586" s="38">
        <f t="shared" si="73"/>
        <v>0</v>
      </c>
      <c r="K586" s="38">
        <f t="shared" si="74"/>
        <v>-0.95972028980149104</v>
      </c>
      <c r="L586" s="39">
        <f t="shared" si="75"/>
        <v>2.6109660574412534</v>
      </c>
      <c r="M586" s="39">
        <f t="shared" si="76"/>
        <v>2.6109660574412534</v>
      </c>
      <c r="N586" s="39">
        <f t="shared" si="77"/>
        <v>2.6109660574412534</v>
      </c>
      <c r="O586" s="40">
        <f>1</f>
        <v>1</v>
      </c>
      <c r="P586" s="38">
        <f>INDEX(Cables!$AS:$AS,MATCH(B586,Cables!$A:$A,0))+INDEX(Cables!$AT:$AT,MATCH(B586,Cables!$A:$A,0))*SQRT(C586)+INDEX(Cables!$AU:$AU,MATCH(B586,Cables!$A:$A,0))*C586</f>
        <v>0.38260938072909528</v>
      </c>
      <c r="Q586" s="41">
        <f t="shared" si="78"/>
        <v>-1.01989365771471E-3</v>
      </c>
      <c r="R586" s="39">
        <f t="shared" si="79"/>
        <v>1.0401830730466901E-6</v>
      </c>
      <c r="S586" s="40" t="b">
        <f>IF(B586=B585,C586&gt;C585,COUNTIF(B$1:B585,B586)=0)</f>
        <v>1</v>
      </c>
      <c r="T586" s="37"/>
    </row>
    <row r="587" spans="1:20" x14ac:dyDescent="0.25">
      <c r="A587" s="37" t="s">
        <v>1322</v>
      </c>
      <c r="B587" s="37" t="s">
        <v>531</v>
      </c>
      <c r="C587" s="37">
        <v>1.5</v>
      </c>
      <c r="D587" s="37">
        <v>0.46899999999999997</v>
      </c>
      <c r="E587" s="37" t="s">
        <v>771</v>
      </c>
      <c r="F587" s="37">
        <v>20</v>
      </c>
      <c r="G587" s="37" t="s">
        <v>536</v>
      </c>
      <c r="H587" s="37" t="s">
        <v>1320</v>
      </c>
      <c r="I587" s="38">
        <f t="shared" si="72"/>
        <v>0.46899999999999997</v>
      </c>
      <c r="J587" s="38">
        <f t="shared" si="73"/>
        <v>0.40546510810816438</v>
      </c>
      <c r="K587" s="38">
        <f t="shared" si="74"/>
        <v>-0.75715251053585775</v>
      </c>
      <c r="L587" s="39">
        <f t="shared" si="75"/>
        <v>2.1321961620469083</v>
      </c>
      <c r="M587" s="39">
        <f t="shared" si="76"/>
        <v>2.6113963142677803</v>
      </c>
      <c r="N587" s="39">
        <f t="shared" si="77"/>
        <v>3.1982942430703627</v>
      </c>
      <c r="O587" s="40">
        <f>1</f>
        <v>1</v>
      </c>
      <c r="P587" s="38">
        <f>INDEX(Cables!$AS:$AS,MATCH(B587,Cables!$A:$A,0))+INDEX(Cables!$AT:$AT,MATCH(B587,Cables!$A:$A,0))*SQRT(C587)+INDEX(Cables!$AU:$AU,MATCH(B587,Cables!$A:$A,0))*C587</f>
        <v>0.46901088632507854</v>
      </c>
      <c r="Q587" s="41">
        <f t="shared" si="78"/>
        <v>2.321178055120221E-5</v>
      </c>
      <c r="R587" s="39">
        <f t="shared" si="79"/>
        <v>5.3878675635716917E-10</v>
      </c>
      <c r="S587" s="40" t="b">
        <f>IF(B587=B586,C587&gt;C586,COUNTIF(B$1:B586,B587)=0)</f>
        <v>1</v>
      </c>
      <c r="T587" s="37"/>
    </row>
    <row r="588" spans="1:20" x14ac:dyDescent="0.25">
      <c r="A588" s="37" t="s">
        <v>1323</v>
      </c>
      <c r="B588" s="37" t="s">
        <v>531</v>
      </c>
      <c r="C588" s="37">
        <v>2</v>
      </c>
      <c r="D588" s="37">
        <v>0.54200000000000004</v>
      </c>
      <c r="E588" s="37" t="s">
        <v>771</v>
      </c>
      <c r="F588" s="37">
        <v>20</v>
      </c>
      <c r="G588" s="37" t="s">
        <v>536</v>
      </c>
      <c r="H588" s="37" t="s">
        <v>1320</v>
      </c>
      <c r="I588" s="38">
        <f t="shared" si="72"/>
        <v>0.54200000000000004</v>
      </c>
      <c r="J588" s="38">
        <f t="shared" si="73"/>
        <v>0.69314718055994529</v>
      </c>
      <c r="K588" s="38">
        <f t="shared" si="74"/>
        <v>-0.61248927754249083</v>
      </c>
      <c r="L588" s="39">
        <f t="shared" si="75"/>
        <v>1.8450184501845017</v>
      </c>
      <c r="M588" s="39">
        <f t="shared" si="76"/>
        <v>2.6092501150795111</v>
      </c>
      <c r="N588" s="39">
        <f t="shared" si="77"/>
        <v>3.6900369003690034</v>
      </c>
      <c r="O588" s="40">
        <f>1</f>
        <v>1</v>
      </c>
      <c r="P588" s="38">
        <f>INDEX(Cables!$AS:$AS,MATCH(B588,Cables!$A:$A,0))+INDEX(Cables!$AT:$AT,MATCH(B588,Cables!$A:$A,0))*SQRT(C588)+INDEX(Cables!$AU:$AU,MATCH(B588,Cables!$A:$A,0))*C588</f>
        <v>0.54195007401346451</v>
      </c>
      <c r="Q588" s="41">
        <f t="shared" si="78"/>
        <v>-9.2114366301743189E-5</v>
      </c>
      <c r="R588" s="39">
        <f t="shared" si="79"/>
        <v>8.4850564791717206E-9</v>
      </c>
      <c r="S588" s="40" t="b">
        <f>IF(B588=B587,C588&gt;C587,COUNTIF(B$1:B587,B588)=0)</f>
        <v>1</v>
      </c>
      <c r="T588" s="37"/>
    </row>
    <row r="589" spans="1:20" x14ac:dyDescent="0.25">
      <c r="A589" s="37" t="s">
        <v>1324</v>
      </c>
      <c r="B589" s="37" t="s">
        <v>531</v>
      </c>
      <c r="C589" s="37">
        <v>10</v>
      </c>
      <c r="D589" s="37">
        <v>1.2190000000000001</v>
      </c>
      <c r="E589" s="37" t="s">
        <v>771</v>
      </c>
      <c r="F589" s="37">
        <v>20</v>
      </c>
      <c r="G589" s="37" t="s">
        <v>536</v>
      </c>
      <c r="H589" s="37" t="s">
        <v>1320</v>
      </c>
      <c r="I589" s="38">
        <f t="shared" si="72"/>
        <v>1.2190000000000001</v>
      </c>
      <c r="J589" s="38">
        <f t="shared" si="73"/>
        <v>2.3025850929940459</v>
      </c>
      <c r="K589" s="38">
        <f t="shared" si="74"/>
        <v>0.19803085049913455</v>
      </c>
      <c r="L589" s="39">
        <f t="shared" si="75"/>
        <v>0.8203445447087776</v>
      </c>
      <c r="M589" s="39">
        <f t="shared" si="76"/>
        <v>2.594157227373568</v>
      </c>
      <c r="N589" s="39">
        <f t="shared" si="77"/>
        <v>8.2034454470877769</v>
      </c>
      <c r="O589" s="40">
        <f>1</f>
        <v>1</v>
      </c>
      <c r="P589" s="38">
        <f>INDEX(Cables!$AS:$AS,MATCH(B589,Cables!$A:$A,0))+INDEX(Cables!$AT:$AT,MATCH(B589,Cables!$A:$A,0))*SQRT(C589)+INDEX(Cables!$AU:$AU,MATCH(B589,Cables!$A:$A,0))*C589</f>
        <v>1.2191845536808088</v>
      </c>
      <c r="Q589" s="41">
        <f t="shared" si="78"/>
        <v>1.5139760525739732E-4</v>
      </c>
      <c r="R589" s="39">
        <f t="shared" si="79"/>
        <v>2.2921234877674701E-8</v>
      </c>
      <c r="S589" s="40" t="b">
        <f>IF(B589=B588,C589&gt;C588,COUNTIF(B$1:B588,B589)=0)</f>
        <v>1</v>
      </c>
      <c r="T589" s="37"/>
    </row>
    <row r="590" spans="1:20" x14ac:dyDescent="0.25">
      <c r="A590" s="37" t="s">
        <v>1325</v>
      </c>
      <c r="B590" s="37" t="s">
        <v>531</v>
      </c>
      <c r="C590" s="37">
        <v>20</v>
      </c>
      <c r="D590" s="37">
        <v>1.732</v>
      </c>
      <c r="E590" s="37" t="s">
        <v>771</v>
      </c>
      <c r="F590" s="37">
        <v>20</v>
      </c>
      <c r="G590" s="37" t="s">
        <v>536</v>
      </c>
      <c r="H590" s="37" t="s">
        <v>1320</v>
      </c>
      <c r="I590" s="38">
        <f t="shared" si="72"/>
        <v>1.732</v>
      </c>
      <c r="J590" s="38">
        <f t="shared" si="73"/>
        <v>2.9957322735539909</v>
      </c>
      <c r="K590" s="38">
        <f t="shared" si="74"/>
        <v>0.54927681014024343</v>
      </c>
      <c r="L590" s="39">
        <f t="shared" si="75"/>
        <v>0.57736720554272514</v>
      </c>
      <c r="M590" s="39">
        <f t="shared" si="76"/>
        <v>2.582064639145254</v>
      </c>
      <c r="N590" s="39">
        <f t="shared" si="77"/>
        <v>11.547344110854503</v>
      </c>
      <c r="O590" s="40">
        <f>1</f>
        <v>1</v>
      </c>
      <c r="P590" s="38">
        <f>INDEX(Cables!$AS:$AS,MATCH(B590,Cables!$A:$A,0))+INDEX(Cables!$AT:$AT,MATCH(B590,Cables!$A:$A,0))*SQRT(C590)+INDEX(Cables!$AU:$AU,MATCH(B590,Cables!$A:$A,0))*C590</f>
        <v>1.7317199930441223</v>
      </c>
      <c r="Q590" s="41">
        <f t="shared" si="78"/>
        <v>-1.6166683364760015E-4</v>
      </c>
      <c r="R590" s="39">
        <f t="shared" si="79"/>
        <v>2.613616510164082E-8</v>
      </c>
      <c r="S590" s="40" t="b">
        <f>IF(B590=B589,C590&gt;C589,COUNTIF(B$1:B589,B590)=0)</f>
        <v>1</v>
      </c>
      <c r="T590" s="37"/>
    </row>
    <row r="591" spans="1:20" x14ac:dyDescent="0.25">
      <c r="A591" s="37" t="s">
        <v>1326</v>
      </c>
      <c r="B591" s="37" t="s">
        <v>531</v>
      </c>
      <c r="C591" s="37">
        <v>30</v>
      </c>
      <c r="D591" s="37">
        <v>2.1280000000000001</v>
      </c>
      <c r="E591" s="37" t="s">
        <v>771</v>
      </c>
      <c r="F591" s="37">
        <v>20</v>
      </c>
      <c r="G591" s="37" t="s">
        <v>536</v>
      </c>
      <c r="H591" s="37" t="s">
        <v>1320</v>
      </c>
      <c r="I591" s="38">
        <f t="shared" si="72"/>
        <v>2.1280000000000001</v>
      </c>
      <c r="J591" s="38">
        <f t="shared" si="73"/>
        <v>3.4011973816621555</v>
      </c>
      <c r="K591" s="38">
        <f t="shared" si="74"/>
        <v>0.75518257147939805</v>
      </c>
      <c r="L591" s="39">
        <f t="shared" si="75"/>
        <v>0.46992481203007519</v>
      </c>
      <c r="M591" s="39">
        <f t="shared" si="76"/>
        <v>2.5738841988024723</v>
      </c>
      <c r="N591" s="39">
        <f t="shared" si="77"/>
        <v>14.097744360902254</v>
      </c>
      <c r="O591" s="40">
        <f>1</f>
        <v>1</v>
      </c>
      <c r="P591" s="38">
        <f>INDEX(Cables!$AS:$AS,MATCH(B591,Cables!$A:$A,0))+INDEX(Cables!$AT:$AT,MATCH(B591,Cables!$A:$A,0))*SQRT(C591)+INDEX(Cables!$AU:$AU,MATCH(B591,Cables!$A:$A,0))*C591</f>
        <v>2.1279476932911865</v>
      </c>
      <c r="Q591" s="41">
        <f t="shared" si="78"/>
        <v>-2.4580220307157674E-5</v>
      </c>
      <c r="R591" s="39">
        <f t="shared" si="79"/>
        <v>6.0418723034840654E-10</v>
      </c>
      <c r="S591" s="40" t="b">
        <f>IF(B591=B590,C591&gt;C590,COUNTIF(B$1:B590,B591)=0)</f>
        <v>1</v>
      </c>
      <c r="T591" s="37"/>
    </row>
    <row r="592" spans="1:20" x14ac:dyDescent="0.25">
      <c r="A592" s="37" t="s">
        <v>1327</v>
      </c>
      <c r="B592" s="37" t="s">
        <v>531</v>
      </c>
      <c r="C592" s="37">
        <v>50</v>
      </c>
      <c r="D592" s="37">
        <v>2.762</v>
      </c>
      <c r="E592" s="37" t="s">
        <v>771</v>
      </c>
      <c r="F592" s="37">
        <v>20</v>
      </c>
      <c r="G592" s="37" t="s">
        <v>536</v>
      </c>
      <c r="H592" s="37" t="s">
        <v>1320</v>
      </c>
      <c r="I592" s="38">
        <f t="shared" si="72"/>
        <v>2.762</v>
      </c>
      <c r="J592" s="38">
        <f t="shared" si="73"/>
        <v>3.912023005428146</v>
      </c>
      <c r="K592" s="38">
        <f t="shared" si="74"/>
        <v>1.0159550549871004</v>
      </c>
      <c r="L592" s="39">
        <f t="shared" si="75"/>
        <v>0.3620564808110065</v>
      </c>
      <c r="M592" s="39">
        <f t="shared" si="76"/>
        <v>2.5601259275399983</v>
      </c>
      <c r="N592" s="39">
        <f t="shared" si="77"/>
        <v>18.102824040550324</v>
      </c>
      <c r="O592" s="40">
        <f>1</f>
        <v>1</v>
      </c>
      <c r="P592" s="38">
        <f>INDEX(Cables!$AS:$AS,MATCH(B592,Cables!$A:$A,0))+INDEX(Cables!$AT:$AT,MATCH(B592,Cables!$A:$A,0))*SQRT(C592)+INDEX(Cables!$AU:$AU,MATCH(B592,Cables!$A:$A,0))*C592</f>
        <v>2.7615179472123277</v>
      </c>
      <c r="Q592" s="41">
        <f t="shared" si="78"/>
        <v>-1.745303358697825E-4</v>
      </c>
      <c r="R592" s="39">
        <f t="shared" si="79"/>
        <v>3.046083813881909E-8</v>
      </c>
      <c r="S592" s="40" t="b">
        <f>IF(B592=B591,C592&gt;C591,COUNTIF(B$1:B591,B592)=0)</f>
        <v>1</v>
      </c>
      <c r="T592" s="37"/>
    </row>
    <row r="593" spans="1:20" x14ac:dyDescent="0.25">
      <c r="A593" s="37" t="s">
        <v>1328</v>
      </c>
      <c r="B593" s="37" t="s">
        <v>531</v>
      </c>
      <c r="C593" s="37">
        <v>88</v>
      </c>
      <c r="D593" s="37">
        <v>3.6909999999999998</v>
      </c>
      <c r="E593" s="37" t="s">
        <v>771</v>
      </c>
      <c r="F593" s="37">
        <v>20</v>
      </c>
      <c r="G593" s="37" t="s">
        <v>536</v>
      </c>
      <c r="H593" s="37" t="s">
        <v>1320</v>
      </c>
      <c r="I593" s="38">
        <f t="shared" si="72"/>
        <v>3.6909999999999998</v>
      </c>
      <c r="J593" s="38">
        <f t="shared" si="73"/>
        <v>4.4773368144782069</v>
      </c>
      <c r="K593" s="38">
        <f t="shared" si="74"/>
        <v>1.3058974240478616</v>
      </c>
      <c r="L593" s="39">
        <f t="shared" si="75"/>
        <v>0.270929287455974</v>
      </c>
      <c r="M593" s="39">
        <f t="shared" si="76"/>
        <v>2.5415419993624653</v>
      </c>
      <c r="N593" s="39">
        <f t="shared" si="77"/>
        <v>23.841777296125713</v>
      </c>
      <c r="O593" s="40">
        <f>1</f>
        <v>1</v>
      </c>
      <c r="P593" s="38">
        <f>INDEX(Cables!$AS:$AS,MATCH(B593,Cables!$A:$A,0))+INDEX(Cables!$AT:$AT,MATCH(B593,Cables!$A:$A,0))*SQRT(C593)+INDEX(Cables!$AU:$AU,MATCH(B593,Cables!$A:$A,0))*C593</f>
        <v>3.6910889937808502</v>
      </c>
      <c r="Q593" s="41">
        <f t="shared" si="78"/>
        <v>2.4111021633910212E-5</v>
      </c>
      <c r="R593" s="39">
        <f t="shared" si="79"/>
        <v>5.8134136423088629E-10</v>
      </c>
      <c r="S593" s="40" t="b">
        <f>IF(B593=B592,C593&gt;C592,COUNTIF(B$1:B592,B593)=0)</f>
        <v>1</v>
      </c>
      <c r="T593" s="37"/>
    </row>
    <row r="594" spans="1:20" x14ac:dyDescent="0.25">
      <c r="A594" s="37" t="s">
        <v>1329</v>
      </c>
      <c r="B594" s="37" t="s">
        <v>531</v>
      </c>
      <c r="C594" s="37">
        <v>100</v>
      </c>
      <c r="D594" s="37">
        <v>3.9430000000000001</v>
      </c>
      <c r="E594" s="37" t="s">
        <v>771</v>
      </c>
      <c r="F594" s="37">
        <v>20</v>
      </c>
      <c r="G594" s="37" t="s">
        <v>536</v>
      </c>
      <c r="H594" s="37" t="s">
        <v>1320</v>
      </c>
      <c r="I594" s="38">
        <f t="shared" si="72"/>
        <v>3.9430000000000001</v>
      </c>
      <c r="J594" s="38">
        <f t="shared" si="73"/>
        <v>4.6051701859880918</v>
      </c>
      <c r="K594" s="38">
        <f t="shared" si="74"/>
        <v>1.37194185489549</v>
      </c>
      <c r="L594" s="39">
        <f t="shared" si="75"/>
        <v>0.25361399949277202</v>
      </c>
      <c r="M594" s="39">
        <f t="shared" si="76"/>
        <v>2.5361399949277201</v>
      </c>
      <c r="N594" s="39">
        <f t="shared" si="77"/>
        <v>25.3613999492772</v>
      </c>
      <c r="O594" s="40">
        <f>1</f>
        <v>1</v>
      </c>
      <c r="P594" s="38">
        <f>INDEX(Cables!$AS:$AS,MATCH(B594,Cables!$A:$A,0))+INDEX(Cables!$AT:$AT,MATCH(B594,Cables!$A:$A,0))*SQRT(C594)+INDEX(Cables!$AU:$AU,MATCH(B594,Cables!$A:$A,0))*C594</f>
        <v>3.9425708558672157</v>
      </c>
      <c r="Q594" s="41">
        <f t="shared" si="78"/>
        <v>-1.0883695987429221E-4</v>
      </c>
      <c r="R594" s="39">
        <f t="shared" si="79"/>
        <v>1.1845483834678291E-8</v>
      </c>
      <c r="S594" s="40" t="b">
        <f>IF(B594=B593,C594&gt;C593,COUNTIF(B$1:B593,B594)=0)</f>
        <v>1</v>
      </c>
      <c r="T594" s="37"/>
    </row>
    <row r="595" spans="1:20" x14ac:dyDescent="0.25">
      <c r="A595" s="37" t="s">
        <v>1330</v>
      </c>
      <c r="B595" s="37" t="s">
        <v>531</v>
      </c>
      <c r="C595" s="37">
        <v>108</v>
      </c>
      <c r="D595" s="37">
        <v>4.1020000000000003</v>
      </c>
      <c r="E595" s="37" t="s">
        <v>771</v>
      </c>
      <c r="F595" s="37">
        <v>20</v>
      </c>
      <c r="G595" s="37" t="s">
        <v>536</v>
      </c>
      <c r="H595" s="37" t="s">
        <v>1320</v>
      </c>
      <c r="I595" s="38">
        <f t="shared" si="72"/>
        <v>4.1020000000000003</v>
      </c>
      <c r="J595" s="38">
        <f t="shared" si="73"/>
        <v>4.6821312271242199</v>
      </c>
      <c r="K595" s="38">
        <f t="shared" si="74"/>
        <v>1.411474659650189</v>
      </c>
      <c r="L595" s="39">
        <f t="shared" si="75"/>
        <v>0.24378352023403216</v>
      </c>
      <c r="M595" s="39">
        <f t="shared" si="76"/>
        <v>2.5334726585600351</v>
      </c>
      <c r="N595" s="39">
        <f t="shared" si="77"/>
        <v>26.328620185275472</v>
      </c>
      <c r="O595" s="40">
        <f>1</f>
        <v>1</v>
      </c>
      <c r="P595" s="38">
        <f>INDEX(Cables!$AS:$AS,MATCH(B595,Cables!$A:$A,0))+INDEX(Cables!$AT:$AT,MATCH(B595,Cables!$A:$A,0))*SQRT(C595)+INDEX(Cables!$AU:$AU,MATCH(B595,Cables!$A:$A,0))*C595</f>
        <v>4.1024119599037716</v>
      </c>
      <c r="Q595" s="41">
        <f t="shared" si="78"/>
        <v>1.0042903553664217E-4</v>
      </c>
      <c r="R595" s="39">
        <f t="shared" si="79"/>
        <v>1.0085991178820137E-8</v>
      </c>
      <c r="S595" s="40" t="b">
        <f>IF(B595=B594,C595&gt;C594,COUNTIF(B$1:B594,B595)=0)</f>
        <v>1</v>
      </c>
      <c r="T595" s="37"/>
    </row>
    <row r="596" spans="1:20" x14ac:dyDescent="0.25">
      <c r="A596" s="37" t="s">
        <v>1331</v>
      </c>
      <c r="B596" s="37" t="s">
        <v>531</v>
      </c>
      <c r="C596" s="37">
        <v>150</v>
      </c>
      <c r="D596" s="37">
        <v>4.8630000000000004</v>
      </c>
      <c r="E596" s="37" t="s">
        <v>771</v>
      </c>
      <c r="F596" s="37">
        <v>20</v>
      </c>
      <c r="G596" s="37" t="s">
        <v>536</v>
      </c>
      <c r="H596" s="37" t="s">
        <v>1320</v>
      </c>
      <c r="I596" s="38">
        <f t="shared" si="72"/>
        <v>4.8630000000000004</v>
      </c>
      <c r="J596" s="38">
        <f t="shared" si="73"/>
        <v>5.0106352940962555</v>
      </c>
      <c r="K596" s="38">
        <f t="shared" si="74"/>
        <v>1.5816555314216489</v>
      </c>
      <c r="L596" s="39">
        <f t="shared" si="75"/>
        <v>0.20563438206868187</v>
      </c>
      <c r="M596" s="39">
        <f t="shared" si="76"/>
        <v>2.5184965482039665</v>
      </c>
      <c r="N596" s="39">
        <f t="shared" si="77"/>
        <v>30.84515731030228</v>
      </c>
      <c r="O596" s="40">
        <f>1</f>
        <v>1</v>
      </c>
      <c r="P596" s="38">
        <f>INDEX(Cables!$AS:$AS,MATCH(B596,Cables!$A:$A,0))+INDEX(Cables!$AT:$AT,MATCH(B596,Cables!$A:$A,0))*SQRT(C596)+INDEX(Cables!$AU:$AU,MATCH(B596,Cables!$A:$A,0))*C596</f>
        <v>4.8635517535488582</v>
      </c>
      <c r="Q596" s="41">
        <f t="shared" si="78"/>
        <v>1.1345950007357608E-4</v>
      </c>
      <c r="R596" s="39">
        <f t="shared" si="79"/>
        <v>1.2873058156945811E-8</v>
      </c>
      <c r="S596" s="40" t="b">
        <f>IF(B596=B595,C596&gt;C595,COUNTIF(B$1:B595,B596)=0)</f>
        <v>1</v>
      </c>
      <c r="T596" s="37"/>
    </row>
    <row r="597" spans="1:20" x14ac:dyDescent="0.25">
      <c r="A597" s="37" t="s">
        <v>1332</v>
      </c>
      <c r="B597" s="37" t="s">
        <v>531</v>
      </c>
      <c r="C597" s="37">
        <v>174</v>
      </c>
      <c r="D597" s="37">
        <v>5.2539999999999996</v>
      </c>
      <c r="E597" s="37" t="s">
        <v>771</v>
      </c>
      <c r="F597" s="37">
        <v>20</v>
      </c>
      <c r="G597" s="37" t="s">
        <v>536</v>
      </c>
      <c r="H597" s="37" t="s">
        <v>1320</v>
      </c>
      <c r="I597" s="38">
        <f t="shared" si="72"/>
        <v>5.2539999999999996</v>
      </c>
      <c r="J597" s="38">
        <f t="shared" si="73"/>
        <v>5.1590552992145291</v>
      </c>
      <c r="K597" s="38">
        <f t="shared" si="74"/>
        <v>1.6589896912633479</v>
      </c>
      <c r="L597" s="39">
        <f t="shared" si="75"/>
        <v>0.19033117624666923</v>
      </c>
      <c r="M597" s="39">
        <f t="shared" si="76"/>
        <v>2.5106406467972824</v>
      </c>
      <c r="N597" s="39">
        <f t="shared" si="77"/>
        <v>33.117624666920442</v>
      </c>
      <c r="O597" s="40">
        <f>1</f>
        <v>1</v>
      </c>
      <c r="P597" s="38">
        <f>INDEX(Cables!$AS:$AS,MATCH(B597,Cables!$A:$A,0))+INDEX(Cables!$AT:$AT,MATCH(B597,Cables!$A:$A,0))*SQRT(C597)+INDEX(Cables!$AU:$AU,MATCH(B597,Cables!$A:$A,0))*C597</f>
        <v>5.2539816251375626</v>
      </c>
      <c r="Q597" s="41">
        <f t="shared" si="78"/>
        <v>-3.4973091810330814E-6</v>
      </c>
      <c r="R597" s="39">
        <f t="shared" si="79"/>
        <v>1.2231171507738283E-11</v>
      </c>
      <c r="S597" s="40" t="b">
        <f>IF(B597=B596,C597&gt;C596,COUNTIF(B$1:B596,B597)=0)</f>
        <v>1</v>
      </c>
      <c r="T597" s="37"/>
    </row>
    <row r="598" spans="1:20" x14ac:dyDescent="0.25">
      <c r="A598" s="37" t="s">
        <v>1333</v>
      </c>
      <c r="B598" s="37" t="s">
        <v>531</v>
      </c>
      <c r="C598" s="37">
        <v>200</v>
      </c>
      <c r="D598" s="37">
        <v>5.65</v>
      </c>
      <c r="E598" s="37" t="s">
        <v>771</v>
      </c>
      <c r="F598" s="37">
        <v>20</v>
      </c>
      <c r="G598" s="37" t="s">
        <v>536</v>
      </c>
      <c r="H598" s="37" t="s">
        <v>1320</v>
      </c>
      <c r="I598" s="38">
        <f t="shared" si="72"/>
        <v>5.65</v>
      </c>
      <c r="J598" s="38">
        <f t="shared" si="73"/>
        <v>5.2983173665480363</v>
      </c>
      <c r="K598" s="38">
        <f t="shared" si="74"/>
        <v>1.7316555451583497</v>
      </c>
      <c r="L598" s="39">
        <f t="shared" si="75"/>
        <v>0.17699115044247787</v>
      </c>
      <c r="M598" s="39">
        <f t="shared" si="76"/>
        <v>2.5030328537576905</v>
      </c>
      <c r="N598" s="39">
        <f t="shared" si="77"/>
        <v>35.398230088495573</v>
      </c>
      <c r="O598" s="40">
        <f>1</f>
        <v>1</v>
      </c>
      <c r="P598" s="38">
        <f>INDEX(Cables!$AS:$AS,MATCH(B598,Cables!$A:$A,0))+INDEX(Cables!$AT:$AT,MATCH(B598,Cables!$A:$A,0))*SQRT(C598)+INDEX(Cables!$AU:$AU,MATCH(B598,Cables!$A:$A,0))*C598</f>
        <v>5.6499094721545253</v>
      </c>
      <c r="Q598" s="41">
        <f t="shared" si="78"/>
        <v>-1.6022627517653376E-5</v>
      </c>
      <c r="R598" s="39">
        <f t="shared" si="79"/>
        <v>2.5672459256946317E-10</v>
      </c>
      <c r="S598" s="40" t="b">
        <f>IF(B598=B597,C598&gt;C597,COUNTIF(B$1:B597,B598)=0)</f>
        <v>1</v>
      </c>
      <c r="T598" s="37"/>
    </row>
    <row r="599" spans="1:20" x14ac:dyDescent="0.25">
      <c r="A599" s="37" t="s">
        <v>1334</v>
      </c>
      <c r="B599" s="37" t="s">
        <v>531</v>
      </c>
      <c r="C599" s="37">
        <v>300</v>
      </c>
      <c r="D599" s="37">
        <v>6.9889999999999999</v>
      </c>
      <c r="E599" s="37" t="s">
        <v>771</v>
      </c>
      <c r="F599" s="37">
        <v>20</v>
      </c>
      <c r="G599" s="37" t="s">
        <v>536</v>
      </c>
      <c r="H599" s="37" t="s">
        <v>1320</v>
      </c>
      <c r="I599" s="38">
        <f t="shared" si="72"/>
        <v>6.9889999999999999</v>
      </c>
      <c r="J599" s="38">
        <f t="shared" si="73"/>
        <v>5.7037824746562009</v>
      </c>
      <c r="K599" s="38">
        <f t="shared" si="74"/>
        <v>1.9443374844949919</v>
      </c>
      <c r="L599" s="39">
        <f t="shared" si="75"/>
        <v>0.14308198597796537</v>
      </c>
      <c r="M599" s="39">
        <f t="shared" si="76"/>
        <v>2.4782526936169371</v>
      </c>
      <c r="N599" s="39">
        <f t="shared" si="77"/>
        <v>42.924595793389614</v>
      </c>
      <c r="O599" s="40">
        <f>1</f>
        <v>1</v>
      </c>
      <c r="P599" s="38">
        <f>INDEX(Cables!$AS:$AS,MATCH(B599,Cables!$A:$A,0))+INDEX(Cables!$AT:$AT,MATCH(B599,Cables!$A:$A,0))*SQRT(C599)+INDEX(Cables!$AU:$AU,MATCH(B599,Cables!$A:$A,0))*C599</f>
        <v>6.9894507233298269</v>
      </c>
      <c r="Q599" s="41">
        <f t="shared" si="78"/>
        <v>6.4490389158233796E-5</v>
      </c>
      <c r="R599" s="39">
        <f t="shared" si="79"/>
        <v>4.1590102937804391E-9</v>
      </c>
      <c r="S599" s="40" t="b">
        <f>IF(B599=B598,C599&gt;C598,COUNTIF(B$1:B598,B599)=0)</f>
        <v>1</v>
      </c>
      <c r="T599" s="37"/>
    </row>
    <row r="600" spans="1:20" x14ac:dyDescent="0.25">
      <c r="A600" s="37" t="s">
        <v>1335</v>
      </c>
      <c r="B600" s="37" t="s">
        <v>531</v>
      </c>
      <c r="C600" s="37">
        <v>400</v>
      </c>
      <c r="D600" s="37">
        <v>8.1379999999999999</v>
      </c>
      <c r="E600" s="37" t="s">
        <v>771</v>
      </c>
      <c r="F600" s="37">
        <v>20</v>
      </c>
      <c r="G600" s="37" t="s">
        <v>536</v>
      </c>
      <c r="H600" s="37" t="s">
        <v>1320</v>
      </c>
      <c r="I600" s="38">
        <f t="shared" si="72"/>
        <v>8.1379999999999999</v>
      </c>
      <c r="J600" s="38">
        <f t="shared" si="73"/>
        <v>5.9914645471079817</v>
      </c>
      <c r="K600" s="38">
        <f t="shared" si="74"/>
        <v>2.0965444495794983</v>
      </c>
      <c r="L600" s="39">
        <f t="shared" si="75"/>
        <v>0.12288031457360531</v>
      </c>
      <c r="M600" s="39">
        <f t="shared" si="76"/>
        <v>2.4576062914721062</v>
      </c>
      <c r="N600" s="39">
        <f t="shared" si="77"/>
        <v>49.152125829442127</v>
      </c>
      <c r="O600" s="40">
        <f>1</f>
        <v>1</v>
      </c>
      <c r="P600" s="38">
        <f>INDEX(Cables!$AS:$AS,MATCH(B600,Cables!$A:$A,0))+INDEX(Cables!$AT:$AT,MATCH(B600,Cables!$A:$A,0))*SQRT(C600)+INDEX(Cables!$AU:$AU,MATCH(B600,Cables!$A:$A,0))*C600</f>
        <v>8.1386060488460998</v>
      </c>
      <c r="Q600" s="41">
        <f t="shared" si="78"/>
        <v>7.4471472855774934E-5</v>
      </c>
      <c r="R600" s="39">
        <f t="shared" si="79"/>
        <v>5.5460002693084227E-9</v>
      </c>
      <c r="S600" s="40" t="b">
        <f>IF(B600=B599,C600&gt;C599,COUNTIF(B$1:B599,B600)=0)</f>
        <v>1</v>
      </c>
      <c r="T600" s="37"/>
    </row>
    <row r="601" spans="1:20" x14ac:dyDescent="0.25">
      <c r="A601" s="37" t="s">
        <v>1336</v>
      </c>
      <c r="B601" s="37" t="s">
        <v>531</v>
      </c>
      <c r="C601" s="37">
        <v>450</v>
      </c>
      <c r="D601" s="37">
        <v>8.6649999999999991</v>
      </c>
      <c r="E601" s="37" t="s">
        <v>771</v>
      </c>
      <c r="F601" s="37">
        <v>20</v>
      </c>
      <c r="G601" s="37" t="s">
        <v>536</v>
      </c>
      <c r="H601" s="37" t="s">
        <v>1320</v>
      </c>
      <c r="I601" s="38">
        <f t="shared" si="72"/>
        <v>8.6649999999999991</v>
      </c>
      <c r="J601" s="38">
        <f t="shared" si="73"/>
        <v>6.1092475827643655</v>
      </c>
      <c r="K601" s="38">
        <f t="shared" si="74"/>
        <v>2.1592919231675691</v>
      </c>
      <c r="L601" s="39">
        <f t="shared" si="75"/>
        <v>0.11540680900173111</v>
      </c>
      <c r="M601" s="39">
        <f t="shared" si="76"/>
        <v>2.4481481172067432</v>
      </c>
      <c r="N601" s="39">
        <f t="shared" si="77"/>
        <v>51.933064050779002</v>
      </c>
      <c r="O601" s="40">
        <f>1</f>
        <v>1</v>
      </c>
      <c r="P601" s="38">
        <f>INDEX(Cables!$AS:$AS,MATCH(B601,Cables!$A:$A,0))+INDEX(Cables!$AT:$AT,MATCH(B601,Cables!$A:$A,0))*SQRT(C601)+INDEX(Cables!$AU:$AU,MATCH(B601,Cables!$A:$A,0))*C601</f>
        <v>8.6648917564785197</v>
      </c>
      <c r="Q601" s="41">
        <f t="shared" si="78"/>
        <v>-1.2492039409006672E-5</v>
      </c>
      <c r="R601" s="39">
        <f t="shared" si="79"/>
        <v>1.5605104859617577E-10</v>
      </c>
      <c r="S601" s="40" t="b">
        <f>IF(B601=B600,C601&gt;C600,COUNTIF(B$1:B600,B601)=0)</f>
        <v>1</v>
      </c>
      <c r="T601" s="37"/>
    </row>
    <row r="602" spans="1:20" x14ac:dyDescent="0.25">
      <c r="A602" s="37" t="s">
        <v>1337</v>
      </c>
      <c r="B602" s="37" t="s">
        <v>531</v>
      </c>
      <c r="C602" s="37">
        <v>500</v>
      </c>
      <c r="D602" s="37">
        <v>9.1660000000000004</v>
      </c>
      <c r="E602" s="37" t="s">
        <v>771</v>
      </c>
      <c r="F602" s="37">
        <v>20</v>
      </c>
      <c r="G602" s="37" t="s">
        <v>536</v>
      </c>
      <c r="H602" s="37" t="s">
        <v>1320</v>
      </c>
      <c r="I602" s="38">
        <f t="shared" si="72"/>
        <v>9.1660000000000004</v>
      </c>
      <c r="J602" s="38">
        <f t="shared" si="73"/>
        <v>6.2146080984221914</v>
      </c>
      <c r="K602" s="38">
        <f t="shared" si="74"/>
        <v>2.2155009860869321</v>
      </c>
      <c r="L602" s="39">
        <f t="shared" si="75"/>
        <v>0.10909884355225834</v>
      </c>
      <c r="M602" s="39">
        <f t="shared" si="76"/>
        <v>2.4395243044946429</v>
      </c>
      <c r="N602" s="39">
        <f t="shared" si="77"/>
        <v>54.549421776129172</v>
      </c>
      <c r="O602" s="40">
        <f>1</f>
        <v>1</v>
      </c>
      <c r="P602" s="38">
        <f>INDEX(Cables!$AS:$AS,MATCH(B602,Cables!$A:$A,0))+INDEX(Cables!$AT:$AT,MATCH(B602,Cables!$A:$A,0))*SQRT(C602)+INDEX(Cables!$AU:$AU,MATCH(B602,Cables!$A:$A,0))*C602</f>
        <v>9.1660942761400914</v>
      </c>
      <c r="Q602" s="41">
        <f t="shared" si="78"/>
        <v>1.0285417858524326E-5</v>
      </c>
      <c r="R602" s="39">
        <f t="shared" si="79"/>
        <v>1.0578982052445114E-10</v>
      </c>
      <c r="S602" s="40" t="b">
        <f>IF(B602=B601,C602&gt;C601,COUNTIF(B$1:B601,B602)=0)</f>
        <v>1</v>
      </c>
      <c r="T602" s="37"/>
    </row>
    <row r="603" spans="1:20" x14ac:dyDescent="0.25">
      <c r="A603" s="37" t="s">
        <v>1338</v>
      </c>
      <c r="B603" s="37" t="s">
        <v>531</v>
      </c>
      <c r="C603" s="37">
        <v>512</v>
      </c>
      <c r="D603" s="37">
        <v>9.2829999999999995</v>
      </c>
      <c r="E603" s="37" t="s">
        <v>771</v>
      </c>
      <c r="F603" s="37">
        <v>20</v>
      </c>
      <c r="G603" s="37" t="s">
        <v>536</v>
      </c>
      <c r="H603" s="37" t="s">
        <v>1320</v>
      </c>
      <c r="I603" s="38">
        <f t="shared" si="72"/>
        <v>9.2829999999999995</v>
      </c>
      <c r="J603" s="38">
        <f t="shared" si="73"/>
        <v>6.2383246250395077</v>
      </c>
      <c r="K603" s="38">
        <f t="shared" si="74"/>
        <v>2.2281847704177955</v>
      </c>
      <c r="L603" s="39">
        <f t="shared" si="75"/>
        <v>0.10772379618657763</v>
      </c>
      <c r="M603" s="39">
        <f t="shared" si="76"/>
        <v>2.4375112569179707</v>
      </c>
      <c r="N603" s="39">
        <f t="shared" si="77"/>
        <v>55.154583647527744</v>
      </c>
      <c r="O603" s="40">
        <f>1</f>
        <v>1</v>
      </c>
      <c r="P603" s="38">
        <f>INDEX(Cables!$AS:$AS,MATCH(B603,Cables!$A:$A,0))+INDEX(Cables!$AT:$AT,MATCH(B603,Cables!$A:$A,0))*SQRT(C603)+INDEX(Cables!$AU:$AU,MATCH(B603,Cables!$A:$A,0))*C603</f>
        <v>9.2830791044691363</v>
      </c>
      <c r="Q603" s="41">
        <f t="shared" si="78"/>
        <v>8.5214337106620519E-6</v>
      </c>
      <c r="R603" s="39">
        <f t="shared" si="79"/>
        <v>7.2614832485207623E-11</v>
      </c>
      <c r="S603" s="40" t="b">
        <f>IF(B603=B602,C603&gt;C602,COUNTIF(B$1:B602,B603)=0)</f>
        <v>1</v>
      </c>
      <c r="T603" s="37"/>
    </row>
    <row r="604" spans="1:20" x14ac:dyDescent="0.25">
      <c r="A604" s="37" t="s">
        <v>1339</v>
      </c>
      <c r="B604" s="37" t="s">
        <v>531</v>
      </c>
      <c r="C604" s="37">
        <v>600</v>
      </c>
      <c r="D604" s="37">
        <v>10.106999999999999</v>
      </c>
      <c r="E604" s="37" t="s">
        <v>771</v>
      </c>
      <c r="F604" s="37">
        <v>20</v>
      </c>
      <c r="G604" s="37" t="s">
        <v>536</v>
      </c>
      <c r="H604" s="37" t="s">
        <v>1320</v>
      </c>
      <c r="I604" s="38">
        <f t="shared" si="72"/>
        <v>10.106999999999999</v>
      </c>
      <c r="J604" s="38">
        <f t="shared" si="73"/>
        <v>6.3969296552161463</v>
      </c>
      <c r="K604" s="38">
        <f t="shared" si="74"/>
        <v>2.3132282530925252</v>
      </c>
      <c r="L604" s="39">
        <f t="shared" si="75"/>
        <v>9.894132779261898E-2</v>
      </c>
      <c r="M604" s="39">
        <f t="shared" si="76"/>
        <v>2.4235576756536839</v>
      </c>
      <c r="N604" s="39">
        <f t="shared" si="77"/>
        <v>59.364796675571391</v>
      </c>
      <c r="O604" s="40">
        <f>1</f>
        <v>1</v>
      </c>
      <c r="P604" s="38">
        <f>INDEX(Cables!$AS:$AS,MATCH(B604,Cables!$A:$A,0))+INDEX(Cables!$AT:$AT,MATCH(B604,Cables!$A:$A,0))*SQRT(C604)+INDEX(Cables!$AU:$AU,MATCH(B604,Cables!$A:$A,0))*C604</f>
        <v>10.107158603591182</v>
      </c>
      <c r="Q604" s="41">
        <f t="shared" si="78"/>
        <v>1.5692449904403105E-5</v>
      </c>
      <c r="R604" s="39">
        <f t="shared" si="79"/>
        <v>2.4625298400220104E-10</v>
      </c>
      <c r="S604" s="40" t="b">
        <f>IF(B604=B603,C604&gt;C603,COUNTIF(B$1:B603,B604)=0)</f>
        <v>1</v>
      </c>
      <c r="T604" s="37"/>
    </row>
    <row r="605" spans="1:20" x14ac:dyDescent="0.25">
      <c r="A605" s="37" t="s">
        <v>1340</v>
      </c>
      <c r="B605" s="37" t="s">
        <v>531</v>
      </c>
      <c r="C605" s="37">
        <v>700</v>
      </c>
      <c r="D605" s="37">
        <v>10.981999999999999</v>
      </c>
      <c r="E605" s="37" t="s">
        <v>771</v>
      </c>
      <c r="F605" s="37">
        <v>20</v>
      </c>
      <c r="G605" s="37" t="s">
        <v>536</v>
      </c>
      <c r="H605" s="37" t="s">
        <v>1320</v>
      </c>
      <c r="I605" s="38">
        <f t="shared" si="72"/>
        <v>10.981999999999999</v>
      </c>
      <c r="J605" s="38">
        <f t="shared" si="73"/>
        <v>6.5510803350434044</v>
      </c>
      <c r="K605" s="38">
        <f t="shared" si="74"/>
        <v>2.3962575688566807</v>
      </c>
      <c r="L605" s="39">
        <f t="shared" si="75"/>
        <v>9.1058095064651248E-2</v>
      </c>
      <c r="M605" s="39">
        <f t="shared" si="76"/>
        <v>2.4091707440034518</v>
      </c>
      <c r="N605" s="39">
        <f t="shared" si="77"/>
        <v>63.740666545255877</v>
      </c>
      <c r="O605" s="40">
        <f>1</f>
        <v>1</v>
      </c>
      <c r="P605" s="38">
        <f>INDEX(Cables!$AS:$AS,MATCH(B605,Cables!$A:$A,0))+INDEX(Cables!$AT:$AT,MATCH(B605,Cables!$A:$A,0))*SQRT(C605)+INDEX(Cables!$AU:$AU,MATCH(B605,Cables!$A:$A,0))*C605</f>
        <v>10.982735107612395</v>
      </c>
      <c r="Q605" s="41">
        <f t="shared" si="78"/>
        <v>6.693749885222644E-5</v>
      </c>
      <c r="R605" s="39">
        <f t="shared" si="79"/>
        <v>4.4806287525918163E-9</v>
      </c>
      <c r="S605" s="40" t="b">
        <f>IF(B605=B604,C605&gt;C604,COUNTIF(B$1:B604,B605)=0)</f>
        <v>1</v>
      </c>
      <c r="T605" s="37"/>
    </row>
    <row r="606" spans="1:20" x14ac:dyDescent="0.25">
      <c r="A606" s="37" t="s">
        <v>1341</v>
      </c>
      <c r="B606" s="37" t="s">
        <v>531</v>
      </c>
      <c r="C606" s="37">
        <v>800</v>
      </c>
      <c r="D606" s="37">
        <v>11.805999999999999</v>
      </c>
      <c r="E606" s="37" t="s">
        <v>771</v>
      </c>
      <c r="F606" s="37">
        <v>20</v>
      </c>
      <c r="G606" s="37" t="s">
        <v>536</v>
      </c>
      <c r="H606" s="37" t="s">
        <v>1320</v>
      </c>
      <c r="I606" s="38">
        <f t="shared" si="72"/>
        <v>11.805999999999999</v>
      </c>
      <c r="J606" s="38">
        <f t="shared" si="73"/>
        <v>6.6846117276679271</v>
      </c>
      <c r="K606" s="38">
        <f t="shared" si="74"/>
        <v>2.4686078768184974</v>
      </c>
      <c r="L606" s="39">
        <f t="shared" si="75"/>
        <v>8.4702693545654753E-2</v>
      </c>
      <c r="M606" s="39">
        <f t="shared" si="76"/>
        <v>2.3957539596359396</v>
      </c>
      <c r="N606" s="39">
        <f t="shared" si="77"/>
        <v>67.762154836523806</v>
      </c>
      <c r="O606" s="40">
        <f>1</f>
        <v>1</v>
      </c>
      <c r="P606" s="38">
        <f>INDEX(Cables!$AS:$AS,MATCH(B606,Cables!$A:$A,0))+INDEX(Cables!$AT:$AT,MATCH(B606,Cables!$A:$A,0))*SQRT(C606)+INDEX(Cables!$AU:$AU,MATCH(B606,Cables!$A:$A,0))*C606</f>
        <v>11.806464800184315</v>
      </c>
      <c r="Q606" s="41">
        <f t="shared" si="78"/>
        <v>3.9369827572022231E-5</v>
      </c>
      <c r="R606" s="39">
        <f t="shared" si="79"/>
        <v>1.549983323050762E-9</v>
      </c>
      <c r="S606" s="40" t="b">
        <f>IF(B606=B605,C606&gt;C605,COUNTIF(B$1:B605,B606)=0)</f>
        <v>1</v>
      </c>
      <c r="T606" s="37"/>
    </row>
    <row r="607" spans="1:20" x14ac:dyDescent="0.25">
      <c r="A607" s="37" t="s">
        <v>1342</v>
      </c>
      <c r="B607" s="37" t="s">
        <v>531</v>
      </c>
      <c r="C607" s="37">
        <v>824</v>
      </c>
      <c r="D607" s="37">
        <v>11.997</v>
      </c>
      <c r="E607" s="37" t="s">
        <v>771</v>
      </c>
      <c r="F607" s="37">
        <v>20</v>
      </c>
      <c r="G607" s="37" t="s">
        <v>536</v>
      </c>
      <c r="H607" s="37" t="s">
        <v>1320</v>
      </c>
      <c r="I607" s="38">
        <f t="shared" si="72"/>
        <v>11.997</v>
      </c>
      <c r="J607" s="38">
        <f t="shared" si="73"/>
        <v>6.7141705299094721</v>
      </c>
      <c r="K607" s="38">
        <f t="shared" si="74"/>
        <v>2.484656618532791</v>
      </c>
      <c r="L607" s="39">
        <f t="shared" si="75"/>
        <v>8.335417187630241E-2</v>
      </c>
      <c r="M607" s="39">
        <f t="shared" si="76"/>
        <v>2.3927148611164997</v>
      </c>
      <c r="N607" s="39">
        <f t="shared" si="77"/>
        <v>68.683837626073185</v>
      </c>
      <c r="O607" s="40">
        <f>1</f>
        <v>1</v>
      </c>
      <c r="P607" s="38">
        <f>INDEX(Cables!$AS:$AS,MATCH(B607,Cables!$A:$A,0))+INDEX(Cables!$AT:$AT,MATCH(B607,Cables!$A:$A,0))*SQRT(C607)+INDEX(Cables!$AU:$AU,MATCH(B607,Cables!$A:$A,0))*C607</f>
        <v>11.997560458560702</v>
      </c>
      <c r="Q607" s="41">
        <f t="shared" si="78"/>
        <v>4.6716559198412E-5</v>
      </c>
      <c r="R607" s="39">
        <f t="shared" si="79"/>
        <v>2.182436903338733E-9</v>
      </c>
      <c r="S607" s="40" t="b">
        <f>IF(B607=B606,C607&gt;C606,COUNTIF(B$1:B606,B607)=0)</f>
        <v>1</v>
      </c>
      <c r="T607" s="37"/>
    </row>
    <row r="608" spans="1:20" x14ac:dyDescent="0.25">
      <c r="A608" s="37" t="s">
        <v>1343</v>
      </c>
      <c r="B608" s="37" t="s">
        <v>531</v>
      </c>
      <c r="C608" s="37">
        <v>860</v>
      </c>
      <c r="D608" s="37">
        <v>12.28</v>
      </c>
      <c r="E608" s="37" t="s">
        <v>771</v>
      </c>
      <c r="F608" s="37">
        <v>20</v>
      </c>
      <c r="G608" s="37" t="s">
        <v>536</v>
      </c>
      <c r="H608" s="37" t="s">
        <v>1320</v>
      </c>
      <c r="I608" s="38">
        <f t="shared" si="72"/>
        <v>12.28</v>
      </c>
      <c r="J608" s="38">
        <f t="shared" si="73"/>
        <v>6.7569323892475532</v>
      </c>
      <c r="K608" s="38">
        <f t="shared" si="74"/>
        <v>2.5079719227189963</v>
      </c>
      <c r="L608" s="39">
        <f t="shared" si="75"/>
        <v>8.1433224755700334E-2</v>
      </c>
      <c r="M608" s="39">
        <f t="shared" si="76"/>
        <v>2.3880909281132214</v>
      </c>
      <c r="N608" s="39">
        <f t="shared" si="77"/>
        <v>70.032573289902288</v>
      </c>
      <c r="O608" s="40">
        <f>1</f>
        <v>1</v>
      </c>
      <c r="P608" s="38">
        <f>INDEX(Cables!$AS:$AS,MATCH(B608,Cables!$A:$A,0))+INDEX(Cables!$AT:$AT,MATCH(B608,Cables!$A:$A,0))*SQRT(C608)+INDEX(Cables!$AU:$AU,MATCH(B608,Cables!$A:$A,0))*C608</f>
        <v>12.27987744747977</v>
      </c>
      <c r="Q608" s="41">
        <f t="shared" si="78"/>
        <v>-9.9798469243017607E-6</v>
      </c>
      <c r="R608" s="39">
        <f t="shared" si="79"/>
        <v>9.9597344632495308E-11</v>
      </c>
      <c r="S608" s="40" t="b">
        <f>IF(B608=B607,C608&gt;C607,COUNTIF(B$1:B607,B608)=0)</f>
        <v>1</v>
      </c>
      <c r="T608" s="37"/>
    </row>
    <row r="609" spans="1:20" x14ac:dyDescent="0.25">
      <c r="A609" s="37" t="s">
        <v>1344</v>
      </c>
      <c r="B609" s="37" t="s">
        <v>531</v>
      </c>
      <c r="C609" s="37">
        <v>894</v>
      </c>
      <c r="D609" s="37">
        <v>12.542</v>
      </c>
      <c r="E609" s="37" t="s">
        <v>771</v>
      </c>
      <c r="F609" s="37">
        <v>20</v>
      </c>
      <c r="G609" s="37" t="s">
        <v>536</v>
      </c>
      <c r="H609" s="37" t="s">
        <v>1320</v>
      </c>
      <c r="I609" s="38">
        <f t="shared" si="72"/>
        <v>12.542</v>
      </c>
      <c r="J609" s="38">
        <f t="shared" si="73"/>
        <v>6.7957057751735137</v>
      </c>
      <c r="K609" s="38">
        <f t="shared" si="74"/>
        <v>2.5290830121208292</v>
      </c>
      <c r="L609" s="39">
        <f t="shared" si="75"/>
        <v>7.9732100143517781E-2</v>
      </c>
      <c r="M609" s="39">
        <f t="shared" si="76"/>
        <v>2.3839764611267826</v>
      </c>
      <c r="N609" s="39">
        <f t="shared" si="77"/>
        <v>71.280497528304892</v>
      </c>
      <c r="O609" s="40">
        <f>1</f>
        <v>1</v>
      </c>
      <c r="P609" s="38">
        <f>INDEX(Cables!$AS:$AS,MATCH(B609,Cables!$A:$A,0))+INDEX(Cables!$AT:$AT,MATCH(B609,Cables!$A:$A,0))*SQRT(C609)+INDEX(Cables!$AU:$AU,MATCH(B609,Cables!$A:$A,0))*C609</f>
        <v>12.542000868593279</v>
      </c>
      <c r="Q609" s="41">
        <f t="shared" si="78"/>
        <v>6.9254766366100284E-8</v>
      </c>
      <c r="R609" s="39">
        <f t="shared" si="79"/>
        <v>4.7962226644231352E-15</v>
      </c>
      <c r="S609" s="40" t="b">
        <f>IF(B609=B608,C609&gt;C608,COUNTIF(B$1:B608,B609)=0)</f>
        <v>1</v>
      </c>
      <c r="T609" s="37"/>
    </row>
    <row r="610" spans="1:20" x14ac:dyDescent="0.25">
      <c r="A610" s="37" t="s">
        <v>1345</v>
      </c>
      <c r="B610" s="37" t="s">
        <v>531</v>
      </c>
      <c r="C610" s="37">
        <v>960</v>
      </c>
      <c r="D610" s="37">
        <v>13.039</v>
      </c>
      <c r="E610" s="37" t="s">
        <v>771</v>
      </c>
      <c r="F610" s="37">
        <v>20</v>
      </c>
      <c r="G610" s="37" t="s">
        <v>536</v>
      </c>
      <c r="H610" s="37" t="s">
        <v>1320</v>
      </c>
      <c r="I610" s="38">
        <f t="shared" si="72"/>
        <v>13.039</v>
      </c>
      <c r="J610" s="38">
        <f t="shared" si="73"/>
        <v>6.866933284461882</v>
      </c>
      <c r="K610" s="38">
        <f t="shared" si="74"/>
        <v>2.5679448664413353</v>
      </c>
      <c r="L610" s="39">
        <f t="shared" si="75"/>
        <v>7.6692997929289061E-2</v>
      </c>
      <c r="M610" s="39">
        <f t="shared" si="76"/>
        <v>2.3762456300068515</v>
      </c>
      <c r="N610" s="39">
        <f t="shared" si="77"/>
        <v>73.625278012117491</v>
      </c>
      <c r="O610" s="40">
        <f>1</f>
        <v>1</v>
      </c>
      <c r="P610" s="38">
        <f>INDEX(Cables!$AS:$AS,MATCH(B610,Cables!$A:$A,0))+INDEX(Cables!$AT:$AT,MATCH(B610,Cables!$A:$A,0))*SQRT(C610)+INDEX(Cables!$AU:$AU,MATCH(B610,Cables!$A:$A,0))*C610</f>
        <v>13.039246642836455</v>
      </c>
      <c r="Q610" s="41">
        <f t="shared" si="78"/>
        <v>1.8915778545514073E-5</v>
      </c>
      <c r="R610" s="39">
        <f t="shared" si="79"/>
        <v>3.5780667798293049E-10</v>
      </c>
      <c r="S610" s="40" t="b">
        <f>IF(B610=B609,C610&gt;C609,COUNTIF(B$1:B609,B610)=0)</f>
        <v>1</v>
      </c>
      <c r="T610" s="37"/>
    </row>
    <row r="611" spans="1:20" x14ac:dyDescent="0.25">
      <c r="A611" s="37" t="s">
        <v>1346</v>
      </c>
      <c r="B611" s="37" t="s">
        <v>531</v>
      </c>
      <c r="C611" s="37">
        <v>1000</v>
      </c>
      <c r="D611" s="37">
        <v>13.333</v>
      </c>
      <c r="E611" s="37" t="s">
        <v>771</v>
      </c>
      <c r="F611" s="37">
        <v>20</v>
      </c>
      <c r="G611" s="37" t="s">
        <v>536</v>
      </c>
      <c r="H611" s="37" t="s">
        <v>1320</v>
      </c>
      <c r="I611" s="38">
        <f t="shared" si="72"/>
        <v>13.333</v>
      </c>
      <c r="J611" s="38">
        <f t="shared" si="73"/>
        <v>6.9077552789821368</v>
      </c>
      <c r="K611" s="38">
        <f t="shared" si="74"/>
        <v>2.5902421651333216</v>
      </c>
      <c r="L611" s="39">
        <f t="shared" si="75"/>
        <v>7.5001875046876165E-2</v>
      </c>
      <c r="M611" s="39">
        <f t="shared" si="76"/>
        <v>2.3717675393147672</v>
      </c>
      <c r="N611" s="39">
        <f t="shared" si="77"/>
        <v>75.001875046876165</v>
      </c>
      <c r="O611" s="40">
        <f>1</f>
        <v>1</v>
      </c>
      <c r="P611" s="38">
        <f>INDEX(Cables!$AS:$AS,MATCH(B611,Cables!$A:$A,0))+INDEX(Cables!$AT:$AT,MATCH(B611,Cables!$A:$A,0))*SQRT(C611)+INDEX(Cables!$AU:$AU,MATCH(B611,Cables!$A:$A,0))*C611</f>
        <v>13.333707736376915</v>
      </c>
      <c r="Q611" s="41">
        <f t="shared" si="78"/>
        <v>5.3081555307477046E-5</v>
      </c>
      <c r="R611" s="39">
        <f t="shared" si="79"/>
        <v>2.8176515138607447E-9</v>
      </c>
      <c r="S611" s="40" t="b">
        <f>IF(B611=B610,C611&gt;C610,COUNTIF(B$1:B610,B611)=0)</f>
        <v>1</v>
      </c>
      <c r="T611" s="37"/>
    </row>
    <row r="612" spans="1:20" x14ac:dyDescent="0.25">
      <c r="A612" s="37" t="s">
        <v>1347</v>
      </c>
      <c r="B612" s="37" t="s">
        <v>531</v>
      </c>
      <c r="C612" s="37">
        <v>1250</v>
      </c>
      <c r="D612" s="37">
        <v>15.074</v>
      </c>
      <c r="E612" s="37" t="s">
        <v>771</v>
      </c>
      <c r="F612" s="37">
        <v>20</v>
      </c>
      <c r="G612" s="37" t="s">
        <v>536</v>
      </c>
      <c r="H612" s="37" t="s">
        <v>1320</v>
      </c>
      <c r="I612" s="38">
        <f t="shared" si="72"/>
        <v>15.074</v>
      </c>
      <c r="J612" s="38">
        <f t="shared" si="73"/>
        <v>7.1308988302963465</v>
      </c>
      <c r="K612" s="38">
        <f t="shared" si="74"/>
        <v>2.7129714054212783</v>
      </c>
      <c r="L612" s="39">
        <f t="shared" si="75"/>
        <v>6.6339392331166244E-2</v>
      </c>
      <c r="M612" s="39">
        <f t="shared" si="76"/>
        <v>2.3454517088581253</v>
      </c>
      <c r="N612" s="39">
        <f t="shared" si="77"/>
        <v>82.924240413957804</v>
      </c>
      <c r="O612" s="40">
        <f>1</f>
        <v>1</v>
      </c>
      <c r="P612" s="38">
        <f>INDEX(Cables!$AS:$AS,MATCH(B612,Cables!$A:$A,0))+INDEX(Cables!$AT:$AT,MATCH(B612,Cables!$A:$A,0))*SQRT(C612)+INDEX(Cables!$AU:$AU,MATCH(B612,Cables!$A:$A,0))*C612</f>
        <v>15.074628603271906</v>
      </c>
      <c r="Q612" s="41">
        <f t="shared" si="78"/>
        <v>4.1701159075646643E-5</v>
      </c>
      <c r="R612" s="39">
        <f t="shared" si="79"/>
        <v>1.7389866682523864E-9</v>
      </c>
      <c r="S612" s="40" t="b">
        <f>IF(B612=B611,C612&gt;C611,COUNTIF(B$1:B611,B612)=0)</f>
        <v>1</v>
      </c>
      <c r="T612" s="37"/>
    </row>
    <row r="613" spans="1:20" x14ac:dyDescent="0.25">
      <c r="A613" s="37" t="s">
        <v>1348</v>
      </c>
      <c r="B613" s="37" t="s">
        <v>531</v>
      </c>
      <c r="C613" s="37">
        <v>1500</v>
      </c>
      <c r="D613" s="37">
        <v>16.678000000000001</v>
      </c>
      <c r="E613" s="37" t="s">
        <v>771</v>
      </c>
      <c r="F613" s="37">
        <v>20</v>
      </c>
      <c r="G613" s="37" t="s">
        <v>536</v>
      </c>
      <c r="H613" s="37" t="s">
        <v>1320</v>
      </c>
      <c r="I613" s="38">
        <f t="shared" si="72"/>
        <v>16.678000000000001</v>
      </c>
      <c r="J613" s="38">
        <f t="shared" si="73"/>
        <v>7.3132203870903014</v>
      </c>
      <c r="K613" s="38">
        <f t="shared" si="74"/>
        <v>2.8140904856647935</v>
      </c>
      <c r="L613" s="39">
        <f t="shared" si="75"/>
        <v>5.9959227725146898E-2</v>
      </c>
      <c r="M613" s="39">
        <f t="shared" si="76"/>
        <v>2.3222109043095194</v>
      </c>
      <c r="N613" s="39">
        <f t="shared" si="77"/>
        <v>89.938841587720347</v>
      </c>
      <c r="O613" s="40">
        <f>1</f>
        <v>1</v>
      </c>
      <c r="P613" s="38">
        <f>INDEX(Cables!$AS:$AS,MATCH(B613,Cables!$A:$A,0))+INDEX(Cables!$AT:$AT,MATCH(B613,Cables!$A:$A,0))*SQRT(C613)+INDEX(Cables!$AU:$AU,MATCH(B613,Cables!$A:$A,0))*C613</f>
        <v>16.678901286277981</v>
      </c>
      <c r="Q613" s="41">
        <f t="shared" si="78"/>
        <v>5.4040429186885675E-5</v>
      </c>
      <c r="R613" s="39">
        <f t="shared" si="79"/>
        <v>2.920367986702805E-9</v>
      </c>
      <c r="S613" s="40" t="b">
        <f>IF(B613=B612,C613&gt;C612,COUNTIF(B$1:B612,B613)=0)</f>
        <v>1</v>
      </c>
      <c r="T613" s="37"/>
    </row>
    <row r="614" spans="1:20" x14ac:dyDescent="0.25">
      <c r="A614" s="37" t="s">
        <v>1349</v>
      </c>
      <c r="B614" s="37" t="s">
        <v>531</v>
      </c>
      <c r="C614" s="37">
        <v>1640</v>
      </c>
      <c r="D614" s="37">
        <v>17.53</v>
      </c>
      <c r="E614" s="37" t="s">
        <v>771</v>
      </c>
      <c r="F614" s="37">
        <v>20</v>
      </c>
      <c r="G614" s="37" t="s">
        <v>536</v>
      </c>
      <c r="H614" s="37" t="s">
        <v>1320</v>
      </c>
      <c r="I614" s="38">
        <f t="shared" si="72"/>
        <v>17.53</v>
      </c>
      <c r="J614" s="38">
        <f t="shared" si="73"/>
        <v>7.4024515208182438</v>
      </c>
      <c r="K614" s="38">
        <f t="shared" si="74"/>
        <v>2.8639136989331431</v>
      </c>
      <c r="L614" s="39">
        <f t="shared" si="75"/>
        <v>5.7045065601825436E-2</v>
      </c>
      <c r="M614" s="39">
        <f t="shared" si="76"/>
        <v>2.3101490851473572</v>
      </c>
      <c r="N614" s="39">
        <f t="shared" si="77"/>
        <v>93.553907586993716</v>
      </c>
      <c r="O614" s="40">
        <f>1</f>
        <v>1</v>
      </c>
      <c r="P614" s="38">
        <f>INDEX(Cables!$AS:$AS,MATCH(B614,Cables!$A:$A,0))+INDEX(Cables!$AT:$AT,MATCH(B614,Cables!$A:$A,0))*SQRT(C614)+INDEX(Cables!$AU:$AU,MATCH(B614,Cables!$A:$A,0))*C614</f>
        <v>17.530492536780223</v>
      </c>
      <c r="Q614" s="41">
        <f t="shared" si="78"/>
        <v>2.809679293913625E-5</v>
      </c>
      <c r="R614" s="39">
        <f t="shared" si="79"/>
        <v>7.894297734646966E-10</v>
      </c>
      <c r="S614" s="40" t="b">
        <f>IF(B614=B613,C614&gt;C613,COUNTIF(B$1:B613,B614)=0)</f>
        <v>1</v>
      </c>
      <c r="T614" s="37"/>
    </row>
    <row r="615" spans="1:20" x14ac:dyDescent="0.25">
      <c r="A615" s="37" t="s">
        <v>1350</v>
      </c>
      <c r="B615" s="37" t="s">
        <v>531</v>
      </c>
      <c r="C615" s="37">
        <v>1700</v>
      </c>
      <c r="D615" s="37">
        <v>17.885999999999999</v>
      </c>
      <c r="E615" s="37" t="s">
        <v>771</v>
      </c>
      <c r="F615" s="37">
        <v>20</v>
      </c>
      <c r="G615" s="37" t="s">
        <v>536</v>
      </c>
      <c r="H615" s="37" t="s">
        <v>1320</v>
      </c>
      <c r="I615" s="38">
        <f t="shared" si="72"/>
        <v>17.885999999999999</v>
      </c>
      <c r="J615" s="38">
        <f t="shared" si="73"/>
        <v>7.4383835300443071</v>
      </c>
      <c r="K615" s="38">
        <f t="shared" si="74"/>
        <v>2.8840182839239894</v>
      </c>
      <c r="L615" s="39">
        <f t="shared" si="75"/>
        <v>5.590965000559097E-2</v>
      </c>
      <c r="M615" s="39">
        <f t="shared" si="76"/>
        <v>2.3052139246436658</v>
      </c>
      <c r="N615" s="39">
        <f t="shared" si="77"/>
        <v>95.046405009504639</v>
      </c>
      <c r="O615" s="40">
        <f>1</f>
        <v>1</v>
      </c>
      <c r="P615" s="38">
        <f>INDEX(Cables!$AS:$AS,MATCH(B615,Cables!$A:$A,0))+INDEX(Cables!$AT:$AT,MATCH(B615,Cables!$A:$A,0))*SQRT(C615)+INDEX(Cables!$AU:$AU,MATCH(B615,Cables!$A:$A,0))*C615</f>
        <v>17.886615184128509</v>
      </c>
      <c r="Q615" s="41">
        <f t="shared" si="78"/>
        <v>3.4394729313991235E-5</v>
      </c>
      <c r="R615" s="39">
        <f t="shared" si="79"/>
        <v>1.182997404582728E-9</v>
      </c>
      <c r="S615" s="40" t="b">
        <f>IF(B615=B614,C615&gt;C614,COUNTIF(B$1:B614,B615)=0)</f>
        <v>1</v>
      </c>
      <c r="T615" s="37"/>
    </row>
    <row r="616" spans="1:20" x14ac:dyDescent="0.25">
      <c r="A616" s="37" t="s">
        <v>1351</v>
      </c>
      <c r="B616" s="37" t="s">
        <v>531</v>
      </c>
      <c r="C616" s="37">
        <v>1800</v>
      </c>
      <c r="D616" s="37">
        <v>18.469000000000001</v>
      </c>
      <c r="E616" s="37" t="s">
        <v>771</v>
      </c>
      <c r="F616" s="37">
        <v>20</v>
      </c>
      <c r="G616" s="37" t="s">
        <v>536</v>
      </c>
      <c r="H616" s="37" t="s">
        <v>1320</v>
      </c>
      <c r="I616" s="38">
        <f t="shared" si="72"/>
        <v>18.469000000000001</v>
      </c>
      <c r="J616" s="38">
        <f t="shared" si="73"/>
        <v>7.4955419438842563</v>
      </c>
      <c r="K616" s="38">
        <f t="shared" si="74"/>
        <v>2.9160936508937745</v>
      </c>
      <c r="L616" s="39">
        <f t="shared" si="75"/>
        <v>5.4144783150143483E-2</v>
      </c>
      <c r="M616" s="39">
        <f t="shared" si="76"/>
        <v>2.2971685998804943</v>
      </c>
      <c r="N616" s="39">
        <f t="shared" si="77"/>
        <v>97.460609670258265</v>
      </c>
      <c r="O616" s="40">
        <f>1</f>
        <v>1</v>
      </c>
      <c r="P616" s="38">
        <f>INDEX(Cables!$AS:$AS,MATCH(B616,Cables!$A:$A,0))+INDEX(Cables!$AT:$AT,MATCH(B616,Cables!$A:$A,0))*SQRT(C616)+INDEX(Cables!$AU:$AU,MATCH(B616,Cables!$A:$A,0))*C616</f>
        <v>18.469383165741299</v>
      </c>
      <c r="Q616" s="41">
        <f t="shared" si="78"/>
        <v>2.0746425973161564E-5</v>
      </c>
      <c r="R616" s="39">
        <f t="shared" si="79"/>
        <v>4.3041419065987275E-10</v>
      </c>
      <c r="S616" s="40" t="b">
        <f>IF(B616=B615,C616&gt;C615,COUNTIF(B$1:B615,B616)=0)</f>
        <v>1</v>
      </c>
      <c r="T616" s="37"/>
    </row>
    <row r="617" spans="1:20" x14ac:dyDescent="0.25">
      <c r="A617" s="37" t="s">
        <v>1352</v>
      </c>
      <c r="B617" s="37" t="s">
        <v>531</v>
      </c>
      <c r="C617" s="37">
        <v>2000</v>
      </c>
      <c r="D617" s="37">
        <v>19.597999999999999</v>
      </c>
      <c r="E617" s="37" t="s">
        <v>771</v>
      </c>
      <c r="F617" s="37">
        <v>20</v>
      </c>
      <c r="G617" s="37" t="s">
        <v>536</v>
      </c>
      <c r="H617" s="37" t="s">
        <v>1320</v>
      </c>
      <c r="I617" s="38">
        <f t="shared" si="72"/>
        <v>19.597999999999999</v>
      </c>
      <c r="J617" s="38">
        <f t="shared" si="73"/>
        <v>7.6009024595420822</v>
      </c>
      <c r="K617" s="38">
        <f t="shared" si="74"/>
        <v>2.9754275202136267</v>
      </c>
      <c r="L617" s="39">
        <f t="shared" si="75"/>
        <v>5.102561485865905E-2</v>
      </c>
      <c r="M617" s="39">
        <f t="shared" si="76"/>
        <v>2.2819348683536993</v>
      </c>
      <c r="N617" s="39">
        <f t="shared" si="77"/>
        <v>102.05122971731809</v>
      </c>
      <c r="O617" s="40">
        <f>1</f>
        <v>1</v>
      </c>
      <c r="P617" s="38">
        <f>INDEX(Cables!$AS:$AS,MATCH(B617,Cables!$A:$A,0))+INDEX(Cables!$AT:$AT,MATCH(B617,Cables!$A:$A,0))*SQRT(C617)+INDEX(Cables!$AU:$AU,MATCH(B617,Cables!$A:$A,0))*C617</f>
        <v>19.598378964446237</v>
      </c>
      <c r="Q617" s="41">
        <f t="shared" si="78"/>
        <v>1.9336893878785233E-5</v>
      </c>
      <c r="R617" s="39">
        <f t="shared" si="79"/>
        <v>3.7391546487940182E-10</v>
      </c>
      <c r="S617" s="40" t="b">
        <f>IF(B617=B616,C617&gt;C616,COUNTIF(B$1:B616,B617)=0)</f>
        <v>1</v>
      </c>
      <c r="T617" s="37"/>
    </row>
    <row r="618" spans="1:20" x14ac:dyDescent="0.25">
      <c r="A618" s="37" t="s">
        <v>1353</v>
      </c>
      <c r="B618" s="37" t="s">
        <v>531</v>
      </c>
      <c r="C618" s="37">
        <v>2100</v>
      </c>
      <c r="D618" s="37">
        <v>20.146000000000001</v>
      </c>
      <c r="E618" s="37" t="s">
        <v>771</v>
      </c>
      <c r="F618" s="37">
        <v>20</v>
      </c>
      <c r="G618" s="37" t="s">
        <v>536</v>
      </c>
      <c r="H618" s="37" t="s">
        <v>1320</v>
      </c>
      <c r="I618" s="38">
        <f t="shared" si="72"/>
        <v>20.146000000000001</v>
      </c>
      <c r="J618" s="38">
        <f t="shared" si="73"/>
        <v>7.6496926237115144</v>
      </c>
      <c r="K618" s="38">
        <f t="shared" si="74"/>
        <v>3.0030057575204894</v>
      </c>
      <c r="L618" s="39">
        <f t="shared" si="75"/>
        <v>4.9637645190112177E-2</v>
      </c>
      <c r="M618" s="39">
        <f t="shared" si="76"/>
        <v>2.2746826640304971</v>
      </c>
      <c r="N618" s="39">
        <f t="shared" si="77"/>
        <v>104.23905489923558</v>
      </c>
      <c r="O618" s="40">
        <f>1</f>
        <v>1</v>
      </c>
      <c r="P618" s="38">
        <f>INDEX(Cables!$AS:$AS,MATCH(B618,Cables!$A:$A,0))+INDEX(Cables!$AT:$AT,MATCH(B618,Cables!$A:$A,0))*SQRT(C618)+INDEX(Cables!$AU:$AU,MATCH(B618,Cables!$A:$A,0))*C618</f>
        <v>20.146436807746966</v>
      </c>
      <c r="Q618" s="41">
        <f t="shared" si="78"/>
        <v>2.1682107960163677E-5</v>
      </c>
      <c r="R618" s="39">
        <f t="shared" si="79"/>
        <v>4.7011380559619305E-10</v>
      </c>
      <c r="S618" s="40" t="b">
        <f>IF(B618=B617,C618&gt;C617,COUNTIF(B$1:B617,B618)=0)</f>
        <v>1</v>
      </c>
      <c r="T618" s="37"/>
    </row>
    <row r="619" spans="1:20" x14ac:dyDescent="0.25">
      <c r="A619" s="37" t="s">
        <v>1354</v>
      </c>
      <c r="B619" s="37" t="s">
        <v>531</v>
      </c>
      <c r="C619" s="37">
        <v>2200</v>
      </c>
      <c r="D619" s="37">
        <v>20.684000000000001</v>
      </c>
      <c r="E619" s="37" t="s">
        <v>771</v>
      </c>
      <c r="F619" s="37">
        <v>20</v>
      </c>
      <c r="G619" s="37" t="s">
        <v>536</v>
      </c>
      <c r="H619" s="37" t="s">
        <v>1320</v>
      </c>
      <c r="I619" s="38">
        <f t="shared" si="72"/>
        <v>20.684000000000001</v>
      </c>
      <c r="J619" s="38">
        <f t="shared" si="73"/>
        <v>7.696212639346407</v>
      </c>
      <c r="K619" s="38">
        <f t="shared" si="74"/>
        <v>3.029360454533975</v>
      </c>
      <c r="L619" s="39">
        <f t="shared" si="75"/>
        <v>4.8346548056468763E-2</v>
      </c>
      <c r="M619" s="39">
        <f t="shared" si="76"/>
        <v>2.267654109371219</v>
      </c>
      <c r="N619" s="39">
        <f t="shared" si="77"/>
        <v>106.36240572423128</v>
      </c>
      <c r="O619" s="40">
        <f>1</f>
        <v>1</v>
      </c>
      <c r="P619" s="38">
        <f>INDEX(Cables!$AS:$AS,MATCH(B619,Cables!$A:$A,0))+INDEX(Cables!$AT:$AT,MATCH(B619,Cables!$A:$A,0))*SQRT(C619)+INDEX(Cables!$AU:$AU,MATCH(B619,Cables!$A:$A,0))*C619</f>
        <v>20.684573607416187</v>
      </c>
      <c r="Q619" s="41">
        <f t="shared" si="78"/>
        <v>2.7731938512243204E-5</v>
      </c>
      <c r="R619" s="39">
        <f t="shared" si="79"/>
        <v>7.6906041364683779E-10</v>
      </c>
      <c r="S619" s="40" t="b">
        <f>IF(B619=B618,C619&gt;C618,COUNTIF(B$1:B618,B619)=0)</f>
        <v>1</v>
      </c>
      <c r="T619" s="37"/>
    </row>
    <row r="620" spans="1:20" x14ac:dyDescent="0.25">
      <c r="A620" s="37" t="s">
        <v>1355</v>
      </c>
      <c r="B620" s="37" t="s">
        <v>531</v>
      </c>
      <c r="C620" s="37">
        <v>2300</v>
      </c>
      <c r="D620" s="37">
        <v>21.213000000000001</v>
      </c>
      <c r="E620" s="37" t="s">
        <v>771</v>
      </c>
      <c r="F620" s="37">
        <v>20</v>
      </c>
      <c r="G620" s="37" t="s">
        <v>536</v>
      </c>
      <c r="H620" s="37" t="s">
        <v>1320</v>
      </c>
      <c r="I620" s="38">
        <f t="shared" si="72"/>
        <v>21.213000000000001</v>
      </c>
      <c r="J620" s="38">
        <f t="shared" si="73"/>
        <v>7.7406644019172415</v>
      </c>
      <c r="K620" s="38">
        <f t="shared" si="74"/>
        <v>3.0546142012902133</v>
      </c>
      <c r="L620" s="39">
        <f t="shared" si="75"/>
        <v>4.7140904162541838E-2</v>
      </c>
      <c r="M620" s="39">
        <f t="shared" si="76"/>
        <v>2.2607983422018192</v>
      </c>
      <c r="N620" s="39">
        <f t="shared" si="77"/>
        <v>108.42407957384623</v>
      </c>
      <c r="O620" s="40">
        <f>1</f>
        <v>1</v>
      </c>
      <c r="P620" s="38">
        <f>INDEX(Cables!$AS:$AS,MATCH(B620,Cables!$A:$A,0))+INDEX(Cables!$AT:$AT,MATCH(B620,Cables!$A:$A,0))*SQRT(C620)+INDEX(Cables!$AU:$AU,MATCH(B620,Cables!$A:$A,0))*C620</f>
        <v>21.213458635641018</v>
      </c>
      <c r="Q620" s="41">
        <f t="shared" si="78"/>
        <v>2.1620498798613497E-5</v>
      </c>
      <c r="R620" s="39">
        <f t="shared" si="79"/>
        <v>4.6744596830084768E-10</v>
      </c>
      <c r="S620" s="40" t="b">
        <f>IF(B620=B619,C620&gt;C619,COUNTIF(B$1:B619,B620)=0)</f>
        <v>1</v>
      </c>
      <c r="T620" s="37"/>
    </row>
    <row r="621" spans="1:20" x14ac:dyDescent="0.25">
      <c r="A621" s="37" t="s">
        <v>1356</v>
      </c>
      <c r="B621" s="37" t="s">
        <v>531</v>
      </c>
      <c r="C621" s="37">
        <v>2500</v>
      </c>
      <c r="D621" s="37">
        <v>22.245000000000001</v>
      </c>
      <c r="E621" s="37" t="s">
        <v>771</v>
      </c>
      <c r="F621" s="37">
        <v>20</v>
      </c>
      <c r="G621" s="37" t="s">
        <v>536</v>
      </c>
      <c r="H621" s="37" t="s">
        <v>1320</v>
      </c>
      <c r="I621" s="38">
        <f t="shared" si="72"/>
        <v>22.245000000000001</v>
      </c>
      <c r="J621" s="38">
        <f t="shared" si="73"/>
        <v>7.8240460108562919</v>
      </c>
      <c r="K621" s="38">
        <f t="shared" si="74"/>
        <v>3.102117264258005</v>
      </c>
      <c r="L621" s="39">
        <f t="shared" si="75"/>
        <v>4.4953922229714539E-2</v>
      </c>
      <c r="M621" s="39">
        <f t="shared" si="76"/>
        <v>2.2476961114857272</v>
      </c>
      <c r="N621" s="39">
        <f t="shared" si="77"/>
        <v>112.38480557428635</v>
      </c>
      <c r="O621" s="40">
        <f>1</f>
        <v>1</v>
      </c>
      <c r="P621" s="38">
        <f>INDEX(Cables!$AS:$AS,MATCH(B621,Cables!$A:$A,0))+INDEX(Cables!$AT:$AT,MATCH(B621,Cables!$A:$A,0))*SQRT(C621)+INDEX(Cables!$AU:$AU,MATCH(B621,Cables!$A:$A,0))*C621</f>
        <v>22.245800740364331</v>
      </c>
      <c r="Q621" s="41">
        <f t="shared" si="78"/>
        <v>3.599642006424375E-5</v>
      </c>
      <c r="R621" s="39">
        <f t="shared" si="79"/>
        <v>1.2957422574414901E-9</v>
      </c>
      <c r="S621" s="40" t="b">
        <f>IF(B621=B620,C621&gt;C620,COUNTIF(B$1:B620,B621)=0)</f>
        <v>1</v>
      </c>
      <c r="T621" s="37"/>
    </row>
    <row r="622" spans="1:20" x14ac:dyDescent="0.25">
      <c r="A622" s="37" t="s">
        <v>1357</v>
      </c>
      <c r="B622" s="37" t="s">
        <v>531</v>
      </c>
      <c r="C622" s="37">
        <v>2700</v>
      </c>
      <c r="D622" s="37">
        <v>23.247</v>
      </c>
      <c r="E622" s="37" t="s">
        <v>771</v>
      </c>
      <c r="F622" s="37">
        <v>20</v>
      </c>
      <c r="G622" s="37" t="s">
        <v>536</v>
      </c>
      <c r="H622" s="37" t="s">
        <v>1320</v>
      </c>
      <c r="I622" s="38">
        <f t="shared" si="72"/>
        <v>23.247</v>
      </c>
      <c r="J622" s="38">
        <f t="shared" si="73"/>
        <v>7.90100705199242</v>
      </c>
      <c r="K622" s="38">
        <f t="shared" si="74"/>
        <v>3.1461760914499228</v>
      </c>
      <c r="L622" s="39">
        <f t="shared" si="75"/>
        <v>4.3016303178904806E-2</v>
      </c>
      <c r="M622" s="39">
        <f t="shared" si="76"/>
        <v>2.2351926797894919</v>
      </c>
      <c r="N622" s="39">
        <f t="shared" si="77"/>
        <v>116.14401858304298</v>
      </c>
      <c r="O622" s="40">
        <f>1</f>
        <v>1</v>
      </c>
      <c r="P622" s="38">
        <f>INDEX(Cables!$AS:$AS,MATCH(B622,Cables!$A:$A,0))+INDEX(Cables!$AT:$AT,MATCH(B622,Cables!$A:$A,0))*SQRT(C622)+INDEX(Cables!$AU:$AU,MATCH(B622,Cables!$A:$A,0))*C622</f>
        <v>23.247551475557991</v>
      </c>
      <c r="Q622" s="41">
        <f t="shared" si="78"/>
        <v>2.3722439798312678E-5</v>
      </c>
      <c r="R622" s="39">
        <f t="shared" si="79"/>
        <v>5.6275414998456928E-10</v>
      </c>
      <c r="S622" s="40" t="b">
        <f>IF(B622=B621,C622&gt;C621,COUNTIF(B$1:B621,B622)=0)</f>
        <v>1</v>
      </c>
      <c r="T622" s="37"/>
    </row>
    <row r="623" spans="1:20" x14ac:dyDescent="0.25">
      <c r="A623" s="37" t="s">
        <v>1358</v>
      </c>
      <c r="B623" s="37" t="s">
        <v>531</v>
      </c>
      <c r="C623" s="37">
        <v>3000</v>
      </c>
      <c r="D623" s="37">
        <v>24.7</v>
      </c>
      <c r="E623" s="37" t="s">
        <v>771</v>
      </c>
      <c r="F623" s="37">
        <v>20</v>
      </c>
      <c r="G623" s="37" t="s">
        <v>536</v>
      </c>
      <c r="H623" s="37" t="s">
        <v>1320</v>
      </c>
      <c r="I623" s="38">
        <f t="shared" si="72"/>
        <v>24.7</v>
      </c>
      <c r="J623" s="38">
        <f t="shared" si="73"/>
        <v>8.0063675676502459</v>
      </c>
      <c r="K623" s="38">
        <f t="shared" si="74"/>
        <v>3.2068032436339315</v>
      </c>
      <c r="L623" s="39">
        <f t="shared" si="75"/>
        <v>4.048582995951417E-2</v>
      </c>
      <c r="M623" s="39">
        <f t="shared" si="76"/>
        <v>2.2175002328144378</v>
      </c>
      <c r="N623" s="39">
        <f t="shared" si="77"/>
        <v>121.45748987854252</v>
      </c>
      <c r="O623" s="40">
        <f>1</f>
        <v>1</v>
      </c>
      <c r="P623" s="38">
        <f>INDEX(Cables!$AS:$AS,MATCH(B623,Cables!$A:$A,0))+INDEX(Cables!$AT:$AT,MATCH(B623,Cables!$A:$A,0))*SQRT(C623)+INDEX(Cables!$AU:$AU,MATCH(B623,Cables!$A:$A,0))*C623</f>
        <v>24.699972801353063</v>
      </c>
      <c r="Q623" s="41">
        <f t="shared" si="78"/>
        <v>-1.1011597950139063E-6</v>
      </c>
      <c r="R623" s="39">
        <f t="shared" si="79"/>
        <v>1.2125528941550681E-12</v>
      </c>
      <c r="S623" s="40" t="b">
        <f>IF(B623=B622,C623&gt;C622,COUNTIF(B$1:B622,B623)=0)</f>
        <v>1</v>
      </c>
      <c r="T623" s="37"/>
    </row>
    <row r="624" spans="1:20" x14ac:dyDescent="0.25">
      <c r="A624" s="37" t="s">
        <v>1359</v>
      </c>
      <c r="B624" s="37" t="s">
        <v>531</v>
      </c>
      <c r="C624" s="37">
        <v>3300</v>
      </c>
      <c r="D624" s="37">
        <v>26.1</v>
      </c>
      <c r="E624" s="37" t="s">
        <v>771</v>
      </c>
      <c r="F624" s="37">
        <v>20</v>
      </c>
      <c r="G624" s="37" t="s">
        <v>536</v>
      </c>
      <c r="H624" s="37" t="s">
        <v>1320</v>
      </c>
      <c r="I624" s="38">
        <f t="shared" si="72"/>
        <v>26.1</v>
      </c>
      <c r="J624" s="38">
        <f t="shared" si="73"/>
        <v>8.1016777474545716</v>
      </c>
      <c r="K624" s="38">
        <f t="shared" si="74"/>
        <v>3.2619353143286478</v>
      </c>
      <c r="L624" s="39">
        <f t="shared" si="75"/>
        <v>3.8314176245210725E-2</v>
      </c>
      <c r="M624" s="39">
        <f t="shared" si="76"/>
        <v>2.2009818569111221</v>
      </c>
      <c r="N624" s="39">
        <f t="shared" si="77"/>
        <v>126.43678160919539</v>
      </c>
      <c r="O624" s="40">
        <f>1</f>
        <v>1</v>
      </c>
      <c r="P624" s="38">
        <f>INDEX(Cables!$AS:$AS,MATCH(B624,Cables!$A:$A,0))+INDEX(Cables!$AT:$AT,MATCH(B624,Cables!$A:$A,0))*SQRT(C624)+INDEX(Cables!$AU:$AU,MATCH(B624,Cables!$A:$A,0))*C624</f>
        <v>26.099973631172073</v>
      </c>
      <c r="Q624" s="41">
        <f t="shared" si="78"/>
        <v>-1.0102999206118568E-6</v>
      </c>
      <c r="R624" s="39">
        <f t="shared" si="79"/>
        <v>1.0207059295883241E-12</v>
      </c>
      <c r="S624" s="40" t="b">
        <f>IF(B624=B623,C624&gt;C623,COUNTIF(B$1:B623,B624)=0)</f>
        <v>1</v>
      </c>
      <c r="T624" s="37"/>
    </row>
    <row r="625" spans="1:20" x14ac:dyDescent="0.25">
      <c r="A625" s="37" t="s">
        <v>1360</v>
      </c>
      <c r="B625" s="37" t="s">
        <v>531</v>
      </c>
      <c r="C625" s="37">
        <v>3400</v>
      </c>
      <c r="D625" s="37">
        <v>26.556000000000001</v>
      </c>
      <c r="E625" s="37" t="s">
        <v>771</v>
      </c>
      <c r="F625" s="37">
        <v>20</v>
      </c>
      <c r="G625" s="37" t="s">
        <v>536</v>
      </c>
      <c r="H625" s="37" t="s">
        <v>1320</v>
      </c>
      <c r="I625" s="38">
        <f t="shared" si="72"/>
        <v>26.556000000000001</v>
      </c>
      <c r="J625" s="38">
        <f t="shared" si="73"/>
        <v>8.1315307106042525</v>
      </c>
      <c r="K625" s="38">
        <f t="shared" si="74"/>
        <v>3.2792557108569129</v>
      </c>
      <c r="L625" s="39">
        <f t="shared" si="75"/>
        <v>3.765627353517096E-2</v>
      </c>
      <c r="M625" s="39">
        <f t="shared" si="76"/>
        <v>2.1957191952271802</v>
      </c>
      <c r="N625" s="39">
        <f t="shared" si="77"/>
        <v>128.03133001958125</v>
      </c>
      <c r="O625" s="40">
        <f>1</f>
        <v>1</v>
      </c>
      <c r="P625" s="38">
        <f>INDEX(Cables!$AS:$AS,MATCH(B625,Cables!$A:$A,0))+INDEX(Cables!$AT:$AT,MATCH(B625,Cables!$A:$A,0))*SQRT(C625)+INDEX(Cables!$AU:$AU,MATCH(B625,Cables!$A:$A,0))*C625</f>
        <v>26.556248475109253</v>
      </c>
      <c r="Q625" s="41">
        <f t="shared" si="78"/>
        <v>9.3566466807804005E-6</v>
      </c>
      <c r="R625" s="39">
        <f t="shared" si="79"/>
        <v>8.754683710895888E-11</v>
      </c>
      <c r="S625" s="40" t="b">
        <f>IF(B625=B624,C625&gt;C624,COUNTIF(B$1:B624,B625)=0)</f>
        <v>1</v>
      </c>
      <c r="T625" s="37"/>
    </row>
    <row r="626" spans="1:20" x14ac:dyDescent="0.25">
      <c r="A626" s="37" t="s">
        <v>1361</v>
      </c>
      <c r="B626" s="37" t="s">
        <v>531</v>
      </c>
      <c r="C626" s="37">
        <v>4000</v>
      </c>
      <c r="D626" s="37">
        <v>29.199000000000002</v>
      </c>
      <c r="E626" s="37" t="s">
        <v>771</v>
      </c>
      <c r="F626" s="37">
        <v>20</v>
      </c>
      <c r="G626" s="37" t="s">
        <v>536</v>
      </c>
      <c r="H626" s="37" t="s">
        <v>1320</v>
      </c>
      <c r="I626" s="38">
        <f t="shared" si="72"/>
        <v>29.199000000000002</v>
      </c>
      <c r="J626" s="38">
        <f t="shared" si="73"/>
        <v>8.2940496401020276</v>
      </c>
      <c r="K626" s="38">
        <f t="shared" si="74"/>
        <v>3.3741344621124663</v>
      </c>
      <c r="L626" s="39">
        <f t="shared" si="75"/>
        <v>3.4247748210555151E-2</v>
      </c>
      <c r="M626" s="39">
        <f t="shared" si="76"/>
        <v>2.1660177815462029</v>
      </c>
      <c r="N626" s="39">
        <f t="shared" si="77"/>
        <v>136.99099284222061</v>
      </c>
      <c r="O626" s="40">
        <f>1</f>
        <v>1</v>
      </c>
      <c r="P626" s="38">
        <f>INDEX(Cables!$AS:$AS,MATCH(B626,Cables!$A:$A,0))+INDEX(Cables!$AT:$AT,MATCH(B626,Cables!$A:$A,0))*SQRT(C626)+INDEX(Cables!$AU:$AU,MATCH(B626,Cables!$A:$A,0))*C626</f>
        <v>29.199513478737874</v>
      </c>
      <c r="Q626" s="41">
        <f t="shared" si="78"/>
        <v>1.7585490526217384E-5</v>
      </c>
      <c r="R626" s="39">
        <f t="shared" si="79"/>
        <v>3.092494770476814E-10</v>
      </c>
      <c r="S626" s="40" t="b">
        <f>IF(B626=B625,C626&gt;C625,COUNTIF(B$1:B625,B626)=0)</f>
        <v>1</v>
      </c>
      <c r="T626" s="37"/>
    </row>
    <row r="627" spans="1:20" x14ac:dyDescent="0.25">
      <c r="A627" s="37" t="s">
        <v>1362</v>
      </c>
      <c r="B627" s="37" t="s">
        <v>531</v>
      </c>
      <c r="C627" s="37">
        <v>4900</v>
      </c>
      <c r="D627" s="37">
        <v>32.917000000000002</v>
      </c>
      <c r="E627" s="37" t="s">
        <v>771</v>
      </c>
      <c r="F627" s="37">
        <v>20</v>
      </c>
      <c r="G627" s="37" t="s">
        <v>536</v>
      </c>
      <c r="H627" s="37" t="s">
        <v>1320</v>
      </c>
      <c r="I627" s="38">
        <f t="shared" si="72"/>
        <v>32.917000000000002</v>
      </c>
      <c r="J627" s="38">
        <f t="shared" si="73"/>
        <v>8.4969904840987187</v>
      </c>
      <c r="K627" s="38">
        <f t="shared" si="74"/>
        <v>3.4939892416441265</v>
      </c>
      <c r="L627" s="39">
        <f t="shared" si="75"/>
        <v>3.0379439195552447E-2</v>
      </c>
      <c r="M627" s="39">
        <f t="shared" si="76"/>
        <v>2.1265607436886715</v>
      </c>
      <c r="N627" s="39">
        <f t="shared" si="77"/>
        <v>148.85925205820701</v>
      </c>
      <c r="O627" s="40">
        <f>1</f>
        <v>1</v>
      </c>
      <c r="P627" s="38">
        <f>INDEX(Cables!$AS:$AS,MATCH(B627,Cables!$A:$A,0))+INDEX(Cables!$AT:$AT,MATCH(B627,Cables!$A:$A,0))*SQRT(C627)+INDEX(Cables!$AU:$AU,MATCH(B627,Cables!$A:$A,0))*C627</f>
        <v>32.91650479519447</v>
      </c>
      <c r="Q627" s="41">
        <f t="shared" si="78"/>
        <v>-1.5044044278988977E-5</v>
      </c>
      <c r="R627" s="39">
        <f t="shared" si="79"/>
        <v>2.2632326826818098E-10</v>
      </c>
      <c r="S627" s="40" t="b">
        <f>IF(B627=B626,C627&gt;C626,COUNTIF(B$1:B626,B627)=0)</f>
        <v>1</v>
      </c>
      <c r="T627" s="37"/>
    </row>
    <row r="628" spans="1:20" x14ac:dyDescent="0.25">
      <c r="A628" s="37" t="s">
        <v>1363</v>
      </c>
      <c r="B628" s="37" t="s">
        <v>531</v>
      </c>
      <c r="C628" s="37">
        <v>5000</v>
      </c>
      <c r="D628" s="37">
        <v>33.314</v>
      </c>
      <c r="E628" s="37" t="s">
        <v>771</v>
      </c>
      <c r="F628" s="37">
        <v>20</v>
      </c>
      <c r="G628" s="37" t="s">
        <v>536</v>
      </c>
      <c r="H628" s="37" t="s">
        <v>1320</v>
      </c>
      <c r="I628" s="38">
        <f t="shared" si="72"/>
        <v>33.314</v>
      </c>
      <c r="J628" s="38">
        <f t="shared" si="73"/>
        <v>8.5171931914162382</v>
      </c>
      <c r="K628" s="38">
        <f t="shared" si="74"/>
        <v>3.5059777290549161</v>
      </c>
      <c r="L628" s="39">
        <f t="shared" si="75"/>
        <v>3.0017410097856755E-2</v>
      </c>
      <c r="M628" s="39">
        <f t="shared" si="76"/>
        <v>2.1225514233852061</v>
      </c>
      <c r="N628" s="39">
        <f t="shared" si="77"/>
        <v>150.0870504892838</v>
      </c>
      <c r="O628" s="40">
        <f>1</f>
        <v>1</v>
      </c>
      <c r="P628" s="38">
        <f>INDEX(Cables!$AS:$AS,MATCH(B628,Cables!$A:$A,0))+INDEX(Cables!$AT:$AT,MATCH(B628,Cables!$A:$A,0))*SQRT(C628)+INDEX(Cables!$AU:$AU,MATCH(B628,Cables!$A:$A,0))*C628</f>
        <v>33.314309009436847</v>
      </c>
      <c r="Q628" s="41">
        <f t="shared" si="78"/>
        <v>9.2756629899160004E-6</v>
      </c>
      <c r="R628" s="39">
        <f t="shared" si="79"/>
        <v>8.603792390249744E-11</v>
      </c>
      <c r="S628" s="40" t="b">
        <f>IF(B628=B627,C628&gt;C627,COUNTIF(B$1:B627,B628)=0)</f>
        <v>1</v>
      </c>
      <c r="T628" s="37"/>
    </row>
    <row r="629" spans="1:20" x14ac:dyDescent="0.25">
      <c r="A629" s="37" t="s">
        <v>1364</v>
      </c>
      <c r="B629" s="37" t="s">
        <v>531</v>
      </c>
      <c r="C629" s="37">
        <v>5200</v>
      </c>
      <c r="D629" s="37">
        <v>34.101999999999997</v>
      </c>
      <c r="E629" s="37" t="s">
        <v>771</v>
      </c>
      <c r="F629" s="37">
        <v>20</v>
      </c>
      <c r="G629" s="37" t="s">
        <v>536</v>
      </c>
      <c r="H629" s="37" t="s">
        <v>1320</v>
      </c>
      <c r="I629" s="38">
        <f t="shared" si="72"/>
        <v>34.101999999999997</v>
      </c>
      <c r="J629" s="38">
        <f t="shared" si="73"/>
        <v>8.5564139045695189</v>
      </c>
      <c r="K629" s="38">
        <f t="shared" si="74"/>
        <v>3.5293560335959597</v>
      </c>
      <c r="L629" s="39">
        <f t="shared" si="75"/>
        <v>2.9323793325904641E-2</v>
      </c>
      <c r="M629" s="39">
        <f t="shared" si="76"/>
        <v>2.114568808553158</v>
      </c>
      <c r="N629" s="39">
        <f t="shared" si="77"/>
        <v>152.48372529470413</v>
      </c>
      <c r="O629" s="40">
        <f>1</f>
        <v>1</v>
      </c>
      <c r="P629" s="38">
        <f>INDEX(Cables!$AS:$AS,MATCH(B629,Cables!$A:$A,0))+INDEX(Cables!$AT:$AT,MATCH(B629,Cables!$A:$A,0))*SQRT(C629)+INDEX(Cables!$AU:$AU,MATCH(B629,Cables!$A:$A,0))*C629</f>
        <v>34.101899909673058</v>
      </c>
      <c r="Q629" s="41">
        <f t="shared" si="78"/>
        <v>-2.9350280610351831E-6</v>
      </c>
      <c r="R629" s="39">
        <f t="shared" si="79"/>
        <v>8.6143897190639466E-12</v>
      </c>
      <c r="S629" s="40" t="b">
        <f>IF(B629=B628,C629&gt;C628,COUNTIF(B$1:B628,B629)=0)</f>
        <v>1</v>
      </c>
      <c r="T629" s="37"/>
    </row>
    <row r="630" spans="1:20" x14ac:dyDescent="0.25">
      <c r="A630" s="37" t="s">
        <v>1365</v>
      </c>
      <c r="B630" s="37" t="s">
        <v>531</v>
      </c>
      <c r="C630" s="37">
        <v>5300</v>
      </c>
      <c r="D630" s="37">
        <v>34.491999999999997</v>
      </c>
      <c r="E630" s="37" t="s">
        <v>771</v>
      </c>
      <c r="F630" s="37">
        <v>20</v>
      </c>
      <c r="G630" s="37" t="s">
        <v>536</v>
      </c>
      <c r="H630" s="37" t="s">
        <v>1320</v>
      </c>
      <c r="I630" s="38">
        <f t="shared" si="72"/>
        <v>34.491999999999997</v>
      </c>
      <c r="J630" s="38">
        <f t="shared" si="73"/>
        <v>8.5754620995402124</v>
      </c>
      <c r="K630" s="38">
        <f t="shared" si="74"/>
        <v>3.5407274130900781</v>
      </c>
      <c r="L630" s="39">
        <f t="shared" si="75"/>
        <v>2.8992230082337936E-2</v>
      </c>
      <c r="M630" s="39">
        <f t="shared" si="76"/>
        <v>2.1106662093472455</v>
      </c>
      <c r="N630" s="39">
        <f t="shared" si="77"/>
        <v>153.65881943639107</v>
      </c>
      <c r="O630" s="40">
        <f>1</f>
        <v>1</v>
      </c>
      <c r="P630" s="38">
        <f>INDEX(Cables!$AS:$AS,MATCH(B630,Cables!$A:$A,0))+INDEX(Cables!$AT:$AT,MATCH(B630,Cables!$A:$A,0))*SQRT(C630)+INDEX(Cables!$AU:$AU,MATCH(B630,Cables!$A:$A,0))*C630</f>
        <v>34.491840815261021</v>
      </c>
      <c r="Q630" s="41">
        <f t="shared" si="78"/>
        <v>-4.6151205780331495E-6</v>
      </c>
      <c r="R630" s="39">
        <f t="shared" si="79"/>
        <v>2.1299337949785031E-11</v>
      </c>
      <c r="S630" s="40" t="b">
        <f>IF(B630=B629,C630&gt;C629,COUNTIF(B$1:B629,B630)=0)</f>
        <v>1</v>
      </c>
      <c r="T630" s="37"/>
    </row>
    <row r="631" spans="1:20" x14ac:dyDescent="0.25">
      <c r="A631" s="37" t="s">
        <v>1366</v>
      </c>
      <c r="B631" s="37" t="s">
        <v>531</v>
      </c>
      <c r="C631" s="37">
        <v>5600</v>
      </c>
      <c r="D631" s="37">
        <v>35.646999999999998</v>
      </c>
      <c r="E631" s="37" t="s">
        <v>771</v>
      </c>
      <c r="F631" s="37">
        <v>20</v>
      </c>
      <c r="G631" s="37" t="s">
        <v>536</v>
      </c>
      <c r="H631" s="37" t="s">
        <v>1320</v>
      </c>
      <c r="I631" s="38">
        <f t="shared" si="72"/>
        <v>35.646999999999998</v>
      </c>
      <c r="J631" s="38">
        <f t="shared" si="73"/>
        <v>8.6305218767232414</v>
      </c>
      <c r="K631" s="38">
        <f t="shared" si="74"/>
        <v>3.5736649918467203</v>
      </c>
      <c r="L631" s="39">
        <f t="shared" si="75"/>
        <v>2.8052851572362331E-2</v>
      </c>
      <c r="M631" s="39">
        <f t="shared" si="76"/>
        <v>2.0992831861160499</v>
      </c>
      <c r="N631" s="39">
        <f t="shared" si="77"/>
        <v>157.09596880522906</v>
      </c>
      <c r="O631" s="40">
        <f>1</f>
        <v>1</v>
      </c>
      <c r="P631" s="38">
        <f>INDEX(Cables!$AS:$AS,MATCH(B631,Cables!$A:$A,0))+INDEX(Cables!$AT:$AT,MATCH(B631,Cables!$A:$A,0))*SQRT(C631)+INDEX(Cables!$AU:$AU,MATCH(B631,Cables!$A:$A,0))*C631</f>
        <v>35.647096357348993</v>
      </c>
      <c r="Q631" s="41">
        <f t="shared" si="78"/>
        <v>2.70309840932903E-6</v>
      </c>
      <c r="R631" s="39">
        <f t="shared" si="79"/>
        <v>7.3067410105171324E-12</v>
      </c>
      <c r="S631" s="40" t="b">
        <f>IF(B631=B630,C631&gt;C630,COUNTIF(B$1:B630,B631)=0)</f>
        <v>1</v>
      </c>
      <c r="T631" s="37"/>
    </row>
    <row r="632" spans="1:20" x14ac:dyDescent="0.25">
      <c r="A632" s="37" t="s">
        <v>1367</v>
      </c>
      <c r="B632" s="37" t="s">
        <v>531</v>
      </c>
      <c r="C632" s="37">
        <v>6000</v>
      </c>
      <c r="D632" s="37">
        <v>37.155999999999999</v>
      </c>
      <c r="E632" s="37" t="s">
        <v>771</v>
      </c>
      <c r="F632" s="37">
        <v>20</v>
      </c>
      <c r="G632" s="37" t="s">
        <v>536</v>
      </c>
      <c r="H632" s="37" t="s">
        <v>1320</v>
      </c>
      <c r="I632" s="38">
        <f t="shared" si="72"/>
        <v>37.155999999999999</v>
      </c>
      <c r="J632" s="38">
        <f t="shared" si="73"/>
        <v>8.6995147482101913</v>
      </c>
      <c r="K632" s="38">
        <f t="shared" si="74"/>
        <v>3.6151252655252741</v>
      </c>
      <c r="L632" s="39">
        <f t="shared" si="75"/>
        <v>2.6913553665626009E-2</v>
      </c>
      <c r="M632" s="39">
        <f t="shared" si="76"/>
        <v>2.0847149026845821</v>
      </c>
      <c r="N632" s="39">
        <f t="shared" si="77"/>
        <v>161.48132199375607</v>
      </c>
      <c r="O632" s="40">
        <f>1</f>
        <v>1</v>
      </c>
      <c r="P632" s="38">
        <f>INDEX(Cables!$AS:$AS,MATCH(B632,Cables!$A:$A,0))+INDEX(Cables!$AT:$AT,MATCH(B632,Cables!$A:$A,0))*SQRT(C632)+INDEX(Cables!$AU:$AU,MATCH(B632,Cables!$A:$A,0))*C632</f>
        <v>37.155808172357986</v>
      </c>
      <c r="Q632" s="41">
        <f t="shared" si="78"/>
        <v>-5.1627635379025705E-6</v>
      </c>
      <c r="R632" s="39">
        <f t="shared" si="79"/>
        <v>2.6654127348296266E-11</v>
      </c>
      <c r="S632" s="40" t="b">
        <f>IF(B632=B631,C632&gt;C631,COUNTIF(B$1:B631,B632)=0)</f>
        <v>1</v>
      </c>
      <c r="T632" s="37"/>
    </row>
    <row r="633" spans="1:20" x14ac:dyDescent="0.25">
      <c r="A633" s="37" t="s">
        <v>1368</v>
      </c>
      <c r="B633" s="37" t="s">
        <v>531</v>
      </c>
      <c r="C633" s="37">
        <v>6100</v>
      </c>
      <c r="D633" s="37">
        <v>37.527999999999999</v>
      </c>
      <c r="E633" s="37" t="s">
        <v>771</v>
      </c>
      <c r="F633" s="37">
        <v>20</v>
      </c>
      <c r="G633" s="37" t="s">
        <v>536</v>
      </c>
      <c r="H633" s="37" t="s">
        <v>1320</v>
      </c>
      <c r="I633" s="38">
        <f t="shared" si="72"/>
        <v>37.527999999999999</v>
      </c>
      <c r="J633" s="38">
        <f t="shared" si="73"/>
        <v>8.7160440501614023</v>
      </c>
      <c r="K633" s="38">
        <f t="shared" si="74"/>
        <v>3.6250873210261569</v>
      </c>
      <c r="L633" s="39">
        <f t="shared" si="75"/>
        <v>2.6646770411426136E-2</v>
      </c>
      <c r="M633" s="39">
        <f t="shared" si="76"/>
        <v>2.0811792996979999</v>
      </c>
      <c r="N633" s="39">
        <f t="shared" si="77"/>
        <v>162.54529950969942</v>
      </c>
      <c r="O633" s="40">
        <f>1</f>
        <v>1</v>
      </c>
      <c r="P633" s="38">
        <f>INDEX(Cables!$AS:$AS,MATCH(B633,Cables!$A:$A,0))+INDEX(Cables!$AT:$AT,MATCH(B633,Cables!$A:$A,0))*SQRT(C633)+INDEX(Cables!$AU:$AU,MATCH(B633,Cables!$A:$A,0))*C633</f>
        <v>37.527719697694472</v>
      </c>
      <c r="Q633" s="41">
        <f t="shared" si="78"/>
        <v>-7.4691511811053601E-6</v>
      </c>
      <c r="R633" s="39">
        <f t="shared" si="79"/>
        <v>5.5788219366207599E-11</v>
      </c>
      <c r="S633" s="40" t="b">
        <f>IF(B633=B632,C633&gt;C632,COUNTIF(B$1:B632,B633)=0)</f>
        <v>1</v>
      </c>
      <c r="T633" s="37"/>
    </row>
    <row r="634" spans="1:20" x14ac:dyDescent="0.25">
      <c r="A634" s="37" t="s">
        <v>1369</v>
      </c>
      <c r="B634" s="37" t="s">
        <v>531</v>
      </c>
      <c r="C634" s="37">
        <v>6600</v>
      </c>
      <c r="D634" s="37">
        <v>39.359000000000002</v>
      </c>
      <c r="E634" s="37" t="s">
        <v>771</v>
      </c>
      <c r="F634" s="37">
        <v>20</v>
      </c>
      <c r="G634" s="37" t="s">
        <v>536</v>
      </c>
      <c r="H634" s="37" t="s">
        <v>1320</v>
      </c>
      <c r="I634" s="38">
        <f t="shared" si="72"/>
        <v>39.359000000000002</v>
      </c>
      <c r="J634" s="38">
        <f t="shared" si="73"/>
        <v>8.794824928014517</v>
      </c>
      <c r="K634" s="38">
        <f t="shared" si="74"/>
        <v>3.672724665357237</v>
      </c>
      <c r="L634" s="39">
        <f t="shared" si="75"/>
        <v>2.5407149571889529E-2</v>
      </c>
      <c r="M634" s="39">
        <f t="shared" si="76"/>
        <v>2.0640865887436064</v>
      </c>
      <c r="N634" s="39">
        <f t="shared" si="77"/>
        <v>167.68718717447089</v>
      </c>
      <c r="O634" s="40">
        <f>1</f>
        <v>1</v>
      </c>
      <c r="P634" s="38">
        <f>INDEX(Cables!$AS:$AS,MATCH(B634,Cables!$A:$A,0))+INDEX(Cables!$AT:$AT,MATCH(B634,Cables!$A:$A,0))*SQRT(C634)+INDEX(Cables!$AU:$AU,MATCH(B634,Cables!$A:$A,0))*C634</f>
        <v>39.358173783145858</v>
      </c>
      <c r="Q634" s="41">
        <f t="shared" si="78"/>
        <v>-2.0991815191995222E-5</v>
      </c>
      <c r="R634" s="39">
        <f t="shared" si="79"/>
        <v>4.406563050548814E-10</v>
      </c>
      <c r="S634" s="40" t="b">
        <f>IF(B634=B633,C634&gt;C633,COUNTIF(B$1:B633,B634)=0)</f>
        <v>1</v>
      </c>
      <c r="T634" s="37"/>
    </row>
    <row r="635" spans="1:20" x14ac:dyDescent="0.25">
      <c r="A635" s="37" t="s">
        <v>1370</v>
      </c>
      <c r="B635" s="37" t="s">
        <v>531</v>
      </c>
      <c r="C635" s="37">
        <v>8000</v>
      </c>
      <c r="D635" s="37">
        <v>44.262</v>
      </c>
      <c r="E635" s="37" t="s">
        <v>771</v>
      </c>
      <c r="F635" s="37">
        <v>20</v>
      </c>
      <c r="G635" s="37" t="s">
        <v>536</v>
      </c>
      <c r="H635" s="37" t="s">
        <v>1320</v>
      </c>
      <c r="I635" s="38">
        <f t="shared" si="72"/>
        <v>44.262</v>
      </c>
      <c r="J635" s="38">
        <f t="shared" si="73"/>
        <v>8.987196820661973</v>
      </c>
      <c r="K635" s="38">
        <f t="shared" si="74"/>
        <v>3.7901265211302202</v>
      </c>
      <c r="L635" s="39">
        <f t="shared" si="75"/>
        <v>2.2592743210880666E-2</v>
      </c>
      <c r="M635" s="39">
        <f t="shared" si="76"/>
        <v>2.0207563847090415</v>
      </c>
      <c r="N635" s="39">
        <f t="shared" si="77"/>
        <v>180.74194568704533</v>
      </c>
      <c r="O635" s="40">
        <f>1</f>
        <v>1</v>
      </c>
      <c r="P635" s="38">
        <f>INDEX(Cables!$AS:$AS,MATCH(B635,Cables!$A:$A,0))+INDEX(Cables!$AT:$AT,MATCH(B635,Cables!$A:$A,0))*SQRT(C635)+INDEX(Cables!$AU:$AU,MATCH(B635,Cables!$A:$A,0))*C635</f>
        <v>44.260671122512491</v>
      </c>
      <c r="Q635" s="41">
        <f t="shared" si="78"/>
        <v>-3.0022987834055215E-5</v>
      </c>
      <c r="R635" s="39">
        <f t="shared" si="79"/>
        <v>9.0137979848382745E-10</v>
      </c>
      <c r="S635" s="40" t="b">
        <f>IF(B635=B634,C635&gt;C634,COUNTIF(B$1:B634,B635)=0)</f>
        <v>1</v>
      </c>
      <c r="T635" s="37"/>
    </row>
    <row r="636" spans="1:20" x14ac:dyDescent="0.25">
      <c r="A636" s="37" t="s">
        <v>1371</v>
      </c>
      <c r="B636" s="37" t="s">
        <v>531</v>
      </c>
      <c r="C636" s="37">
        <v>8800</v>
      </c>
      <c r="D636" s="37">
        <v>46.941000000000003</v>
      </c>
      <c r="E636" s="37" t="s">
        <v>771</v>
      </c>
      <c r="F636" s="37">
        <v>20</v>
      </c>
      <c r="G636" s="37" t="s">
        <v>536</v>
      </c>
      <c r="H636" s="37" t="s">
        <v>1320</v>
      </c>
      <c r="I636" s="38">
        <f t="shared" si="72"/>
        <v>46.941000000000003</v>
      </c>
      <c r="J636" s="38">
        <f t="shared" si="73"/>
        <v>9.0825070004662987</v>
      </c>
      <c r="K636" s="38">
        <f t="shared" si="74"/>
        <v>3.8488914939880301</v>
      </c>
      <c r="L636" s="39">
        <f t="shared" si="75"/>
        <v>2.1303338233101127E-2</v>
      </c>
      <c r="M636" s="39">
        <f t="shared" si="76"/>
        <v>1.9984302677077308</v>
      </c>
      <c r="N636" s="39">
        <f t="shared" si="77"/>
        <v>187.46937645128992</v>
      </c>
      <c r="O636" s="40">
        <f>1</f>
        <v>1</v>
      </c>
      <c r="P636" s="38">
        <f>INDEX(Cables!$AS:$AS,MATCH(B636,Cables!$A:$A,0))+INDEX(Cables!$AT:$AT,MATCH(B636,Cables!$A:$A,0))*SQRT(C636)+INDEX(Cables!$AU:$AU,MATCH(B636,Cables!$A:$A,0))*C636</f>
        <v>46.939423445979585</v>
      </c>
      <c r="Q636" s="41">
        <f t="shared" si="78"/>
        <v>-3.3585863539742355E-5</v>
      </c>
      <c r="R636" s="39">
        <f t="shared" si="79"/>
        <v>1.1280102297101949E-9</v>
      </c>
      <c r="S636" s="40" t="b">
        <f>IF(B636=B635,C636&gt;C635,COUNTIF(B$1:B635,B636)=0)</f>
        <v>1</v>
      </c>
      <c r="T636" s="37"/>
    </row>
    <row r="637" spans="1:20" x14ac:dyDescent="0.25">
      <c r="A637" s="37" t="s">
        <v>1372</v>
      </c>
      <c r="B637" s="37" t="s">
        <v>531</v>
      </c>
      <c r="C637" s="37">
        <v>10000</v>
      </c>
      <c r="D637" s="37">
        <v>50.823</v>
      </c>
      <c r="E637" s="37" t="s">
        <v>771</v>
      </c>
      <c r="F637" s="37">
        <v>20</v>
      </c>
      <c r="G637" s="37" t="s">
        <v>536</v>
      </c>
      <c r="H637" s="37" t="s">
        <v>1320</v>
      </c>
      <c r="I637" s="38">
        <f t="shared" si="72"/>
        <v>50.823</v>
      </c>
      <c r="J637" s="38">
        <f t="shared" si="73"/>
        <v>9.2103403719761836</v>
      </c>
      <c r="K637" s="38">
        <f t="shared" si="74"/>
        <v>3.928349008026919</v>
      </c>
      <c r="L637" s="39">
        <f t="shared" si="75"/>
        <v>1.9676130885622652E-2</v>
      </c>
      <c r="M637" s="39">
        <f t="shared" si="76"/>
        <v>1.9676130885622651</v>
      </c>
      <c r="N637" s="39">
        <f t="shared" si="77"/>
        <v>196.76130885622652</v>
      </c>
      <c r="O637" s="40">
        <f>1</f>
        <v>1</v>
      </c>
      <c r="P637" s="38">
        <f>INDEX(Cables!$AS:$AS,MATCH(B637,Cables!$A:$A,0))+INDEX(Cables!$AT:$AT,MATCH(B637,Cables!$A:$A,0))*SQRT(C637)+INDEX(Cables!$AU:$AU,MATCH(B637,Cables!$A:$A,0))*C637</f>
        <v>50.821422268166657</v>
      </c>
      <c r="Q637" s="41">
        <f t="shared" si="78"/>
        <v>-3.1043658055285306E-5</v>
      </c>
      <c r="R637" s="39">
        <f t="shared" si="79"/>
        <v>9.6370870545348016E-10</v>
      </c>
      <c r="S637" s="40" t="b">
        <f>IF(B637=B636,C637&gt;C636,COUNTIF(B$1:B636,B637)=0)</f>
        <v>1</v>
      </c>
      <c r="T637" s="37"/>
    </row>
    <row r="638" spans="1:20" x14ac:dyDescent="0.25">
      <c r="A638" s="37" t="s">
        <v>1373</v>
      </c>
      <c r="B638" s="37" t="s">
        <v>531</v>
      </c>
      <c r="C638" s="37">
        <v>10900</v>
      </c>
      <c r="D638" s="37">
        <v>53.643000000000001</v>
      </c>
      <c r="E638" s="37" t="s">
        <v>771</v>
      </c>
      <c r="F638" s="37">
        <v>20</v>
      </c>
      <c r="G638" s="37" t="s">
        <v>536</v>
      </c>
      <c r="H638" s="37" t="s">
        <v>1320</v>
      </c>
      <c r="I638" s="38">
        <f t="shared" si="72"/>
        <v>53.643000000000001</v>
      </c>
      <c r="J638" s="38">
        <f t="shared" si="73"/>
        <v>9.2965180682172353</v>
      </c>
      <c r="K638" s="38">
        <f t="shared" si="74"/>
        <v>3.9823509852611756</v>
      </c>
      <c r="L638" s="39">
        <f t="shared" si="75"/>
        <v>1.8641761273605131E-2</v>
      </c>
      <c r="M638" s="39">
        <f t="shared" si="76"/>
        <v>1.9462570156237626</v>
      </c>
      <c r="N638" s="39">
        <f t="shared" si="77"/>
        <v>203.19519788229593</v>
      </c>
      <c r="O638" s="40">
        <f>1</f>
        <v>1</v>
      </c>
      <c r="P638" s="38">
        <f>INDEX(Cables!$AS:$AS,MATCH(B638,Cables!$A:$A,0))+INDEX(Cables!$AT:$AT,MATCH(B638,Cables!$A:$A,0))*SQRT(C638)+INDEX(Cables!$AU:$AU,MATCH(B638,Cables!$A:$A,0))*C638</f>
        <v>53.641064503717985</v>
      </c>
      <c r="Q638" s="41">
        <f t="shared" si="78"/>
        <v>-3.6081059635262314E-5</v>
      </c>
      <c r="R638" s="39">
        <f t="shared" si="79"/>
        <v>1.3018428644033554E-9</v>
      </c>
      <c r="S638" s="40" t="b">
        <f>IF(B638=B637,C638&gt;C637,COUNTIF(B$1:B637,B638)=0)</f>
        <v>1</v>
      </c>
      <c r="T638" s="37"/>
    </row>
    <row r="639" spans="1:20" x14ac:dyDescent="0.25">
      <c r="A639" s="37" t="s">
        <v>1374</v>
      </c>
      <c r="B639" s="37" t="s">
        <v>531</v>
      </c>
      <c r="C639" s="37">
        <v>11500</v>
      </c>
      <c r="D639" s="37">
        <v>55.484000000000002</v>
      </c>
      <c r="E639" s="37" t="s">
        <v>771</v>
      </c>
      <c r="F639" s="37">
        <v>20</v>
      </c>
      <c r="G639" s="37" t="s">
        <v>536</v>
      </c>
      <c r="H639" s="37" t="s">
        <v>1320</v>
      </c>
      <c r="I639" s="38">
        <f t="shared" si="72"/>
        <v>55.484000000000002</v>
      </c>
      <c r="J639" s="38">
        <f t="shared" si="73"/>
        <v>9.3501023143513411</v>
      </c>
      <c r="K639" s="38">
        <f t="shared" si="74"/>
        <v>4.0160946909010438</v>
      </c>
      <c r="L639" s="39">
        <f t="shared" si="75"/>
        <v>1.8023213899502559E-2</v>
      </c>
      <c r="M639" s="39">
        <f t="shared" si="76"/>
        <v>1.9327743664414259</v>
      </c>
      <c r="N639" s="39">
        <f t="shared" si="77"/>
        <v>207.26695984427943</v>
      </c>
      <c r="O639" s="40">
        <f>1</f>
        <v>1</v>
      </c>
      <c r="P639" s="38">
        <f>INDEX(Cables!$AS:$AS,MATCH(B639,Cables!$A:$A,0))+INDEX(Cables!$AT:$AT,MATCH(B639,Cables!$A:$A,0))*SQRT(C639)+INDEX(Cables!$AU:$AU,MATCH(B639,Cables!$A:$A,0))*C639</f>
        <v>55.482514962860115</v>
      </c>
      <c r="Q639" s="41">
        <f t="shared" si="78"/>
        <v>-2.6765142020823696E-5</v>
      </c>
      <c r="R639" s="39">
        <f t="shared" si="79"/>
        <v>7.1637282739486236E-10</v>
      </c>
      <c r="S639" s="40" t="b">
        <f>IF(B639=B638,C639&gt;C638,COUNTIF(B$1:B638,B639)=0)</f>
        <v>1</v>
      </c>
      <c r="T639" s="37"/>
    </row>
    <row r="640" spans="1:20" x14ac:dyDescent="0.25">
      <c r="A640" s="37" t="s">
        <v>1375</v>
      </c>
      <c r="B640" s="37" t="s">
        <v>531</v>
      </c>
      <c r="C640" s="37">
        <v>12000</v>
      </c>
      <c r="D640" s="37">
        <v>56.997999999999998</v>
      </c>
      <c r="E640" s="37" t="s">
        <v>771</v>
      </c>
      <c r="F640" s="37">
        <v>20</v>
      </c>
      <c r="G640" s="37" t="s">
        <v>536</v>
      </c>
      <c r="H640" s="37" t="s">
        <v>1320</v>
      </c>
      <c r="I640" s="38">
        <f t="shared" si="72"/>
        <v>56.997999999999998</v>
      </c>
      <c r="J640" s="38">
        <f t="shared" si="73"/>
        <v>9.3926619287701367</v>
      </c>
      <c r="K640" s="38">
        <f t="shared" si="74"/>
        <v>4.0430161794996637</v>
      </c>
      <c r="L640" s="39">
        <f t="shared" si="75"/>
        <v>1.7544475244745429E-2</v>
      </c>
      <c r="M640" s="39">
        <f t="shared" si="76"/>
        <v>1.9219009702276086</v>
      </c>
      <c r="N640" s="39">
        <f t="shared" si="77"/>
        <v>210.53370293694516</v>
      </c>
      <c r="O640" s="40">
        <f>1</f>
        <v>1</v>
      </c>
      <c r="P640" s="38">
        <f>INDEX(Cables!$AS:$AS,MATCH(B640,Cables!$A:$A,0))+INDEX(Cables!$AT:$AT,MATCH(B640,Cables!$A:$A,0))*SQRT(C640)+INDEX(Cables!$AU:$AU,MATCH(B640,Cables!$A:$A,0))*C640</f>
        <v>56.995673983962106</v>
      </c>
      <c r="Q640" s="41">
        <f t="shared" si="78"/>
        <v>-4.0808730795705017E-5</v>
      </c>
      <c r="R640" s="39">
        <f t="shared" si="79"/>
        <v>1.665352509156323E-9</v>
      </c>
      <c r="S640" s="40" t="b">
        <f>IF(B640=B639,C640&gt;C639,COUNTIF(B$1:B639,B640)=0)</f>
        <v>1</v>
      </c>
      <c r="T640" s="37"/>
    </row>
    <row r="641" spans="1:20" x14ac:dyDescent="0.25">
      <c r="A641" s="37" t="s">
        <v>1376</v>
      </c>
      <c r="B641" s="37" t="s">
        <v>531</v>
      </c>
      <c r="C641" s="37">
        <v>13400</v>
      </c>
      <c r="D641" s="37">
        <v>61.142000000000003</v>
      </c>
      <c r="E641" s="37" t="s">
        <v>771</v>
      </c>
      <c r="F641" s="37">
        <v>20</v>
      </c>
      <c r="G641" s="37" t="s">
        <v>536</v>
      </c>
      <c r="H641" s="37" t="s">
        <v>1320</v>
      </c>
      <c r="I641" s="38">
        <f t="shared" si="72"/>
        <v>61.142000000000003</v>
      </c>
      <c r="J641" s="38">
        <f t="shared" si="73"/>
        <v>9.503009985939002</v>
      </c>
      <c r="K641" s="38">
        <f t="shared" si="74"/>
        <v>4.1131990277366324</v>
      </c>
      <c r="L641" s="39">
        <f t="shared" si="75"/>
        <v>1.6355369467796275E-2</v>
      </c>
      <c r="M641" s="39">
        <f t="shared" si="76"/>
        <v>1.8932708944408465</v>
      </c>
      <c r="N641" s="39">
        <f t="shared" si="77"/>
        <v>219.16195086847011</v>
      </c>
      <c r="O641" s="40">
        <f>1</f>
        <v>1</v>
      </c>
      <c r="P641" s="38">
        <f>INDEX(Cables!$AS:$AS,MATCH(B641,Cables!$A:$A,0))+INDEX(Cables!$AT:$AT,MATCH(B641,Cables!$A:$A,0))*SQRT(C641)+INDEX(Cables!$AU:$AU,MATCH(B641,Cables!$A:$A,0))*C641</f>
        <v>61.139316019092206</v>
      </c>
      <c r="Q641" s="41">
        <f t="shared" si="78"/>
        <v>-4.3897499391487571E-5</v>
      </c>
      <c r="R641" s="39">
        <f t="shared" si="79"/>
        <v>1.9269904528256518E-9</v>
      </c>
      <c r="S641" s="40" t="b">
        <f>IF(B641=B640,C641&gt;C640,COUNTIF(B$1:B640,B641)=0)</f>
        <v>1</v>
      </c>
      <c r="T641" s="37"/>
    </row>
    <row r="642" spans="1:20" x14ac:dyDescent="0.25">
      <c r="A642" s="37" t="s">
        <v>1377</v>
      </c>
      <c r="B642" s="37" t="s">
        <v>537</v>
      </c>
      <c r="C642" s="37">
        <v>1.8</v>
      </c>
      <c r="D642" s="37">
        <v>0.6</v>
      </c>
      <c r="E642" s="37" t="s">
        <v>771</v>
      </c>
      <c r="F642" s="37">
        <v>20</v>
      </c>
      <c r="G642" s="37" t="s">
        <v>542</v>
      </c>
      <c r="H642" s="37" t="s">
        <v>928</v>
      </c>
      <c r="I642" s="38">
        <f t="shared" ref="I642:I705" si="80">IF(E642="dB/100ft",D642*100/30.48,D642)</f>
        <v>0.6</v>
      </c>
      <c r="J642" s="38">
        <f t="shared" ref="J642:J705" si="81">LN(C642)</f>
        <v>0.58778666490211906</v>
      </c>
      <c r="K642" s="38">
        <f t="shared" ref="K642:K705" si="82">LN(I642)</f>
        <v>-0.51082562376599072</v>
      </c>
      <c r="L642" s="39">
        <f t="shared" ref="L642:L705" si="83">1/I642</f>
        <v>1.6666666666666667</v>
      </c>
      <c r="M642" s="39">
        <f t="shared" ref="M642:M705" si="84">SQRT(C642)/I642</f>
        <v>2.2360679774997898</v>
      </c>
      <c r="N642" s="39">
        <f t="shared" ref="N642:N705" si="85">C642/I642</f>
        <v>3</v>
      </c>
      <c r="O642" s="40">
        <f>1</f>
        <v>1</v>
      </c>
      <c r="P642" s="38">
        <f>INDEX(Cables!$AS:$AS,MATCH(B642,Cables!$A:$A,0))+INDEX(Cables!$AT:$AT,MATCH(B642,Cables!$A:$A,0))*SQRT(C642)+INDEX(Cables!$AU:$AU,MATCH(B642,Cables!$A:$A,0))*C642</f>
        <v>0.59487312032942585</v>
      </c>
      <c r="Q642" s="41">
        <f t="shared" ref="Q642:Q705" si="86">P642/I642-1</f>
        <v>-8.5447994509568748E-3</v>
      </c>
      <c r="R642" s="39">
        <f t="shared" ref="R642:R705" si="87">Q642^2</f>
        <v>7.3013597657072907E-5</v>
      </c>
      <c r="S642" s="40" t="b">
        <f>IF(B642=B641,C642&gt;C641,COUNTIF(B$1:B641,B642)=0)</f>
        <v>1</v>
      </c>
      <c r="T642" s="37"/>
    </row>
    <row r="643" spans="1:20" x14ac:dyDescent="0.25">
      <c r="A643" s="37" t="s">
        <v>1378</v>
      </c>
      <c r="B643" s="37" t="s">
        <v>537</v>
      </c>
      <c r="C643" s="37">
        <v>3.5</v>
      </c>
      <c r="D643" s="37">
        <v>0.8</v>
      </c>
      <c r="E643" s="37" t="s">
        <v>771</v>
      </c>
      <c r="F643" s="37">
        <v>20</v>
      </c>
      <c r="G643" s="37" t="s">
        <v>542</v>
      </c>
      <c r="H643" s="37" t="s">
        <v>928</v>
      </c>
      <c r="I643" s="38">
        <f t="shared" si="80"/>
        <v>0.8</v>
      </c>
      <c r="J643" s="38">
        <f t="shared" si="81"/>
        <v>1.2527629684953681</v>
      </c>
      <c r="K643" s="38">
        <f t="shared" si="82"/>
        <v>-0.22314355131420971</v>
      </c>
      <c r="L643" s="39">
        <f t="shared" si="83"/>
        <v>1.25</v>
      </c>
      <c r="M643" s="39">
        <f t="shared" si="84"/>
        <v>2.3385358667337131</v>
      </c>
      <c r="N643" s="39">
        <f t="shared" si="85"/>
        <v>4.375</v>
      </c>
      <c r="O643" s="40">
        <f>1</f>
        <v>1</v>
      </c>
      <c r="P643" s="38">
        <f>INDEX(Cables!$AS:$AS,MATCH(B643,Cables!$A:$A,0))+INDEX(Cables!$AT:$AT,MATCH(B643,Cables!$A:$A,0))*SQRT(C643)+INDEX(Cables!$AU:$AU,MATCH(B643,Cables!$A:$A,0))*C643</f>
        <v>0.76772607824250816</v>
      </c>
      <c r="Q643" s="41">
        <f t="shared" si="86"/>
        <v>-4.0342402196864802E-2</v>
      </c>
      <c r="R643" s="39">
        <f t="shared" si="87"/>
        <v>1.6275094150136019E-3</v>
      </c>
      <c r="S643" s="40" t="b">
        <f>IF(B643=B642,C643&gt;C642,COUNTIF(B$1:B642,B643)=0)</f>
        <v>1</v>
      </c>
      <c r="T643" s="37"/>
    </row>
    <row r="644" spans="1:20" x14ac:dyDescent="0.25">
      <c r="A644" s="37" t="s">
        <v>1379</v>
      </c>
      <c r="B644" s="37" t="s">
        <v>537</v>
      </c>
      <c r="C644" s="37">
        <v>7</v>
      </c>
      <c r="D644" s="37">
        <v>1</v>
      </c>
      <c r="E644" s="37" t="s">
        <v>771</v>
      </c>
      <c r="F644" s="37">
        <v>20</v>
      </c>
      <c r="G644" s="37" t="s">
        <v>542</v>
      </c>
      <c r="H644" s="37" t="s">
        <v>928</v>
      </c>
      <c r="I644" s="38">
        <f t="shared" si="80"/>
        <v>1</v>
      </c>
      <c r="J644" s="38">
        <f t="shared" si="81"/>
        <v>1.9459101490553132</v>
      </c>
      <c r="K644" s="38">
        <f t="shared" si="82"/>
        <v>0</v>
      </c>
      <c r="L644" s="39">
        <f t="shared" si="83"/>
        <v>1</v>
      </c>
      <c r="M644" s="39">
        <f t="shared" si="84"/>
        <v>2.6457513110645907</v>
      </c>
      <c r="N644" s="39">
        <f t="shared" si="85"/>
        <v>7</v>
      </c>
      <c r="O644" s="40">
        <f>1</f>
        <v>1</v>
      </c>
      <c r="P644" s="38">
        <f>INDEX(Cables!$AS:$AS,MATCH(B644,Cables!$A:$A,0))+INDEX(Cables!$AT:$AT,MATCH(B644,Cables!$A:$A,0))*SQRT(C644)+INDEX(Cables!$AU:$AU,MATCH(B644,Cables!$A:$A,0))*C644</f>
        <v>1.0221095473679944</v>
      </c>
      <c r="Q644" s="41">
        <f t="shared" si="86"/>
        <v>2.210954736799442E-2</v>
      </c>
      <c r="R644" s="39">
        <f t="shared" si="87"/>
        <v>4.8883208481758896E-4</v>
      </c>
      <c r="S644" s="40" t="b">
        <f>IF(B644=B643,C644&gt;C643,COUNTIF(B$1:B643,B644)=0)</f>
        <v>1</v>
      </c>
      <c r="T644" s="37"/>
    </row>
    <row r="645" spans="1:20" x14ac:dyDescent="0.25">
      <c r="A645" s="37" t="s">
        <v>1380</v>
      </c>
      <c r="B645" s="37" t="s">
        <v>537</v>
      </c>
      <c r="C645" s="37">
        <v>10</v>
      </c>
      <c r="D645" s="37">
        <v>1.2</v>
      </c>
      <c r="E645" s="37" t="s">
        <v>771</v>
      </c>
      <c r="F645" s="37">
        <v>20</v>
      </c>
      <c r="G645" s="37" t="s">
        <v>542</v>
      </c>
      <c r="H645" s="37" t="s">
        <v>928</v>
      </c>
      <c r="I645" s="38">
        <f t="shared" si="80"/>
        <v>1.2</v>
      </c>
      <c r="J645" s="38">
        <f t="shared" si="81"/>
        <v>2.3025850929940459</v>
      </c>
      <c r="K645" s="38">
        <f t="shared" si="82"/>
        <v>0.18232155679395459</v>
      </c>
      <c r="L645" s="39">
        <f t="shared" si="83"/>
        <v>0.83333333333333337</v>
      </c>
      <c r="M645" s="39">
        <f t="shared" si="84"/>
        <v>2.6352313834736498</v>
      </c>
      <c r="N645" s="39">
        <f t="shared" si="85"/>
        <v>8.3333333333333339</v>
      </c>
      <c r="O645" s="40">
        <f>1</f>
        <v>1</v>
      </c>
      <c r="P645" s="38">
        <f>INDEX(Cables!$AS:$AS,MATCH(B645,Cables!$A:$A,0))+INDEX(Cables!$AT:$AT,MATCH(B645,Cables!$A:$A,0))*SQRT(C645)+INDEX(Cables!$AU:$AU,MATCH(B645,Cables!$A:$A,0))*C645</f>
        <v>1.1925038606166387</v>
      </c>
      <c r="Q645" s="41">
        <f t="shared" si="86"/>
        <v>-6.2467828194676667E-3</v>
      </c>
      <c r="R645" s="39">
        <f t="shared" si="87"/>
        <v>3.9022295593596414E-5</v>
      </c>
      <c r="S645" s="40" t="b">
        <f>IF(B645=B644,C645&gt;C644,COUNTIF(B$1:B644,B645)=0)</f>
        <v>1</v>
      </c>
      <c r="T645" s="37"/>
    </row>
    <row r="646" spans="1:20" x14ac:dyDescent="0.25">
      <c r="A646" s="37" t="s">
        <v>1381</v>
      </c>
      <c r="B646" s="37" t="s">
        <v>537</v>
      </c>
      <c r="C646" s="37">
        <v>14</v>
      </c>
      <c r="D646" s="37">
        <v>1.3</v>
      </c>
      <c r="E646" s="37" t="s">
        <v>771</v>
      </c>
      <c r="F646" s="37">
        <v>20</v>
      </c>
      <c r="G646" s="37" t="s">
        <v>542</v>
      </c>
      <c r="H646" s="37" t="s">
        <v>928</v>
      </c>
      <c r="I646" s="38">
        <f t="shared" si="80"/>
        <v>1.3</v>
      </c>
      <c r="J646" s="38">
        <f t="shared" si="81"/>
        <v>2.6390573296152584</v>
      </c>
      <c r="K646" s="38">
        <f t="shared" si="82"/>
        <v>0.26236426446749106</v>
      </c>
      <c r="L646" s="39">
        <f t="shared" si="83"/>
        <v>0.76923076923076916</v>
      </c>
      <c r="M646" s="39">
        <f t="shared" si="84"/>
        <v>2.8781979898261087</v>
      </c>
      <c r="N646" s="39">
        <f t="shared" si="85"/>
        <v>10.769230769230768</v>
      </c>
      <c r="O646" s="40">
        <f>1</f>
        <v>1</v>
      </c>
      <c r="P646" s="38">
        <f>INDEX(Cables!$AS:$AS,MATCH(B646,Cables!$A:$A,0))+INDEX(Cables!$AT:$AT,MATCH(B646,Cables!$A:$A,0))*SQRT(C646)+INDEX(Cables!$AU:$AU,MATCH(B646,Cables!$A:$A,0))*C646</f>
        <v>1.3844268412847283</v>
      </c>
      <c r="Q646" s="41">
        <f t="shared" si="86"/>
        <v>6.4943724065175568E-2</v>
      </c>
      <c r="R646" s="39">
        <f t="shared" si="87"/>
        <v>4.2176872954536645E-3</v>
      </c>
      <c r="S646" s="40" t="b">
        <f>IF(B646=B645,C646&gt;C645,COUNTIF(B$1:B645,B646)=0)</f>
        <v>1</v>
      </c>
      <c r="T646" s="37"/>
    </row>
    <row r="647" spans="1:20" x14ac:dyDescent="0.25">
      <c r="A647" s="37" t="s">
        <v>1382</v>
      </c>
      <c r="B647" s="37" t="s">
        <v>537</v>
      </c>
      <c r="C647" s="37">
        <v>21</v>
      </c>
      <c r="D647" s="37">
        <v>1.7</v>
      </c>
      <c r="E647" s="37" t="s">
        <v>771</v>
      </c>
      <c r="F647" s="37">
        <v>20</v>
      </c>
      <c r="G647" s="37" t="s">
        <v>542</v>
      </c>
      <c r="H647" s="37" t="s">
        <v>928</v>
      </c>
      <c r="I647" s="38">
        <f t="shared" si="80"/>
        <v>1.7</v>
      </c>
      <c r="J647" s="38">
        <f t="shared" si="81"/>
        <v>3.044522437723423</v>
      </c>
      <c r="K647" s="38">
        <f t="shared" si="82"/>
        <v>0.53062825106217038</v>
      </c>
      <c r="L647" s="39">
        <f t="shared" si="83"/>
        <v>0.58823529411764708</v>
      </c>
      <c r="M647" s="39">
        <f t="shared" si="84"/>
        <v>2.6956327617387292</v>
      </c>
      <c r="N647" s="39">
        <f t="shared" si="85"/>
        <v>12.352941176470589</v>
      </c>
      <c r="O647" s="40">
        <f>1</f>
        <v>1</v>
      </c>
      <c r="P647" s="38">
        <f>INDEX(Cables!$AS:$AS,MATCH(B647,Cables!$A:$A,0))+INDEX(Cables!$AT:$AT,MATCH(B647,Cables!$A:$A,0))*SQRT(C647)+INDEX(Cables!$AU:$AU,MATCH(B647,Cables!$A:$A,0))*C647</f>
        <v>1.6644800981152867</v>
      </c>
      <c r="Q647" s="41">
        <f t="shared" si="86"/>
        <v>-2.0894059932184295E-2</v>
      </c>
      <c r="R647" s="39">
        <f t="shared" si="87"/>
        <v>4.3656174044970917E-4</v>
      </c>
      <c r="S647" s="40" t="b">
        <f>IF(B647=B646,C647&gt;C646,COUNTIF(B$1:B646,B647)=0)</f>
        <v>1</v>
      </c>
      <c r="T647" s="37"/>
    </row>
    <row r="648" spans="1:20" x14ac:dyDescent="0.25">
      <c r="A648" s="37" t="s">
        <v>1383</v>
      </c>
      <c r="B648" s="37" t="s">
        <v>537</v>
      </c>
      <c r="C648" s="37">
        <v>28</v>
      </c>
      <c r="D648" s="37">
        <v>1.9</v>
      </c>
      <c r="E648" s="37" t="s">
        <v>771</v>
      </c>
      <c r="F648" s="37">
        <v>20</v>
      </c>
      <c r="G648" s="37" t="s">
        <v>542</v>
      </c>
      <c r="H648" s="37" t="s">
        <v>928</v>
      </c>
      <c r="I648" s="38">
        <f t="shared" si="80"/>
        <v>1.9</v>
      </c>
      <c r="J648" s="38">
        <f t="shared" si="81"/>
        <v>3.3322045101752038</v>
      </c>
      <c r="K648" s="38">
        <f t="shared" si="82"/>
        <v>0.64185388617239469</v>
      </c>
      <c r="L648" s="39">
        <f t="shared" si="83"/>
        <v>0.52631578947368418</v>
      </c>
      <c r="M648" s="39">
        <f t="shared" si="84"/>
        <v>2.7850013800679903</v>
      </c>
      <c r="N648" s="39">
        <f t="shared" si="85"/>
        <v>14.736842105263159</v>
      </c>
      <c r="O648" s="40">
        <f>1</f>
        <v>1</v>
      </c>
      <c r="P648" s="38">
        <f>INDEX(Cables!$AS:$AS,MATCH(B648,Cables!$A:$A,0))+INDEX(Cables!$AT:$AT,MATCH(B648,Cables!$A:$A,0))*SQRT(C648)+INDEX(Cables!$AU:$AU,MATCH(B648,Cables!$A:$A,0))*C648</f>
        <v>1.9019503558960007</v>
      </c>
      <c r="Q648" s="41">
        <f t="shared" si="86"/>
        <v>1.0265031031582161E-3</v>
      </c>
      <c r="R648" s="39">
        <f t="shared" si="87"/>
        <v>1.0537086207934474E-6</v>
      </c>
      <c r="S648" s="40" t="b">
        <f>IF(B648=B647,C648&gt;C647,COUNTIF(B$1:B647,B648)=0)</f>
        <v>1</v>
      </c>
      <c r="T648" s="37"/>
    </row>
    <row r="649" spans="1:20" x14ac:dyDescent="0.25">
      <c r="A649" s="37" t="s">
        <v>1384</v>
      </c>
      <c r="B649" s="37" t="s">
        <v>537</v>
      </c>
      <c r="C649" s="37">
        <v>50</v>
      </c>
      <c r="D649" s="37">
        <v>2.4</v>
      </c>
      <c r="E649" s="37" t="s">
        <v>771</v>
      </c>
      <c r="F649" s="37">
        <v>20</v>
      </c>
      <c r="G649" s="37" t="s">
        <v>542</v>
      </c>
      <c r="H649" s="37" t="s">
        <v>928</v>
      </c>
      <c r="I649" s="38">
        <f t="shared" si="80"/>
        <v>2.4</v>
      </c>
      <c r="J649" s="38">
        <f t="shared" si="81"/>
        <v>3.912023005428146</v>
      </c>
      <c r="K649" s="38">
        <f t="shared" si="82"/>
        <v>0.87546873735389985</v>
      </c>
      <c r="L649" s="39">
        <f t="shared" si="83"/>
        <v>0.41666666666666669</v>
      </c>
      <c r="M649" s="39">
        <f t="shared" si="84"/>
        <v>2.9462782549439481</v>
      </c>
      <c r="N649" s="39">
        <f t="shared" si="85"/>
        <v>20.833333333333336</v>
      </c>
      <c r="O649" s="40">
        <f>1</f>
        <v>1</v>
      </c>
      <c r="P649" s="38">
        <f>INDEX(Cables!$AS:$AS,MATCH(B649,Cables!$A:$A,0))+INDEX(Cables!$AT:$AT,MATCH(B649,Cables!$A:$A,0))*SQRT(C649)+INDEX(Cables!$AU:$AU,MATCH(B649,Cables!$A:$A,0))*C649</f>
        <v>2.5035935330983539</v>
      </c>
      <c r="Q649" s="41">
        <f t="shared" si="86"/>
        <v>4.316397212431422E-2</v>
      </c>
      <c r="R649" s="39">
        <f t="shared" si="87"/>
        <v>1.863128489548575E-3</v>
      </c>
      <c r="S649" s="40" t="b">
        <f>IF(B649=B648,C649&gt;C648,COUNTIF(B$1:B648,B649)=0)</f>
        <v>1</v>
      </c>
      <c r="T649" s="37"/>
    </row>
    <row r="650" spans="1:20" x14ac:dyDescent="0.25">
      <c r="A650" s="37" t="s">
        <v>1385</v>
      </c>
      <c r="B650" s="37" t="s">
        <v>537</v>
      </c>
      <c r="C650" s="37">
        <v>100</v>
      </c>
      <c r="D650" s="37">
        <v>3.5</v>
      </c>
      <c r="E650" s="37" t="s">
        <v>771</v>
      </c>
      <c r="F650" s="37">
        <v>20</v>
      </c>
      <c r="G650" s="37" t="s">
        <v>542</v>
      </c>
      <c r="H650" s="37" t="s">
        <v>928</v>
      </c>
      <c r="I650" s="38">
        <f t="shared" si="80"/>
        <v>3.5</v>
      </c>
      <c r="J650" s="38">
        <f t="shared" si="81"/>
        <v>4.6051701859880918</v>
      </c>
      <c r="K650" s="38">
        <f t="shared" si="82"/>
        <v>1.2527629684953681</v>
      </c>
      <c r="L650" s="39">
        <f t="shared" si="83"/>
        <v>0.2857142857142857</v>
      </c>
      <c r="M650" s="39">
        <f t="shared" si="84"/>
        <v>2.8571428571428572</v>
      </c>
      <c r="N650" s="39">
        <f t="shared" si="85"/>
        <v>28.571428571428573</v>
      </c>
      <c r="O650" s="40">
        <f>1</f>
        <v>1</v>
      </c>
      <c r="P650" s="38">
        <f>INDEX(Cables!$AS:$AS,MATCH(B650,Cables!$A:$A,0))+INDEX(Cables!$AT:$AT,MATCH(B650,Cables!$A:$A,0))*SQRT(C650)+INDEX(Cables!$AU:$AU,MATCH(B650,Cables!$A:$A,0))*C650</f>
        <v>3.5110712717563008</v>
      </c>
      <c r="Q650" s="41">
        <f t="shared" si="86"/>
        <v>3.1632205018001791E-3</v>
      </c>
      <c r="R650" s="39">
        <f t="shared" si="87"/>
        <v>1.0005963943008977E-5</v>
      </c>
      <c r="S650" s="40" t="b">
        <f>IF(B650=B649,C650&gt;C649,COUNTIF(B$1:B649,B650)=0)</f>
        <v>1</v>
      </c>
      <c r="T650" s="37"/>
    </row>
    <row r="651" spans="1:20" x14ac:dyDescent="0.25">
      <c r="A651" s="37" t="s">
        <v>1386</v>
      </c>
      <c r="B651" s="37" t="s">
        <v>537</v>
      </c>
      <c r="C651" s="37">
        <v>144</v>
      </c>
      <c r="D651" s="37">
        <v>4.2</v>
      </c>
      <c r="E651" s="37" t="s">
        <v>771</v>
      </c>
      <c r="F651" s="37">
        <v>20</v>
      </c>
      <c r="G651" s="37" t="s">
        <v>542</v>
      </c>
      <c r="H651" s="37" t="s">
        <v>928</v>
      </c>
      <c r="I651" s="38">
        <f t="shared" si="80"/>
        <v>4.2</v>
      </c>
      <c r="J651" s="38">
        <f t="shared" si="81"/>
        <v>4.9698132995760007</v>
      </c>
      <c r="K651" s="38">
        <f t="shared" si="82"/>
        <v>1.4350845252893227</v>
      </c>
      <c r="L651" s="39">
        <f t="shared" si="83"/>
        <v>0.23809523809523808</v>
      </c>
      <c r="M651" s="39">
        <f t="shared" si="84"/>
        <v>2.8571428571428572</v>
      </c>
      <c r="N651" s="39">
        <f t="shared" si="85"/>
        <v>34.285714285714285</v>
      </c>
      <c r="O651" s="40">
        <f>1</f>
        <v>1</v>
      </c>
      <c r="P651" s="38">
        <f>INDEX(Cables!$AS:$AS,MATCH(B651,Cables!$A:$A,0))+INDEX(Cables!$AT:$AT,MATCH(B651,Cables!$A:$A,0))*SQRT(C651)+INDEX(Cables!$AU:$AU,MATCH(B651,Cables!$A:$A,0))*C651</f>
        <v>4.2113516953164716</v>
      </c>
      <c r="Q651" s="41">
        <f t="shared" si="86"/>
        <v>2.7027845991598465E-3</v>
      </c>
      <c r="R651" s="39">
        <f t="shared" si="87"/>
        <v>7.3050445894556523E-6</v>
      </c>
      <c r="S651" s="40" t="b">
        <f>IF(B651=B650,C651&gt;C650,COUNTIF(B$1:B650,B651)=0)</f>
        <v>1</v>
      </c>
      <c r="T651" s="37"/>
    </row>
    <row r="652" spans="1:20" x14ac:dyDescent="0.25">
      <c r="A652" s="37" t="s">
        <v>1387</v>
      </c>
      <c r="B652" s="37" t="s">
        <v>537</v>
      </c>
      <c r="C652" s="37">
        <v>200</v>
      </c>
      <c r="D652" s="37">
        <v>5</v>
      </c>
      <c r="E652" s="37" t="s">
        <v>771</v>
      </c>
      <c r="F652" s="37">
        <v>20</v>
      </c>
      <c r="G652" s="37" t="s">
        <v>542</v>
      </c>
      <c r="H652" s="37" t="s">
        <v>928</v>
      </c>
      <c r="I652" s="38">
        <f t="shared" si="80"/>
        <v>5</v>
      </c>
      <c r="J652" s="38">
        <f t="shared" si="81"/>
        <v>5.2983173665480363</v>
      </c>
      <c r="K652" s="38">
        <f t="shared" si="82"/>
        <v>1.6094379124341003</v>
      </c>
      <c r="L652" s="39">
        <f t="shared" si="83"/>
        <v>0.2</v>
      </c>
      <c r="M652" s="39">
        <f t="shared" si="84"/>
        <v>2.8284271247461903</v>
      </c>
      <c r="N652" s="39">
        <f t="shared" si="85"/>
        <v>40</v>
      </c>
      <c r="O652" s="40">
        <f>1</f>
        <v>1</v>
      </c>
      <c r="P652" s="38">
        <f>INDEX(Cables!$AS:$AS,MATCH(B652,Cables!$A:$A,0))+INDEX(Cables!$AT:$AT,MATCH(B652,Cables!$A:$A,0))*SQRT(C652)+INDEX(Cables!$AU:$AU,MATCH(B652,Cables!$A:$A,0))*C652</f>
        <v>4.9724991226404036</v>
      </c>
      <c r="Q652" s="41">
        <f t="shared" si="86"/>
        <v>-5.5001754719192775E-3</v>
      </c>
      <c r="R652" s="39">
        <f t="shared" si="87"/>
        <v>3.0251930221902445E-5</v>
      </c>
      <c r="S652" s="40" t="b">
        <f>IF(B652=B651,C652&gt;C651,COUNTIF(B$1:B651,B652)=0)</f>
        <v>1</v>
      </c>
      <c r="T652" s="37"/>
    </row>
    <row r="653" spans="1:20" x14ac:dyDescent="0.25">
      <c r="A653" s="37" t="s">
        <v>1388</v>
      </c>
      <c r="B653" s="37" t="s">
        <v>537</v>
      </c>
      <c r="C653" s="37">
        <v>400</v>
      </c>
      <c r="D653" s="37">
        <v>7.2</v>
      </c>
      <c r="E653" s="37" t="s">
        <v>771</v>
      </c>
      <c r="F653" s="37">
        <v>20</v>
      </c>
      <c r="G653" s="37" t="s">
        <v>542</v>
      </c>
      <c r="H653" s="37" t="s">
        <v>928</v>
      </c>
      <c r="I653" s="38">
        <f t="shared" si="80"/>
        <v>7.2</v>
      </c>
      <c r="J653" s="38">
        <f t="shared" si="81"/>
        <v>5.9914645471079817</v>
      </c>
      <c r="K653" s="38">
        <f t="shared" si="82"/>
        <v>1.9740810260220096</v>
      </c>
      <c r="L653" s="39">
        <f t="shared" si="83"/>
        <v>0.1388888888888889</v>
      </c>
      <c r="M653" s="39">
        <f t="shared" si="84"/>
        <v>2.7777777777777777</v>
      </c>
      <c r="N653" s="39">
        <f t="shared" si="85"/>
        <v>55.555555555555557</v>
      </c>
      <c r="O653" s="40">
        <f>1</f>
        <v>1</v>
      </c>
      <c r="P653" s="38">
        <f>INDEX(Cables!$AS:$AS,MATCH(B653,Cables!$A:$A,0))+INDEX(Cables!$AT:$AT,MATCH(B653,Cables!$A:$A,0))*SQRT(C653)+INDEX(Cables!$AU:$AU,MATCH(B653,Cables!$A:$A,0))*C653</f>
        <v>7.112548547960583</v>
      </c>
      <c r="Q653" s="41">
        <f t="shared" si="86"/>
        <v>-1.214603500547462E-2</v>
      </c>
      <c r="R653" s="39">
        <f t="shared" si="87"/>
        <v>1.4752616635421486E-4</v>
      </c>
      <c r="S653" s="40" t="b">
        <f>IF(B653=B652,C653&gt;C652,COUNTIF(B$1:B652,B653)=0)</f>
        <v>1</v>
      </c>
      <c r="T653" s="37"/>
    </row>
    <row r="654" spans="1:20" x14ac:dyDescent="0.25">
      <c r="A654" s="37" t="s">
        <v>1389</v>
      </c>
      <c r="B654" s="37" t="s">
        <v>537</v>
      </c>
      <c r="C654" s="37">
        <v>430</v>
      </c>
      <c r="D654" s="37">
        <v>7.6</v>
      </c>
      <c r="E654" s="37" t="s">
        <v>771</v>
      </c>
      <c r="F654" s="37">
        <v>20</v>
      </c>
      <c r="G654" s="37" t="s">
        <v>542</v>
      </c>
      <c r="H654" s="37" t="s">
        <v>928</v>
      </c>
      <c r="I654" s="38">
        <f t="shared" si="80"/>
        <v>7.6</v>
      </c>
      <c r="J654" s="38">
        <f t="shared" si="81"/>
        <v>6.0637852086876078</v>
      </c>
      <c r="K654" s="38">
        <f t="shared" si="82"/>
        <v>2.0281482472922852</v>
      </c>
      <c r="L654" s="39">
        <f t="shared" si="83"/>
        <v>0.13157894736842105</v>
      </c>
      <c r="M654" s="39">
        <f t="shared" si="84"/>
        <v>2.728479125437858</v>
      </c>
      <c r="N654" s="39">
        <f t="shared" si="85"/>
        <v>56.578947368421055</v>
      </c>
      <c r="O654" s="40">
        <f>1</f>
        <v>1</v>
      </c>
      <c r="P654" s="38">
        <f>INDEX(Cables!$AS:$AS,MATCH(B654,Cables!$A:$A,0))+INDEX(Cables!$AT:$AT,MATCH(B654,Cables!$A:$A,0))*SQRT(C654)+INDEX(Cables!$AU:$AU,MATCH(B654,Cables!$A:$A,0))*C654</f>
        <v>7.3876671053801459</v>
      </c>
      <c r="Q654" s="41">
        <f t="shared" si="86"/>
        <v>-2.7938538765770238E-2</v>
      </c>
      <c r="R654" s="39">
        <f t="shared" si="87"/>
        <v>7.8056194836644639E-4</v>
      </c>
      <c r="S654" s="40" t="b">
        <f>IF(B654=B653,C654&gt;C653,COUNTIF(B$1:B653,B654)=0)</f>
        <v>1</v>
      </c>
      <c r="T654" s="37"/>
    </row>
    <row r="655" spans="1:20" x14ac:dyDescent="0.25">
      <c r="A655" s="37" t="s">
        <v>1390</v>
      </c>
      <c r="B655" s="37" t="s">
        <v>537</v>
      </c>
      <c r="C655" s="37">
        <v>800</v>
      </c>
      <c r="D655" s="37">
        <v>10.4</v>
      </c>
      <c r="E655" s="37" t="s">
        <v>771</v>
      </c>
      <c r="F655" s="37">
        <v>20</v>
      </c>
      <c r="G655" s="37" t="s">
        <v>542</v>
      </c>
      <c r="H655" s="37" t="s">
        <v>928</v>
      </c>
      <c r="I655" s="38">
        <f t="shared" si="80"/>
        <v>10.4</v>
      </c>
      <c r="J655" s="38">
        <f t="shared" si="81"/>
        <v>6.6846117276679271</v>
      </c>
      <c r="K655" s="38">
        <f t="shared" si="82"/>
        <v>2.341805806147327</v>
      </c>
      <c r="L655" s="39">
        <f t="shared" si="83"/>
        <v>9.6153846153846145E-2</v>
      </c>
      <c r="M655" s="39">
        <f t="shared" si="84"/>
        <v>2.719641466102106</v>
      </c>
      <c r="N655" s="39">
        <f t="shared" si="85"/>
        <v>76.92307692307692</v>
      </c>
      <c r="O655" s="40">
        <f>1</f>
        <v>1</v>
      </c>
      <c r="P655" s="38">
        <f>INDEX(Cables!$AS:$AS,MATCH(B655,Cables!$A:$A,0))+INDEX(Cables!$AT:$AT,MATCH(B655,Cables!$A:$A,0))*SQRT(C655)+INDEX(Cables!$AU:$AU,MATCH(B655,Cables!$A:$A,0))*C655</f>
        <v>10.285592145737359</v>
      </c>
      <c r="Q655" s="41">
        <f t="shared" si="86"/>
        <v>-1.1000755217561609E-2</v>
      </c>
      <c r="R655" s="39">
        <f t="shared" si="87"/>
        <v>1.2101661535670896E-4</v>
      </c>
      <c r="S655" s="40" t="b">
        <f>IF(B655=B654,C655&gt;C654,COUNTIF(B$1:B654,B655)=0)</f>
        <v>1</v>
      </c>
      <c r="T655" s="37"/>
    </row>
    <row r="656" spans="1:20" x14ac:dyDescent="0.25">
      <c r="A656" s="37" t="s">
        <v>1391</v>
      </c>
      <c r="B656" s="37" t="s">
        <v>537</v>
      </c>
      <c r="C656" s="37">
        <v>1000</v>
      </c>
      <c r="D656" s="37">
        <v>11.8</v>
      </c>
      <c r="E656" s="37" t="s">
        <v>771</v>
      </c>
      <c r="F656" s="37">
        <v>20</v>
      </c>
      <c r="G656" s="37" t="s">
        <v>542</v>
      </c>
      <c r="H656" s="37" t="s">
        <v>928</v>
      </c>
      <c r="I656" s="38">
        <f t="shared" si="80"/>
        <v>11.8</v>
      </c>
      <c r="J656" s="38">
        <f t="shared" si="81"/>
        <v>6.9077552789821368</v>
      </c>
      <c r="K656" s="38">
        <f t="shared" si="82"/>
        <v>2.4680995314716192</v>
      </c>
      <c r="L656" s="39">
        <f t="shared" si="83"/>
        <v>8.4745762711864403E-2</v>
      </c>
      <c r="M656" s="39">
        <f t="shared" si="84"/>
        <v>2.6798963221765923</v>
      </c>
      <c r="N656" s="39">
        <f t="shared" si="85"/>
        <v>84.745762711864401</v>
      </c>
      <c r="O656" s="40">
        <f>1</f>
        <v>1</v>
      </c>
      <c r="P656" s="38">
        <f>INDEX(Cables!$AS:$AS,MATCH(B656,Cables!$A:$A,0))+INDEX(Cables!$AT:$AT,MATCH(B656,Cables!$A:$A,0))*SQRT(C656)+INDEX(Cables!$AU:$AU,MATCH(B656,Cables!$A:$A,0))*C656</f>
        <v>11.61284711415966</v>
      </c>
      <c r="Q656" s="41">
        <f t="shared" si="86"/>
        <v>-1.5860414054266192E-2</v>
      </c>
      <c r="R656" s="39">
        <f t="shared" si="87"/>
        <v>2.5155273397276456E-4</v>
      </c>
      <c r="S656" s="40" t="b">
        <f>IF(B656=B655,C656&gt;C655,COUNTIF(B$1:B655,B656)=0)</f>
        <v>1</v>
      </c>
      <c r="T656" s="37"/>
    </row>
    <row r="657" spans="1:20" x14ac:dyDescent="0.25">
      <c r="A657" s="37" t="s">
        <v>1392</v>
      </c>
      <c r="B657" s="37" t="s">
        <v>537</v>
      </c>
      <c r="C657" s="37">
        <v>1296</v>
      </c>
      <c r="D657" s="37">
        <v>13.6</v>
      </c>
      <c r="E657" s="37" t="s">
        <v>771</v>
      </c>
      <c r="F657" s="37">
        <v>20</v>
      </c>
      <c r="G657" s="37" t="s">
        <v>542</v>
      </c>
      <c r="H657" s="37" t="s">
        <v>928</v>
      </c>
      <c r="I657" s="38">
        <f t="shared" si="80"/>
        <v>13.6</v>
      </c>
      <c r="J657" s="38">
        <f t="shared" si="81"/>
        <v>7.1670378769122198</v>
      </c>
      <c r="K657" s="38">
        <f t="shared" si="82"/>
        <v>2.6100697927420065</v>
      </c>
      <c r="L657" s="39">
        <f t="shared" si="83"/>
        <v>7.3529411764705885E-2</v>
      </c>
      <c r="M657" s="39">
        <f t="shared" si="84"/>
        <v>2.6470588235294117</v>
      </c>
      <c r="N657" s="39">
        <f t="shared" si="85"/>
        <v>95.294117647058826</v>
      </c>
      <c r="O657" s="40">
        <f>1</f>
        <v>1</v>
      </c>
      <c r="P657" s="38">
        <f>INDEX(Cables!$AS:$AS,MATCH(B657,Cables!$A:$A,0))+INDEX(Cables!$AT:$AT,MATCH(B657,Cables!$A:$A,0))*SQRT(C657)+INDEX(Cables!$AU:$AU,MATCH(B657,Cables!$A:$A,0))*C657</f>
        <v>13.395303013585263</v>
      </c>
      <c r="Q657" s="41">
        <f t="shared" si="86"/>
        <v>-1.5051249001083566E-2</v>
      </c>
      <c r="R657" s="39">
        <f t="shared" si="87"/>
        <v>2.2654009649261905E-4</v>
      </c>
      <c r="S657" s="40" t="b">
        <f>IF(B657=B656,C657&gt;C656,COUNTIF(B$1:B656,B657)=0)</f>
        <v>1</v>
      </c>
      <c r="T657" s="37"/>
    </row>
    <row r="658" spans="1:20" x14ac:dyDescent="0.25">
      <c r="A658" s="37" t="s">
        <v>1393</v>
      </c>
      <c r="B658" s="37" t="s">
        <v>537</v>
      </c>
      <c r="C658" s="37">
        <v>2400</v>
      </c>
      <c r="D658" s="37">
        <v>19.2</v>
      </c>
      <c r="E658" s="37" t="s">
        <v>771</v>
      </c>
      <c r="F658" s="37">
        <v>20</v>
      </c>
      <c r="G658" s="37" t="s">
        <v>542</v>
      </c>
      <c r="H658" s="37" t="s">
        <v>928</v>
      </c>
      <c r="I658" s="38">
        <f t="shared" si="80"/>
        <v>19.2</v>
      </c>
      <c r="J658" s="38">
        <f t="shared" si="81"/>
        <v>7.7832240163360371</v>
      </c>
      <c r="K658" s="38">
        <f t="shared" si="82"/>
        <v>2.954910279033736</v>
      </c>
      <c r="L658" s="39">
        <f t="shared" si="83"/>
        <v>5.2083333333333336E-2</v>
      </c>
      <c r="M658" s="39">
        <f t="shared" si="84"/>
        <v>2.5515518153991441</v>
      </c>
      <c r="N658" s="39">
        <f t="shared" si="85"/>
        <v>125</v>
      </c>
      <c r="O658" s="40">
        <f>1</f>
        <v>1</v>
      </c>
      <c r="P658" s="38">
        <f>INDEX(Cables!$AS:$AS,MATCH(B658,Cables!$A:$A,0))+INDEX(Cables!$AT:$AT,MATCH(B658,Cables!$A:$A,0))*SQRT(C658)+INDEX(Cables!$AU:$AU,MATCH(B658,Cables!$A:$A,0))*C658</f>
        <v>18.967101882397117</v>
      </c>
      <c r="Q658" s="41">
        <f t="shared" si="86"/>
        <v>-1.2130110291816765E-2</v>
      </c>
      <c r="R658" s="39">
        <f t="shared" si="87"/>
        <v>1.4713957569163899E-4</v>
      </c>
      <c r="S658" s="40" t="b">
        <f>IF(B658=B657,C658&gt;C657,COUNTIF(B$1:B657,B658)=0)</f>
        <v>1</v>
      </c>
      <c r="T658" s="37"/>
    </row>
    <row r="659" spans="1:20" x14ac:dyDescent="0.25">
      <c r="A659" s="37" t="s">
        <v>1394</v>
      </c>
      <c r="B659" s="37" t="s">
        <v>537</v>
      </c>
      <c r="C659" s="37">
        <v>3000</v>
      </c>
      <c r="D659" s="37">
        <v>21.6</v>
      </c>
      <c r="E659" s="37" t="s">
        <v>771</v>
      </c>
      <c r="F659" s="37">
        <v>20</v>
      </c>
      <c r="G659" s="37" t="s">
        <v>542</v>
      </c>
      <c r="H659" s="37" t="s">
        <v>928</v>
      </c>
      <c r="I659" s="38">
        <f t="shared" si="80"/>
        <v>21.6</v>
      </c>
      <c r="J659" s="38">
        <f t="shared" si="81"/>
        <v>8.0063675676502459</v>
      </c>
      <c r="K659" s="38">
        <f t="shared" si="82"/>
        <v>3.0726933146901194</v>
      </c>
      <c r="L659" s="39">
        <f t="shared" si="83"/>
        <v>4.6296296296296294E-2</v>
      </c>
      <c r="M659" s="39">
        <f t="shared" si="84"/>
        <v>2.5357525810424355</v>
      </c>
      <c r="N659" s="39">
        <f t="shared" si="85"/>
        <v>138.88888888888889</v>
      </c>
      <c r="O659" s="40">
        <f>1</f>
        <v>1</v>
      </c>
      <c r="P659" s="38">
        <f>INDEX(Cables!$AS:$AS,MATCH(B659,Cables!$A:$A,0))+INDEX(Cables!$AT:$AT,MATCH(B659,Cables!$A:$A,0))*SQRT(C659)+INDEX(Cables!$AU:$AU,MATCH(B659,Cables!$A:$A,0))*C659</f>
        <v>21.583200463002875</v>
      </c>
      <c r="Q659" s="41">
        <f t="shared" si="86"/>
        <v>-7.7775634245957903E-4</v>
      </c>
      <c r="R659" s="39">
        <f t="shared" si="87"/>
        <v>6.0490492823610197E-7</v>
      </c>
      <c r="S659" s="40" t="b">
        <f>IF(B659=B658,C659&gt;C658,COUNTIF(B$1:B658,B659)=0)</f>
        <v>1</v>
      </c>
      <c r="T659" s="37"/>
    </row>
    <row r="660" spans="1:20" x14ac:dyDescent="0.25">
      <c r="A660" s="37" t="s">
        <v>1395</v>
      </c>
      <c r="B660" s="37" t="s">
        <v>537</v>
      </c>
      <c r="C660" s="37">
        <v>4000</v>
      </c>
      <c r="D660" s="37">
        <v>25.6</v>
      </c>
      <c r="E660" s="37" t="s">
        <v>771</v>
      </c>
      <c r="F660" s="37">
        <v>20</v>
      </c>
      <c r="G660" s="37" t="s">
        <v>542</v>
      </c>
      <c r="H660" s="37" t="s">
        <v>928</v>
      </c>
      <c r="I660" s="38">
        <f t="shared" si="80"/>
        <v>25.6</v>
      </c>
      <c r="J660" s="38">
        <f t="shared" si="81"/>
        <v>8.2940496401020276</v>
      </c>
      <c r="K660" s="38">
        <f t="shared" si="82"/>
        <v>3.2425923514855168</v>
      </c>
      <c r="L660" s="39">
        <f t="shared" si="83"/>
        <v>3.90625E-2</v>
      </c>
      <c r="M660" s="39">
        <f t="shared" si="84"/>
        <v>2.4705294220065461</v>
      </c>
      <c r="N660" s="39">
        <f t="shared" si="85"/>
        <v>156.25</v>
      </c>
      <c r="O660" s="40">
        <f>1</f>
        <v>1</v>
      </c>
      <c r="P660" s="38">
        <f>INDEX(Cables!$AS:$AS,MATCH(B660,Cables!$A:$A,0))+INDEX(Cables!$AT:$AT,MATCH(B660,Cables!$A:$A,0))*SQRT(C660)+INDEX(Cables!$AU:$AU,MATCH(B660,Cables!$A:$A,0))*C660</f>
        <v>25.567791296844433</v>
      </c>
      <c r="Q660" s="41">
        <f t="shared" si="86"/>
        <v>-1.2581524670143285E-3</v>
      </c>
      <c r="R660" s="39">
        <f t="shared" si="87"/>
        <v>1.5829476302542409E-6</v>
      </c>
      <c r="S660" s="40" t="b">
        <f>IF(B660=B659,C660&gt;C659,COUNTIF(B$1:B659,B660)=0)</f>
        <v>1</v>
      </c>
      <c r="T660" s="37"/>
    </row>
    <row r="661" spans="1:20" x14ac:dyDescent="0.25">
      <c r="A661" s="37" t="s">
        <v>1396</v>
      </c>
      <c r="B661" s="37" t="s">
        <v>537</v>
      </c>
      <c r="C661" s="37">
        <v>5000</v>
      </c>
      <c r="D661" s="37">
        <v>29.2</v>
      </c>
      <c r="E661" s="37" t="s">
        <v>771</v>
      </c>
      <c r="F661" s="37">
        <v>20</v>
      </c>
      <c r="G661" s="37" t="s">
        <v>542</v>
      </c>
      <c r="H661" s="37" t="s">
        <v>928</v>
      </c>
      <c r="I661" s="38">
        <f t="shared" si="80"/>
        <v>29.2</v>
      </c>
      <c r="J661" s="38">
        <f t="shared" si="81"/>
        <v>8.5171931914162382</v>
      </c>
      <c r="K661" s="38">
        <f t="shared" si="82"/>
        <v>3.3741687092742358</v>
      </c>
      <c r="L661" s="39">
        <f t="shared" si="83"/>
        <v>3.4246575342465752E-2</v>
      </c>
      <c r="M661" s="39">
        <f t="shared" si="84"/>
        <v>2.4215985657073547</v>
      </c>
      <c r="N661" s="39">
        <f t="shared" si="85"/>
        <v>171.23287671232876</v>
      </c>
      <c r="O661" s="40">
        <f>1</f>
        <v>1</v>
      </c>
      <c r="P661" s="38">
        <f>INDEX(Cables!$AS:$AS,MATCH(B661,Cables!$A:$A,0))+INDEX(Cables!$AT:$AT,MATCH(B661,Cables!$A:$A,0))*SQRT(C661)+INDEX(Cables!$AU:$AU,MATCH(B661,Cables!$A:$A,0))*C661</f>
        <v>29.227125967131069</v>
      </c>
      <c r="Q661" s="41">
        <f t="shared" si="86"/>
        <v>9.2897147709147809E-4</v>
      </c>
      <c r="R661" s="39">
        <f t="shared" si="87"/>
        <v>8.6298800524952261E-7</v>
      </c>
      <c r="S661" s="40" t="b">
        <f>IF(B661=B660,C661&gt;C660,COUNTIF(B$1:B660,B661)=0)</f>
        <v>1</v>
      </c>
      <c r="T661" s="37"/>
    </row>
    <row r="662" spans="1:20" x14ac:dyDescent="0.25">
      <c r="A662" s="37" t="s">
        <v>1397</v>
      </c>
      <c r="B662" s="37" t="s">
        <v>537</v>
      </c>
      <c r="C662" s="37">
        <v>6000</v>
      </c>
      <c r="D662" s="37">
        <v>32.799999999999997</v>
      </c>
      <c r="E662" s="37" t="s">
        <v>771</v>
      </c>
      <c r="F662" s="37">
        <v>20</v>
      </c>
      <c r="G662" s="37" t="s">
        <v>542</v>
      </c>
      <c r="H662" s="37" t="s">
        <v>928</v>
      </c>
      <c r="I662" s="38">
        <f t="shared" si="80"/>
        <v>32.799999999999997</v>
      </c>
      <c r="J662" s="38">
        <f t="shared" si="81"/>
        <v>8.6995147482101913</v>
      </c>
      <c r="K662" s="38">
        <f t="shared" si="82"/>
        <v>3.4904285153900978</v>
      </c>
      <c r="L662" s="39">
        <f t="shared" si="83"/>
        <v>3.0487804878048783E-2</v>
      </c>
      <c r="M662" s="39">
        <f t="shared" si="84"/>
        <v>2.3615752111020836</v>
      </c>
      <c r="N662" s="39">
        <f t="shared" si="85"/>
        <v>182.92682926829269</v>
      </c>
      <c r="O662" s="40">
        <f>1</f>
        <v>1</v>
      </c>
      <c r="P662" s="38">
        <f>INDEX(Cables!$AS:$AS,MATCH(B662,Cables!$A:$A,0))+INDEX(Cables!$AT:$AT,MATCH(B662,Cables!$A:$A,0))*SQRT(C662)+INDEX(Cables!$AU:$AU,MATCH(B662,Cables!$A:$A,0))*C662</f>
        <v>32.655421132793364</v>
      </c>
      <c r="Q662" s="41">
        <f t="shared" si="86"/>
        <v>-4.4078922928851849E-3</v>
      </c>
      <c r="R662" s="39">
        <f t="shared" si="87"/>
        <v>1.9429514465676613E-5</v>
      </c>
      <c r="S662" s="40" t="b">
        <f>IF(B662=B661,C662&gt;C661,COUNTIF(B$1:B661,B662)=0)</f>
        <v>1</v>
      </c>
      <c r="T662" s="37"/>
    </row>
    <row r="663" spans="1:20" x14ac:dyDescent="0.25">
      <c r="A663" s="37" t="s">
        <v>1398</v>
      </c>
      <c r="B663" s="37" t="s">
        <v>537</v>
      </c>
      <c r="C663" s="37">
        <v>7000</v>
      </c>
      <c r="D663" s="37">
        <v>35.6</v>
      </c>
      <c r="E663" s="37" t="s">
        <v>771</v>
      </c>
      <c r="F663" s="37">
        <v>20</v>
      </c>
      <c r="G663" s="37" t="s">
        <v>542</v>
      </c>
      <c r="H663" s="37" t="s">
        <v>928</v>
      </c>
      <c r="I663" s="38">
        <f t="shared" si="80"/>
        <v>35.6</v>
      </c>
      <c r="J663" s="38">
        <f t="shared" si="81"/>
        <v>8.8536654280374503</v>
      </c>
      <c r="K663" s="38">
        <f t="shared" si="82"/>
        <v>3.572345637857985</v>
      </c>
      <c r="L663" s="39">
        <f t="shared" si="83"/>
        <v>2.8089887640449437E-2</v>
      </c>
      <c r="M663" s="39">
        <f t="shared" si="84"/>
        <v>2.3501686138597626</v>
      </c>
      <c r="N663" s="39">
        <f t="shared" si="85"/>
        <v>196.62921348314606</v>
      </c>
      <c r="O663" s="40">
        <f>1</f>
        <v>1</v>
      </c>
      <c r="P663" s="38">
        <f>INDEX(Cables!$AS:$AS,MATCH(B663,Cables!$A:$A,0))+INDEX(Cables!$AT:$AT,MATCH(B663,Cables!$A:$A,0))*SQRT(C663)+INDEX(Cables!$AU:$AU,MATCH(B663,Cables!$A:$A,0))*C663</f>
        <v>35.908645810874475</v>
      </c>
      <c r="Q663" s="41">
        <f t="shared" si="86"/>
        <v>8.6698261481594763E-3</v>
      </c>
      <c r="R663" s="39">
        <f t="shared" si="87"/>
        <v>7.5165885439309779E-5</v>
      </c>
      <c r="S663" s="40" t="b">
        <f>IF(B663=B662,C663&gt;C662,COUNTIF(B$1:B662,B663)=0)</f>
        <v>1</v>
      </c>
      <c r="T663" s="37"/>
    </row>
    <row r="664" spans="1:20" x14ac:dyDescent="0.25">
      <c r="A664" s="37" t="s">
        <v>1399</v>
      </c>
      <c r="B664" s="37" t="s">
        <v>537</v>
      </c>
      <c r="C664" s="37">
        <v>8000</v>
      </c>
      <c r="D664" s="37">
        <v>38.6</v>
      </c>
      <c r="E664" s="37" t="s">
        <v>771</v>
      </c>
      <c r="F664" s="37">
        <v>20</v>
      </c>
      <c r="G664" s="37" t="s">
        <v>542</v>
      </c>
      <c r="H664" s="37" t="s">
        <v>928</v>
      </c>
      <c r="I664" s="38">
        <f t="shared" si="80"/>
        <v>38.6</v>
      </c>
      <c r="J664" s="38">
        <f t="shared" si="81"/>
        <v>8.987196820661973</v>
      </c>
      <c r="K664" s="38">
        <f t="shared" si="82"/>
        <v>3.6532522764707851</v>
      </c>
      <c r="L664" s="39">
        <f t="shared" si="83"/>
        <v>2.5906735751295335E-2</v>
      </c>
      <c r="M664" s="39">
        <f t="shared" si="84"/>
        <v>2.3171688886008184</v>
      </c>
      <c r="N664" s="39">
        <f t="shared" si="85"/>
        <v>207.25388601036269</v>
      </c>
      <c r="O664" s="40">
        <f>1</f>
        <v>1</v>
      </c>
      <c r="P664" s="38">
        <f>INDEX(Cables!$AS:$AS,MATCH(B664,Cables!$A:$A,0))+INDEX(Cables!$AT:$AT,MATCH(B664,Cables!$A:$A,0))*SQRT(C664)+INDEX(Cables!$AU:$AU,MATCH(B664,Cables!$A:$A,0))*C664</f>
        <v>39.023266912220777</v>
      </c>
      <c r="Q664" s="41">
        <f t="shared" si="86"/>
        <v>1.0965464047170359E-2</v>
      </c>
      <c r="R664" s="39">
        <f t="shared" si="87"/>
        <v>1.2024140176978575E-4</v>
      </c>
      <c r="S664" s="40" t="b">
        <f>IF(B664=B663,C664&gt;C663,COUNTIF(B$1:B663,B664)=0)</f>
        <v>1</v>
      </c>
      <c r="T664" s="37"/>
    </row>
    <row r="665" spans="1:20" x14ac:dyDescent="0.25">
      <c r="A665" s="37" t="s">
        <v>1400</v>
      </c>
      <c r="B665" s="37" t="s">
        <v>537</v>
      </c>
      <c r="C665" s="37">
        <v>10000</v>
      </c>
      <c r="D665" s="37">
        <v>44.6</v>
      </c>
      <c r="E665" s="37" t="s">
        <v>771</v>
      </c>
      <c r="F665" s="37">
        <v>20</v>
      </c>
      <c r="G665" s="37" t="s">
        <v>542</v>
      </c>
      <c r="H665" s="37" t="s">
        <v>928</v>
      </c>
      <c r="I665" s="38">
        <f t="shared" si="80"/>
        <v>44.6</v>
      </c>
      <c r="J665" s="38">
        <f t="shared" si="81"/>
        <v>9.2103403719761836</v>
      </c>
      <c r="K665" s="38">
        <f t="shared" si="82"/>
        <v>3.7977338590260183</v>
      </c>
      <c r="L665" s="39">
        <f t="shared" si="83"/>
        <v>2.2421524663677129E-2</v>
      </c>
      <c r="M665" s="39">
        <f t="shared" si="84"/>
        <v>2.2421524663677128</v>
      </c>
      <c r="N665" s="39">
        <f t="shared" si="85"/>
        <v>224.2152466367713</v>
      </c>
      <c r="O665" s="40">
        <f>1</f>
        <v>1</v>
      </c>
      <c r="P665" s="38">
        <f>INDEX(Cables!$AS:$AS,MATCH(B665,Cables!$A:$A,0))+INDEX(Cables!$AT:$AT,MATCH(B665,Cables!$A:$A,0))*SQRT(C665)+INDEX(Cables!$AU:$AU,MATCH(B665,Cables!$A:$A,0))*C665</f>
        <v>44.931131013903368</v>
      </c>
      <c r="Q665" s="41">
        <f t="shared" si="86"/>
        <v>7.4244621951427003E-3</v>
      </c>
      <c r="R665" s="39">
        <f t="shared" si="87"/>
        <v>5.5122638887103166E-5</v>
      </c>
      <c r="S665" s="40" t="b">
        <f>IF(B665=B664,C665&gt;C664,COUNTIF(B$1:B664,B665)=0)</f>
        <v>1</v>
      </c>
      <c r="T665" s="37"/>
    </row>
    <row r="666" spans="1:20" x14ac:dyDescent="0.25">
      <c r="A666" s="37" t="s">
        <v>1401</v>
      </c>
      <c r="B666" s="37" t="s">
        <v>537</v>
      </c>
      <c r="C666" s="37">
        <v>12000</v>
      </c>
      <c r="D666" s="37">
        <v>50.2</v>
      </c>
      <c r="E666" s="37" t="s">
        <v>771</v>
      </c>
      <c r="F666" s="37">
        <v>20</v>
      </c>
      <c r="G666" s="37" t="s">
        <v>542</v>
      </c>
      <c r="H666" s="37" t="s">
        <v>928</v>
      </c>
      <c r="I666" s="38">
        <f t="shared" si="80"/>
        <v>50.2</v>
      </c>
      <c r="J666" s="38">
        <f t="shared" si="81"/>
        <v>9.3926619287701367</v>
      </c>
      <c r="K666" s="38">
        <f t="shared" si="82"/>
        <v>3.9160150266976834</v>
      </c>
      <c r="L666" s="39">
        <f t="shared" si="83"/>
        <v>1.9920318725099601E-2</v>
      </c>
      <c r="M666" s="39">
        <f t="shared" si="84"/>
        <v>2.1821615836859207</v>
      </c>
      <c r="N666" s="39">
        <f t="shared" si="85"/>
        <v>239.04382470119521</v>
      </c>
      <c r="O666" s="40">
        <f>1</f>
        <v>1</v>
      </c>
      <c r="P666" s="38">
        <f>INDEX(Cables!$AS:$AS,MATCH(B666,Cables!$A:$A,0))+INDEX(Cables!$AT:$AT,MATCH(B666,Cables!$A:$A,0))*SQRT(C666)+INDEX(Cables!$AU:$AU,MATCH(B666,Cables!$A:$A,0))*C666</f>
        <v>50.512255914702273</v>
      </c>
      <c r="Q666" s="41">
        <f t="shared" si="86"/>
        <v>6.2202373446667014E-3</v>
      </c>
      <c r="R666" s="39">
        <f t="shared" si="87"/>
        <v>3.8691352623986257E-5</v>
      </c>
      <c r="S666" s="40" t="b">
        <f>IF(B666=B665,C666&gt;C665,COUNTIF(B$1:B665,B666)=0)</f>
        <v>1</v>
      </c>
      <c r="T666" s="37"/>
    </row>
    <row r="667" spans="1:20" x14ac:dyDescent="0.25">
      <c r="A667" s="37" t="s">
        <v>1402</v>
      </c>
      <c r="B667" s="37" t="s">
        <v>543</v>
      </c>
      <c r="C667" s="37">
        <v>10</v>
      </c>
      <c r="D667" s="37">
        <v>0.9</v>
      </c>
      <c r="E667" s="37" t="s">
        <v>771</v>
      </c>
      <c r="F667" s="37"/>
      <c r="G667" s="37" t="s">
        <v>550</v>
      </c>
      <c r="H667" s="37" t="s">
        <v>1403</v>
      </c>
      <c r="I667" s="38">
        <f t="shared" si="80"/>
        <v>0.9</v>
      </c>
      <c r="J667" s="38">
        <f t="shared" si="81"/>
        <v>2.3025850929940459</v>
      </c>
      <c r="K667" s="38">
        <f t="shared" si="82"/>
        <v>-0.10536051565782628</v>
      </c>
      <c r="L667" s="39">
        <f t="shared" si="83"/>
        <v>1.1111111111111112</v>
      </c>
      <c r="M667" s="39">
        <f t="shared" si="84"/>
        <v>3.5136418446315325</v>
      </c>
      <c r="N667" s="39">
        <f t="shared" si="85"/>
        <v>11.111111111111111</v>
      </c>
      <c r="O667" s="40">
        <f>1</f>
        <v>1</v>
      </c>
      <c r="P667" s="38">
        <f>INDEX(Cables!$AS:$AS,MATCH(B667,Cables!$A:$A,0))+INDEX(Cables!$AT:$AT,MATCH(B667,Cables!$A:$A,0))*SQRT(C667)+INDEX(Cables!$AU:$AU,MATCH(B667,Cables!$A:$A,0))*C667</f>
        <v>0.90952744377997397</v>
      </c>
      <c r="Q667" s="41">
        <f t="shared" si="86"/>
        <v>1.0586048644415591E-2</v>
      </c>
      <c r="R667" s="39">
        <f t="shared" si="87"/>
        <v>1.1206442590193318E-4</v>
      </c>
      <c r="S667" s="40" t="b">
        <f>IF(B667=B666,C667&gt;C666,COUNTIF(B$1:B666,B667)=0)</f>
        <v>1</v>
      </c>
      <c r="T667" s="37"/>
    </row>
    <row r="668" spans="1:20" x14ac:dyDescent="0.25">
      <c r="A668" s="37" t="s">
        <v>1404</v>
      </c>
      <c r="B668" s="37" t="s">
        <v>543</v>
      </c>
      <c r="C668" s="37">
        <v>30</v>
      </c>
      <c r="D668" s="37">
        <v>1.7</v>
      </c>
      <c r="E668" s="37" t="s">
        <v>771</v>
      </c>
      <c r="F668" s="37"/>
      <c r="G668" s="37" t="s">
        <v>550</v>
      </c>
      <c r="H668" s="37" t="s">
        <v>1403</v>
      </c>
      <c r="I668" s="38">
        <f t="shared" si="80"/>
        <v>1.7</v>
      </c>
      <c r="J668" s="38">
        <f t="shared" si="81"/>
        <v>3.4011973816621555</v>
      </c>
      <c r="K668" s="38">
        <f t="shared" si="82"/>
        <v>0.53062825106217038</v>
      </c>
      <c r="L668" s="39">
        <f t="shared" si="83"/>
        <v>0.58823529411764708</v>
      </c>
      <c r="M668" s="39">
        <f t="shared" si="84"/>
        <v>3.2218973970892124</v>
      </c>
      <c r="N668" s="39">
        <f t="shared" si="85"/>
        <v>17.647058823529413</v>
      </c>
      <c r="O668" s="40">
        <f>1</f>
        <v>1</v>
      </c>
      <c r="P668" s="38">
        <f>INDEX(Cables!$AS:$AS,MATCH(B668,Cables!$A:$A,0))+INDEX(Cables!$AT:$AT,MATCH(B668,Cables!$A:$A,0))*SQRT(C668)+INDEX(Cables!$AU:$AU,MATCH(B668,Cables!$A:$A,0))*C668</f>
        <v>1.7517153754658572</v>
      </c>
      <c r="Q668" s="41">
        <f t="shared" si="86"/>
        <v>3.0420809097563062E-2</v>
      </c>
      <c r="R668" s="39">
        <f t="shared" si="87"/>
        <v>9.2542562615037559E-4</v>
      </c>
      <c r="S668" s="40" t="b">
        <f>IF(B668=B667,C668&gt;C667,COUNTIF(B$1:B667,B668)=0)</f>
        <v>1</v>
      </c>
      <c r="T668" s="37"/>
    </row>
    <row r="669" spans="1:20" x14ac:dyDescent="0.25">
      <c r="A669" s="37" t="s">
        <v>1405</v>
      </c>
      <c r="B669" s="37" t="s">
        <v>543</v>
      </c>
      <c r="C669" s="37">
        <v>50</v>
      </c>
      <c r="D669" s="37">
        <v>2.7</v>
      </c>
      <c r="E669" s="37" t="s">
        <v>771</v>
      </c>
      <c r="F669" s="37"/>
      <c r="G669" s="37" t="s">
        <v>550</v>
      </c>
      <c r="H669" s="37" t="s">
        <v>1403</v>
      </c>
      <c r="I669" s="38">
        <f t="shared" si="80"/>
        <v>2.7</v>
      </c>
      <c r="J669" s="38">
        <f t="shared" si="81"/>
        <v>3.912023005428146</v>
      </c>
      <c r="K669" s="38">
        <f t="shared" si="82"/>
        <v>0.99325177301028345</v>
      </c>
      <c r="L669" s="39">
        <f t="shared" si="83"/>
        <v>0.37037037037037035</v>
      </c>
      <c r="M669" s="39">
        <f t="shared" si="84"/>
        <v>2.6189140043946204</v>
      </c>
      <c r="N669" s="39">
        <f t="shared" si="85"/>
        <v>18.518518518518519</v>
      </c>
      <c r="O669" s="40">
        <f>1</f>
        <v>1</v>
      </c>
      <c r="P669" s="38">
        <f>INDEX(Cables!$AS:$AS,MATCH(B669,Cables!$A:$A,0))+INDEX(Cables!$AT:$AT,MATCH(B669,Cables!$A:$A,0))*SQRT(C669)+INDEX(Cables!$AU:$AU,MATCH(B669,Cables!$A:$A,0))*C669</f>
        <v>2.3462919863659151</v>
      </c>
      <c r="Q669" s="41">
        <f t="shared" si="86"/>
        <v>-0.13100296801262412</v>
      </c>
      <c r="R669" s="39">
        <f t="shared" si="87"/>
        <v>1.7161777628116617E-2</v>
      </c>
      <c r="S669" s="40" t="b">
        <f>IF(B669=B668,C669&gt;C668,COUNTIF(B$1:B668,B669)=0)</f>
        <v>1</v>
      </c>
      <c r="T669" s="37"/>
    </row>
    <row r="670" spans="1:20" x14ac:dyDescent="0.25">
      <c r="A670" s="37" t="s">
        <v>1406</v>
      </c>
      <c r="B670" s="37" t="s">
        <v>543</v>
      </c>
      <c r="C670" s="37">
        <v>100</v>
      </c>
      <c r="D670" s="37">
        <v>3.2</v>
      </c>
      <c r="E670" s="37" t="s">
        <v>771</v>
      </c>
      <c r="F670" s="37"/>
      <c r="G670" s="37" t="s">
        <v>550</v>
      </c>
      <c r="H670" s="37" t="s">
        <v>1403</v>
      </c>
      <c r="I670" s="38">
        <f t="shared" si="80"/>
        <v>3.2</v>
      </c>
      <c r="J670" s="38">
        <f t="shared" si="81"/>
        <v>4.6051701859880918</v>
      </c>
      <c r="K670" s="38">
        <f t="shared" si="82"/>
        <v>1.1631508098056809</v>
      </c>
      <c r="L670" s="39">
        <f t="shared" si="83"/>
        <v>0.3125</v>
      </c>
      <c r="M670" s="39">
        <f t="shared" si="84"/>
        <v>3.125</v>
      </c>
      <c r="N670" s="39">
        <f t="shared" si="85"/>
        <v>31.25</v>
      </c>
      <c r="O670" s="40">
        <f>1</f>
        <v>1</v>
      </c>
      <c r="P670" s="38">
        <f>INDEX(Cables!$AS:$AS,MATCH(B670,Cables!$A:$A,0))+INDEX(Cables!$AT:$AT,MATCH(B670,Cables!$A:$A,0))*SQRT(C670)+INDEX(Cables!$AU:$AU,MATCH(B670,Cables!$A:$A,0))*C670</f>
        <v>3.4702392304508547</v>
      </c>
      <c r="Q670" s="41">
        <f t="shared" si="86"/>
        <v>8.4449759515891953E-2</v>
      </c>
      <c r="R670" s="39">
        <f t="shared" si="87"/>
        <v>7.1317618822919837E-3</v>
      </c>
      <c r="S670" s="40" t="b">
        <f>IF(B670=B669,C670&gt;C669,COUNTIF(B$1:B669,B670)=0)</f>
        <v>1</v>
      </c>
      <c r="T670" s="37"/>
    </row>
    <row r="671" spans="1:20" x14ac:dyDescent="0.25">
      <c r="A671" s="37" t="s">
        <v>1407</v>
      </c>
      <c r="B671" s="37" t="s">
        <v>543</v>
      </c>
      <c r="C671" s="37">
        <v>144</v>
      </c>
      <c r="D671" s="37">
        <v>4.5</v>
      </c>
      <c r="E671" s="37" t="s">
        <v>771</v>
      </c>
      <c r="F671" s="37"/>
      <c r="G671" s="37" t="s">
        <v>550</v>
      </c>
      <c r="H671" s="37" t="s">
        <v>1403</v>
      </c>
      <c r="I671" s="38">
        <f t="shared" si="80"/>
        <v>4.5</v>
      </c>
      <c r="J671" s="38">
        <f t="shared" si="81"/>
        <v>4.9698132995760007</v>
      </c>
      <c r="K671" s="38">
        <f t="shared" si="82"/>
        <v>1.5040773967762742</v>
      </c>
      <c r="L671" s="39">
        <f t="shared" si="83"/>
        <v>0.22222222222222221</v>
      </c>
      <c r="M671" s="39">
        <f t="shared" si="84"/>
        <v>2.6666666666666665</v>
      </c>
      <c r="N671" s="39">
        <f t="shared" si="85"/>
        <v>32</v>
      </c>
      <c r="O671" s="40">
        <f>1</f>
        <v>1</v>
      </c>
      <c r="P671" s="38">
        <f>INDEX(Cables!$AS:$AS,MATCH(B671,Cables!$A:$A,0))+INDEX(Cables!$AT:$AT,MATCH(B671,Cables!$A:$A,0))*SQRT(C671)+INDEX(Cables!$AU:$AU,MATCH(B671,Cables!$A:$A,0))*C671</f>
        <v>4.2610260377696862</v>
      </c>
      <c r="Q671" s="41">
        <f t="shared" si="86"/>
        <v>-5.3105324940069698E-2</v>
      </c>
      <c r="R671" s="39">
        <f t="shared" si="87"/>
        <v>2.8201755369903886E-3</v>
      </c>
      <c r="S671" s="40" t="b">
        <f>IF(B671=B670,C671&gt;C670,COUNTIF(B$1:B670,B671)=0)</f>
        <v>1</v>
      </c>
      <c r="T671" s="37"/>
    </row>
    <row r="672" spans="1:20" x14ac:dyDescent="0.25">
      <c r="A672" s="37" t="s">
        <v>1408</v>
      </c>
      <c r="B672" s="37" t="s">
        <v>543</v>
      </c>
      <c r="C672" s="37">
        <v>200</v>
      </c>
      <c r="D672" s="37">
        <v>5.4</v>
      </c>
      <c r="E672" s="37" t="s">
        <v>771</v>
      </c>
      <c r="F672" s="37"/>
      <c r="G672" s="37" t="s">
        <v>550</v>
      </c>
      <c r="H672" s="37" t="s">
        <v>1403</v>
      </c>
      <c r="I672" s="38">
        <f t="shared" si="80"/>
        <v>5.4</v>
      </c>
      <c r="J672" s="38">
        <f t="shared" si="81"/>
        <v>5.2983173665480363</v>
      </c>
      <c r="K672" s="38">
        <f t="shared" si="82"/>
        <v>1.6863989535702288</v>
      </c>
      <c r="L672" s="39">
        <f t="shared" si="83"/>
        <v>0.18518518518518517</v>
      </c>
      <c r="M672" s="39">
        <f t="shared" si="84"/>
        <v>2.6189140043946204</v>
      </c>
      <c r="N672" s="39">
        <f t="shared" si="85"/>
        <v>37.037037037037038</v>
      </c>
      <c r="O672" s="40">
        <f>1</f>
        <v>1</v>
      </c>
      <c r="P672" s="38">
        <f>INDEX(Cables!$AS:$AS,MATCH(B672,Cables!$A:$A,0))+INDEX(Cables!$AT:$AT,MATCH(B672,Cables!$A:$A,0))*SQRT(C672)+INDEX(Cables!$AU:$AU,MATCH(B672,Cables!$A:$A,0))*C672</f>
        <v>5.1289914119569833</v>
      </c>
      <c r="Q672" s="41">
        <f t="shared" si="86"/>
        <v>-5.0186775563521691E-2</v>
      </c>
      <c r="R672" s="39">
        <f t="shared" si="87"/>
        <v>2.518712441463298E-3</v>
      </c>
      <c r="S672" s="40" t="b">
        <f>IF(B672=B671,C672&gt;C671,COUNTIF(B$1:B671,B672)=0)</f>
        <v>1</v>
      </c>
      <c r="T672" s="37"/>
    </row>
    <row r="673" spans="1:20" x14ac:dyDescent="0.25">
      <c r="A673" s="37" t="s">
        <v>1409</v>
      </c>
      <c r="B673" s="37" t="s">
        <v>543</v>
      </c>
      <c r="C673" s="37">
        <v>400</v>
      </c>
      <c r="D673" s="37">
        <v>7.2</v>
      </c>
      <c r="E673" s="37" t="s">
        <v>771</v>
      </c>
      <c r="F673" s="37"/>
      <c r="G673" s="37" t="s">
        <v>550</v>
      </c>
      <c r="H673" s="37" t="s">
        <v>1403</v>
      </c>
      <c r="I673" s="38">
        <f t="shared" si="80"/>
        <v>7.2</v>
      </c>
      <c r="J673" s="38">
        <f t="shared" si="81"/>
        <v>5.9914645471079817</v>
      </c>
      <c r="K673" s="38">
        <f t="shared" si="82"/>
        <v>1.9740810260220096</v>
      </c>
      <c r="L673" s="39">
        <f t="shared" si="83"/>
        <v>0.1388888888888889</v>
      </c>
      <c r="M673" s="39">
        <f t="shared" si="84"/>
        <v>2.7777777777777777</v>
      </c>
      <c r="N673" s="39">
        <f t="shared" si="85"/>
        <v>55.555555555555557</v>
      </c>
      <c r="O673" s="40">
        <f>1</f>
        <v>1</v>
      </c>
      <c r="P673" s="38">
        <f>INDEX(Cables!$AS:$AS,MATCH(B673,Cables!$A:$A,0))+INDEX(Cables!$AT:$AT,MATCH(B673,Cables!$A:$A,0))*SQRT(C673)+INDEX(Cables!$AU:$AU,MATCH(B673,Cables!$A:$A,0))*C673</f>
        <v>7.61332273471759</v>
      </c>
      <c r="Q673" s="41">
        <f t="shared" si="86"/>
        <v>5.7405935377442985E-2</v>
      </c>
      <c r="R673" s="39">
        <f t="shared" si="87"/>
        <v>3.2954414165591601E-3</v>
      </c>
      <c r="S673" s="40" t="b">
        <f>IF(B673=B672,C673&gt;C672,COUNTIF(B$1:B672,B673)=0)</f>
        <v>1</v>
      </c>
      <c r="T673" s="37"/>
    </row>
    <row r="674" spans="1:20" x14ac:dyDescent="0.25">
      <c r="A674" s="37" t="s">
        <v>1410</v>
      </c>
      <c r="B674" s="37" t="s">
        <v>543</v>
      </c>
      <c r="C674" s="37">
        <v>432</v>
      </c>
      <c r="D674" s="37">
        <v>7.5</v>
      </c>
      <c r="E674" s="37" t="s">
        <v>771</v>
      </c>
      <c r="F674" s="37"/>
      <c r="G674" s="37" t="s">
        <v>550</v>
      </c>
      <c r="H674" s="37" t="s">
        <v>1403</v>
      </c>
      <c r="I674" s="38">
        <f t="shared" si="80"/>
        <v>7.5</v>
      </c>
      <c r="J674" s="38">
        <f t="shared" si="81"/>
        <v>6.0684255882441107</v>
      </c>
      <c r="K674" s="38">
        <f t="shared" si="82"/>
        <v>2.0149030205422647</v>
      </c>
      <c r="L674" s="39">
        <f t="shared" si="83"/>
        <v>0.13333333333333333</v>
      </c>
      <c r="M674" s="39">
        <f t="shared" si="84"/>
        <v>2.7712812921102037</v>
      </c>
      <c r="N674" s="39">
        <f t="shared" si="85"/>
        <v>57.6</v>
      </c>
      <c r="O674" s="40">
        <f>1</f>
        <v>1</v>
      </c>
      <c r="P674" s="38">
        <f>INDEX(Cables!$AS:$AS,MATCH(B674,Cables!$A:$A,0))+INDEX(Cables!$AT:$AT,MATCH(B674,Cables!$A:$A,0))*SQRT(C674)+INDEX(Cables!$AU:$AU,MATCH(B674,Cables!$A:$A,0))*C674</f>
        <v>7.9583996790152742</v>
      </c>
      <c r="Q674" s="41">
        <f t="shared" si="86"/>
        <v>6.1119957202036668E-2</v>
      </c>
      <c r="R674" s="39">
        <f t="shared" si="87"/>
        <v>3.7356491683787937E-3</v>
      </c>
      <c r="S674" s="40" t="b">
        <f>IF(B674=B673,C674&gt;C673,COUNTIF(B$1:B673,B674)=0)</f>
        <v>1</v>
      </c>
      <c r="T674" s="37"/>
    </row>
    <row r="675" spans="1:20" x14ac:dyDescent="0.25">
      <c r="A675" s="37" t="s">
        <v>1411</v>
      </c>
      <c r="B675" s="37" t="s">
        <v>543</v>
      </c>
      <c r="C675" s="37">
        <v>1000</v>
      </c>
      <c r="D675" s="37">
        <v>13</v>
      </c>
      <c r="E675" s="37" t="s">
        <v>771</v>
      </c>
      <c r="F675" s="37"/>
      <c r="G675" s="37" t="s">
        <v>550</v>
      </c>
      <c r="H675" s="37" t="s">
        <v>1403</v>
      </c>
      <c r="I675" s="38">
        <f t="shared" si="80"/>
        <v>13</v>
      </c>
      <c r="J675" s="38">
        <f t="shared" si="81"/>
        <v>6.9077552789821368</v>
      </c>
      <c r="K675" s="38">
        <f t="shared" si="82"/>
        <v>2.5649493574615367</v>
      </c>
      <c r="L675" s="39">
        <f t="shared" si="83"/>
        <v>7.6923076923076927E-2</v>
      </c>
      <c r="M675" s="39">
        <f t="shared" si="84"/>
        <v>2.4325212770525995</v>
      </c>
      <c r="N675" s="39">
        <f t="shared" si="85"/>
        <v>76.92307692307692</v>
      </c>
      <c r="O675" s="40">
        <f>1</f>
        <v>1</v>
      </c>
      <c r="P675" s="38">
        <f>INDEX(Cables!$AS:$AS,MATCH(B675,Cables!$A:$A,0))+INDEX(Cables!$AT:$AT,MATCH(B675,Cables!$A:$A,0))*SQRT(C675)+INDEX(Cables!$AU:$AU,MATCH(B675,Cables!$A:$A,0))*C675</f>
        <v>13.022941390826119</v>
      </c>
      <c r="Q675" s="41">
        <f t="shared" si="86"/>
        <v>1.7647223712400351E-3</v>
      </c>
      <c r="R675" s="39">
        <f t="shared" si="87"/>
        <v>3.114245047555052E-6</v>
      </c>
      <c r="S675" s="40" t="b">
        <f>IF(B675=B674,C675&gt;C674,COUNTIF(B$1:B674,B675)=0)</f>
        <v>1</v>
      </c>
      <c r="T675" s="37"/>
    </row>
    <row r="676" spans="1:20" x14ac:dyDescent="0.25">
      <c r="A676" s="37" t="s">
        <v>1412</v>
      </c>
      <c r="B676" s="37" t="s">
        <v>543</v>
      </c>
      <c r="C676" s="37">
        <v>1296</v>
      </c>
      <c r="D676" s="37">
        <v>15</v>
      </c>
      <c r="E676" s="37" t="s">
        <v>771</v>
      </c>
      <c r="F676" s="37"/>
      <c r="G676" s="37" t="s">
        <v>550</v>
      </c>
      <c r="H676" s="37" t="s">
        <v>1403</v>
      </c>
      <c r="I676" s="38">
        <f t="shared" si="80"/>
        <v>15</v>
      </c>
      <c r="J676" s="38">
        <f t="shared" si="81"/>
        <v>7.1670378769122198</v>
      </c>
      <c r="K676" s="38">
        <f t="shared" si="82"/>
        <v>2.7080502011022101</v>
      </c>
      <c r="L676" s="39">
        <f t="shared" si="83"/>
        <v>6.6666666666666666E-2</v>
      </c>
      <c r="M676" s="39">
        <f t="shared" si="84"/>
        <v>2.4</v>
      </c>
      <c r="N676" s="39">
        <f t="shared" si="85"/>
        <v>86.4</v>
      </c>
      <c r="O676" s="40">
        <f>1</f>
        <v>1</v>
      </c>
      <c r="P676" s="38">
        <f>INDEX(Cables!$AS:$AS,MATCH(B676,Cables!$A:$A,0))+INDEX(Cables!$AT:$AT,MATCH(B676,Cables!$A:$A,0))*SQRT(C676)+INDEX(Cables!$AU:$AU,MATCH(B676,Cables!$A:$A,0))*C676</f>
        <v>15.225833573441792</v>
      </c>
      <c r="Q676" s="41">
        <f t="shared" si="86"/>
        <v>1.505557156278603E-2</v>
      </c>
      <c r="R676" s="39">
        <f t="shared" si="87"/>
        <v>2.2667023508217136E-4</v>
      </c>
      <c r="S676" s="40" t="b">
        <f>IF(B676=B675,C676&gt;C675,COUNTIF(B$1:B675,B676)=0)</f>
        <v>1</v>
      </c>
      <c r="T676" s="37"/>
    </row>
    <row r="677" spans="1:20" x14ac:dyDescent="0.25">
      <c r="A677" s="37" t="s">
        <v>1413</v>
      </c>
      <c r="B677" s="37" t="s">
        <v>543</v>
      </c>
      <c r="C677" s="37">
        <v>2000</v>
      </c>
      <c r="D677" s="37">
        <v>21</v>
      </c>
      <c r="E677" s="37" t="s">
        <v>771</v>
      </c>
      <c r="F677" s="37"/>
      <c r="G677" s="37" t="s">
        <v>550</v>
      </c>
      <c r="H677" s="37" t="s">
        <v>1403</v>
      </c>
      <c r="I677" s="38">
        <f t="shared" si="80"/>
        <v>21</v>
      </c>
      <c r="J677" s="38">
        <f t="shared" si="81"/>
        <v>7.6009024595420822</v>
      </c>
      <c r="K677" s="38">
        <f t="shared" si="82"/>
        <v>3.044522437723423</v>
      </c>
      <c r="L677" s="39">
        <f t="shared" si="83"/>
        <v>4.7619047619047616E-2</v>
      </c>
      <c r="M677" s="39">
        <f t="shared" si="84"/>
        <v>2.1295885499998</v>
      </c>
      <c r="N677" s="39">
        <f t="shared" si="85"/>
        <v>95.238095238095241</v>
      </c>
      <c r="O677" s="40">
        <f>1</f>
        <v>1</v>
      </c>
      <c r="P677" s="38">
        <f>INDEX(Cables!$AS:$AS,MATCH(B677,Cables!$A:$A,0))+INDEX(Cables!$AT:$AT,MATCH(B677,Cables!$A:$A,0))*SQRT(C677)+INDEX(Cables!$AU:$AU,MATCH(B677,Cables!$A:$A,0))*C677</f>
        <v>19.885065783998602</v>
      </c>
      <c r="Q677" s="41">
        <f t="shared" si="86"/>
        <v>-5.309210552387611E-2</v>
      </c>
      <c r="R677" s="39">
        <f t="shared" si="87"/>
        <v>2.8187716689583959E-3</v>
      </c>
      <c r="S677" s="40" t="b">
        <f>IF(B677=B676,C677&gt;C676,COUNTIF(B$1:B676,B677)=0)</f>
        <v>1</v>
      </c>
      <c r="T677" s="37"/>
    </row>
    <row r="678" spans="1:20" x14ac:dyDescent="0.25">
      <c r="A678" s="37" t="s">
        <v>1414</v>
      </c>
      <c r="B678" s="37" t="s">
        <v>543</v>
      </c>
      <c r="C678" s="37">
        <v>3000</v>
      </c>
      <c r="D678" s="37">
        <v>27.8</v>
      </c>
      <c r="E678" s="37" t="s">
        <v>771</v>
      </c>
      <c r="F678" s="37"/>
      <c r="G678" s="37" t="s">
        <v>550</v>
      </c>
      <c r="H678" s="37" t="s">
        <v>1403</v>
      </c>
      <c r="I678" s="38">
        <f t="shared" si="80"/>
        <v>27.8</v>
      </c>
      <c r="J678" s="38">
        <f t="shared" si="81"/>
        <v>8.0063675676502459</v>
      </c>
      <c r="K678" s="38">
        <f t="shared" si="82"/>
        <v>3.3250360206965914</v>
      </c>
      <c r="L678" s="39">
        <f t="shared" si="83"/>
        <v>3.5971223021582732E-2</v>
      </c>
      <c r="M678" s="39">
        <f t="shared" si="84"/>
        <v>1.9702250269970005</v>
      </c>
      <c r="N678" s="39">
        <f t="shared" si="85"/>
        <v>107.91366906474821</v>
      </c>
      <c r="O678" s="40">
        <f>1</f>
        <v>1</v>
      </c>
      <c r="P678" s="38">
        <f>INDEX(Cables!$AS:$AS,MATCH(B678,Cables!$A:$A,0))+INDEX(Cables!$AT:$AT,MATCH(B678,Cables!$A:$A,0))*SQRT(C678)+INDEX(Cables!$AU:$AU,MATCH(B678,Cables!$A:$A,0))*C678</f>
        <v>25.70068373031804</v>
      </c>
      <c r="Q678" s="41">
        <f t="shared" si="86"/>
        <v>-7.5514973729566948E-2</v>
      </c>
      <c r="R678" s="39">
        <f t="shared" si="87"/>
        <v>5.7025112573771859E-3</v>
      </c>
      <c r="S678" s="40" t="b">
        <f>IF(B678=B677,C678&gt;C677,COUNTIF(B$1:B677,B678)=0)</f>
        <v>1</v>
      </c>
      <c r="T678" s="37"/>
    </row>
    <row r="679" spans="1:20" x14ac:dyDescent="0.25">
      <c r="A679" s="37" t="s">
        <v>1415</v>
      </c>
      <c r="B679" s="37" t="s">
        <v>543</v>
      </c>
      <c r="C679" s="37">
        <v>5000</v>
      </c>
      <c r="D679" s="37">
        <v>34.1</v>
      </c>
      <c r="E679" s="37" t="s">
        <v>771</v>
      </c>
      <c r="F679" s="37"/>
      <c r="G679" s="37" t="s">
        <v>550</v>
      </c>
      <c r="H679" s="37" t="s">
        <v>1403</v>
      </c>
      <c r="I679" s="38">
        <f t="shared" si="80"/>
        <v>34.1</v>
      </c>
      <c r="J679" s="38">
        <f t="shared" si="81"/>
        <v>8.5171931914162382</v>
      </c>
      <c r="K679" s="38">
        <f t="shared" si="82"/>
        <v>3.529297384289471</v>
      </c>
      <c r="L679" s="39">
        <f t="shared" si="83"/>
        <v>2.9325513196480937E-2</v>
      </c>
      <c r="M679" s="39">
        <f t="shared" si="84"/>
        <v>2.0736269243007257</v>
      </c>
      <c r="N679" s="39">
        <f t="shared" si="85"/>
        <v>146.62756598240469</v>
      </c>
      <c r="O679" s="40">
        <f>1</f>
        <v>1</v>
      </c>
      <c r="P679" s="38">
        <f>INDEX(Cables!$AS:$AS,MATCH(B679,Cables!$A:$A,0))+INDEX(Cables!$AT:$AT,MATCH(B679,Cables!$A:$A,0))*SQRT(C679)+INDEX(Cables!$AU:$AU,MATCH(B679,Cables!$A:$A,0))*C679</f>
        <v>35.902312861951707</v>
      </c>
      <c r="Q679" s="41">
        <f t="shared" si="86"/>
        <v>5.2853749617352008E-2</v>
      </c>
      <c r="R679" s="39">
        <f t="shared" si="87"/>
        <v>2.7935188486137375E-3</v>
      </c>
      <c r="S679" s="40" t="b">
        <f>IF(B679=B678,C679&gt;C678,COUNTIF(B$1:B678,B679)=0)</f>
        <v>1</v>
      </c>
      <c r="T679" s="37"/>
    </row>
    <row r="680" spans="1:20" x14ac:dyDescent="0.25">
      <c r="A680" s="37" t="s">
        <v>1416</v>
      </c>
      <c r="B680" s="37" t="s">
        <v>552</v>
      </c>
      <c r="C680" s="37">
        <v>0.5</v>
      </c>
      <c r="D680" s="37">
        <v>0.23100000000000001</v>
      </c>
      <c r="E680" s="37" t="s">
        <v>771</v>
      </c>
      <c r="F680" s="37">
        <v>20</v>
      </c>
      <c r="G680" s="37" t="s">
        <v>557</v>
      </c>
      <c r="H680" s="37" t="s">
        <v>1320</v>
      </c>
      <c r="I680" s="38">
        <f t="shared" si="80"/>
        <v>0.23100000000000001</v>
      </c>
      <c r="J680" s="38">
        <f t="shared" si="81"/>
        <v>-0.69314718055994529</v>
      </c>
      <c r="K680" s="38">
        <f t="shared" si="82"/>
        <v>-1.4653375684603434</v>
      </c>
      <c r="L680" s="39">
        <f t="shared" si="83"/>
        <v>4.329004329004329</v>
      </c>
      <c r="M680" s="39">
        <f t="shared" si="84"/>
        <v>3.0610683168248811</v>
      </c>
      <c r="N680" s="39">
        <f t="shared" si="85"/>
        <v>2.1645021645021645</v>
      </c>
      <c r="O680" s="40">
        <f>1</f>
        <v>1</v>
      </c>
      <c r="P680" s="38">
        <f>INDEX(Cables!$AS:$AS,MATCH(B680,Cables!$A:$A,0))+INDEX(Cables!$AT:$AT,MATCH(B680,Cables!$A:$A,0))*SQRT(C680)+INDEX(Cables!$AU:$AU,MATCH(B680,Cables!$A:$A,0))*C680</f>
        <v>0.23094232700592124</v>
      </c>
      <c r="Q680" s="41">
        <f t="shared" si="86"/>
        <v>-2.4966664103365233E-4</v>
      </c>
      <c r="R680" s="39">
        <f t="shared" si="87"/>
        <v>6.2333431645026609E-8</v>
      </c>
      <c r="S680" s="40" t="b">
        <f>IF(B680=B679,C680&gt;C679,COUNTIF(B$1:B679,B680)=0)</f>
        <v>1</v>
      </c>
      <c r="T680" s="37"/>
    </row>
    <row r="681" spans="1:20" x14ac:dyDescent="0.25">
      <c r="A681" s="37" t="s">
        <v>1417</v>
      </c>
      <c r="B681" s="37" t="s">
        <v>552</v>
      </c>
      <c r="C681" s="37">
        <v>1</v>
      </c>
      <c r="D681" s="37">
        <v>0.32700000000000001</v>
      </c>
      <c r="E681" s="37" t="s">
        <v>771</v>
      </c>
      <c r="F681" s="37">
        <v>20</v>
      </c>
      <c r="G681" s="37" t="s">
        <v>557</v>
      </c>
      <c r="H681" s="37" t="s">
        <v>1320</v>
      </c>
      <c r="I681" s="38">
        <f t="shared" si="80"/>
        <v>0.32700000000000001</v>
      </c>
      <c r="J681" s="38">
        <f t="shared" si="81"/>
        <v>0</v>
      </c>
      <c r="K681" s="38">
        <f t="shared" si="82"/>
        <v>-1.1177951080848836</v>
      </c>
      <c r="L681" s="39">
        <f t="shared" si="83"/>
        <v>3.0581039755351682</v>
      </c>
      <c r="M681" s="39">
        <f t="shared" si="84"/>
        <v>3.0581039755351682</v>
      </c>
      <c r="N681" s="39">
        <f t="shared" si="85"/>
        <v>3.0581039755351682</v>
      </c>
      <c r="O681" s="40">
        <f>1</f>
        <v>1</v>
      </c>
      <c r="P681" s="38">
        <f>INDEX(Cables!$AS:$AS,MATCH(B681,Cables!$A:$A,0))+INDEX(Cables!$AT:$AT,MATCH(B681,Cables!$A:$A,0))*SQRT(C681)+INDEX(Cables!$AU:$AU,MATCH(B681,Cables!$A:$A,0))*C681</f>
        <v>0.32699612682212692</v>
      </c>
      <c r="Q681" s="41">
        <f t="shared" si="86"/>
        <v>-1.1844580651620973E-5</v>
      </c>
      <c r="R681" s="39">
        <f t="shared" si="87"/>
        <v>1.4029409081275392E-10</v>
      </c>
      <c r="S681" s="40" t="b">
        <f>IF(B681=B680,C681&gt;C680,COUNTIF(B$1:B680,B681)=0)</f>
        <v>1</v>
      </c>
      <c r="T681" s="37"/>
    </row>
    <row r="682" spans="1:20" x14ac:dyDescent="0.25">
      <c r="A682" s="37" t="s">
        <v>1418</v>
      </c>
      <c r="B682" s="37" t="s">
        <v>552</v>
      </c>
      <c r="C682" s="37">
        <v>1.5</v>
      </c>
      <c r="D682" s="37">
        <v>0.40100000000000002</v>
      </c>
      <c r="E682" s="37" t="s">
        <v>771</v>
      </c>
      <c r="F682" s="37">
        <v>20</v>
      </c>
      <c r="G682" s="37" t="s">
        <v>557</v>
      </c>
      <c r="H682" s="37" t="s">
        <v>1320</v>
      </c>
      <c r="I682" s="38">
        <f t="shared" si="80"/>
        <v>0.40100000000000002</v>
      </c>
      <c r="J682" s="38">
        <f t="shared" si="81"/>
        <v>0.40546510810816438</v>
      </c>
      <c r="K682" s="38">
        <f t="shared" si="82"/>
        <v>-0.91379385167556781</v>
      </c>
      <c r="L682" s="39">
        <f t="shared" si="83"/>
        <v>2.4937655860349124</v>
      </c>
      <c r="M682" s="39">
        <f t="shared" si="84"/>
        <v>3.0542266119490993</v>
      </c>
      <c r="N682" s="39">
        <f t="shared" si="85"/>
        <v>3.7406483790523688</v>
      </c>
      <c r="O682" s="40">
        <f>1</f>
        <v>1</v>
      </c>
      <c r="P682" s="38">
        <f>INDEX(Cables!$AS:$AS,MATCH(B682,Cables!$A:$A,0))+INDEX(Cables!$AT:$AT,MATCH(B682,Cables!$A:$A,0))*SQRT(C682)+INDEX(Cables!$AU:$AU,MATCH(B682,Cables!$A:$A,0))*C682</f>
        <v>0.40087910875902849</v>
      </c>
      <c r="Q682" s="41">
        <f t="shared" si="86"/>
        <v>-3.014744163878369E-4</v>
      </c>
      <c r="R682" s="39">
        <f t="shared" si="87"/>
        <v>9.0886823736386865E-8</v>
      </c>
      <c r="S682" s="40" t="b">
        <f>IF(B682=B681,C682&gt;C681,COUNTIF(B$1:B681,B682)=0)</f>
        <v>1</v>
      </c>
      <c r="T682" s="37"/>
    </row>
    <row r="683" spans="1:20" x14ac:dyDescent="0.25">
      <c r="A683" s="37" t="s">
        <v>1419</v>
      </c>
      <c r="B683" s="37" t="s">
        <v>552</v>
      </c>
      <c r="C683" s="37">
        <v>2</v>
      </c>
      <c r="D683" s="37">
        <v>0.46300000000000002</v>
      </c>
      <c r="E683" s="37" t="s">
        <v>771</v>
      </c>
      <c r="F683" s="37">
        <v>20</v>
      </c>
      <c r="G683" s="37" t="s">
        <v>557</v>
      </c>
      <c r="H683" s="37" t="s">
        <v>1320</v>
      </c>
      <c r="I683" s="38">
        <f t="shared" si="80"/>
        <v>0.46300000000000002</v>
      </c>
      <c r="J683" s="38">
        <f t="shared" si="81"/>
        <v>0.69314718055994529</v>
      </c>
      <c r="K683" s="38">
        <f t="shared" si="82"/>
        <v>-0.77002822489590295</v>
      </c>
      <c r="L683" s="39">
        <f t="shared" si="83"/>
        <v>2.159827213822894</v>
      </c>
      <c r="M683" s="39">
        <f t="shared" si="84"/>
        <v>3.0544569381708317</v>
      </c>
      <c r="N683" s="39">
        <f t="shared" si="85"/>
        <v>4.319654427645788</v>
      </c>
      <c r="O683" s="40">
        <f>1</f>
        <v>1</v>
      </c>
      <c r="P683" s="38">
        <f>INDEX(Cables!$AS:$AS,MATCH(B683,Cables!$A:$A,0))+INDEX(Cables!$AT:$AT,MATCH(B683,Cables!$A:$A,0))*SQRT(C683)+INDEX(Cables!$AU:$AU,MATCH(B683,Cables!$A:$A,0))*C683</f>
        <v>0.46328563087060348</v>
      </c>
      <c r="Q683" s="41">
        <f t="shared" si="86"/>
        <v>6.1691332743718519E-4</v>
      </c>
      <c r="R683" s="39">
        <f t="shared" si="87"/>
        <v>3.8058205356961967E-7</v>
      </c>
      <c r="S683" s="40" t="b">
        <f>IF(B683=B682,C683&gt;C682,COUNTIF(B$1:B682,B683)=0)</f>
        <v>1</v>
      </c>
      <c r="T683" s="37"/>
    </row>
    <row r="684" spans="1:20" x14ac:dyDescent="0.25">
      <c r="A684" s="37" t="s">
        <v>1420</v>
      </c>
      <c r="B684" s="37" t="s">
        <v>552</v>
      </c>
      <c r="C684" s="37">
        <v>10</v>
      </c>
      <c r="D684" s="37">
        <v>1.04</v>
      </c>
      <c r="E684" s="37" t="s">
        <v>771</v>
      </c>
      <c r="F684" s="37">
        <v>20</v>
      </c>
      <c r="G684" s="37" t="s">
        <v>557</v>
      </c>
      <c r="H684" s="37" t="s">
        <v>1320</v>
      </c>
      <c r="I684" s="38">
        <f t="shared" si="80"/>
        <v>1.04</v>
      </c>
      <c r="J684" s="38">
        <f t="shared" si="81"/>
        <v>2.3025850929940459</v>
      </c>
      <c r="K684" s="38">
        <f t="shared" si="82"/>
        <v>3.9220713153281329E-2</v>
      </c>
      <c r="L684" s="39">
        <f t="shared" si="83"/>
        <v>0.96153846153846145</v>
      </c>
      <c r="M684" s="39">
        <f t="shared" si="84"/>
        <v>3.0406515963157492</v>
      </c>
      <c r="N684" s="39">
        <f t="shared" si="85"/>
        <v>9.615384615384615</v>
      </c>
      <c r="O684" s="40">
        <f>1</f>
        <v>1</v>
      </c>
      <c r="P684" s="38">
        <f>INDEX(Cables!$AS:$AS,MATCH(B684,Cables!$A:$A,0))+INDEX(Cables!$AT:$AT,MATCH(B684,Cables!$A:$A,0))*SQRT(C684)+INDEX(Cables!$AU:$AU,MATCH(B684,Cables!$A:$A,0))*C684</f>
        <v>1.044247904939873</v>
      </c>
      <c r="Q684" s="41">
        <f t="shared" si="86"/>
        <v>4.0845239806470701E-3</v>
      </c>
      <c r="R684" s="39">
        <f t="shared" si="87"/>
        <v>1.6683336148480988E-5</v>
      </c>
      <c r="S684" s="40" t="b">
        <f>IF(B684=B683,C684&gt;C683,COUNTIF(B$1:B683,B684)=0)</f>
        <v>1</v>
      </c>
      <c r="T684" s="37"/>
    </row>
    <row r="685" spans="1:20" x14ac:dyDescent="0.25">
      <c r="A685" s="37" t="s">
        <v>1421</v>
      </c>
      <c r="B685" s="37" t="s">
        <v>552</v>
      </c>
      <c r="C685" s="37">
        <v>20</v>
      </c>
      <c r="D685" s="37">
        <v>1.49</v>
      </c>
      <c r="E685" s="37" t="s">
        <v>771</v>
      </c>
      <c r="F685" s="37">
        <v>20</v>
      </c>
      <c r="G685" s="37" t="s">
        <v>557</v>
      </c>
      <c r="H685" s="37" t="s">
        <v>1320</v>
      </c>
      <c r="I685" s="38">
        <f t="shared" si="80"/>
        <v>1.49</v>
      </c>
      <c r="J685" s="38">
        <f t="shared" si="81"/>
        <v>2.9957322735539909</v>
      </c>
      <c r="K685" s="38">
        <f t="shared" si="82"/>
        <v>0.39877611995736778</v>
      </c>
      <c r="L685" s="39">
        <f t="shared" si="83"/>
        <v>0.67114093959731547</v>
      </c>
      <c r="M685" s="39">
        <f t="shared" si="84"/>
        <v>3.0014335268453554</v>
      </c>
      <c r="N685" s="39">
        <f t="shared" si="85"/>
        <v>13.422818791946309</v>
      </c>
      <c r="O685" s="40">
        <f>1</f>
        <v>1</v>
      </c>
      <c r="P685" s="38">
        <f>INDEX(Cables!$AS:$AS,MATCH(B685,Cables!$A:$A,0))+INDEX(Cables!$AT:$AT,MATCH(B685,Cables!$A:$A,0))*SQRT(C685)+INDEX(Cables!$AU:$AU,MATCH(B685,Cables!$A:$A,0))*C685</f>
        <v>1.4857133404776453</v>
      </c>
      <c r="Q685" s="41">
        <f t="shared" si="86"/>
        <v>-2.8769526995668926E-3</v>
      </c>
      <c r="R685" s="39">
        <f t="shared" si="87"/>
        <v>8.2768568355452306E-6</v>
      </c>
      <c r="S685" s="40" t="b">
        <f>IF(B685=B684,C685&gt;C684,COUNTIF(B$1:B684,B685)=0)</f>
        <v>1</v>
      </c>
      <c r="T685" s="37"/>
    </row>
    <row r="686" spans="1:20" x14ac:dyDescent="0.25">
      <c r="A686" s="37" t="s">
        <v>1422</v>
      </c>
      <c r="B686" s="37" t="s">
        <v>552</v>
      </c>
      <c r="C686" s="37">
        <v>30</v>
      </c>
      <c r="D686" s="37">
        <v>1.83</v>
      </c>
      <c r="E686" s="37" t="s">
        <v>771</v>
      </c>
      <c r="F686" s="37">
        <v>20</v>
      </c>
      <c r="G686" s="37" t="s">
        <v>557</v>
      </c>
      <c r="H686" s="37" t="s">
        <v>1320</v>
      </c>
      <c r="I686" s="38">
        <f t="shared" si="80"/>
        <v>1.83</v>
      </c>
      <c r="J686" s="38">
        <f t="shared" si="81"/>
        <v>3.4011973816621555</v>
      </c>
      <c r="K686" s="38">
        <f t="shared" si="82"/>
        <v>0.60431596685332956</v>
      </c>
      <c r="L686" s="39">
        <f t="shared" si="83"/>
        <v>0.54644808743169393</v>
      </c>
      <c r="M686" s="39">
        <f t="shared" si="84"/>
        <v>2.9930194399189403</v>
      </c>
      <c r="N686" s="39">
        <f t="shared" si="85"/>
        <v>16.393442622950818</v>
      </c>
      <c r="O686" s="40">
        <f>1</f>
        <v>1</v>
      </c>
      <c r="P686" s="38">
        <f>INDEX(Cables!$AS:$AS,MATCH(B686,Cables!$A:$A,0))+INDEX(Cables!$AT:$AT,MATCH(B686,Cables!$A:$A,0))*SQRT(C686)+INDEX(Cables!$AU:$AU,MATCH(B686,Cables!$A:$A,0))*C686</f>
        <v>1.828027864225634</v>
      </c>
      <c r="Q686" s="41">
        <f t="shared" si="86"/>
        <v>-1.0776698220579251E-3</v>
      </c>
      <c r="R686" s="39">
        <f t="shared" si="87"/>
        <v>1.1613722453743598E-6</v>
      </c>
      <c r="S686" s="40" t="b">
        <f>IF(B686=B685,C686&gt;C685,COUNTIF(B$1:B685,B686)=0)</f>
        <v>1</v>
      </c>
      <c r="T686" s="37"/>
    </row>
    <row r="687" spans="1:20" x14ac:dyDescent="0.25">
      <c r="A687" s="37" t="s">
        <v>1423</v>
      </c>
      <c r="B687" s="37" t="s">
        <v>552</v>
      </c>
      <c r="C687" s="37">
        <v>50</v>
      </c>
      <c r="D687" s="37">
        <v>2.38</v>
      </c>
      <c r="E687" s="37" t="s">
        <v>771</v>
      </c>
      <c r="F687" s="37">
        <v>20</v>
      </c>
      <c r="G687" s="37" t="s">
        <v>557</v>
      </c>
      <c r="H687" s="37" t="s">
        <v>1320</v>
      </c>
      <c r="I687" s="38">
        <f t="shared" si="80"/>
        <v>2.38</v>
      </c>
      <c r="J687" s="38">
        <f t="shared" si="81"/>
        <v>3.912023005428146</v>
      </c>
      <c r="K687" s="38">
        <f t="shared" si="82"/>
        <v>0.86710048768338333</v>
      </c>
      <c r="L687" s="39">
        <f t="shared" si="83"/>
        <v>0.42016806722689076</v>
      </c>
      <c r="M687" s="39">
        <f t="shared" si="84"/>
        <v>2.9710368957417965</v>
      </c>
      <c r="N687" s="39">
        <f t="shared" si="85"/>
        <v>21.008403361344538</v>
      </c>
      <c r="O687" s="40">
        <f>1</f>
        <v>1</v>
      </c>
      <c r="P687" s="38">
        <f>INDEX(Cables!$AS:$AS,MATCH(B687,Cables!$A:$A,0))+INDEX(Cables!$AT:$AT,MATCH(B687,Cables!$A:$A,0))*SQRT(C687)+INDEX(Cables!$AU:$AU,MATCH(B687,Cables!$A:$A,0))*C687</f>
        <v>2.3772092856885827</v>
      </c>
      <c r="Q687" s="41">
        <f t="shared" si="86"/>
        <v>-1.1725690384105647E-3</v>
      </c>
      <c r="R687" s="39">
        <f t="shared" si="87"/>
        <v>1.3749181498390764E-6</v>
      </c>
      <c r="S687" s="40" t="b">
        <f>IF(B687=B686,C687&gt;C686,COUNTIF(B$1:B686,B687)=0)</f>
        <v>1</v>
      </c>
      <c r="T687" s="37"/>
    </row>
    <row r="688" spans="1:20" x14ac:dyDescent="0.25">
      <c r="A688" s="37" t="s">
        <v>1424</v>
      </c>
      <c r="B688" s="37" t="s">
        <v>552</v>
      </c>
      <c r="C688" s="37">
        <v>88</v>
      </c>
      <c r="D688" s="37">
        <v>3.19</v>
      </c>
      <c r="E688" s="37" t="s">
        <v>771</v>
      </c>
      <c r="F688" s="37">
        <v>20</v>
      </c>
      <c r="G688" s="37" t="s">
        <v>557</v>
      </c>
      <c r="H688" s="37" t="s">
        <v>1320</v>
      </c>
      <c r="I688" s="38">
        <f t="shared" si="80"/>
        <v>3.19</v>
      </c>
      <c r="J688" s="38">
        <f t="shared" si="81"/>
        <v>4.4773368144782069</v>
      </c>
      <c r="K688" s="38">
        <f t="shared" si="82"/>
        <v>1.1600209167967532</v>
      </c>
      <c r="L688" s="39">
        <f t="shared" si="83"/>
        <v>0.31347962382445144</v>
      </c>
      <c r="M688" s="39">
        <f t="shared" si="84"/>
        <v>2.9406995359394545</v>
      </c>
      <c r="N688" s="39">
        <f t="shared" si="85"/>
        <v>27.586206896551726</v>
      </c>
      <c r="O688" s="40">
        <f>1</f>
        <v>1</v>
      </c>
      <c r="P688" s="38">
        <f>INDEX(Cables!$AS:$AS,MATCH(B688,Cables!$A:$A,0))+INDEX(Cables!$AT:$AT,MATCH(B688,Cables!$A:$A,0))*SQRT(C688)+INDEX(Cables!$AU:$AU,MATCH(B688,Cables!$A:$A,0))*C688</f>
        <v>3.1868912700027927</v>
      </c>
      <c r="Q688" s="41">
        <f t="shared" si="86"/>
        <v>-9.7452351009630345E-4</v>
      </c>
      <c r="R688" s="39">
        <f t="shared" si="87"/>
        <v>9.4969607173042004E-7</v>
      </c>
      <c r="S688" s="40" t="b">
        <f>IF(B688=B687,C688&gt;C687,COUNTIF(B$1:B687,B688)=0)</f>
        <v>1</v>
      </c>
      <c r="T688" s="37"/>
    </row>
    <row r="689" spans="1:20" x14ac:dyDescent="0.25">
      <c r="A689" s="37" t="s">
        <v>1425</v>
      </c>
      <c r="B689" s="37" t="s">
        <v>552</v>
      </c>
      <c r="C689" s="37">
        <v>100</v>
      </c>
      <c r="D689" s="37">
        <v>3.41</v>
      </c>
      <c r="E689" s="37" t="s">
        <v>771</v>
      </c>
      <c r="F689" s="37">
        <v>20</v>
      </c>
      <c r="G689" s="37" t="s">
        <v>557</v>
      </c>
      <c r="H689" s="37" t="s">
        <v>1320</v>
      </c>
      <c r="I689" s="38">
        <f t="shared" si="80"/>
        <v>3.41</v>
      </c>
      <c r="J689" s="38">
        <f t="shared" si="81"/>
        <v>4.6051701859880918</v>
      </c>
      <c r="K689" s="38">
        <f t="shared" si="82"/>
        <v>1.2267122912954254</v>
      </c>
      <c r="L689" s="39">
        <f t="shared" si="83"/>
        <v>0.29325513196480935</v>
      </c>
      <c r="M689" s="39">
        <f t="shared" si="84"/>
        <v>2.9325513196480939</v>
      </c>
      <c r="N689" s="39">
        <f t="shared" si="85"/>
        <v>29.325513196480937</v>
      </c>
      <c r="O689" s="40">
        <f>1</f>
        <v>1</v>
      </c>
      <c r="P689" s="38">
        <f>INDEX(Cables!$AS:$AS,MATCH(B689,Cables!$A:$A,0))+INDEX(Cables!$AT:$AT,MATCH(B689,Cables!$A:$A,0))*SQRT(C689)+INDEX(Cables!$AU:$AU,MATCH(B689,Cables!$A:$A,0))*C689</f>
        <v>3.4067188137262909</v>
      </c>
      <c r="Q689" s="41">
        <f t="shared" si="86"/>
        <v>-9.6222471369766804E-4</v>
      </c>
      <c r="R689" s="39">
        <f t="shared" si="87"/>
        <v>9.2587639965055925E-7</v>
      </c>
      <c r="S689" s="40" t="b">
        <f>IF(B689=B688,C689&gt;C688,COUNTIF(B$1:B688,B689)=0)</f>
        <v>1</v>
      </c>
      <c r="T689" s="37"/>
    </row>
    <row r="690" spans="1:20" x14ac:dyDescent="0.25">
      <c r="A690" s="37" t="s">
        <v>1426</v>
      </c>
      <c r="B690" s="37" t="s">
        <v>552</v>
      </c>
      <c r="C690" s="37">
        <v>108</v>
      </c>
      <c r="D690" s="37">
        <v>3.55</v>
      </c>
      <c r="E690" s="37" t="s">
        <v>771</v>
      </c>
      <c r="F690" s="37">
        <v>20</v>
      </c>
      <c r="G690" s="37" t="s">
        <v>557</v>
      </c>
      <c r="H690" s="37" t="s">
        <v>1320</v>
      </c>
      <c r="I690" s="38">
        <f t="shared" si="80"/>
        <v>3.55</v>
      </c>
      <c r="J690" s="38">
        <f t="shared" si="81"/>
        <v>4.6821312271242199</v>
      </c>
      <c r="K690" s="38">
        <f t="shared" si="82"/>
        <v>1.2669476034873244</v>
      </c>
      <c r="L690" s="39">
        <f t="shared" si="83"/>
        <v>0.28169014084507044</v>
      </c>
      <c r="M690" s="39">
        <f t="shared" si="84"/>
        <v>2.9274098156093702</v>
      </c>
      <c r="N690" s="39">
        <f t="shared" si="85"/>
        <v>30.422535211267608</v>
      </c>
      <c r="O690" s="40">
        <f>1</f>
        <v>1</v>
      </c>
      <c r="P690" s="38">
        <f>INDEX(Cables!$AS:$AS,MATCH(B690,Cables!$A:$A,0))+INDEX(Cables!$AT:$AT,MATCH(B690,Cables!$A:$A,0))*SQRT(C690)+INDEX(Cables!$AU:$AU,MATCH(B690,Cables!$A:$A,0))*C690</f>
        <v>3.5466096222371775</v>
      </c>
      <c r="Q690" s="41">
        <f t="shared" si="86"/>
        <v>-9.5503598952739743E-4</v>
      </c>
      <c r="R690" s="39">
        <f t="shared" si="87"/>
        <v>9.1209374129257521E-7</v>
      </c>
      <c r="S690" s="40" t="b">
        <f>IF(B690=B689,C690&gt;C689,COUNTIF(B$1:B689,B690)=0)</f>
        <v>1</v>
      </c>
      <c r="T690" s="37"/>
    </row>
    <row r="691" spans="1:20" x14ac:dyDescent="0.25">
      <c r="A691" s="37" t="s">
        <v>1427</v>
      </c>
      <c r="B691" s="37" t="s">
        <v>552</v>
      </c>
      <c r="C691" s="37">
        <v>150</v>
      </c>
      <c r="D691" s="37">
        <v>4.21</v>
      </c>
      <c r="E691" s="37" t="s">
        <v>771</v>
      </c>
      <c r="F691" s="37">
        <v>20</v>
      </c>
      <c r="G691" s="37" t="s">
        <v>557</v>
      </c>
      <c r="H691" s="37" t="s">
        <v>1320</v>
      </c>
      <c r="I691" s="38">
        <f t="shared" si="80"/>
        <v>4.21</v>
      </c>
      <c r="J691" s="38">
        <f t="shared" si="81"/>
        <v>5.0106352940962555</v>
      </c>
      <c r="K691" s="38">
        <f t="shared" si="82"/>
        <v>1.43746264769429</v>
      </c>
      <c r="L691" s="39">
        <f t="shared" si="83"/>
        <v>0.23752969121140144</v>
      </c>
      <c r="M691" s="39">
        <f t="shared" si="84"/>
        <v>2.9091327111439171</v>
      </c>
      <c r="N691" s="39">
        <f t="shared" si="85"/>
        <v>35.629453681710217</v>
      </c>
      <c r="O691" s="40">
        <f>1</f>
        <v>1</v>
      </c>
      <c r="P691" s="38">
        <f>INDEX(Cables!$AS:$AS,MATCH(B691,Cables!$A:$A,0))+INDEX(Cables!$AT:$AT,MATCH(B691,Cables!$A:$A,0))*SQRT(C691)+INDEX(Cables!$AU:$AU,MATCH(B691,Cables!$A:$A,0))*C691</f>
        <v>4.2145201629709588</v>
      </c>
      <c r="Q691" s="41">
        <f t="shared" si="86"/>
        <v>1.0736729147171609E-3</v>
      </c>
      <c r="R691" s="39">
        <f t="shared" si="87"/>
        <v>1.1527735277972437E-6</v>
      </c>
      <c r="S691" s="40" t="b">
        <f>IF(B691=B690,C691&gt;C690,COUNTIF(B$1:B690,B691)=0)</f>
        <v>1</v>
      </c>
      <c r="T691" s="37"/>
    </row>
    <row r="692" spans="1:20" x14ac:dyDescent="0.25">
      <c r="A692" s="37" t="s">
        <v>1428</v>
      </c>
      <c r="B692" s="37" t="s">
        <v>552</v>
      </c>
      <c r="C692" s="37">
        <v>174</v>
      </c>
      <c r="D692" s="37">
        <v>4.5599999999999996</v>
      </c>
      <c r="E692" s="37" t="s">
        <v>771</v>
      </c>
      <c r="F692" s="37">
        <v>20</v>
      </c>
      <c r="G692" s="37" t="s">
        <v>557</v>
      </c>
      <c r="H692" s="37" t="s">
        <v>1320</v>
      </c>
      <c r="I692" s="38">
        <f t="shared" si="80"/>
        <v>4.5599999999999996</v>
      </c>
      <c r="J692" s="38">
        <f t="shared" si="81"/>
        <v>5.1590552992145291</v>
      </c>
      <c r="K692" s="38">
        <f t="shared" si="82"/>
        <v>1.5173226235262947</v>
      </c>
      <c r="L692" s="39">
        <f t="shared" si="83"/>
        <v>0.2192982456140351</v>
      </c>
      <c r="M692" s="39">
        <f t="shared" si="84"/>
        <v>2.8927425347089737</v>
      </c>
      <c r="N692" s="39">
        <f t="shared" si="85"/>
        <v>38.15789473684211</v>
      </c>
      <c r="O692" s="40">
        <f>1</f>
        <v>1</v>
      </c>
      <c r="P692" s="38">
        <f>INDEX(Cables!$AS:$AS,MATCH(B692,Cables!$A:$A,0))+INDEX(Cables!$AT:$AT,MATCH(B692,Cables!$A:$A,0))*SQRT(C692)+INDEX(Cables!$AU:$AU,MATCH(B692,Cables!$A:$A,0))*C692</f>
        <v>4.5582415303086599</v>
      </c>
      <c r="Q692" s="41">
        <f t="shared" si="86"/>
        <v>-3.8562931827623714E-4</v>
      </c>
      <c r="R692" s="39">
        <f t="shared" si="87"/>
        <v>1.4870997111419541E-7</v>
      </c>
      <c r="S692" s="40" t="b">
        <f>IF(B692=B691,C692&gt;C691,COUNTIF(B$1:B691,B692)=0)</f>
        <v>1</v>
      </c>
      <c r="T692" s="37"/>
    </row>
    <row r="693" spans="1:20" x14ac:dyDescent="0.25">
      <c r="A693" s="37" t="s">
        <v>1429</v>
      </c>
      <c r="B693" s="37" t="s">
        <v>552</v>
      </c>
      <c r="C693" s="37">
        <v>200</v>
      </c>
      <c r="D693" s="37">
        <v>4.91</v>
      </c>
      <c r="E693" s="37" t="s">
        <v>771</v>
      </c>
      <c r="F693" s="37">
        <v>20</v>
      </c>
      <c r="G693" s="37" t="s">
        <v>557</v>
      </c>
      <c r="H693" s="37" t="s">
        <v>1320</v>
      </c>
      <c r="I693" s="38">
        <f t="shared" si="80"/>
        <v>4.91</v>
      </c>
      <c r="J693" s="38">
        <f t="shared" si="81"/>
        <v>5.2983173665480363</v>
      </c>
      <c r="K693" s="38">
        <f t="shared" si="82"/>
        <v>1.5912739418064292</v>
      </c>
      <c r="L693" s="39">
        <f t="shared" si="83"/>
        <v>0.20366598778004072</v>
      </c>
      <c r="M693" s="39">
        <f t="shared" si="84"/>
        <v>2.8802720211264665</v>
      </c>
      <c r="N693" s="39">
        <f t="shared" si="85"/>
        <v>40.733197556008143</v>
      </c>
      <c r="O693" s="40">
        <f>1</f>
        <v>1</v>
      </c>
      <c r="P693" s="38">
        <f>INDEX(Cables!$AS:$AS,MATCH(B693,Cables!$A:$A,0))+INDEX(Cables!$AT:$AT,MATCH(B693,Cables!$A:$A,0))*SQRT(C693)+INDEX(Cables!$AU:$AU,MATCH(B693,Cables!$A:$A,0))*C693</f>
        <v>4.9075569139623605</v>
      </c>
      <c r="Q693" s="41">
        <f t="shared" si="86"/>
        <v>-4.975735310874807E-4</v>
      </c>
      <c r="R693" s="39">
        <f t="shared" si="87"/>
        <v>2.4757941883886411E-7</v>
      </c>
      <c r="S693" s="40" t="b">
        <f>IF(B693=B692,C693&gt;C692,COUNTIF(B$1:B692,B693)=0)</f>
        <v>1</v>
      </c>
      <c r="T693" s="37"/>
    </row>
    <row r="694" spans="1:20" x14ac:dyDescent="0.25">
      <c r="A694" s="37" t="s">
        <v>1430</v>
      </c>
      <c r="B694" s="37" t="s">
        <v>552</v>
      </c>
      <c r="C694" s="37">
        <v>300</v>
      </c>
      <c r="D694" s="37">
        <v>6.09</v>
      </c>
      <c r="E694" s="37" t="s">
        <v>771</v>
      </c>
      <c r="F694" s="37">
        <v>20</v>
      </c>
      <c r="G694" s="37" t="s">
        <v>557</v>
      </c>
      <c r="H694" s="37" t="s">
        <v>1320</v>
      </c>
      <c r="I694" s="38">
        <f t="shared" si="80"/>
        <v>6.09</v>
      </c>
      <c r="J694" s="38">
        <f t="shared" si="81"/>
        <v>5.7037824746562009</v>
      </c>
      <c r="K694" s="38">
        <f t="shared" si="82"/>
        <v>1.8066480817218056</v>
      </c>
      <c r="L694" s="39">
        <f t="shared" si="83"/>
        <v>0.16420361247947454</v>
      </c>
      <c r="M694" s="39">
        <f t="shared" si="84"/>
        <v>2.8440899960080088</v>
      </c>
      <c r="N694" s="39">
        <f t="shared" si="85"/>
        <v>49.261083743842363</v>
      </c>
      <c r="O694" s="40">
        <f>1</f>
        <v>1</v>
      </c>
      <c r="P694" s="38">
        <f>INDEX(Cables!$AS:$AS,MATCH(B694,Cables!$A:$A,0))+INDEX(Cables!$AT:$AT,MATCH(B694,Cables!$A:$A,0))*SQRT(C694)+INDEX(Cables!$AU:$AU,MATCH(B694,Cables!$A:$A,0))*C694</f>
        <v>6.0948523008602722</v>
      </c>
      <c r="Q694" s="41">
        <f t="shared" si="86"/>
        <v>7.9676533009398476E-4</v>
      </c>
      <c r="R694" s="39">
        <f t="shared" si="87"/>
        <v>6.3483499123977653E-7</v>
      </c>
      <c r="S694" s="40" t="b">
        <f>IF(B694=B693,C694&gt;C693,COUNTIF(B$1:B693,B694)=0)</f>
        <v>1</v>
      </c>
      <c r="T694" s="37"/>
    </row>
    <row r="695" spans="1:20" x14ac:dyDescent="0.25">
      <c r="A695" s="37" t="s">
        <v>1431</v>
      </c>
      <c r="B695" s="37" t="s">
        <v>552</v>
      </c>
      <c r="C695" s="37">
        <v>400</v>
      </c>
      <c r="D695" s="37">
        <v>7.12</v>
      </c>
      <c r="E695" s="37" t="s">
        <v>771</v>
      </c>
      <c r="F695" s="37">
        <v>20</v>
      </c>
      <c r="G695" s="37" t="s">
        <v>557</v>
      </c>
      <c r="H695" s="37" t="s">
        <v>1320</v>
      </c>
      <c r="I695" s="38">
        <f t="shared" si="80"/>
        <v>7.12</v>
      </c>
      <c r="J695" s="38">
        <f t="shared" si="81"/>
        <v>5.9914645471079817</v>
      </c>
      <c r="K695" s="38">
        <f t="shared" si="82"/>
        <v>1.9629077254238845</v>
      </c>
      <c r="L695" s="39">
        <f t="shared" si="83"/>
        <v>0.1404494382022472</v>
      </c>
      <c r="M695" s="39">
        <f t="shared" si="84"/>
        <v>2.8089887640449436</v>
      </c>
      <c r="N695" s="39">
        <f t="shared" si="85"/>
        <v>56.179775280898873</v>
      </c>
      <c r="O695" s="40">
        <f>1</f>
        <v>1</v>
      </c>
      <c r="P695" s="38">
        <f>INDEX(Cables!$AS:$AS,MATCH(B695,Cables!$A:$A,0))+INDEX(Cables!$AT:$AT,MATCH(B695,Cables!$A:$A,0))*SQRT(C695)+INDEX(Cables!$AU:$AU,MATCH(B695,Cables!$A:$A,0))*C695</f>
        <v>7.1198460364281138</v>
      </c>
      <c r="Q695" s="41">
        <f t="shared" si="86"/>
        <v>-2.1624097175099166E-5</v>
      </c>
      <c r="R695" s="39">
        <f t="shared" si="87"/>
        <v>4.6760157863813173E-10</v>
      </c>
      <c r="S695" s="40" t="b">
        <f>IF(B695=B694,C695&gt;C694,COUNTIF(B$1:B694,B695)=0)</f>
        <v>1</v>
      </c>
      <c r="T695" s="37"/>
    </row>
    <row r="696" spans="1:20" x14ac:dyDescent="0.25">
      <c r="A696" s="37" t="s">
        <v>1432</v>
      </c>
      <c r="B696" s="37" t="s">
        <v>552</v>
      </c>
      <c r="C696" s="37">
        <v>450</v>
      </c>
      <c r="D696" s="37">
        <v>7.59</v>
      </c>
      <c r="E696" s="37" t="s">
        <v>771</v>
      </c>
      <c r="F696" s="37">
        <v>20</v>
      </c>
      <c r="G696" s="37" t="s">
        <v>557</v>
      </c>
      <c r="H696" s="37" t="s">
        <v>1320</v>
      </c>
      <c r="I696" s="38">
        <f t="shared" si="80"/>
        <v>7.59</v>
      </c>
      <c r="J696" s="38">
        <f t="shared" si="81"/>
        <v>6.1092475827643655</v>
      </c>
      <c r="K696" s="38">
        <f t="shared" si="82"/>
        <v>2.0268315914075385</v>
      </c>
      <c r="L696" s="39">
        <f t="shared" si="83"/>
        <v>0.13175230566534915</v>
      </c>
      <c r="M696" s="39">
        <f t="shared" si="84"/>
        <v>2.7948884631879349</v>
      </c>
      <c r="N696" s="39">
        <f t="shared" si="85"/>
        <v>59.288537549407117</v>
      </c>
      <c r="O696" s="40">
        <f>1</f>
        <v>1</v>
      </c>
      <c r="P696" s="38">
        <f>INDEX(Cables!$AS:$AS,MATCH(B696,Cables!$A:$A,0))+INDEX(Cables!$AT:$AT,MATCH(B696,Cables!$A:$A,0))*SQRT(C696)+INDEX(Cables!$AU:$AU,MATCH(B696,Cables!$A:$A,0))*C696</f>
        <v>7.5911746086264742</v>
      </c>
      <c r="Q696" s="41">
        <f t="shared" si="86"/>
        <v>1.5475739479242634E-4</v>
      </c>
      <c r="R696" s="39">
        <f t="shared" si="87"/>
        <v>2.3949851242938907E-8</v>
      </c>
      <c r="S696" s="40" t="b">
        <f>IF(B696=B695,C696&gt;C695,COUNTIF(B$1:B695,B696)=0)</f>
        <v>1</v>
      </c>
      <c r="T696" s="37"/>
    </row>
    <row r="697" spans="1:20" x14ac:dyDescent="0.25">
      <c r="A697" s="37" t="s">
        <v>1433</v>
      </c>
      <c r="B697" s="37" t="s">
        <v>552</v>
      </c>
      <c r="C697" s="37">
        <v>500</v>
      </c>
      <c r="D697" s="37">
        <v>8.0399999999999991</v>
      </c>
      <c r="E697" s="37" t="s">
        <v>771</v>
      </c>
      <c r="F697" s="37">
        <v>20</v>
      </c>
      <c r="G697" s="37" t="s">
        <v>557</v>
      </c>
      <c r="H697" s="37" t="s">
        <v>1320</v>
      </c>
      <c r="I697" s="38">
        <f t="shared" si="80"/>
        <v>8.0399999999999991</v>
      </c>
      <c r="J697" s="38">
        <f t="shared" si="81"/>
        <v>6.2146080984221914</v>
      </c>
      <c r="K697" s="38">
        <f t="shared" si="82"/>
        <v>2.0844290831908747</v>
      </c>
      <c r="L697" s="39">
        <f t="shared" si="83"/>
        <v>0.12437810945273634</v>
      </c>
      <c r="M697" s="39">
        <f t="shared" si="84"/>
        <v>2.7811790764922764</v>
      </c>
      <c r="N697" s="39">
        <f t="shared" si="85"/>
        <v>62.189054726368163</v>
      </c>
      <c r="O697" s="40">
        <f>1</f>
        <v>1</v>
      </c>
      <c r="P697" s="38">
        <f>INDEX(Cables!$AS:$AS,MATCH(B697,Cables!$A:$A,0))+INDEX(Cables!$AT:$AT,MATCH(B697,Cables!$A:$A,0))*SQRT(C697)+INDEX(Cables!$AU:$AU,MATCH(B697,Cables!$A:$A,0))*C697</f>
        <v>8.0411200727290062</v>
      </c>
      <c r="Q697" s="41">
        <f t="shared" si="86"/>
        <v>1.3931252848342623E-4</v>
      </c>
      <c r="R697" s="39">
        <f t="shared" si="87"/>
        <v>1.9407980592445447E-8</v>
      </c>
      <c r="S697" s="40" t="b">
        <f>IF(B697=B696,C697&gt;C696,COUNTIF(B$1:B696,B697)=0)</f>
        <v>1</v>
      </c>
      <c r="T697" s="37"/>
    </row>
    <row r="698" spans="1:20" x14ac:dyDescent="0.25">
      <c r="A698" s="37" t="s">
        <v>1434</v>
      </c>
      <c r="B698" s="37" t="s">
        <v>552</v>
      </c>
      <c r="C698" s="37">
        <v>512</v>
      </c>
      <c r="D698" s="37">
        <v>8.15</v>
      </c>
      <c r="E698" s="37" t="s">
        <v>771</v>
      </c>
      <c r="F698" s="37">
        <v>20</v>
      </c>
      <c r="G698" s="37" t="s">
        <v>557</v>
      </c>
      <c r="H698" s="37" t="s">
        <v>1320</v>
      </c>
      <c r="I698" s="38">
        <f t="shared" si="80"/>
        <v>8.15</v>
      </c>
      <c r="J698" s="38">
        <f t="shared" si="81"/>
        <v>6.2383246250395077</v>
      </c>
      <c r="K698" s="38">
        <f t="shared" si="82"/>
        <v>2.0980179272527715</v>
      </c>
      <c r="L698" s="39">
        <f t="shared" si="83"/>
        <v>0.12269938650306748</v>
      </c>
      <c r="M698" s="39">
        <f t="shared" si="84"/>
        <v>2.776370183799941</v>
      </c>
      <c r="N698" s="39">
        <f t="shared" si="85"/>
        <v>62.822085889570552</v>
      </c>
      <c r="O698" s="40">
        <f>1</f>
        <v>1</v>
      </c>
      <c r="P698" s="38">
        <f>INDEX(Cables!$AS:$AS,MATCH(B698,Cables!$A:$A,0))+INDEX(Cables!$AT:$AT,MATCH(B698,Cables!$A:$A,0))*SQRT(C698)+INDEX(Cables!$AU:$AU,MATCH(B698,Cables!$A:$A,0))*C698</f>
        <v>8.1462905555261376</v>
      </c>
      <c r="Q698" s="41">
        <f t="shared" si="86"/>
        <v>-4.5514656121015129E-4</v>
      </c>
      <c r="R698" s="39">
        <f t="shared" si="87"/>
        <v>2.0715839218142599E-7</v>
      </c>
      <c r="S698" s="40" t="b">
        <f>IF(B698=B697,C698&gt;C697,COUNTIF(B$1:B697,B698)=0)</f>
        <v>1</v>
      </c>
      <c r="T698" s="37"/>
    </row>
    <row r="699" spans="1:20" x14ac:dyDescent="0.25">
      <c r="A699" s="37" t="s">
        <v>1435</v>
      </c>
      <c r="B699" s="37" t="s">
        <v>552</v>
      </c>
      <c r="C699" s="37">
        <v>600</v>
      </c>
      <c r="D699" s="37">
        <v>8.89</v>
      </c>
      <c r="E699" s="37" t="s">
        <v>771</v>
      </c>
      <c r="F699" s="37">
        <v>20</v>
      </c>
      <c r="G699" s="37" t="s">
        <v>557</v>
      </c>
      <c r="H699" s="37" t="s">
        <v>1320</v>
      </c>
      <c r="I699" s="38">
        <f t="shared" si="80"/>
        <v>8.89</v>
      </c>
      <c r="J699" s="38">
        <f t="shared" si="81"/>
        <v>6.3969296552161463</v>
      </c>
      <c r="K699" s="38">
        <f t="shared" si="82"/>
        <v>2.1849270495258133</v>
      </c>
      <c r="L699" s="39">
        <f t="shared" si="83"/>
        <v>0.11248593925759279</v>
      </c>
      <c r="M699" s="39">
        <f t="shared" si="84"/>
        <v>2.7553315441880515</v>
      </c>
      <c r="N699" s="39">
        <f t="shared" si="85"/>
        <v>67.491563554555682</v>
      </c>
      <c r="O699" s="40">
        <f>1</f>
        <v>1</v>
      </c>
      <c r="P699" s="38">
        <f>INDEX(Cables!$AS:$AS,MATCH(B699,Cables!$A:$A,0))+INDEX(Cables!$AT:$AT,MATCH(B699,Cables!$A:$A,0))*SQRT(C699)+INDEX(Cables!$AU:$AU,MATCH(B699,Cables!$A:$A,0))*C699</f>
        <v>8.8887188013077871</v>
      </c>
      <c r="Q699" s="41">
        <f t="shared" si="86"/>
        <v>-1.4411683826920374E-4</v>
      </c>
      <c r="R699" s="39">
        <f t="shared" si="87"/>
        <v>2.0769663072711828E-8</v>
      </c>
      <c r="S699" s="40" t="b">
        <f>IF(B699=B698,C699&gt;C698,COUNTIF(B$1:B698,B699)=0)</f>
        <v>1</v>
      </c>
      <c r="T699" s="37"/>
    </row>
    <row r="700" spans="1:20" x14ac:dyDescent="0.25">
      <c r="A700" s="37" t="s">
        <v>1436</v>
      </c>
      <c r="B700" s="37" t="s">
        <v>552</v>
      </c>
      <c r="C700" s="37">
        <v>700</v>
      </c>
      <c r="D700" s="37">
        <v>9.68</v>
      </c>
      <c r="E700" s="37" t="s">
        <v>771</v>
      </c>
      <c r="F700" s="37">
        <v>20</v>
      </c>
      <c r="G700" s="37" t="s">
        <v>557</v>
      </c>
      <c r="H700" s="37" t="s">
        <v>1320</v>
      </c>
      <c r="I700" s="38">
        <f t="shared" si="80"/>
        <v>9.68</v>
      </c>
      <c r="J700" s="38">
        <f t="shared" si="81"/>
        <v>6.5510803350434044</v>
      </c>
      <c r="K700" s="38">
        <f t="shared" si="82"/>
        <v>2.2700619012884857</v>
      </c>
      <c r="L700" s="39">
        <f t="shared" si="83"/>
        <v>0.10330578512396695</v>
      </c>
      <c r="M700" s="39">
        <f t="shared" si="84"/>
        <v>2.7332141643229244</v>
      </c>
      <c r="N700" s="39">
        <f t="shared" si="85"/>
        <v>72.314049586776861</v>
      </c>
      <c r="O700" s="40">
        <f>1</f>
        <v>1</v>
      </c>
      <c r="P700" s="38">
        <f>INDEX(Cables!$AS:$AS,MATCH(B700,Cables!$A:$A,0))+INDEX(Cables!$AT:$AT,MATCH(B700,Cables!$A:$A,0))*SQRT(C700)+INDEX(Cables!$AU:$AU,MATCH(B700,Cables!$A:$A,0))*C700</f>
        <v>9.6804899688528963</v>
      </c>
      <c r="Q700" s="41">
        <f t="shared" si="86"/>
        <v>5.061661703487097E-5</v>
      </c>
      <c r="R700" s="39">
        <f t="shared" si="87"/>
        <v>2.5620419200547902E-9</v>
      </c>
      <c r="S700" s="40" t="b">
        <f>IF(B700=B699,C700&gt;C699,COUNTIF(B$1:B699,B700)=0)</f>
        <v>1</v>
      </c>
      <c r="T700" s="37"/>
    </row>
    <row r="701" spans="1:20" x14ac:dyDescent="0.25">
      <c r="A701" s="37" t="s">
        <v>1437</v>
      </c>
      <c r="B701" s="37" t="s">
        <v>552</v>
      </c>
      <c r="C701" s="37">
        <v>800</v>
      </c>
      <c r="D701" s="37">
        <v>10.4</v>
      </c>
      <c r="E701" s="37" t="s">
        <v>771</v>
      </c>
      <c r="F701" s="37">
        <v>20</v>
      </c>
      <c r="G701" s="37" t="s">
        <v>557</v>
      </c>
      <c r="H701" s="37" t="s">
        <v>1320</v>
      </c>
      <c r="I701" s="38">
        <f t="shared" si="80"/>
        <v>10.4</v>
      </c>
      <c r="J701" s="38">
        <f t="shared" si="81"/>
        <v>6.6846117276679271</v>
      </c>
      <c r="K701" s="38">
        <f t="shared" si="82"/>
        <v>2.341805806147327</v>
      </c>
      <c r="L701" s="39">
        <f t="shared" si="83"/>
        <v>9.6153846153846145E-2</v>
      </c>
      <c r="M701" s="39">
        <f t="shared" si="84"/>
        <v>2.719641466102106</v>
      </c>
      <c r="N701" s="39">
        <f t="shared" si="85"/>
        <v>76.92307692307692</v>
      </c>
      <c r="O701" s="40">
        <f>1</f>
        <v>1</v>
      </c>
      <c r="P701" s="38">
        <f>INDEX(Cables!$AS:$AS,MATCH(B701,Cables!$A:$A,0))+INDEX(Cables!$AT:$AT,MATCH(B701,Cables!$A:$A,0))*SQRT(C701)+INDEX(Cables!$AU:$AU,MATCH(B701,Cables!$A:$A,0))*C701</f>
        <v>10.428062369680926</v>
      </c>
      <c r="Q701" s="41">
        <f t="shared" si="86"/>
        <v>2.6983047770121615E-3</v>
      </c>
      <c r="R701" s="39">
        <f t="shared" si="87"/>
        <v>7.2808486696466504E-6</v>
      </c>
      <c r="S701" s="40" t="b">
        <f>IF(B701=B700,C701&gt;C700,COUNTIF(B$1:B700,B701)=0)</f>
        <v>1</v>
      </c>
      <c r="T701" s="37"/>
    </row>
    <row r="702" spans="1:20" x14ac:dyDescent="0.25">
      <c r="A702" s="37" t="s">
        <v>1438</v>
      </c>
      <c r="B702" s="37" t="s">
        <v>552</v>
      </c>
      <c r="C702" s="37">
        <v>824</v>
      </c>
      <c r="D702" s="37">
        <v>10.6</v>
      </c>
      <c r="E702" s="37" t="s">
        <v>771</v>
      </c>
      <c r="F702" s="37">
        <v>20</v>
      </c>
      <c r="G702" s="37" t="s">
        <v>557</v>
      </c>
      <c r="H702" s="37" t="s">
        <v>1320</v>
      </c>
      <c r="I702" s="38">
        <f t="shared" si="80"/>
        <v>10.6</v>
      </c>
      <c r="J702" s="38">
        <f t="shared" si="81"/>
        <v>6.7141705299094721</v>
      </c>
      <c r="K702" s="38">
        <f t="shared" si="82"/>
        <v>2.3608540011180215</v>
      </c>
      <c r="L702" s="39">
        <f t="shared" si="83"/>
        <v>9.4339622641509441E-2</v>
      </c>
      <c r="M702" s="39">
        <f t="shared" si="84"/>
        <v>2.7080566215862873</v>
      </c>
      <c r="N702" s="39">
        <f t="shared" si="85"/>
        <v>77.735849056603783</v>
      </c>
      <c r="O702" s="40">
        <f>1</f>
        <v>1</v>
      </c>
      <c r="P702" s="38">
        <f>INDEX(Cables!$AS:$AS,MATCH(B702,Cables!$A:$A,0))+INDEX(Cables!$AT:$AT,MATCH(B702,Cables!$A:$A,0))*SQRT(C702)+INDEX(Cables!$AU:$AU,MATCH(B702,Cables!$A:$A,0))*C702</f>
        <v>10.601853781015045</v>
      </c>
      <c r="Q702" s="41">
        <f t="shared" si="86"/>
        <v>1.7488500141937813E-4</v>
      </c>
      <c r="R702" s="39">
        <f t="shared" si="87"/>
        <v>3.0584763721455892E-8</v>
      </c>
      <c r="S702" s="40" t="b">
        <f>IF(B702=B701,C702&gt;C701,COUNTIF(B$1:B701,B702)=0)</f>
        <v>1</v>
      </c>
      <c r="T702" s="37"/>
    </row>
    <row r="703" spans="1:20" x14ac:dyDescent="0.25">
      <c r="A703" s="37" t="s">
        <v>1439</v>
      </c>
      <c r="B703" s="37" t="s">
        <v>552</v>
      </c>
      <c r="C703" s="37">
        <v>894</v>
      </c>
      <c r="D703" s="37">
        <v>11.1</v>
      </c>
      <c r="E703" s="37" t="s">
        <v>771</v>
      </c>
      <c r="F703" s="37">
        <v>20</v>
      </c>
      <c r="G703" s="37" t="s">
        <v>557</v>
      </c>
      <c r="H703" s="37" t="s">
        <v>1320</v>
      </c>
      <c r="I703" s="38">
        <f t="shared" si="80"/>
        <v>11.1</v>
      </c>
      <c r="J703" s="38">
        <f t="shared" si="81"/>
        <v>6.7957057751735137</v>
      </c>
      <c r="K703" s="38">
        <f t="shared" si="82"/>
        <v>2.4069451083182885</v>
      </c>
      <c r="L703" s="39">
        <f t="shared" si="83"/>
        <v>9.00900900900901E-2</v>
      </c>
      <c r="M703" s="39">
        <f t="shared" si="84"/>
        <v>2.693678628419109</v>
      </c>
      <c r="N703" s="39">
        <f t="shared" si="85"/>
        <v>80.540540540540547</v>
      </c>
      <c r="O703" s="40">
        <f>1</f>
        <v>1</v>
      </c>
      <c r="P703" s="38">
        <f>INDEX(Cables!$AS:$AS,MATCH(B703,Cables!$A:$A,0))+INDEX(Cables!$AT:$AT,MATCH(B703,Cables!$A:$A,0))*SQRT(C703)+INDEX(Cables!$AU:$AU,MATCH(B703,Cables!$A:$A,0))*C703</f>
        <v>11.09772961424504</v>
      </c>
      <c r="Q703" s="41">
        <f t="shared" si="86"/>
        <v>-2.0453925720353983E-4</v>
      </c>
      <c r="R703" s="39">
        <f t="shared" si="87"/>
        <v>4.1836307737375817E-8</v>
      </c>
      <c r="S703" s="40" t="b">
        <f>IF(B703=B702,C703&gt;C702,COUNTIF(B$1:B702,B703)=0)</f>
        <v>1</v>
      </c>
      <c r="T703" s="37"/>
    </row>
    <row r="704" spans="1:20" x14ac:dyDescent="0.25">
      <c r="A704" s="37" t="s">
        <v>1440</v>
      </c>
      <c r="B704" s="37" t="s">
        <v>552</v>
      </c>
      <c r="C704" s="37">
        <v>960</v>
      </c>
      <c r="D704" s="37">
        <v>11.6</v>
      </c>
      <c r="E704" s="37" t="s">
        <v>771</v>
      </c>
      <c r="F704" s="37">
        <v>20</v>
      </c>
      <c r="G704" s="37" t="s">
        <v>557</v>
      </c>
      <c r="H704" s="37" t="s">
        <v>1320</v>
      </c>
      <c r="I704" s="38">
        <f t="shared" si="80"/>
        <v>11.6</v>
      </c>
      <c r="J704" s="38">
        <f t="shared" si="81"/>
        <v>6.866933284461882</v>
      </c>
      <c r="K704" s="38">
        <f t="shared" si="82"/>
        <v>2.451005098112319</v>
      </c>
      <c r="L704" s="39">
        <f t="shared" si="83"/>
        <v>8.6206896551724144E-2</v>
      </c>
      <c r="M704" s="39">
        <f t="shared" si="84"/>
        <v>2.6710229973844255</v>
      </c>
      <c r="N704" s="39">
        <f t="shared" si="85"/>
        <v>82.758620689655174</v>
      </c>
      <c r="O704" s="40">
        <f>1</f>
        <v>1</v>
      </c>
      <c r="P704" s="38">
        <f>INDEX(Cables!$AS:$AS,MATCH(B704,Cables!$A:$A,0))+INDEX(Cables!$AT:$AT,MATCH(B704,Cables!$A:$A,0))*SQRT(C704)+INDEX(Cables!$AU:$AU,MATCH(B704,Cables!$A:$A,0))*C704</f>
        <v>11.551558482806712</v>
      </c>
      <c r="Q704" s="41">
        <f t="shared" si="86"/>
        <v>-4.1759928614902853E-3</v>
      </c>
      <c r="R704" s="39">
        <f t="shared" si="87"/>
        <v>1.743891637921782E-5</v>
      </c>
      <c r="S704" s="40" t="b">
        <f>IF(B704=B703,C704&gt;C703,COUNTIF(B$1:B703,B704)=0)</f>
        <v>1</v>
      </c>
      <c r="T704" s="37"/>
    </row>
    <row r="705" spans="1:20" x14ac:dyDescent="0.25">
      <c r="A705" s="37" t="s">
        <v>1441</v>
      </c>
      <c r="B705" s="37" t="s">
        <v>552</v>
      </c>
      <c r="C705" s="37">
        <v>1000</v>
      </c>
      <c r="D705" s="37">
        <v>11.8</v>
      </c>
      <c r="E705" s="37" t="s">
        <v>771</v>
      </c>
      <c r="F705" s="37">
        <v>20</v>
      </c>
      <c r="G705" s="37" t="s">
        <v>557</v>
      </c>
      <c r="H705" s="37" t="s">
        <v>1320</v>
      </c>
      <c r="I705" s="38">
        <f t="shared" si="80"/>
        <v>11.8</v>
      </c>
      <c r="J705" s="38">
        <f t="shared" si="81"/>
        <v>6.9077552789821368</v>
      </c>
      <c r="K705" s="38">
        <f t="shared" si="82"/>
        <v>2.4680995314716192</v>
      </c>
      <c r="L705" s="39">
        <f t="shared" si="83"/>
        <v>8.4745762711864403E-2</v>
      </c>
      <c r="M705" s="39">
        <f t="shared" si="84"/>
        <v>2.6798963221765923</v>
      </c>
      <c r="N705" s="39">
        <f t="shared" si="85"/>
        <v>84.745762711864401</v>
      </c>
      <c r="O705" s="40">
        <f>1</f>
        <v>1</v>
      </c>
      <c r="P705" s="38">
        <f>INDEX(Cables!$AS:$AS,MATCH(B705,Cables!$A:$A,0))+INDEX(Cables!$AT:$AT,MATCH(B705,Cables!$A:$A,0))*SQRT(C705)+INDEX(Cables!$AU:$AU,MATCH(B705,Cables!$A:$A,0))*C705</f>
        <v>11.820724132665482</v>
      </c>
      <c r="Q705" s="41">
        <f t="shared" si="86"/>
        <v>1.7562824292780554E-3</v>
      </c>
      <c r="R705" s="39">
        <f t="shared" si="87"/>
        <v>3.084527971390828E-6</v>
      </c>
      <c r="S705" s="40" t="b">
        <f>IF(B705=B704,C705&gt;C704,COUNTIF(B$1:B704,B705)=0)</f>
        <v>1</v>
      </c>
      <c r="T705" s="37"/>
    </row>
    <row r="706" spans="1:20" x14ac:dyDescent="0.25">
      <c r="A706" s="37" t="s">
        <v>1442</v>
      </c>
      <c r="B706" s="37" t="s">
        <v>552</v>
      </c>
      <c r="C706" s="37">
        <v>1250</v>
      </c>
      <c r="D706" s="37">
        <v>13.4</v>
      </c>
      <c r="E706" s="37" t="s">
        <v>771</v>
      </c>
      <c r="F706" s="37">
        <v>20</v>
      </c>
      <c r="G706" s="37" t="s">
        <v>557</v>
      </c>
      <c r="H706" s="37" t="s">
        <v>1320</v>
      </c>
      <c r="I706" s="38">
        <f t="shared" ref="I706:I769" si="88">IF(E706="dB/100ft",D706*100/30.48,D706)</f>
        <v>13.4</v>
      </c>
      <c r="J706" s="38">
        <f t="shared" ref="J706:J769" si="89">LN(C706)</f>
        <v>7.1308988302963465</v>
      </c>
      <c r="K706" s="38">
        <f t="shared" ref="K706:K769" si="90">LN(I706)</f>
        <v>2.5952547069568657</v>
      </c>
      <c r="L706" s="39">
        <f t="shared" ref="L706:L769" si="91">1/I706</f>
        <v>7.4626865671641784E-2</v>
      </c>
      <c r="M706" s="39">
        <f t="shared" ref="M706:M769" si="92">SQRT(C706)/I706</f>
        <v>2.6384581387557744</v>
      </c>
      <c r="N706" s="39">
        <f t="shared" ref="N706:N769" si="93">C706/I706</f>
        <v>93.28358208955224</v>
      </c>
      <c r="O706" s="40">
        <f>1</f>
        <v>1</v>
      </c>
      <c r="P706" s="38">
        <f>INDEX(Cables!$AS:$AS,MATCH(B706,Cables!$A:$A,0))+INDEX(Cables!$AT:$AT,MATCH(B706,Cables!$A:$A,0))*SQRT(C706)+INDEX(Cables!$AU:$AU,MATCH(B706,Cables!$A:$A,0))*C706</f>
        <v>13.418220197125715</v>
      </c>
      <c r="Q706" s="41">
        <f t="shared" ref="Q706:Q769" si="94">P706/I706-1</f>
        <v>1.3597162034115762E-3</v>
      </c>
      <c r="R706" s="39">
        <f t="shared" ref="R706:R769" si="95">Q706^2</f>
        <v>1.8488281538199907E-6</v>
      </c>
      <c r="S706" s="40" t="b">
        <f>IF(B706=B705,C706&gt;C705,COUNTIF(B$1:B705,B706)=0)</f>
        <v>1</v>
      </c>
      <c r="T706" s="37"/>
    </row>
    <row r="707" spans="1:20" x14ac:dyDescent="0.25">
      <c r="A707" s="37" t="s">
        <v>1443</v>
      </c>
      <c r="B707" s="37" t="s">
        <v>552</v>
      </c>
      <c r="C707" s="37">
        <v>1500</v>
      </c>
      <c r="D707" s="37">
        <v>14.9</v>
      </c>
      <c r="E707" s="37" t="s">
        <v>771</v>
      </c>
      <c r="F707" s="37">
        <v>20</v>
      </c>
      <c r="G707" s="37" t="s">
        <v>557</v>
      </c>
      <c r="H707" s="37" t="s">
        <v>1320</v>
      </c>
      <c r="I707" s="38">
        <f t="shared" si="88"/>
        <v>14.9</v>
      </c>
      <c r="J707" s="38">
        <f t="shared" si="89"/>
        <v>7.3132203870903014</v>
      </c>
      <c r="K707" s="38">
        <f t="shared" si="90"/>
        <v>2.7013612129514133</v>
      </c>
      <c r="L707" s="39">
        <f t="shared" si="91"/>
        <v>6.7114093959731544E-2</v>
      </c>
      <c r="M707" s="39">
        <f t="shared" si="92"/>
        <v>2.5993176820184005</v>
      </c>
      <c r="N707" s="39">
        <f t="shared" si="93"/>
        <v>100.67114093959731</v>
      </c>
      <c r="O707" s="40">
        <f>1</f>
        <v>1</v>
      </c>
      <c r="P707" s="38">
        <f>INDEX(Cables!$AS:$AS,MATCH(B707,Cables!$A:$A,0))+INDEX(Cables!$AT:$AT,MATCH(B707,Cables!$A:$A,0))*SQRT(C707)+INDEX(Cables!$AU:$AU,MATCH(B707,Cables!$A:$A,0))*C707</f>
        <v>14.899225371728114</v>
      </c>
      <c r="Q707" s="41">
        <f t="shared" si="94"/>
        <v>-5.1988474623176906E-5</v>
      </c>
      <c r="R707" s="39">
        <f t="shared" si="95"/>
        <v>2.7028014936447092E-9</v>
      </c>
      <c r="S707" s="40" t="b">
        <f>IF(B707=B706,C707&gt;C706,COUNTIF(B$1:B706,B707)=0)</f>
        <v>1</v>
      </c>
      <c r="T707" s="37"/>
    </row>
    <row r="708" spans="1:20" x14ac:dyDescent="0.25">
      <c r="A708" s="37" t="s">
        <v>1444</v>
      </c>
      <c r="B708" s="37" t="s">
        <v>552</v>
      </c>
      <c r="C708" s="37">
        <v>1700</v>
      </c>
      <c r="D708" s="37">
        <v>16</v>
      </c>
      <c r="E708" s="37" t="s">
        <v>771</v>
      </c>
      <c r="F708" s="37">
        <v>20</v>
      </c>
      <c r="G708" s="37" t="s">
        <v>557</v>
      </c>
      <c r="H708" s="37" t="s">
        <v>1320</v>
      </c>
      <c r="I708" s="38">
        <f t="shared" si="88"/>
        <v>16</v>
      </c>
      <c r="J708" s="38">
        <f t="shared" si="89"/>
        <v>7.4383835300443071</v>
      </c>
      <c r="K708" s="38">
        <f t="shared" si="90"/>
        <v>2.7725887222397811</v>
      </c>
      <c r="L708" s="39">
        <f t="shared" si="91"/>
        <v>6.25E-2</v>
      </c>
      <c r="M708" s="39">
        <f t="shared" si="92"/>
        <v>2.576941016011038</v>
      </c>
      <c r="N708" s="39">
        <f t="shared" si="93"/>
        <v>106.25</v>
      </c>
      <c r="O708" s="40">
        <f>1</f>
        <v>1</v>
      </c>
      <c r="P708" s="38">
        <f>INDEX(Cables!$AS:$AS,MATCH(B708,Cables!$A:$A,0))+INDEX(Cables!$AT:$AT,MATCH(B708,Cables!$A:$A,0))*SQRT(C708)+INDEX(Cables!$AU:$AU,MATCH(B708,Cables!$A:$A,0))*C708</f>
        <v>16.019492574078466</v>
      </c>
      <c r="Q708" s="41">
        <f t="shared" si="94"/>
        <v>1.2182858799041352E-3</v>
      </c>
      <c r="R708" s="39">
        <f t="shared" si="95"/>
        <v>1.4842204851737929E-6</v>
      </c>
      <c r="S708" s="40" t="b">
        <f>IF(B708=B707,C708&gt;C707,COUNTIF(B$1:B707,B708)=0)</f>
        <v>1</v>
      </c>
      <c r="T708" s="37"/>
    </row>
    <row r="709" spans="1:20" x14ac:dyDescent="0.25">
      <c r="A709" s="37" t="s">
        <v>1445</v>
      </c>
      <c r="B709" s="37" t="s">
        <v>552</v>
      </c>
      <c r="C709" s="37">
        <v>1800</v>
      </c>
      <c r="D709" s="37">
        <v>16.600000000000001</v>
      </c>
      <c r="E709" s="37" t="s">
        <v>771</v>
      </c>
      <c r="F709" s="37">
        <v>20</v>
      </c>
      <c r="G709" s="37" t="s">
        <v>557</v>
      </c>
      <c r="H709" s="37" t="s">
        <v>1320</v>
      </c>
      <c r="I709" s="38">
        <f t="shared" si="88"/>
        <v>16.600000000000001</v>
      </c>
      <c r="J709" s="38">
        <f t="shared" si="89"/>
        <v>7.4955419438842563</v>
      </c>
      <c r="K709" s="38">
        <f t="shared" si="90"/>
        <v>2.8094026953624978</v>
      </c>
      <c r="L709" s="39">
        <f t="shared" si="91"/>
        <v>6.0240963855421679E-2</v>
      </c>
      <c r="M709" s="39">
        <f t="shared" si="92"/>
        <v>2.5558076428429426</v>
      </c>
      <c r="N709" s="39">
        <f t="shared" si="93"/>
        <v>108.43373493975902</v>
      </c>
      <c r="O709" s="40">
        <f>1</f>
        <v>1</v>
      </c>
      <c r="P709" s="38">
        <f>INDEX(Cables!$AS:$AS,MATCH(B709,Cables!$A:$A,0))+INDEX(Cables!$AT:$AT,MATCH(B709,Cables!$A:$A,0))*SQRT(C709)+INDEX(Cables!$AU:$AU,MATCH(B709,Cables!$A:$A,0))*C709</f>
        <v>16.561648090960841</v>
      </c>
      <c r="Q709" s="41">
        <f t="shared" si="94"/>
        <v>-2.310355966214539E-3</v>
      </c>
      <c r="R709" s="39">
        <f t="shared" si="95"/>
        <v>5.3377446906231163E-6</v>
      </c>
      <c r="S709" s="40" t="b">
        <f>IF(B709=B708,C709&gt;C708,COUNTIF(B$1:B708,B709)=0)</f>
        <v>1</v>
      </c>
      <c r="T709" s="37"/>
    </row>
    <row r="710" spans="1:20" x14ac:dyDescent="0.25">
      <c r="A710" s="37" t="s">
        <v>1446</v>
      </c>
      <c r="B710" s="37" t="s">
        <v>552</v>
      </c>
      <c r="C710" s="37">
        <v>2000</v>
      </c>
      <c r="D710" s="37">
        <v>17.600000000000001</v>
      </c>
      <c r="E710" s="37" t="s">
        <v>771</v>
      </c>
      <c r="F710" s="37">
        <v>20</v>
      </c>
      <c r="G710" s="37" t="s">
        <v>557</v>
      </c>
      <c r="H710" s="37" t="s">
        <v>1320</v>
      </c>
      <c r="I710" s="38">
        <f t="shared" si="88"/>
        <v>17.600000000000001</v>
      </c>
      <c r="J710" s="38">
        <f t="shared" si="89"/>
        <v>7.6009024595420822</v>
      </c>
      <c r="K710" s="38">
        <f t="shared" si="90"/>
        <v>2.8678989020441064</v>
      </c>
      <c r="L710" s="39">
        <f t="shared" si="91"/>
        <v>5.6818181818181816E-2</v>
      </c>
      <c r="M710" s="39">
        <f t="shared" si="92"/>
        <v>2.5409863380679427</v>
      </c>
      <c r="N710" s="39">
        <f t="shared" si="93"/>
        <v>113.63636363636363</v>
      </c>
      <c r="O710" s="40">
        <f>1</f>
        <v>1</v>
      </c>
      <c r="P710" s="38">
        <f>INDEX(Cables!$AS:$AS,MATCH(B710,Cables!$A:$A,0))+INDEX(Cables!$AT:$AT,MATCH(B710,Cables!$A:$A,0))*SQRT(C710)+INDEX(Cables!$AU:$AU,MATCH(B710,Cables!$A:$A,0))*C710</f>
        <v>17.614809085556239</v>
      </c>
      <c r="Q710" s="41">
        <f t="shared" si="94"/>
        <v>8.4142531569519896E-4</v>
      </c>
      <c r="R710" s="39">
        <f t="shared" si="95"/>
        <v>7.0799656189276527E-7</v>
      </c>
      <c r="S710" s="40" t="b">
        <f>IF(B710=B709,C710&gt;C709,COUNTIF(B$1:B709,B710)=0)</f>
        <v>1</v>
      </c>
      <c r="T710" s="37"/>
    </row>
    <row r="711" spans="1:20" x14ac:dyDescent="0.25">
      <c r="A711" s="37" t="s">
        <v>1447</v>
      </c>
      <c r="B711" s="37" t="s">
        <v>552</v>
      </c>
      <c r="C711" s="37">
        <v>2100</v>
      </c>
      <c r="D711" s="37">
        <v>18.100000000000001</v>
      </c>
      <c r="E711" s="37" t="s">
        <v>771</v>
      </c>
      <c r="F711" s="37">
        <v>20</v>
      </c>
      <c r="G711" s="37" t="s">
        <v>557</v>
      </c>
      <c r="H711" s="37" t="s">
        <v>1320</v>
      </c>
      <c r="I711" s="38">
        <f t="shared" si="88"/>
        <v>18.100000000000001</v>
      </c>
      <c r="J711" s="38">
        <f t="shared" si="89"/>
        <v>7.6496926237115144</v>
      </c>
      <c r="K711" s="38">
        <f t="shared" si="90"/>
        <v>2.8959119382717802</v>
      </c>
      <c r="L711" s="39">
        <f t="shared" si="91"/>
        <v>5.5248618784530384E-2</v>
      </c>
      <c r="M711" s="39">
        <f t="shared" si="92"/>
        <v>2.531809776218696</v>
      </c>
      <c r="N711" s="39">
        <f t="shared" si="93"/>
        <v>116.02209944751381</v>
      </c>
      <c r="O711" s="40">
        <f>1</f>
        <v>1</v>
      </c>
      <c r="P711" s="38">
        <f>INDEX(Cables!$AS:$AS,MATCH(B711,Cables!$A:$A,0))+INDEX(Cables!$AT:$AT,MATCH(B711,Cables!$A:$A,0))*SQRT(C711)+INDEX(Cables!$AU:$AU,MATCH(B711,Cables!$A:$A,0))*C711</f>
        <v>18.127374638020594</v>
      </c>
      <c r="Q711" s="41">
        <f t="shared" si="94"/>
        <v>1.5124109403641395E-3</v>
      </c>
      <c r="R711" s="39">
        <f t="shared" si="95"/>
        <v>2.2873868525331408E-6</v>
      </c>
      <c r="S711" s="40" t="b">
        <f>IF(B711=B710,C711&gt;C710,COUNTIF(B$1:B710,B711)=0)</f>
        <v>1</v>
      </c>
      <c r="T711" s="37"/>
    </row>
    <row r="712" spans="1:20" x14ac:dyDescent="0.25">
      <c r="A712" s="37" t="s">
        <v>1448</v>
      </c>
      <c r="B712" s="37" t="s">
        <v>552</v>
      </c>
      <c r="C712" s="37">
        <v>2200</v>
      </c>
      <c r="D712" s="37">
        <v>18.600000000000001</v>
      </c>
      <c r="E712" s="37" t="s">
        <v>771</v>
      </c>
      <c r="F712" s="37">
        <v>20</v>
      </c>
      <c r="G712" s="37" t="s">
        <v>557</v>
      </c>
      <c r="H712" s="37" t="s">
        <v>1320</v>
      </c>
      <c r="I712" s="38">
        <f t="shared" si="88"/>
        <v>18.600000000000001</v>
      </c>
      <c r="J712" s="38">
        <f t="shared" si="89"/>
        <v>7.696212639346407</v>
      </c>
      <c r="K712" s="38">
        <f t="shared" si="90"/>
        <v>2.9231615807191558</v>
      </c>
      <c r="L712" s="39">
        <f t="shared" si="91"/>
        <v>5.3763440860215048E-2</v>
      </c>
      <c r="M712" s="39">
        <f t="shared" si="92"/>
        <v>2.5217289031308763</v>
      </c>
      <c r="N712" s="39">
        <f t="shared" si="93"/>
        <v>118.27956989247311</v>
      </c>
      <c r="O712" s="40">
        <f>1</f>
        <v>1</v>
      </c>
      <c r="P712" s="38">
        <f>INDEX(Cables!$AS:$AS,MATCH(B712,Cables!$A:$A,0))+INDEX(Cables!$AT:$AT,MATCH(B712,Cables!$A:$A,0))*SQRT(C712)+INDEX(Cables!$AU:$AU,MATCH(B712,Cables!$A:$A,0))*C712</f>
        <v>18.631482623263331</v>
      </c>
      <c r="Q712" s="41">
        <f t="shared" si="94"/>
        <v>1.6926141539423956E-3</v>
      </c>
      <c r="R712" s="39">
        <f t="shared" si="95"/>
        <v>2.8649426741261316E-6</v>
      </c>
      <c r="S712" s="40" t="b">
        <f>IF(B712=B711,C712&gt;C711,COUNTIF(B$1:B711,B712)=0)</f>
        <v>1</v>
      </c>
      <c r="T712" s="37"/>
    </row>
    <row r="713" spans="1:20" x14ac:dyDescent="0.25">
      <c r="A713" s="37" t="s">
        <v>1449</v>
      </c>
      <c r="B713" s="37" t="s">
        <v>552</v>
      </c>
      <c r="C713" s="37">
        <v>2300</v>
      </c>
      <c r="D713" s="37">
        <v>19.100000000000001</v>
      </c>
      <c r="E713" s="37" t="s">
        <v>771</v>
      </c>
      <c r="F713" s="37">
        <v>20</v>
      </c>
      <c r="G713" s="37" t="s">
        <v>557</v>
      </c>
      <c r="H713" s="37" t="s">
        <v>1320</v>
      </c>
      <c r="I713" s="38">
        <f t="shared" si="88"/>
        <v>19.100000000000001</v>
      </c>
      <c r="J713" s="38">
        <f t="shared" si="89"/>
        <v>7.7406644019172415</v>
      </c>
      <c r="K713" s="38">
        <f t="shared" si="90"/>
        <v>2.9496883350525844</v>
      </c>
      <c r="L713" s="39">
        <f t="shared" si="91"/>
        <v>5.235602094240837E-2</v>
      </c>
      <c r="M713" s="39">
        <f t="shared" si="92"/>
        <v>2.51090655670823</v>
      </c>
      <c r="N713" s="39">
        <f t="shared" si="93"/>
        <v>120.41884816753925</v>
      </c>
      <c r="O713" s="40">
        <f>1</f>
        <v>1</v>
      </c>
      <c r="P713" s="38">
        <f>INDEX(Cables!$AS:$AS,MATCH(B713,Cables!$A:$A,0))+INDEX(Cables!$AT:$AT,MATCH(B713,Cables!$A:$A,0))*SQRT(C713)+INDEX(Cables!$AU:$AU,MATCH(B713,Cables!$A:$A,0))*C713</f>
        <v>19.127703587561868</v>
      </c>
      <c r="Q713" s="41">
        <f t="shared" si="94"/>
        <v>1.4504496105689491E-3</v>
      </c>
      <c r="R713" s="39">
        <f t="shared" si="95"/>
        <v>2.1038040727996161E-6</v>
      </c>
      <c r="S713" s="40" t="b">
        <f>IF(B713=B712,C713&gt;C712,COUNTIF(B$1:B712,B713)=0)</f>
        <v>1</v>
      </c>
      <c r="T713" s="37"/>
    </row>
    <row r="714" spans="1:20" x14ac:dyDescent="0.25">
      <c r="A714" s="37" t="s">
        <v>1450</v>
      </c>
      <c r="B714" s="37" t="s">
        <v>552</v>
      </c>
      <c r="C714" s="37">
        <v>3000</v>
      </c>
      <c r="D714" s="37">
        <v>22.4</v>
      </c>
      <c r="E714" s="37" t="s">
        <v>771</v>
      </c>
      <c r="F714" s="37">
        <v>20</v>
      </c>
      <c r="G714" s="37" t="s">
        <v>557</v>
      </c>
      <c r="H714" s="37" t="s">
        <v>1320</v>
      </c>
      <c r="I714" s="38">
        <f t="shared" si="88"/>
        <v>22.4</v>
      </c>
      <c r="J714" s="38">
        <f t="shared" si="89"/>
        <v>8.0063675676502459</v>
      </c>
      <c r="K714" s="38">
        <f t="shared" si="90"/>
        <v>3.1090609588609941</v>
      </c>
      <c r="L714" s="39">
        <f t="shared" si="91"/>
        <v>4.4642857142857144E-2</v>
      </c>
      <c r="M714" s="39">
        <f t="shared" si="92"/>
        <v>2.445189988862349</v>
      </c>
      <c r="N714" s="39">
        <f t="shared" si="93"/>
        <v>133.92857142857144</v>
      </c>
      <c r="O714" s="40">
        <f>1</f>
        <v>1</v>
      </c>
      <c r="P714" s="38">
        <f>INDEX(Cables!$AS:$AS,MATCH(B714,Cables!$A:$A,0))+INDEX(Cables!$AT:$AT,MATCH(B714,Cables!$A:$A,0))*SQRT(C714)+INDEX(Cables!$AU:$AU,MATCH(B714,Cables!$A:$A,0))*C714</f>
        <v>22.417384920549168</v>
      </c>
      <c r="Q714" s="41">
        <f t="shared" si="94"/>
        <v>7.7611252451648127E-4</v>
      </c>
      <c r="R714" s="39">
        <f t="shared" si="95"/>
        <v>6.0235065071134575E-7</v>
      </c>
      <c r="S714" s="40" t="b">
        <f>IF(B714=B713,C714&gt;C713,COUNTIF(B$1:B713,B714)=0)</f>
        <v>1</v>
      </c>
      <c r="T714" s="37"/>
    </row>
    <row r="715" spans="1:20" x14ac:dyDescent="0.25">
      <c r="A715" s="37" t="s">
        <v>1451</v>
      </c>
      <c r="B715" s="37" t="s">
        <v>552</v>
      </c>
      <c r="C715" s="37">
        <v>3400</v>
      </c>
      <c r="D715" s="37">
        <v>24.2</v>
      </c>
      <c r="E715" s="37" t="s">
        <v>771</v>
      </c>
      <c r="F715" s="37">
        <v>20</v>
      </c>
      <c r="G715" s="37" t="s">
        <v>557</v>
      </c>
      <c r="H715" s="37" t="s">
        <v>1320</v>
      </c>
      <c r="I715" s="38">
        <f t="shared" si="88"/>
        <v>24.2</v>
      </c>
      <c r="J715" s="38">
        <f t="shared" si="89"/>
        <v>8.1315307106042525</v>
      </c>
      <c r="K715" s="38">
        <f t="shared" si="90"/>
        <v>3.1863526331626408</v>
      </c>
      <c r="L715" s="39">
        <f t="shared" si="91"/>
        <v>4.1322314049586778E-2</v>
      </c>
      <c r="M715" s="39">
        <f t="shared" si="92"/>
        <v>2.4094842540683059</v>
      </c>
      <c r="N715" s="39">
        <f t="shared" si="93"/>
        <v>140.49586776859505</v>
      </c>
      <c r="O715" s="40">
        <f>1</f>
        <v>1</v>
      </c>
      <c r="P715" s="38">
        <f>INDEX(Cables!$AS:$AS,MATCH(B715,Cables!$A:$A,0))+INDEX(Cables!$AT:$AT,MATCH(B715,Cables!$A:$A,0))*SQRT(C715)+INDEX(Cables!$AU:$AU,MATCH(B715,Cables!$A:$A,0))*C715</f>
        <v>24.181249043966062</v>
      </c>
      <c r="Q715" s="41">
        <f t="shared" si="94"/>
        <v>-7.7483289396429456E-4</v>
      </c>
      <c r="R715" s="39">
        <f t="shared" si="95"/>
        <v>6.003660135690837E-7</v>
      </c>
      <c r="S715" s="40" t="b">
        <f>IF(B715=B714,C715&gt;C714,COUNTIF(B$1:B714,B715)=0)</f>
        <v>1</v>
      </c>
      <c r="T715" s="37"/>
    </row>
    <row r="716" spans="1:20" x14ac:dyDescent="0.25">
      <c r="A716" s="37" t="s">
        <v>1452</v>
      </c>
      <c r="B716" s="37" t="s">
        <v>552</v>
      </c>
      <c r="C716" s="37">
        <v>4000</v>
      </c>
      <c r="D716" s="37">
        <v>26.7</v>
      </c>
      <c r="E716" s="37" t="s">
        <v>771</v>
      </c>
      <c r="F716" s="37">
        <v>20</v>
      </c>
      <c r="G716" s="37" t="s">
        <v>557</v>
      </c>
      <c r="H716" s="37" t="s">
        <v>1320</v>
      </c>
      <c r="I716" s="38">
        <f t="shared" si="88"/>
        <v>26.7</v>
      </c>
      <c r="J716" s="38">
        <f t="shared" si="89"/>
        <v>8.2940496401020276</v>
      </c>
      <c r="K716" s="38">
        <f t="shared" si="90"/>
        <v>3.2846635654062037</v>
      </c>
      <c r="L716" s="39">
        <f t="shared" si="91"/>
        <v>3.7453183520599252E-2</v>
      </c>
      <c r="M716" s="39">
        <f t="shared" si="92"/>
        <v>2.3687473109875499</v>
      </c>
      <c r="N716" s="39">
        <f t="shared" si="93"/>
        <v>149.81273408239701</v>
      </c>
      <c r="O716" s="40">
        <f>1</f>
        <v>1</v>
      </c>
      <c r="P716" s="38">
        <f>INDEX(Cables!$AS:$AS,MATCH(B716,Cables!$A:$A,0))+INDEX(Cables!$AT:$AT,MATCH(B716,Cables!$A:$A,0))*SQRT(C716)+INDEX(Cables!$AU:$AU,MATCH(B716,Cables!$A:$A,0))*C716</f>
        <v>26.706717869332572</v>
      </c>
      <c r="Q716" s="41">
        <f t="shared" si="94"/>
        <v>2.5160559298020857E-4</v>
      </c>
      <c r="R716" s="39">
        <f t="shared" si="95"/>
        <v>6.3305374418922382E-8</v>
      </c>
      <c r="S716" s="40" t="b">
        <f>IF(B716=B715,C716&gt;C715,COUNTIF(B$1:B715,B716)=0)</f>
        <v>1</v>
      </c>
      <c r="T716" s="37"/>
    </row>
    <row r="717" spans="1:20" x14ac:dyDescent="0.25">
      <c r="A717" s="37" t="s">
        <v>1453</v>
      </c>
      <c r="B717" s="37" t="s">
        <v>552</v>
      </c>
      <c r="C717" s="37">
        <v>5000</v>
      </c>
      <c r="D717" s="37">
        <v>30.7</v>
      </c>
      <c r="E717" s="37" t="s">
        <v>771</v>
      </c>
      <c r="F717" s="37">
        <v>20</v>
      </c>
      <c r="G717" s="37" t="s">
        <v>557</v>
      </c>
      <c r="H717" s="37" t="s">
        <v>1320</v>
      </c>
      <c r="I717" s="38">
        <f t="shared" si="88"/>
        <v>30.7</v>
      </c>
      <c r="J717" s="38">
        <f t="shared" si="89"/>
        <v>8.5171931914162382</v>
      </c>
      <c r="K717" s="38">
        <f t="shared" si="90"/>
        <v>3.4242626545931514</v>
      </c>
      <c r="L717" s="39">
        <f t="shared" si="91"/>
        <v>3.2573289902280131E-2</v>
      </c>
      <c r="M717" s="39">
        <f t="shared" si="92"/>
        <v>2.3032794175457574</v>
      </c>
      <c r="N717" s="39">
        <f t="shared" si="93"/>
        <v>162.86644951140065</v>
      </c>
      <c r="O717" s="40">
        <f>1</f>
        <v>1</v>
      </c>
      <c r="P717" s="38">
        <f>INDEX(Cables!$AS:$AS,MATCH(B717,Cables!$A:$A,0))+INDEX(Cables!$AT:$AT,MATCH(B717,Cables!$A:$A,0))*SQRT(C717)+INDEX(Cables!$AU:$AU,MATCH(B717,Cables!$A:$A,0))*C717</f>
        <v>30.668060330204717</v>
      </c>
      <c r="Q717" s="41">
        <f t="shared" si="94"/>
        <v>-1.04038012362484E-3</v>
      </c>
      <c r="R717" s="39">
        <f t="shared" si="95"/>
        <v>1.0823908016336374E-6</v>
      </c>
      <c r="S717" s="40" t="b">
        <f>IF(B717=B716,C717&gt;C716,COUNTIF(B$1:B716,B717)=0)</f>
        <v>1</v>
      </c>
      <c r="T717" s="37"/>
    </row>
    <row r="718" spans="1:20" x14ac:dyDescent="0.25">
      <c r="A718" s="37" t="s">
        <v>1454</v>
      </c>
      <c r="B718" s="37" t="s">
        <v>552</v>
      </c>
      <c r="C718" s="37">
        <v>6000</v>
      </c>
      <c r="D718" s="37">
        <v>34.4</v>
      </c>
      <c r="E718" s="37" t="s">
        <v>771</v>
      </c>
      <c r="F718" s="37">
        <v>20</v>
      </c>
      <c r="G718" s="37" t="s">
        <v>557</v>
      </c>
      <c r="H718" s="37" t="s">
        <v>1320</v>
      </c>
      <c r="I718" s="38">
        <f t="shared" si="88"/>
        <v>34.4</v>
      </c>
      <c r="J718" s="38">
        <f t="shared" si="89"/>
        <v>8.6995147482101913</v>
      </c>
      <c r="K718" s="38">
        <f t="shared" si="90"/>
        <v>3.5380565643793527</v>
      </c>
      <c r="L718" s="39">
        <f t="shared" si="91"/>
        <v>2.9069767441860465E-2</v>
      </c>
      <c r="M718" s="39">
        <f t="shared" si="92"/>
        <v>2.2517345036089633</v>
      </c>
      <c r="N718" s="39">
        <f t="shared" si="93"/>
        <v>174.41860465116281</v>
      </c>
      <c r="O718" s="40">
        <f>1</f>
        <v>1</v>
      </c>
      <c r="P718" s="38">
        <f>INDEX(Cables!$AS:$AS,MATCH(B718,Cables!$A:$A,0))+INDEX(Cables!$AT:$AT,MATCH(B718,Cables!$A:$A,0))*SQRT(C718)+INDEX(Cables!$AU:$AU,MATCH(B718,Cables!$A:$A,0))*C718</f>
        <v>34.396421011361205</v>
      </c>
      <c r="Q718" s="41">
        <f t="shared" si="94"/>
        <v>-1.0404036740674361E-4</v>
      </c>
      <c r="R718" s="39">
        <f t="shared" si="95"/>
        <v>1.0824398050130197E-8</v>
      </c>
      <c r="S718" s="40" t="b">
        <f>IF(B718=B717,C718&gt;C717,COUNTIF(B$1:B717,B718)=0)</f>
        <v>1</v>
      </c>
      <c r="T718" s="37"/>
    </row>
    <row r="719" spans="1:20" x14ac:dyDescent="0.25">
      <c r="A719" s="37" t="s">
        <v>1455</v>
      </c>
      <c r="B719" s="37" t="s">
        <v>552</v>
      </c>
      <c r="C719" s="37">
        <v>8000</v>
      </c>
      <c r="D719" s="37">
        <v>41.4</v>
      </c>
      <c r="E719" s="37" t="s">
        <v>771</v>
      </c>
      <c r="F719" s="37">
        <v>20</v>
      </c>
      <c r="G719" s="37" t="s">
        <v>557</v>
      </c>
      <c r="H719" s="37" t="s">
        <v>1320</v>
      </c>
      <c r="I719" s="38">
        <f t="shared" si="88"/>
        <v>41.4</v>
      </c>
      <c r="J719" s="38">
        <f t="shared" si="89"/>
        <v>8.987196820661973</v>
      </c>
      <c r="K719" s="38">
        <f t="shared" si="90"/>
        <v>3.7232808808312687</v>
      </c>
      <c r="L719" s="39">
        <f t="shared" si="91"/>
        <v>2.4154589371980676E-2</v>
      </c>
      <c r="M719" s="39">
        <f t="shared" si="92"/>
        <v>2.1604521521737099</v>
      </c>
      <c r="N719" s="39">
        <f t="shared" si="93"/>
        <v>193.23671497584542</v>
      </c>
      <c r="O719" s="40">
        <f>1</f>
        <v>1</v>
      </c>
      <c r="P719" s="38">
        <f>INDEX(Cables!$AS:$AS,MATCH(B719,Cables!$A:$A,0))+INDEX(Cables!$AT:$AT,MATCH(B719,Cables!$A:$A,0))*SQRT(C719)+INDEX(Cables!$AU:$AU,MATCH(B719,Cables!$A:$A,0))*C719</f>
        <v>41.360289102920831</v>
      </c>
      <c r="Q719" s="41">
        <f t="shared" si="94"/>
        <v>-9.5920041254027311E-4</v>
      </c>
      <c r="R719" s="39">
        <f t="shared" si="95"/>
        <v>9.2006543141743007E-7</v>
      </c>
      <c r="S719" s="40" t="b">
        <f>IF(B719=B718,C719&gt;C718,COUNTIF(B$1:B718,B719)=0)</f>
        <v>1</v>
      </c>
      <c r="T719" s="37"/>
    </row>
    <row r="720" spans="1:20" x14ac:dyDescent="0.25">
      <c r="A720" s="37" t="s">
        <v>1456</v>
      </c>
      <c r="B720" s="37" t="s">
        <v>552</v>
      </c>
      <c r="C720" s="37">
        <v>10000</v>
      </c>
      <c r="D720" s="37">
        <v>47.9</v>
      </c>
      <c r="E720" s="37" t="s">
        <v>771</v>
      </c>
      <c r="F720" s="37">
        <v>20</v>
      </c>
      <c r="G720" s="37" t="s">
        <v>557</v>
      </c>
      <c r="H720" s="37" t="s">
        <v>1320</v>
      </c>
      <c r="I720" s="38">
        <f t="shared" si="88"/>
        <v>47.9</v>
      </c>
      <c r="J720" s="38">
        <f t="shared" si="89"/>
        <v>9.2103403719761836</v>
      </c>
      <c r="K720" s="38">
        <f t="shared" si="90"/>
        <v>3.8691155044168695</v>
      </c>
      <c r="L720" s="39">
        <f t="shared" si="91"/>
        <v>2.0876826722338204E-2</v>
      </c>
      <c r="M720" s="39">
        <f t="shared" si="92"/>
        <v>2.0876826722338206</v>
      </c>
      <c r="N720" s="39">
        <f t="shared" si="93"/>
        <v>208.76826722338205</v>
      </c>
      <c r="O720" s="40">
        <f>1</f>
        <v>1</v>
      </c>
      <c r="P720" s="38">
        <f>INDEX(Cables!$AS:$AS,MATCH(B720,Cables!$A:$A,0))+INDEX(Cables!$AT:$AT,MATCH(B720,Cables!$A:$A,0))*SQRT(C720)+INDEX(Cables!$AU:$AU,MATCH(B720,Cables!$A:$A,0))*C720</f>
        <v>47.860308598146972</v>
      </c>
      <c r="Q720" s="41">
        <f t="shared" si="94"/>
        <v>-8.2863051885229133E-4</v>
      </c>
      <c r="R720" s="39">
        <f t="shared" si="95"/>
        <v>6.8662853677341751E-7</v>
      </c>
      <c r="S720" s="40" t="b">
        <f>IF(B720=B719,C720&gt;C719,COUNTIF(B$1:B719,B720)=0)</f>
        <v>1</v>
      </c>
      <c r="T720" s="37"/>
    </row>
    <row r="721" spans="1:20" x14ac:dyDescent="0.25">
      <c r="A721" s="37" t="s">
        <v>1457</v>
      </c>
      <c r="B721" s="37" t="s">
        <v>552</v>
      </c>
      <c r="C721" s="37">
        <v>10200</v>
      </c>
      <c r="D721" s="37">
        <v>48.5</v>
      </c>
      <c r="E721" s="37" t="s">
        <v>771</v>
      </c>
      <c r="F721" s="37">
        <v>20</v>
      </c>
      <c r="G721" s="37" t="s">
        <v>557</v>
      </c>
      <c r="H721" s="37" t="s">
        <v>1320</v>
      </c>
      <c r="I721" s="38">
        <f t="shared" si="88"/>
        <v>48.5</v>
      </c>
      <c r="J721" s="38">
        <f t="shared" si="89"/>
        <v>9.2301429992723616</v>
      </c>
      <c r="K721" s="38">
        <f t="shared" si="90"/>
        <v>3.8815637979434374</v>
      </c>
      <c r="L721" s="39">
        <f t="shared" si="91"/>
        <v>2.0618556701030927E-2</v>
      </c>
      <c r="M721" s="39">
        <f t="shared" si="92"/>
        <v>2.0823721522396039</v>
      </c>
      <c r="N721" s="39">
        <f t="shared" si="93"/>
        <v>210.30927835051546</v>
      </c>
      <c r="O721" s="40">
        <f>1</f>
        <v>1</v>
      </c>
      <c r="P721" s="38">
        <f>INDEX(Cables!$AS:$AS,MATCH(B721,Cables!$A:$A,0))+INDEX(Cables!$AT:$AT,MATCH(B721,Cables!$A:$A,0))*SQRT(C721)+INDEX(Cables!$AU:$AU,MATCH(B721,Cables!$A:$A,0))*C721</f>
        <v>48.490569840826382</v>
      </c>
      <c r="Q721" s="41">
        <f t="shared" si="94"/>
        <v>-1.9443627162096799E-4</v>
      </c>
      <c r="R721" s="39">
        <f t="shared" si="95"/>
        <v>3.7805463721862844E-8</v>
      </c>
      <c r="S721" s="40" t="b">
        <f>IF(B721=B720,C721&gt;C720,COUNTIF(B$1:B720,B721)=0)</f>
        <v>1</v>
      </c>
      <c r="T721" s="37"/>
    </row>
    <row r="722" spans="1:20" x14ac:dyDescent="0.25">
      <c r="A722" s="37" t="s">
        <v>1458</v>
      </c>
      <c r="B722" s="37" t="s">
        <v>558</v>
      </c>
      <c r="C722" s="37">
        <v>0.5</v>
      </c>
      <c r="D722" s="37">
        <v>0.23499999999999999</v>
      </c>
      <c r="E722" s="37" t="s">
        <v>771</v>
      </c>
      <c r="F722" s="37">
        <v>20</v>
      </c>
      <c r="G722" s="37" t="s">
        <v>563</v>
      </c>
      <c r="H722" s="37" t="s">
        <v>1047</v>
      </c>
      <c r="I722" s="38">
        <f t="shared" si="88"/>
        <v>0.23499999999999999</v>
      </c>
      <c r="J722" s="38">
        <f t="shared" si="89"/>
        <v>-0.69314718055994529</v>
      </c>
      <c r="K722" s="38">
        <f t="shared" si="90"/>
        <v>-1.4481697648379781</v>
      </c>
      <c r="L722" s="39">
        <f t="shared" si="91"/>
        <v>4.2553191489361701</v>
      </c>
      <c r="M722" s="39">
        <f t="shared" si="92"/>
        <v>3.0089650263257344</v>
      </c>
      <c r="N722" s="39">
        <f t="shared" si="93"/>
        <v>2.1276595744680851</v>
      </c>
      <c r="O722" s="40">
        <f>1</f>
        <v>1</v>
      </c>
      <c r="P722" s="38">
        <f>INDEX(Cables!$AS:$AS,MATCH(B722,Cables!$A:$A,0))+INDEX(Cables!$AT:$AT,MATCH(B722,Cables!$A:$A,0))*SQRT(C722)+INDEX(Cables!$AU:$AU,MATCH(B722,Cables!$A:$A,0))*C722</f>
        <v>0.23479001811993222</v>
      </c>
      <c r="Q722" s="41">
        <f t="shared" si="94"/>
        <v>-8.9353991518204001E-4</v>
      </c>
      <c r="R722" s="39">
        <f t="shared" si="95"/>
        <v>7.9841358002352727E-7</v>
      </c>
      <c r="S722" s="40" t="b">
        <f>IF(B722=B721,C722&gt;C721,COUNTIF(B$1:B721,B722)=0)</f>
        <v>1</v>
      </c>
      <c r="T722" s="37"/>
    </row>
    <row r="723" spans="1:20" x14ac:dyDescent="0.25">
      <c r="A723" s="37" t="s">
        <v>1459</v>
      </c>
      <c r="B723" s="37" t="s">
        <v>558</v>
      </c>
      <c r="C723" s="37">
        <v>1</v>
      </c>
      <c r="D723" s="37">
        <v>0.33200000000000002</v>
      </c>
      <c r="E723" s="37" t="s">
        <v>771</v>
      </c>
      <c r="F723" s="37">
        <v>20</v>
      </c>
      <c r="G723" s="37" t="s">
        <v>563</v>
      </c>
      <c r="H723" s="37" t="s">
        <v>1047</v>
      </c>
      <c r="I723" s="38">
        <f t="shared" si="88"/>
        <v>0.33200000000000002</v>
      </c>
      <c r="J723" s="38">
        <f t="shared" si="89"/>
        <v>0</v>
      </c>
      <c r="K723" s="38">
        <f t="shared" si="90"/>
        <v>-1.1026203100656484</v>
      </c>
      <c r="L723" s="39">
        <f t="shared" si="91"/>
        <v>3.012048192771084</v>
      </c>
      <c r="M723" s="39">
        <f t="shared" si="92"/>
        <v>3.012048192771084</v>
      </c>
      <c r="N723" s="39">
        <f t="shared" si="93"/>
        <v>3.012048192771084</v>
      </c>
      <c r="O723" s="40">
        <f>1</f>
        <v>1</v>
      </c>
      <c r="P723" s="38">
        <f>INDEX(Cables!$AS:$AS,MATCH(B723,Cables!$A:$A,0))+INDEX(Cables!$AT:$AT,MATCH(B723,Cables!$A:$A,0))*SQRT(C723)+INDEX(Cables!$AU:$AU,MATCH(B723,Cables!$A:$A,0))*C723</f>
        <v>0.33237185853518497</v>
      </c>
      <c r="Q723" s="41">
        <f t="shared" si="94"/>
        <v>1.1200558288704254E-3</v>
      </c>
      <c r="R723" s="39">
        <f t="shared" si="95"/>
        <v>1.2545250597866157E-6</v>
      </c>
      <c r="S723" s="40" t="b">
        <f>IF(B723=B722,C723&gt;C722,COUNTIF(B$1:B722,B723)=0)</f>
        <v>1</v>
      </c>
      <c r="T723" s="37"/>
    </row>
    <row r="724" spans="1:20" x14ac:dyDescent="0.25">
      <c r="A724" s="37" t="s">
        <v>1460</v>
      </c>
      <c r="B724" s="37" t="s">
        <v>558</v>
      </c>
      <c r="C724" s="37">
        <v>1.5</v>
      </c>
      <c r="D724" s="37">
        <v>0.40699999999999997</v>
      </c>
      <c r="E724" s="37" t="s">
        <v>771</v>
      </c>
      <c r="F724" s="37">
        <v>20</v>
      </c>
      <c r="G724" s="37" t="s">
        <v>563</v>
      </c>
      <c r="H724" s="37" t="s">
        <v>1047</v>
      </c>
      <c r="I724" s="38">
        <f t="shared" si="88"/>
        <v>0.40699999999999997</v>
      </c>
      <c r="J724" s="38">
        <f t="shared" si="89"/>
        <v>0.40546510810816438</v>
      </c>
      <c r="K724" s="38">
        <f t="shared" si="90"/>
        <v>-0.89894209353954213</v>
      </c>
      <c r="L724" s="39">
        <f t="shared" si="91"/>
        <v>2.4570024570024573</v>
      </c>
      <c r="M724" s="39">
        <f t="shared" si="92"/>
        <v>3.0092011582102924</v>
      </c>
      <c r="N724" s="39">
        <f t="shared" si="93"/>
        <v>3.6855036855036856</v>
      </c>
      <c r="O724" s="40">
        <f>1</f>
        <v>1</v>
      </c>
      <c r="P724" s="38">
        <f>INDEX(Cables!$AS:$AS,MATCH(B724,Cables!$A:$A,0))+INDEX(Cables!$AT:$AT,MATCH(B724,Cables!$A:$A,0))*SQRT(C724)+INDEX(Cables!$AU:$AU,MATCH(B724,Cables!$A:$A,0))*C724</f>
        <v>0.40737423265144446</v>
      </c>
      <c r="Q724" s="41">
        <f t="shared" si="94"/>
        <v>9.19490544089685E-4</v>
      </c>
      <c r="R724" s="39">
        <f t="shared" si="95"/>
        <v>8.45462860670345E-7</v>
      </c>
      <c r="S724" s="40" t="b">
        <f>IF(B724=B723,C724&gt;C723,COUNTIF(B$1:B723,B724)=0)</f>
        <v>1</v>
      </c>
      <c r="T724" s="37"/>
    </row>
    <row r="725" spans="1:20" x14ac:dyDescent="0.25">
      <c r="A725" s="37" t="s">
        <v>1461</v>
      </c>
      <c r="B725" s="37" t="s">
        <v>558</v>
      </c>
      <c r="C725" s="37">
        <v>2</v>
      </c>
      <c r="D725" s="37">
        <v>0.47099999999999997</v>
      </c>
      <c r="E725" s="37" t="s">
        <v>771</v>
      </c>
      <c r="F725" s="37">
        <v>20</v>
      </c>
      <c r="G725" s="37" t="s">
        <v>563</v>
      </c>
      <c r="H725" s="37" t="s">
        <v>1047</v>
      </c>
      <c r="I725" s="38">
        <f t="shared" si="88"/>
        <v>0.47099999999999997</v>
      </c>
      <c r="J725" s="38">
        <f t="shared" si="89"/>
        <v>0.69314718055994529</v>
      </c>
      <c r="K725" s="38">
        <f t="shared" si="90"/>
        <v>-0.75289718496571933</v>
      </c>
      <c r="L725" s="39">
        <f t="shared" si="91"/>
        <v>2.1231422505307855</v>
      </c>
      <c r="M725" s="39">
        <f t="shared" si="92"/>
        <v>3.0025765655479728</v>
      </c>
      <c r="N725" s="39">
        <f t="shared" si="93"/>
        <v>4.2462845010615711</v>
      </c>
      <c r="O725" s="40">
        <f>1</f>
        <v>1</v>
      </c>
      <c r="P725" s="38">
        <f>INDEX(Cables!$AS:$AS,MATCH(B725,Cables!$A:$A,0))+INDEX(Cables!$AT:$AT,MATCH(B725,Cables!$A:$A,0))*SQRT(C725)+INDEX(Cables!$AU:$AU,MATCH(B725,Cables!$A:$A,0))*C725</f>
        <v>0.47068861495484415</v>
      </c>
      <c r="Q725" s="41">
        <f t="shared" si="94"/>
        <v>-6.6111474555374805E-4</v>
      </c>
      <c r="R725" s="39">
        <f t="shared" si="95"/>
        <v>4.3707270678859705E-7</v>
      </c>
      <c r="S725" s="40" t="b">
        <f>IF(B725=B724,C725&gt;C724,COUNTIF(B$1:B724,B725)=0)</f>
        <v>1</v>
      </c>
      <c r="T725" s="37"/>
    </row>
    <row r="726" spans="1:20" x14ac:dyDescent="0.25">
      <c r="A726" s="37" t="s">
        <v>1462</v>
      </c>
      <c r="B726" s="37" t="s">
        <v>558</v>
      </c>
      <c r="C726" s="37">
        <v>10</v>
      </c>
      <c r="D726" s="37">
        <v>1.0589999999999999</v>
      </c>
      <c r="E726" s="37" t="s">
        <v>771</v>
      </c>
      <c r="F726" s="37">
        <v>20</v>
      </c>
      <c r="G726" s="37" t="s">
        <v>563</v>
      </c>
      <c r="H726" s="37" t="s">
        <v>1047</v>
      </c>
      <c r="I726" s="38">
        <f t="shared" si="88"/>
        <v>1.0589999999999999</v>
      </c>
      <c r="J726" s="38">
        <f t="shared" si="89"/>
        <v>2.3025850929940459</v>
      </c>
      <c r="K726" s="38">
        <f t="shared" si="90"/>
        <v>5.7325066619269352E-2</v>
      </c>
      <c r="L726" s="39">
        <f t="shared" si="91"/>
        <v>0.94428706326723333</v>
      </c>
      <c r="M726" s="39">
        <f t="shared" si="92"/>
        <v>2.9860978849559769</v>
      </c>
      <c r="N726" s="39">
        <f t="shared" si="93"/>
        <v>9.4428706326723333</v>
      </c>
      <c r="O726" s="40">
        <f>1</f>
        <v>1</v>
      </c>
      <c r="P726" s="38">
        <f>INDEX(Cables!$AS:$AS,MATCH(B726,Cables!$A:$A,0))+INDEX(Cables!$AT:$AT,MATCH(B726,Cables!$A:$A,0))*SQRT(C726)+INDEX(Cables!$AU:$AU,MATCH(B726,Cables!$A:$A,0))*C726</f>
        <v>1.05848059360965</v>
      </c>
      <c r="Q726" s="41">
        <f t="shared" si="94"/>
        <v>-4.9046873498581611E-4</v>
      </c>
      <c r="R726" s="39">
        <f t="shared" si="95"/>
        <v>2.4055957999858672E-7</v>
      </c>
      <c r="S726" s="40" t="b">
        <f>IF(B726=B725,C726&gt;C725,COUNTIF(B$1:B725,B726)=0)</f>
        <v>1</v>
      </c>
      <c r="T726" s="37"/>
    </row>
    <row r="727" spans="1:20" x14ac:dyDescent="0.25">
      <c r="A727" s="37" t="s">
        <v>1463</v>
      </c>
      <c r="B727" s="37" t="s">
        <v>558</v>
      </c>
      <c r="C727" s="37">
        <v>20</v>
      </c>
      <c r="D727" s="37">
        <v>1.5029999999999999</v>
      </c>
      <c r="E727" s="37" t="s">
        <v>771</v>
      </c>
      <c r="F727" s="37">
        <v>20</v>
      </c>
      <c r="G727" s="37" t="s">
        <v>563</v>
      </c>
      <c r="H727" s="37" t="s">
        <v>1047</v>
      </c>
      <c r="I727" s="38">
        <f t="shared" si="88"/>
        <v>1.5029999999999999</v>
      </c>
      <c r="J727" s="38">
        <f t="shared" si="89"/>
        <v>2.9957322735539909</v>
      </c>
      <c r="K727" s="38">
        <f t="shared" si="90"/>
        <v>0.40746311077083736</v>
      </c>
      <c r="L727" s="39">
        <f t="shared" si="91"/>
        <v>0.66533599467731208</v>
      </c>
      <c r="M727" s="39">
        <f t="shared" si="92"/>
        <v>2.9754730239518161</v>
      </c>
      <c r="N727" s="39">
        <f t="shared" si="93"/>
        <v>13.306719893546243</v>
      </c>
      <c r="O727" s="40">
        <f>1</f>
        <v>1</v>
      </c>
      <c r="P727" s="38">
        <f>INDEX(Cables!$AS:$AS,MATCH(B727,Cables!$A:$A,0))+INDEX(Cables!$AT:$AT,MATCH(B727,Cables!$A:$A,0))*SQRT(C727)+INDEX(Cables!$AU:$AU,MATCH(B727,Cables!$A:$A,0))*C727</f>
        <v>1.5032349325901939</v>
      </c>
      <c r="Q727" s="41">
        <f t="shared" si="94"/>
        <v>1.5630910857877822E-4</v>
      </c>
      <c r="R727" s="39">
        <f t="shared" si="95"/>
        <v>2.443253742469228E-8</v>
      </c>
      <c r="S727" s="40" t="b">
        <f>IF(B727=B726,C727&gt;C726,COUNTIF(B$1:B726,B727)=0)</f>
        <v>1</v>
      </c>
      <c r="T727" s="37"/>
    </row>
    <row r="728" spans="1:20" x14ac:dyDescent="0.25">
      <c r="A728" s="37" t="s">
        <v>1464</v>
      </c>
      <c r="B728" s="37" t="s">
        <v>558</v>
      </c>
      <c r="C728" s="37">
        <v>30</v>
      </c>
      <c r="D728" s="37">
        <v>1.847</v>
      </c>
      <c r="E728" s="37" t="s">
        <v>771</v>
      </c>
      <c r="F728" s="37">
        <v>20</v>
      </c>
      <c r="G728" s="37" t="s">
        <v>563</v>
      </c>
      <c r="H728" s="37" t="s">
        <v>1047</v>
      </c>
      <c r="I728" s="38">
        <f t="shared" si="88"/>
        <v>1.847</v>
      </c>
      <c r="J728" s="38">
        <f t="shared" si="89"/>
        <v>3.4011973816621555</v>
      </c>
      <c r="K728" s="38">
        <f t="shared" si="90"/>
        <v>0.61356270121710288</v>
      </c>
      <c r="L728" s="39">
        <f t="shared" si="91"/>
        <v>0.54141851651326478</v>
      </c>
      <c r="M728" s="39">
        <f t="shared" si="92"/>
        <v>2.965471345452984</v>
      </c>
      <c r="N728" s="39">
        <f t="shared" si="93"/>
        <v>16.242555495397944</v>
      </c>
      <c r="O728" s="40">
        <f>1</f>
        <v>1</v>
      </c>
      <c r="P728" s="38">
        <f>INDEX(Cables!$AS:$AS,MATCH(B728,Cables!$A:$A,0))+INDEX(Cables!$AT:$AT,MATCH(B728,Cables!$A:$A,0))*SQRT(C728)+INDEX(Cables!$AU:$AU,MATCH(B728,Cables!$A:$A,0))*C728</f>
        <v>1.8470108284903084</v>
      </c>
      <c r="Q728" s="41">
        <f t="shared" si="94"/>
        <v>5.8627451589021717E-6</v>
      </c>
      <c r="R728" s="39">
        <f t="shared" si="95"/>
        <v>3.4371780798230849E-11</v>
      </c>
      <c r="S728" s="40" t="b">
        <f>IF(B728=B727,C728&gt;C727,COUNTIF(B$1:B727,B728)=0)</f>
        <v>1</v>
      </c>
      <c r="T728" s="37"/>
    </row>
    <row r="729" spans="1:20" x14ac:dyDescent="0.25">
      <c r="A729" s="37" t="s">
        <v>1465</v>
      </c>
      <c r="B729" s="37" t="s">
        <v>558</v>
      </c>
      <c r="C729" s="37">
        <v>50</v>
      </c>
      <c r="D729" s="37">
        <v>2.3969999999999998</v>
      </c>
      <c r="E729" s="37" t="s">
        <v>771</v>
      </c>
      <c r="F729" s="37">
        <v>20</v>
      </c>
      <c r="G729" s="37" t="s">
        <v>563</v>
      </c>
      <c r="H729" s="37" t="s">
        <v>1047</v>
      </c>
      <c r="I729" s="38">
        <f t="shared" si="88"/>
        <v>2.3969999999999998</v>
      </c>
      <c r="J729" s="38">
        <f t="shared" si="89"/>
        <v>3.912023005428146</v>
      </c>
      <c r="K729" s="38">
        <f t="shared" si="90"/>
        <v>0.87421795545224723</v>
      </c>
      <c r="L729" s="39">
        <f t="shared" si="91"/>
        <v>0.41718815185648733</v>
      </c>
      <c r="M729" s="39">
        <f t="shared" si="92"/>
        <v>2.9499657120840532</v>
      </c>
      <c r="N729" s="39">
        <f t="shared" si="93"/>
        <v>20.859407592824365</v>
      </c>
      <c r="O729" s="40">
        <f>1</f>
        <v>1</v>
      </c>
      <c r="P729" s="38">
        <f>INDEX(Cables!$AS:$AS,MATCH(B729,Cables!$A:$A,0))+INDEX(Cables!$AT:$AT,MATCH(B729,Cables!$A:$A,0))*SQRT(C729)+INDEX(Cables!$AU:$AU,MATCH(B729,Cables!$A:$A,0))*C729</f>
        <v>2.3966184486347721</v>
      </c>
      <c r="Q729" s="41">
        <f t="shared" si="94"/>
        <v>-1.5917870889770036E-4</v>
      </c>
      <c r="R729" s="39">
        <f t="shared" si="95"/>
        <v>2.5337861366338832E-8</v>
      </c>
      <c r="S729" s="40" t="b">
        <f>IF(B729=B728,C729&gt;C728,COUNTIF(B$1:B728,B729)=0)</f>
        <v>1</v>
      </c>
      <c r="T729" s="37"/>
    </row>
    <row r="730" spans="1:20" x14ac:dyDescent="0.25">
      <c r="A730" s="37" t="s">
        <v>1466</v>
      </c>
      <c r="B730" s="37" t="s">
        <v>558</v>
      </c>
      <c r="C730" s="37">
        <v>88</v>
      </c>
      <c r="D730" s="37">
        <v>3.2029999999999998</v>
      </c>
      <c r="E730" s="37" t="s">
        <v>771</v>
      </c>
      <c r="F730" s="37">
        <v>20</v>
      </c>
      <c r="G730" s="37" t="s">
        <v>563</v>
      </c>
      <c r="H730" s="37" t="s">
        <v>1047</v>
      </c>
      <c r="I730" s="38">
        <f t="shared" si="88"/>
        <v>3.2029999999999998</v>
      </c>
      <c r="J730" s="38">
        <f t="shared" si="89"/>
        <v>4.4773368144782069</v>
      </c>
      <c r="K730" s="38">
        <f t="shared" si="90"/>
        <v>1.164087870627021</v>
      </c>
      <c r="L730" s="39">
        <f t="shared" si="91"/>
        <v>0.31220730565095223</v>
      </c>
      <c r="M730" s="39">
        <f t="shared" si="92"/>
        <v>2.9287641335144738</v>
      </c>
      <c r="N730" s="39">
        <f t="shared" si="93"/>
        <v>27.474242897283798</v>
      </c>
      <c r="O730" s="40">
        <f>1</f>
        <v>1</v>
      </c>
      <c r="P730" s="38">
        <f>INDEX(Cables!$AS:$AS,MATCH(B730,Cables!$A:$A,0))+INDEX(Cables!$AT:$AT,MATCH(B730,Cables!$A:$A,0))*SQRT(C730)+INDEX(Cables!$AU:$AU,MATCH(B730,Cables!$A:$A,0))*C730</f>
        <v>3.2028015392353444</v>
      </c>
      <c r="Q730" s="41">
        <f t="shared" si="94"/>
        <v>-6.1960900610502634E-5</v>
      </c>
      <c r="R730" s="39">
        <f t="shared" si="95"/>
        <v>3.8391532044645855E-9</v>
      </c>
      <c r="S730" s="40" t="b">
        <f>IF(B730=B729,C730&gt;C729,COUNTIF(B$1:B729,B730)=0)</f>
        <v>1</v>
      </c>
      <c r="T730" s="37"/>
    </row>
    <row r="731" spans="1:20" x14ac:dyDescent="0.25">
      <c r="A731" s="37" t="s">
        <v>1467</v>
      </c>
      <c r="B731" s="37" t="s">
        <v>558</v>
      </c>
      <c r="C731" s="37">
        <v>100</v>
      </c>
      <c r="D731" s="37">
        <v>3.4209999999999998</v>
      </c>
      <c r="E731" s="37" t="s">
        <v>771</v>
      </c>
      <c r="F731" s="37">
        <v>20</v>
      </c>
      <c r="G731" s="37" t="s">
        <v>563</v>
      </c>
      <c r="H731" s="37" t="s">
        <v>1047</v>
      </c>
      <c r="I731" s="38">
        <f t="shared" si="88"/>
        <v>3.4209999999999998</v>
      </c>
      <c r="J731" s="38">
        <f t="shared" si="89"/>
        <v>4.6051701859880918</v>
      </c>
      <c r="K731" s="38">
        <f t="shared" si="90"/>
        <v>1.2299329059954676</v>
      </c>
      <c r="L731" s="39">
        <f t="shared" si="91"/>
        <v>0.29231218941829878</v>
      </c>
      <c r="M731" s="39">
        <f t="shared" si="92"/>
        <v>2.9231218941829877</v>
      </c>
      <c r="N731" s="39">
        <f t="shared" si="93"/>
        <v>29.231218941829876</v>
      </c>
      <c r="O731" s="40">
        <f>1</f>
        <v>1</v>
      </c>
      <c r="P731" s="38">
        <f>INDEX(Cables!$AS:$AS,MATCH(B731,Cables!$A:$A,0))+INDEX(Cables!$AT:$AT,MATCH(B731,Cables!$A:$A,0))*SQRT(C731)+INDEX(Cables!$AU:$AU,MATCH(B731,Cables!$A:$A,0))*C731</f>
        <v>3.420863176538091</v>
      </c>
      <c r="Q731" s="41">
        <f t="shared" si="94"/>
        <v>-3.9995165714401537E-5</v>
      </c>
      <c r="R731" s="39">
        <f t="shared" si="95"/>
        <v>1.5996132805224402E-9</v>
      </c>
      <c r="S731" s="40" t="b">
        <f>IF(B731=B730,C731&gt;C730,COUNTIF(B$1:B730,B731)=0)</f>
        <v>1</v>
      </c>
      <c r="T731" s="37"/>
    </row>
    <row r="732" spans="1:20" x14ac:dyDescent="0.25">
      <c r="A732" s="37" t="s">
        <v>1468</v>
      </c>
      <c r="B732" s="37" t="s">
        <v>558</v>
      </c>
      <c r="C732" s="37">
        <v>108</v>
      </c>
      <c r="D732" s="37">
        <v>3.5590000000000002</v>
      </c>
      <c r="E732" s="37" t="s">
        <v>771</v>
      </c>
      <c r="F732" s="37">
        <v>20</v>
      </c>
      <c r="G732" s="37" t="s">
        <v>563</v>
      </c>
      <c r="H732" s="37" t="s">
        <v>1047</v>
      </c>
      <c r="I732" s="38">
        <f t="shared" si="88"/>
        <v>3.5590000000000002</v>
      </c>
      <c r="J732" s="38">
        <f t="shared" si="89"/>
        <v>4.6821312271242199</v>
      </c>
      <c r="K732" s="38">
        <f t="shared" si="90"/>
        <v>1.2694796065280556</v>
      </c>
      <c r="L732" s="39">
        <f t="shared" si="91"/>
        <v>0.28097780275358247</v>
      </c>
      <c r="M732" s="39">
        <f t="shared" si="92"/>
        <v>2.9200069810096272</v>
      </c>
      <c r="N732" s="39">
        <f t="shared" si="93"/>
        <v>30.345602697386905</v>
      </c>
      <c r="O732" s="40">
        <f>1</f>
        <v>1</v>
      </c>
      <c r="P732" s="38">
        <f>INDEX(Cables!$AS:$AS,MATCH(B732,Cables!$A:$A,0))+INDEX(Cables!$AT:$AT,MATCH(B732,Cables!$A:$A,0))*SQRT(C732)+INDEX(Cables!$AU:$AU,MATCH(B732,Cables!$A:$A,0))*C732</f>
        <v>3.559453941857428</v>
      </c>
      <c r="Q732" s="41">
        <f t="shared" si="94"/>
        <v>1.275475856779007E-4</v>
      </c>
      <c r="R732" s="39">
        <f t="shared" si="95"/>
        <v>1.6268386612261419E-8</v>
      </c>
      <c r="S732" s="40" t="b">
        <f>IF(B732=B731,C732&gt;C731,COUNTIF(B$1:B731,B732)=0)</f>
        <v>1</v>
      </c>
      <c r="T732" s="37"/>
    </row>
    <row r="733" spans="1:20" x14ac:dyDescent="0.25">
      <c r="A733" s="37" t="s">
        <v>1469</v>
      </c>
      <c r="B733" s="37" t="s">
        <v>558</v>
      </c>
      <c r="C733" s="37">
        <v>150</v>
      </c>
      <c r="D733" s="37">
        <v>4.2190000000000003</v>
      </c>
      <c r="E733" s="37" t="s">
        <v>771</v>
      </c>
      <c r="F733" s="37">
        <v>20</v>
      </c>
      <c r="G733" s="37" t="s">
        <v>563</v>
      </c>
      <c r="H733" s="37" t="s">
        <v>1047</v>
      </c>
      <c r="I733" s="38">
        <f t="shared" si="88"/>
        <v>4.2190000000000003</v>
      </c>
      <c r="J733" s="38">
        <f t="shared" si="89"/>
        <v>5.0106352940962555</v>
      </c>
      <c r="K733" s="38">
        <f t="shared" si="90"/>
        <v>1.4395981331422016</v>
      </c>
      <c r="L733" s="39">
        <f t="shared" si="91"/>
        <v>0.2370229912301493</v>
      </c>
      <c r="M733" s="39">
        <f t="shared" si="92"/>
        <v>2.9029269291101896</v>
      </c>
      <c r="N733" s="39">
        <f t="shared" si="93"/>
        <v>35.553448684522394</v>
      </c>
      <c r="O733" s="40">
        <f>1</f>
        <v>1</v>
      </c>
      <c r="P733" s="38">
        <f>INDEX(Cables!$AS:$AS,MATCH(B733,Cables!$A:$A,0))+INDEX(Cables!$AT:$AT,MATCH(B733,Cables!$A:$A,0))*SQRT(C733)+INDEX(Cables!$AU:$AU,MATCH(B733,Cables!$A:$A,0))*C733</f>
        <v>4.2193132414514771</v>
      </c>
      <c r="Q733" s="41">
        <f t="shared" si="94"/>
        <v>7.424542580625193E-5</v>
      </c>
      <c r="R733" s="39">
        <f t="shared" si="95"/>
        <v>5.5123832531516604E-9</v>
      </c>
      <c r="S733" s="40" t="b">
        <f>IF(B733=B732,C733&gt;C732,COUNTIF(B$1:B732,B733)=0)</f>
        <v>1</v>
      </c>
      <c r="T733" s="37"/>
    </row>
    <row r="734" spans="1:20" x14ac:dyDescent="0.25">
      <c r="A734" s="37" t="s">
        <v>1470</v>
      </c>
      <c r="B734" s="37" t="s">
        <v>558</v>
      </c>
      <c r="C734" s="37">
        <v>174</v>
      </c>
      <c r="D734" s="37">
        <v>4.5579999999999998</v>
      </c>
      <c r="E734" s="37" t="s">
        <v>771</v>
      </c>
      <c r="F734" s="37">
        <v>20</v>
      </c>
      <c r="G734" s="37" t="s">
        <v>563</v>
      </c>
      <c r="H734" s="37" t="s">
        <v>1047</v>
      </c>
      <c r="I734" s="38">
        <f t="shared" si="88"/>
        <v>4.5579999999999998</v>
      </c>
      <c r="J734" s="38">
        <f t="shared" si="89"/>
        <v>5.1590552992145291</v>
      </c>
      <c r="K734" s="38">
        <f t="shared" si="90"/>
        <v>1.5168839308234925</v>
      </c>
      <c r="L734" s="39">
        <f t="shared" si="91"/>
        <v>0.21939447125932426</v>
      </c>
      <c r="M734" s="39">
        <f t="shared" si="92"/>
        <v>2.8940118381467572</v>
      </c>
      <c r="N734" s="39">
        <f t="shared" si="93"/>
        <v>38.174637999122425</v>
      </c>
      <c r="O734" s="40">
        <f>1</f>
        <v>1</v>
      </c>
      <c r="P734" s="38">
        <f>INDEX(Cables!$AS:$AS,MATCH(B734,Cables!$A:$A,0))+INDEX(Cables!$AT:$AT,MATCH(B734,Cables!$A:$A,0))*SQRT(C734)+INDEX(Cables!$AU:$AU,MATCH(B734,Cables!$A:$A,0))*C734</f>
        <v>4.5577345633397943</v>
      </c>
      <c r="Q734" s="41">
        <f t="shared" si="94"/>
        <v>-5.8235335718581638E-5</v>
      </c>
      <c r="R734" s="39">
        <f t="shared" si="95"/>
        <v>3.3913543262559104E-9</v>
      </c>
      <c r="S734" s="40" t="b">
        <f>IF(B734=B733,C734&gt;C733,COUNTIF(B$1:B733,B734)=0)</f>
        <v>1</v>
      </c>
      <c r="T734" s="37"/>
    </row>
    <row r="735" spans="1:20" x14ac:dyDescent="0.25">
      <c r="A735" s="37" t="s">
        <v>1471</v>
      </c>
      <c r="B735" s="37" t="s">
        <v>558</v>
      </c>
      <c r="C735" s="37">
        <v>200</v>
      </c>
      <c r="D735" s="37">
        <v>4.9009999999999998</v>
      </c>
      <c r="E735" s="37" t="s">
        <v>771</v>
      </c>
      <c r="F735" s="37">
        <v>20</v>
      </c>
      <c r="G735" s="37" t="s">
        <v>563</v>
      </c>
      <c r="H735" s="37" t="s">
        <v>1047</v>
      </c>
      <c r="I735" s="38">
        <f t="shared" si="88"/>
        <v>4.9009999999999998</v>
      </c>
      <c r="J735" s="38">
        <f t="shared" si="89"/>
        <v>5.2983173665480363</v>
      </c>
      <c r="K735" s="38">
        <f t="shared" si="90"/>
        <v>1.5894392659274104</v>
      </c>
      <c r="L735" s="39">
        <f t="shared" si="91"/>
        <v>0.20403999183840033</v>
      </c>
      <c r="M735" s="39">
        <f t="shared" si="92"/>
        <v>2.8855612372436137</v>
      </c>
      <c r="N735" s="39">
        <f t="shared" si="93"/>
        <v>40.807998367680064</v>
      </c>
      <c r="O735" s="40">
        <f>1</f>
        <v>1</v>
      </c>
      <c r="P735" s="38">
        <f>INDEX(Cables!$AS:$AS,MATCH(B735,Cables!$A:$A,0))+INDEX(Cables!$AT:$AT,MATCH(B735,Cables!$A:$A,0))*SQRT(C735)+INDEX(Cables!$AU:$AU,MATCH(B735,Cables!$A:$A,0))*C735</f>
        <v>4.9008833882362639</v>
      </c>
      <c r="Q735" s="41">
        <f t="shared" si="94"/>
        <v>-2.3793463320931352E-5</v>
      </c>
      <c r="R735" s="39">
        <f t="shared" si="95"/>
        <v>5.661288968045056E-10</v>
      </c>
      <c r="S735" s="40" t="b">
        <f>IF(B735=B734,C735&gt;C734,COUNTIF(B$1:B734,B735)=0)</f>
        <v>1</v>
      </c>
      <c r="T735" s="37"/>
    </row>
    <row r="736" spans="1:20" x14ac:dyDescent="0.25">
      <c r="A736" s="37" t="s">
        <v>1472</v>
      </c>
      <c r="B736" s="37" t="s">
        <v>558</v>
      </c>
      <c r="C736" s="37">
        <v>300</v>
      </c>
      <c r="D736" s="37">
        <v>6.0620000000000003</v>
      </c>
      <c r="E736" s="37" t="s">
        <v>771</v>
      </c>
      <c r="F736" s="37">
        <v>20</v>
      </c>
      <c r="G736" s="37" t="s">
        <v>563</v>
      </c>
      <c r="H736" s="37" t="s">
        <v>1047</v>
      </c>
      <c r="I736" s="38">
        <f t="shared" si="88"/>
        <v>6.0620000000000003</v>
      </c>
      <c r="J736" s="38">
        <f t="shared" si="89"/>
        <v>5.7037824746562009</v>
      </c>
      <c r="K736" s="38">
        <f t="shared" si="90"/>
        <v>1.8020397786356115</v>
      </c>
      <c r="L736" s="39">
        <f t="shared" si="91"/>
        <v>0.16496205872649289</v>
      </c>
      <c r="M736" s="39">
        <f t="shared" si="92"/>
        <v>2.857226670354466</v>
      </c>
      <c r="N736" s="39">
        <f t="shared" si="93"/>
        <v>49.488617617947867</v>
      </c>
      <c r="O736" s="40">
        <f>1</f>
        <v>1</v>
      </c>
      <c r="P736" s="38">
        <f>INDEX(Cables!$AS:$AS,MATCH(B736,Cables!$A:$A,0))+INDEX(Cables!$AT:$AT,MATCH(B736,Cables!$A:$A,0))*SQRT(C736)+INDEX(Cables!$AU:$AU,MATCH(B736,Cables!$A:$A,0))*C736</f>
        <v>6.0615817252226121</v>
      </c>
      <c r="Q736" s="41">
        <f t="shared" si="94"/>
        <v>-6.8999468391339747E-5</v>
      </c>
      <c r="R736" s="39">
        <f t="shared" si="95"/>
        <v>4.7609266382874925E-9</v>
      </c>
      <c r="S736" s="40" t="b">
        <f>IF(B736=B735,C736&gt;C735,COUNTIF(B$1:B735,B736)=0)</f>
        <v>1</v>
      </c>
      <c r="T736" s="37"/>
    </row>
    <row r="737" spans="1:20" x14ac:dyDescent="0.25">
      <c r="A737" s="37" t="s">
        <v>1473</v>
      </c>
      <c r="B737" s="37" t="s">
        <v>558</v>
      </c>
      <c r="C737" s="37">
        <v>400</v>
      </c>
      <c r="D737" s="37">
        <v>7.0570000000000004</v>
      </c>
      <c r="E737" s="37" t="s">
        <v>771</v>
      </c>
      <c r="F737" s="37">
        <v>20</v>
      </c>
      <c r="G737" s="37" t="s">
        <v>563</v>
      </c>
      <c r="H737" s="37" t="s">
        <v>1047</v>
      </c>
      <c r="I737" s="38">
        <f t="shared" si="88"/>
        <v>7.0570000000000004</v>
      </c>
      <c r="J737" s="38">
        <f t="shared" si="89"/>
        <v>5.9914645471079817</v>
      </c>
      <c r="K737" s="38">
        <f t="shared" si="90"/>
        <v>1.9540200320186933</v>
      </c>
      <c r="L737" s="39">
        <f t="shared" si="91"/>
        <v>0.14170327334561428</v>
      </c>
      <c r="M737" s="39">
        <f t="shared" si="92"/>
        <v>2.8340654669122856</v>
      </c>
      <c r="N737" s="39">
        <f t="shared" si="93"/>
        <v>56.681309338245711</v>
      </c>
      <c r="O737" s="40">
        <f>1</f>
        <v>1</v>
      </c>
      <c r="P737" s="38">
        <f>INDEX(Cables!$AS:$AS,MATCH(B737,Cables!$A:$A,0))+INDEX(Cables!$AT:$AT,MATCH(B737,Cables!$A:$A,0))*SQRT(C737)+INDEX(Cables!$AU:$AU,MATCH(B737,Cables!$A:$A,0))*C737</f>
        <v>7.056986896822437</v>
      </c>
      <c r="Q737" s="41">
        <f t="shared" si="94"/>
        <v>-1.8567631520083339E-6</v>
      </c>
      <c r="R737" s="39">
        <f t="shared" si="95"/>
        <v>3.4475694026559231E-12</v>
      </c>
      <c r="S737" s="40" t="b">
        <f>IF(B737=B736,C737&gt;C736,COUNTIF(B$1:B736,B737)=0)</f>
        <v>1</v>
      </c>
      <c r="T737" s="37"/>
    </row>
    <row r="738" spans="1:20" x14ac:dyDescent="0.25">
      <c r="A738" s="37" t="s">
        <v>1474</v>
      </c>
      <c r="B738" s="37" t="s">
        <v>558</v>
      </c>
      <c r="C738" s="37">
        <v>450</v>
      </c>
      <c r="D738" s="37">
        <v>7.5129999999999999</v>
      </c>
      <c r="E738" s="37" t="s">
        <v>771</v>
      </c>
      <c r="F738" s="37">
        <v>20</v>
      </c>
      <c r="G738" s="37" t="s">
        <v>563</v>
      </c>
      <c r="H738" s="37" t="s">
        <v>1047</v>
      </c>
      <c r="I738" s="38">
        <f t="shared" si="88"/>
        <v>7.5129999999999999</v>
      </c>
      <c r="J738" s="38">
        <f t="shared" si="89"/>
        <v>6.1092475827643655</v>
      </c>
      <c r="K738" s="38">
        <f t="shared" si="90"/>
        <v>2.0166348533870235</v>
      </c>
      <c r="L738" s="39">
        <f t="shared" si="91"/>
        <v>0.1331026221216558</v>
      </c>
      <c r="M738" s="39">
        <f t="shared" si="92"/>
        <v>2.8235330008780015</v>
      </c>
      <c r="N738" s="39">
        <f t="shared" si="93"/>
        <v>59.896179954745108</v>
      </c>
      <c r="O738" s="40">
        <f>1</f>
        <v>1</v>
      </c>
      <c r="P738" s="38">
        <f>INDEX(Cables!$AS:$AS,MATCH(B738,Cables!$A:$A,0))+INDEX(Cables!$AT:$AT,MATCH(B738,Cables!$A:$A,0))*SQRT(C738)+INDEX(Cables!$AU:$AU,MATCH(B738,Cables!$A:$A,0))*C738</f>
        <v>7.512762380617291</v>
      </c>
      <c r="Q738" s="41">
        <f t="shared" si="94"/>
        <v>-3.162776290543956E-5</v>
      </c>
      <c r="R738" s="39">
        <f t="shared" si="95"/>
        <v>1.0003153864026987E-9</v>
      </c>
      <c r="S738" s="40" t="b">
        <f>IF(B738=B737,C738&gt;C737,COUNTIF(B$1:B737,B738)=0)</f>
        <v>1</v>
      </c>
      <c r="T738" s="37"/>
    </row>
    <row r="739" spans="1:20" x14ac:dyDescent="0.25">
      <c r="A739" s="37" t="s">
        <v>1475</v>
      </c>
      <c r="B739" s="37" t="s">
        <v>558</v>
      </c>
      <c r="C739" s="37">
        <v>500</v>
      </c>
      <c r="D739" s="37">
        <v>7.9470000000000001</v>
      </c>
      <c r="E739" s="37" t="s">
        <v>771</v>
      </c>
      <c r="F739" s="37">
        <v>20</v>
      </c>
      <c r="G739" s="37" t="s">
        <v>563</v>
      </c>
      <c r="H739" s="37" t="s">
        <v>1047</v>
      </c>
      <c r="I739" s="38">
        <f t="shared" si="88"/>
        <v>7.9470000000000001</v>
      </c>
      <c r="J739" s="38">
        <f t="shared" si="89"/>
        <v>6.2146080984221914</v>
      </c>
      <c r="K739" s="38">
        <f t="shared" si="90"/>
        <v>2.0727944989580425</v>
      </c>
      <c r="L739" s="39">
        <f t="shared" si="91"/>
        <v>0.12583364791745313</v>
      </c>
      <c r="M739" s="39">
        <f t="shared" si="92"/>
        <v>2.8137259060020003</v>
      </c>
      <c r="N739" s="39">
        <f t="shared" si="93"/>
        <v>62.91682395872656</v>
      </c>
      <c r="O739" s="40">
        <f>1</f>
        <v>1</v>
      </c>
      <c r="P739" s="38">
        <f>INDEX(Cables!$AS:$AS,MATCH(B739,Cables!$A:$A,0))+INDEX(Cables!$AT:$AT,MATCH(B739,Cables!$A:$A,0))*SQRT(C739)+INDEX(Cables!$AU:$AU,MATCH(B739,Cables!$A:$A,0))*C739</f>
        <v>7.9467606268178477</v>
      </c>
      <c r="Q739" s="41">
        <f t="shared" si="94"/>
        <v>-3.0121200723876029E-5</v>
      </c>
      <c r="R739" s="39">
        <f t="shared" si="95"/>
        <v>9.0728673304802985E-10</v>
      </c>
      <c r="S739" s="40" t="b">
        <f>IF(B739=B738,C739&gt;C738,COUNTIF(B$1:B738,B739)=0)</f>
        <v>1</v>
      </c>
      <c r="T739" s="37"/>
    </row>
    <row r="740" spans="1:20" x14ac:dyDescent="0.25">
      <c r="A740" s="37" t="s">
        <v>1476</v>
      </c>
      <c r="B740" s="37" t="s">
        <v>558</v>
      </c>
      <c r="C740" s="37">
        <v>512</v>
      </c>
      <c r="D740" s="37">
        <v>8.048</v>
      </c>
      <c r="E740" s="37" t="s">
        <v>771</v>
      </c>
      <c r="F740" s="37">
        <v>20</v>
      </c>
      <c r="G740" s="37" t="s">
        <v>563</v>
      </c>
      <c r="H740" s="37" t="s">
        <v>1047</v>
      </c>
      <c r="I740" s="38">
        <f t="shared" si="88"/>
        <v>8.048</v>
      </c>
      <c r="J740" s="38">
        <f t="shared" si="89"/>
        <v>6.2383246250395077</v>
      </c>
      <c r="K740" s="38">
        <f t="shared" si="90"/>
        <v>2.0854236133573836</v>
      </c>
      <c r="L740" s="39">
        <f t="shared" si="91"/>
        <v>0.1242544731610338</v>
      </c>
      <c r="M740" s="39">
        <f t="shared" si="92"/>
        <v>2.8115577780777241</v>
      </c>
      <c r="N740" s="39">
        <f t="shared" si="93"/>
        <v>63.618290258449306</v>
      </c>
      <c r="O740" s="40">
        <f>1</f>
        <v>1</v>
      </c>
      <c r="P740" s="38">
        <f>INDEX(Cables!$AS:$AS,MATCH(B740,Cables!$A:$A,0))+INDEX(Cables!$AT:$AT,MATCH(B740,Cables!$A:$A,0))*SQRT(C740)+INDEX(Cables!$AU:$AU,MATCH(B740,Cables!$A:$A,0))*C740</f>
        <v>8.0480518654270412</v>
      </c>
      <c r="Q740" s="41">
        <f t="shared" si="94"/>
        <v>6.444511312375667E-6</v>
      </c>
      <c r="R740" s="39">
        <f t="shared" si="95"/>
        <v>4.1531726055337942E-11</v>
      </c>
      <c r="S740" s="40" t="b">
        <f>IF(B740=B739,C740&gt;C739,COUNTIF(B$1:B739,B740)=0)</f>
        <v>1</v>
      </c>
      <c r="T740" s="37"/>
    </row>
    <row r="741" spans="1:20" x14ac:dyDescent="0.25">
      <c r="A741" s="37" t="s">
        <v>1477</v>
      </c>
      <c r="B741" s="37" t="s">
        <v>558</v>
      </c>
      <c r="C741" s="37">
        <v>600</v>
      </c>
      <c r="D741" s="37">
        <v>8.7609999999999992</v>
      </c>
      <c r="E741" s="37" t="s">
        <v>771</v>
      </c>
      <c r="F741" s="37">
        <v>20</v>
      </c>
      <c r="G741" s="37" t="s">
        <v>563</v>
      </c>
      <c r="H741" s="37" t="s">
        <v>1047</v>
      </c>
      <c r="I741" s="38">
        <f t="shared" si="88"/>
        <v>8.7609999999999992</v>
      </c>
      <c r="J741" s="38">
        <f t="shared" si="89"/>
        <v>6.3969296552161463</v>
      </c>
      <c r="K741" s="38">
        <f t="shared" si="90"/>
        <v>2.1703100536842266</v>
      </c>
      <c r="L741" s="39">
        <f t="shared" si="91"/>
        <v>0.11414222120762471</v>
      </c>
      <c r="M741" s="39">
        <f t="shared" si="92"/>
        <v>2.7959020006656528</v>
      </c>
      <c r="N741" s="39">
        <f t="shared" si="93"/>
        <v>68.485332724574832</v>
      </c>
      <c r="O741" s="40">
        <f>1</f>
        <v>1</v>
      </c>
      <c r="P741" s="38">
        <f>INDEX(Cables!$AS:$AS,MATCH(B741,Cables!$A:$A,0))+INDEX(Cables!$AT:$AT,MATCH(B741,Cables!$A:$A,0))*SQRT(C741)+INDEX(Cables!$AU:$AU,MATCH(B741,Cables!$A:$A,0))*C741</f>
        <v>8.7615010794287436</v>
      </c>
      <c r="Q741" s="41">
        <f t="shared" si="94"/>
        <v>5.7194318998421423E-5</v>
      </c>
      <c r="R741" s="39">
        <f t="shared" si="95"/>
        <v>3.2711901256931895E-9</v>
      </c>
      <c r="S741" s="40" t="b">
        <f>IF(B741=B740,C741&gt;C740,COUNTIF(B$1:B740,B741)=0)</f>
        <v>1</v>
      </c>
      <c r="T741" s="37"/>
    </row>
    <row r="742" spans="1:20" x14ac:dyDescent="0.25">
      <c r="A742" s="37" t="s">
        <v>1478</v>
      </c>
      <c r="B742" s="37" t="s">
        <v>558</v>
      </c>
      <c r="C742" s="37">
        <v>700</v>
      </c>
      <c r="D742" s="37">
        <v>9.5190000000000001</v>
      </c>
      <c r="E742" s="37" t="s">
        <v>771</v>
      </c>
      <c r="F742" s="37">
        <v>20</v>
      </c>
      <c r="G742" s="37" t="s">
        <v>563</v>
      </c>
      <c r="H742" s="37" t="s">
        <v>1047</v>
      </c>
      <c r="I742" s="38">
        <f t="shared" si="88"/>
        <v>9.5190000000000001</v>
      </c>
      <c r="J742" s="38">
        <f t="shared" si="89"/>
        <v>6.5510803350434044</v>
      </c>
      <c r="K742" s="38">
        <f t="shared" si="90"/>
        <v>2.253289801269168</v>
      </c>
      <c r="L742" s="39">
        <f t="shared" si="91"/>
        <v>0.10505305179115453</v>
      </c>
      <c r="M742" s="39">
        <f t="shared" si="92"/>
        <v>2.7794424950778343</v>
      </c>
      <c r="N742" s="39">
        <f t="shared" si="93"/>
        <v>73.537136253808171</v>
      </c>
      <c r="O742" s="40">
        <f>1</f>
        <v>1</v>
      </c>
      <c r="P742" s="38">
        <f>INDEX(Cables!$AS:$AS,MATCH(B742,Cables!$A:$A,0))+INDEX(Cables!$AT:$AT,MATCH(B742,Cables!$A:$A,0))*SQRT(C742)+INDEX(Cables!$AU:$AU,MATCH(B742,Cables!$A:$A,0))*C742</f>
        <v>9.5193849677136377</v>
      </c>
      <c r="Q742" s="41">
        <f t="shared" si="94"/>
        <v>4.044203315878292E-5</v>
      </c>
      <c r="R742" s="39">
        <f t="shared" si="95"/>
        <v>1.6355580460160973E-9</v>
      </c>
      <c r="S742" s="40" t="b">
        <f>IF(B742=B741,C742&gt;C741,COUNTIF(B$1:B741,B742)=0)</f>
        <v>1</v>
      </c>
      <c r="T742" s="37"/>
    </row>
    <row r="743" spans="1:20" x14ac:dyDescent="0.25">
      <c r="A743" s="37" t="s">
        <v>1479</v>
      </c>
      <c r="B743" s="37" t="s">
        <v>558</v>
      </c>
      <c r="C743" s="37">
        <v>800</v>
      </c>
      <c r="D743" s="37">
        <v>10.231999999999999</v>
      </c>
      <c r="E743" s="37" t="s">
        <v>771</v>
      </c>
      <c r="F743" s="37">
        <v>20</v>
      </c>
      <c r="G743" s="37" t="s">
        <v>563</v>
      </c>
      <c r="H743" s="37" t="s">
        <v>1047</v>
      </c>
      <c r="I743" s="38">
        <f t="shared" si="88"/>
        <v>10.231999999999999</v>
      </c>
      <c r="J743" s="38">
        <f t="shared" si="89"/>
        <v>6.6846117276679271</v>
      </c>
      <c r="K743" s="38">
        <f t="shared" si="90"/>
        <v>2.3255200642765415</v>
      </c>
      <c r="L743" s="39">
        <f t="shared" si="91"/>
        <v>9.7732603596559817E-2</v>
      </c>
      <c r="M743" s="39">
        <f t="shared" si="92"/>
        <v>2.7642954698457687</v>
      </c>
      <c r="N743" s="39">
        <f t="shared" si="93"/>
        <v>78.186082877247856</v>
      </c>
      <c r="O743" s="40">
        <f>1</f>
        <v>1</v>
      </c>
      <c r="P743" s="38">
        <f>INDEX(Cables!$AS:$AS,MATCH(B743,Cables!$A:$A,0))+INDEX(Cables!$AT:$AT,MATCH(B743,Cables!$A:$A,0))*SQRT(C743)+INDEX(Cables!$AU:$AU,MATCH(B743,Cables!$A:$A,0))*C743</f>
        <v>10.232255425777852</v>
      </c>
      <c r="Q743" s="41">
        <f t="shared" si="94"/>
        <v>2.4963426295210311E-5</v>
      </c>
      <c r="R743" s="39">
        <f t="shared" si="95"/>
        <v>6.231726523963976E-10</v>
      </c>
      <c r="S743" s="40" t="b">
        <f>IF(B743=B742,C743&gt;C742,COUNTIF(B$1:B742,B743)=0)</f>
        <v>1</v>
      </c>
      <c r="T743" s="37"/>
    </row>
    <row r="744" spans="1:20" x14ac:dyDescent="0.25">
      <c r="A744" s="37" t="s">
        <v>1480</v>
      </c>
      <c r="B744" s="37" t="s">
        <v>558</v>
      </c>
      <c r="C744" s="37">
        <v>824</v>
      </c>
      <c r="D744" s="37">
        <v>10.398</v>
      </c>
      <c r="E744" s="37" t="s">
        <v>771</v>
      </c>
      <c r="F744" s="37">
        <v>20</v>
      </c>
      <c r="G744" s="37" t="s">
        <v>563</v>
      </c>
      <c r="H744" s="37" t="s">
        <v>1047</v>
      </c>
      <c r="I744" s="38">
        <f t="shared" si="88"/>
        <v>10.398</v>
      </c>
      <c r="J744" s="38">
        <f t="shared" si="89"/>
        <v>6.7141705299094721</v>
      </c>
      <c r="K744" s="38">
        <f t="shared" si="90"/>
        <v>2.341613479961524</v>
      </c>
      <c r="L744" s="39">
        <f t="shared" si="91"/>
        <v>9.6172340834775924E-2</v>
      </c>
      <c r="M744" s="39">
        <f t="shared" si="92"/>
        <v>2.7606655307573233</v>
      </c>
      <c r="N744" s="39">
        <f t="shared" si="93"/>
        <v>79.246008847855364</v>
      </c>
      <c r="O744" s="40">
        <f>1</f>
        <v>1</v>
      </c>
      <c r="P744" s="38">
        <f>INDEX(Cables!$AS:$AS,MATCH(B744,Cables!$A:$A,0))+INDEX(Cables!$AT:$AT,MATCH(B744,Cables!$A:$A,0))*SQRT(C744)+INDEX(Cables!$AU:$AU,MATCH(B744,Cables!$A:$A,0))*C744</f>
        <v>10.39761467410352</v>
      </c>
      <c r="Q744" s="41">
        <f t="shared" si="94"/>
        <v>-3.7057693448638851E-5</v>
      </c>
      <c r="R744" s="39">
        <f t="shared" si="95"/>
        <v>1.3732726437332908E-9</v>
      </c>
      <c r="S744" s="40" t="b">
        <f>IF(B744=B743,C744&gt;C743,COUNTIF(B$1:B743,B744)=0)</f>
        <v>1</v>
      </c>
      <c r="T744" s="37"/>
    </row>
    <row r="745" spans="1:20" x14ac:dyDescent="0.25">
      <c r="A745" s="37" t="s">
        <v>1481</v>
      </c>
      <c r="B745" s="37" t="s">
        <v>558</v>
      </c>
      <c r="C745" s="37">
        <v>894</v>
      </c>
      <c r="D745" s="37">
        <v>10.869</v>
      </c>
      <c r="E745" s="37" t="s">
        <v>771</v>
      </c>
      <c r="F745" s="37">
        <v>20</v>
      </c>
      <c r="G745" s="37" t="s">
        <v>563</v>
      </c>
      <c r="H745" s="37" t="s">
        <v>1047</v>
      </c>
      <c r="I745" s="38">
        <f t="shared" si="88"/>
        <v>10.869</v>
      </c>
      <c r="J745" s="38">
        <f t="shared" si="89"/>
        <v>6.7957057751735137</v>
      </c>
      <c r="K745" s="38">
        <f t="shared" si="90"/>
        <v>2.3859147005810497</v>
      </c>
      <c r="L745" s="39">
        <f t="shared" si="91"/>
        <v>9.2004784248780933E-2</v>
      </c>
      <c r="M745" s="39">
        <f t="shared" si="92"/>
        <v>2.7509276635801001</v>
      </c>
      <c r="N745" s="39">
        <f t="shared" si="93"/>
        <v>82.252277118410163</v>
      </c>
      <c r="O745" s="40">
        <f>1</f>
        <v>1</v>
      </c>
      <c r="P745" s="38">
        <f>INDEX(Cables!$AS:$AS,MATCH(B745,Cables!$A:$A,0))+INDEX(Cables!$AT:$AT,MATCH(B745,Cables!$A:$A,0))*SQRT(C745)+INDEX(Cables!$AU:$AU,MATCH(B745,Cables!$A:$A,0))*C745</f>
        <v>10.8686936576785</v>
      </c>
      <c r="Q745" s="41">
        <f t="shared" si="94"/>
        <v>-2.8184959195765025E-5</v>
      </c>
      <c r="R745" s="39">
        <f t="shared" si="95"/>
        <v>7.9439192486693939E-10</v>
      </c>
      <c r="S745" s="40" t="b">
        <f>IF(B745=B744,C745&gt;C744,COUNTIF(B$1:B744,B745)=0)</f>
        <v>1</v>
      </c>
      <c r="T745" s="37"/>
    </row>
    <row r="746" spans="1:20" x14ac:dyDescent="0.25">
      <c r="A746" s="37" t="s">
        <v>1482</v>
      </c>
      <c r="B746" s="37" t="s">
        <v>558</v>
      </c>
      <c r="C746" s="37">
        <v>960</v>
      </c>
      <c r="D746" s="37">
        <v>11.298999999999999</v>
      </c>
      <c r="E746" s="37" t="s">
        <v>771</v>
      </c>
      <c r="F746" s="37">
        <v>20</v>
      </c>
      <c r="G746" s="37" t="s">
        <v>563</v>
      </c>
      <c r="H746" s="37" t="s">
        <v>1047</v>
      </c>
      <c r="I746" s="38">
        <f t="shared" si="88"/>
        <v>11.298999999999999</v>
      </c>
      <c r="J746" s="38">
        <f t="shared" si="89"/>
        <v>6.866933284461882</v>
      </c>
      <c r="K746" s="38">
        <f t="shared" si="90"/>
        <v>2.4247142262271093</v>
      </c>
      <c r="L746" s="39">
        <f t="shared" si="91"/>
        <v>8.8503407381184174E-2</v>
      </c>
      <c r="M746" s="39">
        <f t="shared" si="92"/>
        <v>2.7421777829594953</v>
      </c>
      <c r="N746" s="39">
        <f t="shared" si="93"/>
        <v>84.96327108593681</v>
      </c>
      <c r="O746" s="40">
        <f>1</f>
        <v>1</v>
      </c>
      <c r="P746" s="38">
        <f>INDEX(Cables!$AS:$AS,MATCH(B746,Cables!$A:$A,0))+INDEX(Cables!$AT:$AT,MATCH(B746,Cables!$A:$A,0))*SQRT(C746)+INDEX(Cables!$AU:$AU,MATCH(B746,Cables!$A:$A,0))*C746</f>
        <v>11.298889917065914</v>
      </c>
      <c r="Q746" s="41">
        <f t="shared" si="94"/>
        <v>-9.7427147610629206E-6</v>
      </c>
      <c r="R746" s="39">
        <f t="shared" si="95"/>
        <v>9.4920490915433319E-11</v>
      </c>
      <c r="S746" s="40" t="b">
        <f>IF(B746=B745,C746&gt;C745,COUNTIF(B$1:B745,B746)=0)</f>
        <v>1</v>
      </c>
      <c r="T746" s="37"/>
    </row>
    <row r="747" spans="1:20" x14ac:dyDescent="0.25">
      <c r="A747" s="37" t="s">
        <v>1483</v>
      </c>
      <c r="B747" s="37" t="s">
        <v>558</v>
      </c>
      <c r="C747" s="37">
        <v>1000</v>
      </c>
      <c r="D747" s="37">
        <v>11.554</v>
      </c>
      <c r="E747" s="37" t="s">
        <v>771</v>
      </c>
      <c r="F747" s="37">
        <v>20</v>
      </c>
      <c r="G747" s="37" t="s">
        <v>563</v>
      </c>
      <c r="H747" s="37" t="s">
        <v>1047</v>
      </c>
      <c r="I747" s="38">
        <f t="shared" si="88"/>
        <v>11.554</v>
      </c>
      <c r="J747" s="38">
        <f t="shared" si="89"/>
        <v>6.9077552789821368</v>
      </c>
      <c r="K747" s="38">
        <f t="shared" si="90"/>
        <v>2.447031697359074</v>
      </c>
      <c r="L747" s="39">
        <f t="shared" si="91"/>
        <v>8.6550112515146271E-2</v>
      </c>
      <c r="M747" s="39">
        <f t="shared" si="92"/>
        <v>2.736954872917067</v>
      </c>
      <c r="N747" s="39">
        <f t="shared" si="93"/>
        <v>86.550112515146267</v>
      </c>
      <c r="O747" s="40">
        <f>1</f>
        <v>1</v>
      </c>
      <c r="P747" s="38">
        <f>INDEX(Cables!$AS:$AS,MATCH(B747,Cables!$A:$A,0))+INDEX(Cables!$AT:$AT,MATCH(B747,Cables!$A:$A,0))*SQRT(C747)+INDEX(Cables!$AU:$AU,MATCH(B747,Cables!$A:$A,0))*C747</f>
        <v>11.553624354796975</v>
      </c>
      <c r="Q747" s="41">
        <f t="shared" si="94"/>
        <v>-3.2512134587658892E-5</v>
      </c>
      <c r="R747" s="39">
        <f t="shared" si="95"/>
        <v>1.0570388954460456E-9</v>
      </c>
      <c r="S747" s="40" t="b">
        <f>IF(B747=B746,C747&gt;C746,COUNTIF(B$1:B746,B747)=0)</f>
        <v>1</v>
      </c>
      <c r="T747" s="37"/>
    </row>
    <row r="748" spans="1:20" x14ac:dyDescent="0.25">
      <c r="A748" s="37" t="s">
        <v>1484</v>
      </c>
      <c r="B748" s="37" t="s">
        <v>558</v>
      </c>
      <c r="C748" s="37">
        <v>1250</v>
      </c>
      <c r="D748" s="37">
        <v>13.058999999999999</v>
      </c>
      <c r="E748" s="37" t="s">
        <v>771</v>
      </c>
      <c r="F748" s="37">
        <v>20</v>
      </c>
      <c r="G748" s="37" t="s">
        <v>563</v>
      </c>
      <c r="H748" s="37" t="s">
        <v>1047</v>
      </c>
      <c r="I748" s="38">
        <f t="shared" si="88"/>
        <v>13.058999999999999</v>
      </c>
      <c r="J748" s="38">
        <f t="shared" si="89"/>
        <v>7.1308988302963465</v>
      </c>
      <c r="K748" s="38">
        <f t="shared" si="90"/>
        <v>2.5694775512382702</v>
      </c>
      <c r="L748" s="39">
        <f t="shared" si="91"/>
        <v>7.6575541771958036E-2</v>
      </c>
      <c r="M748" s="39">
        <f t="shared" si="92"/>
        <v>2.7073542429992634</v>
      </c>
      <c r="N748" s="39">
        <f t="shared" si="93"/>
        <v>95.719427214947558</v>
      </c>
      <c r="O748" s="40">
        <f>1</f>
        <v>1</v>
      </c>
      <c r="P748" s="38">
        <f>INDEX(Cables!$AS:$AS,MATCH(B748,Cables!$A:$A,0))+INDEX(Cables!$AT:$AT,MATCH(B748,Cables!$A:$A,0))*SQRT(C748)+INDEX(Cables!$AU:$AU,MATCH(B748,Cables!$A:$A,0))*C748</f>
        <v>13.059362523717951</v>
      </c>
      <c r="Q748" s="41">
        <f t="shared" si="94"/>
        <v>2.7760450107328083E-5</v>
      </c>
      <c r="R748" s="39">
        <f t="shared" si="95"/>
        <v>7.706425901614518E-10</v>
      </c>
      <c r="S748" s="40" t="b">
        <f>IF(B748=B747,C748&gt;C747,COUNTIF(B$1:B747,B748)=0)</f>
        <v>1</v>
      </c>
      <c r="T748" s="37"/>
    </row>
    <row r="749" spans="1:20" x14ac:dyDescent="0.25">
      <c r="A749" s="37" t="s">
        <v>1485</v>
      </c>
      <c r="B749" s="37" t="s">
        <v>558</v>
      </c>
      <c r="C749" s="37">
        <v>1500</v>
      </c>
      <c r="D749" s="37">
        <v>14.446</v>
      </c>
      <c r="E749" s="37" t="s">
        <v>771</v>
      </c>
      <c r="F749" s="37">
        <v>20</v>
      </c>
      <c r="G749" s="37" t="s">
        <v>563</v>
      </c>
      <c r="H749" s="37" t="s">
        <v>1047</v>
      </c>
      <c r="I749" s="38">
        <f t="shared" si="88"/>
        <v>14.446</v>
      </c>
      <c r="J749" s="38">
        <f t="shared" si="89"/>
        <v>7.3132203870903014</v>
      </c>
      <c r="K749" s="38">
        <f t="shared" si="90"/>
        <v>2.670417559628655</v>
      </c>
      <c r="L749" s="39">
        <f t="shared" si="91"/>
        <v>6.9223314412294068E-2</v>
      </c>
      <c r="M749" s="39">
        <f t="shared" si="92"/>
        <v>2.6810074388809477</v>
      </c>
      <c r="N749" s="39">
        <f t="shared" si="93"/>
        <v>103.83497161844109</v>
      </c>
      <c r="O749" s="40">
        <f>1</f>
        <v>1</v>
      </c>
      <c r="P749" s="38">
        <f>INDEX(Cables!$AS:$AS,MATCH(B749,Cables!$A:$A,0))+INDEX(Cables!$AT:$AT,MATCH(B749,Cables!$A:$A,0))*SQRT(C749)+INDEX(Cables!$AU:$AU,MATCH(B749,Cables!$A:$A,0))*C749</f>
        <v>14.446462664217794</v>
      </c>
      <c r="Q749" s="41">
        <f t="shared" si="94"/>
        <v>3.2027150615787647E-5</v>
      </c>
      <c r="R749" s="39">
        <f t="shared" si="95"/>
        <v>1.0257383765663471E-9</v>
      </c>
      <c r="S749" s="40" t="b">
        <f>IF(B749=B748,C749&gt;C748,COUNTIF(B$1:B748,B749)=0)</f>
        <v>1</v>
      </c>
      <c r="T749" s="37"/>
    </row>
    <row r="750" spans="1:20" x14ac:dyDescent="0.25">
      <c r="A750" s="37" t="s">
        <v>1486</v>
      </c>
      <c r="B750" s="37" t="s">
        <v>558</v>
      </c>
      <c r="C750" s="37">
        <v>1700</v>
      </c>
      <c r="D750" s="37">
        <v>15.49</v>
      </c>
      <c r="E750" s="37" t="s">
        <v>771</v>
      </c>
      <c r="F750" s="37">
        <v>20</v>
      </c>
      <c r="G750" s="37" t="s">
        <v>563</v>
      </c>
      <c r="H750" s="37" t="s">
        <v>1047</v>
      </c>
      <c r="I750" s="38">
        <f t="shared" si="88"/>
        <v>15.49</v>
      </c>
      <c r="J750" s="38">
        <f t="shared" si="89"/>
        <v>7.4383835300443071</v>
      </c>
      <c r="K750" s="38">
        <f t="shared" si="90"/>
        <v>2.7401946544287772</v>
      </c>
      <c r="L750" s="39">
        <f t="shared" si="91"/>
        <v>6.4557779212395097E-2</v>
      </c>
      <c r="M750" s="39">
        <f t="shared" si="92"/>
        <v>2.6617854264800909</v>
      </c>
      <c r="N750" s="39">
        <f t="shared" si="93"/>
        <v>109.74822466107166</v>
      </c>
      <c r="O750" s="40">
        <f>1</f>
        <v>1</v>
      </c>
      <c r="P750" s="38">
        <f>INDEX(Cables!$AS:$AS,MATCH(B750,Cables!$A:$A,0))+INDEX(Cables!$AT:$AT,MATCH(B750,Cables!$A:$A,0))*SQRT(C750)+INDEX(Cables!$AU:$AU,MATCH(B750,Cables!$A:$A,0))*C750</f>
        <v>15.490416306378666</v>
      </c>
      <c r="Q750" s="41">
        <f t="shared" si="94"/>
        <v>2.6875815278604165E-5</v>
      </c>
      <c r="R750" s="39">
        <f t="shared" si="95"/>
        <v>7.2230944688965303E-10</v>
      </c>
      <c r="S750" s="40" t="b">
        <f>IF(B750=B749,C750&gt;C749,COUNTIF(B$1:B749,B750)=0)</f>
        <v>1</v>
      </c>
      <c r="T750" s="37"/>
    </row>
    <row r="751" spans="1:20" x14ac:dyDescent="0.25">
      <c r="A751" s="37" t="s">
        <v>1487</v>
      </c>
      <c r="B751" s="37" t="s">
        <v>558</v>
      </c>
      <c r="C751" s="37">
        <v>1800</v>
      </c>
      <c r="D751" s="37">
        <v>15.994</v>
      </c>
      <c r="E751" s="37" t="s">
        <v>771</v>
      </c>
      <c r="F751" s="37">
        <v>20</v>
      </c>
      <c r="G751" s="37" t="s">
        <v>563</v>
      </c>
      <c r="H751" s="37" t="s">
        <v>1047</v>
      </c>
      <c r="I751" s="38">
        <f t="shared" si="88"/>
        <v>15.994</v>
      </c>
      <c r="J751" s="38">
        <f t="shared" si="89"/>
        <v>7.4955419438842563</v>
      </c>
      <c r="K751" s="38">
        <f t="shared" si="90"/>
        <v>2.772213651909698</v>
      </c>
      <c r="L751" s="39">
        <f t="shared" si="91"/>
        <v>6.2523446292359633E-2</v>
      </c>
      <c r="M751" s="39">
        <f t="shared" si="92"/>
        <v>2.6526451713888242</v>
      </c>
      <c r="N751" s="39">
        <f t="shared" si="93"/>
        <v>112.54220332624735</v>
      </c>
      <c r="O751" s="40">
        <f>1</f>
        <v>1</v>
      </c>
      <c r="P751" s="38">
        <f>INDEX(Cables!$AS:$AS,MATCH(B751,Cables!$A:$A,0))+INDEX(Cables!$AT:$AT,MATCH(B751,Cables!$A:$A,0))*SQRT(C751)+INDEX(Cables!$AU:$AU,MATCH(B751,Cables!$A:$A,0))*C751</f>
        <v>15.994083674437583</v>
      </c>
      <c r="Q751" s="41">
        <f t="shared" si="94"/>
        <v>5.231614204292967E-6</v>
      </c>
      <c r="R751" s="39">
        <f t="shared" si="95"/>
        <v>2.7369787182559935E-11</v>
      </c>
      <c r="S751" s="40" t="b">
        <f>IF(B751=B750,C751&gt;C750,COUNTIF(B$1:B750,B751)=0)</f>
        <v>1</v>
      </c>
      <c r="T751" s="37"/>
    </row>
    <row r="752" spans="1:20" x14ac:dyDescent="0.25">
      <c r="A752" s="37" t="s">
        <v>1488</v>
      </c>
      <c r="B752" s="37" t="s">
        <v>558</v>
      </c>
      <c r="C752" s="37">
        <v>2000</v>
      </c>
      <c r="D752" s="37">
        <v>16.97</v>
      </c>
      <c r="E752" s="37" t="s">
        <v>771</v>
      </c>
      <c r="F752" s="37">
        <v>20</v>
      </c>
      <c r="G752" s="37" t="s">
        <v>563</v>
      </c>
      <c r="H752" s="37" t="s">
        <v>1047</v>
      </c>
      <c r="I752" s="38">
        <f t="shared" si="88"/>
        <v>16.97</v>
      </c>
      <c r="J752" s="38">
        <f t="shared" si="89"/>
        <v>7.6009024595420822</v>
      </c>
      <c r="K752" s="38">
        <f t="shared" si="90"/>
        <v>2.8314470792461348</v>
      </c>
      <c r="L752" s="39">
        <f t="shared" si="91"/>
        <v>5.892751915144373E-2</v>
      </c>
      <c r="M752" s="39">
        <f t="shared" si="92"/>
        <v>2.635318771360978</v>
      </c>
      <c r="N752" s="39">
        <f t="shared" si="93"/>
        <v>117.85503830288745</v>
      </c>
      <c r="O752" s="40">
        <f>1</f>
        <v>1</v>
      </c>
      <c r="P752" s="38">
        <f>INDEX(Cables!$AS:$AS,MATCH(B752,Cables!$A:$A,0))+INDEX(Cables!$AT:$AT,MATCH(B752,Cables!$A:$A,0))*SQRT(C752)+INDEX(Cables!$AU:$AU,MATCH(B752,Cables!$A:$A,0))*C752</f>
        <v>16.969694219618233</v>
      </c>
      <c r="Q752" s="41">
        <f t="shared" si="94"/>
        <v>-1.8018879302639235E-5</v>
      </c>
      <c r="R752" s="39">
        <f t="shared" si="95"/>
        <v>3.2468001132308061E-10</v>
      </c>
      <c r="S752" s="40" t="b">
        <f>IF(B752=B751,C752&gt;C751,COUNTIF(B$1:B751,B752)=0)</f>
        <v>1</v>
      </c>
      <c r="T752" s="37"/>
    </row>
    <row r="753" spans="1:20" x14ac:dyDescent="0.25">
      <c r="A753" s="37" t="s">
        <v>1489</v>
      </c>
      <c r="B753" s="37" t="s">
        <v>558</v>
      </c>
      <c r="C753" s="37">
        <v>2100</v>
      </c>
      <c r="D753" s="37">
        <v>17.443000000000001</v>
      </c>
      <c r="E753" s="37" t="s">
        <v>771</v>
      </c>
      <c r="F753" s="37">
        <v>20</v>
      </c>
      <c r="G753" s="37" t="s">
        <v>563</v>
      </c>
      <c r="H753" s="37" t="s">
        <v>1047</v>
      </c>
      <c r="I753" s="38">
        <f t="shared" si="88"/>
        <v>17.443000000000001</v>
      </c>
      <c r="J753" s="38">
        <f t="shared" si="89"/>
        <v>7.6496926237115144</v>
      </c>
      <c r="K753" s="38">
        <f t="shared" si="90"/>
        <v>2.8589384220359979</v>
      </c>
      <c r="L753" s="39">
        <f t="shared" si="91"/>
        <v>5.7329587800263711E-2</v>
      </c>
      <c r="M753" s="39">
        <f t="shared" si="92"/>
        <v>2.6271717565532531</v>
      </c>
      <c r="N753" s="39">
        <f t="shared" si="93"/>
        <v>120.3921343805538</v>
      </c>
      <c r="O753" s="40">
        <f>1</f>
        <v>1</v>
      </c>
      <c r="P753" s="38">
        <f>INDEX(Cables!$AS:$AS,MATCH(B753,Cables!$A:$A,0))+INDEX(Cables!$AT:$AT,MATCH(B753,Cables!$A:$A,0))*SQRT(C753)+INDEX(Cables!$AU:$AU,MATCH(B753,Cables!$A:$A,0))*C753</f>
        <v>17.443226226500926</v>
      </c>
      <c r="Q753" s="41">
        <f t="shared" si="94"/>
        <v>1.2969472047430486E-5</v>
      </c>
      <c r="R753" s="39">
        <f t="shared" si="95"/>
        <v>1.6820720518908071E-10</v>
      </c>
      <c r="S753" s="40" t="b">
        <f>IF(B753=B752,C753&gt;C752,COUNTIF(B$1:B752,B753)=0)</f>
        <v>1</v>
      </c>
      <c r="T753" s="37"/>
    </row>
    <row r="754" spans="1:20" x14ac:dyDescent="0.25">
      <c r="A754" s="37" t="s">
        <v>1490</v>
      </c>
      <c r="B754" s="37" t="s">
        <v>558</v>
      </c>
      <c r="C754" s="37">
        <v>2200</v>
      </c>
      <c r="D754" s="37">
        <v>17.908000000000001</v>
      </c>
      <c r="E754" s="37" t="s">
        <v>771</v>
      </c>
      <c r="F754" s="37">
        <v>20</v>
      </c>
      <c r="G754" s="37" t="s">
        <v>563</v>
      </c>
      <c r="H754" s="37" t="s">
        <v>1047</v>
      </c>
      <c r="I754" s="38">
        <f t="shared" si="88"/>
        <v>17.908000000000001</v>
      </c>
      <c r="J754" s="38">
        <f t="shared" si="89"/>
        <v>7.696212639346407</v>
      </c>
      <c r="K754" s="38">
        <f t="shared" si="90"/>
        <v>2.8852475403787192</v>
      </c>
      <c r="L754" s="39">
        <f t="shared" si="91"/>
        <v>5.5840964931874022E-2</v>
      </c>
      <c r="M754" s="39">
        <f t="shared" si="92"/>
        <v>2.6191734196020939</v>
      </c>
      <c r="N754" s="39">
        <f t="shared" si="93"/>
        <v>122.85012285012284</v>
      </c>
      <c r="O754" s="40">
        <f>1</f>
        <v>1</v>
      </c>
      <c r="P754" s="38">
        <f>INDEX(Cables!$AS:$AS,MATCH(B754,Cables!$A:$A,0))+INDEX(Cables!$AT:$AT,MATCH(B754,Cables!$A:$A,0))*SQRT(C754)+INDEX(Cables!$AU:$AU,MATCH(B754,Cables!$A:$A,0))*C754</f>
        <v>17.90814477784528</v>
      </c>
      <c r="Q754" s="41">
        <f t="shared" si="94"/>
        <v>8.0845345811209057E-6</v>
      </c>
      <c r="R754" s="39">
        <f t="shared" si="95"/>
        <v>6.5359699393339783E-11</v>
      </c>
      <c r="S754" s="40" t="b">
        <f>IF(B754=B753,C754&gt;C753,COUNTIF(B$1:B753,B754)=0)</f>
        <v>1</v>
      </c>
      <c r="T754" s="37"/>
    </row>
    <row r="755" spans="1:20" x14ac:dyDescent="0.25">
      <c r="A755" s="37" t="s">
        <v>1491</v>
      </c>
      <c r="B755" s="37" t="s">
        <v>558</v>
      </c>
      <c r="C755" s="37">
        <v>2300</v>
      </c>
      <c r="D755" s="37">
        <v>18.364999999999998</v>
      </c>
      <c r="E755" s="37" t="s">
        <v>771</v>
      </c>
      <c r="F755" s="37">
        <v>20</v>
      </c>
      <c r="G755" s="37" t="s">
        <v>563</v>
      </c>
      <c r="H755" s="37" t="s">
        <v>1047</v>
      </c>
      <c r="I755" s="38">
        <f t="shared" si="88"/>
        <v>18.364999999999998</v>
      </c>
      <c r="J755" s="38">
        <f t="shared" si="89"/>
        <v>7.7406644019172415</v>
      </c>
      <c r="K755" s="38">
        <f t="shared" si="90"/>
        <v>2.9104466792716304</v>
      </c>
      <c r="L755" s="39">
        <f t="shared" si="91"/>
        <v>5.4451402123604685E-2</v>
      </c>
      <c r="M755" s="39">
        <f t="shared" si="92"/>
        <v>2.6113975079296052</v>
      </c>
      <c r="N755" s="39">
        <f t="shared" si="93"/>
        <v>125.23822488429079</v>
      </c>
      <c r="O755" s="40">
        <f>1</f>
        <v>1</v>
      </c>
      <c r="P755" s="38">
        <f>INDEX(Cables!$AS:$AS,MATCH(B755,Cables!$A:$A,0))+INDEX(Cables!$AT:$AT,MATCH(B755,Cables!$A:$A,0))*SQRT(C755)+INDEX(Cables!$AU:$AU,MATCH(B755,Cables!$A:$A,0))*C755</f>
        <v>18.365030936132314</v>
      </c>
      <c r="Q755" s="41">
        <f t="shared" si="94"/>
        <v>1.6845157808642597E-6</v>
      </c>
      <c r="R755" s="39">
        <f t="shared" si="95"/>
        <v>2.8375934159807265E-12</v>
      </c>
      <c r="S755" s="40" t="b">
        <f>IF(B755=B754,C755&gt;C754,COUNTIF(B$1:B754,B755)=0)</f>
        <v>1</v>
      </c>
      <c r="T755" s="37"/>
    </row>
    <row r="756" spans="1:20" x14ac:dyDescent="0.25">
      <c r="A756" s="37" t="s">
        <v>1492</v>
      </c>
      <c r="B756" s="37" t="s">
        <v>558</v>
      </c>
      <c r="C756" s="37">
        <v>2500</v>
      </c>
      <c r="D756" s="37">
        <v>19.257000000000001</v>
      </c>
      <c r="E756" s="37" t="s">
        <v>771</v>
      </c>
      <c r="F756" s="37">
        <v>20</v>
      </c>
      <c r="G756" s="37" t="s">
        <v>563</v>
      </c>
      <c r="H756" s="37" t="s">
        <v>1047</v>
      </c>
      <c r="I756" s="38">
        <f t="shared" si="88"/>
        <v>19.257000000000001</v>
      </c>
      <c r="J756" s="38">
        <f t="shared" si="89"/>
        <v>7.8240460108562919</v>
      </c>
      <c r="K756" s="38">
        <f t="shared" si="90"/>
        <v>2.9578746309977508</v>
      </c>
      <c r="L756" s="39">
        <f t="shared" si="91"/>
        <v>5.1929168614010486E-2</v>
      </c>
      <c r="M756" s="39">
        <f t="shared" si="92"/>
        <v>2.5964584307005243</v>
      </c>
      <c r="N756" s="39">
        <f t="shared" si="93"/>
        <v>129.82292153502621</v>
      </c>
      <c r="O756" s="40">
        <f>1</f>
        <v>1</v>
      </c>
      <c r="P756" s="38">
        <f>INDEX(Cables!$AS:$AS,MATCH(B756,Cables!$A:$A,0))+INDEX(Cables!$AT:$AT,MATCH(B756,Cables!$A:$A,0))*SQRT(C756)+INDEX(Cables!$AU:$AU,MATCH(B756,Cables!$A:$A,0))*C756</f>
        <v>19.2567266910299</v>
      </c>
      <c r="Q756" s="41">
        <f t="shared" si="94"/>
        <v>-1.419270759206448E-5</v>
      </c>
      <c r="R756" s="39">
        <f t="shared" si="95"/>
        <v>2.0143294879384471E-10</v>
      </c>
      <c r="S756" s="40" t="b">
        <f>IF(B756=B755,C756&gt;C755,COUNTIF(B$1:B755,B756)=0)</f>
        <v>1</v>
      </c>
      <c r="T756" s="37"/>
    </row>
    <row r="757" spans="1:20" x14ac:dyDescent="0.25">
      <c r="A757" s="37" t="s">
        <v>1493</v>
      </c>
      <c r="B757" s="37" t="s">
        <v>558</v>
      </c>
      <c r="C757" s="37">
        <v>2700</v>
      </c>
      <c r="D757" s="37">
        <v>20.122</v>
      </c>
      <c r="E757" s="37" t="s">
        <v>771</v>
      </c>
      <c r="F757" s="37">
        <v>20</v>
      </c>
      <c r="G757" s="37" t="s">
        <v>563</v>
      </c>
      <c r="H757" s="37" t="s">
        <v>1047</v>
      </c>
      <c r="I757" s="38">
        <f t="shared" si="88"/>
        <v>20.122</v>
      </c>
      <c r="J757" s="38">
        <f t="shared" si="89"/>
        <v>7.90100705199242</v>
      </c>
      <c r="K757" s="38">
        <f t="shared" si="90"/>
        <v>3.0018137438698589</v>
      </c>
      <c r="L757" s="39">
        <f t="shared" si="91"/>
        <v>4.9696849219759469E-2</v>
      </c>
      <c r="M757" s="39">
        <f t="shared" si="92"/>
        <v>2.5823240347413936</v>
      </c>
      <c r="N757" s="39">
        <f t="shared" si="93"/>
        <v>134.18149289335057</v>
      </c>
      <c r="O757" s="40">
        <f>1</f>
        <v>1</v>
      </c>
      <c r="P757" s="38">
        <f>INDEX(Cables!$AS:$AS,MATCH(B757,Cables!$A:$A,0))+INDEX(Cables!$AT:$AT,MATCH(B757,Cables!$A:$A,0))*SQRT(C757)+INDEX(Cables!$AU:$AU,MATCH(B757,Cables!$A:$A,0))*C757</f>
        <v>20.121863002073841</v>
      </c>
      <c r="Q757" s="41">
        <f t="shared" si="94"/>
        <v>-6.8083652797756855E-6</v>
      </c>
      <c r="R757" s="39">
        <f t="shared" si="95"/>
        <v>4.6353837782855046E-11</v>
      </c>
      <c r="S757" s="40" t="b">
        <f>IF(B757=B756,C757&gt;C756,COUNTIF(B$1:B756,B757)=0)</f>
        <v>1</v>
      </c>
      <c r="T757" s="37"/>
    </row>
    <row r="758" spans="1:20" x14ac:dyDescent="0.25">
      <c r="A758" s="37" t="s">
        <v>1494</v>
      </c>
      <c r="B758" s="37" t="s">
        <v>558</v>
      </c>
      <c r="C758" s="37">
        <v>3000</v>
      </c>
      <c r="D758" s="37">
        <v>21.376000000000001</v>
      </c>
      <c r="E758" s="37" t="s">
        <v>771</v>
      </c>
      <c r="F758" s="37">
        <v>20</v>
      </c>
      <c r="G758" s="37" t="s">
        <v>563</v>
      </c>
      <c r="H758" s="37" t="s">
        <v>1047</v>
      </c>
      <c r="I758" s="38">
        <f t="shared" si="88"/>
        <v>21.376000000000001</v>
      </c>
      <c r="J758" s="38">
        <f t="shared" si="89"/>
        <v>8.0063675676502459</v>
      </c>
      <c r="K758" s="38">
        <f t="shared" si="90"/>
        <v>3.0622687973542351</v>
      </c>
      <c r="L758" s="39">
        <f t="shared" si="91"/>
        <v>4.6781437125748497E-2</v>
      </c>
      <c r="M758" s="39">
        <f t="shared" si="92"/>
        <v>2.5623248386282098</v>
      </c>
      <c r="N758" s="39">
        <f t="shared" si="93"/>
        <v>140.3443113772455</v>
      </c>
      <c r="O758" s="40">
        <f>1</f>
        <v>1</v>
      </c>
      <c r="P758" s="38">
        <f>INDEX(Cables!$AS:$AS,MATCH(B758,Cables!$A:$A,0))+INDEX(Cables!$AT:$AT,MATCH(B758,Cables!$A:$A,0))*SQRT(C758)+INDEX(Cables!$AU:$AU,MATCH(B758,Cables!$A:$A,0))*C758</f>
        <v>21.375979653635198</v>
      </c>
      <c r="Q758" s="41">
        <f t="shared" si="94"/>
        <v>-9.5183218573602346E-7</v>
      </c>
      <c r="R758" s="39">
        <f t="shared" si="95"/>
        <v>9.059845098030159E-13</v>
      </c>
      <c r="S758" s="40" t="b">
        <f>IF(B758=B757,C758&gt;C757,COUNTIF(B$1:B757,B758)=0)</f>
        <v>1</v>
      </c>
      <c r="T758" s="37"/>
    </row>
    <row r="759" spans="1:20" x14ac:dyDescent="0.25">
      <c r="A759" s="37" t="s">
        <v>1495</v>
      </c>
      <c r="B759" s="37" t="s">
        <v>558</v>
      </c>
      <c r="C759" s="37">
        <v>3400</v>
      </c>
      <c r="D759" s="37">
        <v>22.978000000000002</v>
      </c>
      <c r="E759" s="37" t="s">
        <v>771</v>
      </c>
      <c r="F759" s="37">
        <v>20</v>
      </c>
      <c r="G759" s="37" t="s">
        <v>563</v>
      </c>
      <c r="H759" s="37" t="s">
        <v>1047</v>
      </c>
      <c r="I759" s="38">
        <f t="shared" si="88"/>
        <v>22.978000000000002</v>
      </c>
      <c r="J759" s="38">
        <f t="shared" si="89"/>
        <v>8.1315307106042525</v>
      </c>
      <c r="K759" s="38">
        <f t="shared" si="90"/>
        <v>3.1345372364311732</v>
      </c>
      <c r="L759" s="39">
        <f t="shared" si="91"/>
        <v>4.3519888589085211E-2</v>
      </c>
      <c r="M759" s="39">
        <f t="shared" si="92"/>
        <v>2.5376237683198277</v>
      </c>
      <c r="N759" s="39">
        <f t="shared" si="93"/>
        <v>147.96762120288972</v>
      </c>
      <c r="O759" s="40">
        <f>1</f>
        <v>1</v>
      </c>
      <c r="P759" s="38">
        <f>INDEX(Cables!$AS:$AS,MATCH(B759,Cables!$A:$A,0))+INDEX(Cables!$AT:$AT,MATCH(B759,Cables!$A:$A,0))*SQRT(C759)+INDEX(Cables!$AU:$AU,MATCH(B759,Cables!$A:$A,0))*C759</f>
        <v>22.978430758100529</v>
      </c>
      <c r="Q759" s="41">
        <f t="shared" si="94"/>
        <v>1.874654454381286E-5</v>
      </c>
      <c r="R759" s="39">
        <f t="shared" si="95"/>
        <v>3.5143293233315972E-10</v>
      </c>
      <c r="S759" s="40" t="b">
        <f>IF(B759=B758,C759&gt;C758,COUNTIF(B$1:B758,B759)=0)</f>
        <v>1</v>
      </c>
      <c r="T759" s="37"/>
    </row>
    <row r="760" spans="1:20" x14ac:dyDescent="0.25">
      <c r="A760" s="37" t="s">
        <v>1496</v>
      </c>
      <c r="B760" s="37" t="s">
        <v>558</v>
      </c>
      <c r="C760" s="37">
        <v>4000</v>
      </c>
      <c r="D760" s="37">
        <v>25.26</v>
      </c>
      <c r="E760" s="37" t="s">
        <v>771</v>
      </c>
      <c r="F760" s="37">
        <v>20</v>
      </c>
      <c r="G760" s="37" t="s">
        <v>563</v>
      </c>
      <c r="H760" s="37" t="s">
        <v>1047</v>
      </c>
      <c r="I760" s="38">
        <f t="shared" si="88"/>
        <v>25.26</v>
      </c>
      <c r="J760" s="38">
        <f t="shared" si="89"/>
        <v>8.2940496401020276</v>
      </c>
      <c r="K760" s="38">
        <f t="shared" si="90"/>
        <v>3.2292221169223452</v>
      </c>
      <c r="L760" s="39">
        <f t="shared" si="91"/>
        <v>3.9588281868566902E-2</v>
      </c>
      <c r="M760" s="39">
        <f t="shared" si="92"/>
        <v>2.5037827871483604</v>
      </c>
      <c r="N760" s="39">
        <f t="shared" si="93"/>
        <v>158.35312747426761</v>
      </c>
      <c r="O760" s="40">
        <f>1</f>
        <v>1</v>
      </c>
      <c r="P760" s="38">
        <f>INDEX(Cables!$AS:$AS,MATCH(B760,Cables!$A:$A,0))+INDEX(Cables!$AT:$AT,MATCH(B760,Cables!$A:$A,0))*SQRT(C760)+INDEX(Cables!$AU:$AU,MATCH(B760,Cables!$A:$A,0))*C760</f>
        <v>25.259562203371843</v>
      </c>
      <c r="Q760" s="41">
        <f t="shared" si="94"/>
        <v>-1.7331616316673681E-5</v>
      </c>
      <c r="R760" s="39">
        <f t="shared" si="95"/>
        <v>3.003849241483894E-10</v>
      </c>
      <c r="S760" s="40" t="b">
        <f>IF(B760=B759,C760&gt;C759,COUNTIF(B$1:B759,B760)=0)</f>
        <v>1</v>
      </c>
      <c r="T760" s="37"/>
    </row>
    <row r="761" spans="1:20" x14ac:dyDescent="0.25">
      <c r="A761" s="37" t="s">
        <v>1497</v>
      </c>
      <c r="B761" s="37" t="s">
        <v>558</v>
      </c>
      <c r="C761" s="37">
        <v>5000</v>
      </c>
      <c r="D761" s="37">
        <v>28.809000000000001</v>
      </c>
      <c r="E761" s="37" t="s">
        <v>771</v>
      </c>
      <c r="F761" s="37">
        <v>20</v>
      </c>
      <c r="G761" s="37" t="s">
        <v>563</v>
      </c>
      <c r="H761" s="37" t="s">
        <v>1047</v>
      </c>
      <c r="I761" s="38">
        <f t="shared" si="88"/>
        <v>28.809000000000001</v>
      </c>
      <c r="J761" s="38">
        <f t="shared" si="89"/>
        <v>8.5171931914162382</v>
      </c>
      <c r="K761" s="38">
        <f t="shared" si="90"/>
        <v>3.3606878383239454</v>
      </c>
      <c r="L761" s="39">
        <f t="shared" si="91"/>
        <v>3.4711374917560482E-2</v>
      </c>
      <c r="M761" s="39">
        <f t="shared" si="92"/>
        <v>2.4544648588515656</v>
      </c>
      <c r="N761" s="39">
        <f t="shared" si="93"/>
        <v>173.55687458780241</v>
      </c>
      <c r="O761" s="40">
        <f>1</f>
        <v>1</v>
      </c>
      <c r="P761" s="38">
        <f>INDEX(Cables!$AS:$AS,MATCH(B761,Cables!$A:$A,0))+INDEX(Cables!$AT:$AT,MATCH(B761,Cables!$A:$A,0))*SQRT(C761)+INDEX(Cables!$AU:$AU,MATCH(B761,Cables!$A:$A,0))*C761</f>
        <v>28.809108805111475</v>
      </c>
      <c r="Q761" s="41">
        <f t="shared" si="94"/>
        <v>3.7767750173944847E-6</v>
      </c>
      <c r="R761" s="39">
        <f t="shared" si="95"/>
        <v>1.426402953201511E-11</v>
      </c>
      <c r="S761" s="40" t="b">
        <f>IF(B761=B760,C761&gt;C760,COUNTIF(B$1:B760,B761)=0)</f>
        <v>1</v>
      </c>
      <c r="T761" s="37"/>
    </row>
    <row r="762" spans="1:20" x14ac:dyDescent="0.25">
      <c r="A762" s="37" t="s">
        <v>1498</v>
      </c>
      <c r="B762" s="37" t="s">
        <v>558</v>
      </c>
      <c r="C762" s="37">
        <v>6000</v>
      </c>
      <c r="D762" s="37">
        <v>32.121000000000002</v>
      </c>
      <c r="E762" s="37" t="s">
        <v>771</v>
      </c>
      <c r="F762" s="37">
        <v>20</v>
      </c>
      <c r="G762" s="37" t="s">
        <v>563</v>
      </c>
      <c r="H762" s="37" t="s">
        <v>1047</v>
      </c>
      <c r="I762" s="38">
        <f t="shared" si="88"/>
        <v>32.121000000000002</v>
      </c>
      <c r="J762" s="38">
        <f t="shared" si="89"/>
        <v>8.6995147482101913</v>
      </c>
      <c r="K762" s="38">
        <f t="shared" si="90"/>
        <v>3.469510021844243</v>
      </c>
      <c r="L762" s="39">
        <f t="shared" si="91"/>
        <v>3.1132281062233428E-2</v>
      </c>
      <c r="M762" s="39">
        <f t="shared" si="92"/>
        <v>2.4114961216695723</v>
      </c>
      <c r="N762" s="39">
        <f t="shared" si="93"/>
        <v>186.79368637340056</v>
      </c>
      <c r="O762" s="40">
        <f>1</f>
        <v>1</v>
      </c>
      <c r="P762" s="38">
        <f>INDEX(Cables!$AS:$AS,MATCH(B762,Cables!$A:$A,0))+INDEX(Cables!$AT:$AT,MATCH(B762,Cables!$A:$A,0))*SQRT(C762)+INDEX(Cables!$AU:$AU,MATCH(B762,Cables!$A:$A,0))*C762</f>
        <v>32.121379350008837</v>
      </c>
      <c r="Q762" s="41">
        <f t="shared" si="94"/>
        <v>1.1810031095960127E-5</v>
      </c>
      <c r="R762" s="39">
        <f t="shared" si="95"/>
        <v>1.3947683448754518E-10</v>
      </c>
      <c r="S762" s="40" t="b">
        <f>IF(B762=B761,C762&gt;C761,COUNTIF(B$1:B761,B762)=0)</f>
        <v>1</v>
      </c>
      <c r="T762" s="37"/>
    </row>
    <row r="763" spans="1:20" x14ac:dyDescent="0.25">
      <c r="A763" s="37" t="s">
        <v>1499</v>
      </c>
      <c r="B763" s="37" t="s">
        <v>558</v>
      </c>
      <c r="C763" s="37">
        <v>8000</v>
      </c>
      <c r="D763" s="37">
        <v>38.244</v>
      </c>
      <c r="E763" s="37" t="s">
        <v>771</v>
      </c>
      <c r="F763" s="37">
        <v>20</v>
      </c>
      <c r="G763" s="37" t="s">
        <v>563</v>
      </c>
      <c r="H763" s="37" t="s">
        <v>1047</v>
      </c>
      <c r="I763" s="38">
        <f t="shared" si="88"/>
        <v>38.244</v>
      </c>
      <c r="J763" s="38">
        <f t="shared" si="89"/>
        <v>8.987196820661973</v>
      </c>
      <c r="K763" s="38">
        <f t="shared" si="90"/>
        <v>3.6439866852231995</v>
      </c>
      <c r="L763" s="39">
        <f t="shared" si="91"/>
        <v>2.6147892479866122E-2</v>
      </c>
      <c r="M763" s="39">
        <f t="shared" si="92"/>
        <v>2.3387386021334482</v>
      </c>
      <c r="N763" s="39">
        <f t="shared" si="93"/>
        <v>209.18313983892898</v>
      </c>
      <c r="O763" s="40">
        <f>1</f>
        <v>1</v>
      </c>
      <c r="P763" s="38">
        <f>INDEX(Cables!$AS:$AS,MATCH(B763,Cables!$A:$A,0))+INDEX(Cables!$AT:$AT,MATCH(B763,Cables!$A:$A,0))*SQRT(C763)+INDEX(Cables!$AU:$AU,MATCH(B763,Cables!$A:$A,0))*C763</f>
        <v>38.243982988605069</v>
      </c>
      <c r="Q763" s="41">
        <f t="shared" si="94"/>
        <v>-4.4481212557734295E-7</v>
      </c>
      <c r="R763" s="39">
        <f t="shared" si="95"/>
        <v>1.9785782706063391E-13</v>
      </c>
      <c r="S763" s="40" t="b">
        <f>IF(B763=B762,C763&gt;C762,COUNTIF(B$1:B762,B763)=0)</f>
        <v>1</v>
      </c>
      <c r="T763" s="37"/>
    </row>
    <row r="764" spans="1:20" x14ac:dyDescent="0.25">
      <c r="A764" s="37" t="s">
        <v>1500</v>
      </c>
      <c r="B764" s="37" t="s">
        <v>558</v>
      </c>
      <c r="C764" s="37">
        <v>10000</v>
      </c>
      <c r="D764" s="37">
        <v>43.893999999999998</v>
      </c>
      <c r="E764" s="37" t="s">
        <v>771</v>
      </c>
      <c r="F764" s="37">
        <v>20</v>
      </c>
      <c r="G764" s="37" t="s">
        <v>563</v>
      </c>
      <c r="H764" s="37" t="s">
        <v>1047</v>
      </c>
      <c r="I764" s="38">
        <f t="shared" si="88"/>
        <v>43.893999999999998</v>
      </c>
      <c r="J764" s="38">
        <f t="shared" si="89"/>
        <v>9.2103403719761836</v>
      </c>
      <c r="K764" s="38">
        <f t="shared" si="90"/>
        <v>3.7817776364806668</v>
      </c>
      <c r="L764" s="39">
        <f t="shared" si="91"/>
        <v>2.2782157014626145E-2</v>
      </c>
      <c r="M764" s="39">
        <f t="shared" si="92"/>
        <v>2.2782157014626145</v>
      </c>
      <c r="N764" s="39">
        <f t="shared" si="93"/>
        <v>227.82157014626145</v>
      </c>
      <c r="O764" s="40">
        <f>1</f>
        <v>1</v>
      </c>
      <c r="P764" s="38">
        <f>INDEX(Cables!$AS:$AS,MATCH(B764,Cables!$A:$A,0))+INDEX(Cables!$AT:$AT,MATCH(B764,Cables!$A:$A,0))*SQRT(C764)+INDEX(Cables!$AU:$AU,MATCH(B764,Cables!$A:$A,0))*C764</f>
        <v>43.894188459223756</v>
      </c>
      <c r="Q764" s="41">
        <f t="shared" si="94"/>
        <v>4.2935076265404604E-6</v>
      </c>
      <c r="R764" s="39">
        <f t="shared" si="95"/>
        <v>1.8434207739161096E-11</v>
      </c>
      <c r="S764" s="40" t="b">
        <f>IF(B764=B763,C764&gt;C763,COUNTIF(B$1:B763,B764)=0)</f>
        <v>1</v>
      </c>
      <c r="T764" s="37"/>
    </row>
    <row r="765" spans="1:20" x14ac:dyDescent="0.25">
      <c r="A765" s="37" t="s">
        <v>1501</v>
      </c>
      <c r="B765" s="37" t="s">
        <v>558</v>
      </c>
      <c r="C765" s="37">
        <v>12000</v>
      </c>
      <c r="D765" s="37">
        <v>49.209000000000003</v>
      </c>
      <c r="E765" s="37" t="s">
        <v>771</v>
      </c>
      <c r="F765" s="37">
        <v>20</v>
      </c>
      <c r="G765" s="37" t="s">
        <v>563</v>
      </c>
      <c r="H765" s="37" t="s">
        <v>1047</v>
      </c>
      <c r="I765" s="38">
        <f t="shared" si="88"/>
        <v>49.209000000000003</v>
      </c>
      <c r="J765" s="38">
        <f t="shared" si="89"/>
        <v>9.3926619287701367</v>
      </c>
      <c r="K765" s="38">
        <f t="shared" si="90"/>
        <v>3.8960765335984586</v>
      </c>
      <c r="L765" s="39">
        <f t="shared" si="91"/>
        <v>2.0321485907049523E-2</v>
      </c>
      <c r="M765" s="39">
        <f t="shared" si="92"/>
        <v>2.2261072466628709</v>
      </c>
      <c r="N765" s="39">
        <f t="shared" si="93"/>
        <v>243.85783088459428</v>
      </c>
      <c r="O765" s="40">
        <f>1</f>
        <v>1</v>
      </c>
      <c r="P765" s="38">
        <f>INDEX(Cables!$AS:$AS,MATCH(B765,Cables!$A:$A,0))+INDEX(Cables!$AT:$AT,MATCH(B765,Cables!$A:$A,0))*SQRT(C765)+INDEX(Cables!$AU:$AU,MATCH(B765,Cables!$A:$A,0))*C765</f>
        <v>49.208834912229705</v>
      </c>
      <c r="Q765" s="41">
        <f t="shared" si="94"/>
        <v>-3.3548287975415647E-6</v>
      </c>
      <c r="R765" s="39">
        <f t="shared" si="95"/>
        <v>1.1254876260814182E-11</v>
      </c>
      <c r="S765" s="40" t="b">
        <f>IF(B765=B764,C765&gt;C764,COUNTIF(B$1:B764,B765)=0)</f>
        <v>1</v>
      </c>
      <c r="T765" s="37"/>
    </row>
    <row r="766" spans="1:20" x14ac:dyDescent="0.25">
      <c r="A766" s="37" t="s">
        <v>1502</v>
      </c>
      <c r="B766" s="37" t="s">
        <v>564</v>
      </c>
      <c r="C766" s="37">
        <v>30</v>
      </c>
      <c r="D766" s="37">
        <v>0.54</v>
      </c>
      <c r="E766" s="37" t="s">
        <v>707</v>
      </c>
      <c r="F766" s="37">
        <v>25</v>
      </c>
      <c r="G766" s="37" t="s">
        <v>207</v>
      </c>
      <c r="H766" s="37" t="s">
        <v>1503</v>
      </c>
      <c r="I766" s="38">
        <f t="shared" si="88"/>
        <v>1.7716535433070866</v>
      </c>
      <c r="J766" s="38">
        <f t="shared" si="89"/>
        <v>3.4011973816621555</v>
      </c>
      <c r="K766" s="38">
        <f t="shared" si="90"/>
        <v>0.57191331574582882</v>
      </c>
      <c r="L766" s="39">
        <f t="shared" si="91"/>
        <v>0.56444444444444442</v>
      </c>
      <c r="M766" s="39">
        <f t="shared" si="92"/>
        <v>3.0915895468069379</v>
      </c>
      <c r="N766" s="39">
        <f t="shared" si="93"/>
        <v>16.933333333333334</v>
      </c>
      <c r="O766" s="40">
        <f>1</f>
        <v>1</v>
      </c>
      <c r="P766" s="38">
        <f>INDEX(Cables!$AS:$AS,MATCH(B766,Cables!$A:$A,0))+INDEX(Cables!$AT:$AT,MATCH(B766,Cables!$A:$A,0))*SQRT(C766)+INDEX(Cables!$AU:$AU,MATCH(B766,Cables!$A:$A,0))*C766</f>
        <v>1.7707615861266255</v>
      </c>
      <c r="Q766" s="41">
        <f t="shared" si="94"/>
        <v>-5.0346027519354575E-4</v>
      </c>
      <c r="R766" s="39">
        <f t="shared" si="95"/>
        <v>2.5347224869796082E-7</v>
      </c>
      <c r="S766" s="40" t="b">
        <f>IF(B766=B765,C766&gt;C765,COUNTIF(B$1:B765,B766)=0)</f>
        <v>1</v>
      </c>
      <c r="T766" s="37"/>
    </row>
    <row r="767" spans="1:20" x14ac:dyDescent="0.25">
      <c r="A767" s="37" t="s">
        <v>1504</v>
      </c>
      <c r="B767" s="37" t="s">
        <v>564</v>
      </c>
      <c r="C767" s="37">
        <v>50</v>
      </c>
      <c r="D767" s="37">
        <v>0.7</v>
      </c>
      <c r="E767" s="37" t="s">
        <v>707</v>
      </c>
      <c r="F767" s="37">
        <v>25</v>
      </c>
      <c r="G767" s="37" t="s">
        <v>207</v>
      </c>
      <c r="H767" s="37" t="s">
        <v>1503</v>
      </c>
      <c r="I767" s="38">
        <f t="shared" si="88"/>
        <v>2.2965879265091864</v>
      </c>
      <c r="J767" s="38">
        <f t="shared" si="89"/>
        <v>3.912023005428146</v>
      </c>
      <c r="K767" s="38">
        <f t="shared" si="90"/>
        <v>0.83142451123091354</v>
      </c>
      <c r="L767" s="39">
        <f t="shared" si="91"/>
        <v>0.43542857142857144</v>
      </c>
      <c r="M767" s="39">
        <f t="shared" si="92"/>
        <v>3.0789449557951385</v>
      </c>
      <c r="N767" s="39">
        <f t="shared" si="93"/>
        <v>21.771428571428572</v>
      </c>
      <c r="O767" s="40">
        <f>1</f>
        <v>1</v>
      </c>
      <c r="P767" s="38">
        <f>INDEX(Cables!$AS:$AS,MATCH(B767,Cables!$A:$A,0))+INDEX(Cables!$AT:$AT,MATCH(B767,Cables!$A:$A,0))*SQRT(C767)+INDEX(Cables!$AU:$AU,MATCH(B767,Cables!$A:$A,0))*C767</f>
        <v>2.2934060657023592</v>
      </c>
      <c r="Q767" s="41">
        <f t="shared" si="94"/>
        <v>-1.3854731056013314E-3</v>
      </c>
      <c r="R767" s="39">
        <f t="shared" si="95"/>
        <v>1.9195357263445982E-6</v>
      </c>
      <c r="S767" s="40" t="b">
        <f>IF(B767=B766,C767&gt;C766,COUNTIF(B$1:B766,B767)=0)</f>
        <v>1</v>
      </c>
      <c r="T767" s="37"/>
    </row>
    <row r="768" spans="1:20" x14ac:dyDescent="0.25">
      <c r="A768" s="37" t="s">
        <v>1505</v>
      </c>
      <c r="B768" s="37" t="s">
        <v>564</v>
      </c>
      <c r="C768" s="37">
        <v>150</v>
      </c>
      <c r="D768" s="37">
        <v>1.22</v>
      </c>
      <c r="E768" s="37" t="s">
        <v>707</v>
      </c>
      <c r="F768" s="37">
        <v>25</v>
      </c>
      <c r="G768" s="37" t="s">
        <v>207</v>
      </c>
      <c r="H768" s="37" t="s">
        <v>1503</v>
      </c>
      <c r="I768" s="38">
        <f t="shared" si="88"/>
        <v>4.0026246719160108</v>
      </c>
      <c r="J768" s="38">
        <f t="shared" si="89"/>
        <v>5.0106352940962555</v>
      </c>
      <c r="K768" s="38">
        <f t="shared" si="90"/>
        <v>1.3869503139148112</v>
      </c>
      <c r="L768" s="39">
        <f t="shared" si="91"/>
        <v>0.24983606557377047</v>
      </c>
      <c r="M768" s="39">
        <f t="shared" si="92"/>
        <v>3.0598544000012811</v>
      </c>
      <c r="N768" s="39">
        <f t="shared" si="93"/>
        <v>37.475409836065573</v>
      </c>
      <c r="O768" s="40">
        <f>1</f>
        <v>1</v>
      </c>
      <c r="P768" s="38">
        <f>INDEX(Cables!$AS:$AS,MATCH(B768,Cables!$A:$A,0))+INDEX(Cables!$AT:$AT,MATCH(B768,Cables!$A:$A,0))*SQRT(C768)+INDEX(Cables!$AU:$AU,MATCH(B768,Cables!$A:$A,0))*C768</f>
        <v>4.0205621395456852</v>
      </c>
      <c r="Q768" s="41">
        <f t="shared" si="94"/>
        <v>4.4814263389547637E-3</v>
      </c>
      <c r="R768" s="39">
        <f t="shared" si="95"/>
        <v>2.0083182031477498E-5</v>
      </c>
      <c r="S768" s="40" t="b">
        <f>IF(B768=B767,C768&gt;C767,COUNTIF(B$1:B767,B768)=0)</f>
        <v>1</v>
      </c>
      <c r="T768" s="37"/>
    </row>
    <row r="769" spans="1:20" x14ac:dyDescent="0.25">
      <c r="A769" s="37" t="s">
        <v>1506</v>
      </c>
      <c r="B769" s="37" t="s">
        <v>564</v>
      </c>
      <c r="C769" s="37">
        <v>220</v>
      </c>
      <c r="D769" s="37">
        <v>1.49</v>
      </c>
      <c r="E769" s="37" t="s">
        <v>707</v>
      </c>
      <c r="F769" s="37">
        <v>25</v>
      </c>
      <c r="G769" s="37" t="s">
        <v>207</v>
      </c>
      <c r="H769" s="37" t="s">
        <v>1503</v>
      </c>
      <c r="I769" s="38">
        <f t="shared" si="88"/>
        <v>4.8884514435695534</v>
      </c>
      <c r="J769" s="38">
        <f t="shared" si="89"/>
        <v>5.393627546352362</v>
      </c>
      <c r="K769" s="38">
        <f t="shared" si="90"/>
        <v>1.5868755751270136</v>
      </c>
      <c r="L769" s="39">
        <f t="shared" si="91"/>
        <v>0.20456375838926177</v>
      </c>
      <c r="M769" s="39">
        <f t="shared" si="92"/>
        <v>3.0341708709620918</v>
      </c>
      <c r="N769" s="39">
        <f t="shared" si="93"/>
        <v>45.00402684563759</v>
      </c>
      <c r="O769" s="40">
        <f>1</f>
        <v>1</v>
      </c>
      <c r="P769" s="38">
        <f>INDEX(Cables!$AS:$AS,MATCH(B769,Cables!$A:$A,0))+INDEX(Cables!$AT:$AT,MATCH(B769,Cables!$A:$A,0))*SQRT(C769)+INDEX(Cables!$AU:$AU,MATCH(B769,Cables!$A:$A,0))*C769</f>
        <v>4.900086222910045</v>
      </c>
      <c r="Q769" s="41">
        <f t="shared" si="94"/>
        <v>2.3800541899205996E-3</v>
      </c>
      <c r="R769" s="39">
        <f t="shared" si="95"/>
        <v>5.6646579469586015E-6</v>
      </c>
      <c r="S769" s="40" t="b">
        <f>IF(B769=B768,C769&gt;C768,COUNTIF(B$1:B768,B769)=0)</f>
        <v>1</v>
      </c>
      <c r="T769" s="37"/>
    </row>
    <row r="770" spans="1:20" x14ac:dyDescent="0.25">
      <c r="A770" s="37" t="s">
        <v>1507</v>
      </c>
      <c r="B770" s="37" t="s">
        <v>564</v>
      </c>
      <c r="C770" s="37">
        <v>450</v>
      </c>
      <c r="D770" s="37">
        <v>2.17</v>
      </c>
      <c r="E770" s="37" t="s">
        <v>707</v>
      </c>
      <c r="F770" s="37">
        <v>25</v>
      </c>
      <c r="G770" s="37" t="s">
        <v>207</v>
      </c>
      <c r="H770" s="37" t="s">
        <v>1503</v>
      </c>
      <c r="I770" s="38">
        <f t="shared" ref="I770:I833" si="96">IF(E770="dB/100ft",D770*100/30.48,D770)</f>
        <v>7.1194225721784772</v>
      </c>
      <c r="J770" s="38">
        <f t="shared" ref="J770:J833" si="97">LN(C770)</f>
        <v>6.1092475827643655</v>
      </c>
      <c r="K770" s="38">
        <f t="shared" ref="K770:K833" si="98">LN(I770)</f>
        <v>1.9628266227220139</v>
      </c>
      <c r="L770" s="39">
        <f t="shared" ref="L770:L833" si="99">1/I770</f>
        <v>0.14046082949308758</v>
      </c>
      <c r="M770" s="39">
        <f t="shared" ref="M770:M833" si="100">SQRT(C770)/I770</f>
        <v>2.9796241507694892</v>
      </c>
      <c r="N770" s="39">
        <f t="shared" ref="N770:N833" si="101">C770/I770</f>
        <v>63.207373271889402</v>
      </c>
      <c r="O770" s="40">
        <f>1</f>
        <v>1</v>
      </c>
      <c r="P770" s="38">
        <f>INDEX(Cables!$AS:$AS,MATCH(B770,Cables!$A:$A,0))+INDEX(Cables!$AT:$AT,MATCH(B770,Cables!$A:$A,0))*SQRT(C770)+INDEX(Cables!$AU:$AU,MATCH(B770,Cables!$A:$A,0))*C770</f>
        <v>7.1196993644301516</v>
      </c>
      <c r="Q770" s="41">
        <f t="shared" ref="Q770:Q833" si="102">P770/I770-1</f>
        <v>3.8878469267533688E-5</v>
      </c>
      <c r="R770" s="39">
        <f t="shared" ref="R770:R833" si="103">Q770^2</f>
        <v>1.5115353725865615E-9</v>
      </c>
      <c r="S770" s="40" t="b">
        <f>IF(B770=B769,C770&gt;C769,COUNTIF(B$1:B769,B770)=0)</f>
        <v>1</v>
      </c>
      <c r="T770" s="37"/>
    </row>
    <row r="771" spans="1:20" x14ac:dyDescent="0.25">
      <c r="A771" s="37" t="s">
        <v>1508</v>
      </c>
      <c r="B771" s="37" t="s">
        <v>564</v>
      </c>
      <c r="C771" s="37">
        <v>700</v>
      </c>
      <c r="D771" s="37">
        <v>2.77</v>
      </c>
      <c r="E771" s="37" t="s">
        <v>707</v>
      </c>
      <c r="F771" s="37">
        <v>25</v>
      </c>
      <c r="G771" s="37" t="s">
        <v>207</v>
      </c>
      <c r="H771" s="37" t="s">
        <v>1503</v>
      </c>
      <c r="I771" s="38">
        <f t="shared" si="96"/>
        <v>9.0879265091863513</v>
      </c>
      <c r="J771" s="38">
        <f t="shared" si="97"/>
        <v>6.5510803350434044</v>
      </c>
      <c r="K771" s="38">
        <f t="shared" si="98"/>
        <v>2.2069467753688929</v>
      </c>
      <c r="L771" s="39">
        <f t="shared" si="99"/>
        <v>0.11003610108303249</v>
      </c>
      <c r="M771" s="39">
        <f t="shared" si="100"/>
        <v>2.9112815870486903</v>
      </c>
      <c r="N771" s="39">
        <f t="shared" si="101"/>
        <v>77.025270758122744</v>
      </c>
      <c r="O771" s="40">
        <f>1</f>
        <v>1</v>
      </c>
      <c r="P771" s="38">
        <f>INDEX(Cables!$AS:$AS,MATCH(B771,Cables!$A:$A,0))+INDEX(Cables!$AT:$AT,MATCH(B771,Cables!$A:$A,0))*SQRT(C771)+INDEX(Cables!$AU:$AU,MATCH(B771,Cables!$A:$A,0))*C771</f>
        <v>8.9957169289045247</v>
      </c>
      <c r="Q771" s="41">
        <f t="shared" si="102"/>
        <v>-1.0146382696715084E-2</v>
      </c>
      <c r="R771" s="39">
        <f t="shared" si="103"/>
        <v>1.0294908182819925E-4</v>
      </c>
      <c r="S771" s="40" t="b">
        <f>IF(B771=B770,C771&gt;C770,COUNTIF(B$1:B770,B771)=0)</f>
        <v>1</v>
      </c>
      <c r="T771" s="37"/>
    </row>
    <row r="772" spans="1:20" x14ac:dyDescent="0.25">
      <c r="A772" s="37" t="s">
        <v>1509</v>
      </c>
      <c r="B772" s="37" t="s">
        <v>564</v>
      </c>
      <c r="C772" s="37">
        <v>900</v>
      </c>
      <c r="D772" s="37">
        <v>3.13</v>
      </c>
      <c r="E772" s="37" t="s">
        <v>707</v>
      </c>
      <c r="F772" s="37">
        <v>25</v>
      </c>
      <c r="G772" s="37" t="s">
        <v>207</v>
      </c>
      <c r="H772" s="37" t="s">
        <v>1503</v>
      </c>
      <c r="I772" s="38">
        <f t="shared" si="96"/>
        <v>10.269028871391075</v>
      </c>
      <c r="J772" s="38">
        <f t="shared" si="97"/>
        <v>6.8023947633243109</v>
      </c>
      <c r="K772" s="38">
        <f t="shared" si="98"/>
        <v>2.3291324597217078</v>
      </c>
      <c r="L772" s="39">
        <f t="shared" si="99"/>
        <v>9.7380191693290749E-2</v>
      </c>
      <c r="M772" s="39">
        <f t="shared" si="100"/>
        <v>2.9214057507987223</v>
      </c>
      <c r="N772" s="39">
        <f t="shared" si="101"/>
        <v>87.642172523961662</v>
      </c>
      <c r="O772" s="40">
        <f>1</f>
        <v>1</v>
      </c>
      <c r="P772" s="38">
        <f>INDEX(Cables!$AS:$AS,MATCH(B772,Cables!$A:$A,0))+INDEX(Cables!$AT:$AT,MATCH(B772,Cables!$A:$A,0))*SQRT(C772)+INDEX(Cables!$AU:$AU,MATCH(B772,Cables!$A:$A,0))*C772</f>
        <v>10.289369584236312</v>
      </c>
      <c r="Q772" s="41">
        <f t="shared" si="102"/>
        <v>1.9807825160473858E-3</v>
      </c>
      <c r="R772" s="39">
        <f t="shared" si="103"/>
        <v>3.9234993758790124E-6</v>
      </c>
      <c r="S772" s="40" t="b">
        <f>IF(B772=B771,C772&gt;C771,COUNTIF(B$1:B771,B772)=0)</f>
        <v>1</v>
      </c>
      <c r="T772" s="37"/>
    </row>
    <row r="773" spans="1:20" x14ac:dyDescent="0.25">
      <c r="A773" s="37" t="s">
        <v>1510</v>
      </c>
      <c r="B773" s="37" t="s">
        <v>564</v>
      </c>
      <c r="C773" s="37">
        <v>1500</v>
      </c>
      <c r="D773" s="37">
        <v>4.13</v>
      </c>
      <c r="E773" s="37" t="s">
        <v>707</v>
      </c>
      <c r="F773" s="37">
        <v>25</v>
      </c>
      <c r="G773" s="37" t="s">
        <v>207</v>
      </c>
      <c r="H773" s="37" t="s">
        <v>1503</v>
      </c>
      <c r="I773" s="38">
        <f t="shared" si="96"/>
        <v>13.549868766404199</v>
      </c>
      <c r="J773" s="38">
        <f t="shared" si="97"/>
        <v>7.3132203870903014</v>
      </c>
      <c r="K773" s="38">
        <f t="shared" si="98"/>
        <v>2.6063768621425871</v>
      </c>
      <c r="L773" s="39">
        <f t="shared" si="99"/>
        <v>7.3801452784503632E-2</v>
      </c>
      <c r="M773" s="39">
        <f t="shared" si="100"/>
        <v>2.8583179756029558</v>
      </c>
      <c r="N773" s="39">
        <f t="shared" si="101"/>
        <v>110.70217917675545</v>
      </c>
      <c r="O773" s="40">
        <f>1</f>
        <v>1</v>
      </c>
      <c r="P773" s="38">
        <f>INDEX(Cables!$AS:$AS,MATCH(B773,Cables!$A:$A,0))+INDEX(Cables!$AT:$AT,MATCH(B773,Cables!$A:$A,0))*SQRT(C773)+INDEX(Cables!$AU:$AU,MATCH(B773,Cables!$A:$A,0))*C773</f>
        <v>13.568277517465621</v>
      </c>
      <c r="Q773" s="41">
        <f t="shared" si="102"/>
        <v>1.3585925722812142E-3</v>
      </c>
      <c r="R773" s="39">
        <f t="shared" si="103"/>
        <v>1.8457737774576862E-6</v>
      </c>
      <c r="S773" s="40" t="b">
        <f>IF(B773=B772,C773&gt;C772,COUNTIF(B$1:B772,B773)=0)</f>
        <v>1</v>
      </c>
      <c r="T773" s="37"/>
    </row>
    <row r="774" spans="1:20" x14ac:dyDescent="0.25">
      <c r="A774" s="37" t="s">
        <v>1511</v>
      </c>
      <c r="B774" s="37" t="s">
        <v>564</v>
      </c>
      <c r="C774" s="37">
        <v>2000</v>
      </c>
      <c r="D774" s="37">
        <v>4.84</v>
      </c>
      <c r="E774" s="37" t="s">
        <v>707</v>
      </c>
      <c r="F774" s="37">
        <v>25</v>
      </c>
      <c r="G774" s="37" t="s">
        <v>207</v>
      </c>
      <c r="H774" s="37" t="s">
        <v>1503</v>
      </c>
      <c r="I774" s="38">
        <f t="shared" si="96"/>
        <v>15.879265091863516</v>
      </c>
      <c r="J774" s="38">
        <f t="shared" si="97"/>
        <v>7.6009024595420822</v>
      </c>
      <c r="K774" s="38">
        <f t="shared" si="98"/>
        <v>2.7650141758981861</v>
      </c>
      <c r="L774" s="39">
        <f t="shared" si="99"/>
        <v>6.2975206611570259E-2</v>
      </c>
      <c r="M774" s="39">
        <f t="shared" si="100"/>
        <v>2.8163368576113057</v>
      </c>
      <c r="N774" s="39">
        <f t="shared" si="101"/>
        <v>125.9504132231405</v>
      </c>
      <c r="O774" s="40">
        <f>1</f>
        <v>1</v>
      </c>
      <c r="P774" s="38">
        <f>INDEX(Cables!$AS:$AS,MATCH(B774,Cables!$A:$A,0))+INDEX(Cables!$AT:$AT,MATCH(B774,Cables!$A:$A,0))*SQRT(C774)+INDEX(Cables!$AU:$AU,MATCH(B774,Cables!$A:$A,0))*C774</f>
        <v>15.893543923188764</v>
      </c>
      <c r="Q774" s="41">
        <f t="shared" si="102"/>
        <v>8.9921235287926393E-4</v>
      </c>
      <c r="R774" s="39">
        <f t="shared" si="103"/>
        <v>8.0858285557066191E-7</v>
      </c>
      <c r="S774" s="40" t="b">
        <f>IF(B774=B773,C774&gt;C773,COUNTIF(B$1:B773,B774)=0)</f>
        <v>1</v>
      </c>
      <c r="T774" s="37"/>
    </row>
    <row r="775" spans="1:20" x14ac:dyDescent="0.25">
      <c r="A775" s="37" t="s">
        <v>1512</v>
      </c>
      <c r="B775" s="37" t="s">
        <v>564</v>
      </c>
      <c r="C775" s="37">
        <v>2500</v>
      </c>
      <c r="D775" s="37">
        <v>5.48</v>
      </c>
      <c r="E775" s="37" t="s">
        <v>707</v>
      </c>
      <c r="F775" s="37">
        <v>25</v>
      </c>
      <c r="G775" s="37" t="s">
        <v>207</v>
      </c>
      <c r="H775" s="37" t="s">
        <v>1503</v>
      </c>
      <c r="I775" s="38">
        <f t="shared" si="96"/>
        <v>17.979002624671917</v>
      </c>
      <c r="J775" s="38">
        <f t="shared" si="97"/>
        <v>7.8240460108562919</v>
      </c>
      <c r="K775" s="38">
        <f t="shared" si="98"/>
        <v>2.8892045561295703</v>
      </c>
      <c r="L775" s="39">
        <f t="shared" si="99"/>
        <v>5.5620437956204374E-2</v>
      </c>
      <c r="M775" s="39">
        <f t="shared" si="100"/>
        <v>2.7810218978102186</v>
      </c>
      <c r="N775" s="39">
        <f t="shared" si="101"/>
        <v>139.05109489051094</v>
      </c>
      <c r="O775" s="40">
        <f>1</f>
        <v>1</v>
      </c>
      <c r="P775" s="38">
        <f>INDEX(Cables!$AS:$AS,MATCH(B775,Cables!$A:$A,0))+INDEX(Cables!$AT:$AT,MATCH(B775,Cables!$A:$A,0))*SQRT(C775)+INDEX(Cables!$AU:$AU,MATCH(B775,Cables!$A:$A,0))*C775</f>
        <v>17.992636915971644</v>
      </c>
      <c r="Q775" s="41">
        <f t="shared" si="102"/>
        <v>7.5834525331330838E-4</v>
      </c>
      <c r="R775" s="39">
        <f t="shared" si="103"/>
        <v>5.7508752322282585E-7</v>
      </c>
      <c r="S775" s="40" t="b">
        <f>IF(B775=B774,C775&gt;C774,COUNTIF(B$1:B774,B775)=0)</f>
        <v>1</v>
      </c>
      <c r="T775" s="37"/>
    </row>
    <row r="776" spans="1:20" x14ac:dyDescent="0.25">
      <c r="A776" s="37" t="s">
        <v>1513</v>
      </c>
      <c r="B776" s="37" t="s">
        <v>567</v>
      </c>
      <c r="C776" s="37">
        <v>50</v>
      </c>
      <c r="D776" s="37">
        <v>2.1</v>
      </c>
      <c r="E776" s="37" t="s">
        <v>771</v>
      </c>
      <c r="F776" s="37"/>
      <c r="G776" s="37" t="s">
        <v>574</v>
      </c>
      <c r="H776" s="37" t="s">
        <v>1514</v>
      </c>
      <c r="I776" s="38">
        <f t="shared" si="96"/>
        <v>2.1</v>
      </c>
      <c r="J776" s="38">
        <f t="shared" si="97"/>
        <v>3.912023005428146</v>
      </c>
      <c r="K776" s="38">
        <f t="shared" si="98"/>
        <v>0.74193734472937733</v>
      </c>
      <c r="L776" s="39">
        <f t="shared" si="99"/>
        <v>0.47619047619047616</v>
      </c>
      <c r="M776" s="39">
        <f t="shared" si="100"/>
        <v>3.3671751485073691</v>
      </c>
      <c r="N776" s="39">
        <f t="shared" si="101"/>
        <v>23.80952380952381</v>
      </c>
      <c r="O776" s="40">
        <f>1</f>
        <v>1</v>
      </c>
      <c r="P776" s="38">
        <f>INDEX(Cables!$AS:$AS,MATCH(B776,Cables!$A:$A,0))+INDEX(Cables!$AT:$AT,MATCH(B776,Cables!$A:$A,0))*SQRT(C776)+INDEX(Cables!$AU:$AU,MATCH(B776,Cables!$A:$A,0))*C776</f>
        <v>2.0803581453196252</v>
      </c>
      <c r="Q776" s="41">
        <f t="shared" si="102"/>
        <v>-9.353264133511896E-3</v>
      </c>
      <c r="R776" s="39">
        <f t="shared" si="103"/>
        <v>8.748354995124004E-5</v>
      </c>
      <c r="S776" s="40" t="b">
        <f>IF(B776=B775,C776&gt;C775,COUNTIF(B$1:B775,B776)=0)</f>
        <v>1</v>
      </c>
      <c r="T776" s="37"/>
    </row>
    <row r="777" spans="1:20" x14ac:dyDescent="0.25">
      <c r="A777" s="37" t="s">
        <v>1515</v>
      </c>
      <c r="B777" s="37" t="s">
        <v>567</v>
      </c>
      <c r="C777" s="37">
        <v>150</v>
      </c>
      <c r="D777" s="37">
        <v>3.7</v>
      </c>
      <c r="E777" s="37" t="s">
        <v>771</v>
      </c>
      <c r="F777" s="37"/>
      <c r="G777" s="37" t="s">
        <v>574</v>
      </c>
      <c r="H777" s="37" t="s">
        <v>1514</v>
      </c>
      <c r="I777" s="38">
        <f t="shared" si="96"/>
        <v>3.7</v>
      </c>
      <c r="J777" s="38">
        <f t="shared" si="97"/>
        <v>5.0106352940962555</v>
      </c>
      <c r="K777" s="38">
        <f t="shared" si="98"/>
        <v>1.3083328196501789</v>
      </c>
      <c r="L777" s="39">
        <f t="shared" si="99"/>
        <v>0.27027027027027023</v>
      </c>
      <c r="M777" s="39">
        <f t="shared" si="100"/>
        <v>3.3101212740313217</v>
      </c>
      <c r="N777" s="39">
        <f t="shared" si="101"/>
        <v>40.54054054054054</v>
      </c>
      <c r="O777" s="40">
        <f>1</f>
        <v>1</v>
      </c>
      <c r="P777" s="38">
        <f>INDEX(Cables!$AS:$AS,MATCH(B777,Cables!$A:$A,0))+INDEX(Cables!$AT:$AT,MATCH(B777,Cables!$A:$A,0))*SQRT(C777)+INDEX(Cables!$AU:$AU,MATCH(B777,Cables!$A:$A,0))*C777</f>
        <v>3.8073221389663527</v>
      </c>
      <c r="Q777" s="41">
        <f t="shared" si="102"/>
        <v>2.900598350441963E-2</v>
      </c>
      <c r="R777" s="39">
        <f t="shared" si="103"/>
        <v>8.4134707905866369E-4</v>
      </c>
      <c r="S777" s="40" t="b">
        <f>IF(B777=B776,C777&gt;C776,COUNTIF(B$1:B776,B777)=0)</f>
        <v>1</v>
      </c>
      <c r="T777" s="37"/>
    </row>
    <row r="778" spans="1:20" x14ac:dyDescent="0.25">
      <c r="A778" s="37" t="s">
        <v>1516</v>
      </c>
      <c r="B778" s="37" t="s">
        <v>567</v>
      </c>
      <c r="C778" s="37">
        <v>450</v>
      </c>
      <c r="D778" s="37">
        <v>7.1</v>
      </c>
      <c r="E778" s="37" t="s">
        <v>771</v>
      </c>
      <c r="F778" s="37"/>
      <c r="G778" s="37" t="s">
        <v>574</v>
      </c>
      <c r="H778" s="37" t="s">
        <v>1514</v>
      </c>
      <c r="I778" s="38">
        <f t="shared" si="96"/>
        <v>7.1</v>
      </c>
      <c r="J778" s="38">
        <f t="shared" si="97"/>
        <v>6.1092475827643655</v>
      </c>
      <c r="K778" s="38">
        <f t="shared" si="98"/>
        <v>1.9600947840472698</v>
      </c>
      <c r="L778" s="39">
        <f t="shared" si="99"/>
        <v>0.14084507042253522</v>
      </c>
      <c r="M778" s="39">
        <f t="shared" si="100"/>
        <v>2.9877751317741446</v>
      </c>
      <c r="N778" s="39">
        <f t="shared" si="101"/>
        <v>63.380281690140848</v>
      </c>
      <c r="O778" s="40">
        <f>1</f>
        <v>1</v>
      </c>
      <c r="P778" s="38">
        <f>INDEX(Cables!$AS:$AS,MATCH(B778,Cables!$A:$A,0))+INDEX(Cables!$AT:$AT,MATCH(B778,Cables!$A:$A,0))*SQRT(C778)+INDEX(Cables!$AU:$AU,MATCH(B778,Cables!$A:$A,0))*C778</f>
        <v>6.9584618915369481</v>
      </c>
      <c r="Q778" s="41">
        <f t="shared" si="102"/>
        <v>-1.9934944853950975E-2</v>
      </c>
      <c r="R778" s="39">
        <f t="shared" si="103"/>
        <v>3.9740202633006648E-4</v>
      </c>
      <c r="S778" s="40" t="b">
        <f>IF(B778=B777,C778&gt;C777,COUNTIF(B$1:B777,B778)=0)</f>
        <v>1</v>
      </c>
      <c r="T778" s="37"/>
    </row>
    <row r="779" spans="1:20" x14ac:dyDescent="0.25">
      <c r="A779" s="37" t="s">
        <v>1517</v>
      </c>
      <c r="B779" s="37" t="s">
        <v>567</v>
      </c>
      <c r="C779" s="37">
        <v>800</v>
      </c>
      <c r="D779" s="37">
        <v>9.6999999999999993</v>
      </c>
      <c r="E779" s="37" t="s">
        <v>771</v>
      </c>
      <c r="F779" s="37"/>
      <c r="G779" s="37" t="s">
        <v>574</v>
      </c>
      <c r="H779" s="37" t="s">
        <v>1514</v>
      </c>
      <c r="I779" s="38">
        <f t="shared" si="96"/>
        <v>9.6999999999999993</v>
      </c>
      <c r="J779" s="38">
        <f t="shared" si="97"/>
        <v>6.6846117276679271</v>
      </c>
      <c r="K779" s="38">
        <f t="shared" si="98"/>
        <v>2.2721258855093369</v>
      </c>
      <c r="L779" s="39">
        <f t="shared" si="99"/>
        <v>0.10309278350515465</v>
      </c>
      <c r="M779" s="39">
        <f t="shared" si="100"/>
        <v>2.9159042523156602</v>
      </c>
      <c r="N779" s="39">
        <f t="shared" si="101"/>
        <v>82.474226804123717</v>
      </c>
      <c r="O779" s="40">
        <f>1</f>
        <v>1</v>
      </c>
      <c r="P779" s="38">
        <f>INDEX(Cables!$AS:$AS,MATCH(B779,Cables!$A:$A,0))+INDEX(Cables!$AT:$AT,MATCH(B779,Cables!$A:$A,0))*SQRT(C779)+INDEX(Cables!$AU:$AU,MATCH(B779,Cables!$A:$A,0))*C779</f>
        <v>9.58673708726044</v>
      </c>
      <c r="Q779" s="41">
        <f t="shared" si="102"/>
        <v>-1.1676588942222565E-2</v>
      </c>
      <c r="R779" s="39">
        <f t="shared" si="103"/>
        <v>1.363427293256343E-4</v>
      </c>
      <c r="S779" s="40" t="b">
        <f>IF(B779=B778,C779&gt;C778,COUNTIF(B$1:B778,B779)=0)</f>
        <v>1</v>
      </c>
      <c r="T779" s="37"/>
    </row>
    <row r="780" spans="1:20" x14ac:dyDescent="0.25">
      <c r="A780" s="37" t="s">
        <v>1518</v>
      </c>
      <c r="B780" s="37" t="s">
        <v>567</v>
      </c>
      <c r="C780" s="37">
        <v>900</v>
      </c>
      <c r="D780" s="37">
        <v>10.3</v>
      </c>
      <c r="E780" s="37" t="s">
        <v>771</v>
      </c>
      <c r="F780" s="37"/>
      <c r="G780" s="37" t="s">
        <v>574</v>
      </c>
      <c r="H780" s="37" t="s">
        <v>1514</v>
      </c>
      <c r="I780" s="38">
        <f t="shared" si="96"/>
        <v>10.3</v>
      </c>
      <c r="J780" s="38">
        <f t="shared" si="97"/>
        <v>6.8023947633243109</v>
      </c>
      <c r="K780" s="38">
        <f t="shared" si="98"/>
        <v>2.33214389523559</v>
      </c>
      <c r="L780" s="39">
        <f t="shared" si="99"/>
        <v>9.7087378640776698E-2</v>
      </c>
      <c r="M780" s="39">
        <f t="shared" si="100"/>
        <v>2.9126213592233006</v>
      </c>
      <c r="N780" s="39">
        <f t="shared" si="101"/>
        <v>87.378640776699029</v>
      </c>
      <c r="O780" s="40">
        <f>1</f>
        <v>1</v>
      </c>
      <c r="P780" s="38">
        <f>INDEX(Cables!$AS:$AS,MATCH(B780,Cables!$A:$A,0))+INDEX(Cables!$AT:$AT,MATCH(B780,Cables!$A:$A,0))*SQRT(C780)+INDEX(Cables!$AU:$AU,MATCH(B780,Cables!$A:$A,0))*C780</f>
        <v>10.243481488723317</v>
      </c>
      <c r="Q780" s="41">
        <f t="shared" si="102"/>
        <v>-5.4872341045324458E-3</v>
      </c>
      <c r="R780" s="39">
        <f t="shared" si="103"/>
        <v>3.0109738117943993E-5</v>
      </c>
      <c r="S780" s="40" t="b">
        <f>IF(B780=B779,C780&gt;C779,COUNTIF(B$1:B779,B780)=0)</f>
        <v>1</v>
      </c>
      <c r="T780" s="37"/>
    </row>
    <row r="781" spans="1:20" x14ac:dyDescent="0.25">
      <c r="A781" s="37" t="s">
        <v>1519</v>
      </c>
      <c r="B781" s="37" t="s">
        <v>567</v>
      </c>
      <c r="C781" s="37">
        <v>1200</v>
      </c>
      <c r="D781" s="37">
        <v>12</v>
      </c>
      <c r="E781" s="37" t="s">
        <v>771</v>
      </c>
      <c r="F781" s="37"/>
      <c r="G781" s="37" t="s">
        <v>574</v>
      </c>
      <c r="H781" s="37" t="s">
        <v>1514</v>
      </c>
      <c r="I781" s="38">
        <f t="shared" si="96"/>
        <v>12</v>
      </c>
      <c r="J781" s="38">
        <f t="shared" si="97"/>
        <v>7.0900768357760917</v>
      </c>
      <c r="K781" s="38">
        <f t="shared" si="98"/>
        <v>2.4849066497880004</v>
      </c>
      <c r="L781" s="39">
        <f t="shared" si="99"/>
        <v>8.3333333333333329E-2</v>
      </c>
      <c r="M781" s="39">
        <f t="shared" si="100"/>
        <v>2.8867513459481291</v>
      </c>
      <c r="N781" s="39">
        <f t="shared" si="101"/>
        <v>100</v>
      </c>
      <c r="O781" s="40">
        <f>1</f>
        <v>1</v>
      </c>
      <c r="P781" s="38">
        <f>INDEX(Cables!$AS:$AS,MATCH(B781,Cables!$A:$A,0))+INDEX(Cables!$AT:$AT,MATCH(B781,Cables!$A:$A,0))*SQRT(C781)+INDEX(Cables!$AU:$AU,MATCH(B781,Cables!$A:$A,0))*C781</f>
        <v>12.057179698761622</v>
      </c>
      <c r="Q781" s="41">
        <f t="shared" si="102"/>
        <v>4.7649748968019434E-3</v>
      </c>
      <c r="R781" s="39">
        <f t="shared" si="103"/>
        <v>2.2704985767152691E-5</v>
      </c>
      <c r="S781" s="40" t="b">
        <f>IF(B781=B780,C781&gt;C780,COUNTIF(B$1:B780,B781)=0)</f>
        <v>1</v>
      </c>
      <c r="T781" s="37"/>
    </row>
    <row r="782" spans="1:20" x14ac:dyDescent="0.25">
      <c r="A782" s="37" t="s">
        <v>1520</v>
      </c>
      <c r="B782" s="37" t="s">
        <v>567</v>
      </c>
      <c r="C782" s="37">
        <v>1800</v>
      </c>
      <c r="D782" s="37">
        <v>15.1</v>
      </c>
      <c r="E782" s="37" t="s">
        <v>771</v>
      </c>
      <c r="F782" s="37"/>
      <c r="G782" s="37" t="s">
        <v>574</v>
      </c>
      <c r="H782" s="37" t="s">
        <v>1514</v>
      </c>
      <c r="I782" s="38">
        <f t="shared" si="96"/>
        <v>15.1</v>
      </c>
      <c r="J782" s="38">
        <f t="shared" si="97"/>
        <v>7.4955419438842563</v>
      </c>
      <c r="K782" s="38">
        <f t="shared" si="98"/>
        <v>2.7146947438208788</v>
      </c>
      <c r="L782" s="39">
        <f t="shared" si="99"/>
        <v>6.6225165562913912E-2</v>
      </c>
      <c r="M782" s="39">
        <f t="shared" si="100"/>
        <v>2.8096958192842951</v>
      </c>
      <c r="N782" s="39">
        <f t="shared" si="101"/>
        <v>119.20529801324504</v>
      </c>
      <c r="O782" s="40">
        <f>1</f>
        <v>1</v>
      </c>
      <c r="P782" s="38">
        <f>INDEX(Cables!$AS:$AS,MATCH(B782,Cables!$A:$A,0))+INDEX(Cables!$AT:$AT,MATCH(B782,Cables!$A:$A,0))*SQRT(C782)+INDEX(Cables!$AU:$AU,MATCH(B782,Cables!$A:$A,0))*C782</f>
        <v>15.221734123937086</v>
      </c>
      <c r="Q782" s="41">
        <f t="shared" si="102"/>
        <v>8.061862512389828E-3</v>
      </c>
      <c r="R782" s="39">
        <f t="shared" si="103"/>
        <v>6.4993627168676428E-5</v>
      </c>
      <c r="S782" s="40" t="b">
        <f>IF(B782=B781,C782&gt;C781,COUNTIF(B$1:B781,B782)=0)</f>
        <v>1</v>
      </c>
      <c r="T782" s="37"/>
    </row>
    <row r="783" spans="1:20" x14ac:dyDescent="0.25">
      <c r="A783" s="37" t="s">
        <v>1521</v>
      </c>
      <c r="B783" s="37" t="s">
        <v>567</v>
      </c>
      <c r="C783" s="37">
        <v>1900</v>
      </c>
      <c r="D783" s="37">
        <v>15.6</v>
      </c>
      <c r="E783" s="37" t="s">
        <v>771</v>
      </c>
      <c r="F783" s="37"/>
      <c r="G783" s="37" t="s">
        <v>574</v>
      </c>
      <c r="H783" s="37" t="s">
        <v>1514</v>
      </c>
      <c r="I783" s="38">
        <f t="shared" si="96"/>
        <v>15.6</v>
      </c>
      <c r="J783" s="38">
        <f t="shared" si="97"/>
        <v>7.5496091651545321</v>
      </c>
      <c r="K783" s="38">
        <f t="shared" si="98"/>
        <v>2.7472709142554912</v>
      </c>
      <c r="L783" s="39">
        <f t="shared" si="99"/>
        <v>6.4102564102564111E-2</v>
      </c>
      <c r="M783" s="39">
        <f t="shared" si="100"/>
        <v>2.7941659894491497</v>
      </c>
      <c r="N783" s="39">
        <f t="shared" si="101"/>
        <v>121.7948717948718</v>
      </c>
      <c r="O783" s="40">
        <f>1</f>
        <v>1</v>
      </c>
      <c r="P783" s="38">
        <f>INDEX(Cables!$AS:$AS,MATCH(B783,Cables!$A:$A,0))+INDEX(Cables!$AT:$AT,MATCH(B783,Cables!$A:$A,0))*SQRT(C783)+INDEX(Cables!$AU:$AU,MATCH(B783,Cables!$A:$A,0))*C783</f>
        <v>15.707416002352156</v>
      </c>
      <c r="Q783" s="41">
        <f t="shared" si="102"/>
        <v>6.8856411764202097E-3</v>
      </c>
      <c r="R783" s="39">
        <f t="shared" si="103"/>
        <v>4.7412054410413491E-5</v>
      </c>
      <c r="S783" s="40" t="b">
        <f>IF(B783=B782,C783&gt;C782,COUNTIF(B$1:B782,B783)=0)</f>
        <v>1</v>
      </c>
      <c r="T783" s="37"/>
    </row>
    <row r="784" spans="1:20" x14ac:dyDescent="0.25">
      <c r="A784" s="37" t="s">
        <v>1522</v>
      </c>
      <c r="B784" s="37" t="s">
        <v>567</v>
      </c>
      <c r="C784" s="37">
        <v>2450</v>
      </c>
      <c r="D784" s="37">
        <v>18.3</v>
      </c>
      <c r="E784" s="37" t="s">
        <v>771</v>
      </c>
      <c r="F784" s="37"/>
      <c r="G784" s="37" t="s">
        <v>574</v>
      </c>
      <c r="H784" s="37" t="s">
        <v>1514</v>
      </c>
      <c r="I784" s="38">
        <f t="shared" si="96"/>
        <v>18.3</v>
      </c>
      <c r="J784" s="38">
        <f t="shared" si="97"/>
        <v>7.8038433035387724</v>
      </c>
      <c r="K784" s="38">
        <f t="shared" si="98"/>
        <v>2.9069010598473755</v>
      </c>
      <c r="L784" s="39">
        <f t="shared" si="99"/>
        <v>5.4644808743169397E-2</v>
      </c>
      <c r="M784" s="39">
        <f t="shared" si="100"/>
        <v>2.7047800373255915</v>
      </c>
      <c r="N784" s="39">
        <f t="shared" si="101"/>
        <v>133.87978142076503</v>
      </c>
      <c r="O784" s="40">
        <f>1</f>
        <v>1</v>
      </c>
      <c r="P784" s="38">
        <f>INDEX(Cables!$AS:$AS,MATCH(B784,Cables!$A:$A,0))+INDEX(Cables!$AT:$AT,MATCH(B784,Cables!$A:$A,0))*SQRT(C784)+INDEX(Cables!$AU:$AU,MATCH(B784,Cables!$A:$A,0))*C784</f>
        <v>18.228455964890241</v>
      </c>
      <c r="Q784" s="41">
        <f t="shared" si="102"/>
        <v>-3.9095101152873957E-3</v>
      </c>
      <c r="R784" s="39">
        <f t="shared" si="103"/>
        <v>1.5284269341534466E-5</v>
      </c>
      <c r="S784" s="40" t="b">
        <f>IF(B784=B783,C784&gt;C783,COUNTIF(B$1:B783,B784)=0)</f>
        <v>1</v>
      </c>
      <c r="T784" s="37"/>
    </row>
    <row r="785" spans="1:20" x14ac:dyDescent="0.25">
      <c r="A785" s="37" t="s">
        <v>1523</v>
      </c>
      <c r="B785" s="37" t="s">
        <v>576</v>
      </c>
      <c r="C785" s="37">
        <v>10</v>
      </c>
      <c r="D785" s="37">
        <v>1</v>
      </c>
      <c r="E785" s="37" t="s">
        <v>771</v>
      </c>
      <c r="F785" s="37">
        <v>20</v>
      </c>
      <c r="G785" s="37" t="s">
        <v>223</v>
      </c>
      <c r="H785" s="37" t="s">
        <v>1524</v>
      </c>
      <c r="I785" s="38">
        <f t="shared" si="96"/>
        <v>1</v>
      </c>
      <c r="J785" s="38">
        <f t="shared" si="97"/>
        <v>2.3025850929940459</v>
      </c>
      <c r="K785" s="38">
        <f t="shared" si="98"/>
        <v>0</v>
      </c>
      <c r="L785" s="39">
        <f t="shared" si="99"/>
        <v>1</v>
      </c>
      <c r="M785" s="39">
        <f t="shared" si="100"/>
        <v>3.1622776601683795</v>
      </c>
      <c r="N785" s="39">
        <f t="shared" si="101"/>
        <v>10</v>
      </c>
      <c r="O785" s="40">
        <f>1</f>
        <v>1</v>
      </c>
      <c r="P785" s="38">
        <f>INDEX(Cables!$AS:$AS,MATCH(B785,Cables!$A:$A,0))+INDEX(Cables!$AT:$AT,MATCH(B785,Cables!$A:$A,0))*SQRT(C785)+INDEX(Cables!$AU:$AU,MATCH(B785,Cables!$A:$A,0))*C785</f>
        <v>0.96473176842758945</v>
      </c>
      <c r="Q785" s="41">
        <f t="shared" si="102"/>
        <v>-3.5268231572410547E-2</v>
      </c>
      <c r="R785" s="39">
        <f t="shared" si="103"/>
        <v>1.2438481582451762E-3</v>
      </c>
      <c r="S785" s="40" t="b">
        <f>IF(B785=B784,C785&gt;C784,COUNTIF(B$1:B784,B785)=0)</f>
        <v>1</v>
      </c>
      <c r="T785" s="37"/>
    </row>
    <row r="786" spans="1:20" x14ac:dyDescent="0.25">
      <c r="A786" s="37" t="s">
        <v>1525</v>
      </c>
      <c r="B786" s="37" t="s">
        <v>576</v>
      </c>
      <c r="C786" s="37">
        <v>28</v>
      </c>
      <c r="D786" s="37">
        <v>1.5</v>
      </c>
      <c r="E786" s="37" t="s">
        <v>771</v>
      </c>
      <c r="F786" s="37">
        <v>20</v>
      </c>
      <c r="G786" s="37" t="s">
        <v>223</v>
      </c>
      <c r="H786" s="37" t="s">
        <v>1524</v>
      </c>
      <c r="I786" s="38">
        <f t="shared" si="96"/>
        <v>1.5</v>
      </c>
      <c r="J786" s="38">
        <f t="shared" si="97"/>
        <v>3.3322045101752038</v>
      </c>
      <c r="K786" s="38">
        <f t="shared" si="98"/>
        <v>0.40546510810816438</v>
      </c>
      <c r="L786" s="39">
        <f t="shared" si="99"/>
        <v>0.66666666666666663</v>
      </c>
      <c r="M786" s="39">
        <f t="shared" si="100"/>
        <v>3.5276684147527875</v>
      </c>
      <c r="N786" s="39">
        <f t="shared" si="101"/>
        <v>18.666666666666668</v>
      </c>
      <c r="O786" s="40">
        <f>1</f>
        <v>1</v>
      </c>
      <c r="P786" s="38">
        <f>INDEX(Cables!$AS:$AS,MATCH(B786,Cables!$A:$A,0))+INDEX(Cables!$AT:$AT,MATCH(B786,Cables!$A:$A,0))*SQRT(C786)+INDEX(Cables!$AU:$AU,MATCH(B786,Cables!$A:$A,0))*C786</f>
        <v>1.5536786140410626</v>
      </c>
      <c r="Q786" s="41">
        <f t="shared" si="102"/>
        <v>3.5785742694041778E-2</v>
      </c>
      <c r="R786" s="39">
        <f t="shared" si="103"/>
        <v>1.2806193801641645E-3</v>
      </c>
      <c r="S786" s="40" t="b">
        <f>IF(B786=B785,C786&gt;C785,COUNTIF(B$1:B785,B786)=0)</f>
        <v>1</v>
      </c>
      <c r="T786" s="37"/>
    </row>
    <row r="787" spans="1:20" x14ac:dyDescent="0.25">
      <c r="A787" s="37" t="s">
        <v>1526</v>
      </c>
      <c r="B787" s="37" t="s">
        <v>576</v>
      </c>
      <c r="C787" s="37">
        <v>50</v>
      </c>
      <c r="D787" s="37">
        <v>2</v>
      </c>
      <c r="E787" s="37" t="s">
        <v>771</v>
      </c>
      <c r="F787" s="37">
        <v>20</v>
      </c>
      <c r="G787" s="37" t="s">
        <v>223</v>
      </c>
      <c r="H787" s="37" t="s">
        <v>1524</v>
      </c>
      <c r="I787" s="38">
        <f t="shared" si="96"/>
        <v>2</v>
      </c>
      <c r="J787" s="38">
        <f t="shared" si="97"/>
        <v>3.912023005428146</v>
      </c>
      <c r="K787" s="38">
        <f t="shared" si="98"/>
        <v>0.69314718055994529</v>
      </c>
      <c r="L787" s="39">
        <f t="shared" si="99"/>
        <v>0.5</v>
      </c>
      <c r="M787" s="39">
        <f t="shared" si="100"/>
        <v>3.5355339059327378</v>
      </c>
      <c r="N787" s="39">
        <f t="shared" si="101"/>
        <v>25</v>
      </c>
      <c r="O787" s="40">
        <f>1</f>
        <v>1</v>
      </c>
      <c r="P787" s="38">
        <f>INDEX(Cables!$AS:$AS,MATCH(B787,Cables!$A:$A,0))+INDEX(Cables!$AT:$AT,MATCH(B787,Cables!$A:$A,0))*SQRT(C787)+INDEX(Cables!$AU:$AU,MATCH(B787,Cables!$A:$A,0))*C787</f>
        <v>2.0583969763656556</v>
      </c>
      <c r="Q787" s="41">
        <f t="shared" si="102"/>
        <v>2.9198488182827775E-2</v>
      </c>
      <c r="R787" s="39">
        <f t="shared" si="103"/>
        <v>8.5255171216273319E-4</v>
      </c>
      <c r="S787" s="40" t="b">
        <f>IF(B787=B786,C787&gt;C786,COUNTIF(B$1:B786,B787)=0)</f>
        <v>1</v>
      </c>
      <c r="T787" s="37"/>
    </row>
    <row r="788" spans="1:20" x14ac:dyDescent="0.25">
      <c r="A788" s="37" t="s">
        <v>1527</v>
      </c>
      <c r="B788" s="37" t="s">
        <v>576</v>
      </c>
      <c r="C788" s="37">
        <v>100</v>
      </c>
      <c r="D788" s="37">
        <v>2.8</v>
      </c>
      <c r="E788" s="37" t="s">
        <v>771</v>
      </c>
      <c r="F788" s="37">
        <v>20</v>
      </c>
      <c r="G788" s="37" t="s">
        <v>223</v>
      </c>
      <c r="H788" s="37" t="s">
        <v>1524</v>
      </c>
      <c r="I788" s="38">
        <f t="shared" si="96"/>
        <v>2.8</v>
      </c>
      <c r="J788" s="38">
        <f t="shared" si="97"/>
        <v>4.6051701859880918</v>
      </c>
      <c r="K788" s="38">
        <f t="shared" si="98"/>
        <v>1.0296194171811581</v>
      </c>
      <c r="L788" s="39">
        <f t="shared" si="99"/>
        <v>0.35714285714285715</v>
      </c>
      <c r="M788" s="39">
        <f t="shared" si="100"/>
        <v>3.5714285714285716</v>
      </c>
      <c r="N788" s="39">
        <f t="shared" si="101"/>
        <v>35.714285714285715</v>
      </c>
      <c r="O788" s="40">
        <f>1</f>
        <v>1</v>
      </c>
      <c r="P788" s="38">
        <f>INDEX(Cables!$AS:$AS,MATCH(B788,Cables!$A:$A,0))+INDEX(Cables!$AT:$AT,MATCH(B788,Cables!$A:$A,0))*SQRT(C788)+INDEX(Cables!$AU:$AU,MATCH(B788,Cables!$A:$A,0))*C788</f>
        <v>2.9138561725758581</v>
      </c>
      <c r="Q788" s="41">
        <f t="shared" si="102"/>
        <v>4.0662918777092161E-2</v>
      </c>
      <c r="R788" s="39">
        <f t="shared" si="103"/>
        <v>1.6534729634723943E-3</v>
      </c>
      <c r="S788" s="40" t="b">
        <f>IF(B788=B787,C788&gt;C787,COUNTIF(B$1:B787,B788)=0)</f>
        <v>1</v>
      </c>
      <c r="T788" s="37"/>
    </row>
    <row r="789" spans="1:20" x14ac:dyDescent="0.25">
      <c r="A789" s="37" t="s">
        <v>1528</v>
      </c>
      <c r="B789" s="37" t="s">
        <v>576</v>
      </c>
      <c r="C789" s="37">
        <v>144</v>
      </c>
      <c r="D789" s="37">
        <v>3.6</v>
      </c>
      <c r="E789" s="37" t="s">
        <v>771</v>
      </c>
      <c r="F789" s="37">
        <v>20</v>
      </c>
      <c r="G789" s="37" t="s">
        <v>223</v>
      </c>
      <c r="H789" s="37" t="s">
        <v>1524</v>
      </c>
      <c r="I789" s="38">
        <f t="shared" si="96"/>
        <v>3.6</v>
      </c>
      <c r="J789" s="38">
        <f t="shared" si="97"/>
        <v>4.9698132995760007</v>
      </c>
      <c r="K789" s="38">
        <f t="shared" si="98"/>
        <v>1.2809338454620642</v>
      </c>
      <c r="L789" s="39">
        <f t="shared" si="99"/>
        <v>0.27777777777777779</v>
      </c>
      <c r="M789" s="39">
        <f t="shared" si="100"/>
        <v>3.333333333333333</v>
      </c>
      <c r="N789" s="39">
        <f t="shared" si="101"/>
        <v>40</v>
      </c>
      <c r="O789" s="40">
        <f>1</f>
        <v>1</v>
      </c>
      <c r="P789" s="38">
        <f>INDEX(Cables!$AS:$AS,MATCH(B789,Cables!$A:$A,0))+INDEX(Cables!$AT:$AT,MATCH(B789,Cables!$A:$A,0))*SQRT(C789)+INDEX(Cables!$AU:$AU,MATCH(B789,Cables!$A:$A,0))*C789</f>
        <v>3.5156979713177319</v>
      </c>
      <c r="Q789" s="41">
        <f t="shared" si="102"/>
        <v>-2.3417230189518912E-2</v>
      </c>
      <c r="R789" s="39">
        <f t="shared" si="103"/>
        <v>5.4836666974891594E-4</v>
      </c>
      <c r="S789" s="40" t="b">
        <f>IF(B789=B788,C789&gt;C788,COUNTIF(B$1:B788,B789)=0)</f>
        <v>1</v>
      </c>
      <c r="T789" s="37"/>
    </row>
    <row r="790" spans="1:20" x14ac:dyDescent="0.25">
      <c r="A790" s="37" t="s">
        <v>1529</v>
      </c>
      <c r="B790" s="37" t="s">
        <v>576</v>
      </c>
      <c r="C790" s="37">
        <v>200</v>
      </c>
      <c r="D790" s="37">
        <v>4.3</v>
      </c>
      <c r="E790" s="37" t="s">
        <v>771</v>
      </c>
      <c r="F790" s="37">
        <v>20</v>
      </c>
      <c r="G790" s="37" t="s">
        <v>223</v>
      </c>
      <c r="H790" s="37" t="s">
        <v>1524</v>
      </c>
      <c r="I790" s="38">
        <f t="shared" si="96"/>
        <v>4.3</v>
      </c>
      <c r="J790" s="38">
        <f t="shared" si="97"/>
        <v>5.2983173665480363</v>
      </c>
      <c r="K790" s="38">
        <f t="shared" si="98"/>
        <v>1.4586150226995167</v>
      </c>
      <c r="L790" s="39">
        <f t="shared" si="99"/>
        <v>0.23255813953488372</v>
      </c>
      <c r="M790" s="39">
        <f t="shared" si="100"/>
        <v>3.2888687497048723</v>
      </c>
      <c r="N790" s="39">
        <f t="shared" si="101"/>
        <v>46.511627906976749</v>
      </c>
      <c r="O790" s="40">
        <f>1</f>
        <v>1</v>
      </c>
      <c r="P790" s="38">
        <f>INDEX(Cables!$AS:$AS,MATCH(B790,Cables!$A:$A,0))+INDEX(Cables!$AT:$AT,MATCH(B790,Cables!$A:$A,0))*SQRT(C790)+INDEX(Cables!$AU:$AU,MATCH(B790,Cables!$A:$A,0))*C790</f>
        <v>4.1762409830873697</v>
      </c>
      <c r="Q790" s="41">
        <f t="shared" si="102"/>
        <v>-2.8781166723867435E-2</v>
      </c>
      <c r="R790" s="39">
        <f t="shared" si="103"/>
        <v>8.2835555798705415E-4</v>
      </c>
      <c r="S790" s="40" t="b">
        <f>IF(B790=B789,C790&gt;C789,COUNTIF(B$1:B789,B790)=0)</f>
        <v>1</v>
      </c>
      <c r="T790" s="37"/>
    </row>
    <row r="791" spans="1:20" x14ac:dyDescent="0.25">
      <c r="A791" s="37" t="s">
        <v>1530</v>
      </c>
      <c r="B791" s="37" t="s">
        <v>576</v>
      </c>
      <c r="C791" s="37">
        <v>430</v>
      </c>
      <c r="D791" s="37">
        <v>6.4</v>
      </c>
      <c r="E791" s="37" t="s">
        <v>771</v>
      </c>
      <c r="F791" s="37">
        <v>20</v>
      </c>
      <c r="G791" s="37" t="s">
        <v>223</v>
      </c>
      <c r="H791" s="37" t="s">
        <v>1524</v>
      </c>
      <c r="I791" s="38">
        <f t="shared" si="96"/>
        <v>6.4</v>
      </c>
      <c r="J791" s="38">
        <f t="shared" si="97"/>
        <v>6.0637852086876078</v>
      </c>
      <c r="K791" s="38">
        <f t="shared" si="98"/>
        <v>1.8562979903656263</v>
      </c>
      <c r="L791" s="39">
        <f t="shared" si="99"/>
        <v>0.15625</v>
      </c>
      <c r="M791" s="39">
        <f t="shared" si="100"/>
        <v>3.2400689614574563</v>
      </c>
      <c r="N791" s="39">
        <f t="shared" si="101"/>
        <v>67.1875</v>
      </c>
      <c r="O791" s="40">
        <f>1</f>
        <v>1</v>
      </c>
      <c r="P791" s="38">
        <f>INDEX(Cables!$AS:$AS,MATCH(B791,Cables!$A:$A,0))+INDEX(Cables!$AT:$AT,MATCH(B791,Cables!$A:$A,0))*SQRT(C791)+INDEX(Cables!$AU:$AU,MATCH(B791,Cables!$A:$A,0))*C791</f>
        <v>6.3130708498708659</v>
      </c>
      <c r="Q791" s="41">
        <f t="shared" si="102"/>
        <v>-1.3582679707677237E-2</v>
      </c>
      <c r="R791" s="39">
        <f t="shared" si="103"/>
        <v>1.8448918804134698E-4</v>
      </c>
      <c r="S791" s="40" t="b">
        <f>IF(B791=B790,C791&gt;C790,COUNTIF(B$1:B790,B791)=0)</f>
        <v>1</v>
      </c>
      <c r="T791" s="37"/>
    </row>
    <row r="792" spans="1:20" x14ac:dyDescent="0.25">
      <c r="A792" s="37" t="s">
        <v>1531</v>
      </c>
      <c r="B792" s="37" t="s">
        <v>576</v>
      </c>
      <c r="C792" s="37">
        <v>800</v>
      </c>
      <c r="D792" s="37">
        <v>9.1</v>
      </c>
      <c r="E792" s="37" t="s">
        <v>771</v>
      </c>
      <c r="F792" s="37">
        <v>20</v>
      </c>
      <c r="G792" s="37" t="s">
        <v>223</v>
      </c>
      <c r="H792" s="37" t="s">
        <v>1524</v>
      </c>
      <c r="I792" s="38">
        <f t="shared" si="96"/>
        <v>9.1</v>
      </c>
      <c r="J792" s="38">
        <f t="shared" si="97"/>
        <v>6.6846117276679271</v>
      </c>
      <c r="K792" s="38">
        <f t="shared" si="98"/>
        <v>2.2082744135228043</v>
      </c>
      <c r="L792" s="39">
        <f t="shared" si="99"/>
        <v>0.10989010989010989</v>
      </c>
      <c r="M792" s="39">
        <f t="shared" si="100"/>
        <v>3.1081616755452641</v>
      </c>
      <c r="N792" s="39">
        <f t="shared" si="101"/>
        <v>87.912087912087912</v>
      </c>
      <c r="O792" s="40">
        <f>1</f>
        <v>1</v>
      </c>
      <c r="P792" s="38">
        <f>INDEX(Cables!$AS:$AS,MATCH(B792,Cables!$A:$A,0))+INDEX(Cables!$AT:$AT,MATCH(B792,Cables!$A:$A,0))*SQRT(C792)+INDEX(Cables!$AU:$AU,MATCH(B792,Cables!$A:$A,0))*C792</f>
        <v>8.9505158581926327</v>
      </c>
      <c r="Q792" s="41">
        <f t="shared" si="102"/>
        <v>-1.6426828770040314E-2</v>
      </c>
      <c r="R792" s="39">
        <f t="shared" si="103"/>
        <v>2.6984070344022418E-4</v>
      </c>
      <c r="S792" s="40" t="b">
        <f>IF(B792=B791,C792&gt;C791,COUNTIF(B$1:B791,B792)=0)</f>
        <v>1</v>
      </c>
      <c r="T792" s="37"/>
    </row>
    <row r="793" spans="1:20" x14ac:dyDescent="0.25">
      <c r="A793" s="37" t="s">
        <v>1532</v>
      </c>
      <c r="B793" s="37" t="s">
        <v>576</v>
      </c>
      <c r="C793" s="37">
        <v>1296</v>
      </c>
      <c r="D793" s="37">
        <v>12</v>
      </c>
      <c r="E793" s="37" t="s">
        <v>771</v>
      </c>
      <c r="F793" s="37">
        <v>20</v>
      </c>
      <c r="G793" s="37" t="s">
        <v>223</v>
      </c>
      <c r="H793" s="37" t="s">
        <v>1524</v>
      </c>
      <c r="I793" s="38">
        <f t="shared" si="96"/>
        <v>12</v>
      </c>
      <c r="J793" s="38">
        <f t="shared" si="97"/>
        <v>7.1670378769122198</v>
      </c>
      <c r="K793" s="38">
        <f t="shared" si="98"/>
        <v>2.4849066497880004</v>
      </c>
      <c r="L793" s="39">
        <f t="shared" si="99"/>
        <v>8.3333333333333329E-2</v>
      </c>
      <c r="M793" s="39">
        <f t="shared" si="100"/>
        <v>3</v>
      </c>
      <c r="N793" s="39">
        <f t="shared" si="101"/>
        <v>108</v>
      </c>
      <c r="O793" s="40">
        <f>1</f>
        <v>1</v>
      </c>
      <c r="P793" s="38">
        <f>INDEX(Cables!$AS:$AS,MATCH(B793,Cables!$A:$A,0))+INDEX(Cables!$AT:$AT,MATCH(B793,Cables!$A:$A,0))*SQRT(C793)+INDEX(Cables!$AU:$AU,MATCH(B793,Cables!$A:$A,0))*C793</f>
        <v>11.858060228476841</v>
      </c>
      <c r="Q793" s="41">
        <f t="shared" si="102"/>
        <v>-1.1828314293596542E-2</v>
      </c>
      <c r="R793" s="39">
        <f t="shared" si="103"/>
        <v>1.3990901902810027E-4</v>
      </c>
      <c r="S793" s="40" t="b">
        <f>IF(B793=B792,C793&gt;C792,COUNTIF(B$1:B792,B793)=0)</f>
        <v>1</v>
      </c>
      <c r="T793" s="37"/>
    </row>
    <row r="794" spans="1:20" x14ac:dyDescent="0.25">
      <c r="A794" s="37" t="s">
        <v>1533</v>
      </c>
      <c r="B794" s="37" t="s">
        <v>576</v>
      </c>
      <c r="C794" s="37">
        <v>2400</v>
      </c>
      <c r="D794" s="37">
        <v>17.399999999999999</v>
      </c>
      <c r="E794" s="37" t="s">
        <v>771</v>
      </c>
      <c r="F794" s="37">
        <v>20</v>
      </c>
      <c r="G794" s="37" t="s">
        <v>223</v>
      </c>
      <c r="H794" s="37" t="s">
        <v>1524</v>
      </c>
      <c r="I794" s="38">
        <f t="shared" si="96"/>
        <v>17.399999999999999</v>
      </c>
      <c r="J794" s="38">
        <f t="shared" si="97"/>
        <v>7.7832240163360371</v>
      </c>
      <c r="K794" s="38">
        <f t="shared" si="98"/>
        <v>2.8564702062204832</v>
      </c>
      <c r="L794" s="39">
        <f t="shared" si="99"/>
        <v>5.7471264367816098E-2</v>
      </c>
      <c r="M794" s="39">
        <f t="shared" si="100"/>
        <v>2.8155054514749174</v>
      </c>
      <c r="N794" s="39">
        <f t="shared" si="101"/>
        <v>137.93103448275863</v>
      </c>
      <c r="O794" s="40">
        <f>1</f>
        <v>1</v>
      </c>
      <c r="P794" s="38">
        <f>INDEX(Cables!$AS:$AS,MATCH(B794,Cables!$A:$A,0))+INDEX(Cables!$AT:$AT,MATCH(B794,Cables!$A:$A,0))*SQRT(C794)+INDEX(Cables!$AU:$AU,MATCH(B794,Cables!$A:$A,0))*C794</f>
        <v>17.23591088804017</v>
      </c>
      <c r="Q794" s="41">
        <f t="shared" si="102"/>
        <v>-9.4304087333234587E-3</v>
      </c>
      <c r="R794" s="39">
        <f t="shared" si="103"/>
        <v>8.8932608877543364E-5</v>
      </c>
      <c r="S794" s="40" t="b">
        <f>IF(B794=B793,C794&gt;C793,COUNTIF(B$1:B793,B794)=0)</f>
        <v>1</v>
      </c>
      <c r="T794" s="37"/>
    </row>
    <row r="795" spans="1:20" x14ac:dyDescent="0.25">
      <c r="A795" s="37" t="s">
        <v>1534</v>
      </c>
      <c r="B795" s="37" t="s">
        <v>576</v>
      </c>
      <c r="C795" s="37">
        <v>5000</v>
      </c>
      <c r="D795" s="37">
        <v>26.9</v>
      </c>
      <c r="E795" s="37" t="s">
        <v>771</v>
      </c>
      <c r="F795" s="37">
        <v>20</v>
      </c>
      <c r="G795" s="37" t="s">
        <v>223</v>
      </c>
      <c r="H795" s="37" t="s">
        <v>1524</v>
      </c>
      <c r="I795" s="38">
        <f t="shared" si="96"/>
        <v>26.9</v>
      </c>
      <c r="J795" s="38">
        <f t="shared" si="97"/>
        <v>8.5171931914162382</v>
      </c>
      <c r="K795" s="38">
        <f t="shared" si="98"/>
        <v>3.2921262866077932</v>
      </c>
      <c r="L795" s="39">
        <f t="shared" si="99"/>
        <v>3.717472118959108E-2</v>
      </c>
      <c r="M795" s="39">
        <f t="shared" si="100"/>
        <v>2.6286497441879093</v>
      </c>
      <c r="N795" s="39">
        <f t="shared" si="101"/>
        <v>185.87360594795541</v>
      </c>
      <c r="O795" s="40">
        <f>1</f>
        <v>1</v>
      </c>
      <c r="P795" s="38">
        <f>INDEX(Cables!$AS:$AS,MATCH(B795,Cables!$A:$A,0))+INDEX(Cables!$AT:$AT,MATCH(B795,Cables!$A:$A,0))*SQRT(C795)+INDEX(Cables!$AU:$AU,MATCH(B795,Cables!$A:$A,0))*C795</f>
        <v>27.582035376803105</v>
      </c>
      <c r="Q795" s="41">
        <f t="shared" si="102"/>
        <v>2.5354474974093266E-2</v>
      </c>
      <c r="R795" s="39">
        <f t="shared" si="103"/>
        <v>6.4284940121192178E-4</v>
      </c>
      <c r="S795" s="40" t="b">
        <f>IF(B795=B794,C795&gt;C794,COUNTIF(B$1:B794,B795)=0)</f>
        <v>1</v>
      </c>
      <c r="T795" s="37"/>
    </row>
    <row r="796" spans="1:20" x14ac:dyDescent="0.25">
      <c r="A796" s="37" t="s">
        <v>1535</v>
      </c>
      <c r="B796" s="37" t="s">
        <v>582</v>
      </c>
      <c r="C796" s="37">
        <v>1.8</v>
      </c>
      <c r="D796" s="37">
        <v>0.5</v>
      </c>
      <c r="E796" s="37" t="s">
        <v>771</v>
      </c>
      <c r="F796" s="37">
        <v>20</v>
      </c>
      <c r="G796" s="37" t="s">
        <v>587</v>
      </c>
      <c r="H796" s="37" t="s">
        <v>928</v>
      </c>
      <c r="I796" s="38">
        <f t="shared" si="96"/>
        <v>0.5</v>
      </c>
      <c r="J796" s="38">
        <f t="shared" si="97"/>
        <v>0.58778666490211906</v>
      </c>
      <c r="K796" s="38">
        <f t="shared" si="98"/>
        <v>-0.69314718055994529</v>
      </c>
      <c r="L796" s="39">
        <f t="shared" si="99"/>
        <v>2</v>
      </c>
      <c r="M796" s="39">
        <f t="shared" si="100"/>
        <v>2.6832815729997477</v>
      </c>
      <c r="N796" s="39">
        <f t="shared" si="101"/>
        <v>3.6</v>
      </c>
      <c r="O796" s="40">
        <f>1</f>
        <v>1</v>
      </c>
      <c r="P796" s="38">
        <f>INDEX(Cables!$AS:$AS,MATCH(B796,Cables!$A:$A,0))+INDEX(Cables!$AT:$AT,MATCH(B796,Cables!$A:$A,0))*SQRT(C796)+INDEX(Cables!$AU:$AU,MATCH(B796,Cables!$A:$A,0))*C796</f>
        <v>0.47169382642419061</v>
      </c>
      <c r="Q796" s="41">
        <f t="shared" si="102"/>
        <v>-5.661234715161878E-2</v>
      </c>
      <c r="R796" s="39">
        <f t="shared" si="103"/>
        <v>3.2049578500153992E-3</v>
      </c>
      <c r="S796" s="40" t="b">
        <f>IF(B796=B795,C796&gt;C795,COUNTIF(B$1:B795,B796)=0)</f>
        <v>1</v>
      </c>
      <c r="T796" s="37"/>
    </row>
    <row r="797" spans="1:20" x14ac:dyDescent="0.25">
      <c r="A797" s="37" t="s">
        <v>1536</v>
      </c>
      <c r="B797" s="37" t="s">
        <v>582</v>
      </c>
      <c r="C797" s="37">
        <v>3.5</v>
      </c>
      <c r="D797" s="37">
        <v>0.6</v>
      </c>
      <c r="E797" s="37" t="s">
        <v>771</v>
      </c>
      <c r="F797" s="37">
        <v>20</v>
      </c>
      <c r="G797" s="37" t="s">
        <v>587</v>
      </c>
      <c r="H797" s="37" t="s">
        <v>928</v>
      </c>
      <c r="I797" s="38">
        <f t="shared" si="96"/>
        <v>0.6</v>
      </c>
      <c r="J797" s="38">
        <f t="shared" si="97"/>
        <v>1.2527629684953681</v>
      </c>
      <c r="K797" s="38">
        <f t="shared" si="98"/>
        <v>-0.51082562376599072</v>
      </c>
      <c r="L797" s="39">
        <f t="shared" si="99"/>
        <v>1.6666666666666667</v>
      </c>
      <c r="M797" s="39">
        <f t="shared" si="100"/>
        <v>3.1180478223116177</v>
      </c>
      <c r="N797" s="39">
        <f t="shared" si="101"/>
        <v>5.8333333333333339</v>
      </c>
      <c r="O797" s="40">
        <f>1</f>
        <v>1</v>
      </c>
      <c r="P797" s="38">
        <f>INDEX(Cables!$AS:$AS,MATCH(B797,Cables!$A:$A,0))+INDEX(Cables!$AT:$AT,MATCH(B797,Cables!$A:$A,0))*SQRT(C797)+INDEX(Cables!$AU:$AU,MATCH(B797,Cables!$A:$A,0))*C797</f>
        <v>0.61393915881543737</v>
      </c>
      <c r="Q797" s="41">
        <f t="shared" si="102"/>
        <v>2.3231931359062319E-2</v>
      </c>
      <c r="R797" s="39">
        <f t="shared" si="103"/>
        <v>5.3972263467218316E-4</v>
      </c>
      <c r="S797" s="40" t="b">
        <f>IF(B797=B796,C797&gt;C796,COUNTIF(B$1:B796,B797)=0)</f>
        <v>1</v>
      </c>
      <c r="T797" s="37"/>
    </row>
    <row r="798" spans="1:20" x14ac:dyDescent="0.25">
      <c r="A798" s="37" t="s">
        <v>1537</v>
      </c>
      <c r="B798" s="37" t="s">
        <v>582</v>
      </c>
      <c r="C798" s="37">
        <v>7</v>
      </c>
      <c r="D798" s="37">
        <v>0.8</v>
      </c>
      <c r="E798" s="37" t="s">
        <v>771</v>
      </c>
      <c r="F798" s="37">
        <v>20</v>
      </c>
      <c r="G798" s="37" t="s">
        <v>587</v>
      </c>
      <c r="H798" s="37" t="s">
        <v>928</v>
      </c>
      <c r="I798" s="38">
        <f t="shared" si="96"/>
        <v>0.8</v>
      </c>
      <c r="J798" s="38">
        <f t="shared" si="97"/>
        <v>1.9459101490553132</v>
      </c>
      <c r="K798" s="38">
        <f t="shared" si="98"/>
        <v>-0.22314355131420971</v>
      </c>
      <c r="L798" s="39">
        <f t="shared" si="99"/>
        <v>1.25</v>
      </c>
      <c r="M798" s="39">
        <f t="shared" si="100"/>
        <v>3.3071891388307382</v>
      </c>
      <c r="N798" s="39">
        <f t="shared" si="101"/>
        <v>8.75</v>
      </c>
      <c r="O798" s="40">
        <f>1</f>
        <v>1</v>
      </c>
      <c r="P798" s="38">
        <f>INDEX(Cables!$AS:$AS,MATCH(B798,Cables!$A:$A,0))+INDEX(Cables!$AT:$AT,MATCH(B798,Cables!$A:$A,0))*SQRT(C798)+INDEX(Cables!$AU:$AU,MATCH(B798,Cables!$A:$A,0))*C798</f>
        <v>0.8236562201507942</v>
      </c>
      <c r="Q798" s="41">
        <f t="shared" si="102"/>
        <v>2.9570275188492756E-2</v>
      </c>
      <c r="R798" s="39">
        <f t="shared" si="103"/>
        <v>8.7440117472319025E-4</v>
      </c>
      <c r="S798" s="40" t="b">
        <f>IF(B798=B797,C798&gt;C797,COUNTIF(B$1:B797,B798)=0)</f>
        <v>1</v>
      </c>
      <c r="T798" s="37"/>
    </row>
    <row r="799" spans="1:20" x14ac:dyDescent="0.25">
      <c r="A799" s="37" t="s">
        <v>1538</v>
      </c>
      <c r="B799" s="37" t="s">
        <v>582</v>
      </c>
      <c r="C799" s="37">
        <v>10</v>
      </c>
      <c r="D799" s="37">
        <v>1</v>
      </c>
      <c r="E799" s="37" t="s">
        <v>771</v>
      </c>
      <c r="F799" s="37">
        <v>20</v>
      </c>
      <c r="G799" s="37" t="s">
        <v>587</v>
      </c>
      <c r="H799" s="37" t="s">
        <v>928</v>
      </c>
      <c r="I799" s="38">
        <f t="shared" si="96"/>
        <v>1</v>
      </c>
      <c r="J799" s="38">
        <f t="shared" si="97"/>
        <v>2.3025850929940459</v>
      </c>
      <c r="K799" s="38">
        <f t="shared" si="98"/>
        <v>0</v>
      </c>
      <c r="L799" s="39">
        <f t="shared" si="99"/>
        <v>1</v>
      </c>
      <c r="M799" s="39">
        <f t="shared" si="100"/>
        <v>3.1622776601683795</v>
      </c>
      <c r="N799" s="39">
        <f t="shared" si="101"/>
        <v>10</v>
      </c>
      <c r="O799" s="40">
        <f>1</f>
        <v>1</v>
      </c>
      <c r="P799" s="38">
        <f>INDEX(Cables!$AS:$AS,MATCH(B799,Cables!$A:$A,0))+INDEX(Cables!$AT:$AT,MATCH(B799,Cables!$A:$A,0))*SQRT(C799)+INDEX(Cables!$AU:$AU,MATCH(B799,Cables!$A:$A,0))*C799</f>
        <v>0.96437984902338747</v>
      </c>
      <c r="Q799" s="41">
        <f t="shared" si="102"/>
        <v>-3.562015097661253E-2</v>
      </c>
      <c r="R799" s="39">
        <f t="shared" si="103"/>
        <v>1.2687951555966706E-3</v>
      </c>
      <c r="S799" s="40" t="b">
        <f>IF(B799=B798,C799&gt;C798,COUNTIF(B$1:B798,B799)=0)</f>
        <v>1</v>
      </c>
      <c r="T799" s="37"/>
    </row>
    <row r="800" spans="1:20" x14ac:dyDescent="0.25">
      <c r="A800" s="37" t="s">
        <v>1539</v>
      </c>
      <c r="B800" s="37" t="s">
        <v>582</v>
      </c>
      <c r="C800" s="37">
        <v>14</v>
      </c>
      <c r="D800" s="37">
        <v>1.1000000000000001</v>
      </c>
      <c r="E800" s="37" t="s">
        <v>771</v>
      </c>
      <c r="F800" s="37">
        <v>20</v>
      </c>
      <c r="G800" s="37" t="s">
        <v>587</v>
      </c>
      <c r="H800" s="37" t="s">
        <v>928</v>
      </c>
      <c r="I800" s="38">
        <f t="shared" si="96"/>
        <v>1.1000000000000001</v>
      </c>
      <c r="J800" s="38">
        <f t="shared" si="97"/>
        <v>2.6390573296152584</v>
      </c>
      <c r="K800" s="38">
        <f t="shared" si="98"/>
        <v>9.5310179804324935E-2</v>
      </c>
      <c r="L800" s="39">
        <f t="shared" si="99"/>
        <v>0.90909090909090906</v>
      </c>
      <c r="M800" s="39">
        <f t="shared" si="100"/>
        <v>3.4015067152490372</v>
      </c>
      <c r="N800" s="39">
        <f t="shared" si="101"/>
        <v>12.727272727272727</v>
      </c>
      <c r="O800" s="40">
        <f>1</f>
        <v>1</v>
      </c>
      <c r="P800" s="38">
        <f>INDEX(Cables!$AS:$AS,MATCH(B800,Cables!$A:$A,0))+INDEX(Cables!$AT:$AT,MATCH(B800,Cables!$A:$A,0))*SQRT(C800)+INDEX(Cables!$AU:$AU,MATCH(B800,Cables!$A:$A,0))*C800</f>
        <v>1.1231185797595649</v>
      </c>
      <c r="Q800" s="41">
        <f t="shared" si="102"/>
        <v>2.101689069051349E-2</v>
      </c>
      <c r="R800" s="39">
        <f t="shared" si="103"/>
        <v>4.417096942969926E-4</v>
      </c>
      <c r="S800" s="40" t="b">
        <f>IF(B800=B799,C800&gt;C799,COUNTIF(B$1:B799,B800)=0)</f>
        <v>1</v>
      </c>
      <c r="T800" s="37"/>
    </row>
    <row r="801" spans="1:20" x14ac:dyDescent="0.25">
      <c r="A801" s="37" t="s">
        <v>1540</v>
      </c>
      <c r="B801" s="37" t="s">
        <v>582</v>
      </c>
      <c r="C801" s="37">
        <v>21</v>
      </c>
      <c r="D801" s="37">
        <v>1.3</v>
      </c>
      <c r="E801" s="37" t="s">
        <v>771</v>
      </c>
      <c r="F801" s="37">
        <v>20</v>
      </c>
      <c r="G801" s="37" t="s">
        <v>587</v>
      </c>
      <c r="H801" s="37" t="s">
        <v>928</v>
      </c>
      <c r="I801" s="38">
        <f t="shared" si="96"/>
        <v>1.3</v>
      </c>
      <c r="J801" s="38">
        <f t="shared" si="97"/>
        <v>3.044522437723423</v>
      </c>
      <c r="K801" s="38">
        <f t="shared" si="98"/>
        <v>0.26236426446749106</v>
      </c>
      <c r="L801" s="39">
        <f t="shared" si="99"/>
        <v>0.76923076923076916</v>
      </c>
      <c r="M801" s="39">
        <f t="shared" si="100"/>
        <v>3.5250582268891075</v>
      </c>
      <c r="N801" s="39">
        <f t="shared" si="101"/>
        <v>16.153846153846153</v>
      </c>
      <c r="O801" s="40">
        <f>1</f>
        <v>1</v>
      </c>
      <c r="P801" s="38">
        <f>INDEX(Cables!$AS:$AS,MATCH(B801,Cables!$A:$A,0))+INDEX(Cables!$AT:$AT,MATCH(B801,Cables!$A:$A,0))*SQRT(C801)+INDEX(Cables!$AU:$AU,MATCH(B801,Cables!$A:$A,0))*C801</f>
        <v>1.3551901197409622</v>
      </c>
      <c r="Q801" s="41">
        <f t="shared" si="102"/>
        <v>4.2453938262278612E-2</v>
      </c>
      <c r="R801" s="39">
        <f t="shared" si="103"/>
        <v>1.8023368739773639E-3</v>
      </c>
      <c r="S801" s="40" t="b">
        <f>IF(B801=B800,C801&gt;C800,COUNTIF(B$1:B800,B801)=0)</f>
        <v>1</v>
      </c>
      <c r="T801" s="37"/>
    </row>
    <row r="802" spans="1:20" x14ac:dyDescent="0.25">
      <c r="A802" s="37" t="s">
        <v>1541</v>
      </c>
      <c r="B802" s="37" t="s">
        <v>582</v>
      </c>
      <c r="C802" s="37">
        <v>28</v>
      </c>
      <c r="D802" s="37">
        <v>1.5</v>
      </c>
      <c r="E802" s="37" t="s">
        <v>771</v>
      </c>
      <c r="F802" s="37">
        <v>20</v>
      </c>
      <c r="G802" s="37" t="s">
        <v>587</v>
      </c>
      <c r="H802" s="37" t="s">
        <v>928</v>
      </c>
      <c r="I802" s="38">
        <f t="shared" si="96"/>
        <v>1.5</v>
      </c>
      <c r="J802" s="38">
        <f t="shared" si="97"/>
        <v>3.3322045101752038</v>
      </c>
      <c r="K802" s="38">
        <f t="shared" si="98"/>
        <v>0.40546510810816438</v>
      </c>
      <c r="L802" s="39">
        <f t="shared" si="99"/>
        <v>0.66666666666666663</v>
      </c>
      <c r="M802" s="39">
        <f t="shared" si="100"/>
        <v>3.5276684147527875</v>
      </c>
      <c r="N802" s="39">
        <f t="shared" si="101"/>
        <v>18.666666666666668</v>
      </c>
      <c r="O802" s="40">
        <f>1</f>
        <v>1</v>
      </c>
      <c r="P802" s="38">
        <f>INDEX(Cables!$AS:$AS,MATCH(B802,Cables!$A:$A,0))+INDEX(Cables!$AT:$AT,MATCH(B802,Cables!$A:$A,0))*SQRT(C802)+INDEX(Cables!$AU:$AU,MATCH(B802,Cables!$A:$A,0))*C802</f>
        <v>1.5523776045530941</v>
      </c>
      <c r="Q802" s="41">
        <f t="shared" si="102"/>
        <v>3.4918403035396173E-2</v>
      </c>
      <c r="R802" s="39">
        <f t="shared" si="103"/>
        <v>1.2192948705423646E-3</v>
      </c>
      <c r="S802" s="40" t="b">
        <f>IF(B802=B801,C802&gt;C801,COUNTIF(B$1:B801,B802)=0)</f>
        <v>1</v>
      </c>
      <c r="T802" s="37"/>
    </row>
    <row r="803" spans="1:20" x14ac:dyDescent="0.25">
      <c r="A803" s="37" t="s">
        <v>1542</v>
      </c>
      <c r="B803" s="37" t="s">
        <v>582</v>
      </c>
      <c r="C803" s="37">
        <v>50</v>
      </c>
      <c r="D803" s="37">
        <v>2</v>
      </c>
      <c r="E803" s="37" t="s">
        <v>771</v>
      </c>
      <c r="F803" s="37">
        <v>20</v>
      </c>
      <c r="G803" s="37" t="s">
        <v>587</v>
      </c>
      <c r="H803" s="37" t="s">
        <v>928</v>
      </c>
      <c r="I803" s="38">
        <f t="shared" si="96"/>
        <v>2</v>
      </c>
      <c r="J803" s="38">
        <f t="shared" si="97"/>
        <v>3.912023005428146</v>
      </c>
      <c r="K803" s="38">
        <f t="shared" si="98"/>
        <v>0.69314718055994529</v>
      </c>
      <c r="L803" s="39">
        <f t="shared" si="99"/>
        <v>0.5</v>
      </c>
      <c r="M803" s="39">
        <f t="shared" si="100"/>
        <v>3.5355339059327378</v>
      </c>
      <c r="N803" s="39">
        <f t="shared" si="101"/>
        <v>25</v>
      </c>
      <c r="O803" s="40">
        <f>1</f>
        <v>1</v>
      </c>
      <c r="P803" s="38">
        <f>INDEX(Cables!$AS:$AS,MATCH(B803,Cables!$A:$A,0))+INDEX(Cables!$AT:$AT,MATCH(B803,Cables!$A:$A,0))*SQRT(C803)+INDEX(Cables!$AU:$AU,MATCH(B803,Cables!$A:$A,0))*C803</f>
        <v>2.0535778680445986</v>
      </c>
      <c r="Q803" s="41">
        <f t="shared" si="102"/>
        <v>2.6788934022299316E-2</v>
      </c>
      <c r="R803" s="39">
        <f t="shared" si="103"/>
        <v>7.1764698605110574E-4</v>
      </c>
      <c r="S803" s="40" t="b">
        <f>IF(B803=B802,C803&gt;C802,COUNTIF(B$1:B802,B803)=0)</f>
        <v>1</v>
      </c>
      <c r="T803" s="37"/>
    </row>
    <row r="804" spans="1:20" x14ac:dyDescent="0.25">
      <c r="A804" s="37" t="s">
        <v>1543</v>
      </c>
      <c r="B804" s="37" t="s">
        <v>582</v>
      </c>
      <c r="C804" s="37">
        <v>100</v>
      </c>
      <c r="D804" s="37">
        <v>2.8</v>
      </c>
      <c r="E804" s="37" t="s">
        <v>771</v>
      </c>
      <c r="F804" s="37">
        <v>20</v>
      </c>
      <c r="G804" s="37" t="s">
        <v>587</v>
      </c>
      <c r="H804" s="37" t="s">
        <v>928</v>
      </c>
      <c r="I804" s="38">
        <f t="shared" si="96"/>
        <v>2.8</v>
      </c>
      <c r="J804" s="38">
        <f t="shared" si="97"/>
        <v>4.6051701859880918</v>
      </c>
      <c r="K804" s="38">
        <f t="shared" si="98"/>
        <v>1.0296194171811581</v>
      </c>
      <c r="L804" s="39">
        <f t="shared" si="99"/>
        <v>0.35714285714285715</v>
      </c>
      <c r="M804" s="39">
        <f t="shared" si="100"/>
        <v>3.5714285714285716</v>
      </c>
      <c r="N804" s="39">
        <f t="shared" si="101"/>
        <v>35.714285714285715</v>
      </c>
      <c r="O804" s="40">
        <f>1</f>
        <v>1</v>
      </c>
      <c r="P804" s="38">
        <f>INDEX(Cables!$AS:$AS,MATCH(B804,Cables!$A:$A,0))+INDEX(Cables!$AT:$AT,MATCH(B804,Cables!$A:$A,0))*SQRT(C804)+INDEX(Cables!$AU:$AU,MATCH(B804,Cables!$A:$A,0))*C804</f>
        <v>2.8978444062709587</v>
      </c>
      <c r="Q804" s="41">
        <f t="shared" si="102"/>
        <v>3.4944430811056693E-2</v>
      </c>
      <c r="R804" s="39">
        <f t="shared" si="103"/>
        <v>1.2211132447087283E-3</v>
      </c>
      <c r="S804" s="40" t="b">
        <f>IF(B804=B803,C804&gt;C803,COUNTIF(B$1:B803,B804)=0)</f>
        <v>1</v>
      </c>
      <c r="T804" s="37"/>
    </row>
    <row r="805" spans="1:20" x14ac:dyDescent="0.25">
      <c r="A805" s="37" t="s">
        <v>1544</v>
      </c>
      <c r="B805" s="37" t="s">
        <v>582</v>
      </c>
      <c r="C805" s="37">
        <v>144</v>
      </c>
      <c r="D805" s="37">
        <v>3.6</v>
      </c>
      <c r="E805" s="37" t="s">
        <v>771</v>
      </c>
      <c r="F805" s="37">
        <v>20</v>
      </c>
      <c r="G805" s="37" t="s">
        <v>587</v>
      </c>
      <c r="H805" s="37" t="s">
        <v>928</v>
      </c>
      <c r="I805" s="38">
        <f t="shared" si="96"/>
        <v>3.6</v>
      </c>
      <c r="J805" s="38">
        <f t="shared" si="97"/>
        <v>4.9698132995760007</v>
      </c>
      <c r="K805" s="38">
        <f t="shared" si="98"/>
        <v>1.2809338454620642</v>
      </c>
      <c r="L805" s="39">
        <f t="shared" si="99"/>
        <v>0.27777777777777779</v>
      </c>
      <c r="M805" s="39">
        <f t="shared" si="100"/>
        <v>3.333333333333333</v>
      </c>
      <c r="N805" s="39">
        <f t="shared" si="101"/>
        <v>40</v>
      </c>
      <c r="O805" s="40">
        <f>1</f>
        <v>1</v>
      </c>
      <c r="P805" s="38">
        <f>INDEX(Cables!$AS:$AS,MATCH(B805,Cables!$A:$A,0))+INDEX(Cables!$AT:$AT,MATCH(B805,Cables!$A:$A,0))*SQRT(C805)+INDEX(Cables!$AU:$AU,MATCH(B805,Cables!$A:$A,0))*C805</f>
        <v>3.4881817382331217</v>
      </c>
      <c r="Q805" s="41">
        <f t="shared" si="102"/>
        <v>-3.1060628268577362E-2</v>
      </c>
      <c r="R805" s="39">
        <f t="shared" si="103"/>
        <v>9.6476262843874709E-4</v>
      </c>
      <c r="S805" s="40" t="b">
        <f>IF(B805=B804,C805&gt;C804,COUNTIF(B$1:B804,B805)=0)</f>
        <v>1</v>
      </c>
      <c r="T805" s="37"/>
    </row>
    <row r="806" spans="1:20" x14ac:dyDescent="0.25">
      <c r="A806" s="37" t="s">
        <v>1545</v>
      </c>
      <c r="B806" s="37" t="s">
        <v>582</v>
      </c>
      <c r="C806" s="37">
        <v>200</v>
      </c>
      <c r="D806" s="37">
        <v>4.2</v>
      </c>
      <c r="E806" s="37" t="s">
        <v>771</v>
      </c>
      <c r="F806" s="37">
        <v>20</v>
      </c>
      <c r="G806" s="37" t="s">
        <v>587</v>
      </c>
      <c r="H806" s="37" t="s">
        <v>928</v>
      </c>
      <c r="I806" s="38">
        <f t="shared" si="96"/>
        <v>4.2</v>
      </c>
      <c r="J806" s="38">
        <f t="shared" si="97"/>
        <v>5.2983173665480363</v>
      </c>
      <c r="K806" s="38">
        <f t="shared" si="98"/>
        <v>1.4350845252893227</v>
      </c>
      <c r="L806" s="39">
        <f t="shared" si="99"/>
        <v>0.23809523809523808</v>
      </c>
      <c r="M806" s="39">
        <f t="shared" si="100"/>
        <v>3.3671751485073691</v>
      </c>
      <c r="N806" s="39">
        <f t="shared" si="101"/>
        <v>47.61904761904762</v>
      </c>
      <c r="O806" s="40">
        <f>1</f>
        <v>1</v>
      </c>
      <c r="P806" s="38">
        <f>INDEX(Cables!$AS:$AS,MATCH(B806,Cables!$A:$A,0))+INDEX(Cables!$AT:$AT,MATCH(B806,Cables!$A:$A,0))*SQRT(C806)+INDEX(Cables!$AU:$AU,MATCH(B806,Cables!$A:$A,0))*C806</f>
        <v>4.132926840706725</v>
      </c>
      <c r="Q806" s="41">
        <f t="shared" si="102"/>
        <v>-1.596979983173219E-2</v>
      </c>
      <c r="R806" s="39">
        <f t="shared" si="103"/>
        <v>2.550345066655935E-4</v>
      </c>
      <c r="S806" s="40" t="b">
        <f>IF(B806=B805,C806&gt;C805,COUNTIF(B$1:B805,B806)=0)</f>
        <v>1</v>
      </c>
      <c r="T806" s="37"/>
    </row>
    <row r="807" spans="1:20" x14ac:dyDescent="0.25">
      <c r="A807" s="37" t="s">
        <v>1546</v>
      </c>
      <c r="B807" s="37" t="s">
        <v>582</v>
      </c>
      <c r="C807" s="37">
        <v>400</v>
      </c>
      <c r="D807" s="37">
        <v>6.1</v>
      </c>
      <c r="E807" s="37" t="s">
        <v>771</v>
      </c>
      <c r="F807" s="37">
        <v>20</v>
      </c>
      <c r="G807" s="37" t="s">
        <v>587</v>
      </c>
      <c r="H807" s="37" t="s">
        <v>928</v>
      </c>
      <c r="I807" s="38">
        <f t="shared" si="96"/>
        <v>6.1</v>
      </c>
      <c r="J807" s="38">
        <f t="shared" si="97"/>
        <v>5.9914645471079817</v>
      </c>
      <c r="K807" s="38">
        <f t="shared" si="98"/>
        <v>1.8082887711792655</v>
      </c>
      <c r="L807" s="39">
        <f t="shared" si="99"/>
        <v>0.16393442622950821</v>
      </c>
      <c r="M807" s="39">
        <f t="shared" si="100"/>
        <v>3.278688524590164</v>
      </c>
      <c r="N807" s="39">
        <f t="shared" si="101"/>
        <v>65.573770491803288</v>
      </c>
      <c r="O807" s="40">
        <f>1</f>
        <v>1</v>
      </c>
      <c r="P807" s="38">
        <f>INDEX(Cables!$AS:$AS,MATCH(B807,Cables!$A:$A,0))+INDEX(Cables!$AT:$AT,MATCH(B807,Cables!$A:$A,0))*SQRT(C807)+INDEX(Cables!$AU:$AU,MATCH(B807,Cables!$A:$A,0))*C807</f>
        <v>5.961815661771098</v>
      </c>
      <c r="Q807" s="41">
        <f t="shared" si="102"/>
        <v>-2.2653170201459294E-2</v>
      </c>
      <c r="R807" s="39">
        <f t="shared" si="103"/>
        <v>5.1316612017628333E-4</v>
      </c>
      <c r="S807" s="40" t="b">
        <f>IF(B807=B806,C807&gt;C806,COUNTIF(B$1:B806,B807)=0)</f>
        <v>1</v>
      </c>
      <c r="T807" s="37"/>
    </row>
    <row r="808" spans="1:20" x14ac:dyDescent="0.25">
      <c r="A808" s="37" t="s">
        <v>1547</v>
      </c>
      <c r="B808" s="37" t="s">
        <v>582</v>
      </c>
      <c r="C808" s="37">
        <v>430</v>
      </c>
      <c r="D808" s="37">
        <v>6.4</v>
      </c>
      <c r="E808" s="37" t="s">
        <v>771</v>
      </c>
      <c r="F808" s="37">
        <v>20</v>
      </c>
      <c r="G808" s="37" t="s">
        <v>587</v>
      </c>
      <c r="H808" s="37" t="s">
        <v>928</v>
      </c>
      <c r="I808" s="38">
        <f t="shared" si="96"/>
        <v>6.4</v>
      </c>
      <c r="J808" s="38">
        <f t="shared" si="97"/>
        <v>6.0637852086876078</v>
      </c>
      <c r="K808" s="38">
        <f t="shared" si="98"/>
        <v>1.8562979903656263</v>
      </c>
      <c r="L808" s="39">
        <f t="shared" si="99"/>
        <v>0.15625</v>
      </c>
      <c r="M808" s="39">
        <f t="shared" si="100"/>
        <v>3.2400689614574563</v>
      </c>
      <c r="N808" s="39">
        <f t="shared" si="101"/>
        <v>67.1875</v>
      </c>
      <c r="O808" s="40">
        <f>1</f>
        <v>1</v>
      </c>
      <c r="P808" s="38">
        <f>INDEX(Cables!$AS:$AS,MATCH(B808,Cables!$A:$A,0))+INDEX(Cables!$AT:$AT,MATCH(B808,Cables!$A:$A,0))*SQRT(C808)+INDEX(Cables!$AU:$AU,MATCH(B808,Cables!$A:$A,0))*C808</f>
        <v>6.1985567665976316</v>
      </c>
      <c r="Q808" s="41">
        <f t="shared" si="102"/>
        <v>-3.1475505219120126E-2</v>
      </c>
      <c r="R808" s="39">
        <f t="shared" si="103"/>
        <v>9.9070742879885836E-4</v>
      </c>
      <c r="S808" s="40" t="b">
        <f>IF(B808=B807,C808&gt;C807,COUNTIF(B$1:B807,B808)=0)</f>
        <v>1</v>
      </c>
      <c r="T808" s="37"/>
    </row>
    <row r="809" spans="1:20" x14ac:dyDescent="0.25">
      <c r="A809" s="37" t="s">
        <v>1548</v>
      </c>
      <c r="B809" s="37" t="s">
        <v>582</v>
      </c>
      <c r="C809" s="37">
        <v>800</v>
      </c>
      <c r="D809" s="37">
        <v>9</v>
      </c>
      <c r="E809" s="37" t="s">
        <v>771</v>
      </c>
      <c r="F809" s="37">
        <v>20</v>
      </c>
      <c r="G809" s="37" t="s">
        <v>587</v>
      </c>
      <c r="H809" s="37" t="s">
        <v>928</v>
      </c>
      <c r="I809" s="38">
        <f t="shared" si="96"/>
        <v>9</v>
      </c>
      <c r="J809" s="38">
        <f t="shared" si="97"/>
        <v>6.6846117276679271</v>
      </c>
      <c r="K809" s="38">
        <f t="shared" si="98"/>
        <v>2.1972245773362196</v>
      </c>
      <c r="L809" s="39">
        <f t="shared" si="99"/>
        <v>0.1111111111111111</v>
      </c>
      <c r="M809" s="39">
        <f t="shared" si="100"/>
        <v>3.1426968052735447</v>
      </c>
      <c r="N809" s="39">
        <f t="shared" si="101"/>
        <v>88.888888888888886</v>
      </c>
      <c r="O809" s="40">
        <f>1</f>
        <v>1</v>
      </c>
      <c r="P809" s="38">
        <f>INDEX(Cables!$AS:$AS,MATCH(B809,Cables!$A:$A,0))+INDEX(Cables!$AT:$AT,MATCH(B809,Cables!$A:$A,0))*SQRT(C809)+INDEX(Cables!$AU:$AU,MATCH(B809,Cables!$A:$A,0))*C809</f>
        <v>8.712692019865937</v>
      </c>
      <c r="Q809" s="41">
        <f t="shared" si="102"/>
        <v>-3.1923108903784803E-2</v>
      </c>
      <c r="R809" s="39">
        <f t="shared" si="103"/>
        <v>1.0190848820829045E-3</v>
      </c>
      <c r="S809" s="40" t="b">
        <f>IF(B809=B808,C809&gt;C808,COUNTIF(B$1:B808,B809)=0)</f>
        <v>1</v>
      </c>
      <c r="T809" s="37"/>
    </row>
    <row r="810" spans="1:20" x14ac:dyDescent="0.25">
      <c r="A810" s="37" t="s">
        <v>1549</v>
      </c>
      <c r="B810" s="37" t="s">
        <v>582</v>
      </c>
      <c r="C810" s="37">
        <v>1000</v>
      </c>
      <c r="D810" s="37">
        <v>10.1</v>
      </c>
      <c r="E810" s="37" t="s">
        <v>771</v>
      </c>
      <c r="F810" s="37">
        <v>20</v>
      </c>
      <c r="G810" s="37" t="s">
        <v>587</v>
      </c>
      <c r="H810" s="37" t="s">
        <v>928</v>
      </c>
      <c r="I810" s="38">
        <f t="shared" si="96"/>
        <v>10.1</v>
      </c>
      <c r="J810" s="38">
        <f t="shared" si="97"/>
        <v>6.9077552789821368</v>
      </c>
      <c r="K810" s="38">
        <f t="shared" si="98"/>
        <v>2.3125354238472138</v>
      </c>
      <c r="L810" s="39">
        <f t="shared" si="99"/>
        <v>9.9009900990099015E-2</v>
      </c>
      <c r="M810" s="39">
        <f t="shared" si="100"/>
        <v>3.1309679803647321</v>
      </c>
      <c r="N810" s="39">
        <f t="shared" si="101"/>
        <v>99.009900990099013</v>
      </c>
      <c r="O810" s="40">
        <f>1</f>
        <v>1</v>
      </c>
      <c r="P810" s="38">
        <f>INDEX(Cables!$AS:$AS,MATCH(B810,Cables!$A:$A,0))+INDEX(Cables!$AT:$AT,MATCH(B810,Cables!$A:$A,0))*SQRT(C810)+INDEX(Cables!$AU:$AU,MATCH(B810,Cables!$A:$A,0))*C810</f>
        <v>9.8757384317916213</v>
      </c>
      <c r="Q810" s="41">
        <f t="shared" si="102"/>
        <v>-2.2204115664195889E-2</v>
      </c>
      <c r="R810" s="39">
        <f t="shared" si="103"/>
        <v>4.930227524289892E-4</v>
      </c>
      <c r="S810" s="40" t="b">
        <f>IF(B810=B809,C810&gt;C809,COUNTIF(B$1:B809,B810)=0)</f>
        <v>1</v>
      </c>
      <c r="T810" s="37"/>
    </row>
    <row r="811" spans="1:20" x14ac:dyDescent="0.25">
      <c r="A811" s="37" t="s">
        <v>1550</v>
      </c>
      <c r="B811" s="37" t="s">
        <v>582</v>
      </c>
      <c r="C811" s="37">
        <v>1296</v>
      </c>
      <c r="D811" s="37">
        <v>11.7</v>
      </c>
      <c r="E811" s="37" t="s">
        <v>771</v>
      </c>
      <c r="F811" s="37">
        <v>20</v>
      </c>
      <c r="G811" s="37" t="s">
        <v>587</v>
      </c>
      <c r="H811" s="37" t="s">
        <v>928</v>
      </c>
      <c r="I811" s="38">
        <f t="shared" si="96"/>
        <v>11.7</v>
      </c>
      <c r="J811" s="38">
        <f t="shared" si="97"/>
        <v>7.1670378769122198</v>
      </c>
      <c r="K811" s="38">
        <f t="shared" si="98"/>
        <v>2.4595888418037104</v>
      </c>
      <c r="L811" s="39">
        <f t="shared" si="99"/>
        <v>8.5470085470085472E-2</v>
      </c>
      <c r="M811" s="39">
        <f t="shared" si="100"/>
        <v>3.0769230769230771</v>
      </c>
      <c r="N811" s="39">
        <f t="shared" si="101"/>
        <v>110.76923076923077</v>
      </c>
      <c r="O811" s="40">
        <f>1</f>
        <v>1</v>
      </c>
      <c r="P811" s="38">
        <f>INDEX(Cables!$AS:$AS,MATCH(B811,Cables!$A:$A,0))+INDEX(Cables!$AT:$AT,MATCH(B811,Cables!$A:$A,0))*SQRT(C811)+INDEX(Cables!$AU:$AU,MATCH(B811,Cables!$A:$A,0))*C811</f>
        <v>11.448049568155797</v>
      </c>
      <c r="Q811" s="41">
        <f t="shared" si="102"/>
        <v>-2.1534224943948854E-2</v>
      </c>
      <c r="R811" s="39">
        <f t="shared" si="103"/>
        <v>4.6372284393658903E-4</v>
      </c>
      <c r="S811" s="40" t="b">
        <f>IF(B811=B810,C811&gt;C810,COUNTIF(B$1:B810,B811)=0)</f>
        <v>1</v>
      </c>
      <c r="T811" s="37"/>
    </row>
    <row r="812" spans="1:20" x14ac:dyDescent="0.25">
      <c r="A812" s="37" t="s">
        <v>1551</v>
      </c>
      <c r="B812" s="37" t="s">
        <v>582</v>
      </c>
      <c r="C812" s="37">
        <v>2400</v>
      </c>
      <c r="D812" s="37">
        <v>16.600000000000001</v>
      </c>
      <c r="E812" s="37" t="s">
        <v>771</v>
      </c>
      <c r="F812" s="37">
        <v>20</v>
      </c>
      <c r="G812" s="37" t="s">
        <v>587</v>
      </c>
      <c r="H812" s="37" t="s">
        <v>928</v>
      </c>
      <c r="I812" s="38">
        <f t="shared" si="96"/>
        <v>16.600000000000001</v>
      </c>
      <c r="J812" s="38">
        <f t="shared" si="97"/>
        <v>7.7832240163360371</v>
      </c>
      <c r="K812" s="38">
        <f t="shared" si="98"/>
        <v>2.8094026953624978</v>
      </c>
      <c r="L812" s="39">
        <f t="shared" si="99"/>
        <v>6.0240963855421679E-2</v>
      </c>
      <c r="M812" s="39">
        <f t="shared" si="100"/>
        <v>2.9511924611845517</v>
      </c>
      <c r="N812" s="39">
        <f t="shared" si="101"/>
        <v>144.57831325301203</v>
      </c>
      <c r="O812" s="40">
        <f>1</f>
        <v>1</v>
      </c>
      <c r="P812" s="38">
        <f>INDEX(Cables!$AS:$AS,MATCH(B812,Cables!$A:$A,0))+INDEX(Cables!$AT:$AT,MATCH(B812,Cables!$A:$A,0))*SQRT(C812)+INDEX(Cables!$AU:$AU,MATCH(B812,Cables!$A:$A,0))*C812</f>
        <v>16.430655095132337</v>
      </c>
      <c r="Q812" s="41">
        <f t="shared" si="102"/>
        <v>-1.0201500293232746E-2</v>
      </c>
      <c r="R812" s="39">
        <f t="shared" si="103"/>
        <v>1.040706082328278E-4</v>
      </c>
      <c r="S812" s="40" t="b">
        <f>IF(B812=B811,C812&gt;C811,COUNTIF(B$1:B811,B812)=0)</f>
        <v>1</v>
      </c>
      <c r="T812" s="37"/>
    </row>
    <row r="813" spans="1:20" x14ac:dyDescent="0.25">
      <c r="A813" s="37" t="s">
        <v>1552</v>
      </c>
      <c r="B813" s="37" t="s">
        <v>582</v>
      </c>
      <c r="C813" s="37">
        <v>3000</v>
      </c>
      <c r="D813" s="37">
        <v>18.899999999999999</v>
      </c>
      <c r="E813" s="37" t="s">
        <v>771</v>
      </c>
      <c r="F813" s="37">
        <v>20</v>
      </c>
      <c r="G813" s="37" t="s">
        <v>587</v>
      </c>
      <c r="H813" s="37" t="s">
        <v>928</v>
      </c>
      <c r="I813" s="38">
        <f t="shared" si="96"/>
        <v>18.899999999999999</v>
      </c>
      <c r="J813" s="38">
        <f t="shared" si="97"/>
        <v>8.0063675676502459</v>
      </c>
      <c r="K813" s="38">
        <f t="shared" si="98"/>
        <v>2.9391619220655967</v>
      </c>
      <c r="L813" s="39">
        <f t="shared" si="99"/>
        <v>5.2910052910052914E-2</v>
      </c>
      <c r="M813" s="39">
        <f t="shared" si="100"/>
        <v>2.8980029497627839</v>
      </c>
      <c r="N813" s="39">
        <f t="shared" si="101"/>
        <v>158.73015873015873</v>
      </c>
      <c r="O813" s="40">
        <f>1</f>
        <v>1</v>
      </c>
      <c r="P813" s="38">
        <f>INDEX(Cables!$AS:$AS,MATCH(B813,Cables!$A:$A,0))+INDEX(Cables!$AT:$AT,MATCH(B813,Cables!$A:$A,0))*SQRT(C813)+INDEX(Cables!$AU:$AU,MATCH(B813,Cables!$A:$A,0))*C813</f>
        <v>18.801038478215133</v>
      </c>
      <c r="Q813" s="41">
        <f t="shared" si="102"/>
        <v>-5.2360593536965316E-3</v>
      </c>
      <c r="R813" s="39">
        <f t="shared" si="103"/>
        <v>2.7416317555432941E-5</v>
      </c>
      <c r="S813" s="40" t="b">
        <f>IF(B813=B812,C813&gt;C812,COUNTIF(B$1:B812,B813)=0)</f>
        <v>1</v>
      </c>
      <c r="T813" s="37"/>
    </row>
    <row r="814" spans="1:20" x14ac:dyDescent="0.25">
      <c r="A814" s="37" t="s">
        <v>1553</v>
      </c>
      <c r="B814" s="37" t="s">
        <v>582</v>
      </c>
      <c r="C814" s="37">
        <v>4000</v>
      </c>
      <c r="D814" s="37">
        <v>22.4</v>
      </c>
      <c r="E814" s="37" t="s">
        <v>771</v>
      </c>
      <c r="F814" s="37">
        <v>20</v>
      </c>
      <c r="G814" s="37" t="s">
        <v>587</v>
      </c>
      <c r="H814" s="37" t="s">
        <v>928</v>
      </c>
      <c r="I814" s="38">
        <f t="shared" si="96"/>
        <v>22.4</v>
      </c>
      <c r="J814" s="38">
        <f t="shared" si="97"/>
        <v>8.2940496401020276</v>
      </c>
      <c r="K814" s="38">
        <f t="shared" si="98"/>
        <v>3.1090609588609941</v>
      </c>
      <c r="L814" s="39">
        <f t="shared" si="99"/>
        <v>4.4642857142857144E-2</v>
      </c>
      <c r="M814" s="39">
        <f t="shared" si="100"/>
        <v>2.8234621965789102</v>
      </c>
      <c r="N814" s="39">
        <f t="shared" si="101"/>
        <v>178.57142857142858</v>
      </c>
      <c r="O814" s="40">
        <f>1</f>
        <v>1</v>
      </c>
      <c r="P814" s="38">
        <f>INDEX(Cables!$AS:$AS,MATCH(B814,Cables!$A:$A,0))+INDEX(Cables!$AT:$AT,MATCH(B814,Cables!$A:$A,0))*SQRT(C814)+INDEX(Cables!$AU:$AU,MATCH(B814,Cables!$A:$A,0))*C814</f>
        <v>22.444007115822181</v>
      </c>
      <c r="Q814" s="41">
        <f t="shared" si="102"/>
        <v>1.9646033849187727E-3</v>
      </c>
      <c r="R814" s="39">
        <f t="shared" si="103"/>
        <v>3.8596664600342993E-6</v>
      </c>
      <c r="S814" s="40" t="b">
        <f>IF(B814=B813,C814&gt;C813,COUNTIF(B$1:B813,B814)=0)</f>
        <v>1</v>
      </c>
      <c r="T814" s="37"/>
    </row>
    <row r="815" spans="1:20" x14ac:dyDescent="0.25">
      <c r="A815" s="37" t="s">
        <v>1554</v>
      </c>
      <c r="B815" s="37" t="s">
        <v>582</v>
      </c>
      <c r="C815" s="37">
        <v>5000</v>
      </c>
      <c r="D815" s="37">
        <v>25.6</v>
      </c>
      <c r="E815" s="37" t="s">
        <v>771</v>
      </c>
      <c r="F815" s="37">
        <v>20</v>
      </c>
      <c r="G815" s="37" t="s">
        <v>587</v>
      </c>
      <c r="H815" s="37" t="s">
        <v>928</v>
      </c>
      <c r="I815" s="38">
        <f t="shared" si="96"/>
        <v>25.6</v>
      </c>
      <c r="J815" s="38">
        <f t="shared" si="97"/>
        <v>8.5171931914162382</v>
      </c>
      <c r="K815" s="38">
        <f t="shared" si="98"/>
        <v>3.2425923514855168</v>
      </c>
      <c r="L815" s="39">
        <f t="shared" si="99"/>
        <v>3.90625E-2</v>
      </c>
      <c r="M815" s="39">
        <f t="shared" si="100"/>
        <v>2.7621358640099514</v>
      </c>
      <c r="N815" s="39">
        <f t="shared" si="101"/>
        <v>195.3125</v>
      </c>
      <c r="O815" s="40">
        <f>1</f>
        <v>1</v>
      </c>
      <c r="P815" s="38">
        <f>INDEX(Cables!$AS:$AS,MATCH(B815,Cables!$A:$A,0))+INDEX(Cables!$AT:$AT,MATCH(B815,Cables!$A:$A,0))*SQRT(C815)+INDEX(Cables!$AU:$AU,MATCH(B815,Cables!$A:$A,0))*C815</f>
        <v>25.820525428023249</v>
      </c>
      <c r="Q815" s="41">
        <f t="shared" si="102"/>
        <v>8.6142745321580172E-3</v>
      </c>
      <c r="R815" s="39">
        <f t="shared" si="103"/>
        <v>7.4205725715386221E-5</v>
      </c>
      <c r="S815" s="40" t="b">
        <f>IF(B815=B814,C815&gt;C814,COUNTIF(B$1:B814,B815)=0)</f>
        <v>1</v>
      </c>
      <c r="T815" s="37"/>
    </row>
    <row r="816" spans="1:20" x14ac:dyDescent="0.25">
      <c r="A816" s="37" t="s">
        <v>1555</v>
      </c>
      <c r="B816" s="37" t="s">
        <v>582</v>
      </c>
      <c r="C816" s="37">
        <v>6000</v>
      </c>
      <c r="D816" s="37">
        <v>28.7</v>
      </c>
      <c r="E816" s="37" t="s">
        <v>771</v>
      </c>
      <c r="F816" s="37">
        <v>20</v>
      </c>
      <c r="G816" s="37" t="s">
        <v>587</v>
      </c>
      <c r="H816" s="37" t="s">
        <v>928</v>
      </c>
      <c r="I816" s="38">
        <f t="shared" si="96"/>
        <v>28.7</v>
      </c>
      <c r="J816" s="38">
        <f t="shared" si="97"/>
        <v>8.6995147482101913</v>
      </c>
      <c r="K816" s="38">
        <f t="shared" si="98"/>
        <v>3.3568971227655755</v>
      </c>
      <c r="L816" s="39">
        <f t="shared" si="99"/>
        <v>3.484320557491289E-2</v>
      </c>
      <c r="M816" s="39">
        <f t="shared" si="100"/>
        <v>2.6989430984023812</v>
      </c>
      <c r="N816" s="39">
        <f t="shared" si="101"/>
        <v>209.05923344947735</v>
      </c>
      <c r="O816" s="40">
        <f>1</f>
        <v>1</v>
      </c>
      <c r="P816" s="38">
        <f>INDEX(Cables!$AS:$AS,MATCH(B816,Cables!$A:$A,0))+INDEX(Cables!$AT:$AT,MATCH(B816,Cables!$A:$A,0))*SQRT(C816)+INDEX(Cables!$AU:$AU,MATCH(B816,Cables!$A:$A,0))*C816</f>
        <v>29.00777583976101</v>
      </c>
      <c r="Q816" s="41">
        <f t="shared" si="102"/>
        <v>1.0723896855784343E-2</v>
      </c>
      <c r="R816" s="39">
        <f t="shared" si="103"/>
        <v>1.1500196377350132E-4</v>
      </c>
      <c r="S816" s="40" t="b">
        <f>IF(B816=B815,C816&gt;C815,COUNTIF(B$1:B815,B816)=0)</f>
        <v>1</v>
      </c>
      <c r="T816" s="37"/>
    </row>
    <row r="817" spans="1:20" x14ac:dyDescent="0.25">
      <c r="A817" s="37" t="s">
        <v>1556</v>
      </c>
      <c r="B817" s="37" t="s">
        <v>582</v>
      </c>
      <c r="C817" s="37">
        <v>7000</v>
      </c>
      <c r="D817" s="37">
        <v>31.7</v>
      </c>
      <c r="E817" s="37" t="s">
        <v>771</v>
      </c>
      <c r="F817" s="37">
        <v>20</v>
      </c>
      <c r="G817" s="37" t="s">
        <v>587</v>
      </c>
      <c r="H817" s="37" t="s">
        <v>928</v>
      </c>
      <c r="I817" s="38">
        <f t="shared" si="96"/>
        <v>31.7</v>
      </c>
      <c r="J817" s="38">
        <f t="shared" si="97"/>
        <v>8.8536654280374503</v>
      </c>
      <c r="K817" s="38">
        <f t="shared" si="98"/>
        <v>3.4563166808832348</v>
      </c>
      <c r="L817" s="39">
        <f t="shared" si="99"/>
        <v>3.1545741324921134E-2</v>
      </c>
      <c r="M817" s="39">
        <f t="shared" si="100"/>
        <v>2.6393060773945605</v>
      </c>
      <c r="N817" s="39">
        <f t="shared" si="101"/>
        <v>220.82018927444796</v>
      </c>
      <c r="O817" s="40">
        <f>1</f>
        <v>1</v>
      </c>
      <c r="P817" s="38">
        <f>INDEX(Cables!$AS:$AS,MATCH(B817,Cables!$A:$A,0))+INDEX(Cables!$AT:$AT,MATCH(B817,Cables!$A:$A,0))*SQRT(C817)+INDEX(Cables!$AU:$AU,MATCH(B817,Cables!$A:$A,0))*C817</f>
        <v>32.051608251743886</v>
      </c>
      <c r="Q817" s="41">
        <f t="shared" si="102"/>
        <v>1.1091742957220374E-2</v>
      </c>
      <c r="R817" s="39">
        <f t="shared" si="103"/>
        <v>1.2302676182904777E-4</v>
      </c>
      <c r="S817" s="40" t="b">
        <f>IF(B817=B816,C817&gt;C816,COUNTIF(B$1:B816,B817)=0)</f>
        <v>1</v>
      </c>
      <c r="T817" s="37"/>
    </row>
    <row r="818" spans="1:20" x14ac:dyDescent="0.25">
      <c r="A818" s="37" t="s">
        <v>1557</v>
      </c>
      <c r="B818" s="37" t="s">
        <v>582</v>
      </c>
      <c r="C818" s="37">
        <v>8000</v>
      </c>
      <c r="D818" s="37">
        <v>34.5</v>
      </c>
      <c r="E818" s="37" t="s">
        <v>771</v>
      </c>
      <c r="F818" s="37">
        <v>20</v>
      </c>
      <c r="G818" s="37" t="s">
        <v>587</v>
      </c>
      <c r="H818" s="37" t="s">
        <v>928</v>
      </c>
      <c r="I818" s="38">
        <f t="shared" si="96"/>
        <v>34.5</v>
      </c>
      <c r="J818" s="38">
        <f t="shared" si="97"/>
        <v>8.987196820661973</v>
      </c>
      <c r="K818" s="38">
        <f t="shared" si="98"/>
        <v>3.5409593240373143</v>
      </c>
      <c r="L818" s="39">
        <f t="shared" si="99"/>
        <v>2.8985507246376812E-2</v>
      </c>
      <c r="M818" s="39">
        <f t="shared" si="100"/>
        <v>2.5925425826084521</v>
      </c>
      <c r="N818" s="39">
        <f t="shared" si="101"/>
        <v>231.8840579710145</v>
      </c>
      <c r="O818" s="40">
        <f>1</f>
        <v>1</v>
      </c>
      <c r="P818" s="38">
        <f>INDEX(Cables!$AS:$AS,MATCH(B818,Cables!$A:$A,0))+INDEX(Cables!$AT:$AT,MATCH(B818,Cables!$A:$A,0))*SQRT(C818)+INDEX(Cables!$AU:$AU,MATCH(B818,Cables!$A:$A,0))*C818</f>
        <v>34.981896410730052</v>
      </c>
      <c r="Q818" s="41">
        <f t="shared" si="102"/>
        <v>1.3968011905218791E-2</v>
      </c>
      <c r="R818" s="39">
        <f t="shared" si="103"/>
        <v>1.9510535658433389E-4</v>
      </c>
      <c r="S818" s="40" t="b">
        <f>IF(B818=B817,C818&gt;C817,COUNTIF(B$1:B817,B818)=0)</f>
        <v>1</v>
      </c>
      <c r="T818" s="37"/>
    </row>
    <row r="819" spans="1:20" x14ac:dyDescent="0.25">
      <c r="A819" s="37" t="s">
        <v>1558</v>
      </c>
      <c r="B819" s="37" t="s">
        <v>582</v>
      </c>
      <c r="C819" s="37">
        <v>9000</v>
      </c>
      <c r="D819" s="37">
        <v>37.5</v>
      </c>
      <c r="E819" s="37" t="s">
        <v>771</v>
      </c>
      <c r="F819" s="37">
        <v>20</v>
      </c>
      <c r="G819" s="37" t="s">
        <v>587</v>
      </c>
      <c r="H819" s="37" t="s">
        <v>928</v>
      </c>
      <c r="I819" s="38">
        <f t="shared" si="96"/>
        <v>37.5</v>
      </c>
      <c r="J819" s="38">
        <f t="shared" si="97"/>
        <v>9.1049798563183568</v>
      </c>
      <c r="K819" s="38">
        <f t="shared" si="98"/>
        <v>3.6243409329763652</v>
      </c>
      <c r="L819" s="39">
        <f t="shared" si="99"/>
        <v>2.6666666666666668E-2</v>
      </c>
      <c r="M819" s="39">
        <f t="shared" si="100"/>
        <v>2.5298221281347035</v>
      </c>
      <c r="N819" s="39">
        <f t="shared" si="101"/>
        <v>240</v>
      </c>
      <c r="O819" s="40">
        <f>1</f>
        <v>1</v>
      </c>
      <c r="P819" s="38">
        <f>INDEX(Cables!$AS:$AS,MATCH(B819,Cables!$A:$A,0))+INDEX(Cables!$AT:$AT,MATCH(B819,Cables!$A:$A,0))*SQRT(C819)+INDEX(Cables!$AU:$AU,MATCH(B819,Cables!$A:$A,0))*C819</f>
        <v>37.819390692085797</v>
      </c>
      <c r="Q819" s="41">
        <f t="shared" si="102"/>
        <v>8.5170851222879929E-3</v>
      </c>
      <c r="R819" s="39">
        <f t="shared" si="103"/>
        <v>7.2540738980299472E-5</v>
      </c>
      <c r="S819" s="40" t="b">
        <f>IF(B819=B818,C819&gt;C818,COUNTIF(B$1:B818,B819)=0)</f>
        <v>1</v>
      </c>
      <c r="T819" s="37"/>
    </row>
    <row r="820" spans="1:20" x14ac:dyDescent="0.25">
      <c r="A820" s="37" t="s">
        <v>1559</v>
      </c>
      <c r="B820" s="37" t="s">
        <v>582</v>
      </c>
      <c r="C820" s="37">
        <v>10000</v>
      </c>
      <c r="D820" s="37">
        <v>40.5</v>
      </c>
      <c r="E820" s="37" t="s">
        <v>771</v>
      </c>
      <c r="F820" s="37">
        <v>20</v>
      </c>
      <c r="G820" s="37" t="s">
        <v>587</v>
      </c>
      <c r="H820" s="37" t="s">
        <v>928</v>
      </c>
      <c r="I820" s="38">
        <f t="shared" si="96"/>
        <v>40.5</v>
      </c>
      <c r="J820" s="38">
        <f t="shared" si="97"/>
        <v>9.2103403719761836</v>
      </c>
      <c r="K820" s="38">
        <f t="shared" si="98"/>
        <v>3.7013019741124933</v>
      </c>
      <c r="L820" s="39">
        <f t="shared" si="99"/>
        <v>2.4691358024691357E-2</v>
      </c>
      <c r="M820" s="39">
        <f t="shared" si="100"/>
        <v>2.4691358024691357</v>
      </c>
      <c r="N820" s="39">
        <f t="shared" si="101"/>
        <v>246.91358024691357</v>
      </c>
      <c r="O820" s="40">
        <f>1</f>
        <v>1</v>
      </c>
      <c r="P820" s="38">
        <f>INDEX(Cables!$AS:$AS,MATCH(B820,Cables!$A:$A,0))+INDEX(Cables!$AT:$AT,MATCH(B820,Cables!$A:$A,0))*SQRT(C820)+INDEX(Cables!$AU:$AU,MATCH(B820,Cables!$A:$A,0))*C820</f>
        <v>40.579199317811238</v>
      </c>
      <c r="Q820" s="41">
        <f t="shared" si="102"/>
        <v>1.9555387113885381E-3</v>
      </c>
      <c r="R820" s="39">
        <f t="shared" si="103"/>
        <v>3.8241316517391439E-6</v>
      </c>
      <c r="S820" s="40" t="b">
        <f>IF(B820=B819,C820&gt;C819,COUNTIF(B$1:B819,B820)=0)</f>
        <v>1</v>
      </c>
      <c r="T820" s="37"/>
    </row>
    <row r="821" spans="1:20" x14ac:dyDescent="0.25">
      <c r="A821" s="37" t="s">
        <v>1560</v>
      </c>
      <c r="B821" s="37" t="s">
        <v>582</v>
      </c>
      <c r="C821" s="37">
        <v>12000</v>
      </c>
      <c r="D821" s="37">
        <v>46</v>
      </c>
      <c r="E821" s="37" t="s">
        <v>771</v>
      </c>
      <c r="F821" s="37">
        <v>20</v>
      </c>
      <c r="G821" s="37" t="s">
        <v>587</v>
      </c>
      <c r="H821" s="37" t="s">
        <v>928</v>
      </c>
      <c r="I821" s="38">
        <f t="shared" si="96"/>
        <v>46</v>
      </c>
      <c r="J821" s="38">
        <f t="shared" si="97"/>
        <v>9.3926619287701367</v>
      </c>
      <c r="K821" s="38">
        <f t="shared" si="98"/>
        <v>3.8286413964890951</v>
      </c>
      <c r="L821" s="39">
        <f t="shared" si="99"/>
        <v>2.1739130434782608E-2</v>
      </c>
      <c r="M821" s="39">
        <f t="shared" si="100"/>
        <v>2.3814024239355049</v>
      </c>
      <c r="N821" s="39">
        <f t="shared" si="101"/>
        <v>260.86956521739131</v>
      </c>
      <c r="O821" s="40">
        <f>1</f>
        <v>1</v>
      </c>
      <c r="P821" s="38">
        <f>INDEX(Cables!$AS:$AS,MATCH(B821,Cables!$A:$A,0))+INDEX(Cables!$AT:$AT,MATCH(B821,Cables!$A:$A,0))*SQRT(C821)+INDEX(Cables!$AU:$AU,MATCH(B821,Cables!$A:$A,0))*C821</f>
        <v>45.908836993135331</v>
      </c>
      <c r="Q821" s="41">
        <f t="shared" si="102"/>
        <v>-1.9818044970579818E-3</v>
      </c>
      <c r="R821" s="39">
        <f t="shared" si="103"/>
        <v>3.9275490645592401E-6</v>
      </c>
      <c r="S821" s="40" t="b">
        <f>IF(B821=B820,C821&gt;C820,COUNTIF(B$1:B820,B821)=0)</f>
        <v>1</v>
      </c>
      <c r="T821" s="37"/>
    </row>
    <row r="822" spans="1:20" x14ac:dyDescent="0.25">
      <c r="A822" s="37" t="s">
        <v>1561</v>
      </c>
      <c r="B822" s="37" t="s">
        <v>588</v>
      </c>
      <c r="C822" s="37">
        <v>5</v>
      </c>
      <c r="D822" s="37">
        <v>0.6</v>
      </c>
      <c r="E822" s="37" t="s">
        <v>771</v>
      </c>
      <c r="F822" s="37">
        <v>20</v>
      </c>
      <c r="G822" s="37" t="s">
        <v>593</v>
      </c>
      <c r="H822" s="37" t="s">
        <v>867</v>
      </c>
      <c r="I822" s="38">
        <f t="shared" si="96"/>
        <v>0.6</v>
      </c>
      <c r="J822" s="38">
        <f t="shared" si="97"/>
        <v>1.6094379124341003</v>
      </c>
      <c r="K822" s="38">
        <f t="shared" si="98"/>
        <v>-0.51082562376599072</v>
      </c>
      <c r="L822" s="39">
        <f t="shared" si="99"/>
        <v>1.6666666666666667</v>
      </c>
      <c r="M822" s="39">
        <f t="shared" si="100"/>
        <v>3.7267799624996498</v>
      </c>
      <c r="N822" s="39">
        <f t="shared" si="101"/>
        <v>8.3333333333333339</v>
      </c>
      <c r="O822" s="40">
        <f>1</f>
        <v>1</v>
      </c>
      <c r="P822" s="38">
        <f>INDEX(Cables!$AS:$AS,MATCH(B822,Cables!$A:$A,0))+INDEX(Cables!$AT:$AT,MATCH(B822,Cables!$A:$A,0))*SQRT(C822)+INDEX(Cables!$AU:$AU,MATCH(B822,Cables!$A:$A,0))*C822</f>
        <v>0.60198364895169842</v>
      </c>
      <c r="Q822" s="41">
        <f t="shared" si="102"/>
        <v>3.306081586164078E-3</v>
      </c>
      <c r="R822" s="39">
        <f t="shared" si="103"/>
        <v>1.0930175454373185E-5</v>
      </c>
      <c r="S822" s="40" t="b">
        <f>IF(B822=B821,C822&gt;C821,COUNTIF(B$1:B821,B822)=0)</f>
        <v>1</v>
      </c>
      <c r="T822" s="37"/>
    </row>
    <row r="823" spans="1:20" x14ac:dyDescent="0.25">
      <c r="A823" s="37" t="s">
        <v>1562</v>
      </c>
      <c r="B823" s="37" t="s">
        <v>588</v>
      </c>
      <c r="C823" s="37">
        <v>10</v>
      </c>
      <c r="D823" s="37">
        <v>0.86</v>
      </c>
      <c r="E823" s="37" t="s">
        <v>771</v>
      </c>
      <c r="F823" s="37">
        <v>20</v>
      </c>
      <c r="G823" s="37" t="s">
        <v>593</v>
      </c>
      <c r="H823" s="37" t="s">
        <v>867</v>
      </c>
      <c r="I823" s="38">
        <f t="shared" si="96"/>
        <v>0.86</v>
      </c>
      <c r="J823" s="38">
        <f t="shared" si="97"/>
        <v>2.3025850929940459</v>
      </c>
      <c r="K823" s="38">
        <f t="shared" si="98"/>
        <v>-0.15082288973458366</v>
      </c>
      <c r="L823" s="39">
        <f t="shared" si="99"/>
        <v>1.1627906976744187</v>
      </c>
      <c r="M823" s="39">
        <f t="shared" si="100"/>
        <v>3.677067046707418</v>
      </c>
      <c r="N823" s="39">
        <f t="shared" si="101"/>
        <v>11.627906976744185</v>
      </c>
      <c r="O823" s="40">
        <f>1</f>
        <v>1</v>
      </c>
      <c r="P823" s="38">
        <f>INDEX(Cables!$AS:$AS,MATCH(B823,Cables!$A:$A,0))+INDEX(Cables!$AT:$AT,MATCH(B823,Cables!$A:$A,0))*SQRT(C823)+INDEX(Cables!$AU:$AU,MATCH(B823,Cables!$A:$A,0))*C823</f>
        <v>0.85631144416748417</v>
      </c>
      <c r="Q823" s="41">
        <f t="shared" si="102"/>
        <v>-4.2890184099021456E-3</v>
      </c>
      <c r="R823" s="39">
        <f t="shared" si="103"/>
        <v>1.839567892047953E-5</v>
      </c>
      <c r="S823" s="40" t="b">
        <f>IF(B823=B822,C823&gt;C822,COUNTIF(B$1:B822,B823)=0)</f>
        <v>1</v>
      </c>
      <c r="T823" s="37"/>
    </row>
    <row r="824" spans="1:20" x14ac:dyDescent="0.25">
      <c r="A824" s="37" t="s">
        <v>1563</v>
      </c>
      <c r="B824" s="37" t="s">
        <v>588</v>
      </c>
      <c r="C824" s="37">
        <v>50</v>
      </c>
      <c r="D824" s="37">
        <v>1.96</v>
      </c>
      <c r="E824" s="37" t="s">
        <v>771</v>
      </c>
      <c r="F824" s="37">
        <v>20</v>
      </c>
      <c r="G824" s="37" t="s">
        <v>593</v>
      </c>
      <c r="H824" s="37" t="s">
        <v>867</v>
      </c>
      <c r="I824" s="38">
        <f t="shared" si="96"/>
        <v>1.96</v>
      </c>
      <c r="J824" s="38">
        <f t="shared" si="97"/>
        <v>3.912023005428146</v>
      </c>
      <c r="K824" s="38">
        <f t="shared" si="98"/>
        <v>0.67294447324242579</v>
      </c>
      <c r="L824" s="39">
        <f t="shared" si="99"/>
        <v>0.51020408163265307</v>
      </c>
      <c r="M824" s="39">
        <f t="shared" si="100"/>
        <v>3.6076876591150384</v>
      </c>
      <c r="N824" s="39">
        <f t="shared" si="101"/>
        <v>25.510204081632654</v>
      </c>
      <c r="O824" s="40">
        <f>1</f>
        <v>1</v>
      </c>
      <c r="P824" s="38">
        <f>INDEX(Cables!$AS:$AS,MATCH(B824,Cables!$A:$A,0))+INDEX(Cables!$AT:$AT,MATCH(B824,Cables!$A:$A,0))*SQRT(C824)+INDEX(Cables!$AU:$AU,MATCH(B824,Cables!$A:$A,0))*C824</f>
        <v>1.9552165113134947</v>
      </c>
      <c r="Q824" s="41">
        <f t="shared" si="102"/>
        <v>-2.4405554522985984E-3</v>
      </c>
      <c r="R824" s="39">
        <f t="shared" si="103"/>
        <v>5.9563109157444165E-6</v>
      </c>
      <c r="S824" s="40" t="b">
        <f>IF(B824=B823,C824&gt;C823,COUNTIF(B$1:B823,B824)=0)</f>
        <v>1</v>
      </c>
      <c r="T824" s="37"/>
    </row>
    <row r="825" spans="1:20" x14ac:dyDescent="0.25">
      <c r="A825" s="37" t="s">
        <v>1564</v>
      </c>
      <c r="B825" s="37" t="s">
        <v>588</v>
      </c>
      <c r="C825" s="37">
        <v>100</v>
      </c>
      <c r="D825" s="37">
        <v>2.81</v>
      </c>
      <c r="E825" s="37" t="s">
        <v>771</v>
      </c>
      <c r="F825" s="37">
        <v>20</v>
      </c>
      <c r="G825" s="37" t="s">
        <v>593</v>
      </c>
      <c r="H825" s="37" t="s">
        <v>867</v>
      </c>
      <c r="I825" s="38">
        <f t="shared" si="96"/>
        <v>2.81</v>
      </c>
      <c r="J825" s="38">
        <f t="shared" si="97"/>
        <v>4.6051701859880918</v>
      </c>
      <c r="K825" s="38">
        <f t="shared" si="98"/>
        <v>1.0331844833456545</v>
      </c>
      <c r="L825" s="39">
        <f t="shared" si="99"/>
        <v>0.35587188612099646</v>
      </c>
      <c r="M825" s="39">
        <f t="shared" si="100"/>
        <v>3.5587188612099645</v>
      </c>
      <c r="N825" s="39">
        <f t="shared" si="101"/>
        <v>35.587188612099645</v>
      </c>
      <c r="O825" s="40">
        <f>1</f>
        <v>1</v>
      </c>
      <c r="P825" s="38">
        <f>INDEX(Cables!$AS:$AS,MATCH(B825,Cables!$A:$A,0))+INDEX(Cables!$AT:$AT,MATCH(B825,Cables!$A:$A,0))*SQRT(C825)+INDEX(Cables!$AU:$AU,MATCH(B825,Cables!$A:$A,0))*C825</f>
        <v>2.8057659756450843</v>
      </c>
      <c r="Q825" s="41">
        <f t="shared" si="102"/>
        <v>-1.5067702330661126E-3</v>
      </c>
      <c r="R825" s="39">
        <f t="shared" si="103"/>
        <v>2.2703565352541072E-6</v>
      </c>
      <c r="S825" s="40" t="b">
        <f>IF(B825=B824,C825&gt;C824,COUNTIF(B$1:B824,B825)=0)</f>
        <v>1</v>
      </c>
      <c r="T825" s="37"/>
    </row>
    <row r="826" spans="1:20" x14ac:dyDescent="0.25">
      <c r="A826" s="37" t="s">
        <v>1565</v>
      </c>
      <c r="B826" s="37" t="s">
        <v>588</v>
      </c>
      <c r="C826" s="37">
        <v>144</v>
      </c>
      <c r="D826" s="37">
        <v>3.4</v>
      </c>
      <c r="E826" s="37" t="s">
        <v>771</v>
      </c>
      <c r="F826" s="37">
        <v>20</v>
      </c>
      <c r="G826" s="37" t="s">
        <v>593</v>
      </c>
      <c r="H826" s="37" t="s">
        <v>867</v>
      </c>
      <c r="I826" s="38">
        <f t="shared" si="96"/>
        <v>3.4</v>
      </c>
      <c r="J826" s="38">
        <f t="shared" si="97"/>
        <v>4.9698132995760007</v>
      </c>
      <c r="K826" s="38">
        <f t="shared" si="98"/>
        <v>1.2237754316221157</v>
      </c>
      <c r="L826" s="39">
        <f t="shared" si="99"/>
        <v>0.29411764705882354</v>
      </c>
      <c r="M826" s="39">
        <f t="shared" si="100"/>
        <v>3.5294117647058822</v>
      </c>
      <c r="N826" s="39">
        <f t="shared" si="101"/>
        <v>42.352941176470587</v>
      </c>
      <c r="O826" s="40">
        <f>1</f>
        <v>1</v>
      </c>
      <c r="P826" s="38">
        <f>INDEX(Cables!$AS:$AS,MATCH(B826,Cables!$A:$A,0))+INDEX(Cables!$AT:$AT,MATCH(B826,Cables!$A:$A,0))*SQRT(C826)+INDEX(Cables!$AU:$AU,MATCH(B826,Cables!$A:$A,0))*C826</f>
        <v>3.3999058862634488</v>
      </c>
      <c r="Q826" s="41">
        <f t="shared" si="102"/>
        <v>-2.7680510750305309E-5</v>
      </c>
      <c r="R826" s="39">
        <f t="shared" si="103"/>
        <v>7.6621067539776778E-10</v>
      </c>
      <c r="S826" s="40" t="b">
        <f>IF(B826=B825,C826&gt;C825,COUNTIF(B$1:B825,B826)=0)</f>
        <v>1</v>
      </c>
      <c r="T826" s="37"/>
    </row>
    <row r="827" spans="1:20" x14ac:dyDescent="0.25">
      <c r="A827" s="37" t="s">
        <v>1566</v>
      </c>
      <c r="B827" s="37" t="s">
        <v>588</v>
      </c>
      <c r="C827" s="37">
        <v>200</v>
      </c>
      <c r="D827" s="37">
        <v>4.05</v>
      </c>
      <c r="E827" s="37" t="s">
        <v>771</v>
      </c>
      <c r="F827" s="37">
        <v>20</v>
      </c>
      <c r="G827" s="37" t="s">
        <v>593</v>
      </c>
      <c r="H827" s="37" t="s">
        <v>867</v>
      </c>
      <c r="I827" s="38">
        <f t="shared" si="96"/>
        <v>4.05</v>
      </c>
      <c r="J827" s="38">
        <f t="shared" si="97"/>
        <v>5.2983173665480363</v>
      </c>
      <c r="K827" s="38">
        <f t="shared" si="98"/>
        <v>1.3987168811184478</v>
      </c>
      <c r="L827" s="39">
        <f t="shared" si="99"/>
        <v>0.24691358024691359</v>
      </c>
      <c r="M827" s="39">
        <f t="shared" si="100"/>
        <v>3.4918853391928275</v>
      </c>
      <c r="N827" s="39">
        <f t="shared" si="101"/>
        <v>49.382716049382715</v>
      </c>
      <c r="O827" s="40">
        <f>1</f>
        <v>1</v>
      </c>
      <c r="P827" s="38">
        <f>INDEX(Cables!$AS:$AS,MATCH(B827,Cables!$A:$A,0))+INDEX(Cables!$AT:$AT,MATCH(B827,Cables!$A:$A,0))*SQRT(C827)+INDEX(Cables!$AU:$AU,MATCH(B827,Cables!$A:$A,0))*C827</f>
        <v>4.0482848574348616</v>
      </c>
      <c r="Q827" s="41">
        <f t="shared" si="102"/>
        <v>-4.2349199139213312E-4</v>
      </c>
      <c r="R827" s="39">
        <f t="shared" si="103"/>
        <v>1.7934546677327455E-7</v>
      </c>
      <c r="S827" s="40" t="b">
        <f>IF(B827=B826,C827&gt;C826,COUNTIF(B$1:B826,B827)=0)</f>
        <v>1</v>
      </c>
      <c r="T827" s="37"/>
    </row>
    <row r="828" spans="1:20" x14ac:dyDescent="0.25">
      <c r="A828" s="37" t="s">
        <v>1567</v>
      </c>
      <c r="B828" s="37" t="s">
        <v>588</v>
      </c>
      <c r="C828" s="37">
        <v>300</v>
      </c>
      <c r="D828" s="37">
        <v>5</v>
      </c>
      <c r="E828" s="37" t="s">
        <v>771</v>
      </c>
      <c r="F828" s="37">
        <v>20</v>
      </c>
      <c r="G828" s="37" t="s">
        <v>593</v>
      </c>
      <c r="H828" s="37" t="s">
        <v>867</v>
      </c>
      <c r="I828" s="38">
        <f t="shared" si="96"/>
        <v>5</v>
      </c>
      <c r="J828" s="38">
        <f t="shared" si="97"/>
        <v>5.7037824746562009</v>
      </c>
      <c r="K828" s="38">
        <f t="shared" si="98"/>
        <v>1.6094379124341003</v>
      </c>
      <c r="L828" s="39">
        <f t="shared" si="99"/>
        <v>0.2</v>
      </c>
      <c r="M828" s="39">
        <f t="shared" si="100"/>
        <v>3.4641016151377548</v>
      </c>
      <c r="N828" s="39">
        <f t="shared" si="101"/>
        <v>60</v>
      </c>
      <c r="O828" s="40">
        <f>1</f>
        <v>1</v>
      </c>
      <c r="P828" s="38">
        <f>INDEX(Cables!$AS:$AS,MATCH(B828,Cables!$A:$A,0))+INDEX(Cables!$AT:$AT,MATCH(B828,Cables!$A:$A,0))*SQRT(C828)+INDEX(Cables!$AU:$AU,MATCH(B828,Cables!$A:$A,0))*C828</f>
        <v>5.0332090816584127</v>
      </c>
      <c r="Q828" s="41">
        <f t="shared" si="102"/>
        <v>6.6418163316825929E-3</v>
      </c>
      <c r="R828" s="39">
        <f t="shared" si="103"/>
        <v>4.4113724183805617E-5</v>
      </c>
      <c r="S828" s="40" t="b">
        <f>IF(B828=B827,C828&gt;C827,COUNTIF(B$1:B827,B828)=0)</f>
        <v>1</v>
      </c>
      <c r="T828" s="37"/>
    </row>
    <row r="829" spans="1:20" x14ac:dyDescent="0.25">
      <c r="A829" s="37" t="s">
        <v>1568</v>
      </c>
      <c r="B829" s="37" t="s">
        <v>588</v>
      </c>
      <c r="C829" s="37">
        <v>432</v>
      </c>
      <c r="D829" s="37">
        <v>6.1</v>
      </c>
      <c r="E829" s="37" t="s">
        <v>771</v>
      </c>
      <c r="F829" s="37">
        <v>20</v>
      </c>
      <c r="G829" s="37" t="s">
        <v>593</v>
      </c>
      <c r="H829" s="37" t="s">
        <v>867</v>
      </c>
      <c r="I829" s="38">
        <f t="shared" si="96"/>
        <v>6.1</v>
      </c>
      <c r="J829" s="38">
        <f t="shared" si="97"/>
        <v>6.0684255882441107</v>
      </c>
      <c r="K829" s="38">
        <f t="shared" si="98"/>
        <v>1.8082887711792655</v>
      </c>
      <c r="L829" s="39">
        <f t="shared" si="99"/>
        <v>0.16393442622950821</v>
      </c>
      <c r="M829" s="39">
        <f t="shared" si="100"/>
        <v>3.407313064069923</v>
      </c>
      <c r="N829" s="39">
        <f t="shared" si="101"/>
        <v>70.819672131147541</v>
      </c>
      <c r="O829" s="40">
        <f>1</f>
        <v>1</v>
      </c>
      <c r="P829" s="38">
        <f>INDEX(Cables!$AS:$AS,MATCH(B829,Cables!$A:$A,0))+INDEX(Cables!$AT:$AT,MATCH(B829,Cables!$A:$A,0))*SQRT(C829)+INDEX(Cables!$AU:$AU,MATCH(B829,Cables!$A:$A,0))*C829</f>
        <v>6.1378337958127158</v>
      </c>
      <c r="Q829" s="41">
        <f t="shared" si="102"/>
        <v>6.2022616086419013E-3</v>
      </c>
      <c r="R829" s="39">
        <f t="shared" si="103"/>
        <v>3.8468049062033223E-5</v>
      </c>
      <c r="S829" s="40" t="b">
        <f>IF(B829=B828,C829&gt;C828,COUNTIF(B$1:B828,B829)=0)</f>
        <v>1</v>
      </c>
      <c r="T829" s="37"/>
    </row>
    <row r="830" spans="1:20" x14ac:dyDescent="0.25">
      <c r="A830" s="37" t="s">
        <v>1569</v>
      </c>
      <c r="B830" s="37" t="s">
        <v>588</v>
      </c>
      <c r="C830" s="37">
        <v>500</v>
      </c>
      <c r="D830" s="37">
        <v>6.7</v>
      </c>
      <c r="E830" s="37" t="s">
        <v>771</v>
      </c>
      <c r="F830" s="37">
        <v>20</v>
      </c>
      <c r="G830" s="37" t="s">
        <v>593</v>
      </c>
      <c r="H830" s="37" t="s">
        <v>867</v>
      </c>
      <c r="I830" s="38">
        <f t="shared" si="96"/>
        <v>6.7</v>
      </c>
      <c r="J830" s="38">
        <f t="shared" si="97"/>
        <v>6.2146080984221914</v>
      </c>
      <c r="K830" s="38">
        <f t="shared" si="98"/>
        <v>1.9021075263969205</v>
      </c>
      <c r="L830" s="39">
        <f t="shared" si="99"/>
        <v>0.14925373134328357</v>
      </c>
      <c r="M830" s="39">
        <f t="shared" si="100"/>
        <v>3.3374148917907309</v>
      </c>
      <c r="N830" s="39">
        <f t="shared" si="101"/>
        <v>74.626865671641795</v>
      </c>
      <c r="O830" s="40">
        <f>1</f>
        <v>1</v>
      </c>
      <c r="P830" s="38">
        <f>INDEX(Cables!$AS:$AS,MATCH(B830,Cables!$A:$A,0))+INDEX(Cables!$AT:$AT,MATCH(B830,Cables!$A:$A,0))*SQRT(C830)+INDEX(Cables!$AU:$AU,MATCH(B830,Cables!$A:$A,0))*C830</f>
        <v>6.6511637934134038</v>
      </c>
      <c r="Q830" s="41">
        <f t="shared" si="102"/>
        <v>-7.2889860577008969E-3</v>
      </c>
      <c r="R830" s="39">
        <f t="shared" si="103"/>
        <v>5.3129317749358061E-5</v>
      </c>
      <c r="S830" s="40" t="b">
        <f>IF(B830=B829,C830&gt;C829,COUNTIF(B$1:B829,B830)=0)</f>
        <v>1</v>
      </c>
      <c r="T830" s="37"/>
    </row>
    <row r="831" spans="1:20" x14ac:dyDescent="0.25">
      <c r="A831" s="37" t="s">
        <v>1570</v>
      </c>
      <c r="B831" s="37" t="s">
        <v>588</v>
      </c>
      <c r="C831" s="37">
        <v>800</v>
      </c>
      <c r="D831" s="37">
        <v>8.6</v>
      </c>
      <c r="E831" s="37" t="s">
        <v>771</v>
      </c>
      <c r="F831" s="37">
        <v>20</v>
      </c>
      <c r="G831" s="37" t="s">
        <v>593</v>
      </c>
      <c r="H831" s="37" t="s">
        <v>867</v>
      </c>
      <c r="I831" s="38">
        <f t="shared" si="96"/>
        <v>8.6</v>
      </c>
      <c r="J831" s="38">
        <f t="shared" si="97"/>
        <v>6.6846117276679271</v>
      </c>
      <c r="K831" s="38">
        <f t="shared" si="98"/>
        <v>2.1517622032594619</v>
      </c>
      <c r="L831" s="39">
        <f t="shared" si="99"/>
        <v>0.11627906976744186</v>
      </c>
      <c r="M831" s="39">
        <f t="shared" si="100"/>
        <v>3.2888687497048723</v>
      </c>
      <c r="N831" s="39">
        <f t="shared" si="101"/>
        <v>93.023255813953497</v>
      </c>
      <c r="O831" s="40">
        <f>1</f>
        <v>1</v>
      </c>
      <c r="P831" s="38">
        <f>INDEX(Cables!$AS:$AS,MATCH(B831,Cables!$A:$A,0))+INDEX(Cables!$AT:$AT,MATCH(B831,Cables!$A:$A,0))*SQRT(C831)+INDEX(Cables!$AU:$AU,MATCH(B831,Cables!$A:$A,0))*C831</f>
        <v>8.6406476892605522</v>
      </c>
      <c r="Q831" s="41">
        <f t="shared" si="102"/>
        <v>4.7264754954130517E-3</v>
      </c>
      <c r="R831" s="39">
        <f t="shared" si="103"/>
        <v>2.2339570608740051E-5</v>
      </c>
      <c r="S831" s="40" t="b">
        <f>IF(B831=B830,C831&gt;C830,COUNTIF(B$1:B830,B831)=0)</f>
        <v>1</v>
      </c>
      <c r="T831" s="37"/>
    </row>
    <row r="832" spans="1:20" x14ac:dyDescent="0.25">
      <c r="A832" s="37" t="s">
        <v>1571</v>
      </c>
      <c r="B832" s="37" t="s">
        <v>588</v>
      </c>
      <c r="C832" s="37">
        <v>1000</v>
      </c>
      <c r="D832" s="37">
        <v>9.8000000000000007</v>
      </c>
      <c r="E832" s="37" t="s">
        <v>771</v>
      </c>
      <c r="F832" s="37">
        <v>20</v>
      </c>
      <c r="G832" s="37" t="s">
        <v>593</v>
      </c>
      <c r="H832" s="37" t="s">
        <v>867</v>
      </c>
      <c r="I832" s="38">
        <f t="shared" si="96"/>
        <v>9.8000000000000007</v>
      </c>
      <c r="J832" s="38">
        <f t="shared" si="97"/>
        <v>6.9077552789821368</v>
      </c>
      <c r="K832" s="38">
        <f t="shared" si="98"/>
        <v>2.2823823856765264</v>
      </c>
      <c r="L832" s="39">
        <f t="shared" si="99"/>
        <v>0.1020408163265306</v>
      </c>
      <c r="M832" s="39">
        <f t="shared" si="100"/>
        <v>3.2268139389473256</v>
      </c>
      <c r="N832" s="39">
        <f t="shared" si="101"/>
        <v>102.0408163265306</v>
      </c>
      <c r="O832" s="40">
        <f>1</f>
        <v>1</v>
      </c>
      <c r="P832" s="38">
        <f>INDEX(Cables!$AS:$AS,MATCH(B832,Cables!$A:$A,0))+INDEX(Cables!$AT:$AT,MATCH(B832,Cables!$A:$A,0))*SQRT(C832)+INDEX(Cables!$AU:$AU,MATCH(B832,Cables!$A:$A,0))*C832</f>
        <v>9.8037809549456938</v>
      </c>
      <c r="Q832" s="41">
        <f t="shared" si="102"/>
        <v>3.8581172915241879E-4</v>
      </c>
      <c r="R832" s="39">
        <f t="shared" si="103"/>
        <v>1.4885069035157937E-7</v>
      </c>
      <c r="S832" s="40" t="b">
        <f>IF(B832=B831,C832&gt;C831,COUNTIF(B$1:B831,B832)=0)</f>
        <v>1</v>
      </c>
      <c r="T832" s="37"/>
    </row>
    <row r="833" spans="1:20" x14ac:dyDescent="0.25">
      <c r="A833" s="37" t="s">
        <v>1572</v>
      </c>
      <c r="B833" s="37" t="s">
        <v>588</v>
      </c>
      <c r="C833" s="37">
        <v>1296</v>
      </c>
      <c r="D833" s="37">
        <v>11.4</v>
      </c>
      <c r="E833" s="37" t="s">
        <v>771</v>
      </c>
      <c r="F833" s="37">
        <v>20</v>
      </c>
      <c r="G833" s="37" t="s">
        <v>593</v>
      </c>
      <c r="H833" s="37" t="s">
        <v>867</v>
      </c>
      <c r="I833" s="38">
        <f t="shared" si="96"/>
        <v>11.4</v>
      </c>
      <c r="J833" s="38">
        <f t="shared" si="97"/>
        <v>7.1670378769122198</v>
      </c>
      <c r="K833" s="38">
        <f t="shared" si="98"/>
        <v>2.4336133554004498</v>
      </c>
      <c r="L833" s="39">
        <f t="shared" si="99"/>
        <v>8.771929824561403E-2</v>
      </c>
      <c r="M833" s="39">
        <f t="shared" si="100"/>
        <v>3.1578947368421053</v>
      </c>
      <c r="N833" s="39">
        <f t="shared" si="101"/>
        <v>113.68421052631578</v>
      </c>
      <c r="O833" s="40">
        <f>1</f>
        <v>1</v>
      </c>
      <c r="P833" s="38">
        <f>INDEX(Cables!$AS:$AS,MATCH(B833,Cables!$A:$A,0))+INDEX(Cables!$AT:$AT,MATCH(B833,Cables!$A:$A,0))*SQRT(C833)+INDEX(Cables!$AU:$AU,MATCH(B833,Cables!$A:$A,0))*C833</f>
        <v>11.374535184016366</v>
      </c>
      <c r="Q833" s="41">
        <f t="shared" si="102"/>
        <v>-2.2337557880380832E-3</v>
      </c>
      <c r="R833" s="39">
        <f t="shared" si="103"/>
        <v>4.9896649205936376E-6</v>
      </c>
      <c r="S833" s="40" t="b">
        <f>IF(B833=B832,C833&gt;C832,COUNTIF(B$1:B832,B833)=0)</f>
        <v>1</v>
      </c>
      <c r="T833" s="37"/>
    </row>
    <row r="834" spans="1:20" x14ac:dyDescent="0.25">
      <c r="A834" s="37" t="s">
        <v>1573</v>
      </c>
      <c r="B834" s="37" t="s">
        <v>588</v>
      </c>
      <c r="C834" s="37">
        <v>1500</v>
      </c>
      <c r="D834" s="37">
        <v>12.4</v>
      </c>
      <c r="E834" s="37" t="s">
        <v>771</v>
      </c>
      <c r="F834" s="37">
        <v>20</v>
      </c>
      <c r="G834" s="37" t="s">
        <v>593</v>
      </c>
      <c r="H834" s="37" t="s">
        <v>867</v>
      </c>
      <c r="I834" s="38">
        <f t="shared" ref="I834:I897" si="104">IF(E834="dB/100ft",D834*100/30.48,D834)</f>
        <v>12.4</v>
      </c>
      <c r="J834" s="38">
        <f t="shared" ref="J834:J897" si="105">LN(C834)</f>
        <v>7.3132203870903014</v>
      </c>
      <c r="K834" s="38">
        <f t="shared" ref="K834:K897" si="106">LN(I834)</f>
        <v>2.5176964726109912</v>
      </c>
      <c r="L834" s="39">
        <f t="shared" ref="L834:L897" si="107">1/I834</f>
        <v>8.0645161290322578E-2</v>
      </c>
      <c r="M834" s="39">
        <f t="shared" ref="M834:M897" si="108">SQRT(C834)/I834</f>
        <v>3.1233736662963039</v>
      </c>
      <c r="N834" s="39">
        <f t="shared" ref="N834:N897" si="109">C834/I834</f>
        <v>120.96774193548387</v>
      </c>
      <c r="O834" s="40">
        <f>1</f>
        <v>1</v>
      </c>
      <c r="P834" s="38">
        <f>INDEX(Cables!$AS:$AS,MATCH(B834,Cables!$A:$A,0))+INDEX(Cables!$AT:$AT,MATCH(B834,Cables!$A:$A,0))*SQRT(C834)+INDEX(Cables!$AU:$AU,MATCH(B834,Cables!$A:$A,0))*C834</f>
        <v>12.380398951519123</v>
      </c>
      <c r="Q834" s="41">
        <f t="shared" ref="Q834:Q897" si="110">P834/I834-1</f>
        <v>-1.5807297161998246E-3</v>
      </c>
      <c r="R834" s="39">
        <f t="shared" ref="R834:R897" si="111">Q834^2</f>
        <v>2.4987064356771779E-6</v>
      </c>
      <c r="S834" s="40" t="b">
        <f>IF(B834=B833,C834&gt;C833,COUNTIF(B$1:B833,B834)=0)</f>
        <v>1</v>
      </c>
      <c r="T834" s="37"/>
    </row>
    <row r="835" spans="1:20" x14ac:dyDescent="0.25">
      <c r="A835" s="37" t="s">
        <v>1574</v>
      </c>
      <c r="B835" s="37" t="s">
        <v>588</v>
      </c>
      <c r="C835" s="37">
        <v>1800</v>
      </c>
      <c r="D835" s="37">
        <v>13.8</v>
      </c>
      <c r="E835" s="37" t="s">
        <v>771</v>
      </c>
      <c r="F835" s="37">
        <v>20</v>
      </c>
      <c r="G835" s="37" t="s">
        <v>593</v>
      </c>
      <c r="H835" s="37" t="s">
        <v>867</v>
      </c>
      <c r="I835" s="38">
        <f t="shared" si="104"/>
        <v>13.8</v>
      </c>
      <c r="J835" s="38">
        <f t="shared" si="105"/>
        <v>7.4955419438842563</v>
      </c>
      <c r="K835" s="38">
        <f t="shared" si="106"/>
        <v>2.6246685921631592</v>
      </c>
      <c r="L835" s="39">
        <f t="shared" si="107"/>
        <v>7.2463768115942032E-2</v>
      </c>
      <c r="M835" s="39">
        <f t="shared" si="108"/>
        <v>3.0743773095067284</v>
      </c>
      <c r="N835" s="39">
        <f t="shared" si="109"/>
        <v>130.43478260869566</v>
      </c>
      <c r="O835" s="40">
        <f>1</f>
        <v>1</v>
      </c>
      <c r="P835" s="38">
        <f>INDEX(Cables!$AS:$AS,MATCH(B835,Cables!$A:$A,0))+INDEX(Cables!$AT:$AT,MATCH(B835,Cables!$A:$A,0))*SQRT(C835)+INDEX(Cables!$AU:$AU,MATCH(B835,Cables!$A:$A,0))*C835</f>
        <v>13.774645373863516</v>
      </c>
      <c r="Q835" s="41">
        <f t="shared" si="110"/>
        <v>-1.8372917490206975E-3</v>
      </c>
      <c r="R835" s="39">
        <f t="shared" si="111"/>
        <v>3.3756409710195334E-6</v>
      </c>
      <c r="S835" s="40" t="b">
        <f>IF(B835=B834,C835&gt;C834,COUNTIF(B$1:B834,B835)=0)</f>
        <v>1</v>
      </c>
      <c r="T835" s="37"/>
    </row>
    <row r="836" spans="1:20" x14ac:dyDescent="0.25">
      <c r="A836" s="37" t="s">
        <v>1575</v>
      </c>
      <c r="B836" s="37" t="s">
        <v>588</v>
      </c>
      <c r="C836" s="37">
        <v>2000</v>
      </c>
      <c r="D836" s="37">
        <v>14.7</v>
      </c>
      <c r="E836" s="37" t="s">
        <v>771</v>
      </c>
      <c r="F836" s="37">
        <v>20</v>
      </c>
      <c r="G836" s="37" t="s">
        <v>593</v>
      </c>
      <c r="H836" s="37" t="s">
        <v>867</v>
      </c>
      <c r="I836" s="38">
        <f t="shared" si="104"/>
        <v>14.7</v>
      </c>
      <c r="J836" s="38">
        <f t="shared" si="105"/>
        <v>7.6009024595420822</v>
      </c>
      <c r="K836" s="38">
        <f t="shared" si="106"/>
        <v>2.6878474937846906</v>
      </c>
      <c r="L836" s="39">
        <f t="shared" si="107"/>
        <v>6.8027210884353748E-2</v>
      </c>
      <c r="M836" s="39">
        <f t="shared" si="108"/>
        <v>3.0422693571425712</v>
      </c>
      <c r="N836" s="39">
        <f t="shared" si="109"/>
        <v>136.0544217687075</v>
      </c>
      <c r="O836" s="40">
        <f>1</f>
        <v>1</v>
      </c>
      <c r="P836" s="38">
        <f>INDEX(Cables!$AS:$AS,MATCH(B836,Cables!$A:$A,0))+INDEX(Cables!$AT:$AT,MATCH(B836,Cables!$A:$A,0))*SQRT(C836)+INDEX(Cables!$AU:$AU,MATCH(B836,Cables!$A:$A,0))*C836</f>
        <v>14.658857840383547</v>
      </c>
      <c r="Q836" s="41">
        <f t="shared" si="110"/>
        <v>-2.7987863684660885E-3</v>
      </c>
      <c r="R836" s="39">
        <f t="shared" si="111"/>
        <v>7.8332051363115961E-6</v>
      </c>
      <c r="S836" s="40" t="b">
        <f>IF(B836=B835,C836&gt;C835,COUNTIF(B$1:B835,B836)=0)</f>
        <v>1</v>
      </c>
      <c r="T836" s="37"/>
    </row>
    <row r="837" spans="1:20" x14ac:dyDescent="0.25">
      <c r="A837" s="37" t="s">
        <v>1576</v>
      </c>
      <c r="B837" s="37" t="s">
        <v>588</v>
      </c>
      <c r="C837" s="37">
        <v>2400</v>
      </c>
      <c r="D837" s="37">
        <v>16.3</v>
      </c>
      <c r="E837" s="37" t="s">
        <v>771</v>
      </c>
      <c r="F837" s="37">
        <v>20</v>
      </c>
      <c r="G837" s="37" t="s">
        <v>593</v>
      </c>
      <c r="H837" s="37" t="s">
        <v>867</v>
      </c>
      <c r="I837" s="38">
        <f t="shared" si="104"/>
        <v>16.3</v>
      </c>
      <c r="J837" s="38">
        <f t="shared" si="105"/>
        <v>7.7832240163360371</v>
      </c>
      <c r="K837" s="38">
        <f t="shared" si="106"/>
        <v>2.7911651078127169</v>
      </c>
      <c r="L837" s="39">
        <f t="shared" si="107"/>
        <v>6.1349693251533742E-2</v>
      </c>
      <c r="M837" s="39">
        <f t="shared" si="108"/>
        <v>3.0055088868505253</v>
      </c>
      <c r="N837" s="39">
        <f t="shared" si="109"/>
        <v>147.23926380368098</v>
      </c>
      <c r="O837" s="40">
        <f>1</f>
        <v>1</v>
      </c>
      <c r="P837" s="38">
        <f>INDEX(Cables!$AS:$AS,MATCH(B837,Cables!$A:$A,0))+INDEX(Cables!$AT:$AT,MATCH(B837,Cables!$A:$A,0))*SQRT(C837)+INDEX(Cables!$AU:$AU,MATCH(B837,Cables!$A:$A,0))*C837</f>
        <v>16.34136024559507</v>
      </c>
      <c r="Q837" s="41">
        <f t="shared" si="110"/>
        <v>2.5374383800655931E-3</v>
      </c>
      <c r="R837" s="39">
        <f t="shared" si="111"/>
        <v>6.4385935326299015E-6</v>
      </c>
      <c r="S837" s="40" t="b">
        <f>IF(B837=B836,C837&gt;C836,COUNTIF(B$1:B836,B837)=0)</f>
        <v>1</v>
      </c>
      <c r="T837" s="37"/>
    </row>
    <row r="838" spans="1:20" x14ac:dyDescent="0.25">
      <c r="A838" s="37" t="s">
        <v>1577</v>
      </c>
      <c r="B838" s="37" t="s">
        <v>588</v>
      </c>
      <c r="C838" s="37">
        <v>3000</v>
      </c>
      <c r="D838" s="37">
        <v>18.7</v>
      </c>
      <c r="E838" s="37" t="s">
        <v>771</v>
      </c>
      <c r="F838" s="37">
        <v>20</v>
      </c>
      <c r="G838" s="37" t="s">
        <v>593</v>
      </c>
      <c r="H838" s="37" t="s">
        <v>867</v>
      </c>
      <c r="I838" s="38">
        <f t="shared" si="104"/>
        <v>18.7</v>
      </c>
      <c r="J838" s="38">
        <f t="shared" si="105"/>
        <v>8.0063675676502459</v>
      </c>
      <c r="K838" s="38">
        <f t="shared" si="106"/>
        <v>2.9285235238605409</v>
      </c>
      <c r="L838" s="39">
        <f t="shared" si="107"/>
        <v>5.3475935828877004E-2</v>
      </c>
      <c r="M838" s="39">
        <f t="shared" si="108"/>
        <v>2.9289976337174659</v>
      </c>
      <c r="N838" s="39">
        <f t="shared" si="109"/>
        <v>160.42780748663102</v>
      </c>
      <c r="O838" s="40">
        <f>1</f>
        <v>1</v>
      </c>
      <c r="P838" s="38">
        <f>INDEX(Cables!$AS:$AS,MATCH(B838,Cables!$A:$A,0))+INDEX(Cables!$AT:$AT,MATCH(B838,Cables!$A:$A,0))*SQRT(C838)+INDEX(Cables!$AU:$AU,MATCH(B838,Cables!$A:$A,0))*C838</f>
        <v>18.699348894820996</v>
      </c>
      <c r="Q838" s="41">
        <f t="shared" si="110"/>
        <v>-3.4818458770180527E-5</v>
      </c>
      <c r="R838" s="39">
        <f t="shared" si="111"/>
        <v>1.2123250711307613E-9</v>
      </c>
      <c r="S838" s="40" t="b">
        <f>IF(B838=B837,C838&gt;C837,COUNTIF(B$1:B837,B838)=0)</f>
        <v>1</v>
      </c>
      <c r="T838" s="37"/>
    </row>
    <row r="839" spans="1:20" x14ac:dyDescent="0.25">
      <c r="A839" s="37" t="s">
        <v>1578</v>
      </c>
      <c r="B839" s="37" t="s">
        <v>588</v>
      </c>
      <c r="C839" s="37">
        <v>4000</v>
      </c>
      <c r="D839" s="37">
        <v>22.3</v>
      </c>
      <c r="E839" s="37" t="s">
        <v>771</v>
      </c>
      <c r="F839" s="37">
        <v>20</v>
      </c>
      <c r="G839" s="37" t="s">
        <v>593</v>
      </c>
      <c r="H839" s="37" t="s">
        <v>867</v>
      </c>
      <c r="I839" s="38">
        <f t="shared" si="104"/>
        <v>22.3</v>
      </c>
      <c r="J839" s="38">
        <f t="shared" si="105"/>
        <v>8.2940496401020276</v>
      </c>
      <c r="K839" s="38">
        <f t="shared" si="106"/>
        <v>3.1045866784660729</v>
      </c>
      <c r="L839" s="39">
        <f t="shared" si="107"/>
        <v>4.4843049327354258E-2</v>
      </c>
      <c r="M839" s="39">
        <f t="shared" si="108"/>
        <v>2.8361234620344207</v>
      </c>
      <c r="N839" s="39">
        <f t="shared" si="109"/>
        <v>179.37219730941703</v>
      </c>
      <c r="O839" s="40">
        <f>1</f>
        <v>1</v>
      </c>
      <c r="P839" s="38">
        <f>INDEX(Cables!$AS:$AS,MATCH(B839,Cables!$A:$A,0))+INDEX(Cables!$AT:$AT,MATCH(B839,Cables!$A:$A,0))*SQRT(C839)+INDEX(Cables!$AU:$AU,MATCH(B839,Cables!$A:$A,0))*C839</f>
        <v>22.31817929539131</v>
      </c>
      <c r="Q839" s="41">
        <f t="shared" si="110"/>
        <v>8.1521503996895284E-4</v>
      </c>
      <c r="R839" s="39">
        <f t="shared" si="111"/>
        <v>6.6457556139158135E-7</v>
      </c>
      <c r="S839" s="40" t="b">
        <f>IF(B839=B838,C839&gt;C838,COUNTIF(B$1:B838,B839)=0)</f>
        <v>1</v>
      </c>
      <c r="T839" s="37"/>
    </row>
    <row r="840" spans="1:20" x14ac:dyDescent="0.25">
      <c r="A840" s="37" t="s">
        <v>1579</v>
      </c>
      <c r="B840" s="37" t="s">
        <v>588</v>
      </c>
      <c r="C840" s="37">
        <v>5000</v>
      </c>
      <c r="D840" s="37">
        <v>25.7</v>
      </c>
      <c r="E840" s="37" t="s">
        <v>771</v>
      </c>
      <c r="F840" s="37">
        <v>20</v>
      </c>
      <c r="G840" s="37" t="s">
        <v>593</v>
      </c>
      <c r="H840" s="37" t="s">
        <v>867</v>
      </c>
      <c r="I840" s="38">
        <f t="shared" si="104"/>
        <v>25.7</v>
      </c>
      <c r="J840" s="38">
        <f t="shared" si="105"/>
        <v>8.5171931914162382</v>
      </c>
      <c r="K840" s="38">
        <f t="shared" si="106"/>
        <v>3.2464909919011742</v>
      </c>
      <c r="L840" s="39">
        <f t="shared" si="107"/>
        <v>3.8910505836575876E-2</v>
      </c>
      <c r="M840" s="39">
        <f t="shared" si="108"/>
        <v>2.7513882536441541</v>
      </c>
      <c r="N840" s="39">
        <f t="shared" si="109"/>
        <v>194.5525291828794</v>
      </c>
      <c r="O840" s="40">
        <f>1</f>
        <v>1</v>
      </c>
      <c r="P840" s="38">
        <f>INDEX(Cables!$AS:$AS,MATCH(B840,Cables!$A:$A,0))+INDEX(Cables!$AT:$AT,MATCH(B840,Cables!$A:$A,0))*SQRT(C840)+INDEX(Cables!$AU:$AU,MATCH(B840,Cables!$A:$A,0))*C840</f>
        <v>25.667545301401262</v>
      </c>
      <c r="Q840" s="41">
        <f t="shared" si="110"/>
        <v>-1.2628287392504323E-3</v>
      </c>
      <c r="R840" s="39">
        <f t="shared" si="111"/>
        <v>1.5947364246768362E-6</v>
      </c>
      <c r="S840" s="40" t="b">
        <f>IF(B840=B839,C840&gt;C839,COUNTIF(B$1:B839,B840)=0)</f>
        <v>1</v>
      </c>
      <c r="T840" s="37"/>
    </row>
    <row r="841" spans="1:20" x14ac:dyDescent="0.25">
      <c r="A841" s="37" t="s">
        <v>1580</v>
      </c>
      <c r="B841" s="37" t="s">
        <v>588</v>
      </c>
      <c r="C841" s="37">
        <v>6000</v>
      </c>
      <c r="D841" s="37">
        <v>28.8</v>
      </c>
      <c r="E841" s="37" t="s">
        <v>771</v>
      </c>
      <c r="F841" s="37">
        <v>20</v>
      </c>
      <c r="G841" s="37" t="s">
        <v>593</v>
      </c>
      <c r="H841" s="37" t="s">
        <v>867</v>
      </c>
      <c r="I841" s="38">
        <f t="shared" si="104"/>
        <v>28.8</v>
      </c>
      <c r="J841" s="38">
        <f t="shared" si="105"/>
        <v>8.6995147482101913</v>
      </c>
      <c r="K841" s="38">
        <f t="shared" si="106"/>
        <v>3.3603753871419002</v>
      </c>
      <c r="L841" s="39">
        <f t="shared" si="107"/>
        <v>3.4722222222222224E-2</v>
      </c>
      <c r="M841" s="39">
        <f t="shared" si="108"/>
        <v>2.689571768199595</v>
      </c>
      <c r="N841" s="39">
        <f t="shared" si="109"/>
        <v>208.33333333333331</v>
      </c>
      <c r="O841" s="40">
        <f>1</f>
        <v>1</v>
      </c>
      <c r="P841" s="38">
        <f>INDEX(Cables!$AS:$AS,MATCH(B841,Cables!$A:$A,0))+INDEX(Cables!$AT:$AT,MATCH(B841,Cables!$A:$A,0))*SQRT(C841)+INDEX(Cables!$AU:$AU,MATCH(B841,Cables!$A:$A,0))*C841</f>
        <v>28.825502420481349</v>
      </c>
      <c r="Q841" s="41">
        <f t="shared" si="110"/>
        <v>8.8550071115789386E-4</v>
      </c>
      <c r="R841" s="39">
        <f t="shared" si="111"/>
        <v>7.8411150946113582E-7</v>
      </c>
      <c r="S841" s="40" t="b">
        <f>IF(B841=B840,C841&gt;C840,COUNTIF(B$1:B840,B841)=0)</f>
        <v>1</v>
      </c>
      <c r="T841" s="37"/>
    </row>
    <row r="842" spans="1:20" x14ac:dyDescent="0.25">
      <c r="A842" s="37" t="s">
        <v>1581</v>
      </c>
      <c r="B842" s="37" t="s">
        <v>595</v>
      </c>
      <c r="C842" s="37">
        <v>30</v>
      </c>
      <c r="D842" s="37">
        <v>0.42099999999999999</v>
      </c>
      <c r="E842" s="37" t="s">
        <v>707</v>
      </c>
      <c r="F842" s="37">
        <v>25</v>
      </c>
      <c r="G842" s="37" t="s">
        <v>207</v>
      </c>
      <c r="H842" s="37" t="s">
        <v>1582</v>
      </c>
      <c r="I842" s="38">
        <f t="shared" si="104"/>
        <v>1.3812335958005251</v>
      </c>
      <c r="J842" s="38">
        <f t="shared" si="105"/>
        <v>3.4011973816621555</v>
      </c>
      <c r="K842" s="38">
        <f t="shared" si="106"/>
        <v>0.32297700986989031</v>
      </c>
      <c r="L842" s="39">
        <f t="shared" si="107"/>
        <v>0.72399049881235145</v>
      </c>
      <c r="M842" s="39">
        <f t="shared" si="108"/>
        <v>3.9654592761894207</v>
      </c>
      <c r="N842" s="39">
        <f t="shared" si="109"/>
        <v>21.719714964370546</v>
      </c>
      <c r="O842" s="40">
        <f>1</f>
        <v>1</v>
      </c>
      <c r="P842" s="38">
        <f>INDEX(Cables!$AS:$AS,MATCH(B842,Cables!$A:$A,0))+INDEX(Cables!$AT:$AT,MATCH(B842,Cables!$A:$A,0))*SQRT(C842)+INDEX(Cables!$AU:$AU,MATCH(B842,Cables!$A:$A,0))*C842</f>
        <v>1.3813974654857175</v>
      </c>
      <c r="Q842" s="41">
        <f t="shared" si="110"/>
        <v>1.186400951227462E-4</v>
      </c>
      <c r="R842" s="39">
        <f t="shared" si="111"/>
        <v>1.4075472170734267E-8</v>
      </c>
      <c r="S842" s="40" t="b">
        <f>IF(B842=B841,C842&gt;C841,COUNTIF(B$1:B841,B842)=0)</f>
        <v>1</v>
      </c>
      <c r="T842" s="37"/>
    </row>
    <row r="843" spans="1:20" x14ac:dyDescent="0.25">
      <c r="A843" s="37" t="s">
        <v>1583</v>
      </c>
      <c r="B843" s="37" t="s">
        <v>595</v>
      </c>
      <c r="C843" s="37">
        <v>50</v>
      </c>
      <c r="D843" s="37">
        <v>0.54700000000000004</v>
      </c>
      <c r="E843" s="37" t="s">
        <v>707</v>
      </c>
      <c r="F843" s="37">
        <v>25</v>
      </c>
      <c r="G843" s="37" t="s">
        <v>207</v>
      </c>
      <c r="H843" s="37" t="s">
        <v>1582</v>
      </c>
      <c r="I843" s="38">
        <f t="shared" si="104"/>
        <v>1.7946194225721785</v>
      </c>
      <c r="J843" s="38">
        <f t="shared" si="105"/>
        <v>3.912023005428146</v>
      </c>
      <c r="K843" s="38">
        <f t="shared" si="106"/>
        <v>0.58479297860949009</v>
      </c>
      <c r="L843" s="39">
        <f t="shared" si="107"/>
        <v>0.55722120658135277</v>
      </c>
      <c r="M843" s="39">
        <f t="shared" si="108"/>
        <v>3.9401489379462467</v>
      </c>
      <c r="N843" s="39">
        <f t="shared" si="109"/>
        <v>27.861060329067641</v>
      </c>
      <c r="O843" s="40">
        <f>1</f>
        <v>1</v>
      </c>
      <c r="P843" s="38">
        <f>INDEX(Cables!$AS:$AS,MATCH(B843,Cables!$A:$A,0))+INDEX(Cables!$AT:$AT,MATCH(B843,Cables!$A:$A,0))*SQRT(C843)+INDEX(Cables!$AU:$AU,MATCH(B843,Cables!$A:$A,0))*C843</f>
        <v>1.7944291949633153</v>
      </c>
      <c r="Q843" s="41">
        <f t="shared" si="110"/>
        <v>-1.0599885773587836E-4</v>
      </c>
      <c r="R843" s="39">
        <f t="shared" si="111"/>
        <v>1.1235757841310979E-8</v>
      </c>
      <c r="S843" s="40" t="b">
        <f>IF(B843=B842,C843&gt;C842,COUNTIF(B$1:B842,B843)=0)</f>
        <v>1</v>
      </c>
      <c r="T843" s="37"/>
    </row>
    <row r="844" spans="1:20" x14ac:dyDescent="0.25">
      <c r="A844" s="37" t="s">
        <v>1584</v>
      </c>
      <c r="B844" s="37" t="s">
        <v>595</v>
      </c>
      <c r="C844" s="37">
        <v>150</v>
      </c>
      <c r="D844" s="37">
        <v>0.96399999999999997</v>
      </c>
      <c r="E844" s="37" t="s">
        <v>707</v>
      </c>
      <c r="F844" s="37">
        <v>25</v>
      </c>
      <c r="G844" s="37" t="s">
        <v>207</v>
      </c>
      <c r="H844" s="37" t="s">
        <v>1582</v>
      </c>
      <c r="I844" s="38">
        <f t="shared" si="104"/>
        <v>3.1627296587926508</v>
      </c>
      <c r="J844" s="38">
        <f t="shared" si="105"/>
        <v>5.0106352940962555</v>
      </c>
      <c r="K844" s="38">
        <f t="shared" si="106"/>
        <v>1.1514354707980543</v>
      </c>
      <c r="L844" s="39">
        <f t="shared" si="107"/>
        <v>0.31618257261410787</v>
      </c>
      <c r="M844" s="39">
        <f t="shared" si="108"/>
        <v>3.8724298423252734</v>
      </c>
      <c r="N844" s="39">
        <f t="shared" si="109"/>
        <v>47.427385892116185</v>
      </c>
      <c r="O844" s="40">
        <f>1</f>
        <v>1</v>
      </c>
      <c r="P844" s="38">
        <f>INDEX(Cables!$AS:$AS,MATCH(B844,Cables!$A:$A,0))+INDEX(Cables!$AT:$AT,MATCH(B844,Cables!$A:$A,0))*SQRT(C844)+INDEX(Cables!$AU:$AU,MATCH(B844,Cables!$A:$A,0))*C844</f>
        <v>3.164923866527185</v>
      </c>
      <c r="Q844" s="41">
        <f t="shared" si="110"/>
        <v>6.9377024635475237E-4</v>
      </c>
      <c r="R844" s="39">
        <f t="shared" si="111"/>
        <v>4.8131715472713376E-7</v>
      </c>
      <c r="S844" s="40" t="b">
        <f>IF(B844=B843,C844&gt;C843,COUNTIF(B$1:B843,B844)=0)</f>
        <v>1</v>
      </c>
      <c r="T844" s="37"/>
    </row>
    <row r="845" spans="1:20" x14ac:dyDescent="0.25">
      <c r="A845" s="37" t="s">
        <v>1585</v>
      </c>
      <c r="B845" s="37" t="s">
        <v>595</v>
      </c>
      <c r="C845" s="37">
        <v>220</v>
      </c>
      <c r="D845" s="37">
        <v>1.18</v>
      </c>
      <c r="E845" s="37" t="s">
        <v>707</v>
      </c>
      <c r="F845" s="37">
        <v>25</v>
      </c>
      <c r="G845" s="37" t="s">
        <v>207</v>
      </c>
      <c r="H845" s="37" t="s">
        <v>1582</v>
      </c>
      <c r="I845" s="38">
        <f t="shared" si="104"/>
        <v>3.8713910761154855</v>
      </c>
      <c r="J845" s="38">
        <f t="shared" si="105"/>
        <v>5.393627546352362</v>
      </c>
      <c r="K845" s="38">
        <f t="shared" si="106"/>
        <v>1.3536138936472193</v>
      </c>
      <c r="L845" s="39">
        <f t="shared" si="107"/>
        <v>0.25830508474576269</v>
      </c>
      <c r="M845" s="39">
        <f t="shared" si="108"/>
        <v>3.8312835574012851</v>
      </c>
      <c r="N845" s="39">
        <f t="shared" si="109"/>
        <v>56.827118644067795</v>
      </c>
      <c r="O845" s="40">
        <f>1</f>
        <v>1</v>
      </c>
      <c r="P845" s="38">
        <f>INDEX(Cables!$AS:$AS,MATCH(B845,Cables!$A:$A,0))+INDEX(Cables!$AT:$AT,MATCH(B845,Cables!$A:$A,0))*SQRT(C845)+INDEX(Cables!$AU:$AU,MATCH(B845,Cables!$A:$A,0))*C845</f>
        <v>3.8659582351357606</v>
      </c>
      <c r="Q845" s="41">
        <f t="shared" si="110"/>
        <v>-1.4033304496781085E-3</v>
      </c>
      <c r="R845" s="39">
        <f t="shared" si="111"/>
        <v>1.9693363509937622E-6</v>
      </c>
      <c r="S845" s="40" t="b">
        <f>IF(B845=B844,C845&gt;C844,COUNTIF(B$1:B844,B845)=0)</f>
        <v>1</v>
      </c>
      <c r="T845" s="37"/>
    </row>
    <row r="846" spans="1:20" x14ac:dyDescent="0.25">
      <c r="A846" s="37" t="s">
        <v>1586</v>
      </c>
      <c r="B846" s="37" t="s">
        <v>595</v>
      </c>
      <c r="C846" s="37">
        <v>450</v>
      </c>
      <c r="D846" s="37">
        <v>1.72</v>
      </c>
      <c r="E846" s="37" t="s">
        <v>707</v>
      </c>
      <c r="F846" s="37">
        <v>25</v>
      </c>
      <c r="G846" s="37" t="s">
        <v>207</v>
      </c>
      <c r="H846" s="37" t="s">
        <v>1582</v>
      </c>
      <c r="I846" s="38">
        <f t="shared" si="104"/>
        <v>5.6430446194225725</v>
      </c>
      <c r="J846" s="38">
        <f t="shared" si="105"/>
        <v>6.1092475827643655</v>
      </c>
      <c r="K846" s="38">
        <f t="shared" si="106"/>
        <v>1.7304237459950076</v>
      </c>
      <c r="L846" s="39">
        <f t="shared" si="107"/>
        <v>0.17720930232558138</v>
      </c>
      <c r="M846" s="39">
        <f t="shared" si="108"/>
        <v>3.7591769809126689</v>
      </c>
      <c r="N846" s="39">
        <f t="shared" si="109"/>
        <v>79.744186046511629</v>
      </c>
      <c r="O846" s="40">
        <f>1</f>
        <v>1</v>
      </c>
      <c r="P846" s="38">
        <f>INDEX(Cables!$AS:$AS,MATCH(B846,Cables!$A:$A,0))+INDEX(Cables!$AT:$AT,MATCH(B846,Cables!$A:$A,0))*SQRT(C846)+INDEX(Cables!$AU:$AU,MATCH(B846,Cables!$A:$A,0))*C846</f>
        <v>5.6438886330841802</v>
      </c>
      <c r="Q846" s="41">
        <f t="shared" si="110"/>
        <v>1.4956707212676612E-4</v>
      </c>
      <c r="R846" s="39">
        <f t="shared" si="111"/>
        <v>2.2370309064573259E-8</v>
      </c>
      <c r="S846" s="40" t="b">
        <f>IF(B846=B845,C846&gt;C845,COUNTIF(B$1:B845,B846)=0)</f>
        <v>1</v>
      </c>
      <c r="T846" s="37"/>
    </row>
    <row r="847" spans="1:20" x14ac:dyDescent="0.25">
      <c r="A847" s="37" t="s">
        <v>1587</v>
      </c>
      <c r="B847" s="37" t="s">
        <v>595</v>
      </c>
      <c r="C847" s="37">
        <v>700</v>
      </c>
      <c r="D847" s="37">
        <v>2.1800000000000002</v>
      </c>
      <c r="E847" s="37" t="s">
        <v>707</v>
      </c>
      <c r="F847" s="37">
        <v>25</v>
      </c>
      <c r="G847" s="37" t="s">
        <v>207</v>
      </c>
      <c r="H847" s="37" t="s">
        <v>1582</v>
      </c>
      <c r="I847" s="38">
        <f t="shared" si="104"/>
        <v>7.1522309711286098</v>
      </c>
      <c r="J847" s="38">
        <f t="shared" si="105"/>
        <v>6.5510803350434044</v>
      </c>
      <c r="K847" s="38">
        <f t="shared" si="106"/>
        <v>1.9674243319706437</v>
      </c>
      <c r="L847" s="39">
        <f t="shared" si="107"/>
        <v>0.13981651376146786</v>
      </c>
      <c r="M847" s="39">
        <f t="shared" si="108"/>
        <v>3.6991972459288398</v>
      </c>
      <c r="N847" s="39">
        <f t="shared" si="109"/>
        <v>97.871559633027516</v>
      </c>
      <c r="O847" s="40">
        <f>1</f>
        <v>1</v>
      </c>
      <c r="P847" s="38">
        <f>INDEX(Cables!$AS:$AS,MATCH(B847,Cables!$A:$A,0))+INDEX(Cables!$AT:$AT,MATCH(B847,Cables!$A:$A,0))*SQRT(C847)+INDEX(Cables!$AU:$AU,MATCH(B847,Cables!$A:$A,0))*C847</f>
        <v>7.1557303093341558</v>
      </c>
      <c r="Q847" s="41">
        <f t="shared" si="110"/>
        <v>4.8926526837167472E-4</v>
      </c>
      <c r="R847" s="39">
        <f t="shared" si="111"/>
        <v>2.3938050283480691E-7</v>
      </c>
      <c r="S847" s="40" t="b">
        <f>IF(B847=B846,C847&gt;C846,COUNTIF(B$1:B846,B847)=0)</f>
        <v>1</v>
      </c>
      <c r="T847" s="37"/>
    </row>
    <row r="848" spans="1:20" x14ac:dyDescent="0.25">
      <c r="A848" s="37" t="s">
        <v>1588</v>
      </c>
      <c r="B848" s="37" t="s">
        <v>595</v>
      </c>
      <c r="C848" s="37">
        <v>900</v>
      </c>
      <c r="D848" s="37">
        <v>2.5</v>
      </c>
      <c r="E848" s="37" t="s">
        <v>707</v>
      </c>
      <c r="F848" s="37">
        <v>25</v>
      </c>
      <c r="G848" s="37" t="s">
        <v>207</v>
      </c>
      <c r="H848" s="37" t="s">
        <v>1582</v>
      </c>
      <c r="I848" s="38">
        <f t="shared" si="104"/>
        <v>8.2020997375328086</v>
      </c>
      <c r="J848" s="38">
        <f t="shared" si="105"/>
        <v>6.8023947633243109</v>
      </c>
      <c r="K848" s="38">
        <f t="shared" si="106"/>
        <v>2.1043901870438009</v>
      </c>
      <c r="L848" s="39">
        <f t="shared" si="107"/>
        <v>0.12192</v>
      </c>
      <c r="M848" s="39">
        <f t="shared" si="108"/>
        <v>3.6576</v>
      </c>
      <c r="N848" s="39">
        <f t="shared" si="109"/>
        <v>109.72799999999999</v>
      </c>
      <c r="O848" s="40">
        <f>1</f>
        <v>1</v>
      </c>
      <c r="P848" s="38">
        <f>INDEX(Cables!$AS:$AS,MATCH(B848,Cables!$A:$A,0))+INDEX(Cables!$AT:$AT,MATCH(B848,Cables!$A:$A,0))*SQRT(C848)+INDEX(Cables!$AU:$AU,MATCH(B848,Cables!$A:$A,0))*C848</f>
        <v>8.2027919264585165</v>
      </c>
      <c r="Q848" s="41">
        <f t="shared" si="110"/>
        <v>8.4391673822237223E-5</v>
      </c>
      <c r="R848" s="39">
        <f t="shared" si="111"/>
        <v>7.1219546105188791E-9</v>
      </c>
      <c r="S848" s="40" t="b">
        <f>IF(B848=B847,C848&gt;C847,COUNTIF(B$1:B847,B848)=0)</f>
        <v>1</v>
      </c>
      <c r="T848" s="37"/>
    </row>
    <row r="849" spans="1:20" x14ac:dyDescent="0.25">
      <c r="A849" s="37" t="s">
        <v>1589</v>
      </c>
      <c r="B849" s="37" t="s">
        <v>595</v>
      </c>
      <c r="C849" s="37">
        <v>1500</v>
      </c>
      <c r="D849" s="37">
        <v>3.31</v>
      </c>
      <c r="E849" s="37" t="s">
        <v>707</v>
      </c>
      <c r="F849" s="37">
        <v>25</v>
      </c>
      <c r="G849" s="37" t="s">
        <v>207</v>
      </c>
      <c r="H849" s="37" t="s">
        <v>1582</v>
      </c>
      <c r="I849" s="38">
        <f t="shared" si="104"/>
        <v>10.859580052493438</v>
      </c>
      <c r="J849" s="38">
        <f t="shared" si="105"/>
        <v>7.3132203870903014</v>
      </c>
      <c r="K849" s="38">
        <f t="shared" si="106"/>
        <v>2.3850476445586173</v>
      </c>
      <c r="L849" s="39">
        <f t="shared" si="107"/>
        <v>9.2084592145015104E-2</v>
      </c>
      <c r="M849" s="39">
        <f t="shared" si="108"/>
        <v>3.5664209181994582</v>
      </c>
      <c r="N849" s="39">
        <f t="shared" si="109"/>
        <v>138.12688821752266</v>
      </c>
      <c r="O849" s="40">
        <f>1</f>
        <v>1</v>
      </c>
      <c r="P849" s="38">
        <f>INDEX(Cables!$AS:$AS,MATCH(B849,Cables!$A:$A,0))+INDEX(Cables!$AT:$AT,MATCH(B849,Cables!$A:$A,0))*SQRT(C849)+INDEX(Cables!$AU:$AU,MATCH(B849,Cables!$A:$A,0))*C849</f>
        <v>10.871977720806582</v>
      </c>
      <c r="Q849" s="41">
        <f t="shared" si="110"/>
        <v>1.1416342301648896E-3</v>
      </c>
      <c r="R849" s="39">
        <f t="shared" si="111"/>
        <v>1.3033287154841803E-6</v>
      </c>
      <c r="S849" s="40" t="b">
        <f>IF(B849=B848,C849&gt;C848,COUNTIF(B$1:B848,B849)=0)</f>
        <v>1</v>
      </c>
      <c r="T849" s="37"/>
    </row>
    <row r="850" spans="1:20" x14ac:dyDescent="0.25">
      <c r="A850" s="37" t="s">
        <v>1590</v>
      </c>
      <c r="B850" s="37" t="s">
        <v>595</v>
      </c>
      <c r="C850" s="37">
        <v>2000</v>
      </c>
      <c r="D850" s="37">
        <v>3.9</v>
      </c>
      <c r="E850" s="37" t="s">
        <v>707</v>
      </c>
      <c r="F850" s="37">
        <v>25</v>
      </c>
      <c r="G850" s="37" t="s">
        <v>207</v>
      </c>
      <c r="H850" s="37" t="s">
        <v>1582</v>
      </c>
      <c r="I850" s="38">
        <f t="shared" si="104"/>
        <v>12.795275590551181</v>
      </c>
      <c r="J850" s="38">
        <f t="shared" si="105"/>
        <v>7.6009024595420822</v>
      </c>
      <c r="K850" s="38">
        <f t="shared" si="106"/>
        <v>2.5490760083052466</v>
      </c>
      <c r="L850" s="39">
        <f t="shared" si="107"/>
        <v>7.8153846153846157E-2</v>
      </c>
      <c r="M850" s="39">
        <f t="shared" si="108"/>
        <v>3.4951462540612099</v>
      </c>
      <c r="N850" s="39">
        <f t="shared" si="109"/>
        <v>156.30769230769229</v>
      </c>
      <c r="O850" s="40">
        <f>1</f>
        <v>1</v>
      </c>
      <c r="P850" s="38">
        <f>INDEX(Cables!$AS:$AS,MATCH(B850,Cables!$A:$A,0))+INDEX(Cables!$AT:$AT,MATCH(B850,Cables!$A:$A,0))*SQRT(C850)+INDEX(Cables!$AU:$AU,MATCH(B850,Cables!$A:$A,0))*C850</f>
        <v>12.777093752811153</v>
      </c>
      <c r="Q850" s="41">
        <f t="shared" si="110"/>
        <v>-1.4209805495284389E-3</v>
      </c>
      <c r="R850" s="39">
        <f t="shared" si="111"/>
        <v>2.019185722138144E-6</v>
      </c>
      <c r="S850" s="40" t="b">
        <f>IF(B850=B849,C850&gt;C849,COUNTIF(B$1:B849,B850)=0)</f>
        <v>1</v>
      </c>
      <c r="T850" s="37"/>
    </row>
    <row r="851" spans="1:20" x14ac:dyDescent="0.25">
      <c r="A851" s="37" t="s">
        <v>1591</v>
      </c>
      <c r="B851" s="37" t="s">
        <v>595</v>
      </c>
      <c r="C851" s="37">
        <v>2500</v>
      </c>
      <c r="D851" s="37">
        <v>4.42</v>
      </c>
      <c r="E851" s="37" t="s">
        <v>707</v>
      </c>
      <c r="F851" s="37">
        <v>25</v>
      </c>
      <c r="G851" s="37" t="s">
        <v>207</v>
      </c>
      <c r="H851" s="37" t="s">
        <v>1582</v>
      </c>
      <c r="I851" s="38">
        <f t="shared" si="104"/>
        <v>14.501312335958005</v>
      </c>
      <c r="J851" s="38">
        <f t="shared" si="105"/>
        <v>7.8240460108562919</v>
      </c>
      <c r="K851" s="38">
        <f t="shared" si="106"/>
        <v>2.6742391512592527</v>
      </c>
      <c r="L851" s="39">
        <f t="shared" si="107"/>
        <v>6.895927601809955E-2</v>
      </c>
      <c r="M851" s="39">
        <f t="shared" si="108"/>
        <v>3.4479638009049776</v>
      </c>
      <c r="N851" s="39">
        <f t="shared" si="109"/>
        <v>172.39819004524887</v>
      </c>
      <c r="O851" s="40">
        <f>1</f>
        <v>1</v>
      </c>
      <c r="P851" s="38">
        <f>INDEX(Cables!$AS:$AS,MATCH(B851,Cables!$A:$A,0))+INDEX(Cables!$AT:$AT,MATCH(B851,Cables!$A:$A,0))*SQRT(C851)+INDEX(Cables!$AU:$AU,MATCH(B851,Cables!$A:$A,0))*C851</f>
        <v>14.504892897809725</v>
      </c>
      <c r="Q851" s="41">
        <f t="shared" si="110"/>
        <v>2.4691295303269634E-4</v>
      </c>
      <c r="R851" s="39">
        <f t="shared" si="111"/>
        <v>6.0966006375326506E-8</v>
      </c>
      <c r="S851" s="40" t="b">
        <f>IF(B851=B850,C851&gt;C850,COUNTIF(B$1:B850,B851)=0)</f>
        <v>1</v>
      </c>
      <c r="T851" s="37"/>
    </row>
    <row r="852" spans="1:20" x14ac:dyDescent="0.25">
      <c r="A852" s="37" t="s">
        <v>1592</v>
      </c>
      <c r="B852" s="37" t="s">
        <v>598</v>
      </c>
      <c r="C852" s="37">
        <v>1</v>
      </c>
      <c r="D852" s="37">
        <v>0.21099999999999999</v>
      </c>
      <c r="E852" s="37" t="s">
        <v>771</v>
      </c>
      <c r="F852" s="37">
        <v>20</v>
      </c>
      <c r="G852" s="37" t="s">
        <v>605</v>
      </c>
      <c r="H852" s="37" t="s">
        <v>728</v>
      </c>
      <c r="I852" s="38">
        <f t="shared" si="104"/>
        <v>0.21099999999999999</v>
      </c>
      <c r="J852" s="38">
        <f t="shared" si="105"/>
        <v>0</v>
      </c>
      <c r="K852" s="38">
        <f t="shared" si="106"/>
        <v>-1.5558971455060706</v>
      </c>
      <c r="L852" s="39">
        <f t="shared" si="107"/>
        <v>4.7393364928909953</v>
      </c>
      <c r="M852" s="39">
        <f t="shared" si="108"/>
        <v>4.7393364928909953</v>
      </c>
      <c r="N852" s="39">
        <f t="shared" si="109"/>
        <v>4.7393364928909953</v>
      </c>
      <c r="O852" s="40">
        <f>1</f>
        <v>1</v>
      </c>
      <c r="P852" s="38">
        <f>INDEX(Cables!$AS:$AS,MATCH(B852,Cables!$A:$A,0))+INDEX(Cables!$AT:$AT,MATCH(B852,Cables!$A:$A,0))*SQRT(C852)+INDEX(Cables!$AU:$AU,MATCH(B852,Cables!$A:$A,0))*C852</f>
        <v>0.21112593246398687</v>
      </c>
      <c r="Q852" s="41">
        <f t="shared" si="110"/>
        <v>5.9683632221263494E-4</v>
      </c>
      <c r="R852" s="39">
        <f t="shared" si="111"/>
        <v>3.5621359551230422E-7</v>
      </c>
      <c r="S852" s="40" t="b">
        <f>IF(B852=B851,C852&gt;C851,COUNTIF(B$1:B851,B852)=0)</f>
        <v>1</v>
      </c>
      <c r="T852" s="37"/>
    </row>
    <row r="853" spans="1:20" x14ac:dyDescent="0.25">
      <c r="A853" s="37" t="s">
        <v>1593</v>
      </c>
      <c r="B853" s="37" t="s">
        <v>598</v>
      </c>
      <c r="C853" s="37">
        <v>1.5</v>
      </c>
      <c r="D853" s="37">
        <v>0.25900000000000001</v>
      </c>
      <c r="E853" s="37" t="s">
        <v>771</v>
      </c>
      <c r="F853" s="37">
        <v>20</v>
      </c>
      <c r="G853" s="37" t="s">
        <v>605</v>
      </c>
      <c r="H853" s="37" t="s">
        <v>728</v>
      </c>
      <c r="I853" s="38">
        <f t="shared" si="104"/>
        <v>0.25900000000000001</v>
      </c>
      <c r="J853" s="38">
        <f t="shared" si="105"/>
        <v>0.40546510810816438</v>
      </c>
      <c r="K853" s="38">
        <f t="shared" si="106"/>
        <v>-1.3509272172825992</v>
      </c>
      <c r="L853" s="39">
        <f t="shared" si="107"/>
        <v>3.8610038610038608</v>
      </c>
      <c r="M853" s="39">
        <f t="shared" si="108"/>
        <v>4.7287446771876018</v>
      </c>
      <c r="N853" s="39">
        <f t="shared" si="109"/>
        <v>5.7915057915057915</v>
      </c>
      <c r="O853" s="40">
        <f>1</f>
        <v>1</v>
      </c>
      <c r="P853" s="38">
        <f>INDEX(Cables!$AS:$AS,MATCH(B853,Cables!$A:$A,0))+INDEX(Cables!$AT:$AT,MATCH(B853,Cables!$A:$A,0))*SQRT(C853)+INDEX(Cables!$AU:$AU,MATCH(B853,Cables!$A:$A,0))*C853</f>
        <v>0.2587762144380808</v>
      </c>
      <c r="Q853" s="41">
        <f t="shared" si="110"/>
        <v>-8.6403691860703624E-4</v>
      </c>
      <c r="R853" s="39">
        <f t="shared" si="111"/>
        <v>7.4655979671594214E-7</v>
      </c>
      <c r="S853" s="40" t="b">
        <f>IF(B853=B852,C853&gt;C852,COUNTIF(B$1:B852,B853)=0)</f>
        <v>1</v>
      </c>
      <c r="T853" s="37"/>
    </row>
    <row r="854" spans="1:20" x14ac:dyDescent="0.25">
      <c r="A854" s="37" t="s">
        <v>1594</v>
      </c>
      <c r="B854" s="37" t="s">
        <v>598</v>
      </c>
      <c r="C854" s="37">
        <v>2</v>
      </c>
      <c r="D854" s="37">
        <v>0.29899999999999999</v>
      </c>
      <c r="E854" s="37" t="s">
        <v>771</v>
      </c>
      <c r="F854" s="37">
        <v>20</v>
      </c>
      <c r="G854" s="37" t="s">
        <v>605</v>
      </c>
      <c r="H854" s="37" t="s">
        <v>728</v>
      </c>
      <c r="I854" s="38">
        <f t="shared" si="104"/>
        <v>0.29899999999999999</v>
      </c>
      <c r="J854" s="38">
        <f t="shared" si="105"/>
        <v>0.69314718055994529</v>
      </c>
      <c r="K854" s="38">
        <f t="shared" si="106"/>
        <v>-1.2073117055914506</v>
      </c>
      <c r="L854" s="39">
        <f t="shared" si="107"/>
        <v>3.3444816053511706</v>
      </c>
      <c r="M854" s="39">
        <f t="shared" si="108"/>
        <v>4.7298112453949672</v>
      </c>
      <c r="N854" s="39">
        <f t="shared" si="109"/>
        <v>6.6889632107023411</v>
      </c>
      <c r="O854" s="40">
        <f>1</f>
        <v>1</v>
      </c>
      <c r="P854" s="38">
        <f>INDEX(Cables!$AS:$AS,MATCH(B854,Cables!$A:$A,0))+INDEX(Cables!$AT:$AT,MATCH(B854,Cables!$A:$A,0))*SQRT(C854)+INDEX(Cables!$AU:$AU,MATCH(B854,Cables!$A:$A,0))*C854</f>
        <v>0.29899617597370121</v>
      </c>
      <c r="Q854" s="41">
        <f t="shared" si="110"/>
        <v>-1.2789385614664361E-5</v>
      </c>
      <c r="R854" s="39">
        <f t="shared" si="111"/>
        <v>1.635683844005837E-10</v>
      </c>
      <c r="S854" s="40" t="b">
        <f>IF(B854=B853,C854&gt;C853,COUNTIF(B$1:B853,B854)=0)</f>
        <v>1</v>
      </c>
      <c r="T854" s="37"/>
    </row>
    <row r="855" spans="1:20" x14ac:dyDescent="0.25">
      <c r="A855" s="37" t="s">
        <v>1595</v>
      </c>
      <c r="B855" s="37" t="s">
        <v>598</v>
      </c>
      <c r="C855" s="37">
        <v>10</v>
      </c>
      <c r="D855" s="37">
        <v>0.67200000000000004</v>
      </c>
      <c r="E855" s="37" t="s">
        <v>771</v>
      </c>
      <c r="F855" s="37">
        <v>20</v>
      </c>
      <c r="G855" s="37" t="s">
        <v>605</v>
      </c>
      <c r="H855" s="37" t="s">
        <v>728</v>
      </c>
      <c r="I855" s="38">
        <f t="shared" si="104"/>
        <v>0.67200000000000004</v>
      </c>
      <c r="J855" s="38">
        <f t="shared" si="105"/>
        <v>2.3025850929940459</v>
      </c>
      <c r="K855" s="38">
        <f t="shared" si="106"/>
        <v>-0.39749693845898743</v>
      </c>
      <c r="L855" s="39">
        <f t="shared" si="107"/>
        <v>1.4880952380952379</v>
      </c>
      <c r="M855" s="39">
        <f t="shared" si="108"/>
        <v>4.7057703276315168</v>
      </c>
      <c r="N855" s="39">
        <f t="shared" si="109"/>
        <v>14.88095238095238</v>
      </c>
      <c r="O855" s="40">
        <f>1</f>
        <v>1</v>
      </c>
      <c r="P855" s="38">
        <f>INDEX(Cables!$AS:$AS,MATCH(B855,Cables!$A:$A,0))+INDEX(Cables!$AT:$AT,MATCH(B855,Cables!$A:$A,0))*SQRT(C855)+INDEX(Cables!$AU:$AU,MATCH(B855,Cables!$A:$A,0))*C855</f>
        <v>0.67218206954935933</v>
      </c>
      <c r="Q855" s="41">
        <f t="shared" si="110"/>
        <v>2.7093682940360075E-4</v>
      </c>
      <c r="R855" s="39">
        <f t="shared" si="111"/>
        <v>7.3406765527275864E-8</v>
      </c>
      <c r="S855" s="40" t="b">
        <f>IF(B855=B854,C855&gt;C854,COUNTIF(B$1:B854,B855)=0)</f>
        <v>1</v>
      </c>
      <c r="T855" s="37"/>
    </row>
    <row r="856" spans="1:20" x14ac:dyDescent="0.25">
      <c r="A856" s="37" t="s">
        <v>1596</v>
      </c>
      <c r="B856" s="37" t="s">
        <v>598</v>
      </c>
      <c r="C856" s="37">
        <v>20</v>
      </c>
      <c r="D856" s="37">
        <v>0.95399999999999996</v>
      </c>
      <c r="E856" s="37" t="s">
        <v>771</v>
      </c>
      <c r="F856" s="37">
        <v>20</v>
      </c>
      <c r="G856" s="37" t="s">
        <v>605</v>
      </c>
      <c r="H856" s="37" t="s">
        <v>728</v>
      </c>
      <c r="I856" s="38">
        <f t="shared" si="104"/>
        <v>0.95399999999999996</v>
      </c>
      <c r="J856" s="38">
        <f t="shared" si="105"/>
        <v>2.9957322735539909</v>
      </c>
      <c r="K856" s="38">
        <f t="shared" si="106"/>
        <v>-4.7091607533850569E-2</v>
      </c>
      <c r="L856" s="39">
        <f t="shared" si="107"/>
        <v>1.0482180293501049</v>
      </c>
      <c r="M856" s="39">
        <f t="shared" si="108"/>
        <v>4.6877735377354082</v>
      </c>
      <c r="N856" s="39">
        <f t="shared" si="109"/>
        <v>20.964360587002098</v>
      </c>
      <c r="O856" s="40">
        <f>1</f>
        <v>1</v>
      </c>
      <c r="P856" s="38">
        <f>INDEX(Cables!$AS:$AS,MATCH(B856,Cables!$A:$A,0))+INDEX(Cables!$AT:$AT,MATCH(B856,Cables!$A:$A,0))*SQRT(C856)+INDEX(Cables!$AU:$AU,MATCH(B856,Cables!$A:$A,0))*C856</f>
        <v>0.95431401771436342</v>
      </c>
      <c r="Q856" s="41">
        <f t="shared" si="110"/>
        <v>3.2915902973118527E-4</v>
      </c>
      <c r="R856" s="39">
        <f t="shared" si="111"/>
        <v>1.0834566685357531E-7</v>
      </c>
      <c r="S856" s="40" t="b">
        <f>IF(B856=B855,C856&gt;C855,COUNTIF(B$1:B855,B856)=0)</f>
        <v>1</v>
      </c>
      <c r="T856" s="37"/>
    </row>
    <row r="857" spans="1:20" x14ac:dyDescent="0.25">
      <c r="A857" s="37" t="s">
        <v>1597</v>
      </c>
      <c r="B857" s="37" t="s">
        <v>598</v>
      </c>
      <c r="C857" s="37">
        <v>30</v>
      </c>
      <c r="D857" s="37">
        <v>1.1719999999999999</v>
      </c>
      <c r="E857" s="37" t="s">
        <v>771</v>
      </c>
      <c r="F857" s="37">
        <v>20</v>
      </c>
      <c r="G857" s="37" t="s">
        <v>605</v>
      </c>
      <c r="H857" s="37" t="s">
        <v>728</v>
      </c>
      <c r="I857" s="38">
        <f t="shared" si="104"/>
        <v>1.1719999999999999</v>
      </c>
      <c r="J857" s="38">
        <f t="shared" si="105"/>
        <v>3.4011973816621555</v>
      </c>
      <c r="K857" s="38">
        <f t="shared" si="106"/>
        <v>0.15871169115482081</v>
      </c>
      <c r="L857" s="39">
        <f t="shared" si="107"/>
        <v>0.85324232081911267</v>
      </c>
      <c r="M857" s="39">
        <f t="shared" si="108"/>
        <v>4.6734006613068786</v>
      </c>
      <c r="N857" s="39">
        <f t="shared" si="109"/>
        <v>25.597269624573379</v>
      </c>
      <c r="O857" s="40">
        <f>1</f>
        <v>1</v>
      </c>
      <c r="P857" s="38">
        <f>INDEX(Cables!$AS:$AS,MATCH(B857,Cables!$A:$A,0))+INDEX(Cables!$AT:$AT,MATCH(B857,Cables!$A:$A,0))*SQRT(C857)+INDEX(Cables!$AU:$AU,MATCH(B857,Cables!$A:$A,0))*C857</f>
        <v>1.1722516884124532</v>
      </c>
      <c r="Q857" s="41">
        <f t="shared" si="110"/>
        <v>2.147512051648981E-4</v>
      </c>
      <c r="R857" s="39">
        <f t="shared" si="111"/>
        <v>4.6118080119776152E-8</v>
      </c>
      <c r="S857" s="40" t="b">
        <f>IF(B857=B856,C857&gt;C856,COUNTIF(B$1:B856,B857)=0)</f>
        <v>1</v>
      </c>
      <c r="T857" s="37"/>
    </row>
    <row r="858" spans="1:20" x14ac:dyDescent="0.25">
      <c r="A858" s="37" t="s">
        <v>1598</v>
      </c>
      <c r="B858" s="37" t="s">
        <v>598</v>
      </c>
      <c r="C858" s="37">
        <v>50</v>
      </c>
      <c r="D858" s="37">
        <v>1.5209999999999999</v>
      </c>
      <c r="E858" s="37" t="s">
        <v>771</v>
      </c>
      <c r="F858" s="37">
        <v>20</v>
      </c>
      <c r="G858" s="37" t="s">
        <v>605</v>
      </c>
      <c r="H858" s="37" t="s">
        <v>728</v>
      </c>
      <c r="I858" s="38">
        <f t="shared" si="104"/>
        <v>1.5209999999999999</v>
      </c>
      <c r="J858" s="38">
        <f t="shared" si="105"/>
        <v>3.912023005428146</v>
      </c>
      <c r="K858" s="38">
        <f t="shared" si="106"/>
        <v>0.41936801327715573</v>
      </c>
      <c r="L858" s="39">
        <f t="shared" si="107"/>
        <v>0.65746219592373445</v>
      </c>
      <c r="M858" s="39">
        <f t="shared" si="108"/>
        <v>4.6489597711147113</v>
      </c>
      <c r="N858" s="39">
        <f t="shared" si="109"/>
        <v>32.873109796186718</v>
      </c>
      <c r="O858" s="40">
        <f>1</f>
        <v>1</v>
      </c>
      <c r="P858" s="38">
        <f>INDEX(Cables!$AS:$AS,MATCH(B858,Cables!$A:$A,0))+INDEX(Cables!$AT:$AT,MATCH(B858,Cables!$A:$A,0))*SQRT(C858)+INDEX(Cables!$AU:$AU,MATCH(B858,Cables!$A:$A,0))*C858</f>
        <v>1.5204328035948187</v>
      </c>
      <c r="Q858" s="41">
        <f t="shared" si="110"/>
        <v>-3.7291019407048598E-4</v>
      </c>
      <c r="R858" s="39">
        <f t="shared" si="111"/>
        <v>1.390620128416875E-7</v>
      </c>
      <c r="S858" s="40" t="b">
        <f>IF(B858=B857,C858&gt;C857,COUNTIF(B$1:B857,B858)=0)</f>
        <v>1</v>
      </c>
      <c r="T858" s="37"/>
    </row>
    <row r="859" spans="1:20" x14ac:dyDescent="0.25">
      <c r="A859" s="37" t="s">
        <v>1599</v>
      </c>
      <c r="B859" s="37" t="s">
        <v>598</v>
      </c>
      <c r="C859" s="37">
        <v>85</v>
      </c>
      <c r="D859" s="37">
        <v>1.9950000000000001</v>
      </c>
      <c r="E859" s="37" t="s">
        <v>771</v>
      </c>
      <c r="F859" s="37">
        <v>20</v>
      </c>
      <c r="G859" s="37" t="s">
        <v>605</v>
      </c>
      <c r="H859" s="37" t="s">
        <v>728</v>
      </c>
      <c r="I859" s="38">
        <f t="shared" si="104"/>
        <v>1.9950000000000001</v>
      </c>
      <c r="J859" s="38">
        <f t="shared" si="105"/>
        <v>4.4426512564903167</v>
      </c>
      <c r="K859" s="38">
        <f t="shared" si="106"/>
        <v>0.69064405034182685</v>
      </c>
      <c r="L859" s="39">
        <f t="shared" si="107"/>
        <v>0.50125313283208017</v>
      </c>
      <c r="M859" s="39">
        <f t="shared" si="108"/>
        <v>4.6213255425027002</v>
      </c>
      <c r="N859" s="39">
        <f t="shared" si="109"/>
        <v>42.606516290726816</v>
      </c>
      <c r="O859" s="40">
        <f>1</f>
        <v>1</v>
      </c>
      <c r="P859" s="38">
        <f>INDEX(Cables!$AS:$AS,MATCH(B859,Cables!$A:$A,0))+INDEX(Cables!$AT:$AT,MATCH(B859,Cables!$A:$A,0))*SQRT(C859)+INDEX(Cables!$AU:$AU,MATCH(B859,Cables!$A:$A,0))*C859</f>
        <v>1.9947873677008885</v>
      </c>
      <c r="Q859" s="41">
        <f t="shared" si="110"/>
        <v>-1.065826060709929E-4</v>
      </c>
      <c r="R859" s="39">
        <f t="shared" si="111"/>
        <v>1.1359851916884453E-8</v>
      </c>
      <c r="S859" s="40" t="b">
        <f>IF(B859=B858,C859&gt;C858,COUNTIF(B$1:B858,B859)=0)</f>
        <v>1</v>
      </c>
      <c r="T859" s="37"/>
    </row>
    <row r="860" spans="1:20" x14ac:dyDescent="0.25">
      <c r="A860" s="37" t="s">
        <v>1600</v>
      </c>
      <c r="B860" s="37" t="s">
        <v>598</v>
      </c>
      <c r="C860" s="37">
        <v>88</v>
      </c>
      <c r="D860" s="37">
        <v>2.0310000000000001</v>
      </c>
      <c r="E860" s="37" t="s">
        <v>771</v>
      </c>
      <c r="F860" s="37">
        <v>20</v>
      </c>
      <c r="G860" s="37" t="s">
        <v>605</v>
      </c>
      <c r="H860" s="37" t="s">
        <v>728</v>
      </c>
      <c r="I860" s="38">
        <f t="shared" si="104"/>
        <v>2.0310000000000001</v>
      </c>
      <c r="J860" s="38">
        <f t="shared" si="105"/>
        <v>4.4773368144782069</v>
      </c>
      <c r="K860" s="38">
        <f t="shared" si="106"/>
        <v>0.70852828259824774</v>
      </c>
      <c r="L860" s="39">
        <f t="shared" si="107"/>
        <v>0.49236829148202854</v>
      </c>
      <c r="M860" s="39">
        <f t="shared" si="108"/>
        <v>4.6188239880092858</v>
      </c>
      <c r="N860" s="39">
        <f t="shared" si="109"/>
        <v>43.328409650418507</v>
      </c>
      <c r="O860" s="40">
        <f>1</f>
        <v>1</v>
      </c>
      <c r="P860" s="38">
        <f>INDEX(Cables!$AS:$AS,MATCH(B860,Cables!$A:$A,0))+INDEX(Cables!$AT:$AT,MATCH(B860,Cables!$A:$A,0))*SQRT(C860)+INDEX(Cables!$AU:$AU,MATCH(B860,Cables!$A:$A,0))*C860</f>
        <v>2.0306295630341231</v>
      </c>
      <c r="Q860" s="41">
        <f t="shared" si="110"/>
        <v>-1.823914159906348E-4</v>
      </c>
      <c r="R860" s="39">
        <f t="shared" si="111"/>
        <v>3.3266628627068791E-8</v>
      </c>
      <c r="S860" s="40" t="b">
        <f>IF(B860=B859,C860&gt;C859,COUNTIF(B$1:B859,B860)=0)</f>
        <v>1</v>
      </c>
      <c r="T860" s="37"/>
    </row>
    <row r="861" spans="1:20" x14ac:dyDescent="0.25">
      <c r="A861" s="37" t="s">
        <v>1601</v>
      </c>
      <c r="B861" s="37" t="s">
        <v>598</v>
      </c>
      <c r="C861" s="37">
        <v>100</v>
      </c>
      <c r="D861" s="37">
        <v>2.169</v>
      </c>
      <c r="E861" s="37" t="s">
        <v>771</v>
      </c>
      <c r="F861" s="37">
        <v>20</v>
      </c>
      <c r="G861" s="37" t="s">
        <v>605</v>
      </c>
      <c r="H861" s="37" t="s">
        <v>728</v>
      </c>
      <c r="I861" s="38">
        <f t="shared" si="104"/>
        <v>2.169</v>
      </c>
      <c r="J861" s="38">
        <f t="shared" si="105"/>
        <v>4.6051701859880918</v>
      </c>
      <c r="K861" s="38">
        <f t="shared" si="106"/>
        <v>0.77426623184473731</v>
      </c>
      <c r="L861" s="39">
        <f t="shared" si="107"/>
        <v>0.4610419548178884</v>
      </c>
      <c r="M861" s="39">
        <f t="shared" si="108"/>
        <v>4.6104195481788839</v>
      </c>
      <c r="N861" s="39">
        <f t="shared" si="109"/>
        <v>46.104195481788842</v>
      </c>
      <c r="O861" s="40">
        <f>1</f>
        <v>1</v>
      </c>
      <c r="P861" s="38">
        <f>INDEX(Cables!$AS:$AS,MATCH(B861,Cables!$A:$A,0))+INDEX(Cables!$AT:$AT,MATCH(B861,Cables!$A:$A,0))*SQRT(C861)+INDEX(Cables!$AU:$AU,MATCH(B861,Cables!$A:$A,0))*C861</f>
        <v>2.1685261530240725</v>
      </c>
      <c r="Q861" s="41">
        <f t="shared" si="110"/>
        <v>-2.1846333606623247E-4</v>
      </c>
      <c r="R861" s="39">
        <f t="shared" si="111"/>
        <v>4.7726229205187627E-8</v>
      </c>
      <c r="S861" s="40" t="b">
        <f>IF(B861=B860,C861&gt;C860,COUNTIF(B$1:B860,B861)=0)</f>
        <v>1</v>
      </c>
      <c r="T861" s="37"/>
    </row>
    <row r="862" spans="1:20" x14ac:dyDescent="0.25">
      <c r="A862" s="37" t="s">
        <v>1602</v>
      </c>
      <c r="B862" s="37" t="s">
        <v>598</v>
      </c>
      <c r="C862" s="37">
        <v>108</v>
      </c>
      <c r="D862" s="37">
        <v>2.2559999999999998</v>
      </c>
      <c r="E862" s="37" t="s">
        <v>771</v>
      </c>
      <c r="F862" s="37">
        <v>20</v>
      </c>
      <c r="G862" s="37" t="s">
        <v>605</v>
      </c>
      <c r="H862" s="37" t="s">
        <v>728</v>
      </c>
      <c r="I862" s="38">
        <f t="shared" si="104"/>
        <v>2.2559999999999998</v>
      </c>
      <c r="J862" s="38">
        <f t="shared" si="105"/>
        <v>4.6821312271242199</v>
      </c>
      <c r="K862" s="38">
        <f t="shared" si="106"/>
        <v>0.81359333363581232</v>
      </c>
      <c r="L862" s="39">
        <f t="shared" si="107"/>
        <v>0.44326241134751776</v>
      </c>
      <c r="M862" s="39">
        <f t="shared" si="108"/>
        <v>4.6065181052363764</v>
      </c>
      <c r="N862" s="39">
        <f t="shared" si="109"/>
        <v>47.872340425531917</v>
      </c>
      <c r="O862" s="40">
        <f>1</f>
        <v>1</v>
      </c>
      <c r="P862" s="38">
        <f>INDEX(Cables!$AS:$AS,MATCH(B862,Cables!$A:$A,0))+INDEX(Cables!$AT:$AT,MATCH(B862,Cables!$A:$A,0))*SQRT(C862)+INDEX(Cables!$AU:$AU,MATCH(B862,Cables!$A:$A,0))*C862</f>
        <v>2.256144687392541</v>
      </c>
      <c r="Q862" s="41">
        <f t="shared" si="110"/>
        <v>6.4134482509414781E-5</v>
      </c>
      <c r="R862" s="39">
        <f t="shared" si="111"/>
        <v>4.1132318467504305E-9</v>
      </c>
      <c r="S862" s="40" t="b">
        <f>IF(B862=B861,C862&gt;C861,COUNTIF(B$1:B861,B862)=0)</f>
        <v>1</v>
      </c>
      <c r="T862" s="37"/>
    </row>
    <row r="863" spans="1:20" x14ac:dyDescent="0.25">
      <c r="A863" s="37" t="s">
        <v>1603</v>
      </c>
      <c r="B863" s="37" t="s">
        <v>598</v>
      </c>
      <c r="C863" s="37">
        <v>150</v>
      </c>
      <c r="D863" s="37">
        <v>2.673</v>
      </c>
      <c r="E863" s="37" t="s">
        <v>771</v>
      </c>
      <c r="F863" s="37">
        <v>20</v>
      </c>
      <c r="G863" s="37" t="s">
        <v>605</v>
      </c>
      <c r="H863" s="37" t="s">
        <v>728</v>
      </c>
      <c r="I863" s="38">
        <f t="shared" si="104"/>
        <v>2.673</v>
      </c>
      <c r="J863" s="38">
        <f t="shared" si="105"/>
        <v>5.0106352940962555</v>
      </c>
      <c r="K863" s="38">
        <f t="shared" si="106"/>
        <v>0.98320143715678199</v>
      </c>
      <c r="L863" s="39">
        <f t="shared" si="107"/>
        <v>0.37411148522259635</v>
      </c>
      <c r="M863" s="39">
        <f t="shared" si="108"/>
        <v>4.5819112285506511</v>
      </c>
      <c r="N863" s="39">
        <f t="shared" si="109"/>
        <v>56.116722783389449</v>
      </c>
      <c r="O863" s="40">
        <f>1</f>
        <v>1</v>
      </c>
      <c r="P863" s="38">
        <f>INDEX(Cables!$AS:$AS,MATCH(B863,Cables!$A:$A,0))+INDEX(Cables!$AT:$AT,MATCH(B863,Cables!$A:$A,0))*SQRT(C863)+INDEX(Cables!$AU:$AU,MATCH(B863,Cables!$A:$A,0))*C863</f>
        <v>2.6730767342708224</v>
      </c>
      <c r="Q863" s="41">
        <f t="shared" si="110"/>
        <v>2.870717202485551E-5</v>
      </c>
      <c r="R863" s="39">
        <f t="shared" si="111"/>
        <v>8.2410172566464677E-10</v>
      </c>
      <c r="S863" s="40" t="b">
        <f>IF(B863=B862,C863&gt;C862,COUNTIF(B$1:B862,B863)=0)</f>
        <v>1</v>
      </c>
      <c r="T863" s="37"/>
    </row>
    <row r="864" spans="1:20" x14ac:dyDescent="0.25">
      <c r="A864" s="37" t="s">
        <v>1604</v>
      </c>
      <c r="B864" s="37" t="s">
        <v>598</v>
      </c>
      <c r="C864" s="37">
        <v>174</v>
      </c>
      <c r="D864" s="37">
        <v>2.887</v>
      </c>
      <c r="E864" s="37" t="s">
        <v>771</v>
      </c>
      <c r="F864" s="37">
        <v>20</v>
      </c>
      <c r="G864" s="37" t="s">
        <v>605</v>
      </c>
      <c r="H864" s="37" t="s">
        <v>728</v>
      </c>
      <c r="I864" s="38">
        <f t="shared" si="104"/>
        <v>2.887</v>
      </c>
      <c r="J864" s="38">
        <f t="shared" si="105"/>
        <v>5.1590552992145291</v>
      </c>
      <c r="K864" s="38">
        <f t="shared" si="106"/>
        <v>1.0602179006807981</v>
      </c>
      <c r="L864" s="39">
        <f t="shared" si="107"/>
        <v>0.34638032559750603</v>
      </c>
      <c r="M864" s="39">
        <f t="shared" si="108"/>
        <v>4.5690703007526565</v>
      </c>
      <c r="N864" s="39">
        <f t="shared" si="109"/>
        <v>60.270176653966054</v>
      </c>
      <c r="O864" s="40">
        <f>1</f>
        <v>1</v>
      </c>
      <c r="P864" s="38">
        <f>INDEX(Cables!$AS:$AS,MATCH(B864,Cables!$A:$A,0))+INDEX(Cables!$AT:$AT,MATCH(B864,Cables!$A:$A,0))*SQRT(C864)+INDEX(Cables!$AU:$AU,MATCH(B864,Cables!$A:$A,0))*C864</f>
        <v>2.8867585757268124</v>
      </c>
      <c r="Q864" s="41">
        <f t="shared" si="110"/>
        <v>-8.3624618353872471E-5</v>
      </c>
      <c r="R864" s="39">
        <f t="shared" si="111"/>
        <v>6.9930767948308241E-9</v>
      </c>
      <c r="S864" s="40" t="b">
        <f>IF(B864=B863,C864&gt;C863,COUNTIF(B$1:B863,B864)=0)</f>
        <v>1</v>
      </c>
      <c r="T864" s="37"/>
    </row>
    <row r="865" spans="1:20" x14ac:dyDescent="0.25">
      <c r="A865" s="37" t="s">
        <v>1605</v>
      </c>
      <c r="B865" s="37" t="s">
        <v>598</v>
      </c>
      <c r="C865" s="37">
        <v>200</v>
      </c>
      <c r="D865" s="37">
        <v>3.1030000000000002</v>
      </c>
      <c r="E865" s="37" t="s">
        <v>771</v>
      </c>
      <c r="F865" s="37">
        <v>20</v>
      </c>
      <c r="G865" s="37" t="s">
        <v>605</v>
      </c>
      <c r="H865" s="37" t="s">
        <v>728</v>
      </c>
      <c r="I865" s="38">
        <f t="shared" si="104"/>
        <v>3.1030000000000002</v>
      </c>
      <c r="J865" s="38">
        <f t="shared" si="105"/>
        <v>5.2983173665480363</v>
      </c>
      <c r="K865" s="38">
        <f t="shared" si="106"/>
        <v>1.1323693854662431</v>
      </c>
      <c r="L865" s="39">
        <f t="shared" si="107"/>
        <v>0.32226877215597804</v>
      </c>
      <c r="M865" s="39">
        <f t="shared" si="108"/>
        <v>4.5575686831230904</v>
      </c>
      <c r="N865" s="39">
        <f t="shared" si="109"/>
        <v>64.45375443119562</v>
      </c>
      <c r="O865" s="40">
        <f>1</f>
        <v>1</v>
      </c>
      <c r="P865" s="38">
        <f>INDEX(Cables!$AS:$AS,MATCH(B865,Cables!$A:$A,0))+INDEX(Cables!$AT:$AT,MATCH(B865,Cables!$A:$A,0))*SQRT(C865)+INDEX(Cables!$AU:$AU,MATCH(B865,Cables!$A:$A,0))*C865</f>
        <v>3.1033241111328369</v>
      </c>
      <c r="Q865" s="41">
        <f t="shared" si="110"/>
        <v>1.0445089682131758E-4</v>
      </c>
      <c r="R865" s="39">
        <f t="shared" si="111"/>
        <v>1.0909989846777532E-8</v>
      </c>
      <c r="S865" s="40" t="b">
        <f>IF(B865=B864,C865&gt;C864,COUNTIF(B$1:B864,B865)=0)</f>
        <v>1</v>
      </c>
      <c r="T865" s="37"/>
    </row>
    <row r="866" spans="1:20" x14ac:dyDescent="0.25">
      <c r="A866" s="37" t="s">
        <v>1606</v>
      </c>
      <c r="B866" s="37" t="s">
        <v>598</v>
      </c>
      <c r="C866" s="37">
        <v>204</v>
      </c>
      <c r="D866" s="37">
        <v>3.1349999999999998</v>
      </c>
      <c r="E866" s="37" t="s">
        <v>771</v>
      </c>
      <c r="F866" s="37">
        <v>20</v>
      </c>
      <c r="G866" s="37" t="s">
        <v>605</v>
      </c>
      <c r="H866" s="37" t="s">
        <v>728</v>
      </c>
      <c r="I866" s="38">
        <f t="shared" si="104"/>
        <v>3.1349999999999998</v>
      </c>
      <c r="J866" s="38">
        <f t="shared" si="105"/>
        <v>5.3181199938442161</v>
      </c>
      <c r="K866" s="38">
        <f t="shared" si="106"/>
        <v>1.142629174084884</v>
      </c>
      <c r="L866" s="39">
        <f t="shared" si="107"/>
        <v>0.31897926634768742</v>
      </c>
      <c r="M866" s="39">
        <f t="shared" si="108"/>
        <v>4.5559352016222334</v>
      </c>
      <c r="N866" s="39">
        <f t="shared" si="109"/>
        <v>65.071770334928232</v>
      </c>
      <c r="O866" s="40">
        <f>1</f>
        <v>1</v>
      </c>
      <c r="P866" s="38">
        <f>INDEX(Cables!$AS:$AS,MATCH(B866,Cables!$A:$A,0))+INDEX(Cables!$AT:$AT,MATCH(B866,Cables!$A:$A,0))*SQRT(C866)+INDEX(Cables!$AU:$AU,MATCH(B866,Cables!$A:$A,0))*C866</f>
        <v>3.1354577520337772</v>
      </c>
      <c r="Q866" s="41">
        <f t="shared" si="110"/>
        <v>1.4601340790343365E-4</v>
      </c>
      <c r="R866" s="39">
        <f t="shared" si="111"/>
        <v>2.1319915287574499E-8</v>
      </c>
      <c r="S866" s="40" t="b">
        <f>IF(B866=B865,C866&gt;C865,COUNTIF(B$1:B865,B866)=0)</f>
        <v>1</v>
      </c>
      <c r="T866" s="37"/>
    </row>
    <row r="867" spans="1:20" x14ac:dyDescent="0.25">
      <c r="A867" s="37" t="s">
        <v>1607</v>
      </c>
      <c r="B867" s="37" t="s">
        <v>598</v>
      </c>
      <c r="C867" s="37">
        <v>300</v>
      </c>
      <c r="D867" s="37">
        <v>3.835</v>
      </c>
      <c r="E867" s="37" t="s">
        <v>771</v>
      </c>
      <c r="F867" s="37">
        <v>20</v>
      </c>
      <c r="G867" s="37" t="s">
        <v>605</v>
      </c>
      <c r="H867" s="37" t="s">
        <v>728</v>
      </c>
      <c r="I867" s="38">
        <f t="shared" si="104"/>
        <v>3.835</v>
      </c>
      <c r="J867" s="38">
        <f t="shared" si="105"/>
        <v>5.7037824746562009</v>
      </c>
      <c r="K867" s="38">
        <f t="shared" si="106"/>
        <v>1.3441694348192195</v>
      </c>
      <c r="L867" s="39">
        <f t="shared" si="107"/>
        <v>0.2607561929595828</v>
      </c>
      <c r="M867" s="39">
        <f t="shared" si="108"/>
        <v>4.5164297459423137</v>
      </c>
      <c r="N867" s="39">
        <f t="shared" si="109"/>
        <v>78.226857887874843</v>
      </c>
      <c r="O867" s="40">
        <f>1</f>
        <v>1</v>
      </c>
      <c r="P867" s="38">
        <f>INDEX(Cables!$AS:$AS,MATCH(B867,Cables!$A:$A,0))+INDEX(Cables!$AT:$AT,MATCH(B867,Cables!$A:$A,0))*SQRT(C867)+INDEX(Cables!$AU:$AU,MATCH(B867,Cables!$A:$A,0))*C867</f>
        <v>3.8351219396973284</v>
      </c>
      <c r="Q867" s="41">
        <f t="shared" si="110"/>
        <v>3.1796531245964488E-5</v>
      </c>
      <c r="R867" s="39">
        <f t="shared" si="111"/>
        <v>1.0110193992755961E-9</v>
      </c>
      <c r="S867" s="40" t="b">
        <f>IF(B867=B866,C867&gt;C866,COUNTIF(B$1:B866,B867)=0)</f>
        <v>1</v>
      </c>
      <c r="T867" s="37"/>
    </row>
    <row r="868" spans="1:20" x14ac:dyDescent="0.25">
      <c r="A868" s="37" t="s">
        <v>1608</v>
      </c>
      <c r="B868" s="37" t="s">
        <v>598</v>
      </c>
      <c r="C868" s="37">
        <v>400</v>
      </c>
      <c r="D868" s="37">
        <v>4.4619999999999997</v>
      </c>
      <c r="E868" s="37" t="s">
        <v>771</v>
      </c>
      <c r="F868" s="37">
        <v>20</v>
      </c>
      <c r="G868" s="37" t="s">
        <v>605</v>
      </c>
      <c r="H868" s="37" t="s">
        <v>728</v>
      </c>
      <c r="I868" s="38">
        <f t="shared" si="104"/>
        <v>4.4619999999999997</v>
      </c>
      <c r="J868" s="38">
        <f t="shared" si="105"/>
        <v>5.9914645471079817</v>
      </c>
      <c r="K868" s="38">
        <f t="shared" si="106"/>
        <v>1.4955970960103406</v>
      </c>
      <c r="L868" s="39">
        <f t="shared" si="107"/>
        <v>0.22411474675033619</v>
      </c>
      <c r="M868" s="39">
        <f t="shared" si="108"/>
        <v>4.482294935006724</v>
      </c>
      <c r="N868" s="39">
        <f t="shared" si="109"/>
        <v>89.645898700134481</v>
      </c>
      <c r="O868" s="40">
        <f>1</f>
        <v>1</v>
      </c>
      <c r="P868" s="38">
        <f>INDEX(Cables!$AS:$AS,MATCH(B868,Cables!$A:$A,0))+INDEX(Cables!$AT:$AT,MATCH(B868,Cables!$A:$A,0))*SQRT(C868)+INDEX(Cables!$AU:$AU,MATCH(B868,Cables!$A:$A,0))*C868</f>
        <v>4.4618391688931451</v>
      </c>
      <c r="Q868" s="41">
        <f t="shared" si="110"/>
        <v>-3.6044622782283042E-5</v>
      </c>
      <c r="R868" s="39">
        <f t="shared" si="111"/>
        <v>1.2992148315170777E-9</v>
      </c>
      <c r="S868" s="40" t="b">
        <f>IF(B868=B867,C868&gt;C867,COUNTIF(B$1:B867,B868)=0)</f>
        <v>1</v>
      </c>
      <c r="T868" s="37"/>
    </row>
    <row r="869" spans="1:20" x14ac:dyDescent="0.25">
      <c r="A869" s="37" t="s">
        <v>1609</v>
      </c>
      <c r="B869" s="37" t="s">
        <v>598</v>
      </c>
      <c r="C869" s="37">
        <v>450</v>
      </c>
      <c r="D869" s="37">
        <v>4.7489999999999997</v>
      </c>
      <c r="E869" s="37" t="s">
        <v>771</v>
      </c>
      <c r="F869" s="37">
        <v>20</v>
      </c>
      <c r="G869" s="37" t="s">
        <v>605</v>
      </c>
      <c r="H869" s="37" t="s">
        <v>728</v>
      </c>
      <c r="I869" s="38">
        <f t="shared" si="104"/>
        <v>4.7489999999999997</v>
      </c>
      <c r="J869" s="38">
        <f t="shared" si="105"/>
        <v>6.1092475827643655</v>
      </c>
      <c r="K869" s="38">
        <f t="shared" si="106"/>
        <v>1.5579340695669848</v>
      </c>
      <c r="L869" s="39">
        <f t="shared" si="107"/>
        <v>0.21057064645188461</v>
      </c>
      <c r="M869" s="39">
        <f t="shared" si="108"/>
        <v>4.4668779607488798</v>
      </c>
      <c r="N869" s="39">
        <f t="shared" si="109"/>
        <v>94.756790903348076</v>
      </c>
      <c r="O869" s="40">
        <f>1</f>
        <v>1</v>
      </c>
      <c r="P869" s="38">
        <f>INDEX(Cables!$AS:$AS,MATCH(B869,Cables!$A:$A,0))+INDEX(Cables!$AT:$AT,MATCH(B869,Cables!$A:$A,0))*SQRT(C869)+INDEX(Cables!$AU:$AU,MATCH(B869,Cables!$A:$A,0))*C869</f>
        <v>4.7485437775726567</v>
      </c>
      <c r="Q869" s="41">
        <f t="shared" si="110"/>
        <v>-9.6067051451487195E-5</v>
      </c>
      <c r="R869" s="39">
        <f t="shared" si="111"/>
        <v>9.2288783745826874E-9</v>
      </c>
      <c r="S869" s="40" t="b">
        <f>IF(B869=B868,C869&gt;C868,COUNTIF(B$1:B868,B869)=0)</f>
        <v>1</v>
      </c>
      <c r="T869" s="37"/>
    </row>
    <row r="870" spans="1:20" x14ac:dyDescent="0.25">
      <c r="A870" s="37" t="s">
        <v>1610</v>
      </c>
      <c r="B870" s="37" t="s">
        <v>598</v>
      </c>
      <c r="C870" s="37">
        <v>460</v>
      </c>
      <c r="D870" s="37">
        <v>4.8040000000000003</v>
      </c>
      <c r="E870" s="37" t="s">
        <v>771</v>
      </c>
      <c r="F870" s="37">
        <v>20</v>
      </c>
      <c r="G870" s="37" t="s">
        <v>605</v>
      </c>
      <c r="H870" s="37" t="s">
        <v>728</v>
      </c>
      <c r="I870" s="38">
        <f t="shared" si="104"/>
        <v>4.8040000000000003</v>
      </c>
      <c r="J870" s="38">
        <f t="shared" si="105"/>
        <v>6.131226489483141</v>
      </c>
      <c r="K870" s="38">
        <f t="shared" si="106"/>
        <v>1.5694489042177371</v>
      </c>
      <c r="L870" s="39">
        <f t="shared" si="107"/>
        <v>0.20815986677768525</v>
      </c>
      <c r="M870" s="39">
        <f t="shared" si="108"/>
        <v>4.4645317630156569</v>
      </c>
      <c r="N870" s="39">
        <f t="shared" si="109"/>
        <v>95.753538717735211</v>
      </c>
      <c r="O870" s="40">
        <f>1</f>
        <v>1</v>
      </c>
      <c r="P870" s="38">
        <f>INDEX(Cables!$AS:$AS,MATCH(B870,Cables!$A:$A,0))+INDEX(Cables!$AT:$AT,MATCH(B870,Cables!$A:$A,0))*SQRT(C870)+INDEX(Cables!$AU:$AU,MATCH(B870,Cables!$A:$A,0))*C870</f>
        <v>4.8041504472092624</v>
      </c>
      <c r="Q870" s="41">
        <f t="shared" si="110"/>
        <v>3.1317071037095801E-5</v>
      </c>
      <c r="R870" s="39">
        <f t="shared" si="111"/>
        <v>9.8075893834250466E-10</v>
      </c>
      <c r="S870" s="40" t="b">
        <f>IF(B870=B869,C870&gt;C869,COUNTIF(B$1:B869,B870)=0)</f>
        <v>1</v>
      </c>
      <c r="T870" s="37"/>
    </row>
    <row r="871" spans="1:20" x14ac:dyDescent="0.25">
      <c r="A871" s="37" t="s">
        <v>1611</v>
      </c>
      <c r="B871" s="37" t="s">
        <v>598</v>
      </c>
      <c r="C871" s="37">
        <v>500</v>
      </c>
      <c r="D871" s="37">
        <v>5.0209999999999999</v>
      </c>
      <c r="E871" s="37" t="s">
        <v>771</v>
      </c>
      <c r="F871" s="37">
        <v>20</v>
      </c>
      <c r="G871" s="37" t="s">
        <v>605</v>
      </c>
      <c r="H871" s="37" t="s">
        <v>728</v>
      </c>
      <c r="I871" s="38">
        <f t="shared" si="104"/>
        <v>5.0209999999999999</v>
      </c>
      <c r="J871" s="38">
        <f t="shared" si="105"/>
        <v>6.2146080984221914</v>
      </c>
      <c r="K871" s="38">
        <f t="shared" si="106"/>
        <v>1.6136291170525685</v>
      </c>
      <c r="L871" s="39">
        <f t="shared" si="107"/>
        <v>0.19916351324437365</v>
      </c>
      <c r="M871" s="39">
        <f t="shared" si="108"/>
        <v>4.4534315425209918</v>
      </c>
      <c r="N871" s="39">
        <f t="shared" si="109"/>
        <v>99.581756622186816</v>
      </c>
      <c r="O871" s="40">
        <f>1</f>
        <v>1</v>
      </c>
      <c r="P871" s="38">
        <f>INDEX(Cables!$AS:$AS,MATCH(B871,Cables!$A:$A,0))+INDEX(Cables!$AT:$AT,MATCH(B871,Cables!$A:$A,0))*SQRT(C871)+INDEX(Cables!$AU:$AU,MATCH(B871,Cables!$A:$A,0))*C871</f>
        <v>5.0214041043446134</v>
      </c>
      <c r="Q871" s="41">
        <f t="shared" si="110"/>
        <v>8.0482840990603322E-5</v>
      </c>
      <c r="R871" s="39">
        <f t="shared" si="111"/>
        <v>6.4774876939187384E-9</v>
      </c>
      <c r="S871" s="40" t="b">
        <f>IF(B871=B870,C871&gt;C870,COUNTIF(B$1:B870,B871)=0)</f>
        <v>1</v>
      </c>
      <c r="T871" s="37"/>
    </row>
    <row r="872" spans="1:20" x14ac:dyDescent="0.25">
      <c r="A872" s="37" t="s">
        <v>1612</v>
      </c>
      <c r="B872" s="37" t="s">
        <v>598</v>
      </c>
      <c r="C872" s="37">
        <v>512</v>
      </c>
      <c r="D872" s="37">
        <v>5.085</v>
      </c>
      <c r="E872" s="37" t="s">
        <v>771</v>
      </c>
      <c r="F872" s="37">
        <v>20</v>
      </c>
      <c r="G872" s="37" t="s">
        <v>605</v>
      </c>
      <c r="H872" s="37" t="s">
        <v>728</v>
      </c>
      <c r="I872" s="38">
        <f t="shared" si="104"/>
        <v>5.085</v>
      </c>
      <c r="J872" s="38">
        <f t="shared" si="105"/>
        <v>6.2383246250395077</v>
      </c>
      <c r="K872" s="38">
        <f t="shared" si="106"/>
        <v>1.6262950295005232</v>
      </c>
      <c r="L872" s="39">
        <f t="shared" si="107"/>
        <v>0.19665683382497542</v>
      </c>
      <c r="M872" s="39">
        <f t="shared" si="108"/>
        <v>4.4498361844581167</v>
      </c>
      <c r="N872" s="39">
        <f t="shared" si="109"/>
        <v>100.68829891838742</v>
      </c>
      <c r="O872" s="40">
        <f>1</f>
        <v>1</v>
      </c>
      <c r="P872" s="38">
        <f>INDEX(Cables!$AS:$AS,MATCH(B872,Cables!$A:$A,0))+INDEX(Cables!$AT:$AT,MATCH(B872,Cables!$A:$A,0))*SQRT(C872)+INDEX(Cables!$AU:$AU,MATCH(B872,Cables!$A:$A,0))*C872</f>
        <v>5.0850671139288357</v>
      </c>
      <c r="Q872" s="41">
        <f t="shared" si="110"/>
        <v>1.3198412750492494E-5</v>
      </c>
      <c r="R872" s="39">
        <f t="shared" si="111"/>
        <v>1.7419809913236285E-10</v>
      </c>
      <c r="S872" s="40" t="b">
        <f>IF(B872=B871,C872&gt;C871,COUNTIF(B$1:B871,B872)=0)</f>
        <v>1</v>
      </c>
      <c r="T872" s="37"/>
    </row>
    <row r="873" spans="1:20" x14ac:dyDescent="0.25">
      <c r="A873" s="37" t="s">
        <v>1613</v>
      </c>
      <c r="B873" s="37" t="s">
        <v>598</v>
      </c>
      <c r="C873" s="37">
        <v>600</v>
      </c>
      <c r="D873" s="37">
        <v>5.5330000000000004</v>
      </c>
      <c r="E873" s="37" t="s">
        <v>771</v>
      </c>
      <c r="F873" s="37">
        <v>20</v>
      </c>
      <c r="G873" s="37" t="s">
        <v>605</v>
      </c>
      <c r="H873" s="37" t="s">
        <v>728</v>
      </c>
      <c r="I873" s="38">
        <f t="shared" si="104"/>
        <v>5.5330000000000004</v>
      </c>
      <c r="J873" s="38">
        <f t="shared" si="105"/>
        <v>6.3969296552161463</v>
      </c>
      <c r="K873" s="38">
        <f t="shared" si="106"/>
        <v>1.7107301639159727</v>
      </c>
      <c r="L873" s="39">
        <f t="shared" si="107"/>
        <v>0.18073377914332187</v>
      </c>
      <c r="M873" s="39">
        <f t="shared" si="108"/>
        <v>4.4270553818600717</v>
      </c>
      <c r="N873" s="39">
        <f t="shared" si="109"/>
        <v>108.44026748599312</v>
      </c>
      <c r="O873" s="40">
        <f>1</f>
        <v>1</v>
      </c>
      <c r="P873" s="38">
        <f>INDEX(Cables!$AS:$AS,MATCH(B873,Cables!$A:$A,0))+INDEX(Cables!$AT:$AT,MATCH(B873,Cables!$A:$A,0))*SQRT(C873)+INDEX(Cables!$AU:$AU,MATCH(B873,Cables!$A:$A,0))*C873</f>
        <v>5.5332686902884465</v>
      </c>
      <c r="Q873" s="41">
        <f t="shared" si="110"/>
        <v>4.8561411249981035E-5</v>
      </c>
      <c r="R873" s="39">
        <f t="shared" si="111"/>
        <v>2.3582106625897845E-9</v>
      </c>
      <c r="S873" s="40" t="b">
        <f>IF(B873=B872,C873&gt;C872,COUNTIF(B$1:B872,B873)=0)</f>
        <v>1</v>
      </c>
      <c r="T873" s="37"/>
    </row>
    <row r="874" spans="1:20" x14ac:dyDescent="0.25">
      <c r="A874" s="37" t="s">
        <v>1614</v>
      </c>
      <c r="B874" s="37" t="s">
        <v>598</v>
      </c>
      <c r="C874" s="37">
        <v>700</v>
      </c>
      <c r="D874" s="37">
        <v>6.0090000000000003</v>
      </c>
      <c r="E874" s="37" t="s">
        <v>771</v>
      </c>
      <c r="F874" s="37">
        <v>20</v>
      </c>
      <c r="G874" s="37" t="s">
        <v>605</v>
      </c>
      <c r="H874" s="37" t="s">
        <v>728</v>
      </c>
      <c r="I874" s="38">
        <f t="shared" si="104"/>
        <v>6.0090000000000003</v>
      </c>
      <c r="J874" s="38">
        <f t="shared" si="105"/>
        <v>6.5510803350434044</v>
      </c>
      <c r="K874" s="38">
        <f t="shared" si="106"/>
        <v>1.793258345351791</v>
      </c>
      <c r="L874" s="39">
        <f t="shared" si="107"/>
        <v>0.16641704110500916</v>
      </c>
      <c r="M874" s="39">
        <f t="shared" si="108"/>
        <v>4.4029810468706776</v>
      </c>
      <c r="N874" s="39">
        <f t="shared" si="109"/>
        <v>116.4919287735064</v>
      </c>
      <c r="O874" s="40">
        <f>1</f>
        <v>1</v>
      </c>
      <c r="P874" s="38">
        <f>INDEX(Cables!$AS:$AS,MATCH(B874,Cables!$A:$A,0))+INDEX(Cables!$AT:$AT,MATCH(B874,Cables!$A:$A,0))*SQRT(C874)+INDEX(Cables!$AU:$AU,MATCH(B874,Cables!$A:$A,0))*C874</f>
        <v>6.008988273845465</v>
      </c>
      <c r="Q874" s="41">
        <f t="shared" si="110"/>
        <v>-1.9514319413715953E-6</v>
      </c>
      <c r="R874" s="39">
        <f t="shared" si="111"/>
        <v>3.8080866218053128E-12</v>
      </c>
      <c r="S874" s="40" t="b">
        <f>IF(B874=B873,C874&gt;C873,COUNTIF(B$1:B873,B874)=0)</f>
        <v>1</v>
      </c>
      <c r="T874" s="37"/>
    </row>
    <row r="875" spans="1:20" x14ac:dyDescent="0.25">
      <c r="A875" s="37" t="s">
        <v>1615</v>
      </c>
      <c r="B875" s="37" t="s">
        <v>598</v>
      </c>
      <c r="C875" s="37">
        <v>800</v>
      </c>
      <c r="D875" s="37">
        <v>6.4560000000000004</v>
      </c>
      <c r="E875" s="37" t="s">
        <v>771</v>
      </c>
      <c r="F875" s="37">
        <v>20</v>
      </c>
      <c r="G875" s="37" t="s">
        <v>605</v>
      </c>
      <c r="H875" s="37" t="s">
        <v>728</v>
      </c>
      <c r="I875" s="38">
        <f t="shared" si="104"/>
        <v>6.4560000000000004</v>
      </c>
      <c r="J875" s="38">
        <f t="shared" si="105"/>
        <v>6.6846117276679271</v>
      </c>
      <c r="K875" s="38">
        <f t="shared" si="106"/>
        <v>1.8650099309676478</v>
      </c>
      <c r="L875" s="39">
        <f t="shared" si="107"/>
        <v>0.15489467162329615</v>
      </c>
      <c r="M875" s="39">
        <f t="shared" si="108"/>
        <v>4.3810829069798478</v>
      </c>
      <c r="N875" s="39">
        <f t="shared" si="109"/>
        <v>123.91573729863691</v>
      </c>
      <c r="O875" s="40">
        <f>1</f>
        <v>1</v>
      </c>
      <c r="P875" s="38">
        <f>INDEX(Cables!$AS:$AS,MATCH(B875,Cables!$A:$A,0))+INDEX(Cables!$AT:$AT,MATCH(B875,Cables!$A:$A,0))*SQRT(C875)+INDEX(Cables!$AU:$AU,MATCH(B875,Cables!$A:$A,0))*C875</f>
        <v>6.4560918029142762</v>
      </c>
      <c r="Q875" s="41">
        <f t="shared" si="110"/>
        <v>1.4219782260793679E-5</v>
      </c>
      <c r="R875" s="39">
        <f t="shared" si="111"/>
        <v>2.0220220754438258E-10</v>
      </c>
      <c r="S875" s="40" t="b">
        <f>IF(B875=B874,C875&gt;C874,COUNTIF(B$1:B874,B875)=0)</f>
        <v>1</v>
      </c>
      <c r="T875" s="37"/>
    </row>
    <row r="876" spans="1:20" x14ac:dyDescent="0.25">
      <c r="A876" s="37" t="s">
        <v>1616</v>
      </c>
      <c r="B876" s="37" t="s">
        <v>598</v>
      </c>
      <c r="C876" s="37">
        <v>824</v>
      </c>
      <c r="D876" s="37">
        <v>6.56</v>
      </c>
      <c r="E876" s="37" t="s">
        <v>771</v>
      </c>
      <c r="F876" s="37">
        <v>20</v>
      </c>
      <c r="G876" s="37" t="s">
        <v>605</v>
      </c>
      <c r="H876" s="37" t="s">
        <v>728</v>
      </c>
      <c r="I876" s="38">
        <f t="shared" si="104"/>
        <v>6.56</v>
      </c>
      <c r="J876" s="38">
        <f t="shared" si="105"/>
        <v>6.7141705299094721</v>
      </c>
      <c r="K876" s="38">
        <f t="shared" si="106"/>
        <v>1.8809906029559975</v>
      </c>
      <c r="L876" s="39">
        <f t="shared" si="107"/>
        <v>0.1524390243902439</v>
      </c>
      <c r="M876" s="39">
        <f t="shared" si="108"/>
        <v>4.3758231995144277</v>
      </c>
      <c r="N876" s="39">
        <f t="shared" si="109"/>
        <v>125.60975609756099</v>
      </c>
      <c r="O876" s="40">
        <f>1</f>
        <v>1</v>
      </c>
      <c r="P876" s="38">
        <f>INDEX(Cables!$AS:$AS,MATCH(B876,Cables!$A:$A,0))+INDEX(Cables!$AT:$AT,MATCH(B876,Cables!$A:$A,0))*SQRT(C876)+INDEX(Cables!$AU:$AU,MATCH(B876,Cables!$A:$A,0))*C876</f>
        <v>6.5597541745668781</v>
      </c>
      <c r="Q876" s="41">
        <f t="shared" si="110"/>
        <v>-3.7473389195352702E-5</v>
      </c>
      <c r="R876" s="39">
        <f t="shared" si="111"/>
        <v>1.4042548977863767E-9</v>
      </c>
      <c r="S876" s="40" t="b">
        <f>IF(B876=B875,C876&gt;C875,COUNTIF(B$1:B875,B876)=0)</f>
        <v>1</v>
      </c>
      <c r="T876" s="37"/>
    </row>
    <row r="877" spans="1:20" x14ac:dyDescent="0.25">
      <c r="A877" s="37" t="s">
        <v>1617</v>
      </c>
      <c r="B877" s="37" t="s">
        <v>598</v>
      </c>
      <c r="C877" s="37">
        <v>894</v>
      </c>
      <c r="D877" s="37">
        <v>6.8550000000000004</v>
      </c>
      <c r="E877" s="37" t="s">
        <v>771</v>
      </c>
      <c r="F877" s="37">
        <v>20</v>
      </c>
      <c r="G877" s="37" t="s">
        <v>605</v>
      </c>
      <c r="H877" s="37" t="s">
        <v>728</v>
      </c>
      <c r="I877" s="38">
        <f t="shared" si="104"/>
        <v>6.8550000000000004</v>
      </c>
      <c r="J877" s="38">
        <f t="shared" si="105"/>
        <v>6.7957057751735137</v>
      </c>
      <c r="K877" s="38">
        <f t="shared" si="106"/>
        <v>1.9249783130142777</v>
      </c>
      <c r="L877" s="39">
        <f t="shared" si="107"/>
        <v>0.14587892049598833</v>
      </c>
      <c r="M877" s="39">
        <f t="shared" si="108"/>
        <v>4.3617553282935235</v>
      </c>
      <c r="N877" s="39">
        <f t="shared" si="109"/>
        <v>130.41575492341354</v>
      </c>
      <c r="O877" s="40">
        <f>1</f>
        <v>1</v>
      </c>
      <c r="P877" s="38">
        <f>INDEX(Cables!$AS:$AS,MATCH(B877,Cables!$A:$A,0))+INDEX(Cables!$AT:$AT,MATCH(B877,Cables!$A:$A,0))*SQRT(C877)+INDEX(Cables!$AU:$AU,MATCH(B877,Cables!$A:$A,0))*C877</f>
        <v>6.8549706986663406</v>
      </c>
      <c r="Q877" s="41">
        <f t="shared" si="110"/>
        <v>-4.2744469234134996E-6</v>
      </c>
      <c r="R877" s="39">
        <f t="shared" si="111"/>
        <v>1.8270896501079134E-11</v>
      </c>
      <c r="S877" s="40" t="b">
        <f>IF(B877=B876,C877&gt;C876,COUNTIF(B$1:B876,B877)=0)</f>
        <v>1</v>
      </c>
      <c r="T877" s="37"/>
    </row>
    <row r="878" spans="1:20" x14ac:dyDescent="0.25">
      <c r="A878" s="37" t="s">
        <v>1618</v>
      </c>
      <c r="B878" s="37" t="s">
        <v>598</v>
      </c>
      <c r="C878" s="37">
        <v>960</v>
      </c>
      <c r="D878" s="37">
        <v>7.1239999999999997</v>
      </c>
      <c r="E878" s="37" t="s">
        <v>771</v>
      </c>
      <c r="F878" s="37">
        <v>20</v>
      </c>
      <c r="G878" s="37" t="s">
        <v>605</v>
      </c>
      <c r="H878" s="37" t="s">
        <v>728</v>
      </c>
      <c r="I878" s="38">
        <f t="shared" si="104"/>
        <v>7.1239999999999997</v>
      </c>
      <c r="J878" s="38">
        <f t="shared" si="105"/>
        <v>6.866933284461882</v>
      </c>
      <c r="K878" s="38">
        <f t="shared" si="106"/>
        <v>1.9634693654274151</v>
      </c>
      <c r="L878" s="39">
        <f t="shared" si="107"/>
        <v>0.14037057832678271</v>
      </c>
      <c r="M878" s="39">
        <f t="shared" si="108"/>
        <v>4.3492232972570664</v>
      </c>
      <c r="N878" s="39">
        <f t="shared" si="109"/>
        <v>134.75575519371139</v>
      </c>
      <c r="O878" s="40">
        <f>1</f>
        <v>1</v>
      </c>
      <c r="P878" s="38">
        <f>INDEX(Cables!$AS:$AS,MATCH(B878,Cables!$A:$A,0))+INDEX(Cables!$AT:$AT,MATCH(B878,Cables!$A:$A,0))*SQRT(C878)+INDEX(Cables!$AU:$AU,MATCH(B878,Cables!$A:$A,0))*C878</f>
        <v>7.1244405244417175</v>
      </c>
      <c r="Q878" s="41">
        <f t="shared" si="110"/>
        <v>6.1836670651072012E-5</v>
      </c>
      <c r="R878" s="39">
        <f t="shared" si="111"/>
        <v>3.8237738372091506E-9</v>
      </c>
      <c r="S878" s="40" t="b">
        <f>IF(B878=B877,C878&gt;C877,COUNTIF(B$1:B877,B878)=0)</f>
        <v>1</v>
      </c>
      <c r="T878" s="37"/>
    </row>
    <row r="879" spans="1:20" x14ac:dyDescent="0.25">
      <c r="A879" s="37" t="s">
        <v>1619</v>
      </c>
      <c r="B879" s="37" t="s">
        <v>598</v>
      </c>
      <c r="C879" s="37">
        <v>1000</v>
      </c>
      <c r="D879" s="37">
        <v>7.2839999999999998</v>
      </c>
      <c r="E879" s="37" t="s">
        <v>771</v>
      </c>
      <c r="F879" s="37">
        <v>20</v>
      </c>
      <c r="G879" s="37" t="s">
        <v>605</v>
      </c>
      <c r="H879" s="37" t="s">
        <v>728</v>
      </c>
      <c r="I879" s="38">
        <f t="shared" si="104"/>
        <v>7.2839999999999998</v>
      </c>
      <c r="J879" s="38">
        <f t="shared" si="105"/>
        <v>6.9077552789821368</v>
      </c>
      <c r="K879" s="38">
        <f t="shared" si="106"/>
        <v>1.9856801618653614</v>
      </c>
      <c r="L879" s="39">
        <f t="shared" si="107"/>
        <v>0.13728720483250961</v>
      </c>
      <c r="M879" s="39">
        <f t="shared" si="108"/>
        <v>4.3414026086880551</v>
      </c>
      <c r="N879" s="39">
        <f t="shared" si="109"/>
        <v>137.28720483250962</v>
      </c>
      <c r="O879" s="40">
        <f>1</f>
        <v>1</v>
      </c>
      <c r="P879" s="38">
        <f>INDEX(Cables!$AS:$AS,MATCH(B879,Cables!$A:$A,0))+INDEX(Cables!$AT:$AT,MATCH(B879,Cables!$A:$A,0))*SQRT(C879)+INDEX(Cables!$AU:$AU,MATCH(B879,Cables!$A:$A,0))*C879</f>
        <v>7.2839472309823847</v>
      </c>
      <c r="Q879" s="41">
        <f t="shared" si="110"/>
        <v>-7.2445109301488841E-6</v>
      </c>
      <c r="R879" s="39">
        <f t="shared" si="111"/>
        <v>5.2482938617046654E-11</v>
      </c>
      <c r="S879" s="40" t="b">
        <f>IF(B879=B878,C879&gt;C878,COUNTIF(B$1:B878,B879)=0)</f>
        <v>1</v>
      </c>
      <c r="T879" s="37"/>
    </row>
    <row r="880" spans="1:20" x14ac:dyDescent="0.25">
      <c r="A880" s="37" t="s">
        <v>1620</v>
      </c>
      <c r="B880" s="37" t="s">
        <v>598</v>
      </c>
      <c r="C880" s="37">
        <v>1218</v>
      </c>
      <c r="D880" s="37">
        <v>8.11</v>
      </c>
      <c r="E880" s="37" t="s">
        <v>771</v>
      </c>
      <c r="F880" s="37">
        <v>20</v>
      </c>
      <c r="G880" s="37" t="s">
        <v>605</v>
      </c>
      <c r="H880" s="37" t="s">
        <v>728</v>
      </c>
      <c r="I880" s="38">
        <f t="shared" si="104"/>
        <v>8.11</v>
      </c>
      <c r="J880" s="38">
        <f t="shared" si="105"/>
        <v>7.1049654482698426</v>
      </c>
      <c r="K880" s="38">
        <f t="shared" si="106"/>
        <v>2.0930978681273213</v>
      </c>
      <c r="L880" s="39">
        <f t="shared" si="107"/>
        <v>0.12330456226880396</v>
      </c>
      <c r="M880" s="39">
        <f t="shared" si="108"/>
        <v>4.3033115577349319</v>
      </c>
      <c r="N880" s="39">
        <f t="shared" si="109"/>
        <v>150.18495684340323</v>
      </c>
      <c r="O880" s="40">
        <f>1</f>
        <v>1</v>
      </c>
      <c r="P880" s="38">
        <f>INDEX(Cables!$AS:$AS,MATCH(B880,Cables!$A:$A,0))+INDEX(Cables!$AT:$AT,MATCH(B880,Cables!$A:$A,0))*SQRT(C880)+INDEX(Cables!$AU:$AU,MATCH(B880,Cables!$A:$A,0))*C880</f>
        <v>8.1100835973837668</v>
      </c>
      <c r="Q880" s="41">
        <f t="shared" si="110"/>
        <v>1.0307938812292861E-5</v>
      </c>
      <c r="R880" s="39">
        <f t="shared" si="111"/>
        <v>1.0625360255797355E-10</v>
      </c>
      <c r="S880" s="40" t="b">
        <f>IF(B880=B879,C880&gt;C879,COUNTIF(B$1:B879,B880)=0)</f>
        <v>1</v>
      </c>
      <c r="T880" s="37"/>
    </row>
    <row r="881" spans="1:20" x14ac:dyDescent="0.25">
      <c r="A881" s="37" t="s">
        <v>1621</v>
      </c>
      <c r="B881" s="37" t="s">
        <v>598</v>
      </c>
      <c r="C881" s="37">
        <v>1250</v>
      </c>
      <c r="D881" s="37">
        <v>8.2260000000000009</v>
      </c>
      <c r="E881" s="37" t="s">
        <v>771</v>
      </c>
      <c r="F881" s="37">
        <v>20</v>
      </c>
      <c r="G881" s="37" t="s">
        <v>605</v>
      </c>
      <c r="H881" s="37" t="s">
        <v>728</v>
      </c>
      <c r="I881" s="38">
        <f t="shared" si="104"/>
        <v>8.2260000000000009</v>
      </c>
      <c r="J881" s="38">
        <f t="shared" si="105"/>
        <v>7.1308988302963465</v>
      </c>
      <c r="K881" s="38">
        <f t="shared" si="106"/>
        <v>2.1072998698082324</v>
      </c>
      <c r="L881" s="39">
        <f t="shared" si="107"/>
        <v>0.12156576707999026</v>
      </c>
      <c r="M881" s="39">
        <f t="shared" si="108"/>
        <v>4.2979989131202743</v>
      </c>
      <c r="N881" s="39">
        <f t="shared" si="109"/>
        <v>151.95720884998784</v>
      </c>
      <c r="O881" s="40">
        <f>1</f>
        <v>1</v>
      </c>
      <c r="P881" s="38">
        <f>INDEX(Cables!$AS:$AS,MATCH(B881,Cables!$A:$A,0))+INDEX(Cables!$AT:$AT,MATCH(B881,Cables!$A:$A,0))*SQRT(C881)+INDEX(Cables!$AU:$AU,MATCH(B881,Cables!$A:$A,0))*C881</f>
        <v>8.2259681871576973</v>
      </c>
      <c r="Q881" s="41">
        <f t="shared" si="110"/>
        <v>-3.8673525776244944E-6</v>
      </c>
      <c r="R881" s="39">
        <f t="shared" si="111"/>
        <v>1.495641595965882E-11</v>
      </c>
      <c r="S881" s="40" t="b">
        <f>IF(B881=B880,C881&gt;C880,COUNTIF(B$1:B880,B881)=0)</f>
        <v>1</v>
      </c>
      <c r="T881" s="37"/>
    </row>
    <row r="882" spans="1:20" x14ac:dyDescent="0.25">
      <c r="A882" s="37" t="s">
        <v>1622</v>
      </c>
      <c r="B882" s="37" t="s">
        <v>598</v>
      </c>
      <c r="C882" s="37">
        <v>1500</v>
      </c>
      <c r="D882" s="37">
        <v>9.093</v>
      </c>
      <c r="E882" s="37" t="s">
        <v>771</v>
      </c>
      <c r="F882" s="37">
        <v>20</v>
      </c>
      <c r="G882" s="37" t="s">
        <v>605</v>
      </c>
      <c r="H882" s="37" t="s">
        <v>728</v>
      </c>
      <c r="I882" s="38">
        <f t="shared" si="104"/>
        <v>9.093</v>
      </c>
      <c r="J882" s="38">
        <f t="shared" si="105"/>
        <v>7.3132203870903014</v>
      </c>
      <c r="K882" s="38">
        <f t="shared" si="106"/>
        <v>2.2075048867437759</v>
      </c>
      <c r="L882" s="39">
        <f t="shared" si="107"/>
        <v>0.10997470581766194</v>
      </c>
      <c r="M882" s="39">
        <f t="shared" si="108"/>
        <v>4.2593020413586462</v>
      </c>
      <c r="N882" s="39">
        <f t="shared" si="109"/>
        <v>164.9620587264929</v>
      </c>
      <c r="O882" s="40">
        <f>1</f>
        <v>1</v>
      </c>
      <c r="P882" s="38">
        <f>INDEX(Cables!$AS:$AS,MATCH(B882,Cables!$A:$A,0))+INDEX(Cables!$AT:$AT,MATCH(B882,Cables!$A:$A,0))*SQRT(C882)+INDEX(Cables!$AU:$AU,MATCH(B882,Cables!$A:$A,0))*C882</f>
        <v>9.0925682685178995</v>
      </c>
      <c r="Q882" s="41">
        <f t="shared" si="110"/>
        <v>-4.7479542736206248E-5</v>
      </c>
      <c r="R882" s="39">
        <f t="shared" si="111"/>
        <v>2.2543069784392355E-9</v>
      </c>
      <c r="S882" s="40" t="b">
        <f>IF(B882=B881,C882&gt;C881,COUNTIF(B$1:B881,B882)=0)</f>
        <v>1</v>
      </c>
      <c r="T882" s="37"/>
    </row>
    <row r="883" spans="1:20" x14ac:dyDescent="0.25">
      <c r="A883" s="37" t="s">
        <v>1623</v>
      </c>
      <c r="B883" s="37" t="s">
        <v>598</v>
      </c>
      <c r="C883" s="37">
        <v>1700</v>
      </c>
      <c r="D883" s="37">
        <v>9.7439999999999998</v>
      </c>
      <c r="E883" s="37" t="s">
        <v>771</v>
      </c>
      <c r="F883" s="37">
        <v>20</v>
      </c>
      <c r="G883" s="37" t="s">
        <v>605</v>
      </c>
      <c r="H883" s="37" t="s">
        <v>728</v>
      </c>
      <c r="I883" s="38">
        <f t="shared" si="104"/>
        <v>9.7439999999999998</v>
      </c>
      <c r="J883" s="38">
        <f t="shared" si="105"/>
        <v>7.4383835300443071</v>
      </c>
      <c r="K883" s="38">
        <f t="shared" si="106"/>
        <v>2.276651710967541</v>
      </c>
      <c r="L883" s="39">
        <f t="shared" si="107"/>
        <v>0.10262725779967159</v>
      </c>
      <c r="M883" s="39">
        <f t="shared" si="108"/>
        <v>4.2314302397553991</v>
      </c>
      <c r="N883" s="39">
        <f t="shared" si="109"/>
        <v>174.4663382594417</v>
      </c>
      <c r="O883" s="40">
        <f>1</f>
        <v>1</v>
      </c>
      <c r="P883" s="38">
        <f>INDEX(Cables!$AS:$AS,MATCH(B883,Cables!$A:$A,0))+INDEX(Cables!$AT:$AT,MATCH(B883,Cables!$A:$A,0))*SQRT(C883)+INDEX(Cables!$AU:$AU,MATCH(B883,Cables!$A:$A,0))*C883</f>
        <v>9.7440645316505989</v>
      </c>
      <c r="Q883" s="41">
        <f t="shared" si="110"/>
        <v>6.6227063422186205E-6</v>
      </c>
      <c r="R883" s="39">
        <f t="shared" si="111"/>
        <v>4.386023929526274E-11</v>
      </c>
      <c r="S883" s="40" t="b">
        <f>IF(B883=B882,C883&gt;C882,COUNTIF(B$1:B882,B883)=0)</f>
        <v>1</v>
      </c>
      <c r="T883" s="37"/>
    </row>
    <row r="884" spans="1:20" x14ac:dyDescent="0.25">
      <c r="A884" s="37" t="s">
        <v>1624</v>
      </c>
      <c r="B884" s="37" t="s">
        <v>598</v>
      </c>
      <c r="C884" s="37">
        <v>1794</v>
      </c>
      <c r="D884" s="37">
        <v>10.039</v>
      </c>
      <c r="E884" s="37" t="s">
        <v>771</v>
      </c>
      <c r="F884" s="37">
        <v>20</v>
      </c>
      <c r="G884" s="37" t="s">
        <v>605</v>
      </c>
      <c r="H884" s="37" t="s">
        <v>728</v>
      </c>
      <c r="I884" s="38">
        <f t="shared" si="104"/>
        <v>10.039</v>
      </c>
      <c r="J884" s="38">
        <f t="shared" si="105"/>
        <v>7.4922030426187414</v>
      </c>
      <c r="K884" s="38">
        <f t="shared" si="106"/>
        <v>2.3064775077093893</v>
      </c>
      <c r="L884" s="39">
        <f t="shared" si="107"/>
        <v>9.9611515091144534E-2</v>
      </c>
      <c r="M884" s="39">
        <f t="shared" si="108"/>
        <v>4.219109191064323</v>
      </c>
      <c r="N884" s="39">
        <f t="shared" si="109"/>
        <v>178.70305807351329</v>
      </c>
      <c r="O884" s="40">
        <f>1</f>
        <v>1</v>
      </c>
      <c r="P884" s="38">
        <f>INDEX(Cables!$AS:$AS,MATCH(B884,Cables!$A:$A,0))+INDEX(Cables!$AT:$AT,MATCH(B884,Cables!$A:$A,0))*SQRT(C884)+INDEX(Cables!$AU:$AU,MATCH(B884,Cables!$A:$A,0))*C884</f>
        <v>10.039526808691257</v>
      </c>
      <c r="Q884" s="41">
        <f t="shared" si="110"/>
        <v>5.2476211899188385E-5</v>
      </c>
      <c r="R884" s="39">
        <f t="shared" si="111"/>
        <v>2.7537528152885208E-9</v>
      </c>
      <c r="S884" s="40" t="b">
        <f>IF(B884=B883,C884&gt;C883,COUNTIF(B$1:B883,B884)=0)</f>
        <v>1</v>
      </c>
      <c r="T884" s="37"/>
    </row>
    <row r="885" spans="1:20" x14ac:dyDescent="0.25">
      <c r="A885" s="37" t="s">
        <v>1625</v>
      </c>
      <c r="B885" s="37" t="s">
        <v>598</v>
      </c>
      <c r="C885" s="37">
        <v>1800</v>
      </c>
      <c r="D885" s="37">
        <v>10.058</v>
      </c>
      <c r="E885" s="37" t="s">
        <v>771</v>
      </c>
      <c r="F885" s="37">
        <v>20</v>
      </c>
      <c r="G885" s="37" t="s">
        <v>605</v>
      </c>
      <c r="H885" s="37" t="s">
        <v>728</v>
      </c>
      <c r="I885" s="38">
        <f t="shared" si="104"/>
        <v>10.058</v>
      </c>
      <c r="J885" s="38">
        <f t="shared" si="105"/>
        <v>7.4955419438842563</v>
      </c>
      <c r="K885" s="38">
        <f t="shared" si="106"/>
        <v>2.3083683377497728</v>
      </c>
      <c r="L885" s="39">
        <f t="shared" si="107"/>
        <v>9.9423344601312386E-2</v>
      </c>
      <c r="M885" s="39">
        <f t="shared" si="108"/>
        <v>4.2181752705500948</v>
      </c>
      <c r="N885" s="39">
        <f t="shared" si="109"/>
        <v>178.96202028236229</v>
      </c>
      <c r="O885" s="40">
        <f>1</f>
        <v>1</v>
      </c>
      <c r="P885" s="38">
        <f>INDEX(Cables!$AS:$AS,MATCH(B885,Cables!$A:$A,0))+INDEX(Cables!$AT:$AT,MATCH(B885,Cables!$A:$A,0))*SQRT(C885)+INDEX(Cables!$AU:$AU,MATCH(B885,Cables!$A:$A,0))*C885</f>
        <v>10.05817293030292</v>
      </c>
      <c r="Q885" s="41">
        <f t="shared" si="110"/>
        <v>1.7193309099328147E-5</v>
      </c>
      <c r="R885" s="39">
        <f t="shared" si="111"/>
        <v>2.9560987778504003E-10</v>
      </c>
      <c r="S885" s="40" t="b">
        <f>IF(B885=B884,C885&gt;C884,COUNTIF(B$1:B884,B885)=0)</f>
        <v>1</v>
      </c>
      <c r="T885" s="37"/>
    </row>
    <row r="886" spans="1:20" x14ac:dyDescent="0.25">
      <c r="A886" s="37" t="s">
        <v>1626</v>
      </c>
      <c r="B886" s="37" t="s">
        <v>598</v>
      </c>
      <c r="C886" s="37">
        <v>2000</v>
      </c>
      <c r="D886" s="37">
        <v>10.666</v>
      </c>
      <c r="E886" s="37" t="s">
        <v>771</v>
      </c>
      <c r="F886" s="37">
        <v>20</v>
      </c>
      <c r="G886" s="37" t="s">
        <v>605</v>
      </c>
      <c r="H886" s="37" t="s">
        <v>728</v>
      </c>
      <c r="I886" s="38">
        <f t="shared" si="104"/>
        <v>10.666</v>
      </c>
      <c r="J886" s="38">
        <f t="shared" si="105"/>
        <v>7.6009024595420822</v>
      </c>
      <c r="K886" s="38">
        <f t="shared" si="106"/>
        <v>2.3670611121784106</v>
      </c>
      <c r="L886" s="39">
        <f t="shared" si="107"/>
        <v>9.3755859741233821E-2</v>
      </c>
      <c r="M886" s="39">
        <f t="shared" si="108"/>
        <v>4.1928895134066932</v>
      </c>
      <c r="N886" s="39">
        <f t="shared" si="109"/>
        <v>187.51171948246764</v>
      </c>
      <c r="O886" s="40">
        <f>1</f>
        <v>1</v>
      </c>
      <c r="P886" s="38">
        <f>INDEX(Cables!$AS:$AS,MATCH(B886,Cables!$A:$A,0))+INDEX(Cables!$AT:$AT,MATCH(B886,Cables!$A:$A,0))*SQRT(C886)+INDEX(Cables!$AU:$AU,MATCH(B886,Cables!$A:$A,0))*C886</f>
        <v>10.666221942748635</v>
      </c>
      <c r="Q886" s="41">
        <f t="shared" si="110"/>
        <v>2.0808433211616517E-5</v>
      </c>
      <c r="R886" s="39">
        <f t="shared" si="111"/>
        <v>4.3299089272230527E-10</v>
      </c>
      <c r="S886" s="40" t="b">
        <f>IF(B886=B885,C886&gt;C885,COUNTIF(B$1:B885,B886)=0)</f>
        <v>1</v>
      </c>
      <c r="T886" s="37"/>
    </row>
    <row r="887" spans="1:20" x14ac:dyDescent="0.25">
      <c r="A887" s="37" t="s">
        <v>1627</v>
      </c>
      <c r="B887" s="37" t="s">
        <v>598</v>
      </c>
      <c r="C887" s="37">
        <v>2100</v>
      </c>
      <c r="D887" s="37">
        <v>10.961</v>
      </c>
      <c r="E887" s="37" t="s">
        <v>771</v>
      </c>
      <c r="F887" s="37">
        <v>20</v>
      </c>
      <c r="G887" s="37" t="s">
        <v>605</v>
      </c>
      <c r="H887" s="37" t="s">
        <v>728</v>
      </c>
      <c r="I887" s="38">
        <f t="shared" si="104"/>
        <v>10.961</v>
      </c>
      <c r="J887" s="38">
        <f t="shared" si="105"/>
        <v>7.6496926237115144</v>
      </c>
      <c r="K887" s="38">
        <f t="shared" si="106"/>
        <v>2.3943435182335864</v>
      </c>
      <c r="L887" s="39">
        <f t="shared" si="107"/>
        <v>9.1232551774473133E-2</v>
      </c>
      <c r="M887" s="39">
        <f t="shared" si="108"/>
        <v>4.1808007435050083</v>
      </c>
      <c r="N887" s="39">
        <f t="shared" si="109"/>
        <v>191.58835872639358</v>
      </c>
      <c r="O887" s="40">
        <f>1</f>
        <v>1</v>
      </c>
      <c r="P887" s="38">
        <f>INDEX(Cables!$AS:$AS,MATCH(B887,Cables!$A:$A,0))+INDEX(Cables!$AT:$AT,MATCH(B887,Cables!$A:$A,0))*SQRT(C887)+INDEX(Cables!$AU:$AU,MATCH(B887,Cables!$A:$A,0))*C887</f>
        <v>10.961172611514277</v>
      </c>
      <c r="Q887" s="41">
        <f t="shared" si="110"/>
        <v>1.5747788913111904E-5</v>
      </c>
      <c r="R887" s="39">
        <f t="shared" si="111"/>
        <v>2.4799285565193019E-10</v>
      </c>
      <c r="S887" s="40" t="b">
        <f>IF(B887=B886,C887&gt;C886,COUNTIF(B$1:B886,B887)=0)</f>
        <v>1</v>
      </c>
      <c r="T887" s="37"/>
    </row>
    <row r="888" spans="1:20" x14ac:dyDescent="0.25">
      <c r="A888" s="37" t="s">
        <v>1628</v>
      </c>
      <c r="B888" s="37" t="s">
        <v>598</v>
      </c>
      <c r="C888" s="37">
        <v>2200</v>
      </c>
      <c r="D888" s="37">
        <v>11.250999999999999</v>
      </c>
      <c r="E888" s="37" t="s">
        <v>771</v>
      </c>
      <c r="F888" s="37">
        <v>20</v>
      </c>
      <c r="G888" s="37" t="s">
        <v>605</v>
      </c>
      <c r="H888" s="37" t="s">
        <v>728</v>
      </c>
      <c r="I888" s="38">
        <f t="shared" si="104"/>
        <v>11.250999999999999</v>
      </c>
      <c r="J888" s="38">
        <f t="shared" si="105"/>
        <v>7.696212639346407</v>
      </c>
      <c r="K888" s="38">
        <f t="shared" si="106"/>
        <v>2.4204570135889347</v>
      </c>
      <c r="L888" s="39">
        <f t="shared" si="107"/>
        <v>8.8880988356590529E-2</v>
      </c>
      <c r="M888" s="39">
        <f t="shared" si="108"/>
        <v>4.1688878853643496</v>
      </c>
      <c r="N888" s="39">
        <f t="shared" si="109"/>
        <v>195.53817438449917</v>
      </c>
      <c r="O888" s="40">
        <f>1</f>
        <v>1</v>
      </c>
      <c r="P888" s="38">
        <f>INDEX(Cables!$AS:$AS,MATCH(B888,Cables!$A:$A,0))+INDEX(Cables!$AT:$AT,MATCH(B888,Cables!$A:$A,0))*SQRT(C888)+INDEX(Cables!$AU:$AU,MATCH(B888,Cables!$A:$A,0))*C888</f>
        <v>11.250647512007907</v>
      </c>
      <c r="Q888" s="41">
        <f t="shared" si="110"/>
        <v>-3.1329481121056268E-5</v>
      </c>
      <c r="R888" s="39">
        <f t="shared" si="111"/>
        <v>9.8153638731462116E-10</v>
      </c>
      <c r="S888" s="40" t="b">
        <f>IF(B888=B887,C888&gt;C887,COUNTIF(B$1:B887,B888)=0)</f>
        <v>1</v>
      </c>
      <c r="T888" s="37"/>
    </row>
    <row r="889" spans="1:20" x14ac:dyDescent="0.25">
      <c r="A889" s="37" t="s">
        <v>1629</v>
      </c>
      <c r="B889" s="37" t="s">
        <v>598</v>
      </c>
      <c r="C889" s="37">
        <v>2300</v>
      </c>
      <c r="D889" s="37">
        <v>11.535</v>
      </c>
      <c r="E889" s="37" t="s">
        <v>771</v>
      </c>
      <c r="F889" s="37">
        <v>20</v>
      </c>
      <c r="G889" s="37" t="s">
        <v>605</v>
      </c>
      <c r="H889" s="37" t="s">
        <v>728</v>
      </c>
      <c r="I889" s="38">
        <f t="shared" si="104"/>
        <v>11.535</v>
      </c>
      <c r="J889" s="38">
        <f t="shared" si="105"/>
        <v>7.7406644019172415</v>
      </c>
      <c r="K889" s="38">
        <f t="shared" si="106"/>
        <v>2.4453858916257172</v>
      </c>
      <c r="L889" s="39">
        <f t="shared" si="107"/>
        <v>8.6692674469007372E-2</v>
      </c>
      <c r="M889" s="39">
        <f t="shared" si="108"/>
        <v>4.1576346105875333</v>
      </c>
      <c r="N889" s="39">
        <f t="shared" si="109"/>
        <v>199.39315127871694</v>
      </c>
      <c r="O889" s="40">
        <f>1</f>
        <v>1</v>
      </c>
      <c r="P889" s="38">
        <f>INDEX(Cables!$AS:$AS,MATCH(B889,Cables!$A:$A,0))+INDEX(Cables!$AT:$AT,MATCH(B889,Cables!$A:$A,0))*SQRT(C889)+INDEX(Cables!$AU:$AU,MATCH(B889,Cables!$A:$A,0))*C889</f>
        <v>11.535016038775469</v>
      </c>
      <c r="Q889" s="41">
        <f t="shared" si="110"/>
        <v>1.3904443405543532E-6</v>
      </c>
      <c r="R889" s="39">
        <f t="shared" si="111"/>
        <v>1.9333354641796299E-12</v>
      </c>
      <c r="S889" s="40" t="b">
        <f>IF(B889=B888,C889&gt;C888,COUNTIF(B$1:B888,B889)=0)</f>
        <v>1</v>
      </c>
      <c r="T889" s="37"/>
    </row>
    <row r="890" spans="1:20" x14ac:dyDescent="0.25">
      <c r="A890" s="37" t="s">
        <v>1630</v>
      </c>
      <c r="B890" s="37" t="s">
        <v>598</v>
      </c>
      <c r="C890" s="37">
        <v>2500</v>
      </c>
      <c r="D890" s="37">
        <v>12.09</v>
      </c>
      <c r="E890" s="37" t="s">
        <v>771</v>
      </c>
      <c r="F890" s="37">
        <v>20</v>
      </c>
      <c r="G890" s="37" t="s">
        <v>605</v>
      </c>
      <c r="H890" s="37" t="s">
        <v>728</v>
      </c>
      <c r="I890" s="38">
        <f t="shared" si="104"/>
        <v>12.09</v>
      </c>
      <c r="J890" s="38">
        <f t="shared" si="105"/>
        <v>7.8240460108562919</v>
      </c>
      <c r="K890" s="38">
        <f t="shared" si="106"/>
        <v>2.4923786646267012</v>
      </c>
      <c r="L890" s="39">
        <f t="shared" si="107"/>
        <v>8.2712985938792394E-2</v>
      </c>
      <c r="M890" s="39">
        <f t="shared" si="108"/>
        <v>4.1356492969396195</v>
      </c>
      <c r="N890" s="39">
        <f t="shared" si="109"/>
        <v>206.78246484698099</v>
      </c>
      <c r="O890" s="40">
        <f>1</f>
        <v>1</v>
      </c>
      <c r="P890" s="38">
        <f>INDEX(Cables!$AS:$AS,MATCH(B890,Cables!$A:$A,0))+INDEX(Cables!$AT:$AT,MATCH(B890,Cables!$A:$A,0))*SQRT(C890)+INDEX(Cables!$AU:$AU,MATCH(B890,Cables!$A:$A,0))*C890</f>
        <v>12.089718523321975</v>
      </c>
      <c r="Q890" s="41">
        <f t="shared" si="110"/>
        <v>-2.3281776511563379E-5</v>
      </c>
      <c r="R890" s="39">
        <f t="shared" si="111"/>
        <v>5.4204111753438423E-10</v>
      </c>
      <c r="S890" s="40" t="b">
        <f>IF(B890=B889,C890&gt;C889,COUNTIF(B$1:B889,B890)=0)</f>
        <v>1</v>
      </c>
      <c r="T890" s="37"/>
    </row>
    <row r="891" spans="1:20" x14ac:dyDescent="0.25">
      <c r="A891" s="37" t="s">
        <v>1631</v>
      </c>
      <c r="B891" s="37" t="s">
        <v>598</v>
      </c>
      <c r="C891" s="37">
        <v>2700</v>
      </c>
      <c r="D891" s="37">
        <v>12.627000000000001</v>
      </c>
      <c r="E891" s="37" t="s">
        <v>771</v>
      </c>
      <c r="F891" s="37">
        <v>20</v>
      </c>
      <c r="G891" s="37" t="s">
        <v>605</v>
      </c>
      <c r="H891" s="37" t="s">
        <v>728</v>
      </c>
      <c r="I891" s="38">
        <f t="shared" si="104"/>
        <v>12.627000000000001</v>
      </c>
      <c r="J891" s="38">
        <f t="shared" si="105"/>
        <v>7.90100705199242</v>
      </c>
      <c r="K891" s="38">
        <f t="shared" si="106"/>
        <v>2.5358373784565433</v>
      </c>
      <c r="L891" s="39">
        <f t="shared" si="107"/>
        <v>7.919537499010057E-2</v>
      </c>
      <c r="M891" s="39">
        <f t="shared" si="108"/>
        <v>4.1151123962197129</v>
      </c>
      <c r="N891" s="39">
        <f t="shared" si="109"/>
        <v>213.82751247327155</v>
      </c>
      <c r="O891" s="40">
        <f>1</f>
        <v>1</v>
      </c>
      <c r="P891" s="38">
        <f>INDEX(Cables!$AS:$AS,MATCH(B891,Cables!$A:$A,0))+INDEX(Cables!$AT:$AT,MATCH(B891,Cables!$A:$A,0))*SQRT(C891)+INDEX(Cables!$AU:$AU,MATCH(B891,Cables!$A:$A,0))*C891</f>
        <v>12.627536569407198</v>
      </c>
      <c r="Q891" s="41">
        <f t="shared" si="110"/>
        <v>4.2493815411104308E-5</v>
      </c>
      <c r="R891" s="39">
        <f t="shared" si="111"/>
        <v>1.8057243481930059E-9</v>
      </c>
      <c r="S891" s="40" t="b">
        <f>IF(B891=B890,C891&gt;C890,COUNTIF(B$1:B890,B891)=0)</f>
        <v>1</v>
      </c>
      <c r="T891" s="37"/>
    </row>
    <row r="892" spans="1:20" x14ac:dyDescent="0.25">
      <c r="A892" s="37" t="s">
        <v>1632</v>
      </c>
      <c r="B892" s="37" t="s">
        <v>598</v>
      </c>
      <c r="C892" s="37">
        <v>3000</v>
      </c>
      <c r="D892" s="37">
        <v>13.407</v>
      </c>
      <c r="E892" s="37" t="s">
        <v>771</v>
      </c>
      <c r="F892" s="37">
        <v>20</v>
      </c>
      <c r="G892" s="37" t="s">
        <v>605</v>
      </c>
      <c r="H892" s="37" t="s">
        <v>728</v>
      </c>
      <c r="I892" s="38">
        <f t="shared" si="104"/>
        <v>13.407</v>
      </c>
      <c r="J892" s="38">
        <f t="shared" si="105"/>
        <v>8.0063675676502459</v>
      </c>
      <c r="K892" s="38">
        <f t="shared" si="106"/>
        <v>2.5957769586194241</v>
      </c>
      <c r="L892" s="39">
        <f t="shared" si="107"/>
        <v>7.4587901842321169E-2</v>
      </c>
      <c r="M892" s="39">
        <f t="shared" si="108"/>
        <v>4.0853476356020444</v>
      </c>
      <c r="N892" s="39">
        <f t="shared" si="109"/>
        <v>223.76370552696352</v>
      </c>
      <c r="O892" s="40">
        <f>1</f>
        <v>1</v>
      </c>
      <c r="P892" s="38">
        <f>INDEX(Cables!$AS:$AS,MATCH(B892,Cables!$A:$A,0))+INDEX(Cables!$AT:$AT,MATCH(B892,Cables!$A:$A,0))*SQRT(C892)+INDEX(Cables!$AU:$AU,MATCH(B892,Cables!$A:$A,0))*C892</f>
        <v>13.406553879845744</v>
      </c>
      <c r="Q892" s="41">
        <f t="shared" si="110"/>
        <v>-3.3275166275603674E-5</v>
      </c>
      <c r="R892" s="39">
        <f t="shared" si="111"/>
        <v>1.107236690669072E-9</v>
      </c>
      <c r="S892" s="40" t="b">
        <f>IF(B892=B891,C892&gt;C891,COUNTIF(B$1:B891,B892)=0)</f>
        <v>1</v>
      </c>
      <c r="T892" s="37"/>
    </row>
    <row r="893" spans="1:20" x14ac:dyDescent="0.25">
      <c r="A893" s="37" t="s">
        <v>1633</v>
      </c>
      <c r="B893" s="37" t="s">
        <v>598</v>
      </c>
      <c r="C893" s="37">
        <v>3400</v>
      </c>
      <c r="D893" s="37">
        <v>14.401</v>
      </c>
      <c r="E893" s="37" t="s">
        <v>771</v>
      </c>
      <c r="F893" s="37">
        <v>20</v>
      </c>
      <c r="G893" s="37" t="s">
        <v>605</v>
      </c>
      <c r="H893" s="37" t="s">
        <v>728</v>
      </c>
      <c r="I893" s="38">
        <f t="shared" si="104"/>
        <v>14.401</v>
      </c>
      <c r="J893" s="38">
        <f t="shared" si="105"/>
        <v>8.1315307106042525</v>
      </c>
      <c r="K893" s="38">
        <f t="shared" si="106"/>
        <v>2.6672976486152455</v>
      </c>
      <c r="L893" s="39">
        <f t="shared" si="107"/>
        <v>6.9439622248454971E-2</v>
      </c>
      <c r="M893" s="39">
        <f t="shared" si="108"/>
        <v>4.0489909692697035</v>
      </c>
      <c r="N893" s="39">
        <f t="shared" si="109"/>
        <v>236.09471564474688</v>
      </c>
      <c r="O893" s="40">
        <f>1</f>
        <v>1</v>
      </c>
      <c r="P893" s="38">
        <f>INDEX(Cables!$AS:$AS,MATCH(B893,Cables!$A:$A,0))+INDEX(Cables!$AT:$AT,MATCH(B893,Cables!$A:$A,0))*SQRT(C893)+INDEX(Cables!$AU:$AU,MATCH(B893,Cables!$A:$A,0))*C893</f>
        <v>14.400930945651833</v>
      </c>
      <c r="Q893" s="41">
        <f t="shared" si="110"/>
        <v>-4.7951078513408518E-6</v>
      </c>
      <c r="R893" s="39">
        <f t="shared" si="111"/>
        <v>2.2993059305990679E-11</v>
      </c>
      <c r="S893" s="40" t="b">
        <f>IF(B893=B892,C893&gt;C892,COUNTIF(B$1:B892,B893)=0)</f>
        <v>1</v>
      </c>
      <c r="T893" s="37"/>
    </row>
    <row r="894" spans="1:20" x14ac:dyDescent="0.25">
      <c r="A894" s="37" t="s">
        <v>1634</v>
      </c>
      <c r="B894" s="37" t="s">
        <v>598</v>
      </c>
      <c r="C894" s="37">
        <v>3600</v>
      </c>
      <c r="D894" s="37">
        <v>14.882</v>
      </c>
      <c r="E894" s="37" t="s">
        <v>771</v>
      </c>
      <c r="F894" s="37">
        <v>20</v>
      </c>
      <c r="G894" s="37" t="s">
        <v>605</v>
      </c>
      <c r="H894" s="37" t="s">
        <v>728</v>
      </c>
      <c r="I894" s="38">
        <f t="shared" si="104"/>
        <v>14.882</v>
      </c>
      <c r="J894" s="38">
        <f t="shared" si="105"/>
        <v>8.1886891244442008</v>
      </c>
      <c r="K894" s="38">
        <f t="shared" si="106"/>
        <v>2.7001524289750694</v>
      </c>
      <c r="L894" s="39">
        <f t="shared" si="107"/>
        <v>6.7195269453030504E-2</v>
      </c>
      <c r="M894" s="39">
        <f t="shared" si="108"/>
        <v>4.0317161671818305</v>
      </c>
      <c r="N894" s="39">
        <f t="shared" si="109"/>
        <v>241.90297003090984</v>
      </c>
      <c r="O894" s="40">
        <f>1</f>
        <v>1</v>
      </c>
      <c r="P894" s="38">
        <f>INDEX(Cables!$AS:$AS,MATCH(B894,Cables!$A:$A,0))+INDEX(Cables!$AT:$AT,MATCH(B894,Cables!$A:$A,0))*SQRT(C894)+INDEX(Cables!$AU:$AU,MATCH(B894,Cables!$A:$A,0))*C894</f>
        <v>14.881658410405457</v>
      </c>
      <c r="Q894" s="41">
        <f t="shared" si="110"/>
        <v>-2.2953204847686592E-5</v>
      </c>
      <c r="R894" s="39">
        <f t="shared" si="111"/>
        <v>5.268496127798633E-10</v>
      </c>
      <c r="S894" s="40" t="b">
        <f>IF(B894=B893,C894&gt;C893,COUNTIF(B$1:B893,B894)=0)</f>
        <v>1</v>
      </c>
      <c r="T894" s="37"/>
    </row>
    <row r="895" spans="1:20" x14ac:dyDescent="0.25">
      <c r="A895" s="37" t="s">
        <v>1635</v>
      </c>
      <c r="B895" s="37" t="s">
        <v>598</v>
      </c>
      <c r="C895" s="37">
        <v>3700</v>
      </c>
      <c r="D895" s="37">
        <v>15.118</v>
      </c>
      <c r="E895" s="37" t="s">
        <v>771</v>
      </c>
      <c r="F895" s="37">
        <v>20</v>
      </c>
      <c r="G895" s="37" t="s">
        <v>605</v>
      </c>
      <c r="H895" s="37" t="s">
        <v>728</v>
      </c>
      <c r="I895" s="38">
        <f t="shared" si="104"/>
        <v>15.118</v>
      </c>
      <c r="J895" s="38">
        <f t="shared" si="105"/>
        <v>8.2160880986323157</v>
      </c>
      <c r="K895" s="38">
        <f t="shared" si="106"/>
        <v>2.7158860868699848</v>
      </c>
      <c r="L895" s="39">
        <f t="shared" si="107"/>
        <v>6.6146315650218279E-2</v>
      </c>
      <c r="M895" s="39">
        <f t="shared" si="108"/>
        <v>4.0235233035442652</v>
      </c>
      <c r="N895" s="39">
        <f t="shared" si="109"/>
        <v>244.74136790580764</v>
      </c>
      <c r="O895" s="40">
        <f>1</f>
        <v>1</v>
      </c>
      <c r="P895" s="38">
        <f>INDEX(Cables!$AS:$AS,MATCH(B895,Cables!$A:$A,0))+INDEX(Cables!$AT:$AT,MATCH(B895,Cables!$A:$A,0))*SQRT(C895)+INDEX(Cables!$AU:$AU,MATCH(B895,Cables!$A:$A,0))*C895</f>
        <v>15.118311799190279</v>
      </c>
      <c r="Q895" s="41">
        <f t="shared" si="110"/>
        <v>2.0624367659705101E-5</v>
      </c>
      <c r="R895" s="39">
        <f t="shared" si="111"/>
        <v>4.2536454136268967E-10</v>
      </c>
      <c r="S895" s="40" t="b">
        <f>IF(B895=B894,C895&gt;C894,COUNTIF(B$1:B894,B895)=0)</f>
        <v>1</v>
      </c>
      <c r="T895" s="37"/>
    </row>
    <row r="896" spans="1:20" x14ac:dyDescent="0.25">
      <c r="A896" s="37" t="s">
        <v>1636</v>
      </c>
      <c r="B896" s="37" t="s">
        <v>598</v>
      </c>
      <c r="C896" s="37">
        <v>3800</v>
      </c>
      <c r="D896" s="37">
        <v>15.353</v>
      </c>
      <c r="E896" s="37" t="s">
        <v>771</v>
      </c>
      <c r="F896" s="37">
        <v>20</v>
      </c>
      <c r="G896" s="37" t="s">
        <v>605</v>
      </c>
      <c r="H896" s="37" t="s">
        <v>728</v>
      </c>
      <c r="I896" s="38">
        <f t="shared" si="104"/>
        <v>15.353</v>
      </c>
      <c r="J896" s="38">
        <f t="shared" si="105"/>
        <v>8.2427563457144775</v>
      </c>
      <c r="K896" s="38">
        <f t="shared" si="106"/>
        <v>2.7313108946767621</v>
      </c>
      <c r="L896" s="39">
        <f t="shared" si="107"/>
        <v>6.5133850061877163E-2</v>
      </c>
      <c r="M896" s="39">
        <f t="shared" si="108"/>
        <v>4.0151201738871727</v>
      </c>
      <c r="N896" s="39">
        <f t="shared" si="109"/>
        <v>247.50863023513321</v>
      </c>
      <c r="O896" s="40">
        <f>1</f>
        <v>1</v>
      </c>
      <c r="P896" s="38">
        <f>INDEX(Cables!$AS:$AS,MATCH(B896,Cables!$A:$A,0))+INDEX(Cables!$AT:$AT,MATCH(B896,Cables!$A:$A,0))*SQRT(C896)+INDEX(Cables!$AU:$AU,MATCH(B896,Cables!$A:$A,0))*C896</f>
        <v>15.352624936252351</v>
      </c>
      <c r="Q896" s="41">
        <f t="shared" si="110"/>
        <v>-2.4429345902965416E-5</v>
      </c>
      <c r="R896" s="39">
        <f t="shared" si="111"/>
        <v>5.9679294124673316E-10</v>
      </c>
      <c r="S896" s="40" t="b">
        <f>IF(B896=B895,C896&gt;C895,COUNTIF(B$1:B895,B896)=0)</f>
        <v>1</v>
      </c>
      <c r="T896" s="37"/>
    </row>
    <row r="897" spans="1:20" x14ac:dyDescent="0.25">
      <c r="A897" s="37" t="s">
        <v>1637</v>
      </c>
      <c r="B897" s="37" t="s">
        <v>598</v>
      </c>
      <c r="C897" s="37">
        <v>3900</v>
      </c>
      <c r="D897" s="37">
        <v>15.585000000000001</v>
      </c>
      <c r="E897" s="37" t="s">
        <v>771</v>
      </c>
      <c r="F897" s="37">
        <v>20</v>
      </c>
      <c r="G897" s="37" t="s">
        <v>605</v>
      </c>
      <c r="H897" s="37" t="s">
        <v>728</v>
      </c>
      <c r="I897" s="38">
        <f t="shared" si="104"/>
        <v>15.585000000000001</v>
      </c>
      <c r="J897" s="38">
        <f t="shared" si="105"/>
        <v>8.2687318321177372</v>
      </c>
      <c r="K897" s="38">
        <f t="shared" si="106"/>
        <v>2.7463089132193006</v>
      </c>
      <c r="L897" s="39">
        <f t="shared" si="107"/>
        <v>6.416426050689765E-2</v>
      </c>
      <c r="M897" s="39">
        <f t="shared" si="108"/>
        <v>4.0070567843428924</v>
      </c>
      <c r="N897" s="39">
        <f t="shared" si="109"/>
        <v>250.24061597690084</v>
      </c>
      <c r="O897" s="40">
        <f>1</f>
        <v>1</v>
      </c>
      <c r="P897" s="38">
        <f>INDEX(Cables!$AS:$AS,MATCH(B897,Cables!$A:$A,0))+INDEX(Cables!$AT:$AT,MATCH(B897,Cables!$A:$A,0))*SQRT(C897)+INDEX(Cables!$AU:$AU,MATCH(B897,Cables!$A:$A,0))*C897</f>
        <v>15.584689616176581</v>
      </c>
      <c r="Q897" s="41">
        <f t="shared" si="110"/>
        <v>-1.9915548503002256E-5</v>
      </c>
      <c r="R897" s="39">
        <f t="shared" si="111"/>
        <v>3.9662907217543543E-10</v>
      </c>
      <c r="S897" s="40" t="b">
        <f>IF(B897=B896,C897&gt;C896,COUNTIF(B$1:B896,B897)=0)</f>
        <v>1</v>
      </c>
      <c r="T897" s="37"/>
    </row>
    <row r="898" spans="1:20" x14ac:dyDescent="0.25">
      <c r="A898" s="37" t="s">
        <v>1638</v>
      </c>
      <c r="B898" s="37" t="s">
        <v>598</v>
      </c>
      <c r="C898" s="37">
        <v>4000</v>
      </c>
      <c r="D898" s="37">
        <v>15.815</v>
      </c>
      <c r="E898" s="37" t="s">
        <v>771</v>
      </c>
      <c r="F898" s="37">
        <v>20</v>
      </c>
      <c r="G898" s="37" t="s">
        <v>605</v>
      </c>
      <c r="H898" s="37" t="s">
        <v>728</v>
      </c>
      <c r="I898" s="38">
        <f t="shared" ref="I898:I961" si="112">IF(E898="dB/100ft",D898*100/30.48,D898)</f>
        <v>15.815</v>
      </c>
      <c r="J898" s="38">
        <f t="shared" ref="J898:J961" si="113">LN(C898)</f>
        <v>8.2940496401020276</v>
      </c>
      <c r="K898" s="38">
        <f t="shared" ref="K898:K961" si="114">LN(I898)</f>
        <v>2.760958856757612</v>
      </c>
      <c r="L898" s="39">
        <f t="shared" ref="L898:L961" si="115">1/I898</f>
        <v>6.3231109705975341E-2</v>
      </c>
      <c r="M898" s="39">
        <f t="shared" ref="M898:M961" si="116">SQRT(C898)/I898</f>
        <v>3.9990865130172359</v>
      </c>
      <c r="N898" s="39">
        <f t="shared" ref="N898:N961" si="117">C898/I898</f>
        <v>252.92443882390137</v>
      </c>
      <c r="O898" s="40">
        <f>1</f>
        <v>1</v>
      </c>
      <c r="P898" s="38">
        <f>INDEX(Cables!$AS:$AS,MATCH(B898,Cables!$A:$A,0))+INDEX(Cables!$AT:$AT,MATCH(B898,Cables!$A:$A,0))*SQRT(C898)+INDEX(Cables!$AU:$AU,MATCH(B898,Cables!$A:$A,0))*C898</f>
        <v>15.81459178504219</v>
      </c>
      <c r="Q898" s="41">
        <f t="shared" ref="Q898:Q961" si="118">P898/I898-1</f>
        <v>-2.5811884780901906E-5</v>
      </c>
      <c r="R898" s="39">
        <f t="shared" ref="R898:R961" si="119">Q898^2</f>
        <v>6.6625339594255543E-10</v>
      </c>
      <c r="S898" s="40" t="b">
        <f>IF(B898=B897,C898&gt;C897,COUNTIF(B$1:B897,B898)=0)</f>
        <v>1</v>
      </c>
      <c r="T898" s="37"/>
    </row>
    <row r="899" spans="1:20" x14ac:dyDescent="0.25">
      <c r="A899" s="37" t="s">
        <v>1639</v>
      </c>
      <c r="B899" s="37" t="s">
        <v>598</v>
      </c>
      <c r="C899" s="37">
        <v>4100</v>
      </c>
      <c r="D899" s="37">
        <v>16.042000000000002</v>
      </c>
      <c r="E899" s="37" t="s">
        <v>771</v>
      </c>
      <c r="F899" s="37">
        <v>20</v>
      </c>
      <c r="G899" s="37" t="s">
        <v>605</v>
      </c>
      <c r="H899" s="37" t="s">
        <v>728</v>
      </c>
      <c r="I899" s="38">
        <f t="shared" si="112"/>
        <v>16.042000000000002</v>
      </c>
      <c r="J899" s="38">
        <f t="shared" si="113"/>
        <v>8.3187422526923989</v>
      </c>
      <c r="K899" s="38">
        <f t="shared" si="114"/>
        <v>2.7752102829447329</v>
      </c>
      <c r="L899" s="39">
        <f t="shared" si="115"/>
        <v>6.2336367036529103E-2</v>
      </c>
      <c r="M899" s="39">
        <f t="shared" si="116"/>
        <v>3.9914750264510959</v>
      </c>
      <c r="N899" s="39">
        <f t="shared" si="117"/>
        <v>255.57910484976932</v>
      </c>
      <c r="O899" s="40">
        <f>1</f>
        <v>1</v>
      </c>
      <c r="P899" s="38">
        <f>INDEX(Cables!$AS:$AS,MATCH(B899,Cables!$A:$A,0))+INDEX(Cables!$AT:$AT,MATCH(B899,Cables!$A:$A,0))*SQRT(C899)+INDEX(Cables!$AU:$AU,MATCH(B899,Cables!$A:$A,0))*C899</f>
        <v>16.042412049173318</v>
      </c>
      <c r="Q899" s="41">
        <f t="shared" si="118"/>
        <v>2.5685648505024972E-5</v>
      </c>
      <c r="R899" s="39">
        <f t="shared" si="119"/>
        <v>6.5975253912369154E-10</v>
      </c>
      <c r="S899" s="40" t="b">
        <f>IF(B899=B898,C899&gt;C898,COUNTIF(B$1:B898,B899)=0)</f>
        <v>1</v>
      </c>
      <c r="T899" s="37"/>
    </row>
    <row r="900" spans="1:20" x14ac:dyDescent="0.25">
      <c r="A900" s="37" t="s">
        <v>1640</v>
      </c>
      <c r="B900" s="37" t="s">
        <v>598</v>
      </c>
      <c r="C900" s="37">
        <v>4200</v>
      </c>
      <c r="D900" s="37">
        <v>16.268000000000001</v>
      </c>
      <c r="E900" s="37" t="s">
        <v>771</v>
      </c>
      <c r="F900" s="37">
        <v>20</v>
      </c>
      <c r="G900" s="37" t="s">
        <v>605</v>
      </c>
      <c r="H900" s="37" t="s">
        <v>728</v>
      </c>
      <c r="I900" s="38">
        <f t="shared" si="112"/>
        <v>16.268000000000001</v>
      </c>
      <c r="J900" s="38">
        <f t="shared" si="113"/>
        <v>8.3428398042714598</v>
      </c>
      <c r="K900" s="38">
        <f t="shared" si="114"/>
        <v>2.7891999880449783</v>
      </c>
      <c r="L900" s="39">
        <f t="shared" si="115"/>
        <v>6.1470371281042532E-2</v>
      </c>
      <c r="M900" s="39">
        <f t="shared" si="116"/>
        <v>3.9837353690729405</v>
      </c>
      <c r="N900" s="39">
        <f t="shared" si="117"/>
        <v>258.17555938037867</v>
      </c>
      <c r="O900" s="40">
        <f>1</f>
        <v>1</v>
      </c>
      <c r="P900" s="38">
        <f>INDEX(Cables!$AS:$AS,MATCH(B900,Cables!$A:$A,0))+INDEX(Cables!$AT:$AT,MATCH(B900,Cables!$A:$A,0))*SQRT(C900)+INDEX(Cables!$AU:$AU,MATCH(B900,Cables!$A:$A,0))*C900</f>
        <v>16.268226128365793</v>
      </c>
      <c r="Q900" s="41">
        <f t="shared" si="118"/>
        <v>1.3900194602456395E-5</v>
      </c>
      <c r="R900" s="39">
        <f t="shared" si="119"/>
        <v>1.9321540998615789E-10</v>
      </c>
      <c r="S900" s="40" t="b">
        <f>IF(B900=B899,C900&gt;C899,COUNTIF(B$1:B899,B900)=0)</f>
        <v>1</v>
      </c>
      <c r="T900" s="37"/>
    </row>
    <row r="901" spans="1:20" x14ac:dyDescent="0.25">
      <c r="A901" s="37" t="s">
        <v>1641</v>
      </c>
      <c r="B901" s="37" t="s">
        <v>598</v>
      </c>
      <c r="C901" s="37">
        <v>4300</v>
      </c>
      <c r="D901" s="37">
        <v>16.492000000000001</v>
      </c>
      <c r="E901" s="37" t="s">
        <v>771</v>
      </c>
      <c r="F901" s="37">
        <v>20</v>
      </c>
      <c r="G901" s="37" t="s">
        <v>605</v>
      </c>
      <c r="H901" s="37" t="s">
        <v>728</v>
      </c>
      <c r="I901" s="38">
        <f t="shared" si="112"/>
        <v>16.492000000000001</v>
      </c>
      <c r="J901" s="38">
        <f t="shared" si="113"/>
        <v>8.3663703016816537</v>
      </c>
      <c r="K901" s="38">
        <f t="shared" si="114"/>
        <v>2.8028754148446535</v>
      </c>
      <c r="L901" s="39">
        <f t="shared" si="115"/>
        <v>6.0635459616783891E-2</v>
      </c>
      <c r="M901" s="39">
        <f t="shared" si="116"/>
        <v>3.976132988298569</v>
      </c>
      <c r="N901" s="39">
        <f t="shared" si="117"/>
        <v>260.73247635217075</v>
      </c>
      <c r="O901" s="40">
        <f>1</f>
        <v>1</v>
      </c>
      <c r="P901" s="38">
        <f>INDEX(Cables!$AS:$AS,MATCH(B901,Cables!$A:$A,0))+INDEX(Cables!$AT:$AT,MATCH(B901,Cables!$A:$A,0))*SQRT(C901)+INDEX(Cables!$AU:$AU,MATCH(B901,Cables!$A:$A,0))*C901</f>
        <v>16.492105260821532</v>
      </c>
      <c r="Q901" s="41">
        <f t="shared" si="118"/>
        <v>6.3825382932147789E-6</v>
      </c>
      <c r="R901" s="39">
        <f t="shared" si="119"/>
        <v>4.0736795064353021E-11</v>
      </c>
      <c r="S901" s="40" t="b">
        <f>IF(B901=B900,C901&gt;C900,COUNTIF(B$1:B900,B901)=0)</f>
        <v>1</v>
      </c>
      <c r="T901" s="37"/>
    </row>
    <row r="902" spans="1:20" x14ac:dyDescent="0.25">
      <c r="A902" s="37" t="s">
        <v>1642</v>
      </c>
      <c r="B902" s="37" t="s">
        <v>598</v>
      </c>
      <c r="C902" s="37">
        <v>4400</v>
      </c>
      <c r="D902" s="37">
        <v>16.713999999999999</v>
      </c>
      <c r="E902" s="37" t="s">
        <v>771</v>
      </c>
      <c r="F902" s="37">
        <v>20</v>
      </c>
      <c r="G902" s="37" t="s">
        <v>605</v>
      </c>
      <c r="H902" s="37" t="s">
        <v>728</v>
      </c>
      <c r="I902" s="38">
        <f t="shared" si="112"/>
        <v>16.713999999999999</v>
      </c>
      <c r="J902" s="38">
        <f t="shared" si="113"/>
        <v>8.3893598199063533</v>
      </c>
      <c r="K902" s="38">
        <f t="shared" si="114"/>
        <v>2.8162466915792441</v>
      </c>
      <c r="L902" s="39">
        <f t="shared" si="115"/>
        <v>5.9830082565513948E-2</v>
      </c>
      <c r="M902" s="39">
        <f t="shared" si="116"/>
        <v>3.9686787009158793</v>
      </c>
      <c r="N902" s="39">
        <f t="shared" si="117"/>
        <v>263.25236328826134</v>
      </c>
      <c r="O902" s="40">
        <f>1</f>
        <v>1</v>
      </c>
      <c r="P902" s="38">
        <f>INDEX(Cables!$AS:$AS,MATCH(B902,Cables!$A:$A,0))+INDEX(Cables!$AT:$AT,MATCH(B902,Cables!$A:$A,0))*SQRT(C902)+INDEX(Cables!$AU:$AU,MATCH(B902,Cables!$A:$A,0))*C902</f>
        <v>16.714116565934702</v>
      </c>
      <c r="Q902" s="41">
        <f t="shared" si="118"/>
        <v>6.9741494976849339E-6</v>
      </c>
      <c r="R902" s="39">
        <f t="shared" si="119"/>
        <v>4.8638761216059015E-11</v>
      </c>
      <c r="S902" s="40" t="b">
        <f>IF(B902=B901,C902&gt;C901,COUNTIF(B$1:B901,B902)=0)</f>
        <v>1</v>
      </c>
      <c r="T902" s="37"/>
    </row>
    <row r="903" spans="1:20" x14ac:dyDescent="0.25">
      <c r="A903" s="37" t="s">
        <v>1643</v>
      </c>
      <c r="B903" s="37" t="s">
        <v>598</v>
      </c>
      <c r="C903" s="37">
        <v>4500</v>
      </c>
      <c r="D903" s="37">
        <v>16.934000000000001</v>
      </c>
      <c r="E903" s="37" t="s">
        <v>771</v>
      </c>
      <c r="F903" s="37">
        <v>20</v>
      </c>
      <c r="G903" s="37" t="s">
        <v>605</v>
      </c>
      <c r="H903" s="37" t="s">
        <v>728</v>
      </c>
      <c r="I903" s="38">
        <f t="shared" si="112"/>
        <v>16.934000000000001</v>
      </c>
      <c r="J903" s="38">
        <f t="shared" si="113"/>
        <v>8.4118326757584114</v>
      </c>
      <c r="K903" s="38">
        <f t="shared" si="114"/>
        <v>2.8293234352200853</v>
      </c>
      <c r="L903" s="39">
        <f t="shared" si="115"/>
        <v>5.9052793197118217E-2</v>
      </c>
      <c r="M903" s="39">
        <f t="shared" si="116"/>
        <v>3.9613817954998041</v>
      </c>
      <c r="N903" s="39">
        <f t="shared" si="117"/>
        <v>265.73756938703201</v>
      </c>
      <c r="O903" s="40">
        <f>1</f>
        <v>1</v>
      </c>
      <c r="P903" s="38">
        <f>INDEX(Cables!$AS:$AS,MATCH(B903,Cables!$A:$A,0))+INDEX(Cables!$AT:$AT,MATCH(B903,Cables!$A:$A,0))*SQRT(C903)+INDEX(Cables!$AU:$AU,MATCH(B903,Cables!$A:$A,0))*C903</f>
        <v>16.934323370170667</v>
      </c>
      <c r="Q903" s="41">
        <f t="shared" si="118"/>
        <v>1.9095911814481781E-5</v>
      </c>
      <c r="R903" s="39">
        <f t="shared" si="119"/>
        <v>3.6465384802646484E-10</v>
      </c>
      <c r="S903" s="40" t="b">
        <f>IF(B903=B902,C903&gt;C902,COUNTIF(B$1:B902,B903)=0)</f>
        <v>1</v>
      </c>
      <c r="T903" s="37"/>
    </row>
    <row r="904" spans="1:20" x14ac:dyDescent="0.25">
      <c r="A904" s="37" t="s">
        <v>1644</v>
      </c>
      <c r="B904" s="37" t="s">
        <v>598</v>
      </c>
      <c r="C904" s="37">
        <v>4600</v>
      </c>
      <c r="D904" s="37">
        <v>17.152999999999999</v>
      </c>
      <c r="E904" s="37" t="s">
        <v>771</v>
      </c>
      <c r="F904" s="37">
        <v>20</v>
      </c>
      <c r="G904" s="37" t="s">
        <v>605</v>
      </c>
      <c r="H904" s="37" t="s">
        <v>728</v>
      </c>
      <c r="I904" s="38">
        <f t="shared" si="112"/>
        <v>17.152999999999999</v>
      </c>
      <c r="J904" s="38">
        <f t="shared" si="113"/>
        <v>8.4338115824771869</v>
      </c>
      <c r="K904" s="38">
        <f t="shared" si="114"/>
        <v>2.8421730854276879</v>
      </c>
      <c r="L904" s="39">
        <f t="shared" si="115"/>
        <v>5.8298839853086926E-2</v>
      </c>
      <c r="M904" s="39">
        <f t="shared" si="116"/>
        <v>3.9540196951700977</v>
      </c>
      <c r="N904" s="39">
        <f t="shared" si="117"/>
        <v>268.17466332419986</v>
      </c>
      <c r="O904" s="40">
        <f>1</f>
        <v>1</v>
      </c>
      <c r="P904" s="38">
        <f>INDEX(Cables!$AS:$AS,MATCH(B904,Cables!$A:$A,0))+INDEX(Cables!$AT:$AT,MATCH(B904,Cables!$A:$A,0))*SQRT(C904)+INDEX(Cables!$AU:$AU,MATCH(B904,Cables!$A:$A,0))*C904</f>
        <v>17.152785500525663</v>
      </c>
      <c r="Q904" s="41">
        <f t="shared" si="118"/>
        <v>-1.2505070502877302E-5</v>
      </c>
      <c r="R904" s="39">
        <f t="shared" si="119"/>
        <v>1.5637678828193199E-10</v>
      </c>
      <c r="S904" s="40" t="b">
        <f>IF(B904=B903,C904&gt;C903,COUNTIF(B$1:B903,B904)=0)</f>
        <v>1</v>
      </c>
      <c r="T904" s="37"/>
    </row>
    <row r="905" spans="1:20" x14ac:dyDescent="0.25">
      <c r="A905" s="37" t="s">
        <v>1645</v>
      </c>
      <c r="B905" s="37" t="s">
        <v>598</v>
      </c>
      <c r="C905" s="37">
        <v>4700</v>
      </c>
      <c r="D905" s="37">
        <v>17.37</v>
      </c>
      <c r="E905" s="37" t="s">
        <v>771</v>
      </c>
      <c r="F905" s="37">
        <v>20</v>
      </c>
      <c r="G905" s="37" t="s">
        <v>605</v>
      </c>
      <c r="H905" s="37" t="s">
        <v>728</v>
      </c>
      <c r="I905" s="38">
        <f t="shared" si="112"/>
        <v>17.37</v>
      </c>
      <c r="J905" s="38">
        <f t="shared" si="113"/>
        <v>8.4553177876981493</v>
      </c>
      <c r="K905" s="38">
        <f t="shared" si="114"/>
        <v>2.8547445802530138</v>
      </c>
      <c r="L905" s="39">
        <f t="shared" si="115"/>
        <v>5.7570523891767408E-2</v>
      </c>
      <c r="M905" s="39">
        <f t="shared" si="116"/>
        <v>3.9468362696609347</v>
      </c>
      <c r="N905" s="39">
        <f t="shared" si="117"/>
        <v>270.58146229130682</v>
      </c>
      <c r="O905" s="40">
        <f>1</f>
        <v>1</v>
      </c>
      <c r="P905" s="38">
        <f>INDEX(Cables!$AS:$AS,MATCH(B905,Cables!$A:$A,0))+INDEX(Cables!$AT:$AT,MATCH(B905,Cables!$A:$A,0))*SQRT(C905)+INDEX(Cables!$AU:$AU,MATCH(B905,Cables!$A:$A,0))*C905</f>
        <v>17.369559549423911</v>
      </c>
      <c r="Q905" s="41">
        <f t="shared" si="118"/>
        <v>-2.5356970413947799E-5</v>
      </c>
      <c r="R905" s="39">
        <f t="shared" si="119"/>
        <v>6.4297594857382403E-10</v>
      </c>
      <c r="S905" s="40" t="b">
        <f>IF(B905=B904,C905&gt;C904,COUNTIF(B$1:B904,B905)=0)</f>
        <v>1</v>
      </c>
      <c r="T905" s="37"/>
    </row>
    <row r="906" spans="1:20" x14ac:dyDescent="0.25">
      <c r="A906" s="37" t="s">
        <v>1646</v>
      </c>
      <c r="B906" s="37" t="s">
        <v>598</v>
      </c>
      <c r="C906" s="37">
        <v>4800</v>
      </c>
      <c r="D906" s="37">
        <v>17.585000000000001</v>
      </c>
      <c r="E906" s="37" t="s">
        <v>771</v>
      </c>
      <c r="F906" s="37">
        <v>20</v>
      </c>
      <c r="G906" s="37" t="s">
        <v>605</v>
      </c>
      <c r="H906" s="37" t="s">
        <v>728</v>
      </c>
      <c r="I906" s="38">
        <f t="shared" si="112"/>
        <v>17.585000000000001</v>
      </c>
      <c r="J906" s="38">
        <f t="shared" si="113"/>
        <v>8.4763711968959825</v>
      </c>
      <c r="K906" s="38">
        <f t="shared" si="114"/>
        <v>2.8670462659259459</v>
      </c>
      <c r="L906" s="39">
        <f t="shared" si="115"/>
        <v>5.6866647711117428E-2</v>
      </c>
      <c r="M906" s="39">
        <f t="shared" si="116"/>
        <v>3.9398369236710318</v>
      </c>
      <c r="N906" s="39">
        <f t="shared" si="117"/>
        <v>272.95990901336364</v>
      </c>
      <c r="O906" s="40">
        <f>1</f>
        <v>1</v>
      </c>
      <c r="P906" s="38">
        <f>INDEX(Cables!$AS:$AS,MATCH(B906,Cables!$A:$A,0))+INDEX(Cables!$AT:$AT,MATCH(B906,Cables!$A:$A,0))*SQRT(C906)+INDEX(Cables!$AU:$AU,MATCH(B906,Cables!$A:$A,0))*C906</f>
        <v>17.584699114378346</v>
      </c>
      <c r="Q906" s="41">
        <f t="shared" si="118"/>
        <v>-1.7110356647975777E-5</v>
      </c>
      <c r="R906" s="39">
        <f t="shared" si="119"/>
        <v>2.927643046209289E-10</v>
      </c>
      <c r="S906" s="40" t="b">
        <f>IF(B906=B905,C906&gt;C905,COUNTIF(B$1:B905,B906)=0)</f>
        <v>1</v>
      </c>
      <c r="T906" s="37"/>
    </row>
    <row r="907" spans="1:20" x14ac:dyDescent="0.25">
      <c r="A907" s="37" t="s">
        <v>1647</v>
      </c>
      <c r="B907" s="37" t="s">
        <v>598</v>
      </c>
      <c r="C907" s="37">
        <v>4900</v>
      </c>
      <c r="D907" s="37">
        <v>17.797999999999998</v>
      </c>
      <c r="E907" s="37" t="s">
        <v>771</v>
      </c>
      <c r="F907" s="37">
        <v>20</v>
      </c>
      <c r="G907" s="37" t="s">
        <v>605</v>
      </c>
      <c r="H907" s="37" t="s">
        <v>728</v>
      </c>
      <c r="I907" s="38">
        <f t="shared" si="112"/>
        <v>17.797999999999998</v>
      </c>
      <c r="J907" s="38">
        <f t="shared" si="113"/>
        <v>8.4969904840987187</v>
      </c>
      <c r="K907" s="38">
        <f t="shared" si="114"/>
        <v>2.8790860914346705</v>
      </c>
      <c r="L907" s="39">
        <f t="shared" si="115"/>
        <v>5.6186088324530849E-2</v>
      </c>
      <c r="M907" s="39">
        <f t="shared" si="116"/>
        <v>3.9330261827171595</v>
      </c>
      <c r="N907" s="39">
        <f t="shared" si="117"/>
        <v>275.31183279020115</v>
      </c>
      <c r="O907" s="40">
        <f>1</f>
        <v>1</v>
      </c>
      <c r="P907" s="38">
        <f>INDEX(Cables!$AS:$AS,MATCH(B907,Cables!$A:$A,0))+INDEX(Cables!$AT:$AT,MATCH(B907,Cables!$A:$A,0))*SQRT(C907)+INDEX(Cables!$AU:$AU,MATCH(B907,Cables!$A:$A,0))*C907</f>
        <v>17.79825501529254</v>
      </c>
      <c r="Q907" s="41">
        <f t="shared" si="118"/>
        <v>1.4328311750855249E-5</v>
      </c>
      <c r="R907" s="39">
        <f t="shared" si="119"/>
        <v>2.0530051762969663E-10</v>
      </c>
      <c r="S907" s="40" t="b">
        <f>IF(B907=B906,C907&gt;C906,COUNTIF(B$1:B906,B907)=0)</f>
        <v>1</v>
      </c>
      <c r="T907" s="37"/>
    </row>
    <row r="908" spans="1:20" x14ac:dyDescent="0.25">
      <c r="A908" s="37" t="s">
        <v>1648</v>
      </c>
      <c r="B908" s="37" t="s">
        <v>598</v>
      </c>
      <c r="C908" s="37">
        <v>5000</v>
      </c>
      <c r="D908" s="37">
        <v>18.010000000000002</v>
      </c>
      <c r="E908" s="37" t="s">
        <v>771</v>
      </c>
      <c r="F908" s="37">
        <v>20</v>
      </c>
      <c r="G908" s="37" t="s">
        <v>605</v>
      </c>
      <c r="H908" s="37" t="s">
        <v>728</v>
      </c>
      <c r="I908" s="38">
        <f t="shared" si="112"/>
        <v>18.010000000000002</v>
      </c>
      <c r="J908" s="38">
        <f t="shared" si="113"/>
        <v>8.5171931914162382</v>
      </c>
      <c r="K908" s="38">
        <f t="shared" si="114"/>
        <v>2.8909271591878647</v>
      </c>
      <c r="L908" s="39">
        <f t="shared" si="115"/>
        <v>5.5524708495280392E-2</v>
      </c>
      <c r="M908" s="39">
        <f t="shared" si="116"/>
        <v>3.9261897900419074</v>
      </c>
      <c r="N908" s="39">
        <f t="shared" si="117"/>
        <v>277.62354247640195</v>
      </c>
      <c r="O908" s="40">
        <f>1</f>
        <v>1</v>
      </c>
      <c r="P908" s="38">
        <f>INDEX(Cables!$AS:$AS,MATCH(B908,Cables!$A:$A,0))+INDEX(Cables!$AT:$AT,MATCH(B908,Cables!$A:$A,0))*SQRT(C908)+INDEX(Cables!$AU:$AU,MATCH(B908,Cables!$A:$A,0))*C908</f>
        <v>18.010275491901819</v>
      </c>
      <c r="Q908" s="41">
        <f t="shared" si="118"/>
        <v>1.5296607541293028E-5</v>
      </c>
      <c r="R908" s="39">
        <f t="shared" si="119"/>
        <v>2.3398620227234276E-10</v>
      </c>
      <c r="S908" s="40" t="b">
        <f>IF(B908=B907,C908&gt;C907,COUNTIF(B$1:B907,B908)=0)</f>
        <v>1</v>
      </c>
      <c r="T908" s="37"/>
    </row>
    <row r="909" spans="1:20" x14ac:dyDescent="0.25">
      <c r="A909" s="37" t="s">
        <v>1649</v>
      </c>
      <c r="B909" s="37" t="s">
        <v>598</v>
      </c>
      <c r="C909" s="37">
        <v>6000</v>
      </c>
      <c r="D909" s="37">
        <v>20.055</v>
      </c>
      <c r="E909" s="37" t="s">
        <v>771</v>
      </c>
      <c r="F909" s="37">
        <v>20</v>
      </c>
      <c r="G909" s="37" t="s">
        <v>605</v>
      </c>
      <c r="H909" s="37" t="s">
        <v>728</v>
      </c>
      <c r="I909" s="38">
        <f t="shared" si="112"/>
        <v>20.055</v>
      </c>
      <c r="J909" s="38">
        <f t="shared" si="113"/>
        <v>8.6995147482101913</v>
      </c>
      <c r="K909" s="38">
        <f t="shared" si="114"/>
        <v>2.9984784992220161</v>
      </c>
      <c r="L909" s="39">
        <f t="shared" si="115"/>
        <v>4.9862877088007976E-2</v>
      </c>
      <c r="M909" s="39">
        <f t="shared" si="116"/>
        <v>3.8623618511168454</v>
      </c>
      <c r="N909" s="39">
        <f t="shared" si="117"/>
        <v>299.17726252804789</v>
      </c>
      <c r="O909" s="40">
        <f>1</f>
        <v>1</v>
      </c>
      <c r="P909" s="38">
        <f>INDEX(Cables!$AS:$AS,MATCH(B909,Cables!$A:$A,0))+INDEX(Cables!$AT:$AT,MATCH(B909,Cables!$A:$A,0))*SQRT(C909)+INDEX(Cables!$AU:$AU,MATCH(B909,Cables!$A:$A,0))*C909</f>
        <v>20.055117449131227</v>
      </c>
      <c r="Q909" s="41">
        <f t="shared" si="118"/>
        <v>5.8563515945575517E-6</v>
      </c>
      <c r="R909" s="39">
        <f t="shared" si="119"/>
        <v>3.4296853999076776E-11</v>
      </c>
      <c r="S909" s="40" t="b">
        <f>IF(B909=B908,C909&gt;C908,COUNTIF(B$1:B908,B909)=0)</f>
        <v>1</v>
      </c>
      <c r="T909" s="37"/>
    </row>
    <row r="910" spans="1:20" x14ac:dyDescent="0.25">
      <c r="A910" s="37" t="s">
        <v>1650</v>
      </c>
      <c r="B910" s="37" t="s">
        <v>598</v>
      </c>
      <c r="C910" s="37">
        <v>8000</v>
      </c>
      <c r="D910" s="37">
        <v>23.826000000000001</v>
      </c>
      <c r="E910" s="37" t="s">
        <v>771</v>
      </c>
      <c r="F910" s="37">
        <v>20</v>
      </c>
      <c r="G910" s="37" t="s">
        <v>605</v>
      </c>
      <c r="H910" s="37" t="s">
        <v>728</v>
      </c>
      <c r="I910" s="38">
        <f t="shared" si="112"/>
        <v>23.826000000000001</v>
      </c>
      <c r="J910" s="38">
        <f t="shared" si="113"/>
        <v>8.987196820661973</v>
      </c>
      <c r="K910" s="38">
        <f t="shared" si="114"/>
        <v>3.1707774213771693</v>
      </c>
      <c r="L910" s="39">
        <f t="shared" si="115"/>
        <v>4.1970956098379919E-2</v>
      </c>
      <c r="M910" s="39">
        <f t="shared" si="116"/>
        <v>3.7539964366654743</v>
      </c>
      <c r="N910" s="39">
        <f t="shared" si="117"/>
        <v>335.76764878703938</v>
      </c>
      <c r="O910" s="40">
        <f>1</f>
        <v>1</v>
      </c>
      <c r="P910" s="38">
        <f>INDEX(Cables!$AS:$AS,MATCH(B910,Cables!$A:$A,0))+INDEX(Cables!$AT:$AT,MATCH(B910,Cables!$A:$A,0))*SQRT(C910)+INDEX(Cables!$AU:$AU,MATCH(B910,Cables!$A:$A,0))*C910</f>
        <v>23.82570838661071</v>
      </c>
      <c r="Q910" s="41">
        <f t="shared" si="118"/>
        <v>-1.2239292759619325E-5</v>
      </c>
      <c r="R910" s="39">
        <f t="shared" si="119"/>
        <v>1.4980028725567003E-10</v>
      </c>
      <c r="S910" s="40" t="b">
        <f>IF(B910=B909,C910&gt;C909,COUNTIF(B$1:B909,B910)=0)</f>
        <v>1</v>
      </c>
      <c r="T910" s="37"/>
    </row>
    <row r="911" spans="1:20" x14ac:dyDescent="0.25">
      <c r="A911" s="37" t="s">
        <v>1651</v>
      </c>
      <c r="B911" s="37" t="s">
        <v>598</v>
      </c>
      <c r="C911" s="37">
        <v>8800</v>
      </c>
      <c r="D911" s="37">
        <v>25.244</v>
      </c>
      <c r="E911" s="37" t="s">
        <v>771</v>
      </c>
      <c r="F911" s="37">
        <v>20</v>
      </c>
      <c r="G911" s="37" t="s">
        <v>605</v>
      </c>
      <c r="H911" s="37" t="s">
        <v>728</v>
      </c>
      <c r="I911" s="38">
        <f t="shared" si="112"/>
        <v>25.244</v>
      </c>
      <c r="J911" s="38">
        <f t="shared" si="113"/>
        <v>9.0825070004662987</v>
      </c>
      <c r="K911" s="38">
        <f t="shared" si="114"/>
        <v>3.2285885037219932</v>
      </c>
      <c r="L911" s="39">
        <f t="shared" si="115"/>
        <v>3.9613373474885125E-2</v>
      </c>
      <c r="M911" s="39">
        <f t="shared" si="116"/>
        <v>3.7160638249274522</v>
      </c>
      <c r="N911" s="39">
        <f t="shared" si="117"/>
        <v>348.59768657898906</v>
      </c>
      <c r="O911" s="40">
        <f>1</f>
        <v>1</v>
      </c>
      <c r="P911" s="38">
        <f>INDEX(Cables!$AS:$AS,MATCH(B911,Cables!$A:$A,0))+INDEX(Cables!$AT:$AT,MATCH(B911,Cables!$A:$A,0))*SQRT(C911)+INDEX(Cables!$AU:$AU,MATCH(B911,Cables!$A:$A,0))*C911</f>
        <v>25.243872960736457</v>
      </c>
      <c r="Q911" s="41">
        <f t="shared" si="118"/>
        <v>-5.0324537926860202E-6</v>
      </c>
      <c r="R911" s="39">
        <f t="shared" si="119"/>
        <v>2.5325591175519909E-11</v>
      </c>
      <c r="S911" s="40" t="b">
        <f>IF(B911=B910,C911&gt;C910,COUNTIF(B$1:B910,B911)=0)</f>
        <v>1</v>
      </c>
      <c r="T911" s="37"/>
    </row>
    <row r="912" spans="1:20" x14ac:dyDescent="0.25">
      <c r="A912" s="37" t="s">
        <v>1652</v>
      </c>
      <c r="B912" s="37" t="s">
        <v>607</v>
      </c>
      <c r="C912" s="37">
        <v>30</v>
      </c>
      <c r="D912" s="37">
        <v>0.28799999999999998</v>
      </c>
      <c r="E912" s="37" t="s">
        <v>707</v>
      </c>
      <c r="F912" s="37">
        <v>25</v>
      </c>
      <c r="G912" s="37" t="s">
        <v>207</v>
      </c>
      <c r="H912" s="37" t="s">
        <v>1653</v>
      </c>
      <c r="I912" s="38">
        <f t="shared" si="112"/>
        <v>0.9448818897637794</v>
      </c>
      <c r="J912" s="38">
        <f t="shared" si="113"/>
        <v>3.4011973816621555</v>
      </c>
      <c r="K912" s="38">
        <f t="shared" si="114"/>
        <v>-5.6695343676545412E-2</v>
      </c>
      <c r="L912" s="39">
        <f t="shared" si="115"/>
        <v>1.0583333333333336</v>
      </c>
      <c r="M912" s="39">
        <f t="shared" si="116"/>
        <v>5.7967304002630087</v>
      </c>
      <c r="N912" s="39">
        <f t="shared" si="117"/>
        <v>31.750000000000004</v>
      </c>
      <c r="O912" s="40">
        <f>1</f>
        <v>1</v>
      </c>
      <c r="P912" s="38">
        <f>INDEX(Cables!$AS:$AS,MATCH(B912,Cables!$A:$A,0))+INDEX(Cables!$AT:$AT,MATCH(B912,Cables!$A:$A,0))*SQRT(C912)+INDEX(Cables!$AU:$AU,MATCH(B912,Cables!$A:$A,0))*C912</f>
        <v>0.94489085667908801</v>
      </c>
      <c r="Q912" s="41">
        <f t="shared" si="118"/>
        <v>9.4899853682051116E-6</v>
      </c>
      <c r="R912" s="39">
        <f t="shared" si="119"/>
        <v>9.0059822288747114E-11</v>
      </c>
      <c r="S912" s="40" t="b">
        <f>IF(B912=B911,C912&gt;C911,COUNTIF(B$1:B911,B912)=0)</f>
        <v>1</v>
      </c>
      <c r="T912" s="37"/>
    </row>
    <row r="913" spans="1:20" x14ac:dyDescent="0.25">
      <c r="A913" s="37" t="s">
        <v>1654</v>
      </c>
      <c r="B913" s="37" t="s">
        <v>607</v>
      </c>
      <c r="C913" s="37">
        <v>50</v>
      </c>
      <c r="D913" s="37">
        <v>0.374</v>
      </c>
      <c r="E913" s="37" t="s">
        <v>707</v>
      </c>
      <c r="F913" s="37">
        <v>25</v>
      </c>
      <c r="G913" s="37" t="s">
        <v>207</v>
      </c>
      <c r="H913" s="37" t="s">
        <v>1653</v>
      </c>
      <c r="I913" s="38">
        <f t="shared" si="112"/>
        <v>1.227034120734908</v>
      </c>
      <c r="J913" s="38">
        <f t="shared" si="113"/>
        <v>3.912023005428146</v>
      </c>
      <c r="K913" s="38">
        <f t="shared" si="114"/>
        <v>0.20459997360204063</v>
      </c>
      <c r="L913" s="39">
        <f t="shared" si="115"/>
        <v>0.81497326203208564</v>
      </c>
      <c r="M913" s="39">
        <f t="shared" si="116"/>
        <v>5.7627312006860887</v>
      </c>
      <c r="N913" s="39">
        <f t="shared" si="117"/>
        <v>40.748663101604279</v>
      </c>
      <c r="O913" s="40">
        <f>1</f>
        <v>1</v>
      </c>
      <c r="P913" s="38">
        <f>INDEX(Cables!$AS:$AS,MATCH(B913,Cables!$A:$A,0))+INDEX(Cables!$AT:$AT,MATCH(B913,Cables!$A:$A,0))*SQRT(C913)+INDEX(Cables!$AU:$AU,MATCH(B913,Cables!$A:$A,0))*C913</f>
        <v>1.2266974484761923</v>
      </c>
      <c r="Q913" s="41">
        <f t="shared" si="118"/>
        <v>-2.7437888892123397E-4</v>
      </c>
      <c r="R913" s="39">
        <f t="shared" si="119"/>
        <v>7.5283774685650845E-8</v>
      </c>
      <c r="S913" s="40" t="b">
        <f>IF(B913=B912,C913&gt;C912,COUNTIF(B$1:B912,B913)=0)</f>
        <v>1</v>
      </c>
      <c r="T913" s="37"/>
    </row>
    <row r="914" spans="1:20" x14ac:dyDescent="0.25">
      <c r="A914" s="37" t="s">
        <v>1655</v>
      </c>
      <c r="B914" s="37" t="s">
        <v>607</v>
      </c>
      <c r="C914" s="37">
        <v>150</v>
      </c>
      <c r="D914" s="37">
        <v>0.65800000000000003</v>
      </c>
      <c r="E914" s="37" t="s">
        <v>707</v>
      </c>
      <c r="F914" s="37">
        <v>25</v>
      </c>
      <c r="G914" s="37" t="s">
        <v>207</v>
      </c>
      <c r="H914" s="37" t="s">
        <v>1653</v>
      </c>
      <c r="I914" s="38">
        <f t="shared" si="112"/>
        <v>2.158792650918635</v>
      </c>
      <c r="J914" s="38">
        <f t="shared" si="113"/>
        <v>5.0106352940962555</v>
      </c>
      <c r="K914" s="38">
        <f t="shared" si="114"/>
        <v>0.7695491075128259</v>
      </c>
      <c r="L914" s="39">
        <f t="shared" si="115"/>
        <v>0.46322188449848029</v>
      </c>
      <c r="M914" s="39">
        <f t="shared" si="116"/>
        <v>5.6732862735586069</v>
      </c>
      <c r="N914" s="39">
        <f t="shared" si="117"/>
        <v>69.483282674772042</v>
      </c>
      <c r="O914" s="40">
        <f>1</f>
        <v>1</v>
      </c>
      <c r="P914" s="38">
        <f>INDEX(Cables!$AS:$AS,MATCH(B914,Cables!$A:$A,0))+INDEX(Cables!$AT:$AT,MATCH(B914,Cables!$A:$A,0))*SQRT(C914)+INDEX(Cables!$AU:$AU,MATCH(B914,Cables!$A:$A,0))*C914</f>
        <v>2.1595855876059602</v>
      </c>
      <c r="Q914" s="41">
        <f t="shared" si="118"/>
        <v>3.673056265907082E-4</v>
      </c>
      <c r="R914" s="39">
        <f t="shared" si="119"/>
        <v>1.3491342332519277E-7</v>
      </c>
      <c r="S914" s="40" t="b">
        <f>IF(B914=B913,C914&gt;C913,COUNTIF(B$1:B913,B914)=0)</f>
        <v>1</v>
      </c>
      <c r="T914" s="37"/>
    </row>
    <row r="915" spans="1:20" x14ac:dyDescent="0.25">
      <c r="A915" s="37" t="s">
        <v>1656</v>
      </c>
      <c r="B915" s="37" t="s">
        <v>607</v>
      </c>
      <c r="C915" s="37">
        <v>220</v>
      </c>
      <c r="D915" s="37">
        <v>0.80300000000000005</v>
      </c>
      <c r="E915" s="37" t="s">
        <v>707</v>
      </c>
      <c r="F915" s="37">
        <v>25</v>
      </c>
      <c r="G915" s="37" t="s">
        <v>207</v>
      </c>
      <c r="H915" s="37" t="s">
        <v>1653</v>
      </c>
      <c r="I915" s="38">
        <f t="shared" si="112"/>
        <v>2.6345144356955386</v>
      </c>
      <c r="J915" s="38">
        <f t="shared" si="113"/>
        <v>5.393627546352362</v>
      </c>
      <c r="K915" s="38">
        <f t="shared" si="114"/>
        <v>0.96869889013427068</v>
      </c>
      <c r="L915" s="39">
        <f t="shared" si="115"/>
        <v>0.37957658779576581</v>
      </c>
      <c r="M915" s="39">
        <f t="shared" si="116"/>
        <v>5.6300306322957852</v>
      </c>
      <c r="N915" s="39">
        <f t="shared" si="117"/>
        <v>83.506849315068479</v>
      </c>
      <c r="O915" s="40">
        <f>1</f>
        <v>1</v>
      </c>
      <c r="P915" s="38">
        <f>INDEX(Cables!$AS:$AS,MATCH(B915,Cables!$A:$A,0))+INDEX(Cables!$AT:$AT,MATCH(B915,Cables!$A:$A,0))*SQRT(C915)+INDEX(Cables!$AU:$AU,MATCH(B915,Cables!$A:$A,0))*C915</f>
        <v>2.63555207833548</v>
      </c>
      <c r="Q915" s="41">
        <f t="shared" si="118"/>
        <v>3.9386485262027371E-4</v>
      </c>
      <c r="R915" s="39">
        <f t="shared" si="119"/>
        <v>1.5512952212958993E-7</v>
      </c>
      <c r="S915" s="40" t="b">
        <f>IF(B915=B914,C915&gt;C914,COUNTIF(B$1:B914,B915)=0)</f>
        <v>1</v>
      </c>
      <c r="T915" s="37"/>
    </row>
    <row r="916" spans="1:20" x14ac:dyDescent="0.25">
      <c r="A916" s="37" t="s">
        <v>1657</v>
      </c>
      <c r="B916" s="37" t="s">
        <v>607</v>
      </c>
      <c r="C916" s="37">
        <v>450</v>
      </c>
      <c r="D916" s="37">
        <v>1.17</v>
      </c>
      <c r="E916" s="37" t="s">
        <v>707</v>
      </c>
      <c r="F916" s="37">
        <v>25</v>
      </c>
      <c r="G916" s="37" t="s">
        <v>207</v>
      </c>
      <c r="H916" s="37" t="s">
        <v>1653</v>
      </c>
      <c r="I916" s="38">
        <f t="shared" si="112"/>
        <v>3.8385826771653542</v>
      </c>
      <c r="J916" s="38">
        <f t="shared" si="113"/>
        <v>6.1092475827643655</v>
      </c>
      <c r="K916" s="38">
        <f t="shared" si="114"/>
        <v>1.3451032039793105</v>
      </c>
      <c r="L916" s="39">
        <f t="shared" si="115"/>
        <v>0.26051282051282054</v>
      </c>
      <c r="M916" s="39">
        <f t="shared" si="116"/>
        <v>5.52631145911948</v>
      </c>
      <c r="N916" s="39">
        <f t="shared" si="117"/>
        <v>117.23076923076924</v>
      </c>
      <c r="O916" s="40">
        <f>1</f>
        <v>1</v>
      </c>
      <c r="P916" s="38">
        <f>INDEX(Cables!$AS:$AS,MATCH(B916,Cables!$A:$A,0))+INDEX(Cables!$AT:$AT,MATCH(B916,Cables!$A:$A,0))*SQRT(C916)+INDEX(Cables!$AU:$AU,MATCH(B916,Cables!$A:$A,0))*C916</f>
        <v>3.8392693030063181</v>
      </c>
      <c r="Q916" s="41">
        <f t="shared" si="118"/>
        <v>1.7887483446643593E-4</v>
      </c>
      <c r="R916" s="39">
        <f t="shared" si="119"/>
        <v>3.1996206405394856E-8</v>
      </c>
      <c r="S916" s="40" t="b">
        <f>IF(B916=B915,C916&gt;C915,COUNTIF(B$1:B915,B916)=0)</f>
        <v>1</v>
      </c>
      <c r="T916" s="37"/>
    </row>
    <row r="917" spans="1:20" x14ac:dyDescent="0.25">
      <c r="A917" s="37" t="s">
        <v>1658</v>
      </c>
      <c r="B917" s="37" t="s">
        <v>607</v>
      </c>
      <c r="C917" s="37">
        <v>700</v>
      </c>
      <c r="D917" s="37">
        <v>1.48</v>
      </c>
      <c r="E917" s="37" t="s">
        <v>707</v>
      </c>
      <c r="F917" s="37">
        <v>25</v>
      </c>
      <c r="G917" s="37" t="s">
        <v>207</v>
      </c>
      <c r="H917" s="37" t="s">
        <v>1653</v>
      </c>
      <c r="I917" s="38">
        <f t="shared" si="112"/>
        <v>4.8556430446194225</v>
      </c>
      <c r="J917" s="38">
        <f t="shared" si="113"/>
        <v>6.5510803350434044</v>
      </c>
      <c r="K917" s="38">
        <f t="shared" si="114"/>
        <v>1.5801415429456696</v>
      </c>
      <c r="L917" s="39">
        <f t="shared" si="115"/>
        <v>0.20594594594594595</v>
      </c>
      <c r="M917" s="39">
        <f t="shared" si="116"/>
        <v>5.4488175649492376</v>
      </c>
      <c r="N917" s="39">
        <f t="shared" si="117"/>
        <v>144.16216216216216</v>
      </c>
      <c r="O917" s="40">
        <f>1</f>
        <v>1</v>
      </c>
      <c r="P917" s="38">
        <f>INDEX(Cables!$AS:$AS,MATCH(B917,Cables!$A:$A,0))+INDEX(Cables!$AT:$AT,MATCH(B917,Cables!$A:$A,0))*SQRT(C917)+INDEX(Cables!$AU:$AU,MATCH(B917,Cables!$A:$A,0))*C917</f>
        <v>4.859302326602851</v>
      </c>
      <c r="Q917" s="41">
        <f t="shared" si="118"/>
        <v>7.5361428956011167E-4</v>
      </c>
      <c r="R917" s="39">
        <f t="shared" si="119"/>
        <v>5.6793449742919179E-7</v>
      </c>
      <c r="S917" s="40" t="b">
        <f>IF(B917=B916,C917&gt;C916,COUNTIF(B$1:B916,B917)=0)</f>
        <v>1</v>
      </c>
      <c r="T917" s="37"/>
    </row>
    <row r="918" spans="1:20" x14ac:dyDescent="0.25">
      <c r="A918" s="37" t="s">
        <v>1659</v>
      </c>
      <c r="B918" s="37" t="s">
        <v>607</v>
      </c>
      <c r="C918" s="37">
        <v>900</v>
      </c>
      <c r="D918" s="37">
        <v>1.7</v>
      </c>
      <c r="E918" s="37" t="s">
        <v>707</v>
      </c>
      <c r="F918" s="37">
        <v>25</v>
      </c>
      <c r="G918" s="37" t="s">
        <v>207</v>
      </c>
      <c r="H918" s="37" t="s">
        <v>1653</v>
      </c>
      <c r="I918" s="38">
        <f t="shared" si="112"/>
        <v>5.5774278215223099</v>
      </c>
      <c r="J918" s="38">
        <f t="shared" si="113"/>
        <v>6.8023947633243109</v>
      </c>
      <c r="K918" s="38">
        <f t="shared" si="114"/>
        <v>1.7187277062318163</v>
      </c>
      <c r="L918" s="39">
        <f t="shared" si="115"/>
        <v>0.17929411764705883</v>
      </c>
      <c r="M918" s="39">
        <f t="shared" si="116"/>
        <v>5.3788235294117648</v>
      </c>
      <c r="N918" s="39">
        <f t="shared" si="117"/>
        <v>161.36470588235295</v>
      </c>
      <c r="O918" s="40">
        <f>1</f>
        <v>1</v>
      </c>
      <c r="P918" s="38">
        <f>INDEX(Cables!$AS:$AS,MATCH(B918,Cables!$A:$A,0))+INDEX(Cables!$AT:$AT,MATCH(B918,Cables!$A:$A,0))*SQRT(C918)+INDEX(Cables!$AU:$AU,MATCH(B918,Cables!$A:$A,0))*C918</f>
        <v>5.5640065757713693</v>
      </c>
      <c r="Q918" s="41">
        <f t="shared" si="118"/>
        <v>-2.4063504146392134E-3</v>
      </c>
      <c r="R918" s="39">
        <f t="shared" si="119"/>
        <v>5.7905223180343139E-6</v>
      </c>
      <c r="S918" s="40" t="b">
        <f>IF(B918=B917,C918&gt;C917,COUNTIF(B$1:B917,B918)=0)</f>
        <v>1</v>
      </c>
      <c r="T918" s="37"/>
    </row>
    <row r="919" spans="1:20" x14ac:dyDescent="0.25">
      <c r="A919" s="37" t="s">
        <v>1660</v>
      </c>
      <c r="B919" s="37" t="s">
        <v>607</v>
      </c>
      <c r="C919" s="37">
        <v>1500</v>
      </c>
      <c r="D919" s="37">
        <v>2.2400000000000002</v>
      </c>
      <c r="E919" s="37" t="s">
        <v>707</v>
      </c>
      <c r="F919" s="37">
        <v>25</v>
      </c>
      <c r="G919" s="37" t="s">
        <v>207</v>
      </c>
      <c r="H919" s="37" t="s">
        <v>1653</v>
      </c>
      <c r="I919" s="38">
        <f t="shared" si="112"/>
        <v>7.3490813648293969</v>
      </c>
      <c r="J919" s="38">
        <f t="shared" si="113"/>
        <v>7.3132203870903014</v>
      </c>
      <c r="K919" s="38">
        <f t="shared" si="114"/>
        <v>1.9945753210365944</v>
      </c>
      <c r="L919" s="39">
        <f t="shared" si="115"/>
        <v>0.13607142857142857</v>
      </c>
      <c r="M919" s="39">
        <f t="shared" si="116"/>
        <v>5.2700237675179489</v>
      </c>
      <c r="N919" s="39">
        <f t="shared" si="117"/>
        <v>204.10714285714283</v>
      </c>
      <c r="O919" s="40">
        <f>1</f>
        <v>1</v>
      </c>
      <c r="P919" s="38">
        <f>INDEX(Cables!$AS:$AS,MATCH(B919,Cables!$A:$A,0))+INDEX(Cables!$AT:$AT,MATCH(B919,Cables!$A:$A,0))*SQRT(C919)+INDEX(Cables!$AU:$AU,MATCH(B919,Cables!$A:$A,0))*C919</f>
        <v>7.3545961324958835</v>
      </c>
      <c r="Q919" s="41">
        <f t="shared" si="118"/>
        <v>7.5040231461831475E-4</v>
      </c>
      <c r="R919" s="39">
        <f t="shared" si="119"/>
        <v>5.6310363378452425E-7</v>
      </c>
      <c r="S919" s="40" t="b">
        <f>IF(B919=B918,C919&gt;C918,COUNTIF(B$1:B918,B919)=0)</f>
        <v>1</v>
      </c>
      <c r="T919" s="37"/>
    </row>
    <row r="920" spans="1:20" x14ac:dyDescent="0.25">
      <c r="A920" s="37" t="s">
        <v>1661</v>
      </c>
      <c r="B920" s="37" t="s">
        <v>607</v>
      </c>
      <c r="C920" s="37">
        <v>2000</v>
      </c>
      <c r="D920" s="37">
        <v>2.63</v>
      </c>
      <c r="E920" s="37" t="s">
        <v>707</v>
      </c>
      <c r="F920" s="37">
        <v>25</v>
      </c>
      <c r="G920" s="37" t="s">
        <v>207</v>
      </c>
      <c r="H920" s="37" t="s">
        <v>1653</v>
      </c>
      <c r="I920" s="38">
        <f t="shared" si="112"/>
        <v>8.6286089238845136</v>
      </c>
      <c r="J920" s="38">
        <f t="shared" si="113"/>
        <v>7.6009024595420822</v>
      </c>
      <c r="K920" s="38">
        <f t="shared" si="114"/>
        <v>2.1550833013593191</v>
      </c>
      <c r="L920" s="39">
        <f t="shared" si="115"/>
        <v>0.11589353612167301</v>
      </c>
      <c r="M920" s="39">
        <f t="shared" si="116"/>
        <v>5.1829164984177645</v>
      </c>
      <c r="N920" s="39">
        <f t="shared" si="117"/>
        <v>231.78707224334602</v>
      </c>
      <c r="O920" s="40">
        <f>1</f>
        <v>1</v>
      </c>
      <c r="P920" s="38">
        <f>INDEX(Cables!$AS:$AS,MATCH(B920,Cables!$A:$A,0))+INDEX(Cables!$AT:$AT,MATCH(B920,Cables!$A:$A,0))*SQRT(C920)+INDEX(Cables!$AU:$AU,MATCH(B920,Cables!$A:$A,0))*C920</f>
        <v>8.6279605025479231</v>
      </c>
      <c r="Q920" s="41">
        <f t="shared" si="118"/>
        <v>-7.5147841594236375E-5</v>
      </c>
      <c r="R920" s="39">
        <f t="shared" si="119"/>
        <v>5.6471980962724424E-9</v>
      </c>
      <c r="S920" s="40" t="b">
        <f>IF(B920=B919,C920&gt;C919,COUNTIF(B$1:B919,B920)=0)</f>
        <v>1</v>
      </c>
      <c r="T920" s="37"/>
    </row>
    <row r="921" spans="1:20" x14ac:dyDescent="0.25">
      <c r="A921" s="37" t="s">
        <v>1662</v>
      </c>
      <c r="B921" s="37" t="s">
        <v>607</v>
      </c>
      <c r="C921" s="37">
        <v>2500</v>
      </c>
      <c r="D921" s="37">
        <v>2.98</v>
      </c>
      <c r="E921" s="37" t="s">
        <v>707</v>
      </c>
      <c r="F921" s="37">
        <v>25</v>
      </c>
      <c r="G921" s="37" t="s">
        <v>207</v>
      </c>
      <c r="H921" s="37" t="s">
        <v>1653</v>
      </c>
      <c r="I921" s="38">
        <f t="shared" si="112"/>
        <v>9.7769028871391068</v>
      </c>
      <c r="J921" s="38">
        <f t="shared" si="113"/>
        <v>7.8240460108562919</v>
      </c>
      <c r="K921" s="38">
        <f t="shared" si="114"/>
        <v>2.280022755686959</v>
      </c>
      <c r="L921" s="39">
        <f t="shared" si="115"/>
        <v>0.10228187919463089</v>
      </c>
      <c r="M921" s="39">
        <f t="shared" si="116"/>
        <v>5.1140939597315445</v>
      </c>
      <c r="N921" s="39">
        <f t="shared" si="117"/>
        <v>255.7046979865772</v>
      </c>
      <c r="O921" s="40">
        <f>1</f>
        <v>1</v>
      </c>
      <c r="P921" s="38">
        <f>INDEX(Cables!$AS:$AS,MATCH(B921,Cables!$A:$A,0))+INDEX(Cables!$AT:$AT,MATCH(B921,Cables!$A:$A,0))*SQRT(C921)+INDEX(Cables!$AU:$AU,MATCH(B921,Cables!$A:$A,0))*C921</f>
        <v>9.7797862292282662</v>
      </c>
      <c r="Q921" s="41">
        <f t="shared" si="118"/>
        <v>2.9491364724010261E-4</v>
      </c>
      <c r="R921" s="39">
        <f t="shared" si="119"/>
        <v>8.6974059328459681E-8</v>
      </c>
      <c r="S921" s="40" t="b">
        <f>IF(B921=B920,C921&gt;C920,COUNTIF(B$1:B920,B921)=0)</f>
        <v>1</v>
      </c>
      <c r="T921" s="37"/>
    </row>
    <row r="922" spans="1:20" x14ac:dyDescent="0.25">
      <c r="A922" s="37" t="s">
        <v>1663</v>
      </c>
      <c r="B922" s="37" t="s">
        <v>612</v>
      </c>
      <c r="C922" s="37">
        <v>30</v>
      </c>
      <c r="D922" s="37">
        <v>0.20899999999999999</v>
      </c>
      <c r="E922" s="37" t="s">
        <v>707</v>
      </c>
      <c r="F922" s="37">
        <v>25</v>
      </c>
      <c r="G922" s="37" t="s">
        <v>207</v>
      </c>
      <c r="H922" s="37" t="s">
        <v>1664</v>
      </c>
      <c r="I922" s="38">
        <f t="shared" si="112"/>
        <v>0.68569553805774275</v>
      </c>
      <c r="J922" s="38">
        <f t="shared" si="113"/>
        <v>3.4011973816621555</v>
      </c>
      <c r="K922" s="38">
        <f t="shared" si="114"/>
        <v>-0.37732157184768028</v>
      </c>
      <c r="L922" s="39">
        <f t="shared" si="115"/>
        <v>1.4583732057416268</v>
      </c>
      <c r="M922" s="39">
        <f t="shared" si="116"/>
        <v>7.9878390204581171</v>
      </c>
      <c r="N922" s="39">
        <f t="shared" si="117"/>
        <v>43.751196172248804</v>
      </c>
      <c r="O922" s="40">
        <f>1</f>
        <v>1</v>
      </c>
      <c r="P922" s="38">
        <f>INDEX(Cables!$AS:$AS,MATCH(B922,Cables!$A:$A,0))+INDEX(Cables!$AT:$AT,MATCH(B922,Cables!$A:$A,0))*SQRT(C922)+INDEX(Cables!$AU:$AU,MATCH(B922,Cables!$A:$A,0))*C922</f>
        <v>0.68553786462743449</v>
      </c>
      <c r="Q922" s="41">
        <f t="shared" si="118"/>
        <v>-2.299467060189464E-4</v>
      </c>
      <c r="R922" s="39">
        <f t="shared" si="119"/>
        <v>5.2875487608963758E-8</v>
      </c>
      <c r="S922" s="40" t="b">
        <f>IF(B922=B921,C922&gt;C921,COUNTIF(B$1:B921,B922)=0)</f>
        <v>1</v>
      </c>
      <c r="T922" s="37"/>
    </row>
    <row r="923" spans="1:20" x14ac:dyDescent="0.25">
      <c r="A923" s="37" t="s">
        <v>1665</v>
      </c>
      <c r="B923" s="37" t="s">
        <v>612</v>
      </c>
      <c r="C923" s="37">
        <v>50</v>
      </c>
      <c r="D923" s="37">
        <v>0.27200000000000002</v>
      </c>
      <c r="E923" s="37" t="s">
        <v>707</v>
      </c>
      <c r="F923" s="37">
        <v>25</v>
      </c>
      <c r="G923" s="37" t="s">
        <v>207</v>
      </c>
      <c r="H923" s="37" t="s">
        <v>1664</v>
      </c>
      <c r="I923" s="38">
        <f t="shared" si="112"/>
        <v>0.8923884514435696</v>
      </c>
      <c r="J923" s="38">
        <f t="shared" si="113"/>
        <v>3.912023005428146</v>
      </c>
      <c r="K923" s="38">
        <f t="shared" si="114"/>
        <v>-0.11385375751649385</v>
      </c>
      <c r="L923" s="39">
        <f t="shared" si="115"/>
        <v>1.1205882352941177</v>
      </c>
      <c r="M923" s="39">
        <f t="shared" si="116"/>
        <v>7.9237554009433708</v>
      </c>
      <c r="N923" s="39">
        <f t="shared" si="117"/>
        <v>56.029411764705877</v>
      </c>
      <c r="O923" s="40">
        <f>1</f>
        <v>1</v>
      </c>
      <c r="P923" s="38">
        <f>INDEX(Cables!$AS:$AS,MATCH(B923,Cables!$A:$A,0))+INDEX(Cables!$AT:$AT,MATCH(B923,Cables!$A:$A,0))*SQRT(C923)+INDEX(Cables!$AU:$AU,MATCH(B923,Cables!$A:$A,0))*C923</f>
        <v>0.89190114270207721</v>
      </c>
      <c r="Q923" s="41">
        <f t="shared" si="118"/>
        <v>-5.4607244267235178E-4</v>
      </c>
      <c r="R923" s="39">
        <f t="shared" si="119"/>
        <v>2.9819511264614893E-7</v>
      </c>
      <c r="S923" s="40" t="b">
        <f>IF(B923=B922,C923&gt;C922,COUNTIF(B$1:B922,B923)=0)</f>
        <v>1</v>
      </c>
      <c r="T923" s="37"/>
    </row>
    <row r="924" spans="1:20" x14ac:dyDescent="0.25">
      <c r="A924" s="37" t="s">
        <v>1666</v>
      </c>
      <c r="B924" s="37" t="s">
        <v>612</v>
      </c>
      <c r="C924" s="37">
        <v>150</v>
      </c>
      <c r="D924" s="37">
        <v>0.48099999999999998</v>
      </c>
      <c r="E924" s="37" t="s">
        <v>707</v>
      </c>
      <c r="F924" s="37">
        <v>25</v>
      </c>
      <c r="G924" s="37" t="s">
        <v>207</v>
      </c>
      <c r="H924" s="37" t="s">
        <v>1664</v>
      </c>
      <c r="I924" s="38">
        <f t="shared" si="112"/>
        <v>1.5780839895013123</v>
      </c>
      <c r="J924" s="38">
        <f t="shared" si="113"/>
        <v>5.0106352940962555</v>
      </c>
      <c r="K924" s="38">
        <f t="shared" si="114"/>
        <v>0.45621144629326998</v>
      </c>
      <c r="L924" s="39">
        <f t="shared" si="115"/>
        <v>0.63367983367983372</v>
      </c>
      <c r="M924" s="39">
        <f t="shared" si="116"/>
        <v>7.7609612640365144</v>
      </c>
      <c r="N924" s="39">
        <f t="shared" si="117"/>
        <v>95.051975051975049</v>
      </c>
      <c r="O924" s="40">
        <f>1</f>
        <v>1</v>
      </c>
      <c r="P924" s="38">
        <f>INDEX(Cables!$AS:$AS,MATCH(B924,Cables!$A:$A,0))+INDEX(Cables!$AT:$AT,MATCH(B924,Cables!$A:$A,0))*SQRT(C924)+INDEX(Cables!$AU:$AU,MATCH(B924,Cables!$A:$A,0))*C924</f>
        <v>1.5801741804375005</v>
      </c>
      <c r="Q924" s="41">
        <f t="shared" si="118"/>
        <v>1.324511844802867E-3</v>
      </c>
      <c r="R924" s="39">
        <f t="shared" si="119"/>
        <v>1.7543316270230941E-6</v>
      </c>
      <c r="S924" s="40" t="b">
        <f>IF(B924=B923,C924&gt;C923,COUNTIF(B$1:B923,B924)=0)</f>
        <v>1</v>
      </c>
      <c r="T924" s="37"/>
    </row>
    <row r="925" spans="1:20" x14ac:dyDescent="0.25">
      <c r="A925" s="37" t="s">
        <v>1667</v>
      </c>
      <c r="B925" s="37" t="s">
        <v>612</v>
      </c>
      <c r="C925" s="37">
        <v>220</v>
      </c>
      <c r="D925" s="37">
        <v>0.58899999999999997</v>
      </c>
      <c r="E925" s="37" t="s">
        <v>707</v>
      </c>
      <c r="F925" s="37">
        <v>25</v>
      </c>
      <c r="G925" s="37" t="s">
        <v>207</v>
      </c>
      <c r="H925" s="37" t="s">
        <v>1664</v>
      </c>
      <c r="I925" s="38">
        <f t="shared" si="112"/>
        <v>1.9324146981627295</v>
      </c>
      <c r="J925" s="38">
        <f t="shared" si="113"/>
        <v>5.393627546352362</v>
      </c>
      <c r="K925" s="38">
        <f t="shared" si="114"/>
        <v>0.65877035983909538</v>
      </c>
      <c r="L925" s="39">
        <f t="shared" si="115"/>
        <v>0.51748726655348054</v>
      </c>
      <c r="M925" s="39">
        <f t="shared" si="116"/>
        <v>7.6755765666103848</v>
      </c>
      <c r="N925" s="39">
        <f t="shared" si="117"/>
        <v>113.84719864176571</v>
      </c>
      <c r="O925" s="40">
        <f>1</f>
        <v>1</v>
      </c>
      <c r="P925" s="38">
        <f>INDEX(Cables!$AS:$AS,MATCH(B925,Cables!$A:$A,0))+INDEX(Cables!$AT:$AT,MATCH(B925,Cables!$A:$A,0))*SQRT(C925)+INDEX(Cables!$AU:$AU,MATCH(B925,Cables!$A:$A,0))*C925</f>
        <v>1.9342181661465905</v>
      </c>
      <c r="Q925" s="41">
        <f t="shared" si="118"/>
        <v>9.3327171728496694E-4</v>
      </c>
      <c r="R925" s="39">
        <f t="shared" si="119"/>
        <v>8.7099609828403125E-7</v>
      </c>
      <c r="S925" s="40" t="b">
        <f>IF(B925=B924,C925&gt;C924,COUNTIF(B$1:B924,B925)=0)</f>
        <v>1</v>
      </c>
      <c r="T925" s="37"/>
    </row>
    <row r="926" spans="1:20" x14ac:dyDescent="0.25">
      <c r="A926" s="37" t="s">
        <v>1668</v>
      </c>
      <c r="B926" s="37" t="s">
        <v>612</v>
      </c>
      <c r="C926" s="37">
        <v>450</v>
      </c>
      <c r="D926" s="37">
        <v>0.86399999999999999</v>
      </c>
      <c r="E926" s="37" t="s">
        <v>707</v>
      </c>
      <c r="F926" s="37">
        <v>25</v>
      </c>
      <c r="G926" s="37" t="s">
        <v>207</v>
      </c>
      <c r="H926" s="37" t="s">
        <v>1664</v>
      </c>
      <c r="I926" s="38">
        <f t="shared" si="112"/>
        <v>2.8346456692913389</v>
      </c>
      <c r="J926" s="38">
        <f t="shared" si="113"/>
        <v>6.1092475827643655</v>
      </c>
      <c r="K926" s="38">
        <f t="shared" si="114"/>
        <v>1.0419169449915646</v>
      </c>
      <c r="L926" s="39">
        <f t="shared" si="115"/>
        <v>0.35277777777777775</v>
      </c>
      <c r="M926" s="39">
        <f t="shared" si="116"/>
        <v>7.4835467675576277</v>
      </c>
      <c r="N926" s="39">
        <f t="shared" si="117"/>
        <v>158.74999999999997</v>
      </c>
      <c r="O926" s="40">
        <f>1</f>
        <v>1</v>
      </c>
      <c r="P926" s="38">
        <f>INDEX(Cables!$AS:$AS,MATCH(B926,Cables!$A:$A,0))+INDEX(Cables!$AT:$AT,MATCH(B926,Cables!$A:$A,0))*SQRT(C926)+INDEX(Cables!$AU:$AU,MATCH(B926,Cables!$A:$A,0))*C926</f>
        <v>2.8376372837333204</v>
      </c>
      <c r="Q926" s="41">
        <f t="shared" si="118"/>
        <v>1.0553750948101293E-3</v>
      </c>
      <c r="R926" s="39">
        <f t="shared" si="119"/>
        <v>1.1138165907454892E-6</v>
      </c>
      <c r="S926" s="40" t="b">
        <f>IF(B926=B925,C926&gt;C925,COUNTIF(B$1:B925,B926)=0)</f>
        <v>1</v>
      </c>
      <c r="T926" s="37"/>
    </row>
    <row r="927" spans="1:20" x14ac:dyDescent="0.25">
      <c r="A927" s="37" t="s">
        <v>1669</v>
      </c>
      <c r="B927" s="37" t="s">
        <v>612</v>
      </c>
      <c r="C927" s="37">
        <v>700</v>
      </c>
      <c r="D927" s="37">
        <v>1.1000000000000001</v>
      </c>
      <c r="E927" s="37" t="s">
        <v>707</v>
      </c>
      <c r="F927" s="37">
        <v>25</v>
      </c>
      <c r="G927" s="37" t="s">
        <v>207</v>
      </c>
      <c r="H927" s="37" t="s">
        <v>1664</v>
      </c>
      <c r="I927" s="38">
        <f t="shared" si="112"/>
        <v>3.6089238845144362</v>
      </c>
      <c r="J927" s="38">
        <f t="shared" si="113"/>
        <v>6.5510803350434044</v>
      </c>
      <c r="K927" s="38">
        <f t="shared" si="114"/>
        <v>1.2834096349739708</v>
      </c>
      <c r="L927" s="39">
        <f t="shared" si="115"/>
        <v>0.27709090909090905</v>
      </c>
      <c r="M927" s="39">
        <f t="shared" si="116"/>
        <v>7.3311363601135184</v>
      </c>
      <c r="N927" s="39">
        <f t="shared" si="117"/>
        <v>193.96363636363634</v>
      </c>
      <c r="O927" s="40">
        <f>1</f>
        <v>1</v>
      </c>
      <c r="P927" s="38">
        <f>INDEX(Cables!$AS:$AS,MATCH(B927,Cables!$A:$A,0))+INDEX(Cables!$AT:$AT,MATCH(B927,Cables!$A:$A,0))*SQRT(C927)+INDEX(Cables!$AU:$AU,MATCH(B927,Cables!$A:$A,0))*C927</f>
        <v>3.6115633160859137</v>
      </c>
      <c r="Q927" s="41">
        <f t="shared" si="118"/>
        <v>7.3136249362404371E-4</v>
      </c>
      <c r="R927" s="39">
        <f t="shared" si="119"/>
        <v>5.3489109707997934E-7</v>
      </c>
      <c r="S927" s="40" t="b">
        <f>IF(B927=B926,C927&gt;C926,COUNTIF(B$1:B926,B927)=0)</f>
        <v>1</v>
      </c>
      <c r="T927" s="37"/>
    </row>
    <row r="928" spans="1:20" x14ac:dyDescent="0.25">
      <c r="A928" s="37" t="s">
        <v>1670</v>
      </c>
      <c r="B928" s="37" t="s">
        <v>612</v>
      </c>
      <c r="C928" s="37">
        <v>900</v>
      </c>
      <c r="D928" s="37">
        <v>1.27</v>
      </c>
      <c r="E928" s="37" t="s">
        <v>707</v>
      </c>
      <c r="F928" s="37">
        <v>25</v>
      </c>
      <c r="G928" s="37" t="s">
        <v>207</v>
      </c>
      <c r="H928" s="37" t="s">
        <v>1664</v>
      </c>
      <c r="I928" s="38">
        <f t="shared" si="112"/>
        <v>4.166666666666667</v>
      </c>
      <c r="J928" s="38">
        <f t="shared" si="113"/>
        <v>6.8023947633243109</v>
      </c>
      <c r="K928" s="38">
        <f t="shared" si="114"/>
        <v>1.4271163556401458</v>
      </c>
      <c r="L928" s="39">
        <f t="shared" si="115"/>
        <v>0.24</v>
      </c>
      <c r="M928" s="39">
        <f t="shared" si="116"/>
        <v>7.1999999999999993</v>
      </c>
      <c r="N928" s="39">
        <f t="shared" si="117"/>
        <v>215.99999999999997</v>
      </c>
      <c r="O928" s="40">
        <f>1</f>
        <v>1</v>
      </c>
      <c r="P928" s="38">
        <f>INDEX(Cables!$AS:$AS,MATCH(B928,Cables!$A:$A,0))+INDEX(Cables!$AT:$AT,MATCH(B928,Cables!$A:$A,0))*SQRT(C928)+INDEX(Cables!$AU:$AU,MATCH(B928,Cables!$A:$A,0))*C928</f>
        <v>4.150384059064999</v>
      </c>
      <c r="Q928" s="41">
        <f t="shared" si="118"/>
        <v>-3.9078258244003017E-3</v>
      </c>
      <c r="R928" s="39">
        <f t="shared" si="119"/>
        <v>1.5271102673849898E-5</v>
      </c>
      <c r="S928" s="40" t="b">
        <f>IF(B928=B927,C928&gt;C927,COUNTIF(B$1:B927,B928)=0)</f>
        <v>1</v>
      </c>
      <c r="T928" s="37"/>
    </row>
    <row r="929" spans="1:20" x14ac:dyDescent="0.25">
      <c r="A929" s="37" t="s">
        <v>1671</v>
      </c>
      <c r="B929" s="37" t="s">
        <v>612</v>
      </c>
      <c r="C929" s="37">
        <v>1500</v>
      </c>
      <c r="D929" s="37">
        <v>1.69</v>
      </c>
      <c r="E929" s="37" t="s">
        <v>707</v>
      </c>
      <c r="F929" s="37">
        <v>25</v>
      </c>
      <c r="G929" s="37" t="s">
        <v>207</v>
      </c>
      <c r="H929" s="37" t="s">
        <v>1664</v>
      </c>
      <c r="I929" s="38">
        <f t="shared" si="112"/>
        <v>5.5446194225721781</v>
      </c>
      <c r="J929" s="38">
        <f t="shared" si="113"/>
        <v>7.3132203870903014</v>
      </c>
      <c r="K929" s="38">
        <f t="shared" si="114"/>
        <v>1.7128279841046279</v>
      </c>
      <c r="L929" s="39">
        <f t="shared" si="115"/>
        <v>0.18035502958579883</v>
      </c>
      <c r="M929" s="39">
        <f t="shared" si="116"/>
        <v>6.9851202599054485</v>
      </c>
      <c r="N929" s="39">
        <f t="shared" si="117"/>
        <v>270.53254437869822</v>
      </c>
      <c r="O929" s="40">
        <f>1</f>
        <v>1</v>
      </c>
      <c r="P929" s="38">
        <f>INDEX(Cables!$AS:$AS,MATCH(B929,Cables!$A:$A,0))+INDEX(Cables!$AT:$AT,MATCH(B929,Cables!$A:$A,0))*SQRT(C929)+INDEX(Cables!$AU:$AU,MATCH(B929,Cables!$A:$A,0))*C929</f>
        <v>5.5334210001861139</v>
      </c>
      <c r="Q929" s="41">
        <f t="shared" si="118"/>
        <v>-2.0196918007528986E-3</v>
      </c>
      <c r="R929" s="39">
        <f t="shared" si="119"/>
        <v>4.0791549700284863E-6</v>
      </c>
      <c r="S929" s="40" t="b">
        <f>IF(B929=B928,C929&gt;C928,COUNTIF(B$1:B928,B929)=0)</f>
        <v>1</v>
      </c>
      <c r="T929" s="37"/>
    </row>
    <row r="930" spans="1:20" x14ac:dyDescent="0.25">
      <c r="A930" s="37" t="s">
        <v>1672</v>
      </c>
      <c r="B930" s="37" t="s">
        <v>612</v>
      </c>
      <c r="C930" s="37">
        <v>2000</v>
      </c>
      <c r="D930" s="37">
        <v>1.99</v>
      </c>
      <c r="E930" s="37" t="s">
        <v>707</v>
      </c>
      <c r="F930" s="37">
        <v>25</v>
      </c>
      <c r="G930" s="37" t="s">
        <v>207</v>
      </c>
      <c r="H930" s="37" t="s">
        <v>1664</v>
      </c>
      <c r="I930" s="38">
        <f t="shared" si="112"/>
        <v>6.5288713910761151</v>
      </c>
      <c r="J930" s="38">
        <f t="shared" si="113"/>
        <v>7.6009024595420822</v>
      </c>
      <c r="K930" s="38">
        <f t="shared" si="114"/>
        <v>1.8762340939060469</v>
      </c>
      <c r="L930" s="39">
        <f t="shared" si="115"/>
        <v>0.15316582914572865</v>
      </c>
      <c r="M930" s="39">
        <f t="shared" si="116"/>
        <v>6.8497841159993564</v>
      </c>
      <c r="N930" s="39">
        <f t="shared" si="117"/>
        <v>306.3316582914573</v>
      </c>
      <c r="O930" s="40">
        <f>1</f>
        <v>1</v>
      </c>
      <c r="P930" s="38">
        <f>INDEX(Cables!$AS:$AS,MATCH(B930,Cables!$A:$A,0))+INDEX(Cables!$AT:$AT,MATCH(B930,Cables!$A:$A,0))*SQRT(C930)+INDEX(Cables!$AU:$AU,MATCH(B930,Cables!$A:$A,0))*C930</f>
        <v>6.5280899708951523</v>
      </c>
      <c r="Q930" s="41">
        <f t="shared" si="118"/>
        <v>-1.1968686992835931E-4</v>
      </c>
      <c r="R930" s="39">
        <f t="shared" si="119"/>
        <v>1.4324946833247999E-8</v>
      </c>
      <c r="S930" s="40" t="b">
        <f>IF(B930=B929,C930&gt;C929,COUNTIF(B$1:B929,B930)=0)</f>
        <v>1</v>
      </c>
      <c r="T930" s="37"/>
    </row>
    <row r="931" spans="1:20" x14ac:dyDescent="0.25">
      <c r="A931" s="37" t="s">
        <v>1673</v>
      </c>
      <c r="B931" s="37" t="s">
        <v>612</v>
      </c>
      <c r="C931" s="37">
        <v>2500</v>
      </c>
      <c r="D931" s="37">
        <v>2.2599999999999998</v>
      </c>
      <c r="E931" s="37" t="s">
        <v>707</v>
      </c>
      <c r="F931" s="37">
        <v>25</v>
      </c>
      <c r="G931" s="37" t="s">
        <v>207</v>
      </c>
      <c r="H931" s="37" t="s">
        <v>1664</v>
      </c>
      <c r="I931" s="38">
        <f t="shared" si="112"/>
        <v>7.4146981627296578</v>
      </c>
      <c r="J931" s="38">
        <f t="shared" si="113"/>
        <v>7.8240460108562919</v>
      </c>
      <c r="K931" s="38">
        <f t="shared" si="114"/>
        <v>2.0034642684538402</v>
      </c>
      <c r="L931" s="39">
        <f t="shared" si="115"/>
        <v>0.13486725663716817</v>
      </c>
      <c r="M931" s="39">
        <f t="shared" si="116"/>
        <v>6.7433628318584082</v>
      </c>
      <c r="N931" s="39">
        <f t="shared" si="117"/>
        <v>337.16814159292039</v>
      </c>
      <c r="O931" s="40">
        <f>1</f>
        <v>1</v>
      </c>
      <c r="P931" s="38">
        <f>INDEX(Cables!$AS:$AS,MATCH(B931,Cables!$A:$A,0))+INDEX(Cables!$AT:$AT,MATCH(B931,Cables!$A:$A,0))*SQRT(C931)+INDEX(Cables!$AU:$AU,MATCH(B931,Cables!$A:$A,0))*C931</f>
        <v>7.4350675685643406</v>
      </c>
      <c r="Q931" s="41">
        <f t="shared" si="118"/>
        <v>2.7471658842528335E-3</v>
      </c>
      <c r="R931" s="39">
        <f t="shared" si="119"/>
        <v>7.5469203956026522E-6</v>
      </c>
      <c r="S931" s="40" t="b">
        <f>IF(B931=B930,C931&gt;C930,COUNTIF(B$1:B930,B931)=0)</f>
        <v>1</v>
      </c>
      <c r="T931" s="37"/>
    </row>
    <row r="932" spans="1:20" x14ac:dyDescent="0.25">
      <c r="A932" s="37" t="s">
        <v>1674</v>
      </c>
      <c r="B932" s="37" t="s">
        <v>615</v>
      </c>
      <c r="C932" s="37">
        <v>0.5</v>
      </c>
      <c r="D932" s="37">
        <v>8.1000000000000003E-2</v>
      </c>
      <c r="E932" s="37" t="s">
        <v>771</v>
      </c>
      <c r="F932" s="37">
        <v>20</v>
      </c>
      <c r="G932" s="37" t="s">
        <v>619</v>
      </c>
      <c r="H932" s="37" t="s">
        <v>1320</v>
      </c>
      <c r="I932" s="38">
        <f t="shared" si="112"/>
        <v>8.1000000000000003E-2</v>
      </c>
      <c r="J932" s="38">
        <f t="shared" si="113"/>
        <v>-0.69314718055994529</v>
      </c>
      <c r="K932" s="38">
        <f t="shared" si="114"/>
        <v>-2.5133061243096981</v>
      </c>
      <c r="L932" s="39">
        <f t="shared" si="115"/>
        <v>12.345679012345679</v>
      </c>
      <c r="M932" s="39">
        <f t="shared" si="116"/>
        <v>8.7297133479820683</v>
      </c>
      <c r="N932" s="39">
        <f t="shared" si="117"/>
        <v>6.1728395061728394</v>
      </c>
      <c r="O932" s="40">
        <f>1</f>
        <v>1</v>
      </c>
      <c r="P932" s="38">
        <f>INDEX(Cables!$AS:$AS,MATCH(B932,Cables!$A:$A,0))+INDEX(Cables!$AT:$AT,MATCH(B932,Cables!$A:$A,0))*SQRT(C932)+INDEX(Cables!$AU:$AU,MATCH(B932,Cables!$A:$A,0))*C932</f>
        <v>8.1163389869851374E-2</v>
      </c>
      <c r="Q932" s="41">
        <f t="shared" si="118"/>
        <v>2.0171588870538937E-3</v>
      </c>
      <c r="R932" s="39">
        <f t="shared" si="119"/>
        <v>4.0689299756205026E-6</v>
      </c>
      <c r="S932" s="40" t="b">
        <f>IF(B932=B931,C932&gt;C931,COUNTIF(B$1:B931,B932)=0)</f>
        <v>1</v>
      </c>
      <c r="T932" s="37"/>
    </row>
    <row r="933" spans="1:20" x14ac:dyDescent="0.25">
      <c r="A933" s="37" t="s">
        <v>1675</v>
      </c>
      <c r="B933" s="37" t="s">
        <v>615</v>
      </c>
      <c r="C933" s="37">
        <v>1</v>
      </c>
      <c r="D933" s="37">
        <v>0.115</v>
      </c>
      <c r="E933" s="37" t="s">
        <v>771</v>
      </c>
      <c r="F933" s="37">
        <v>20</v>
      </c>
      <c r="G933" s="37" t="s">
        <v>619</v>
      </c>
      <c r="H933" s="37" t="s">
        <v>1320</v>
      </c>
      <c r="I933" s="38">
        <f t="shared" si="112"/>
        <v>0.115</v>
      </c>
      <c r="J933" s="38">
        <f t="shared" si="113"/>
        <v>0</v>
      </c>
      <c r="K933" s="38">
        <f t="shared" si="114"/>
        <v>-2.1628231506188871</v>
      </c>
      <c r="L933" s="39">
        <f t="shared" si="115"/>
        <v>8.695652173913043</v>
      </c>
      <c r="M933" s="39">
        <f t="shared" si="116"/>
        <v>8.695652173913043</v>
      </c>
      <c r="N933" s="39">
        <f t="shared" si="117"/>
        <v>8.695652173913043</v>
      </c>
      <c r="O933" s="40">
        <f>1</f>
        <v>1</v>
      </c>
      <c r="P933" s="38">
        <f>INDEX(Cables!$AS:$AS,MATCH(B933,Cables!$A:$A,0))+INDEX(Cables!$AT:$AT,MATCH(B933,Cables!$A:$A,0))*SQRT(C933)+INDEX(Cables!$AU:$AU,MATCH(B933,Cables!$A:$A,0))*C933</f>
        <v>0.11488079177850653</v>
      </c>
      <c r="Q933" s="41">
        <f t="shared" si="118"/>
        <v>-1.036593230377969E-3</v>
      </c>
      <c r="R933" s="39">
        <f t="shared" si="119"/>
        <v>1.0745255252654332E-6</v>
      </c>
      <c r="S933" s="40" t="b">
        <f>IF(B933=B932,C933&gt;C932,COUNTIF(B$1:B932,B933)=0)</f>
        <v>1</v>
      </c>
      <c r="T933" s="37"/>
    </row>
    <row r="934" spans="1:20" x14ac:dyDescent="0.25">
      <c r="A934" s="37" t="s">
        <v>1676</v>
      </c>
      <c r="B934" s="37" t="s">
        <v>615</v>
      </c>
      <c r="C934" s="37">
        <v>1.5</v>
      </c>
      <c r="D934" s="37">
        <v>0.14099999999999999</v>
      </c>
      <c r="E934" s="37" t="s">
        <v>771</v>
      </c>
      <c r="F934" s="37">
        <v>20</v>
      </c>
      <c r="G934" s="37" t="s">
        <v>619</v>
      </c>
      <c r="H934" s="37" t="s">
        <v>1320</v>
      </c>
      <c r="I934" s="38">
        <f t="shared" si="112"/>
        <v>0.14099999999999999</v>
      </c>
      <c r="J934" s="38">
        <f t="shared" si="113"/>
        <v>0.40546510810816438</v>
      </c>
      <c r="K934" s="38">
        <f t="shared" si="114"/>
        <v>-1.9589953886039688</v>
      </c>
      <c r="L934" s="39">
        <f t="shared" si="115"/>
        <v>7.0921985815602842</v>
      </c>
      <c r="M934" s="39">
        <f t="shared" si="116"/>
        <v>8.6861338396566605</v>
      </c>
      <c r="N934" s="39">
        <f t="shared" si="117"/>
        <v>10.638297872340427</v>
      </c>
      <c r="O934" s="40">
        <f>1</f>
        <v>1</v>
      </c>
      <c r="P934" s="38">
        <f>INDEX(Cables!$AS:$AS,MATCH(B934,Cables!$A:$A,0))+INDEX(Cables!$AT:$AT,MATCH(B934,Cables!$A:$A,0))*SQRT(C934)+INDEX(Cables!$AU:$AU,MATCH(B934,Cables!$A:$A,0))*C934</f>
        <v>0.1408114336369293</v>
      </c>
      <c r="Q934" s="41">
        <f t="shared" si="118"/>
        <v>-1.3373500926998627E-3</v>
      </c>
      <c r="R934" s="39">
        <f t="shared" si="119"/>
        <v>1.7885052704443314E-6</v>
      </c>
      <c r="S934" s="40" t="b">
        <f>IF(B934=B933,C934&gt;C933,COUNTIF(B$1:B933,B934)=0)</f>
        <v>1</v>
      </c>
      <c r="T934" s="37"/>
    </row>
    <row r="935" spans="1:20" x14ac:dyDescent="0.25">
      <c r="A935" s="37" t="s">
        <v>1677</v>
      </c>
      <c r="B935" s="37" t="s">
        <v>615</v>
      </c>
      <c r="C935" s="37">
        <v>2</v>
      </c>
      <c r="D935" s="37">
        <v>0.16300000000000001</v>
      </c>
      <c r="E935" s="37" t="s">
        <v>771</v>
      </c>
      <c r="F935" s="37">
        <v>20</v>
      </c>
      <c r="G935" s="37" t="s">
        <v>619</v>
      </c>
      <c r="H935" s="37" t="s">
        <v>1320</v>
      </c>
      <c r="I935" s="38">
        <f t="shared" si="112"/>
        <v>0.16300000000000001</v>
      </c>
      <c r="J935" s="38">
        <f t="shared" si="113"/>
        <v>0.69314718055994529</v>
      </c>
      <c r="K935" s="38">
        <f t="shared" si="114"/>
        <v>-1.8140050781753747</v>
      </c>
      <c r="L935" s="39">
        <f t="shared" si="115"/>
        <v>6.1349693251533743</v>
      </c>
      <c r="M935" s="39">
        <f t="shared" si="116"/>
        <v>8.6761568243748162</v>
      </c>
      <c r="N935" s="39">
        <f t="shared" si="117"/>
        <v>12.269938650306749</v>
      </c>
      <c r="O935" s="40">
        <f>1</f>
        <v>1</v>
      </c>
      <c r="P935" s="38">
        <f>INDEX(Cables!$AS:$AS,MATCH(B935,Cables!$A:$A,0))+INDEX(Cables!$AT:$AT,MATCH(B935,Cables!$A:$A,0))*SQRT(C935)+INDEX(Cables!$AU:$AU,MATCH(B935,Cables!$A:$A,0))*C935</f>
        <v>0.16271135189406488</v>
      </c>
      <c r="Q935" s="41">
        <f t="shared" si="118"/>
        <v>-1.7708472756755578E-3</v>
      </c>
      <c r="R935" s="39">
        <f t="shared" si="119"/>
        <v>3.1359000737675449E-6</v>
      </c>
      <c r="S935" s="40" t="b">
        <f>IF(B935=B934,C935&gt;C934,COUNTIF(B$1:B934,B935)=0)</f>
        <v>1</v>
      </c>
      <c r="T935" s="37"/>
    </row>
    <row r="936" spans="1:20" x14ac:dyDescent="0.25">
      <c r="A936" s="37" t="s">
        <v>1678</v>
      </c>
      <c r="B936" s="37" t="s">
        <v>615</v>
      </c>
      <c r="C936" s="37">
        <v>10</v>
      </c>
      <c r="D936" s="37">
        <v>0.36599999999999999</v>
      </c>
      <c r="E936" s="37" t="s">
        <v>771</v>
      </c>
      <c r="F936" s="37">
        <v>20</v>
      </c>
      <c r="G936" s="37" t="s">
        <v>619</v>
      </c>
      <c r="H936" s="37" t="s">
        <v>1320</v>
      </c>
      <c r="I936" s="38">
        <f t="shared" si="112"/>
        <v>0.36599999999999999</v>
      </c>
      <c r="J936" s="38">
        <f t="shared" si="113"/>
        <v>2.3025850929940459</v>
      </c>
      <c r="K936" s="38">
        <f t="shared" si="114"/>
        <v>-1.0051219455807707</v>
      </c>
      <c r="L936" s="39">
        <f t="shared" si="115"/>
        <v>2.7322404371584699</v>
      </c>
      <c r="M936" s="39">
        <f t="shared" si="116"/>
        <v>8.6401028966349163</v>
      </c>
      <c r="N936" s="39">
        <f t="shared" si="117"/>
        <v>27.3224043715847</v>
      </c>
      <c r="O936" s="40">
        <f>1</f>
        <v>1</v>
      </c>
      <c r="P936" s="38">
        <f>INDEX(Cables!$AS:$AS,MATCH(B936,Cables!$A:$A,0))+INDEX(Cables!$AT:$AT,MATCH(B936,Cables!$A:$A,0))*SQRT(C936)+INDEX(Cables!$AU:$AU,MATCH(B936,Cables!$A:$A,0))*C936</f>
        <v>0.36646231980957183</v>
      </c>
      <c r="Q936" s="41">
        <f t="shared" si="118"/>
        <v>1.2631688786115536E-3</v>
      </c>
      <c r="R936" s="39">
        <f t="shared" si="119"/>
        <v>1.5955956158927699E-6</v>
      </c>
      <c r="S936" s="40" t="b">
        <f>IF(B936=B935,C936&gt;C935,COUNTIF(B$1:B935,B936)=0)</f>
        <v>1</v>
      </c>
      <c r="T936" s="37"/>
    </row>
    <row r="937" spans="1:20" x14ac:dyDescent="0.25">
      <c r="A937" s="37" t="s">
        <v>1679</v>
      </c>
      <c r="B937" s="37" t="s">
        <v>615</v>
      </c>
      <c r="C937" s="37">
        <v>20</v>
      </c>
      <c r="D937" s="37">
        <v>0.52100000000000002</v>
      </c>
      <c r="E937" s="37" t="s">
        <v>771</v>
      </c>
      <c r="F937" s="37">
        <v>20</v>
      </c>
      <c r="G937" s="37" t="s">
        <v>619</v>
      </c>
      <c r="H937" s="37" t="s">
        <v>1320</v>
      </c>
      <c r="I937" s="38">
        <f t="shared" si="112"/>
        <v>0.52100000000000002</v>
      </c>
      <c r="J937" s="38">
        <f t="shared" si="113"/>
        <v>2.9957322735539909</v>
      </c>
      <c r="K937" s="38">
        <f t="shared" si="114"/>
        <v>-0.65200523722877013</v>
      </c>
      <c r="L937" s="39">
        <f t="shared" si="115"/>
        <v>1.9193857965451055</v>
      </c>
      <c r="M937" s="39">
        <f t="shared" si="116"/>
        <v>8.5837542322448748</v>
      </c>
      <c r="N937" s="39">
        <f t="shared" si="117"/>
        <v>38.387715930902111</v>
      </c>
      <c r="O937" s="40">
        <f>1</f>
        <v>1</v>
      </c>
      <c r="P937" s="38">
        <f>INDEX(Cables!$AS:$AS,MATCH(B937,Cables!$A:$A,0))+INDEX(Cables!$AT:$AT,MATCH(B937,Cables!$A:$A,0))*SQRT(C937)+INDEX(Cables!$AU:$AU,MATCH(B937,Cables!$A:$A,0))*C937</f>
        <v>0.52114651574851123</v>
      </c>
      <c r="Q937" s="41">
        <f t="shared" si="118"/>
        <v>2.8122024666266121E-4</v>
      </c>
      <c r="R937" s="39">
        <f t="shared" si="119"/>
        <v>7.9084827133008013E-8</v>
      </c>
      <c r="S937" s="40" t="b">
        <f>IF(B937=B936,C937&gt;C936,COUNTIF(B$1:B936,B937)=0)</f>
        <v>1</v>
      </c>
      <c r="T937" s="37"/>
    </row>
    <row r="938" spans="1:20" x14ac:dyDescent="0.25">
      <c r="A938" s="37" t="s">
        <v>1680</v>
      </c>
      <c r="B938" s="37" t="s">
        <v>615</v>
      </c>
      <c r="C938" s="37">
        <v>30</v>
      </c>
      <c r="D938" s="37">
        <v>0.64100000000000001</v>
      </c>
      <c r="E938" s="37" t="s">
        <v>771</v>
      </c>
      <c r="F938" s="37">
        <v>20</v>
      </c>
      <c r="G938" s="37" t="s">
        <v>619</v>
      </c>
      <c r="H938" s="37" t="s">
        <v>1320</v>
      </c>
      <c r="I938" s="38">
        <f t="shared" si="112"/>
        <v>0.64100000000000001</v>
      </c>
      <c r="J938" s="38">
        <f t="shared" si="113"/>
        <v>3.4011973816621555</v>
      </c>
      <c r="K938" s="38">
        <f t="shared" si="114"/>
        <v>-0.44472582206146699</v>
      </c>
      <c r="L938" s="39">
        <f t="shared" si="115"/>
        <v>1.5600624024960998</v>
      </c>
      <c r="M938" s="39">
        <f t="shared" si="116"/>
        <v>8.5448136896281763</v>
      </c>
      <c r="N938" s="39">
        <f t="shared" si="117"/>
        <v>46.801872074882994</v>
      </c>
      <c r="O938" s="40">
        <f>1</f>
        <v>1</v>
      </c>
      <c r="P938" s="38">
        <f>INDEX(Cables!$AS:$AS,MATCH(B938,Cables!$A:$A,0))+INDEX(Cables!$AT:$AT,MATCH(B938,Cables!$A:$A,0))*SQRT(C938)+INDEX(Cables!$AU:$AU,MATCH(B938,Cables!$A:$A,0))*C938</f>
        <v>0.64100726209385206</v>
      </c>
      <c r="Q938" s="41">
        <f t="shared" si="118"/>
        <v>1.1329319582031872E-5</v>
      </c>
      <c r="R938" s="39">
        <f t="shared" si="119"/>
        <v>1.2835348219181081E-10</v>
      </c>
      <c r="S938" s="40" t="b">
        <f>IF(B938=B937,C938&gt;C937,COUNTIF(B$1:B937,B938)=0)</f>
        <v>1</v>
      </c>
      <c r="T938" s="37"/>
    </row>
    <row r="939" spans="1:20" x14ac:dyDescent="0.25">
      <c r="A939" s="37" t="s">
        <v>1681</v>
      </c>
      <c r="B939" s="37" t="s">
        <v>615</v>
      </c>
      <c r="C939" s="37">
        <v>50</v>
      </c>
      <c r="D939" s="37">
        <v>0.83299999999999996</v>
      </c>
      <c r="E939" s="37" t="s">
        <v>771</v>
      </c>
      <c r="F939" s="37">
        <v>20</v>
      </c>
      <c r="G939" s="37" t="s">
        <v>619</v>
      </c>
      <c r="H939" s="37" t="s">
        <v>1320</v>
      </c>
      <c r="I939" s="38">
        <f t="shared" si="112"/>
        <v>0.83299999999999996</v>
      </c>
      <c r="J939" s="38">
        <f t="shared" si="113"/>
        <v>3.912023005428146</v>
      </c>
      <c r="K939" s="38">
        <f t="shared" si="114"/>
        <v>-0.18272163681529441</v>
      </c>
      <c r="L939" s="39">
        <f t="shared" si="115"/>
        <v>1.2004801920768309</v>
      </c>
      <c r="M939" s="39">
        <f t="shared" si="116"/>
        <v>8.4886768449765615</v>
      </c>
      <c r="N939" s="39">
        <f t="shared" si="117"/>
        <v>60.024009603841542</v>
      </c>
      <c r="O939" s="40">
        <f>1</f>
        <v>1</v>
      </c>
      <c r="P939" s="38">
        <f>INDEX(Cables!$AS:$AS,MATCH(B939,Cables!$A:$A,0))+INDEX(Cables!$AT:$AT,MATCH(B939,Cables!$A:$A,0))*SQRT(C939)+INDEX(Cables!$AU:$AU,MATCH(B939,Cables!$A:$A,0))*C939</f>
        <v>0.8331572953537405</v>
      </c>
      <c r="Q939" s="41">
        <f t="shared" si="118"/>
        <v>1.888299564711815E-4</v>
      </c>
      <c r="R939" s="39">
        <f t="shared" si="119"/>
        <v>3.56567524609083E-8</v>
      </c>
      <c r="S939" s="40" t="b">
        <f>IF(B939=B938,C939&gt;C938,COUNTIF(B$1:B938,B939)=0)</f>
        <v>1</v>
      </c>
      <c r="T939" s="37"/>
    </row>
    <row r="940" spans="1:20" x14ac:dyDescent="0.25">
      <c r="A940" s="37" t="s">
        <v>1682</v>
      </c>
      <c r="B940" s="37" t="s">
        <v>615</v>
      </c>
      <c r="C940" s="37">
        <v>88</v>
      </c>
      <c r="D940" s="37">
        <v>1.1160000000000001</v>
      </c>
      <c r="E940" s="37" t="s">
        <v>771</v>
      </c>
      <c r="F940" s="37">
        <v>20</v>
      </c>
      <c r="G940" s="37" t="s">
        <v>619</v>
      </c>
      <c r="H940" s="37" t="s">
        <v>1320</v>
      </c>
      <c r="I940" s="38">
        <f t="shared" si="112"/>
        <v>1.1160000000000001</v>
      </c>
      <c r="J940" s="38">
        <f t="shared" si="113"/>
        <v>4.4773368144782069</v>
      </c>
      <c r="K940" s="38">
        <f t="shared" si="114"/>
        <v>0.10975086395911929</v>
      </c>
      <c r="L940" s="39">
        <f t="shared" si="115"/>
        <v>0.8960573476702508</v>
      </c>
      <c r="M940" s="39">
        <f t="shared" si="116"/>
        <v>8.4057630104362531</v>
      </c>
      <c r="N940" s="39">
        <f t="shared" si="117"/>
        <v>78.853046594982075</v>
      </c>
      <c r="O940" s="40">
        <f>1</f>
        <v>1</v>
      </c>
      <c r="P940" s="38">
        <f>INDEX(Cables!$AS:$AS,MATCH(B940,Cables!$A:$A,0))+INDEX(Cables!$AT:$AT,MATCH(B940,Cables!$A:$A,0))*SQRT(C940)+INDEX(Cables!$AU:$AU,MATCH(B940,Cables!$A:$A,0))*C940</f>
        <v>1.1161410038877315</v>
      </c>
      <c r="Q940" s="41">
        <f t="shared" si="118"/>
        <v>1.2634756965179683E-4</v>
      </c>
      <c r="R940" s="39">
        <f t="shared" si="119"/>
        <v>1.5963708356915652E-8</v>
      </c>
      <c r="S940" s="40" t="b">
        <f>IF(B940=B939,C940&gt;C939,COUNTIF(B$1:B939,B940)=0)</f>
        <v>1</v>
      </c>
      <c r="T940" s="37"/>
    </row>
    <row r="941" spans="1:20" x14ac:dyDescent="0.25">
      <c r="A941" s="37" t="s">
        <v>1683</v>
      </c>
      <c r="B941" s="37" t="s">
        <v>615</v>
      </c>
      <c r="C941" s="37">
        <v>100</v>
      </c>
      <c r="D941" s="37">
        <v>1.1930000000000001</v>
      </c>
      <c r="E941" s="37" t="s">
        <v>771</v>
      </c>
      <c r="F941" s="37">
        <v>20</v>
      </c>
      <c r="G941" s="37" t="s">
        <v>619</v>
      </c>
      <c r="H941" s="37" t="s">
        <v>1320</v>
      </c>
      <c r="I941" s="38">
        <f t="shared" si="112"/>
        <v>1.1930000000000001</v>
      </c>
      <c r="J941" s="38">
        <f t="shared" si="113"/>
        <v>4.6051701859880918</v>
      </c>
      <c r="K941" s="38">
        <f t="shared" si="114"/>
        <v>0.17647114311577911</v>
      </c>
      <c r="L941" s="39">
        <f t="shared" si="115"/>
        <v>0.83822296730930423</v>
      </c>
      <c r="M941" s="39">
        <f t="shared" si="116"/>
        <v>8.3822296730930415</v>
      </c>
      <c r="N941" s="39">
        <f t="shared" si="117"/>
        <v>83.822296730930418</v>
      </c>
      <c r="O941" s="40">
        <f>1</f>
        <v>1</v>
      </c>
      <c r="P941" s="38">
        <f>INDEX(Cables!$AS:$AS,MATCH(B941,Cables!$A:$A,0))+INDEX(Cables!$AT:$AT,MATCH(B941,Cables!$A:$A,0))*SQRT(C941)+INDEX(Cables!$AU:$AU,MATCH(B941,Cables!$A:$A,0))*C941</f>
        <v>1.1929091235227516</v>
      </c>
      <c r="Q941" s="41">
        <f t="shared" si="118"/>
        <v>-7.6174750417878911E-5</v>
      </c>
      <c r="R941" s="39">
        <f t="shared" si="119"/>
        <v>5.8025926012261438E-9</v>
      </c>
      <c r="S941" s="40" t="b">
        <f>IF(B941=B940,C941&gt;C940,COUNTIF(B$1:B940,B941)=0)</f>
        <v>1</v>
      </c>
      <c r="T941" s="37"/>
    </row>
    <row r="942" spans="1:20" x14ac:dyDescent="0.25">
      <c r="A942" s="37" t="s">
        <v>1684</v>
      </c>
      <c r="B942" s="37" t="s">
        <v>615</v>
      </c>
      <c r="C942" s="37">
        <v>108</v>
      </c>
      <c r="D942" s="37">
        <v>1.242</v>
      </c>
      <c r="E942" s="37" t="s">
        <v>771</v>
      </c>
      <c r="F942" s="37">
        <v>20</v>
      </c>
      <c r="G942" s="37" t="s">
        <v>619</v>
      </c>
      <c r="H942" s="37" t="s">
        <v>1320</v>
      </c>
      <c r="I942" s="38">
        <f t="shared" si="112"/>
        <v>1.242</v>
      </c>
      <c r="J942" s="38">
        <f t="shared" si="113"/>
        <v>4.6821312271242199</v>
      </c>
      <c r="K942" s="38">
        <f t="shared" si="114"/>
        <v>0.21672298351128702</v>
      </c>
      <c r="L942" s="39">
        <f t="shared" si="115"/>
        <v>0.80515297906602257</v>
      </c>
      <c r="M942" s="39">
        <f t="shared" si="116"/>
        <v>8.3673952056467513</v>
      </c>
      <c r="N942" s="39">
        <f t="shared" si="117"/>
        <v>86.956521739130437</v>
      </c>
      <c r="O942" s="40">
        <f>1</f>
        <v>1</v>
      </c>
      <c r="P942" s="38">
        <f>INDEX(Cables!$AS:$AS,MATCH(B942,Cables!$A:$A,0))+INDEX(Cables!$AT:$AT,MATCH(B942,Cables!$A:$A,0))*SQRT(C942)+INDEX(Cables!$AU:$AU,MATCH(B942,Cables!$A:$A,0))*C942</f>
        <v>1.2417484555209604</v>
      </c>
      <c r="Q942" s="41">
        <f t="shared" si="118"/>
        <v>-2.0253178666640448E-4</v>
      </c>
      <c r="R942" s="39">
        <f t="shared" si="119"/>
        <v>4.1019124610285973E-8</v>
      </c>
      <c r="S942" s="40" t="b">
        <f>IF(B942=B941,C942&gt;C941,COUNTIF(B$1:B941,B942)=0)</f>
        <v>1</v>
      </c>
      <c r="T942" s="37"/>
    </row>
    <row r="943" spans="1:20" x14ac:dyDescent="0.25">
      <c r="A943" s="37" t="s">
        <v>1685</v>
      </c>
      <c r="B943" s="37" t="s">
        <v>615</v>
      </c>
      <c r="C943" s="37">
        <v>150</v>
      </c>
      <c r="D943" s="37">
        <v>1.4750000000000001</v>
      </c>
      <c r="E943" s="37" t="s">
        <v>771</v>
      </c>
      <c r="F943" s="37">
        <v>20</v>
      </c>
      <c r="G943" s="37" t="s">
        <v>619</v>
      </c>
      <c r="H943" s="37" t="s">
        <v>1320</v>
      </c>
      <c r="I943" s="38">
        <f t="shared" si="112"/>
        <v>1.4750000000000001</v>
      </c>
      <c r="J943" s="38">
        <f t="shared" si="113"/>
        <v>5.0106352940962555</v>
      </c>
      <c r="K943" s="38">
        <f t="shared" si="114"/>
        <v>0.38865798979178323</v>
      </c>
      <c r="L943" s="39">
        <f t="shared" si="115"/>
        <v>0.67796610169491522</v>
      </c>
      <c r="M943" s="39">
        <f t="shared" si="116"/>
        <v>8.3033550602819588</v>
      </c>
      <c r="N943" s="39">
        <f t="shared" si="117"/>
        <v>101.69491525423729</v>
      </c>
      <c r="O943" s="40">
        <f>1</f>
        <v>1</v>
      </c>
      <c r="P943" s="38">
        <f>INDEX(Cables!$AS:$AS,MATCH(B943,Cables!$A:$A,0))+INDEX(Cables!$AT:$AT,MATCH(B943,Cables!$A:$A,0))*SQRT(C943)+INDEX(Cables!$AU:$AU,MATCH(B943,Cables!$A:$A,0))*C943</f>
        <v>1.4747933511894387</v>
      </c>
      <c r="Q943" s="41">
        <f t="shared" si="118"/>
        <v>-1.4010088851623692E-4</v>
      </c>
      <c r="R943" s="39">
        <f t="shared" si="119"/>
        <v>1.9628258963039048E-8</v>
      </c>
      <c r="S943" s="40" t="b">
        <f>IF(B943=B942,C943&gt;C942,COUNTIF(B$1:B942,B943)=0)</f>
        <v>1</v>
      </c>
      <c r="T943" s="37"/>
    </row>
    <row r="944" spans="1:20" x14ac:dyDescent="0.25">
      <c r="A944" s="37" t="s">
        <v>1686</v>
      </c>
      <c r="B944" s="37" t="s">
        <v>615</v>
      </c>
      <c r="C944" s="37">
        <v>174</v>
      </c>
      <c r="D944" s="37">
        <v>1.5940000000000001</v>
      </c>
      <c r="E944" s="37" t="s">
        <v>771</v>
      </c>
      <c r="F944" s="37">
        <v>20</v>
      </c>
      <c r="G944" s="37" t="s">
        <v>619</v>
      </c>
      <c r="H944" s="37" t="s">
        <v>1320</v>
      </c>
      <c r="I944" s="38">
        <f t="shared" si="112"/>
        <v>1.5940000000000001</v>
      </c>
      <c r="J944" s="38">
        <f t="shared" si="113"/>
        <v>5.1590552992145291</v>
      </c>
      <c r="K944" s="38">
        <f t="shared" si="114"/>
        <v>0.46624658036802336</v>
      </c>
      <c r="L944" s="39">
        <f t="shared" si="115"/>
        <v>0.62735257214554574</v>
      </c>
      <c r="M944" s="39">
        <f t="shared" si="116"/>
        <v>8.2753487818525215</v>
      </c>
      <c r="N944" s="39">
        <f t="shared" si="117"/>
        <v>109.15934755332496</v>
      </c>
      <c r="O944" s="40">
        <f>1</f>
        <v>1</v>
      </c>
      <c r="P944" s="38">
        <f>INDEX(Cables!$AS:$AS,MATCH(B944,Cables!$A:$A,0))+INDEX(Cables!$AT:$AT,MATCH(B944,Cables!$A:$A,0))*SQRT(C944)+INDEX(Cables!$AU:$AU,MATCH(B944,Cables!$A:$A,0))*C944</f>
        <v>1.5946360721019732</v>
      </c>
      <c r="Q944" s="41">
        <f t="shared" si="118"/>
        <v>3.9904146924296668E-4</v>
      </c>
      <c r="R944" s="39">
        <f t="shared" si="119"/>
        <v>1.5923409417558551E-7</v>
      </c>
      <c r="S944" s="40" t="b">
        <f>IF(B944=B943,C944&gt;C943,COUNTIF(B$1:B943,B944)=0)</f>
        <v>1</v>
      </c>
      <c r="T944" s="37"/>
    </row>
    <row r="945" spans="1:20" x14ac:dyDescent="0.25">
      <c r="A945" s="37" t="s">
        <v>1687</v>
      </c>
      <c r="B945" s="37" t="s">
        <v>615</v>
      </c>
      <c r="C945" s="37">
        <v>200</v>
      </c>
      <c r="D945" s="37">
        <v>1.716</v>
      </c>
      <c r="E945" s="37" t="s">
        <v>771</v>
      </c>
      <c r="F945" s="37">
        <v>20</v>
      </c>
      <c r="G945" s="37" t="s">
        <v>619</v>
      </c>
      <c r="H945" s="37" t="s">
        <v>1320</v>
      </c>
      <c r="I945" s="38">
        <f t="shared" si="112"/>
        <v>1.716</v>
      </c>
      <c r="J945" s="38">
        <f t="shared" si="113"/>
        <v>5.2983173665480363</v>
      </c>
      <c r="K945" s="38">
        <f t="shared" si="114"/>
        <v>0.5399960010657705</v>
      </c>
      <c r="L945" s="39">
        <f t="shared" si="115"/>
        <v>0.58275058275058278</v>
      </c>
      <c r="M945" s="39">
        <f t="shared" si="116"/>
        <v>8.2413377760669881</v>
      </c>
      <c r="N945" s="39">
        <f t="shared" si="117"/>
        <v>116.55011655011656</v>
      </c>
      <c r="O945" s="40">
        <f>1</f>
        <v>1</v>
      </c>
      <c r="P945" s="38">
        <f>INDEX(Cables!$AS:$AS,MATCH(B945,Cables!$A:$A,0))+INDEX(Cables!$AT:$AT,MATCH(B945,Cables!$A:$A,0))*SQRT(C945)+INDEX(Cables!$AU:$AU,MATCH(B945,Cables!$A:$A,0))*C945</f>
        <v>1.7163703428432535</v>
      </c>
      <c r="Q945" s="41">
        <f t="shared" si="118"/>
        <v>2.1581750772359243E-4</v>
      </c>
      <c r="R945" s="39">
        <f t="shared" si="119"/>
        <v>4.6577196640022876E-8</v>
      </c>
      <c r="S945" s="40" t="b">
        <f>IF(B945=B944,C945&gt;C944,COUNTIF(B$1:B944,B945)=0)</f>
        <v>1</v>
      </c>
      <c r="T945" s="37"/>
    </row>
    <row r="946" spans="1:20" x14ac:dyDescent="0.25">
      <c r="A946" s="37" t="s">
        <v>1688</v>
      </c>
      <c r="B946" s="37" t="s">
        <v>615</v>
      </c>
      <c r="C946" s="37">
        <v>300</v>
      </c>
      <c r="D946" s="37">
        <v>2.13</v>
      </c>
      <c r="E946" s="37" t="s">
        <v>771</v>
      </c>
      <c r="F946" s="37">
        <v>20</v>
      </c>
      <c r="G946" s="37" t="s">
        <v>619</v>
      </c>
      <c r="H946" s="37" t="s">
        <v>1320</v>
      </c>
      <c r="I946" s="38">
        <f t="shared" si="112"/>
        <v>2.13</v>
      </c>
      <c r="J946" s="38">
        <f t="shared" si="113"/>
        <v>5.7037824746562009</v>
      </c>
      <c r="K946" s="38">
        <f t="shared" si="114"/>
        <v>0.75612197972133366</v>
      </c>
      <c r="L946" s="39">
        <f t="shared" si="115"/>
        <v>0.46948356807511737</v>
      </c>
      <c r="M946" s="39">
        <f t="shared" si="116"/>
        <v>8.1316939322482522</v>
      </c>
      <c r="N946" s="39">
        <f t="shared" si="117"/>
        <v>140.84507042253523</v>
      </c>
      <c r="O946" s="40">
        <f>1</f>
        <v>1</v>
      </c>
      <c r="P946" s="38">
        <f>INDEX(Cables!$AS:$AS,MATCH(B946,Cables!$A:$A,0))+INDEX(Cables!$AT:$AT,MATCH(B946,Cables!$A:$A,0))*SQRT(C946)+INDEX(Cables!$AU:$AU,MATCH(B946,Cables!$A:$A,0))*C946</f>
        <v>2.1297101454639193</v>
      </c>
      <c r="Q946" s="41">
        <f t="shared" si="118"/>
        <v>-1.3608194182190836E-4</v>
      </c>
      <c r="R946" s="39">
        <f t="shared" si="119"/>
        <v>1.8518294890021251E-8</v>
      </c>
      <c r="S946" s="40" t="b">
        <f>IF(B946=B945,C946&gt;C945,COUNTIF(B$1:B945,B946)=0)</f>
        <v>1</v>
      </c>
      <c r="T946" s="37"/>
    </row>
    <row r="947" spans="1:20" x14ac:dyDescent="0.25">
      <c r="A947" s="37" t="s">
        <v>1689</v>
      </c>
      <c r="B947" s="37" t="s">
        <v>615</v>
      </c>
      <c r="C947" s="37">
        <v>400</v>
      </c>
      <c r="D947" s="37">
        <v>2.4860000000000002</v>
      </c>
      <c r="E947" s="37" t="s">
        <v>771</v>
      </c>
      <c r="F947" s="37">
        <v>20</v>
      </c>
      <c r="G947" s="37" t="s">
        <v>619</v>
      </c>
      <c r="H947" s="37" t="s">
        <v>1320</v>
      </c>
      <c r="I947" s="38">
        <f t="shared" si="112"/>
        <v>2.4860000000000002</v>
      </c>
      <c r="J947" s="38">
        <f t="shared" si="113"/>
        <v>5.9914645471079817</v>
      </c>
      <c r="K947" s="38">
        <f t="shared" si="114"/>
        <v>0.9106749930885194</v>
      </c>
      <c r="L947" s="39">
        <f t="shared" si="115"/>
        <v>0.40225261464199513</v>
      </c>
      <c r="M947" s="39">
        <f t="shared" si="116"/>
        <v>8.0450522928399035</v>
      </c>
      <c r="N947" s="39">
        <f t="shared" si="117"/>
        <v>160.90104585679805</v>
      </c>
      <c r="O947" s="40">
        <f>1</f>
        <v>1</v>
      </c>
      <c r="P947" s="38">
        <f>INDEX(Cables!$AS:$AS,MATCH(B947,Cables!$A:$A,0))+INDEX(Cables!$AT:$AT,MATCH(B947,Cables!$A:$A,0))*SQRT(C947)+INDEX(Cables!$AU:$AU,MATCH(B947,Cables!$A:$A,0))*C947</f>
        <v>2.4860469082534071</v>
      </c>
      <c r="Q947" s="41">
        <f t="shared" si="118"/>
        <v>1.8868967581298079E-5</v>
      </c>
      <c r="R947" s="39">
        <f t="shared" si="119"/>
        <v>3.560379375840779E-10</v>
      </c>
      <c r="S947" s="40" t="b">
        <f>IF(B947=B946,C947&gt;C946,COUNTIF(B$1:B946,B947)=0)</f>
        <v>1</v>
      </c>
      <c r="T947" s="37"/>
    </row>
    <row r="948" spans="1:20" x14ac:dyDescent="0.25">
      <c r="A948" s="37" t="s">
        <v>1690</v>
      </c>
      <c r="B948" s="37" t="s">
        <v>615</v>
      </c>
      <c r="C948" s="37">
        <v>450</v>
      </c>
      <c r="D948" s="37">
        <v>2.65</v>
      </c>
      <c r="E948" s="37" t="s">
        <v>771</v>
      </c>
      <c r="F948" s="37">
        <v>20</v>
      </c>
      <c r="G948" s="37" t="s">
        <v>619</v>
      </c>
      <c r="H948" s="37" t="s">
        <v>1320</v>
      </c>
      <c r="I948" s="38">
        <f t="shared" si="112"/>
        <v>2.65</v>
      </c>
      <c r="J948" s="38">
        <f t="shared" si="113"/>
        <v>6.1092475827643655</v>
      </c>
      <c r="K948" s="38">
        <f t="shared" si="114"/>
        <v>0.97455963999813078</v>
      </c>
      <c r="L948" s="39">
        <f t="shared" si="115"/>
        <v>0.37735849056603776</v>
      </c>
      <c r="M948" s="39">
        <f t="shared" si="116"/>
        <v>8.0049824285269544</v>
      </c>
      <c r="N948" s="39">
        <f t="shared" si="117"/>
        <v>169.81132075471697</v>
      </c>
      <c r="O948" s="40">
        <f>1</f>
        <v>1</v>
      </c>
      <c r="P948" s="38">
        <f>INDEX(Cables!$AS:$AS,MATCH(B948,Cables!$A:$A,0))+INDEX(Cables!$AT:$AT,MATCH(B948,Cables!$A:$A,0))*SQRT(C948)+INDEX(Cables!$AU:$AU,MATCH(B948,Cables!$A:$A,0))*C948</f>
        <v>2.6497562994048982</v>
      </c>
      <c r="Q948" s="41">
        <f t="shared" si="118"/>
        <v>-9.1962488717678426E-5</v>
      </c>
      <c r="R948" s="39">
        <f t="shared" si="119"/>
        <v>8.4570993311491315E-9</v>
      </c>
      <c r="S948" s="40" t="b">
        <f>IF(B948=B947,C948&gt;C947,COUNTIF(B$1:B947,B948)=0)</f>
        <v>1</v>
      </c>
      <c r="T948" s="37"/>
    </row>
    <row r="949" spans="1:20" x14ac:dyDescent="0.25">
      <c r="A949" s="37" t="s">
        <v>1691</v>
      </c>
      <c r="B949" s="37" t="s">
        <v>615</v>
      </c>
      <c r="C949" s="37">
        <v>500</v>
      </c>
      <c r="D949" s="37">
        <v>2.806</v>
      </c>
      <c r="E949" s="37" t="s">
        <v>771</v>
      </c>
      <c r="F949" s="37">
        <v>20</v>
      </c>
      <c r="G949" s="37" t="s">
        <v>619</v>
      </c>
      <c r="H949" s="37" t="s">
        <v>1320</v>
      </c>
      <c r="I949" s="38">
        <f t="shared" si="112"/>
        <v>2.806</v>
      </c>
      <c r="J949" s="38">
        <f t="shared" si="113"/>
        <v>6.2146080984221914</v>
      </c>
      <c r="K949" s="38">
        <f t="shared" si="114"/>
        <v>1.0317599816802692</v>
      </c>
      <c r="L949" s="39">
        <f t="shared" si="115"/>
        <v>0.35637918745545261</v>
      </c>
      <c r="M949" s="39">
        <f t="shared" si="116"/>
        <v>7.9688808891653231</v>
      </c>
      <c r="N949" s="39">
        <f t="shared" si="117"/>
        <v>178.1895937277263</v>
      </c>
      <c r="O949" s="40">
        <f>1</f>
        <v>1</v>
      </c>
      <c r="P949" s="38">
        <f>INDEX(Cables!$AS:$AS,MATCH(B949,Cables!$A:$A,0))+INDEX(Cables!$AT:$AT,MATCH(B949,Cables!$A:$A,0))*SQRT(C949)+INDEX(Cables!$AU:$AU,MATCH(B949,Cables!$A:$A,0))*C949</f>
        <v>2.8059555872856463</v>
      </c>
      <c r="Q949" s="41">
        <f t="shared" si="118"/>
        <v>-1.5827767054110709E-5</v>
      </c>
      <c r="R949" s="39">
        <f t="shared" si="119"/>
        <v>2.5051820991919238E-10</v>
      </c>
      <c r="S949" s="40" t="b">
        <f>IF(B949=B948,C949&gt;C948,COUNTIF(B$1:B948,B949)=0)</f>
        <v>1</v>
      </c>
      <c r="T949" s="37"/>
    </row>
    <row r="950" spans="1:20" x14ac:dyDescent="0.25">
      <c r="A950" s="37" t="s">
        <v>1692</v>
      </c>
      <c r="B950" s="37" t="s">
        <v>615</v>
      </c>
      <c r="C950" s="37">
        <v>512</v>
      </c>
      <c r="D950" s="37">
        <v>2.8420000000000001</v>
      </c>
      <c r="E950" s="37" t="s">
        <v>771</v>
      </c>
      <c r="F950" s="37">
        <v>20</v>
      </c>
      <c r="G950" s="37" t="s">
        <v>619</v>
      </c>
      <c r="H950" s="37" t="s">
        <v>1320</v>
      </c>
      <c r="I950" s="38">
        <f t="shared" si="112"/>
        <v>2.8420000000000001</v>
      </c>
      <c r="J950" s="38">
        <f t="shared" si="113"/>
        <v>6.2383246250395077</v>
      </c>
      <c r="K950" s="38">
        <f t="shared" si="114"/>
        <v>1.044508029674909</v>
      </c>
      <c r="L950" s="39">
        <f t="shared" si="115"/>
        <v>0.35186488388458831</v>
      </c>
      <c r="M950" s="39">
        <f t="shared" si="116"/>
        <v>7.9617934545987055</v>
      </c>
      <c r="N950" s="39">
        <f t="shared" si="117"/>
        <v>180.15482054890921</v>
      </c>
      <c r="O950" s="40">
        <f>1</f>
        <v>1</v>
      </c>
      <c r="P950" s="38">
        <f>INDEX(Cables!$AS:$AS,MATCH(B950,Cables!$A:$A,0))+INDEX(Cables!$AT:$AT,MATCH(B950,Cables!$A:$A,0))*SQRT(C950)+INDEX(Cables!$AU:$AU,MATCH(B950,Cables!$A:$A,0))*C950</f>
        <v>2.8424542398058832</v>
      </c>
      <c r="Q950" s="41">
        <f t="shared" si="118"/>
        <v>1.5983103655292652E-4</v>
      </c>
      <c r="R950" s="39">
        <f t="shared" si="119"/>
        <v>2.5545960245582932E-8</v>
      </c>
      <c r="S950" s="40" t="b">
        <f>IF(B950=B949,C950&gt;C949,COUNTIF(B$1:B949,B950)=0)</f>
        <v>1</v>
      </c>
      <c r="T950" s="37"/>
    </row>
    <row r="951" spans="1:20" x14ac:dyDescent="0.25">
      <c r="A951" s="37" t="s">
        <v>1693</v>
      </c>
      <c r="B951" s="37" t="s">
        <v>615</v>
      </c>
      <c r="C951" s="37">
        <v>600</v>
      </c>
      <c r="D951" s="37">
        <v>3.1</v>
      </c>
      <c r="E951" s="37" t="s">
        <v>771</v>
      </c>
      <c r="F951" s="37">
        <v>20</v>
      </c>
      <c r="G951" s="37" t="s">
        <v>619</v>
      </c>
      <c r="H951" s="37" t="s">
        <v>1320</v>
      </c>
      <c r="I951" s="38">
        <f t="shared" si="112"/>
        <v>3.1</v>
      </c>
      <c r="J951" s="38">
        <f t="shared" si="113"/>
        <v>6.3969296552161463</v>
      </c>
      <c r="K951" s="38">
        <f t="shared" si="114"/>
        <v>1.1314021114911006</v>
      </c>
      <c r="L951" s="39">
        <f t="shared" si="115"/>
        <v>0.32258064516129031</v>
      </c>
      <c r="M951" s="39">
        <f t="shared" si="116"/>
        <v>7.9015798154296064</v>
      </c>
      <c r="N951" s="39">
        <f t="shared" si="117"/>
        <v>193.54838709677418</v>
      </c>
      <c r="O951" s="40">
        <f>1</f>
        <v>1</v>
      </c>
      <c r="P951" s="38">
        <f>INDEX(Cables!$AS:$AS,MATCH(B951,Cables!$A:$A,0))+INDEX(Cables!$AT:$AT,MATCH(B951,Cables!$A:$A,0))*SQRT(C951)+INDEX(Cables!$AU:$AU,MATCH(B951,Cables!$A:$A,0))*C951</f>
        <v>3.099988272658913</v>
      </c>
      <c r="Q951" s="41">
        <f t="shared" si="118"/>
        <v>-3.7830132538774208E-6</v>
      </c>
      <c r="R951" s="39">
        <f t="shared" si="119"/>
        <v>1.4311189279012231E-11</v>
      </c>
      <c r="S951" s="40" t="b">
        <f>IF(B951=B950,C951&gt;C950,COUNTIF(B$1:B950,B951)=0)</f>
        <v>1</v>
      </c>
      <c r="T951" s="37"/>
    </row>
    <row r="952" spans="1:20" x14ac:dyDescent="0.25">
      <c r="A952" s="37" t="s">
        <v>1694</v>
      </c>
      <c r="B952" s="37" t="s">
        <v>615</v>
      </c>
      <c r="C952" s="37">
        <v>700</v>
      </c>
      <c r="D952" s="37">
        <v>3.3740000000000001</v>
      </c>
      <c r="E952" s="37" t="s">
        <v>771</v>
      </c>
      <c r="F952" s="37">
        <v>20</v>
      </c>
      <c r="G952" s="37" t="s">
        <v>619</v>
      </c>
      <c r="H952" s="37" t="s">
        <v>1320</v>
      </c>
      <c r="I952" s="38">
        <f t="shared" si="112"/>
        <v>3.3740000000000001</v>
      </c>
      <c r="J952" s="38">
        <f t="shared" si="113"/>
        <v>6.5510803350434044</v>
      </c>
      <c r="K952" s="38">
        <f t="shared" si="114"/>
        <v>1.2160989841237766</v>
      </c>
      <c r="L952" s="39">
        <f t="shared" si="115"/>
        <v>0.29638411381149971</v>
      </c>
      <c r="M952" s="39">
        <f t="shared" si="116"/>
        <v>7.8415865769549216</v>
      </c>
      <c r="N952" s="39">
        <f t="shared" si="117"/>
        <v>207.46887966804979</v>
      </c>
      <c r="O952" s="40">
        <f>1</f>
        <v>1</v>
      </c>
      <c r="P952" s="38">
        <f>INDEX(Cables!$AS:$AS,MATCH(B952,Cables!$A:$A,0))+INDEX(Cables!$AT:$AT,MATCH(B952,Cables!$A:$A,0))*SQRT(C952)+INDEX(Cables!$AU:$AU,MATCH(B952,Cables!$A:$A,0))*C952</f>
        <v>3.3744133899070228</v>
      </c>
      <c r="Q952" s="41">
        <f t="shared" si="118"/>
        <v>1.2252220125152924E-4</v>
      </c>
      <c r="R952" s="39">
        <f t="shared" si="119"/>
        <v>1.5011689799520235E-8</v>
      </c>
      <c r="S952" s="40" t="b">
        <f>IF(B952=B951,C952&gt;C951,COUNTIF(B$1:B951,B952)=0)</f>
        <v>1</v>
      </c>
      <c r="T952" s="37"/>
    </row>
    <row r="953" spans="1:20" x14ac:dyDescent="0.25">
      <c r="A953" s="37" t="s">
        <v>1695</v>
      </c>
      <c r="B953" s="37" t="s">
        <v>615</v>
      </c>
      <c r="C953" s="37">
        <v>800</v>
      </c>
      <c r="D953" s="37">
        <v>3.633</v>
      </c>
      <c r="E953" s="37" t="s">
        <v>771</v>
      </c>
      <c r="F953" s="37">
        <v>20</v>
      </c>
      <c r="G953" s="37" t="s">
        <v>619</v>
      </c>
      <c r="H953" s="37" t="s">
        <v>1320</v>
      </c>
      <c r="I953" s="38">
        <f t="shared" si="112"/>
        <v>3.633</v>
      </c>
      <c r="J953" s="38">
        <f t="shared" si="113"/>
        <v>6.6846117276679271</v>
      </c>
      <c r="K953" s="38">
        <f t="shared" si="114"/>
        <v>1.2900587532390648</v>
      </c>
      <c r="L953" s="39">
        <f t="shared" si="115"/>
        <v>0.27525461051472611</v>
      </c>
      <c r="M953" s="39">
        <f t="shared" si="116"/>
        <v>7.7853760659129927</v>
      </c>
      <c r="N953" s="39">
        <f t="shared" si="117"/>
        <v>220.20368841178089</v>
      </c>
      <c r="O953" s="40">
        <f>1</f>
        <v>1</v>
      </c>
      <c r="P953" s="38">
        <f>INDEX(Cables!$AS:$AS,MATCH(B953,Cables!$A:$A,0))+INDEX(Cables!$AT:$AT,MATCH(B953,Cables!$A:$A,0))*SQRT(C953)+INDEX(Cables!$AU:$AU,MATCH(B953,Cables!$A:$A,0))*C953</f>
        <v>3.6333151650386748</v>
      </c>
      <c r="Q953" s="41">
        <f t="shared" si="118"/>
        <v>8.6750629968213033E-5</v>
      </c>
      <c r="R953" s="39">
        <f t="shared" si="119"/>
        <v>7.525671799881821E-9</v>
      </c>
      <c r="S953" s="40" t="b">
        <f>IF(B953=B952,C953&gt;C952,COUNTIF(B$1:B952,B953)=0)</f>
        <v>1</v>
      </c>
      <c r="T953" s="37"/>
    </row>
    <row r="954" spans="1:20" x14ac:dyDescent="0.25">
      <c r="A954" s="37" t="s">
        <v>1696</v>
      </c>
      <c r="B954" s="37" t="s">
        <v>615</v>
      </c>
      <c r="C954" s="37">
        <v>824</v>
      </c>
      <c r="D954" s="37">
        <v>3.6930000000000001</v>
      </c>
      <c r="E954" s="37" t="s">
        <v>771</v>
      </c>
      <c r="F954" s="37">
        <v>20</v>
      </c>
      <c r="G954" s="37" t="s">
        <v>619</v>
      </c>
      <c r="H954" s="37" t="s">
        <v>1320</v>
      </c>
      <c r="I954" s="38">
        <f t="shared" si="112"/>
        <v>3.6930000000000001</v>
      </c>
      <c r="J954" s="38">
        <f t="shared" si="113"/>
        <v>6.7141705299094721</v>
      </c>
      <c r="K954" s="38">
        <f t="shared" si="114"/>
        <v>1.3064391358704261</v>
      </c>
      <c r="L954" s="39">
        <f t="shared" si="115"/>
        <v>0.27078256160303277</v>
      </c>
      <c r="M954" s="39">
        <f t="shared" si="116"/>
        <v>7.7729217949674103</v>
      </c>
      <c r="N954" s="39">
        <f t="shared" si="117"/>
        <v>223.12483076089899</v>
      </c>
      <c r="O954" s="40">
        <f>1</f>
        <v>1</v>
      </c>
      <c r="P954" s="38">
        <f>INDEX(Cables!$AS:$AS,MATCH(B954,Cables!$A:$A,0))+INDEX(Cables!$AT:$AT,MATCH(B954,Cables!$A:$A,0))*SQRT(C954)+INDEX(Cables!$AU:$AU,MATCH(B954,Cables!$A:$A,0))*C954</f>
        <v>3.6934756586220314</v>
      </c>
      <c r="Q954" s="41">
        <f t="shared" si="118"/>
        <v>1.2880006012228051E-4</v>
      </c>
      <c r="R954" s="39">
        <f t="shared" si="119"/>
        <v>1.6589455487503076E-8</v>
      </c>
      <c r="S954" s="40" t="b">
        <f>IF(B954=B953,C954&gt;C953,COUNTIF(B$1:B953,B954)=0)</f>
        <v>1</v>
      </c>
      <c r="T954" s="37"/>
    </row>
    <row r="955" spans="1:20" x14ac:dyDescent="0.25">
      <c r="A955" s="37" t="s">
        <v>1697</v>
      </c>
      <c r="B955" s="37" t="s">
        <v>615</v>
      </c>
      <c r="C955" s="37">
        <v>860</v>
      </c>
      <c r="D955" s="37">
        <v>3.782</v>
      </c>
      <c r="E955" s="37" t="s">
        <v>771</v>
      </c>
      <c r="F955" s="37">
        <v>20</v>
      </c>
      <c r="G955" s="37" t="s">
        <v>619</v>
      </c>
      <c r="H955" s="37" t="s">
        <v>1320</v>
      </c>
      <c r="I955" s="38">
        <f t="shared" si="112"/>
        <v>3.782</v>
      </c>
      <c r="J955" s="38">
        <f t="shared" si="113"/>
        <v>6.7569323892475532</v>
      </c>
      <c r="K955" s="38">
        <f t="shared" si="114"/>
        <v>1.3302529702362658</v>
      </c>
      <c r="L955" s="39">
        <f t="shared" si="115"/>
        <v>0.26441036488630354</v>
      </c>
      <c r="M955" s="39">
        <f t="shared" si="116"/>
        <v>7.7540340024406023</v>
      </c>
      <c r="N955" s="39">
        <f t="shared" si="117"/>
        <v>227.39291380222105</v>
      </c>
      <c r="O955" s="40">
        <f>1</f>
        <v>1</v>
      </c>
      <c r="P955" s="38">
        <f>INDEX(Cables!$AS:$AS,MATCH(B955,Cables!$A:$A,0))+INDEX(Cables!$AT:$AT,MATCH(B955,Cables!$A:$A,0))*SQRT(C955)+INDEX(Cables!$AU:$AU,MATCH(B955,Cables!$A:$A,0))*C955</f>
        <v>3.782421011358688</v>
      </c>
      <c r="Q955" s="41">
        <f t="shared" si="118"/>
        <v>1.1131976697198454E-4</v>
      </c>
      <c r="R955" s="39">
        <f t="shared" si="119"/>
        <v>1.2392090518696939E-8</v>
      </c>
      <c r="S955" s="40" t="b">
        <f>IF(B955=B954,C955&gt;C954,COUNTIF(B$1:B954,B955)=0)</f>
        <v>1</v>
      </c>
      <c r="T955" s="37"/>
    </row>
    <row r="956" spans="1:20" x14ac:dyDescent="0.25">
      <c r="A956" s="37" t="s">
        <v>1698</v>
      </c>
      <c r="B956" s="37" t="s">
        <v>615</v>
      </c>
      <c r="C956" s="37">
        <v>894</v>
      </c>
      <c r="D956" s="37">
        <v>3.8650000000000002</v>
      </c>
      <c r="E956" s="37" t="s">
        <v>771</v>
      </c>
      <c r="F956" s="37">
        <v>20</v>
      </c>
      <c r="G956" s="37" t="s">
        <v>619</v>
      </c>
      <c r="H956" s="37" t="s">
        <v>1320</v>
      </c>
      <c r="I956" s="38">
        <f t="shared" si="112"/>
        <v>3.8650000000000002</v>
      </c>
      <c r="J956" s="38">
        <f t="shared" si="113"/>
        <v>6.7957057751735137</v>
      </c>
      <c r="K956" s="38">
        <f t="shared" si="114"/>
        <v>1.3519616820393854</v>
      </c>
      <c r="L956" s="39">
        <f t="shared" si="115"/>
        <v>0.25873221216041398</v>
      </c>
      <c r="M956" s="39">
        <f t="shared" si="116"/>
        <v>7.7360498772191733</v>
      </c>
      <c r="N956" s="39">
        <f t="shared" si="117"/>
        <v>231.30659767141009</v>
      </c>
      <c r="O956" s="40">
        <f>1</f>
        <v>1</v>
      </c>
      <c r="P956" s="38">
        <f>INDEX(Cables!$AS:$AS,MATCH(B956,Cables!$A:$A,0))+INDEX(Cables!$AT:$AT,MATCH(B956,Cables!$A:$A,0))*SQRT(C956)+INDEX(Cables!$AU:$AU,MATCH(B956,Cables!$A:$A,0))*C956</f>
        <v>3.8650748386133253</v>
      </c>
      <c r="Q956" s="41">
        <f t="shared" si="118"/>
        <v>1.9363159980523292E-5</v>
      </c>
      <c r="R956" s="39">
        <f t="shared" si="119"/>
        <v>3.749319644313388E-10</v>
      </c>
      <c r="S956" s="40" t="b">
        <f>IF(B956=B955,C956&gt;C955,COUNTIF(B$1:B955,B956)=0)</f>
        <v>1</v>
      </c>
      <c r="T956" s="37"/>
    </row>
    <row r="957" spans="1:20" x14ac:dyDescent="0.25">
      <c r="A957" s="37" t="s">
        <v>1699</v>
      </c>
      <c r="B957" s="37" t="s">
        <v>615</v>
      </c>
      <c r="C957" s="37">
        <v>960</v>
      </c>
      <c r="D957" s="37">
        <v>4.0220000000000002</v>
      </c>
      <c r="E957" s="37" t="s">
        <v>771</v>
      </c>
      <c r="F957" s="37">
        <v>20</v>
      </c>
      <c r="G957" s="37" t="s">
        <v>619</v>
      </c>
      <c r="H957" s="37" t="s">
        <v>1320</v>
      </c>
      <c r="I957" s="38">
        <f t="shared" si="112"/>
        <v>4.0220000000000002</v>
      </c>
      <c r="J957" s="38">
        <f t="shared" si="113"/>
        <v>6.866933284461882</v>
      </c>
      <c r="K957" s="38">
        <f t="shared" si="114"/>
        <v>1.3917792913504603</v>
      </c>
      <c r="L957" s="39">
        <f t="shared" si="115"/>
        <v>0.24863252113376427</v>
      </c>
      <c r="M957" s="39">
        <f t="shared" si="116"/>
        <v>7.7035969094130614</v>
      </c>
      <c r="N957" s="39">
        <f t="shared" si="117"/>
        <v>238.6872202884137</v>
      </c>
      <c r="O957" s="40">
        <f>1</f>
        <v>1</v>
      </c>
      <c r="P957" s="38">
        <f>INDEX(Cables!$AS:$AS,MATCH(B957,Cables!$A:$A,0))+INDEX(Cables!$AT:$AT,MATCH(B957,Cables!$A:$A,0))*SQRT(C957)+INDEX(Cables!$AU:$AU,MATCH(B957,Cables!$A:$A,0))*C957</f>
        <v>4.0220527486783801</v>
      </c>
      <c r="Q957" s="41">
        <f t="shared" si="118"/>
        <v>1.3115036892052956E-5</v>
      </c>
      <c r="R957" s="39">
        <f t="shared" si="119"/>
        <v>1.7200419267991006E-10</v>
      </c>
      <c r="S957" s="40" t="b">
        <f>IF(B957=B956,C957&gt;C956,COUNTIF(B$1:B956,B957)=0)</f>
        <v>1</v>
      </c>
      <c r="T957" s="37"/>
    </row>
    <row r="958" spans="1:20" x14ac:dyDescent="0.25">
      <c r="A958" s="37" t="s">
        <v>1700</v>
      </c>
      <c r="B958" s="37" t="s">
        <v>615</v>
      </c>
      <c r="C958" s="37">
        <v>1000</v>
      </c>
      <c r="D958" s="37">
        <v>4.1150000000000002</v>
      </c>
      <c r="E958" s="37" t="s">
        <v>771</v>
      </c>
      <c r="F958" s="37">
        <v>20</v>
      </c>
      <c r="G958" s="37" t="s">
        <v>619</v>
      </c>
      <c r="H958" s="37" t="s">
        <v>1320</v>
      </c>
      <c r="I958" s="38">
        <f t="shared" si="112"/>
        <v>4.1150000000000002</v>
      </c>
      <c r="J958" s="38">
        <f t="shared" si="113"/>
        <v>6.9077552789821368</v>
      </c>
      <c r="K958" s="38">
        <f t="shared" si="114"/>
        <v>1.4146388341290332</v>
      </c>
      <c r="L958" s="39">
        <f t="shared" si="115"/>
        <v>0.24301336573511542</v>
      </c>
      <c r="M958" s="39">
        <f t="shared" si="116"/>
        <v>7.6847573758648338</v>
      </c>
      <c r="N958" s="39">
        <f t="shared" si="117"/>
        <v>243.01336573511543</v>
      </c>
      <c r="O958" s="40">
        <f>1</f>
        <v>1</v>
      </c>
      <c r="P958" s="38">
        <f>INDEX(Cables!$AS:$AS,MATCH(B958,Cables!$A:$A,0))+INDEX(Cables!$AT:$AT,MATCH(B958,Cables!$A:$A,0))*SQRT(C958)+INDEX(Cables!$AU:$AU,MATCH(B958,Cables!$A:$A,0))*C958</f>
        <v>4.1151249673176711</v>
      </c>
      <c r="Q958" s="41">
        <f t="shared" si="118"/>
        <v>3.0368728474172713E-5</v>
      </c>
      <c r="R958" s="39">
        <f t="shared" si="119"/>
        <v>9.2225966913802854E-10</v>
      </c>
      <c r="S958" s="40" t="b">
        <f>IF(B958=B957,C958&gt;C957,COUNTIF(B$1:B957,B958)=0)</f>
        <v>1</v>
      </c>
      <c r="T958" s="37"/>
    </row>
    <row r="959" spans="1:20" x14ac:dyDescent="0.25">
      <c r="A959" s="37" t="s">
        <v>1701</v>
      </c>
      <c r="B959" s="37" t="s">
        <v>615</v>
      </c>
      <c r="C959" s="37">
        <v>1250</v>
      </c>
      <c r="D959" s="37">
        <v>4.6669999999999998</v>
      </c>
      <c r="E959" s="37" t="s">
        <v>771</v>
      </c>
      <c r="F959" s="37">
        <v>20</v>
      </c>
      <c r="G959" s="37" t="s">
        <v>619</v>
      </c>
      <c r="H959" s="37" t="s">
        <v>1320</v>
      </c>
      <c r="I959" s="38">
        <f t="shared" si="112"/>
        <v>4.6669999999999998</v>
      </c>
      <c r="J959" s="38">
        <f t="shared" si="113"/>
        <v>7.1308988302963465</v>
      </c>
      <c r="K959" s="38">
        <f t="shared" si="114"/>
        <v>1.5405164669676785</v>
      </c>
      <c r="L959" s="39">
        <f t="shared" si="115"/>
        <v>0.21427040925648169</v>
      </c>
      <c r="M959" s="39">
        <f t="shared" si="116"/>
        <v>7.5756029696437492</v>
      </c>
      <c r="N959" s="39">
        <f t="shared" si="117"/>
        <v>267.83801157060213</v>
      </c>
      <c r="O959" s="40">
        <f>1</f>
        <v>1</v>
      </c>
      <c r="P959" s="38">
        <f>INDEX(Cables!$AS:$AS,MATCH(B959,Cables!$A:$A,0))+INDEX(Cables!$AT:$AT,MATCH(B959,Cables!$A:$A,0))*SQRT(C959)+INDEX(Cables!$AU:$AU,MATCH(B959,Cables!$A:$A,0))*C959</f>
        <v>4.6670469397445835</v>
      </c>
      <c r="Q959" s="41">
        <f t="shared" si="118"/>
        <v>1.0057798282447905E-5</v>
      </c>
      <c r="R959" s="39">
        <f t="shared" si="119"/>
        <v>1.0115930629041203E-10</v>
      </c>
      <c r="S959" s="40" t="b">
        <f>IF(B959=B958,C959&gt;C958,COUNTIF(B$1:B958,B959)=0)</f>
        <v>1</v>
      </c>
      <c r="T959" s="37"/>
    </row>
    <row r="960" spans="1:20" x14ac:dyDescent="0.25">
      <c r="A960" s="37" t="s">
        <v>1702</v>
      </c>
      <c r="B960" s="37" t="s">
        <v>615</v>
      </c>
      <c r="C960" s="37">
        <v>1500</v>
      </c>
      <c r="D960" s="37">
        <v>5.1779999999999999</v>
      </c>
      <c r="E960" s="37" t="s">
        <v>771</v>
      </c>
      <c r="F960" s="37">
        <v>20</v>
      </c>
      <c r="G960" s="37" t="s">
        <v>619</v>
      </c>
      <c r="H960" s="37" t="s">
        <v>1320</v>
      </c>
      <c r="I960" s="38">
        <f t="shared" si="112"/>
        <v>5.1779999999999999</v>
      </c>
      <c r="J960" s="38">
        <f t="shared" si="113"/>
        <v>7.3132203870903014</v>
      </c>
      <c r="K960" s="38">
        <f t="shared" si="114"/>
        <v>1.6444188813293459</v>
      </c>
      <c r="L960" s="39">
        <f t="shared" si="115"/>
        <v>0.19312475859405176</v>
      </c>
      <c r="M960" s="39">
        <f t="shared" si="116"/>
        <v>7.4796897377509017</v>
      </c>
      <c r="N960" s="39">
        <f t="shared" si="117"/>
        <v>289.68713789107761</v>
      </c>
      <c r="O960" s="40">
        <f>1</f>
        <v>1</v>
      </c>
      <c r="P960" s="38">
        <f>INDEX(Cables!$AS:$AS,MATCH(B960,Cables!$A:$A,0))+INDEX(Cables!$AT:$AT,MATCH(B960,Cables!$A:$A,0))*SQRT(C960)+INDEX(Cables!$AU:$AU,MATCH(B960,Cables!$A:$A,0))*C960</f>
        <v>5.178055373830281</v>
      </c>
      <c r="Q960" s="41">
        <f t="shared" si="118"/>
        <v>1.0694057605453722E-5</v>
      </c>
      <c r="R960" s="39">
        <f t="shared" si="119"/>
        <v>1.1436286806876259E-10</v>
      </c>
      <c r="S960" s="40" t="b">
        <f>IF(B960=B959,C960&gt;C959,COUNTIF(B$1:B959,B960)=0)</f>
        <v>1</v>
      </c>
      <c r="T960" s="37"/>
    </row>
    <row r="961" spans="1:20" x14ac:dyDescent="0.25">
      <c r="A961" s="37" t="s">
        <v>1703</v>
      </c>
      <c r="B961" s="37" t="s">
        <v>615</v>
      </c>
      <c r="C961" s="37">
        <v>1640</v>
      </c>
      <c r="D961" s="37">
        <v>5.45</v>
      </c>
      <c r="E961" s="37" t="s">
        <v>771</v>
      </c>
      <c r="F961" s="37">
        <v>20</v>
      </c>
      <c r="G961" s="37" t="s">
        <v>619</v>
      </c>
      <c r="H961" s="37" t="s">
        <v>1320</v>
      </c>
      <c r="I961" s="38">
        <f t="shared" si="112"/>
        <v>5.45</v>
      </c>
      <c r="J961" s="38">
        <f t="shared" si="113"/>
        <v>7.4024515208182438</v>
      </c>
      <c r="K961" s="38">
        <f t="shared" si="114"/>
        <v>1.6956156086751528</v>
      </c>
      <c r="L961" s="39">
        <f t="shared" si="115"/>
        <v>0.18348623853211007</v>
      </c>
      <c r="M961" s="39">
        <f t="shared" si="116"/>
        <v>7.4306263234189309</v>
      </c>
      <c r="N961" s="39">
        <f t="shared" si="117"/>
        <v>300.91743119266056</v>
      </c>
      <c r="O961" s="40">
        <f>1</f>
        <v>1</v>
      </c>
      <c r="P961" s="38">
        <f>INDEX(Cables!$AS:$AS,MATCH(B961,Cables!$A:$A,0))+INDEX(Cables!$AT:$AT,MATCH(B961,Cables!$A:$A,0))*SQRT(C961)+INDEX(Cables!$AU:$AU,MATCH(B961,Cables!$A:$A,0))*C961</f>
        <v>5.4502073750103683</v>
      </c>
      <c r="Q961" s="41">
        <f t="shared" si="118"/>
        <v>3.8050460618110904E-5</v>
      </c>
      <c r="R961" s="39">
        <f t="shared" si="119"/>
        <v>1.4478375532504088E-9</v>
      </c>
      <c r="S961" s="40" t="b">
        <f>IF(B961=B960,C961&gt;C960,COUNTIF(B$1:B960,B961)=0)</f>
        <v>1</v>
      </c>
      <c r="T961" s="37"/>
    </row>
    <row r="962" spans="1:20" x14ac:dyDescent="0.25">
      <c r="A962" s="37" t="s">
        <v>1704</v>
      </c>
      <c r="B962" s="37" t="s">
        <v>615</v>
      </c>
      <c r="C962" s="37">
        <v>1700</v>
      </c>
      <c r="D962" s="37">
        <v>5.5640000000000001</v>
      </c>
      <c r="E962" s="37" t="s">
        <v>771</v>
      </c>
      <c r="F962" s="37">
        <v>20</v>
      </c>
      <c r="G962" s="37" t="s">
        <v>619</v>
      </c>
      <c r="H962" s="37" t="s">
        <v>1320</v>
      </c>
      <c r="I962" s="38">
        <f t="shared" ref="I962:I1025" si="120">IF(E962="dB/100ft",D962*100/30.48,D962)</f>
        <v>5.5640000000000001</v>
      </c>
      <c r="J962" s="38">
        <f t="shared" ref="J962:J1025" si="121">LN(C962)</f>
        <v>7.4383835300443071</v>
      </c>
      <c r="K962" s="38">
        <f t="shared" ref="K962:K1025" si="122">LN(I962)</f>
        <v>1.7163172740611965</v>
      </c>
      <c r="L962" s="39">
        <f t="shared" ref="L962:L1025" si="123">1/I962</f>
        <v>0.17972681524083392</v>
      </c>
      <c r="M962" s="39">
        <f t="shared" ref="M962:M1025" si="124">SQRT(C962)/I962</f>
        <v>7.4103264299382827</v>
      </c>
      <c r="N962" s="39">
        <f t="shared" ref="N962:N1025" si="125">C962/I962</f>
        <v>305.5355859094177</v>
      </c>
      <c r="O962" s="40">
        <f>1</f>
        <v>1</v>
      </c>
      <c r="P962" s="38">
        <f>INDEX(Cables!$AS:$AS,MATCH(B962,Cables!$A:$A,0))+INDEX(Cables!$AT:$AT,MATCH(B962,Cables!$A:$A,0))*SQRT(C962)+INDEX(Cables!$AU:$AU,MATCH(B962,Cables!$A:$A,0))*C962</f>
        <v>5.5641956751375963</v>
      </c>
      <c r="Q962" s="41">
        <f t="shared" ref="Q962:Q1025" si="126">P962/I962-1</f>
        <v>3.5168069302038418E-5</v>
      </c>
      <c r="R962" s="39">
        <f t="shared" ref="R962:R1025" si="127">Q962^2</f>
        <v>1.236793098432977E-9</v>
      </c>
      <c r="S962" s="40" t="b">
        <f>IF(B962=B961,C962&gt;C961,COUNTIF(B$1:B961,B962)=0)</f>
        <v>1</v>
      </c>
      <c r="T962" s="37"/>
    </row>
    <row r="963" spans="1:20" x14ac:dyDescent="0.25">
      <c r="A963" s="37" t="s">
        <v>1705</v>
      </c>
      <c r="B963" s="37" t="s">
        <v>615</v>
      </c>
      <c r="C963" s="37">
        <v>1800</v>
      </c>
      <c r="D963" s="37">
        <v>5.7510000000000003</v>
      </c>
      <c r="E963" s="37" t="s">
        <v>771</v>
      </c>
      <c r="F963" s="37">
        <v>20</v>
      </c>
      <c r="G963" s="37" t="s">
        <v>619</v>
      </c>
      <c r="H963" s="37" t="s">
        <v>1320</v>
      </c>
      <c r="I963" s="38">
        <f t="shared" si="120"/>
        <v>5.7510000000000003</v>
      </c>
      <c r="J963" s="38">
        <f t="shared" si="121"/>
        <v>7.4955419438842563</v>
      </c>
      <c r="K963" s="38">
        <f t="shared" si="122"/>
        <v>1.7493737527316171</v>
      </c>
      <c r="L963" s="39">
        <f t="shared" si="123"/>
        <v>0.17388280299078421</v>
      </c>
      <c r="M963" s="39">
        <f t="shared" si="124"/>
        <v>7.3772225475904802</v>
      </c>
      <c r="N963" s="39">
        <f t="shared" si="125"/>
        <v>312.98904538341156</v>
      </c>
      <c r="O963" s="40">
        <f>1</f>
        <v>1</v>
      </c>
      <c r="P963" s="38">
        <f>INDEX(Cables!$AS:$AS,MATCH(B963,Cables!$A:$A,0))+INDEX(Cables!$AT:$AT,MATCH(B963,Cables!$A:$A,0))*SQRT(C963)+INDEX(Cables!$AU:$AU,MATCH(B963,Cables!$A:$A,0))*C963</f>
        <v>5.7509516235226235</v>
      </c>
      <c r="Q963" s="41">
        <f t="shared" si="126"/>
        <v>-8.4118374851227529E-6</v>
      </c>
      <c r="R963" s="39">
        <f t="shared" si="127"/>
        <v>7.0759009876116281E-11</v>
      </c>
      <c r="S963" s="40" t="b">
        <f>IF(B963=B962,C963&gt;C962,COUNTIF(B$1:B962,B963)=0)</f>
        <v>1</v>
      </c>
      <c r="T963" s="37"/>
    </row>
    <row r="964" spans="1:20" x14ac:dyDescent="0.25">
      <c r="A964" s="37" t="s">
        <v>1706</v>
      </c>
      <c r="B964" s="37" t="s">
        <v>615</v>
      </c>
      <c r="C964" s="37">
        <v>2000</v>
      </c>
      <c r="D964" s="37">
        <v>6.1139999999999999</v>
      </c>
      <c r="E964" s="37" t="s">
        <v>771</v>
      </c>
      <c r="F964" s="37">
        <v>20</v>
      </c>
      <c r="G964" s="37" t="s">
        <v>619</v>
      </c>
      <c r="H964" s="37" t="s">
        <v>1320</v>
      </c>
      <c r="I964" s="38">
        <f t="shared" si="120"/>
        <v>6.1139999999999999</v>
      </c>
      <c r="J964" s="38">
        <f t="shared" si="121"/>
        <v>7.6009024595420822</v>
      </c>
      <c r="K964" s="38">
        <f t="shared" si="122"/>
        <v>1.8105812234686427</v>
      </c>
      <c r="L964" s="39">
        <f t="shared" si="123"/>
        <v>0.16355904481517827</v>
      </c>
      <c r="M964" s="39">
        <f t="shared" si="124"/>
        <v>7.3145828508334638</v>
      </c>
      <c r="N964" s="39">
        <f t="shared" si="125"/>
        <v>327.11808963035656</v>
      </c>
      <c r="O964" s="40">
        <f>1</f>
        <v>1</v>
      </c>
      <c r="P964" s="38">
        <f>INDEX(Cables!$AS:$AS,MATCH(B964,Cables!$A:$A,0))+INDEX(Cables!$AT:$AT,MATCH(B964,Cables!$A:$A,0))*SQRT(C964)+INDEX(Cables!$AU:$AU,MATCH(B964,Cables!$A:$A,0))*C964</f>
        <v>6.1135231083562518</v>
      </c>
      <c r="Q964" s="41">
        <f t="shared" si="126"/>
        <v>-7.7999941731743405E-5</v>
      </c>
      <c r="R964" s="39">
        <f t="shared" si="127"/>
        <v>6.0839909101553664E-9</v>
      </c>
      <c r="S964" s="40" t="b">
        <f>IF(B964=B963,C964&gt;C963,COUNTIF(B$1:B963,B964)=0)</f>
        <v>1</v>
      </c>
      <c r="T964" s="37"/>
    </row>
    <row r="965" spans="1:20" x14ac:dyDescent="0.25">
      <c r="A965" s="37" t="s">
        <v>1707</v>
      </c>
      <c r="B965" s="37" t="s">
        <v>615</v>
      </c>
      <c r="C965" s="37">
        <v>2100</v>
      </c>
      <c r="D965" s="37">
        <v>6.29</v>
      </c>
      <c r="E965" s="37" t="s">
        <v>771</v>
      </c>
      <c r="F965" s="37">
        <v>20</v>
      </c>
      <c r="G965" s="37" t="s">
        <v>619</v>
      </c>
      <c r="H965" s="37" t="s">
        <v>1320</v>
      </c>
      <c r="I965" s="38">
        <f t="shared" si="120"/>
        <v>6.29</v>
      </c>
      <c r="J965" s="38">
        <f t="shared" si="121"/>
        <v>7.6496926237115144</v>
      </c>
      <c r="K965" s="38">
        <f t="shared" si="122"/>
        <v>1.8389610707123492</v>
      </c>
      <c r="L965" s="39">
        <f t="shared" si="123"/>
        <v>0.1589825119236884</v>
      </c>
      <c r="M965" s="39">
        <f t="shared" si="124"/>
        <v>7.2854939506452139</v>
      </c>
      <c r="N965" s="39">
        <f t="shared" si="125"/>
        <v>333.86327503974564</v>
      </c>
      <c r="O965" s="40">
        <f>1</f>
        <v>1</v>
      </c>
      <c r="P965" s="38">
        <f>INDEX(Cables!$AS:$AS,MATCH(B965,Cables!$A:$A,0))+INDEX(Cables!$AT:$AT,MATCH(B965,Cables!$A:$A,0))*SQRT(C965)+INDEX(Cables!$AU:$AU,MATCH(B965,Cables!$A:$A,0))*C965</f>
        <v>6.2898865690093251</v>
      </c>
      <c r="Q965" s="41">
        <f t="shared" si="126"/>
        <v>-1.8033543827455922E-5</v>
      </c>
      <c r="R965" s="39">
        <f t="shared" si="127"/>
        <v>3.2520870297677358E-10</v>
      </c>
      <c r="S965" s="40" t="b">
        <f>IF(B965=B964,C965&gt;C964,COUNTIF(B$1:B964,B965)=0)</f>
        <v>1</v>
      </c>
      <c r="T965" s="37"/>
    </row>
    <row r="966" spans="1:20" x14ac:dyDescent="0.25">
      <c r="A966" s="37" t="s">
        <v>1708</v>
      </c>
      <c r="B966" s="37" t="s">
        <v>615</v>
      </c>
      <c r="C966" s="37">
        <v>2200</v>
      </c>
      <c r="D966" s="37">
        <v>6.4630000000000001</v>
      </c>
      <c r="E966" s="37" t="s">
        <v>771</v>
      </c>
      <c r="F966" s="37">
        <v>20</v>
      </c>
      <c r="G966" s="37" t="s">
        <v>619</v>
      </c>
      <c r="H966" s="37" t="s">
        <v>1320</v>
      </c>
      <c r="I966" s="38">
        <f t="shared" si="120"/>
        <v>6.4630000000000001</v>
      </c>
      <c r="J966" s="38">
        <f t="shared" si="121"/>
        <v>7.696212639346407</v>
      </c>
      <c r="K966" s="38">
        <f t="shared" si="122"/>
        <v>1.8660936062807585</v>
      </c>
      <c r="L966" s="39">
        <f t="shared" si="123"/>
        <v>0.15472690700912889</v>
      </c>
      <c r="M966" s="39">
        <f t="shared" si="124"/>
        <v>7.2573352310435242</v>
      </c>
      <c r="N966" s="39">
        <f t="shared" si="125"/>
        <v>340.39919542008357</v>
      </c>
      <c r="O966" s="40">
        <f>1</f>
        <v>1</v>
      </c>
      <c r="P966" s="38">
        <f>INDEX(Cables!$AS:$AS,MATCH(B966,Cables!$A:$A,0))+INDEX(Cables!$AT:$AT,MATCH(B966,Cables!$A:$A,0))*SQRT(C966)+INDEX(Cables!$AU:$AU,MATCH(B966,Cables!$A:$A,0))*C966</f>
        <v>6.4632795913627401</v>
      </c>
      <c r="Q966" s="41">
        <f t="shared" si="126"/>
        <v>4.3260306783254876E-5</v>
      </c>
      <c r="R966" s="39">
        <f t="shared" si="127"/>
        <v>1.8714541429813277E-9</v>
      </c>
      <c r="S966" s="40" t="b">
        <f>IF(B966=B965,C966&gt;C965,COUNTIF(B$1:B965,B966)=0)</f>
        <v>1</v>
      </c>
      <c r="T966" s="37"/>
    </row>
    <row r="967" spans="1:20" x14ac:dyDescent="0.25">
      <c r="A967" s="37" t="s">
        <v>1709</v>
      </c>
      <c r="B967" s="37" t="s">
        <v>615</v>
      </c>
      <c r="C967" s="37">
        <v>2300</v>
      </c>
      <c r="D967" s="37">
        <v>6.6340000000000003</v>
      </c>
      <c r="E967" s="37" t="s">
        <v>771</v>
      </c>
      <c r="F967" s="37">
        <v>20</v>
      </c>
      <c r="G967" s="37" t="s">
        <v>619</v>
      </c>
      <c r="H967" s="37" t="s">
        <v>1320</v>
      </c>
      <c r="I967" s="38">
        <f t="shared" si="120"/>
        <v>6.6340000000000003</v>
      </c>
      <c r="J967" s="38">
        <f t="shared" si="121"/>
        <v>7.7406644019172415</v>
      </c>
      <c r="K967" s="38">
        <f t="shared" si="122"/>
        <v>1.8922079405248606</v>
      </c>
      <c r="L967" s="39">
        <f t="shared" si="123"/>
        <v>0.15073861923424781</v>
      </c>
      <c r="M967" s="39">
        <f t="shared" si="124"/>
        <v>7.2291702190423868</v>
      </c>
      <c r="N967" s="39">
        <f t="shared" si="125"/>
        <v>346.69882423876993</v>
      </c>
      <c r="O967" s="40">
        <f>1</f>
        <v>1</v>
      </c>
      <c r="P967" s="38">
        <f>INDEX(Cables!$AS:$AS,MATCH(B967,Cables!$A:$A,0))+INDEX(Cables!$AT:$AT,MATCH(B967,Cables!$A:$A,0))*SQRT(C967)+INDEX(Cables!$AU:$AU,MATCH(B967,Cables!$A:$A,0))*C967</f>
        <v>6.6339025607601494</v>
      </c>
      <c r="Q967" s="41">
        <f t="shared" si="126"/>
        <v>-1.4687856474404626E-5</v>
      </c>
      <c r="R967" s="39">
        <f t="shared" si="127"/>
        <v>2.1573312781270988E-10</v>
      </c>
      <c r="S967" s="40" t="b">
        <f>IF(B967=B966,C967&gt;C966,COUNTIF(B$1:B966,B967)=0)</f>
        <v>1</v>
      </c>
      <c r="T967" s="37"/>
    </row>
    <row r="968" spans="1:20" x14ac:dyDescent="0.25">
      <c r="A968" s="37" t="s">
        <v>1710</v>
      </c>
      <c r="B968" s="37" t="s">
        <v>615</v>
      </c>
      <c r="C968" s="37">
        <v>2500</v>
      </c>
      <c r="D968" s="37">
        <v>6.968</v>
      </c>
      <c r="E968" s="37" t="s">
        <v>771</v>
      </c>
      <c r="F968" s="37">
        <v>20</v>
      </c>
      <c r="G968" s="37" t="s">
        <v>619</v>
      </c>
      <c r="H968" s="37" t="s">
        <v>1320</v>
      </c>
      <c r="I968" s="38">
        <f t="shared" si="120"/>
        <v>6.968</v>
      </c>
      <c r="J968" s="38">
        <f t="shared" si="121"/>
        <v>7.8240460108562919</v>
      </c>
      <c r="K968" s="38">
        <f t="shared" si="122"/>
        <v>1.9413282395502016</v>
      </c>
      <c r="L968" s="39">
        <f t="shared" si="123"/>
        <v>0.14351320321469574</v>
      </c>
      <c r="M968" s="39">
        <f t="shared" si="124"/>
        <v>7.1756601607347879</v>
      </c>
      <c r="N968" s="39">
        <f t="shared" si="125"/>
        <v>358.78300803673937</v>
      </c>
      <c r="O968" s="40">
        <f>1</f>
        <v>1</v>
      </c>
      <c r="P968" s="38">
        <f>INDEX(Cables!$AS:$AS,MATCH(B968,Cables!$A:$A,0))+INDEX(Cables!$AT:$AT,MATCH(B968,Cables!$A:$A,0))*SQRT(C968)+INDEX(Cables!$AU:$AU,MATCH(B968,Cables!$A:$A,0))*C968</f>
        <v>6.9675351713109563</v>
      </c>
      <c r="Q968" s="41">
        <f t="shared" si="126"/>
        <v>-6.670905411076955E-5</v>
      </c>
      <c r="R968" s="39">
        <f t="shared" si="127"/>
        <v>4.4500979003535799E-9</v>
      </c>
      <c r="S968" s="40" t="b">
        <f>IF(B968=B967,C968&gt;C967,COUNTIF(B$1:B967,B968)=0)</f>
        <v>1</v>
      </c>
      <c r="T968" s="37"/>
    </row>
    <row r="969" spans="1:20" x14ac:dyDescent="0.25">
      <c r="A969" s="37" t="s">
        <v>1711</v>
      </c>
      <c r="B969" s="37" t="s">
        <v>615</v>
      </c>
      <c r="C969" s="37">
        <v>2700</v>
      </c>
      <c r="D969" s="37">
        <v>7.2919999999999998</v>
      </c>
      <c r="E969" s="37" t="s">
        <v>771</v>
      </c>
      <c r="F969" s="37">
        <v>20</v>
      </c>
      <c r="G969" s="37" t="s">
        <v>619</v>
      </c>
      <c r="H969" s="37" t="s">
        <v>1320</v>
      </c>
      <c r="I969" s="38">
        <f t="shared" si="120"/>
        <v>7.2919999999999998</v>
      </c>
      <c r="J969" s="38">
        <f t="shared" si="121"/>
        <v>7.90100705199242</v>
      </c>
      <c r="K969" s="38">
        <f t="shared" si="122"/>
        <v>1.9867778568164165</v>
      </c>
      <c r="L969" s="39">
        <f t="shared" si="123"/>
        <v>0.13713658804168952</v>
      </c>
      <c r="M969" s="39">
        <f t="shared" si="124"/>
        <v>7.1258261419454634</v>
      </c>
      <c r="N969" s="39">
        <f t="shared" si="125"/>
        <v>370.26878771256173</v>
      </c>
      <c r="O969" s="40">
        <f>1</f>
        <v>1</v>
      </c>
      <c r="P969" s="38">
        <f>INDEX(Cables!$AS:$AS,MATCH(B969,Cables!$A:$A,0))+INDEX(Cables!$AT:$AT,MATCH(B969,Cables!$A:$A,0))*SQRT(C969)+INDEX(Cables!$AU:$AU,MATCH(B969,Cables!$A:$A,0))*C969</f>
        <v>7.2920084858174103</v>
      </c>
      <c r="Q969" s="41">
        <f t="shared" si="126"/>
        <v>1.1637160464150753E-6</v>
      </c>
      <c r="R969" s="39">
        <f t="shared" si="127"/>
        <v>1.3542350366839337E-12</v>
      </c>
      <c r="S969" s="40" t="b">
        <f>IF(B969=B968,C969&gt;C968,COUNTIF(B$1:B968,B969)=0)</f>
        <v>1</v>
      </c>
      <c r="T969" s="37"/>
    </row>
    <row r="970" spans="1:20" x14ac:dyDescent="0.25">
      <c r="A970" s="37" t="s">
        <v>1712</v>
      </c>
      <c r="B970" s="37" t="s">
        <v>615</v>
      </c>
      <c r="C970" s="37">
        <v>3000</v>
      </c>
      <c r="D970" s="37">
        <v>7.7640000000000002</v>
      </c>
      <c r="E970" s="37" t="s">
        <v>771</v>
      </c>
      <c r="F970" s="37">
        <v>20</v>
      </c>
      <c r="G970" s="37" t="s">
        <v>619</v>
      </c>
      <c r="H970" s="37" t="s">
        <v>1320</v>
      </c>
      <c r="I970" s="38">
        <f t="shared" si="120"/>
        <v>7.7640000000000002</v>
      </c>
      <c r="J970" s="38">
        <f t="shared" si="121"/>
        <v>8.0063675676502459</v>
      </c>
      <c r="K970" s="38">
        <f t="shared" si="122"/>
        <v>2.049497665306764</v>
      </c>
      <c r="L970" s="39">
        <f t="shared" si="123"/>
        <v>0.1287995878413189</v>
      </c>
      <c r="M970" s="39">
        <f t="shared" si="124"/>
        <v>7.0546439658058491</v>
      </c>
      <c r="N970" s="39">
        <f t="shared" si="125"/>
        <v>386.39876352395669</v>
      </c>
      <c r="O970" s="40">
        <f>1</f>
        <v>1</v>
      </c>
      <c r="P970" s="38">
        <f>INDEX(Cables!$AS:$AS,MATCH(B970,Cables!$A:$A,0))+INDEX(Cables!$AT:$AT,MATCH(B970,Cables!$A:$A,0))*SQRT(C970)+INDEX(Cables!$AU:$AU,MATCH(B970,Cables!$A:$A,0))*C970</f>
        <v>7.7636867534588445</v>
      </c>
      <c r="Q970" s="41">
        <f t="shared" si="126"/>
        <v>-4.0346025393600549E-5</v>
      </c>
      <c r="R970" s="39">
        <f t="shared" si="127"/>
        <v>1.6278017650610602E-9</v>
      </c>
      <c r="S970" s="40" t="b">
        <f>IF(B970=B969,C970&gt;C969,COUNTIF(B$1:B969,B970)=0)</f>
        <v>1</v>
      </c>
      <c r="T970" s="37"/>
    </row>
    <row r="971" spans="1:20" x14ac:dyDescent="0.25">
      <c r="A971" s="37" t="s">
        <v>1713</v>
      </c>
      <c r="B971" s="37" t="s">
        <v>615</v>
      </c>
      <c r="C971" s="37">
        <v>3300</v>
      </c>
      <c r="D971" s="37">
        <v>8.2200000000000006</v>
      </c>
      <c r="E971" s="37" t="s">
        <v>771</v>
      </c>
      <c r="F971" s="37">
        <v>20</v>
      </c>
      <c r="G971" s="37" t="s">
        <v>619</v>
      </c>
      <c r="H971" s="37" t="s">
        <v>1320</v>
      </c>
      <c r="I971" s="38">
        <f t="shared" si="120"/>
        <v>8.2200000000000006</v>
      </c>
      <c r="J971" s="38">
        <f t="shared" si="121"/>
        <v>8.1016777474545716</v>
      </c>
      <c r="K971" s="38">
        <f t="shared" si="122"/>
        <v>2.1065702090680887</v>
      </c>
      <c r="L971" s="39">
        <f t="shared" si="123"/>
        <v>0.121654501216545</v>
      </c>
      <c r="M971" s="39">
        <f t="shared" si="124"/>
        <v>6.9885190347177959</v>
      </c>
      <c r="N971" s="39">
        <f t="shared" si="125"/>
        <v>401.45985401459853</v>
      </c>
      <c r="O971" s="40">
        <f>1</f>
        <v>1</v>
      </c>
      <c r="P971" s="38">
        <f>INDEX(Cables!$AS:$AS,MATCH(B971,Cables!$A:$A,0))+INDEX(Cables!$AT:$AT,MATCH(B971,Cables!$A:$A,0))*SQRT(C971)+INDEX(Cables!$AU:$AU,MATCH(B971,Cables!$A:$A,0))*C971</f>
        <v>8.2196699133356148</v>
      </c>
      <c r="Q971" s="41">
        <f t="shared" si="126"/>
        <v>-4.0156528514079248E-5</v>
      </c>
      <c r="R971" s="39">
        <f t="shared" si="127"/>
        <v>1.6125467823020597E-9</v>
      </c>
      <c r="S971" s="40" t="b">
        <f>IF(B971=B970,C971&gt;C970,COUNTIF(B$1:B970,B971)=0)</f>
        <v>1</v>
      </c>
      <c r="T971" s="37"/>
    </row>
    <row r="972" spans="1:20" x14ac:dyDescent="0.25">
      <c r="A972" s="37" t="s">
        <v>1714</v>
      </c>
      <c r="B972" s="37" t="s">
        <v>615</v>
      </c>
      <c r="C972" s="37">
        <v>3400</v>
      </c>
      <c r="D972" s="37">
        <v>8.3689999999999998</v>
      </c>
      <c r="E972" s="37" t="s">
        <v>771</v>
      </c>
      <c r="F972" s="37">
        <v>20</v>
      </c>
      <c r="G972" s="37" t="s">
        <v>619</v>
      </c>
      <c r="H972" s="37" t="s">
        <v>1320</v>
      </c>
      <c r="I972" s="38">
        <f t="shared" si="120"/>
        <v>8.3689999999999998</v>
      </c>
      <c r="J972" s="38">
        <f t="shared" si="121"/>
        <v>8.1315307106042525</v>
      </c>
      <c r="K972" s="38">
        <f t="shared" si="122"/>
        <v>2.1245344030507369</v>
      </c>
      <c r="L972" s="39">
        <f t="shared" si="123"/>
        <v>0.11948858883976581</v>
      </c>
      <c r="M972" s="39">
        <f t="shared" si="124"/>
        <v>6.967322135076234</v>
      </c>
      <c r="N972" s="39">
        <f t="shared" si="125"/>
        <v>406.26120205520374</v>
      </c>
      <c r="O972" s="40">
        <f>1</f>
        <v>1</v>
      </c>
      <c r="P972" s="38">
        <f>INDEX(Cables!$AS:$AS,MATCH(B972,Cables!$A:$A,0))+INDEX(Cables!$AT:$AT,MATCH(B972,Cables!$A:$A,0))*SQRT(C972)+INDEX(Cables!$AU:$AU,MATCH(B972,Cables!$A:$A,0))*C972</f>
        <v>8.368552823887967</v>
      </c>
      <c r="Q972" s="41">
        <f t="shared" si="126"/>
        <v>-5.343244258970703E-5</v>
      </c>
      <c r="R972" s="39">
        <f t="shared" si="127"/>
        <v>2.8550259211023375E-9</v>
      </c>
      <c r="S972" s="40" t="b">
        <f>IF(B972=B971,C972&gt;C971,COUNTIF(B$1:B971,B972)=0)</f>
        <v>1</v>
      </c>
      <c r="T972" s="37"/>
    </row>
    <row r="973" spans="1:20" x14ac:dyDescent="0.25">
      <c r="A973" s="37" t="s">
        <v>1715</v>
      </c>
      <c r="B973" s="37" t="s">
        <v>615</v>
      </c>
      <c r="C973" s="37">
        <v>4000</v>
      </c>
      <c r="D973" s="37">
        <v>9.234</v>
      </c>
      <c r="E973" s="37" t="s">
        <v>771</v>
      </c>
      <c r="F973" s="37">
        <v>20</v>
      </c>
      <c r="G973" s="37" t="s">
        <v>619</v>
      </c>
      <c r="H973" s="37" t="s">
        <v>1320</v>
      </c>
      <c r="I973" s="38">
        <f t="shared" si="120"/>
        <v>9.234</v>
      </c>
      <c r="J973" s="38">
        <f t="shared" si="121"/>
        <v>8.2940496401020276</v>
      </c>
      <c r="K973" s="38">
        <f t="shared" si="122"/>
        <v>2.2228923240847971</v>
      </c>
      <c r="L973" s="39">
        <f t="shared" si="123"/>
        <v>0.10829542993285683</v>
      </c>
      <c r="M973" s="39">
        <f t="shared" si="124"/>
        <v>6.8492043755000633</v>
      </c>
      <c r="N973" s="39">
        <f t="shared" si="125"/>
        <v>433.18171973142734</v>
      </c>
      <c r="O973" s="40">
        <f>1</f>
        <v>1</v>
      </c>
      <c r="P973" s="38">
        <f>INDEX(Cables!$AS:$AS,MATCH(B973,Cables!$A:$A,0))+INDEX(Cables!$AT:$AT,MATCH(B973,Cables!$A:$A,0))*SQRT(C973)+INDEX(Cables!$AU:$AU,MATCH(B973,Cables!$A:$A,0))*C973</f>
        <v>9.2335909591416172</v>
      </c>
      <c r="Q973" s="41">
        <f t="shared" si="126"/>
        <v>-4.4297255618719333E-5</v>
      </c>
      <c r="R973" s="39">
        <f t="shared" si="127"/>
        <v>1.9622468553501613E-9</v>
      </c>
      <c r="S973" s="40" t="b">
        <f>IF(B973=B972,C973&gt;C972,COUNTIF(B$1:B972,B973)=0)</f>
        <v>1</v>
      </c>
      <c r="T973" s="37"/>
    </row>
    <row r="974" spans="1:20" x14ac:dyDescent="0.25">
      <c r="A974" s="37" t="s">
        <v>1716</v>
      </c>
      <c r="B974" s="37" t="s">
        <v>615</v>
      </c>
      <c r="C974" s="37">
        <v>4900</v>
      </c>
      <c r="D974" s="37">
        <v>10.458</v>
      </c>
      <c r="E974" s="37" t="s">
        <v>771</v>
      </c>
      <c r="F974" s="37">
        <v>20</v>
      </c>
      <c r="G974" s="37" t="s">
        <v>619</v>
      </c>
      <c r="H974" s="37" t="s">
        <v>1320</v>
      </c>
      <c r="I974" s="38">
        <f t="shared" si="120"/>
        <v>10.458</v>
      </c>
      <c r="J974" s="38">
        <f t="shared" si="121"/>
        <v>8.4969904840987187</v>
      </c>
      <c r="K974" s="38">
        <f t="shared" si="122"/>
        <v>2.347367235765939</v>
      </c>
      <c r="L974" s="39">
        <f t="shared" si="123"/>
        <v>9.5620577548288385E-2</v>
      </c>
      <c r="M974" s="39">
        <f t="shared" si="124"/>
        <v>6.6934404283801872</v>
      </c>
      <c r="N974" s="39">
        <f t="shared" si="125"/>
        <v>468.54082998661312</v>
      </c>
      <c r="O974" s="40">
        <f>1</f>
        <v>1</v>
      </c>
      <c r="P974" s="38">
        <f>INDEX(Cables!$AS:$AS,MATCH(B974,Cables!$A:$A,0))+INDEX(Cables!$AT:$AT,MATCH(B974,Cables!$A:$A,0))*SQRT(C974)+INDEX(Cables!$AU:$AU,MATCH(B974,Cables!$A:$A,0))*C974</f>
        <v>10.456923104070638</v>
      </c>
      <c r="Q974" s="41">
        <f t="shared" si="126"/>
        <v>-1.0297341072496025E-4</v>
      </c>
      <c r="R974" s="39">
        <f t="shared" si="127"/>
        <v>1.0603523316331358E-8</v>
      </c>
      <c r="S974" s="40" t="b">
        <f>IF(B974=B973,C974&gt;C973,COUNTIF(B$1:B973,B974)=0)</f>
        <v>1</v>
      </c>
      <c r="T974" s="37"/>
    </row>
    <row r="975" spans="1:20" x14ac:dyDescent="0.25">
      <c r="A975" s="37" t="s">
        <v>1717</v>
      </c>
      <c r="B975" s="37" t="s">
        <v>615</v>
      </c>
      <c r="C975" s="37">
        <v>5000</v>
      </c>
      <c r="D975" s="37">
        <v>10.589</v>
      </c>
      <c r="E975" s="37" t="s">
        <v>771</v>
      </c>
      <c r="F975" s="37">
        <v>20</v>
      </c>
      <c r="G975" s="37" t="s">
        <v>619</v>
      </c>
      <c r="H975" s="37" t="s">
        <v>1320</v>
      </c>
      <c r="I975" s="38">
        <f t="shared" si="120"/>
        <v>10.589</v>
      </c>
      <c r="J975" s="38">
        <f t="shared" si="121"/>
        <v>8.5171931914162382</v>
      </c>
      <c r="K975" s="38">
        <f t="shared" si="122"/>
        <v>2.3598157264483173</v>
      </c>
      <c r="L975" s="39">
        <f t="shared" si="123"/>
        <v>9.4437623949381433E-2</v>
      </c>
      <c r="M975" s="39">
        <f t="shared" si="124"/>
        <v>6.6777484293752716</v>
      </c>
      <c r="N975" s="39">
        <f t="shared" si="125"/>
        <v>472.18811974690715</v>
      </c>
      <c r="O975" s="40">
        <f>1</f>
        <v>1</v>
      </c>
      <c r="P975" s="38">
        <f>INDEX(Cables!$AS:$AS,MATCH(B975,Cables!$A:$A,0))+INDEX(Cables!$AT:$AT,MATCH(B975,Cables!$A:$A,0))*SQRT(C975)+INDEX(Cables!$AU:$AU,MATCH(B975,Cables!$A:$A,0))*C975</f>
        <v>10.5882994493561</v>
      </c>
      <c r="Q975" s="41">
        <f t="shared" si="126"/>
        <v>-6.6158338266175676E-5</v>
      </c>
      <c r="R975" s="39">
        <f t="shared" si="127"/>
        <v>4.3769257221417245E-9</v>
      </c>
      <c r="S975" s="40" t="b">
        <f>IF(B975=B974,C975&gt;C974,COUNTIF(B$1:B974,B975)=0)</f>
        <v>1</v>
      </c>
      <c r="T975" s="37"/>
    </row>
    <row r="976" spans="1:20" x14ac:dyDescent="0.25">
      <c r="A976" s="37" t="s">
        <v>1718</v>
      </c>
      <c r="B976" s="37" t="s">
        <v>621</v>
      </c>
      <c r="C976" s="37">
        <v>30</v>
      </c>
      <c r="D976" s="37">
        <v>0.14899999999999999</v>
      </c>
      <c r="E976" s="37" t="s">
        <v>707</v>
      </c>
      <c r="F976" s="37">
        <v>25</v>
      </c>
      <c r="G976" s="37" t="s">
        <v>207</v>
      </c>
      <c r="H976" s="37" t="s">
        <v>1719</v>
      </c>
      <c r="I976" s="38">
        <f t="shared" si="120"/>
        <v>0.48884514435695531</v>
      </c>
      <c r="J976" s="38">
        <f t="shared" si="121"/>
        <v>3.4011973816621555</v>
      </c>
      <c r="K976" s="38">
        <f t="shared" si="122"/>
        <v>-0.71570951786703219</v>
      </c>
      <c r="L976" s="39">
        <f t="shared" si="123"/>
        <v>2.045637583892618</v>
      </c>
      <c r="M976" s="39">
        <f t="shared" si="124"/>
        <v>11.204418491783533</v>
      </c>
      <c r="N976" s="39">
        <f t="shared" si="125"/>
        <v>61.369127516778534</v>
      </c>
      <c r="O976" s="40">
        <f>1</f>
        <v>1</v>
      </c>
      <c r="P976" s="38">
        <f>INDEX(Cables!$AS:$AS,MATCH(B976,Cables!$A:$A,0))+INDEX(Cables!$AT:$AT,MATCH(B976,Cables!$A:$A,0))*SQRT(C976)+INDEX(Cables!$AU:$AU,MATCH(B976,Cables!$A:$A,0))*C976</f>
        <v>0.4893812589701646</v>
      </c>
      <c r="Q976" s="41">
        <f t="shared" si="126"/>
        <v>1.0966962020548809E-3</v>
      </c>
      <c r="R976" s="39">
        <f t="shared" si="127"/>
        <v>1.2027425596016003E-6</v>
      </c>
      <c r="S976" s="40" t="b">
        <f>IF(B976=B975,C976&gt;C975,COUNTIF(B$1:B975,B976)=0)</f>
        <v>1</v>
      </c>
      <c r="T976" s="37"/>
    </row>
    <row r="977" spans="1:20" x14ac:dyDescent="0.25">
      <c r="A977" s="37" t="s">
        <v>1720</v>
      </c>
      <c r="B977" s="37" t="s">
        <v>621</v>
      </c>
      <c r="C977" s="37">
        <v>50</v>
      </c>
      <c r="D977" s="37">
        <v>0.19500000000000001</v>
      </c>
      <c r="E977" s="37" t="s">
        <v>707</v>
      </c>
      <c r="F977" s="37">
        <v>25</v>
      </c>
      <c r="G977" s="37" t="s">
        <v>207</v>
      </c>
      <c r="H977" s="37" t="s">
        <v>1719</v>
      </c>
      <c r="I977" s="38">
        <f t="shared" si="120"/>
        <v>0.63976377952755903</v>
      </c>
      <c r="J977" s="38">
        <f t="shared" si="121"/>
        <v>3.912023005428146</v>
      </c>
      <c r="K977" s="38">
        <f t="shared" si="122"/>
        <v>-0.44665626524874447</v>
      </c>
      <c r="L977" s="39">
        <f t="shared" si="123"/>
        <v>1.563076923076923</v>
      </c>
      <c r="M977" s="39">
        <f t="shared" si="124"/>
        <v>11.05262291823896</v>
      </c>
      <c r="N977" s="39">
        <f t="shared" si="125"/>
        <v>78.15384615384616</v>
      </c>
      <c r="O977" s="40">
        <f>1</f>
        <v>1</v>
      </c>
      <c r="P977" s="38">
        <f>INDEX(Cables!$AS:$AS,MATCH(B977,Cables!$A:$A,0))+INDEX(Cables!$AT:$AT,MATCH(B977,Cables!$A:$A,0))*SQRT(C977)+INDEX(Cables!$AU:$AU,MATCH(B977,Cables!$A:$A,0))*C977</f>
        <v>0.63837356230310205</v>
      </c>
      <c r="Q977" s="41">
        <f t="shared" si="126"/>
        <v>-2.1730164616127201E-3</v>
      </c>
      <c r="R977" s="39">
        <f t="shared" si="127"/>
        <v>4.7220005424398662E-6</v>
      </c>
      <c r="S977" s="40" t="b">
        <f>IF(B977=B976,C977&gt;C976,COUNTIF(B$1:B976,B977)=0)</f>
        <v>1</v>
      </c>
      <c r="T977" s="37"/>
    </row>
    <row r="978" spans="1:20" x14ac:dyDescent="0.25">
      <c r="A978" s="37" t="s">
        <v>1721</v>
      </c>
      <c r="B978" s="37" t="s">
        <v>621</v>
      </c>
      <c r="C978" s="37">
        <v>150</v>
      </c>
      <c r="D978" s="37">
        <v>0.34699999999999998</v>
      </c>
      <c r="E978" s="37" t="s">
        <v>707</v>
      </c>
      <c r="F978" s="37">
        <v>25</v>
      </c>
      <c r="G978" s="37" t="s">
        <v>207</v>
      </c>
      <c r="H978" s="37" t="s">
        <v>1719</v>
      </c>
      <c r="I978" s="38">
        <f t="shared" si="120"/>
        <v>1.1384514435695536</v>
      </c>
      <c r="J978" s="38">
        <f t="shared" si="121"/>
        <v>5.0106352940962555</v>
      </c>
      <c r="K978" s="38">
        <f t="shared" si="122"/>
        <v>0.12966895613436782</v>
      </c>
      <c r="L978" s="39">
        <f t="shared" si="123"/>
        <v>0.87838616714697415</v>
      </c>
      <c r="M978" s="39">
        <f t="shared" si="124"/>
        <v>10.757989533145718</v>
      </c>
      <c r="N978" s="39">
        <f t="shared" si="125"/>
        <v>131.75792507204613</v>
      </c>
      <c r="O978" s="40">
        <f>1</f>
        <v>1</v>
      </c>
      <c r="P978" s="38">
        <f>INDEX(Cables!$AS:$AS,MATCH(B978,Cables!$A:$A,0))+INDEX(Cables!$AT:$AT,MATCH(B978,Cables!$A:$A,0))*SQRT(C978)+INDEX(Cables!$AU:$AU,MATCH(B978,Cables!$A:$A,0))*C978</f>
        <v>1.1400761525390224</v>
      </c>
      <c r="Q978" s="41">
        <f t="shared" si="126"/>
        <v>1.4271218844210676E-3</v>
      </c>
      <c r="R978" s="39">
        <f t="shared" si="127"/>
        <v>2.036676872993539E-6</v>
      </c>
      <c r="S978" s="40" t="b">
        <f>IF(B978=B977,C978&gt;C977,COUNTIF(B$1:B977,B978)=0)</f>
        <v>1</v>
      </c>
      <c r="T978" s="37"/>
    </row>
    <row r="979" spans="1:20" x14ac:dyDescent="0.25">
      <c r="A979" s="37" t="s">
        <v>1722</v>
      </c>
      <c r="B979" s="37" t="s">
        <v>621</v>
      </c>
      <c r="C979" s="37">
        <v>220</v>
      </c>
      <c r="D979" s="37">
        <v>0.42699999999999999</v>
      </c>
      <c r="E979" s="37" t="s">
        <v>707</v>
      </c>
      <c r="F979" s="37">
        <v>25</v>
      </c>
      <c r="G979" s="37" t="s">
        <v>207</v>
      </c>
      <c r="H979" s="37" t="s">
        <v>1719</v>
      </c>
      <c r="I979" s="38">
        <f t="shared" si="120"/>
        <v>1.4009186351706036</v>
      </c>
      <c r="J979" s="38">
        <f t="shared" si="121"/>
        <v>5.393627546352362</v>
      </c>
      <c r="K979" s="38">
        <f t="shared" si="122"/>
        <v>0.33712818941613326</v>
      </c>
      <c r="L979" s="39">
        <f t="shared" si="123"/>
        <v>0.71381733021077287</v>
      </c>
      <c r="M979" s="39">
        <f t="shared" si="124"/>
        <v>10.587622008743599</v>
      </c>
      <c r="N979" s="39">
        <f t="shared" si="125"/>
        <v>157.03981264637002</v>
      </c>
      <c r="O979" s="40">
        <f>1</f>
        <v>1</v>
      </c>
      <c r="P979" s="38">
        <f>INDEX(Cables!$AS:$AS,MATCH(B979,Cables!$A:$A,0))+INDEX(Cables!$AT:$AT,MATCH(B979,Cables!$A:$A,0))*SQRT(C979)+INDEX(Cables!$AU:$AU,MATCH(B979,Cables!$A:$A,0))*C979</f>
        <v>1.4008117479843063</v>
      </c>
      <c r="Q979" s="41">
        <f t="shared" si="126"/>
        <v>-7.6297925956425594E-5</v>
      </c>
      <c r="R979" s="39">
        <f t="shared" si="127"/>
        <v>5.8213735052522027E-9</v>
      </c>
      <c r="S979" s="40" t="b">
        <f>IF(B979=B978,C979&gt;C978,COUNTIF(B$1:B978,B979)=0)</f>
        <v>1</v>
      </c>
      <c r="T979" s="37"/>
    </row>
    <row r="980" spans="1:20" x14ac:dyDescent="0.25">
      <c r="A980" s="37" t="s">
        <v>1723</v>
      </c>
      <c r="B980" s="37" t="s">
        <v>621</v>
      </c>
      <c r="C980" s="37">
        <v>450</v>
      </c>
      <c r="D980" s="37">
        <v>0.63200000000000001</v>
      </c>
      <c r="E980" s="37" t="s">
        <v>707</v>
      </c>
      <c r="F980" s="37">
        <v>25</v>
      </c>
      <c r="G980" s="37" t="s">
        <v>207</v>
      </c>
      <c r="H980" s="37" t="s">
        <v>1719</v>
      </c>
      <c r="I980" s="38">
        <f t="shared" si="120"/>
        <v>2.0734908136482941</v>
      </c>
      <c r="J980" s="38">
        <f t="shared" si="121"/>
        <v>6.1092475827643655</v>
      </c>
      <c r="K980" s="38">
        <f t="shared" si="122"/>
        <v>0.72923357033436631</v>
      </c>
      <c r="L980" s="39">
        <f t="shared" si="123"/>
        <v>0.48227848101265819</v>
      </c>
      <c r="M980" s="39">
        <f t="shared" si="124"/>
        <v>10.230671530331946</v>
      </c>
      <c r="N980" s="39">
        <f t="shared" si="125"/>
        <v>217.02531645569618</v>
      </c>
      <c r="O980" s="40">
        <f>1</f>
        <v>1</v>
      </c>
      <c r="P980" s="38">
        <f>INDEX(Cables!$AS:$AS,MATCH(B980,Cables!$A:$A,0))+INDEX(Cables!$AT:$AT,MATCH(B980,Cables!$A:$A,0))*SQRT(C980)+INDEX(Cables!$AU:$AU,MATCH(B980,Cables!$A:$A,0))*C980</f>
        <v>2.0735048186777112</v>
      </c>
      <c r="Q980" s="41">
        <f t="shared" si="126"/>
        <v>6.7543243138512565E-6</v>
      </c>
      <c r="R980" s="39">
        <f t="shared" si="127"/>
        <v>4.5620896936682246E-11</v>
      </c>
      <c r="S980" s="40" t="b">
        <f>IF(B980=B979,C980&gt;C979,COUNTIF(B$1:B979,B980)=0)</f>
        <v>1</v>
      </c>
      <c r="T980" s="37"/>
    </row>
    <row r="981" spans="1:20" x14ac:dyDescent="0.25">
      <c r="A981" s="37" t="s">
        <v>1724</v>
      </c>
      <c r="B981" s="37" t="s">
        <v>621</v>
      </c>
      <c r="C981" s="37">
        <v>700</v>
      </c>
      <c r="D981" s="37">
        <v>0.80900000000000005</v>
      </c>
      <c r="E981" s="37" t="s">
        <v>707</v>
      </c>
      <c r="F981" s="37">
        <v>25</v>
      </c>
      <c r="G981" s="37" t="s">
        <v>207</v>
      </c>
      <c r="H981" s="37" t="s">
        <v>1719</v>
      </c>
      <c r="I981" s="38">
        <f t="shared" si="120"/>
        <v>2.6541994750656168</v>
      </c>
      <c r="J981" s="38">
        <f t="shared" si="121"/>
        <v>6.5510803350434044</v>
      </c>
      <c r="K981" s="38">
        <f t="shared" si="122"/>
        <v>0.97614309324600046</v>
      </c>
      <c r="L981" s="39">
        <f t="shared" si="123"/>
        <v>0.37676143386897404</v>
      </c>
      <c r="M981" s="39">
        <f t="shared" si="124"/>
        <v>9.9681705761741313</v>
      </c>
      <c r="N981" s="39">
        <f t="shared" si="125"/>
        <v>263.73300370828184</v>
      </c>
      <c r="O981" s="40">
        <f>1</f>
        <v>1</v>
      </c>
      <c r="P981" s="38">
        <f>INDEX(Cables!$AS:$AS,MATCH(B981,Cables!$A:$A,0))+INDEX(Cables!$AT:$AT,MATCH(B981,Cables!$A:$A,0))*SQRT(C981)+INDEX(Cables!$AU:$AU,MATCH(B981,Cables!$A:$A,0))*C981</f>
        <v>2.6573743311964586</v>
      </c>
      <c r="Q981" s="41">
        <f t="shared" si="126"/>
        <v>1.1961633481836209E-3</v>
      </c>
      <c r="R981" s="39">
        <f t="shared" si="127"/>
        <v>1.4308067555378502E-6</v>
      </c>
      <c r="S981" s="40" t="b">
        <f>IF(B981=B980,C981&gt;C980,COUNTIF(B$1:B980,B981)=0)</f>
        <v>1</v>
      </c>
      <c r="T981" s="37"/>
    </row>
    <row r="982" spans="1:20" x14ac:dyDescent="0.25">
      <c r="A982" s="37" t="s">
        <v>1725</v>
      </c>
      <c r="B982" s="37" t="s">
        <v>621</v>
      </c>
      <c r="C982" s="37">
        <v>900</v>
      </c>
      <c r="D982" s="37">
        <v>0.93600000000000005</v>
      </c>
      <c r="E982" s="37" t="s">
        <v>707</v>
      </c>
      <c r="F982" s="37">
        <v>25</v>
      </c>
      <c r="G982" s="37" t="s">
        <v>207</v>
      </c>
      <c r="H982" s="37" t="s">
        <v>1719</v>
      </c>
      <c r="I982" s="38">
        <f t="shared" si="120"/>
        <v>3.0708661417322838</v>
      </c>
      <c r="J982" s="38">
        <f t="shared" si="121"/>
        <v>6.8023947633243109</v>
      </c>
      <c r="K982" s="38">
        <f t="shared" si="122"/>
        <v>1.121959652665101</v>
      </c>
      <c r="L982" s="39">
        <f t="shared" si="123"/>
        <v>0.32564102564102559</v>
      </c>
      <c r="M982" s="39">
        <f t="shared" si="124"/>
        <v>9.7692307692307683</v>
      </c>
      <c r="N982" s="39">
        <f t="shared" si="125"/>
        <v>293.07692307692304</v>
      </c>
      <c r="O982" s="40">
        <f>1</f>
        <v>1</v>
      </c>
      <c r="P982" s="38">
        <f>INDEX(Cables!$AS:$AS,MATCH(B982,Cables!$A:$A,0))+INDEX(Cables!$AT:$AT,MATCH(B982,Cables!$A:$A,0))*SQRT(C982)+INDEX(Cables!$AU:$AU,MATCH(B982,Cables!$A:$A,0))*C982</f>
        <v>3.0675962541276292</v>
      </c>
      <c r="Q982" s="41">
        <f t="shared" si="126"/>
        <v>-1.0648095533105639E-3</v>
      </c>
      <c r="R982" s="39">
        <f t="shared" si="127"/>
        <v>1.1338193848214427E-6</v>
      </c>
      <c r="S982" s="40" t="b">
        <f>IF(B982=B981,C982&gt;C981,COUNTIF(B$1:B981,B982)=0)</f>
        <v>1</v>
      </c>
      <c r="T982" s="37"/>
    </row>
    <row r="983" spans="1:20" x14ac:dyDescent="0.25">
      <c r="A983" s="37" t="s">
        <v>1726</v>
      </c>
      <c r="B983" s="37" t="s">
        <v>621</v>
      </c>
      <c r="C983" s="37">
        <v>1500</v>
      </c>
      <c r="D983" s="37">
        <v>1.26</v>
      </c>
      <c r="E983" s="37" t="s">
        <v>707</v>
      </c>
      <c r="F983" s="37">
        <v>25</v>
      </c>
      <c r="G983" s="37" t="s">
        <v>207</v>
      </c>
      <c r="H983" s="37" t="s">
        <v>1719</v>
      </c>
      <c r="I983" s="38">
        <f t="shared" si="120"/>
        <v>4.1338582677165352</v>
      </c>
      <c r="J983" s="38">
        <f t="shared" si="121"/>
        <v>7.3132203870903014</v>
      </c>
      <c r="K983" s="38">
        <f t="shared" si="122"/>
        <v>1.4192111761330324</v>
      </c>
      <c r="L983" s="39">
        <f t="shared" si="123"/>
        <v>0.24190476190476193</v>
      </c>
      <c r="M983" s="39">
        <f t="shared" si="124"/>
        <v>9.3689311422541319</v>
      </c>
      <c r="N983" s="39">
        <f t="shared" si="125"/>
        <v>362.85714285714289</v>
      </c>
      <c r="O983" s="40">
        <f>1</f>
        <v>1</v>
      </c>
      <c r="P983" s="38">
        <f>INDEX(Cables!$AS:$AS,MATCH(B983,Cables!$A:$A,0))+INDEX(Cables!$AT:$AT,MATCH(B983,Cables!$A:$A,0))*SQRT(C983)+INDEX(Cables!$AU:$AU,MATCH(B983,Cables!$A:$A,0))*C983</f>
        <v>4.1329763770790899</v>
      </c>
      <c r="Q983" s="41">
        <f t="shared" si="126"/>
        <v>-2.1333354467722998E-4</v>
      </c>
      <c r="R983" s="39">
        <f t="shared" si="127"/>
        <v>4.5511201284551677E-8</v>
      </c>
      <c r="S983" s="40" t="b">
        <f>IF(B983=B982,C983&gt;C982,COUNTIF(B$1:B982,B983)=0)</f>
        <v>1</v>
      </c>
      <c r="T983" s="37"/>
    </row>
    <row r="984" spans="1:20" x14ac:dyDescent="0.25">
      <c r="A984" s="37" t="s">
        <v>1727</v>
      </c>
      <c r="B984" s="37" t="s">
        <v>621</v>
      </c>
      <c r="C984" s="37">
        <v>2000</v>
      </c>
      <c r="D984" s="37">
        <v>1.5</v>
      </c>
      <c r="E984" s="37" t="s">
        <v>707</v>
      </c>
      <c r="F984" s="37">
        <v>25</v>
      </c>
      <c r="G984" s="37" t="s">
        <v>207</v>
      </c>
      <c r="H984" s="37" t="s">
        <v>1719</v>
      </c>
      <c r="I984" s="38">
        <f t="shared" si="120"/>
        <v>4.9212598425196852</v>
      </c>
      <c r="J984" s="38">
        <f t="shared" si="121"/>
        <v>7.6009024595420822</v>
      </c>
      <c r="K984" s="38">
        <f t="shared" si="122"/>
        <v>1.5935645632778102</v>
      </c>
      <c r="L984" s="39">
        <f t="shared" si="123"/>
        <v>0.20319999999999999</v>
      </c>
      <c r="M984" s="39">
        <f t="shared" si="124"/>
        <v>9.0873802605591454</v>
      </c>
      <c r="N984" s="39">
        <f t="shared" si="125"/>
        <v>406.4</v>
      </c>
      <c r="O984" s="40">
        <f>1</f>
        <v>1</v>
      </c>
      <c r="P984" s="38">
        <f>INDEX(Cables!$AS:$AS,MATCH(B984,Cables!$A:$A,0))+INDEX(Cables!$AT:$AT,MATCH(B984,Cables!$A:$A,0))*SQRT(C984)+INDEX(Cables!$AU:$AU,MATCH(B984,Cables!$A:$A,0))*C984</f>
        <v>4.9090130899314746</v>
      </c>
      <c r="Q984" s="41">
        <f t="shared" si="126"/>
        <v>-2.4885401259243656E-3</v>
      </c>
      <c r="R984" s="39">
        <f t="shared" si="127"/>
        <v>6.1928319583356575E-6</v>
      </c>
      <c r="S984" s="40" t="b">
        <f>IF(B984=B983,C984&gt;C983,COUNTIF(B$1:B983,B984)=0)</f>
        <v>1</v>
      </c>
      <c r="T984" s="37"/>
    </row>
    <row r="985" spans="1:20" x14ac:dyDescent="0.25">
      <c r="A985" s="37" t="s">
        <v>1728</v>
      </c>
      <c r="B985" s="37" t="s">
        <v>621</v>
      </c>
      <c r="C985" s="37">
        <v>2500</v>
      </c>
      <c r="D985" s="37">
        <v>1.71</v>
      </c>
      <c r="E985" s="37" t="s">
        <v>707</v>
      </c>
      <c r="F985" s="37">
        <v>25</v>
      </c>
      <c r="G985" s="37" t="s">
        <v>207</v>
      </c>
      <c r="H985" s="37" t="s">
        <v>1719</v>
      </c>
      <c r="I985" s="38">
        <f t="shared" si="120"/>
        <v>5.6102362204724407</v>
      </c>
      <c r="J985" s="38">
        <f t="shared" si="121"/>
        <v>7.8240460108562919</v>
      </c>
      <c r="K985" s="38">
        <f t="shared" si="122"/>
        <v>1.7245928256842142</v>
      </c>
      <c r="L985" s="39">
        <f t="shared" si="123"/>
        <v>0.17824561403508773</v>
      </c>
      <c r="M985" s="39">
        <f t="shared" si="124"/>
        <v>8.912280701754387</v>
      </c>
      <c r="N985" s="39">
        <f t="shared" si="125"/>
        <v>445.61403508771929</v>
      </c>
      <c r="O985" s="40">
        <f>1</f>
        <v>1</v>
      </c>
      <c r="P985" s="38">
        <f>INDEX(Cables!$AS:$AS,MATCH(B985,Cables!$A:$A,0))+INDEX(Cables!$AT:$AT,MATCH(B985,Cables!$A:$A,0))*SQRT(C985)+INDEX(Cables!$AU:$AU,MATCH(B985,Cables!$A:$A,0))*C985</f>
        <v>5.6229565935893024</v>
      </c>
      <c r="Q985" s="41">
        <f t="shared" si="126"/>
        <v>2.2673507169703733E-3</v>
      </c>
      <c r="R985" s="39">
        <f t="shared" si="127"/>
        <v>5.1408792737460656E-6</v>
      </c>
      <c r="S985" s="40" t="b">
        <f>IF(B985=B984,C985&gt;C984,COUNTIF(B$1:B984,B985)=0)</f>
        <v>1</v>
      </c>
      <c r="T985" s="37"/>
    </row>
    <row r="986" spans="1:20" x14ac:dyDescent="0.25">
      <c r="A986" s="37" t="s">
        <v>1729</v>
      </c>
      <c r="B986" s="37" t="s">
        <v>624</v>
      </c>
      <c r="C986" s="37">
        <v>0.5</v>
      </c>
      <c r="D986" s="37">
        <v>5.2999999999999999E-2</v>
      </c>
      <c r="E986" s="37" t="s">
        <v>771</v>
      </c>
      <c r="F986" s="37">
        <v>20</v>
      </c>
      <c r="G986" s="37" t="s">
        <v>629</v>
      </c>
      <c r="H986" s="37" t="s">
        <v>1320</v>
      </c>
      <c r="I986" s="38">
        <f t="shared" si="120"/>
        <v>5.2999999999999999E-2</v>
      </c>
      <c r="J986" s="38">
        <f t="shared" si="121"/>
        <v>-0.69314718055994529</v>
      </c>
      <c r="K986" s="38">
        <f t="shared" si="122"/>
        <v>-2.9374633654300153</v>
      </c>
      <c r="L986" s="39">
        <f t="shared" si="123"/>
        <v>18.867924528301888</v>
      </c>
      <c r="M986" s="39">
        <f t="shared" si="124"/>
        <v>13.341637380878257</v>
      </c>
      <c r="N986" s="39">
        <f t="shared" si="125"/>
        <v>9.433962264150944</v>
      </c>
      <c r="O986" s="40">
        <f>1</f>
        <v>1</v>
      </c>
      <c r="P986" s="38">
        <f>INDEX(Cables!$AS:$AS,MATCH(B986,Cables!$A:$A,0))+INDEX(Cables!$AT:$AT,MATCH(B986,Cables!$A:$A,0))*SQRT(C986)+INDEX(Cables!$AU:$AU,MATCH(B986,Cables!$A:$A,0))*C986</f>
        <v>5.2951237102261815E-2</v>
      </c>
      <c r="Q986" s="41">
        <f t="shared" si="126"/>
        <v>-9.2005467430533727E-4</v>
      </c>
      <c r="R986" s="39">
        <f t="shared" si="127"/>
        <v>8.4650060371110029E-7</v>
      </c>
      <c r="S986" s="40" t="b">
        <f>IF(B986=B985,C986&gt;C985,COUNTIF(B$1:B985,B986)=0)</f>
        <v>1</v>
      </c>
      <c r="T986" s="37"/>
    </row>
    <row r="987" spans="1:20" x14ac:dyDescent="0.25">
      <c r="A987" s="37" t="s">
        <v>1730</v>
      </c>
      <c r="B987" s="37" t="s">
        <v>624</v>
      </c>
      <c r="C987" s="37">
        <v>1</v>
      </c>
      <c r="D987" s="37">
        <v>7.4999999999999997E-2</v>
      </c>
      <c r="E987" s="37" t="s">
        <v>771</v>
      </c>
      <c r="F987" s="37">
        <v>20</v>
      </c>
      <c r="G987" s="37" t="s">
        <v>629</v>
      </c>
      <c r="H987" s="37" t="s">
        <v>1320</v>
      </c>
      <c r="I987" s="38">
        <f t="shared" si="120"/>
        <v>7.4999999999999997E-2</v>
      </c>
      <c r="J987" s="38">
        <f t="shared" si="121"/>
        <v>0</v>
      </c>
      <c r="K987" s="38">
        <f t="shared" si="122"/>
        <v>-2.5902671654458267</v>
      </c>
      <c r="L987" s="39">
        <f t="shared" si="123"/>
        <v>13.333333333333334</v>
      </c>
      <c r="M987" s="39">
        <f t="shared" si="124"/>
        <v>13.333333333333334</v>
      </c>
      <c r="N987" s="39">
        <f t="shared" si="125"/>
        <v>13.333333333333334</v>
      </c>
      <c r="O987" s="40">
        <f>1</f>
        <v>1</v>
      </c>
      <c r="P987" s="38">
        <f>INDEX(Cables!$AS:$AS,MATCH(B987,Cables!$A:$A,0))+INDEX(Cables!$AT:$AT,MATCH(B987,Cables!$A:$A,0))*SQRT(C987)+INDEX(Cables!$AU:$AU,MATCH(B987,Cables!$A:$A,0))*C987</f>
        <v>7.5131547630381601E-2</v>
      </c>
      <c r="Q987" s="41">
        <f t="shared" si="126"/>
        <v>1.7539684050880133E-3</v>
      </c>
      <c r="R987" s="39">
        <f t="shared" si="127"/>
        <v>3.0764051660469894E-6</v>
      </c>
      <c r="S987" s="40" t="b">
        <f>IF(B987=B986,C987&gt;C986,COUNTIF(B$1:B986,B987)=0)</f>
        <v>1</v>
      </c>
      <c r="T987" s="37"/>
    </row>
    <row r="988" spans="1:20" x14ac:dyDescent="0.25">
      <c r="A988" s="37" t="s">
        <v>1731</v>
      </c>
      <c r="B988" s="37" t="s">
        <v>624</v>
      </c>
      <c r="C988" s="37">
        <v>1.5</v>
      </c>
      <c r="D988" s="37">
        <v>9.1999999999999998E-2</v>
      </c>
      <c r="E988" s="37" t="s">
        <v>771</v>
      </c>
      <c r="F988" s="37">
        <v>20</v>
      </c>
      <c r="G988" s="37" t="s">
        <v>629</v>
      </c>
      <c r="H988" s="37" t="s">
        <v>1320</v>
      </c>
      <c r="I988" s="38">
        <f t="shared" si="120"/>
        <v>9.1999999999999998E-2</v>
      </c>
      <c r="J988" s="38">
        <f t="shared" si="121"/>
        <v>0.40546510810816438</v>
      </c>
      <c r="K988" s="38">
        <f t="shared" si="122"/>
        <v>-2.3859667019330968</v>
      </c>
      <c r="L988" s="39">
        <f t="shared" si="123"/>
        <v>10.869565217391305</v>
      </c>
      <c r="M988" s="39">
        <f t="shared" si="124"/>
        <v>13.312444254256402</v>
      </c>
      <c r="N988" s="39">
        <f t="shared" si="125"/>
        <v>16.304347826086957</v>
      </c>
      <c r="O988" s="40">
        <f>1</f>
        <v>1</v>
      </c>
      <c r="P988" s="38">
        <f>INDEX(Cables!$AS:$AS,MATCH(B988,Cables!$A:$A,0))+INDEX(Cables!$AT:$AT,MATCH(B988,Cables!$A:$A,0))*SQRT(C988)+INDEX(Cables!$AU:$AU,MATCH(B988,Cables!$A:$A,0))*C988</f>
        <v>9.2201538664175589E-2</v>
      </c>
      <c r="Q988" s="41">
        <f t="shared" si="126"/>
        <v>2.1906376540825612E-3</v>
      </c>
      <c r="R988" s="39">
        <f t="shared" si="127"/>
        <v>4.7988933314843465E-6</v>
      </c>
      <c r="S988" s="40" t="b">
        <f>IF(B988=B987,C988&gt;C987,COUNTIF(B$1:B987,B988)=0)</f>
        <v>1</v>
      </c>
      <c r="T988" s="37"/>
    </row>
    <row r="989" spans="1:20" x14ac:dyDescent="0.25">
      <c r="A989" s="37" t="s">
        <v>1732</v>
      </c>
      <c r="B989" s="37" t="s">
        <v>624</v>
      </c>
      <c r="C989" s="37">
        <v>2</v>
      </c>
      <c r="D989" s="37">
        <v>0.107</v>
      </c>
      <c r="E989" s="37" t="s">
        <v>771</v>
      </c>
      <c r="F989" s="37">
        <v>20</v>
      </c>
      <c r="G989" s="37" t="s">
        <v>629</v>
      </c>
      <c r="H989" s="37" t="s">
        <v>1320</v>
      </c>
      <c r="I989" s="38">
        <f t="shared" si="120"/>
        <v>0.107</v>
      </c>
      <c r="J989" s="38">
        <f t="shared" si="121"/>
        <v>0.69314718055994529</v>
      </c>
      <c r="K989" s="38">
        <f t="shared" si="122"/>
        <v>-2.234926444520231</v>
      </c>
      <c r="L989" s="39">
        <f t="shared" si="123"/>
        <v>9.3457943925233646</v>
      </c>
      <c r="M989" s="39">
        <f t="shared" si="124"/>
        <v>13.216949181056965</v>
      </c>
      <c r="N989" s="39">
        <f t="shared" si="125"/>
        <v>18.691588785046729</v>
      </c>
      <c r="O989" s="40">
        <f>1</f>
        <v>1</v>
      </c>
      <c r="P989" s="38">
        <f>INDEX(Cables!$AS:$AS,MATCH(B989,Cables!$A:$A,0))+INDEX(Cables!$AT:$AT,MATCH(B989,Cables!$A:$A,0))*SQRT(C989)+INDEX(Cables!$AU:$AU,MATCH(B989,Cables!$A:$A,0))*C989</f>
        <v>0.1066262336745892</v>
      </c>
      <c r="Q989" s="41">
        <f t="shared" si="126"/>
        <v>-3.4931432281382069E-3</v>
      </c>
      <c r="R989" s="39">
        <f t="shared" si="127"/>
        <v>1.2202049612287814E-5</v>
      </c>
      <c r="S989" s="40" t="b">
        <f>IF(B989=B988,C989&gt;C988,COUNTIF(B$1:B988,B989)=0)</f>
        <v>1</v>
      </c>
      <c r="T989" s="37"/>
    </row>
    <row r="990" spans="1:20" x14ac:dyDescent="0.25">
      <c r="A990" s="37" t="s">
        <v>1733</v>
      </c>
      <c r="B990" s="37" t="s">
        <v>624</v>
      </c>
      <c r="C990" s="37">
        <v>10</v>
      </c>
      <c r="D990" s="37">
        <v>0.24099999999999999</v>
      </c>
      <c r="E990" s="37" t="s">
        <v>771</v>
      </c>
      <c r="F990" s="37">
        <v>20</v>
      </c>
      <c r="G990" s="37" t="s">
        <v>629</v>
      </c>
      <c r="H990" s="37" t="s">
        <v>1320</v>
      </c>
      <c r="I990" s="38">
        <f t="shared" si="120"/>
        <v>0.24099999999999999</v>
      </c>
      <c r="J990" s="38">
        <f t="shared" si="121"/>
        <v>2.3025850929940459</v>
      </c>
      <c r="K990" s="38">
        <f t="shared" si="122"/>
        <v>-1.422958345491482</v>
      </c>
      <c r="L990" s="39">
        <f t="shared" si="123"/>
        <v>4.1493775933609962</v>
      </c>
      <c r="M990" s="39">
        <f t="shared" si="124"/>
        <v>13.121484067088712</v>
      </c>
      <c r="N990" s="39">
        <f t="shared" si="125"/>
        <v>41.49377593360996</v>
      </c>
      <c r="O990" s="40">
        <f>1</f>
        <v>1</v>
      </c>
      <c r="P990" s="38">
        <f>INDEX(Cables!$AS:$AS,MATCH(B990,Cables!$A:$A,0))+INDEX(Cables!$AT:$AT,MATCH(B990,Cables!$A:$A,0))*SQRT(C990)+INDEX(Cables!$AU:$AU,MATCH(B990,Cables!$A:$A,0))*C990</f>
        <v>0.24117892195214843</v>
      </c>
      <c r="Q990" s="41">
        <f t="shared" si="126"/>
        <v>7.4241473920522161E-4</v>
      </c>
      <c r="R990" s="39">
        <f t="shared" si="127"/>
        <v>5.5117964498915721E-7</v>
      </c>
      <c r="S990" s="40" t="b">
        <f>IF(B990=B989,C990&gt;C989,COUNTIF(B$1:B989,B990)=0)</f>
        <v>1</v>
      </c>
      <c r="T990" s="37"/>
    </row>
    <row r="991" spans="1:20" x14ac:dyDescent="0.25">
      <c r="A991" s="37" t="s">
        <v>1734</v>
      </c>
      <c r="B991" s="37" t="s">
        <v>624</v>
      </c>
      <c r="C991" s="37">
        <v>20</v>
      </c>
      <c r="D991" s="37">
        <v>0.34399999999999997</v>
      </c>
      <c r="E991" s="37" t="s">
        <v>771</v>
      </c>
      <c r="F991" s="37">
        <v>20</v>
      </c>
      <c r="G991" s="37" t="s">
        <v>629</v>
      </c>
      <c r="H991" s="37" t="s">
        <v>1320</v>
      </c>
      <c r="I991" s="38">
        <f t="shared" si="120"/>
        <v>0.34399999999999997</v>
      </c>
      <c r="J991" s="38">
        <f t="shared" si="121"/>
        <v>2.9957322735539909</v>
      </c>
      <c r="K991" s="38">
        <f t="shared" si="122"/>
        <v>-1.0671136216087387</v>
      </c>
      <c r="L991" s="39">
        <f t="shared" si="123"/>
        <v>2.9069767441860468</v>
      </c>
      <c r="M991" s="39">
        <f t="shared" si="124"/>
        <v>13.000395218022035</v>
      </c>
      <c r="N991" s="39">
        <f t="shared" si="125"/>
        <v>58.139534883720934</v>
      </c>
      <c r="O991" s="40">
        <f>1</f>
        <v>1</v>
      </c>
      <c r="P991" s="38">
        <f>INDEX(Cables!$AS:$AS,MATCH(B991,Cables!$A:$A,0))+INDEX(Cables!$AT:$AT,MATCH(B991,Cables!$A:$A,0))*SQRT(C991)+INDEX(Cables!$AU:$AU,MATCH(B991,Cables!$A:$A,0))*C991</f>
        <v>0.34373850383536347</v>
      </c>
      <c r="Q991" s="41">
        <f t="shared" si="126"/>
        <v>-7.6016326929218003E-4</v>
      </c>
      <c r="R991" s="39">
        <f t="shared" si="127"/>
        <v>5.7784819598097545E-7</v>
      </c>
      <c r="S991" s="40" t="b">
        <f>IF(B991=B990,C991&gt;C990,COUNTIF(B$1:B990,B991)=0)</f>
        <v>1</v>
      </c>
      <c r="T991" s="37"/>
    </row>
    <row r="992" spans="1:20" x14ac:dyDescent="0.25">
      <c r="A992" s="37" t="s">
        <v>1735</v>
      </c>
      <c r="B992" s="37" t="s">
        <v>624</v>
      </c>
      <c r="C992" s="37">
        <v>30</v>
      </c>
      <c r="D992" s="37">
        <v>0.42299999999999999</v>
      </c>
      <c r="E992" s="37" t="s">
        <v>771</v>
      </c>
      <c r="F992" s="37">
        <v>20</v>
      </c>
      <c r="G992" s="37" t="s">
        <v>629</v>
      </c>
      <c r="H992" s="37" t="s">
        <v>1320</v>
      </c>
      <c r="I992" s="38">
        <f t="shared" si="120"/>
        <v>0.42299999999999999</v>
      </c>
      <c r="J992" s="38">
        <f t="shared" si="121"/>
        <v>3.4011973816621555</v>
      </c>
      <c r="K992" s="38">
        <f t="shared" si="122"/>
        <v>-0.86038309993585915</v>
      </c>
      <c r="L992" s="39">
        <f t="shared" si="123"/>
        <v>2.3640661938534278</v>
      </c>
      <c r="M992" s="39">
        <f t="shared" si="124"/>
        <v>12.948523818089035</v>
      </c>
      <c r="N992" s="39">
        <f t="shared" si="125"/>
        <v>70.921985815602838</v>
      </c>
      <c r="O992" s="40">
        <f>1</f>
        <v>1</v>
      </c>
      <c r="P992" s="38">
        <f>INDEX(Cables!$AS:$AS,MATCH(B992,Cables!$A:$A,0))+INDEX(Cables!$AT:$AT,MATCH(B992,Cables!$A:$A,0))*SQRT(C992)+INDEX(Cables!$AU:$AU,MATCH(B992,Cables!$A:$A,0))*C992</f>
        <v>0.42344404216646897</v>
      </c>
      <c r="Q992" s="41">
        <f t="shared" si="126"/>
        <v>1.0497450743947034E-3</v>
      </c>
      <c r="R992" s="39">
        <f t="shared" si="127"/>
        <v>1.1019647212159415E-6</v>
      </c>
      <c r="S992" s="40" t="b">
        <f>IF(B992=B991,C992&gt;C991,COUNTIF(B$1:B991,B992)=0)</f>
        <v>1</v>
      </c>
      <c r="T992" s="37"/>
    </row>
    <row r="993" spans="1:20" x14ac:dyDescent="0.25">
      <c r="A993" s="37" t="s">
        <v>1736</v>
      </c>
      <c r="B993" s="37" t="s">
        <v>624</v>
      </c>
      <c r="C993" s="37">
        <v>50</v>
      </c>
      <c r="D993" s="37">
        <v>0.55200000000000005</v>
      </c>
      <c r="E993" s="37" t="s">
        <v>771</v>
      </c>
      <c r="F993" s="37">
        <v>20</v>
      </c>
      <c r="G993" s="37" t="s">
        <v>629</v>
      </c>
      <c r="H993" s="37" t="s">
        <v>1320</v>
      </c>
      <c r="I993" s="38">
        <f t="shared" si="120"/>
        <v>0.55200000000000005</v>
      </c>
      <c r="J993" s="38">
        <f t="shared" si="121"/>
        <v>3.912023005428146</v>
      </c>
      <c r="K993" s="38">
        <f t="shared" si="122"/>
        <v>-0.59420723270504161</v>
      </c>
      <c r="L993" s="39">
        <f t="shared" si="123"/>
        <v>1.8115942028985506</v>
      </c>
      <c r="M993" s="39">
        <f t="shared" si="124"/>
        <v>12.809905456278035</v>
      </c>
      <c r="N993" s="39">
        <f t="shared" si="125"/>
        <v>90.579710144927532</v>
      </c>
      <c r="O993" s="40">
        <f>1</f>
        <v>1</v>
      </c>
      <c r="P993" s="38">
        <f>INDEX(Cables!$AS:$AS,MATCH(B993,Cables!$A:$A,0))+INDEX(Cables!$AT:$AT,MATCH(B993,Cables!$A:$A,0))*SQRT(C993)+INDEX(Cables!$AU:$AU,MATCH(B993,Cables!$A:$A,0))*C993</f>
        <v>0.55163477109298031</v>
      </c>
      <c r="Q993" s="41">
        <f t="shared" si="126"/>
        <v>-6.6164657068790156E-4</v>
      </c>
      <c r="R993" s="39">
        <f t="shared" si="127"/>
        <v>4.377761845030603E-7</v>
      </c>
      <c r="S993" s="40" t="b">
        <f>IF(B993=B992,C993&gt;C992,COUNTIF(B$1:B992,B993)=0)</f>
        <v>1</v>
      </c>
      <c r="T993" s="37"/>
    </row>
    <row r="994" spans="1:20" x14ac:dyDescent="0.25">
      <c r="A994" s="37" t="s">
        <v>1737</v>
      </c>
      <c r="B994" s="37" t="s">
        <v>624</v>
      </c>
      <c r="C994" s="37">
        <v>88</v>
      </c>
      <c r="D994" s="37">
        <v>0.74099999999999999</v>
      </c>
      <c r="E994" s="37" t="s">
        <v>771</v>
      </c>
      <c r="F994" s="37">
        <v>20</v>
      </c>
      <c r="G994" s="37" t="s">
        <v>629</v>
      </c>
      <c r="H994" s="37" t="s">
        <v>1320</v>
      </c>
      <c r="I994" s="38">
        <f t="shared" si="120"/>
        <v>0.74099999999999999</v>
      </c>
      <c r="J994" s="38">
        <f t="shared" si="121"/>
        <v>4.4773368144782069</v>
      </c>
      <c r="K994" s="38">
        <f t="shared" si="122"/>
        <v>-0.2997546536860502</v>
      </c>
      <c r="L994" s="39">
        <f t="shared" si="123"/>
        <v>1.3495276653171391</v>
      </c>
      <c r="M994" s="39">
        <f t="shared" si="124"/>
        <v>12.659691659442455</v>
      </c>
      <c r="N994" s="39">
        <f t="shared" si="125"/>
        <v>118.75843454790824</v>
      </c>
      <c r="O994" s="40">
        <f>1</f>
        <v>1</v>
      </c>
      <c r="P994" s="38">
        <f>INDEX(Cables!$AS:$AS,MATCH(B994,Cables!$A:$A,0))+INDEX(Cables!$AT:$AT,MATCH(B994,Cables!$A:$A,0))*SQRT(C994)+INDEX(Cables!$AU:$AU,MATCH(B994,Cables!$A:$A,0))*C994</f>
        <v>0.7413154195516608</v>
      </c>
      <c r="Q994" s="41">
        <f t="shared" si="126"/>
        <v>4.2566741114824502E-4</v>
      </c>
      <c r="R994" s="39">
        <f t="shared" si="127"/>
        <v>1.8119274491364907E-7</v>
      </c>
      <c r="S994" s="40" t="b">
        <f>IF(B994=B993,C994&gt;C993,COUNTIF(B$1:B993,B994)=0)</f>
        <v>1</v>
      </c>
      <c r="T994" s="37"/>
    </row>
    <row r="995" spans="1:20" x14ac:dyDescent="0.25">
      <c r="A995" s="37" t="s">
        <v>1738</v>
      </c>
      <c r="B995" s="37" t="s">
        <v>624</v>
      </c>
      <c r="C995" s="37">
        <v>100</v>
      </c>
      <c r="D995" s="37">
        <v>0.79300000000000004</v>
      </c>
      <c r="E995" s="37" t="s">
        <v>771</v>
      </c>
      <c r="F995" s="37">
        <v>20</v>
      </c>
      <c r="G995" s="37" t="s">
        <v>629</v>
      </c>
      <c r="H995" s="37" t="s">
        <v>1320</v>
      </c>
      <c r="I995" s="38">
        <f t="shared" si="120"/>
        <v>0.79300000000000004</v>
      </c>
      <c r="J995" s="38">
        <f t="shared" si="121"/>
        <v>4.6051701859880918</v>
      </c>
      <c r="K995" s="38">
        <f t="shared" si="122"/>
        <v>-0.23193205734728903</v>
      </c>
      <c r="L995" s="39">
        <f t="shared" si="123"/>
        <v>1.2610340479192939</v>
      </c>
      <c r="M995" s="39">
        <f t="shared" si="124"/>
        <v>12.610340479192937</v>
      </c>
      <c r="N995" s="39">
        <f t="shared" si="125"/>
        <v>126.10340479192938</v>
      </c>
      <c r="O995" s="40">
        <f>1</f>
        <v>1</v>
      </c>
      <c r="P995" s="38">
        <f>INDEX(Cables!$AS:$AS,MATCH(B995,Cables!$A:$A,0))+INDEX(Cables!$AT:$AT,MATCH(B995,Cables!$A:$A,0))*SQRT(C995)+INDEX(Cables!$AU:$AU,MATCH(B995,Cables!$A:$A,0))*C995</f>
        <v>0.7929485824238931</v>
      </c>
      <c r="Q995" s="41">
        <f t="shared" si="126"/>
        <v>-6.4839314132369985E-5</v>
      </c>
      <c r="R995" s="39">
        <f t="shared" si="127"/>
        <v>4.2041366571561542E-9</v>
      </c>
      <c r="S995" s="40" t="b">
        <f>IF(B995=B994,C995&gt;C994,COUNTIF(B$1:B994,B995)=0)</f>
        <v>1</v>
      </c>
      <c r="T995" s="37"/>
    </row>
    <row r="996" spans="1:20" x14ac:dyDescent="0.25">
      <c r="A996" s="37" t="s">
        <v>1739</v>
      </c>
      <c r="B996" s="37" t="s">
        <v>624</v>
      </c>
      <c r="C996" s="37">
        <v>108</v>
      </c>
      <c r="D996" s="37">
        <v>0.82599999999999996</v>
      </c>
      <c r="E996" s="37" t="s">
        <v>771</v>
      </c>
      <c r="F996" s="37">
        <v>20</v>
      </c>
      <c r="G996" s="37" t="s">
        <v>629</v>
      </c>
      <c r="H996" s="37" t="s">
        <v>1320</v>
      </c>
      <c r="I996" s="38">
        <f t="shared" si="120"/>
        <v>0.82599999999999996</v>
      </c>
      <c r="J996" s="38">
        <f t="shared" si="121"/>
        <v>4.6821312271242199</v>
      </c>
      <c r="K996" s="38">
        <f t="shared" si="122"/>
        <v>-0.19116050546115904</v>
      </c>
      <c r="L996" s="39">
        <f t="shared" si="123"/>
        <v>1.2106537530266344</v>
      </c>
      <c r="M996" s="39">
        <f t="shared" si="124"/>
        <v>12.581482863696447</v>
      </c>
      <c r="N996" s="39">
        <f t="shared" si="125"/>
        <v>130.75060532687652</v>
      </c>
      <c r="O996" s="40">
        <f>1</f>
        <v>1</v>
      </c>
      <c r="P996" s="38">
        <f>INDEX(Cables!$AS:$AS,MATCH(B996,Cables!$A:$A,0))+INDEX(Cables!$AT:$AT,MATCH(B996,Cables!$A:$A,0))*SQRT(C996)+INDEX(Cables!$AU:$AU,MATCH(B996,Cables!$A:$A,0))*C996</f>
        <v>0.82583537271318186</v>
      </c>
      <c r="Q996" s="41">
        <f t="shared" si="126"/>
        <v>-1.9930664263689835E-4</v>
      </c>
      <c r="R996" s="39">
        <f t="shared" si="127"/>
        <v>3.9723137799192306E-8</v>
      </c>
      <c r="S996" s="40" t="b">
        <f>IF(B996=B995,C996&gt;C995,COUNTIF(B$1:B995,B996)=0)</f>
        <v>1</v>
      </c>
      <c r="T996" s="37"/>
    </row>
    <row r="997" spans="1:20" x14ac:dyDescent="0.25">
      <c r="A997" s="37" t="s">
        <v>1740</v>
      </c>
      <c r="B997" s="37" t="s">
        <v>624</v>
      </c>
      <c r="C997" s="37">
        <v>150</v>
      </c>
      <c r="D997" s="37">
        <v>0.98299999999999998</v>
      </c>
      <c r="E997" s="37" t="s">
        <v>771</v>
      </c>
      <c r="F997" s="37">
        <v>20</v>
      </c>
      <c r="G997" s="37" t="s">
        <v>629</v>
      </c>
      <c r="H997" s="37" t="s">
        <v>1320</v>
      </c>
      <c r="I997" s="38">
        <f t="shared" si="120"/>
        <v>0.98299999999999998</v>
      </c>
      <c r="J997" s="38">
        <f t="shared" si="121"/>
        <v>5.0106352940962555</v>
      </c>
      <c r="K997" s="38">
        <f t="shared" si="122"/>
        <v>-1.7146158834970514E-2</v>
      </c>
      <c r="L997" s="39">
        <f t="shared" si="123"/>
        <v>1.0172939979654121</v>
      </c>
      <c r="M997" s="39">
        <f t="shared" si="124"/>
        <v>12.45925606705584</v>
      </c>
      <c r="N997" s="39">
        <f t="shared" si="125"/>
        <v>152.5940996948118</v>
      </c>
      <c r="O997" s="40">
        <f>1</f>
        <v>1</v>
      </c>
      <c r="P997" s="38">
        <f>INDEX(Cables!$AS:$AS,MATCH(B997,Cables!$A:$A,0))+INDEX(Cables!$AT:$AT,MATCH(B997,Cables!$A:$A,0))*SQRT(C997)+INDEX(Cables!$AU:$AU,MATCH(B997,Cables!$A:$A,0))*C997</f>
        <v>0.98315919881154812</v>
      </c>
      <c r="Q997" s="41">
        <f t="shared" si="126"/>
        <v>1.6195199547119898E-4</v>
      </c>
      <c r="R997" s="39">
        <f t="shared" si="127"/>
        <v>2.6228448837103255E-8</v>
      </c>
      <c r="S997" s="40" t="b">
        <f>IF(B997=B996,C997&gt;C996,COUNTIF(B$1:B996,B997)=0)</f>
        <v>1</v>
      </c>
      <c r="T997" s="37"/>
    </row>
    <row r="998" spans="1:20" x14ac:dyDescent="0.25">
      <c r="A998" s="37" t="s">
        <v>1741</v>
      </c>
      <c r="B998" s="37" t="s">
        <v>624</v>
      </c>
      <c r="C998" s="37">
        <v>174</v>
      </c>
      <c r="D998" s="37">
        <v>1.06</v>
      </c>
      <c r="E998" s="37" t="s">
        <v>771</v>
      </c>
      <c r="F998" s="37">
        <v>20</v>
      </c>
      <c r="G998" s="37" t="s">
        <v>629</v>
      </c>
      <c r="H998" s="37" t="s">
        <v>1320</v>
      </c>
      <c r="I998" s="38">
        <f t="shared" si="120"/>
        <v>1.06</v>
      </c>
      <c r="J998" s="38">
        <f t="shared" si="121"/>
        <v>5.1590552992145291</v>
      </c>
      <c r="K998" s="38">
        <f t="shared" si="122"/>
        <v>5.8268908123975824E-2</v>
      </c>
      <c r="L998" s="39">
        <f t="shared" si="123"/>
        <v>0.94339622641509424</v>
      </c>
      <c r="M998" s="39">
        <f t="shared" si="124"/>
        <v>12.444250904031055</v>
      </c>
      <c r="N998" s="39">
        <f t="shared" si="125"/>
        <v>164.15094339622641</v>
      </c>
      <c r="O998" s="40">
        <f>1</f>
        <v>1</v>
      </c>
      <c r="P998" s="38">
        <f>INDEX(Cables!$AS:$AS,MATCH(B998,Cables!$A:$A,0))+INDEX(Cables!$AT:$AT,MATCH(B998,Cables!$A:$A,0))*SQRT(C998)+INDEX(Cables!$AU:$AU,MATCH(B998,Cables!$A:$A,0))*C998</f>
        <v>1.0643130358464568</v>
      </c>
      <c r="Q998" s="41">
        <f t="shared" si="126"/>
        <v>4.0689017419401896E-3</v>
      </c>
      <c r="R998" s="39">
        <f t="shared" si="127"/>
        <v>1.6555961385563911E-5</v>
      </c>
      <c r="S998" s="40" t="b">
        <f>IF(B998=B997,C998&gt;C997,COUNTIF(B$1:B997,B998)=0)</f>
        <v>1</v>
      </c>
      <c r="T998" s="37"/>
    </row>
    <row r="999" spans="1:20" x14ac:dyDescent="0.25">
      <c r="A999" s="37" t="s">
        <v>1742</v>
      </c>
      <c r="B999" s="37" t="s">
        <v>624</v>
      </c>
      <c r="C999" s="37">
        <v>200</v>
      </c>
      <c r="D999" s="37">
        <v>1.1499999999999999</v>
      </c>
      <c r="E999" s="37" t="s">
        <v>771</v>
      </c>
      <c r="F999" s="37">
        <v>20</v>
      </c>
      <c r="G999" s="37" t="s">
        <v>629</v>
      </c>
      <c r="H999" s="37" t="s">
        <v>1320</v>
      </c>
      <c r="I999" s="38">
        <f t="shared" si="120"/>
        <v>1.1499999999999999</v>
      </c>
      <c r="J999" s="38">
        <f t="shared" si="121"/>
        <v>5.2983173665480363</v>
      </c>
      <c r="K999" s="38">
        <f t="shared" si="122"/>
        <v>0.13976194237515863</v>
      </c>
      <c r="L999" s="39">
        <f t="shared" si="123"/>
        <v>0.86956521739130443</v>
      </c>
      <c r="M999" s="39">
        <f t="shared" si="124"/>
        <v>12.297509238026915</v>
      </c>
      <c r="N999" s="39">
        <f t="shared" si="125"/>
        <v>173.91304347826087</v>
      </c>
      <c r="O999" s="40">
        <f>1</f>
        <v>1</v>
      </c>
      <c r="P999" s="38">
        <f>INDEX(Cables!$AS:$AS,MATCH(B999,Cables!$A:$A,0))+INDEX(Cables!$AT:$AT,MATCH(B999,Cables!$A:$A,0))*SQRT(C999)+INDEX(Cables!$AU:$AU,MATCH(B999,Cables!$A:$A,0))*C999</f>
        <v>1.1469168549653992</v>
      </c>
      <c r="Q999" s="41">
        <f t="shared" si="126"/>
        <v>-2.6809956822615444E-3</v>
      </c>
      <c r="R999" s="39">
        <f t="shared" si="127"/>
        <v>7.1877378483050436E-6</v>
      </c>
      <c r="S999" s="40" t="b">
        <f>IF(B999=B998,C999&gt;C998,COUNTIF(B$1:B998,B999)=0)</f>
        <v>1</v>
      </c>
      <c r="T999" s="37"/>
    </row>
    <row r="1000" spans="1:20" x14ac:dyDescent="0.25">
      <c r="A1000" s="37" t="s">
        <v>1743</v>
      </c>
      <c r="B1000" s="37" t="s">
        <v>624</v>
      </c>
      <c r="C1000" s="37">
        <v>300</v>
      </c>
      <c r="D1000" s="37">
        <v>1.43</v>
      </c>
      <c r="E1000" s="37" t="s">
        <v>771</v>
      </c>
      <c r="F1000" s="37">
        <v>20</v>
      </c>
      <c r="G1000" s="37" t="s">
        <v>629</v>
      </c>
      <c r="H1000" s="37" t="s">
        <v>1320</v>
      </c>
      <c r="I1000" s="38">
        <f t="shared" si="120"/>
        <v>1.43</v>
      </c>
      <c r="J1000" s="38">
        <f t="shared" si="121"/>
        <v>5.7037824746562009</v>
      </c>
      <c r="K1000" s="38">
        <f t="shared" si="122"/>
        <v>0.35767444427181588</v>
      </c>
      <c r="L1000" s="39">
        <f t="shared" si="123"/>
        <v>0.69930069930069938</v>
      </c>
      <c r="M1000" s="39">
        <f t="shared" si="124"/>
        <v>12.112243409572571</v>
      </c>
      <c r="N1000" s="39">
        <f t="shared" si="125"/>
        <v>209.79020979020979</v>
      </c>
      <c r="O1000" s="40">
        <f>1</f>
        <v>1</v>
      </c>
      <c r="P1000" s="38">
        <f>INDEX(Cables!$AS:$AS,MATCH(B1000,Cables!$A:$A,0))+INDEX(Cables!$AT:$AT,MATCH(B1000,Cables!$A:$A,0))*SQRT(C1000)+INDEX(Cables!$AU:$AU,MATCH(B1000,Cables!$A:$A,0))*C1000</f>
        <v>1.4286142961375541</v>
      </c>
      <c r="Q1000" s="41">
        <f t="shared" si="126"/>
        <v>-9.6902368003204398E-4</v>
      </c>
      <c r="R1000" s="39">
        <f t="shared" si="127"/>
        <v>9.390068924628451E-7</v>
      </c>
      <c r="S1000" s="40" t="b">
        <f>IF(B1000=B999,C1000&gt;C999,COUNTIF(B$1:B999,B1000)=0)</f>
        <v>1</v>
      </c>
      <c r="T1000" s="37"/>
    </row>
    <row r="1001" spans="1:20" x14ac:dyDescent="0.25">
      <c r="A1001" s="37" t="s">
        <v>1744</v>
      </c>
      <c r="B1001" s="37" t="s">
        <v>624</v>
      </c>
      <c r="C1001" s="37">
        <v>400</v>
      </c>
      <c r="D1001" s="37">
        <v>1.67</v>
      </c>
      <c r="E1001" s="37" t="s">
        <v>771</v>
      </c>
      <c r="F1001" s="37">
        <v>20</v>
      </c>
      <c r="G1001" s="37" t="s">
        <v>629</v>
      </c>
      <c r="H1001" s="37" t="s">
        <v>1320</v>
      </c>
      <c r="I1001" s="38">
        <f t="shared" si="120"/>
        <v>1.67</v>
      </c>
      <c r="J1001" s="38">
        <f t="shared" si="121"/>
        <v>5.9914645471079817</v>
      </c>
      <c r="K1001" s="38">
        <f t="shared" si="122"/>
        <v>0.51282362642866375</v>
      </c>
      <c r="L1001" s="39">
        <f t="shared" si="123"/>
        <v>0.5988023952095809</v>
      </c>
      <c r="M1001" s="39">
        <f t="shared" si="124"/>
        <v>11.976047904191617</v>
      </c>
      <c r="N1001" s="39">
        <f t="shared" si="125"/>
        <v>239.52095808383234</v>
      </c>
      <c r="O1001" s="40">
        <f>1</f>
        <v>1</v>
      </c>
      <c r="P1001" s="38">
        <f>INDEX(Cables!$AS:$AS,MATCH(B1001,Cables!$A:$A,0))+INDEX(Cables!$AT:$AT,MATCH(B1001,Cables!$A:$A,0))*SQRT(C1001)+INDEX(Cables!$AU:$AU,MATCH(B1001,Cables!$A:$A,0))*C1001</f>
        <v>1.672901602182147</v>
      </c>
      <c r="Q1001" s="41">
        <f t="shared" si="126"/>
        <v>1.7374863366150795E-3</v>
      </c>
      <c r="R1001" s="39">
        <f t="shared" si="127"/>
        <v>3.0188587699240891E-6</v>
      </c>
      <c r="S1001" s="40" t="b">
        <f>IF(B1001=B1000,C1001&gt;C1000,COUNTIF(B$1:B1000,B1001)=0)</f>
        <v>1</v>
      </c>
      <c r="T1001" s="37"/>
    </row>
    <row r="1002" spans="1:20" x14ac:dyDescent="0.25">
      <c r="A1002" s="37" t="s">
        <v>1745</v>
      </c>
      <c r="B1002" s="37" t="s">
        <v>624</v>
      </c>
      <c r="C1002" s="37">
        <v>450</v>
      </c>
      <c r="D1002" s="37">
        <v>1.79</v>
      </c>
      <c r="E1002" s="37" t="s">
        <v>771</v>
      </c>
      <c r="F1002" s="37">
        <v>20</v>
      </c>
      <c r="G1002" s="37" t="s">
        <v>629</v>
      </c>
      <c r="H1002" s="37" t="s">
        <v>1320</v>
      </c>
      <c r="I1002" s="38">
        <f t="shared" si="120"/>
        <v>1.79</v>
      </c>
      <c r="J1002" s="38">
        <f t="shared" si="121"/>
        <v>6.1092475827643655</v>
      </c>
      <c r="K1002" s="38">
        <f t="shared" si="122"/>
        <v>0.58221561985266368</v>
      </c>
      <c r="L1002" s="39">
        <f t="shared" si="123"/>
        <v>0.55865921787709494</v>
      </c>
      <c r="M1002" s="39">
        <f t="shared" si="124"/>
        <v>11.850951639998003</v>
      </c>
      <c r="N1002" s="39">
        <f t="shared" si="125"/>
        <v>251.39664804469274</v>
      </c>
      <c r="O1002" s="40">
        <f>1</f>
        <v>1</v>
      </c>
      <c r="P1002" s="38">
        <f>INDEX(Cables!$AS:$AS,MATCH(B1002,Cables!$A:$A,0))+INDEX(Cables!$AT:$AT,MATCH(B1002,Cables!$A:$A,0))*SQRT(C1002)+INDEX(Cables!$AU:$AU,MATCH(B1002,Cables!$A:$A,0))*C1002</f>
        <v>1.7855560633927403</v>
      </c>
      <c r="Q1002" s="41">
        <f t="shared" si="126"/>
        <v>-2.482646149307155E-3</v>
      </c>
      <c r="R1002" s="39">
        <f t="shared" si="127"/>
        <v>6.1635319026696442E-6</v>
      </c>
      <c r="S1002" s="40" t="b">
        <f>IF(B1002=B1001,C1002&gt;C1001,COUNTIF(B$1:B1001,B1002)=0)</f>
        <v>1</v>
      </c>
      <c r="T1002" s="37"/>
    </row>
    <row r="1003" spans="1:20" x14ac:dyDescent="0.25">
      <c r="A1003" s="37" t="s">
        <v>1746</v>
      </c>
      <c r="B1003" s="37" t="s">
        <v>624</v>
      </c>
      <c r="C1003" s="37">
        <v>500</v>
      </c>
      <c r="D1003" s="37">
        <v>1.89</v>
      </c>
      <c r="E1003" s="37" t="s">
        <v>771</v>
      </c>
      <c r="F1003" s="37">
        <v>20</v>
      </c>
      <c r="G1003" s="37" t="s">
        <v>629</v>
      </c>
      <c r="H1003" s="37" t="s">
        <v>1320</v>
      </c>
      <c r="I1003" s="38">
        <f t="shared" si="120"/>
        <v>1.89</v>
      </c>
      <c r="J1003" s="38">
        <f t="shared" si="121"/>
        <v>6.2146080984221914</v>
      </c>
      <c r="K1003" s="38">
        <f t="shared" si="122"/>
        <v>0.636576829071551</v>
      </c>
      <c r="L1003" s="39">
        <f t="shared" si="123"/>
        <v>0.52910052910052918</v>
      </c>
      <c r="M1003" s="39">
        <f t="shared" si="124"/>
        <v>11.831047499998888</v>
      </c>
      <c r="N1003" s="39">
        <f t="shared" si="125"/>
        <v>264.55026455026456</v>
      </c>
      <c r="O1003" s="40">
        <f>1</f>
        <v>1</v>
      </c>
      <c r="P1003" s="38">
        <f>INDEX(Cables!$AS:$AS,MATCH(B1003,Cables!$A:$A,0))+INDEX(Cables!$AT:$AT,MATCH(B1003,Cables!$A:$A,0))*SQRT(C1003)+INDEX(Cables!$AU:$AU,MATCH(B1003,Cables!$A:$A,0))*C1003</f>
        <v>1.8932817702945719</v>
      </c>
      <c r="Q1003" s="41">
        <f t="shared" si="126"/>
        <v>1.7363863992443385E-3</v>
      </c>
      <c r="R1003" s="39">
        <f t="shared" si="127"/>
        <v>3.0150377274807192E-6</v>
      </c>
      <c r="S1003" s="40" t="b">
        <f>IF(B1003=B1002,C1003&gt;C1002,COUNTIF(B$1:B1002,B1003)=0)</f>
        <v>1</v>
      </c>
      <c r="T1003" s="37"/>
    </row>
    <row r="1004" spans="1:20" x14ac:dyDescent="0.25">
      <c r="A1004" s="37" t="s">
        <v>1747</v>
      </c>
      <c r="B1004" s="37" t="s">
        <v>624</v>
      </c>
      <c r="C1004" s="37">
        <v>512</v>
      </c>
      <c r="D1004" s="37">
        <v>1.92</v>
      </c>
      <c r="E1004" s="37" t="s">
        <v>771</v>
      </c>
      <c r="F1004" s="37">
        <v>20</v>
      </c>
      <c r="G1004" s="37" t="s">
        <v>629</v>
      </c>
      <c r="H1004" s="37" t="s">
        <v>1320</v>
      </c>
      <c r="I1004" s="38">
        <f t="shared" si="120"/>
        <v>1.92</v>
      </c>
      <c r="J1004" s="38">
        <f t="shared" si="121"/>
        <v>6.2383246250395077</v>
      </c>
      <c r="K1004" s="38">
        <f t="shared" si="122"/>
        <v>0.65232518603969014</v>
      </c>
      <c r="L1004" s="39">
        <f t="shared" si="123"/>
        <v>0.52083333333333337</v>
      </c>
      <c r="M1004" s="39">
        <f t="shared" si="124"/>
        <v>11.785113019775793</v>
      </c>
      <c r="N1004" s="39">
        <f t="shared" si="125"/>
        <v>266.66666666666669</v>
      </c>
      <c r="O1004" s="40">
        <f>1</f>
        <v>1</v>
      </c>
      <c r="P1004" s="38">
        <f>INDEX(Cables!$AS:$AS,MATCH(B1004,Cables!$A:$A,0))+INDEX(Cables!$AT:$AT,MATCH(B1004,Cables!$A:$A,0))*SQRT(C1004)+INDEX(Cables!$AU:$AU,MATCH(B1004,Cables!$A:$A,0))*C1004</f>
        <v>1.9184867600247992</v>
      </c>
      <c r="Q1004" s="41">
        <f t="shared" si="126"/>
        <v>-7.8814582041708547E-4</v>
      </c>
      <c r="R1004" s="39">
        <f t="shared" si="127"/>
        <v>6.2117383424092077E-7</v>
      </c>
      <c r="S1004" s="40" t="b">
        <f>IF(B1004=B1003,C1004&gt;C1003,COUNTIF(B$1:B1003,B1004)=0)</f>
        <v>1</v>
      </c>
      <c r="T1004" s="37"/>
    </row>
    <row r="1005" spans="1:20" x14ac:dyDescent="0.25">
      <c r="A1005" s="37" t="s">
        <v>1748</v>
      </c>
      <c r="B1005" s="37" t="s">
        <v>624</v>
      </c>
      <c r="C1005" s="37">
        <v>600</v>
      </c>
      <c r="D1005" s="37">
        <v>2.1</v>
      </c>
      <c r="E1005" s="37" t="s">
        <v>771</v>
      </c>
      <c r="F1005" s="37">
        <v>20</v>
      </c>
      <c r="G1005" s="37" t="s">
        <v>629</v>
      </c>
      <c r="H1005" s="37" t="s">
        <v>1320</v>
      </c>
      <c r="I1005" s="38">
        <f t="shared" si="120"/>
        <v>2.1</v>
      </c>
      <c r="J1005" s="38">
        <f t="shared" si="121"/>
        <v>6.3969296552161463</v>
      </c>
      <c r="K1005" s="38">
        <f t="shared" si="122"/>
        <v>0.74193734472937733</v>
      </c>
      <c r="L1005" s="39">
        <f t="shared" si="123"/>
        <v>0.47619047619047616</v>
      </c>
      <c r="M1005" s="39">
        <f t="shared" si="124"/>
        <v>11.664236870396085</v>
      </c>
      <c r="N1005" s="39">
        <f t="shared" si="125"/>
        <v>285.71428571428572</v>
      </c>
      <c r="O1005" s="40">
        <f>1</f>
        <v>1</v>
      </c>
      <c r="P1005" s="38">
        <f>INDEX(Cables!$AS:$AS,MATCH(B1005,Cables!$A:$A,0))+INDEX(Cables!$AT:$AT,MATCH(B1005,Cables!$A:$A,0))*SQRT(C1005)+INDEX(Cables!$AU:$AU,MATCH(B1005,Cables!$A:$A,0))*C1005</f>
        <v>2.0966799595123793</v>
      </c>
      <c r="Q1005" s="41">
        <f t="shared" si="126"/>
        <v>-1.5809716607717572E-3</v>
      </c>
      <c r="R1005" s="39">
        <f t="shared" si="127"/>
        <v>2.4994713921634083E-6</v>
      </c>
      <c r="S1005" s="40" t="b">
        <f>IF(B1005=B1004,C1005&gt;C1004,COUNTIF(B$1:B1004,B1005)=0)</f>
        <v>1</v>
      </c>
      <c r="T1005" s="37"/>
    </row>
    <row r="1006" spans="1:20" x14ac:dyDescent="0.25">
      <c r="A1006" s="37" t="s">
        <v>1749</v>
      </c>
      <c r="B1006" s="37" t="s">
        <v>624</v>
      </c>
      <c r="C1006" s="37">
        <v>700</v>
      </c>
      <c r="D1006" s="37">
        <v>2.29</v>
      </c>
      <c r="E1006" s="37" t="s">
        <v>771</v>
      </c>
      <c r="F1006" s="37">
        <v>20</v>
      </c>
      <c r="G1006" s="37" t="s">
        <v>629</v>
      </c>
      <c r="H1006" s="37" t="s">
        <v>1320</v>
      </c>
      <c r="I1006" s="38">
        <f t="shared" si="120"/>
        <v>2.29</v>
      </c>
      <c r="J1006" s="38">
        <f t="shared" si="121"/>
        <v>6.5510803350434044</v>
      </c>
      <c r="K1006" s="38">
        <f t="shared" si="122"/>
        <v>0.82855181756614826</v>
      </c>
      <c r="L1006" s="39">
        <f t="shared" si="123"/>
        <v>0.4366812227074236</v>
      </c>
      <c r="M1006" s="39">
        <f t="shared" si="124"/>
        <v>11.553499174954544</v>
      </c>
      <c r="N1006" s="39">
        <f t="shared" si="125"/>
        <v>305.67685589519652</v>
      </c>
      <c r="O1006" s="40">
        <f>1</f>
        <v>1</v>
      </c>
      <c r="P1006" s="38">
        <f>INDEX(Cables!$AS:$AS,MATCH(B1006,Cables!$A:$A,0))+INDEX(Cables!$AT:$AT,MATCH(B1006,Cables!$A:$A,0))*SQRT(C1006)+INDEX(Cables!$AU:$AU,MATCH(B1006,Cables!$A:$A,0))*C1006</f>
        <v>2.2872100319550563</v>
      </c>
      <c r="Q1006" s="41">
        <f t="shared" si="126"/>
        <v>-1.2183266571806906E-3</v>
      </c>
      <c r="R1006" s="39">
        <f t="shared" si="127"/>
        <v>1.4843198435970759E-6</v>
      </c>
      <c r="S1006" s="40" t="b">
        <f>IF(B1006=B1005,C1006&gt;C1005,COUNTIF(B$1:B1005,B1006)=0)</f>
        <v>1</v>
      </c>
      <c r="T1006" s="37"/>
    </row>
    <row r="1007" spans="1:20" x14ac:dyDescent="0.25">
      <c r="A1007" s="37" t="s">
        <v>1750</v>
      </c>
      <c r="B1007" s="37" t="s">
        <v>624</v>
      </c>
      <c r="C1007" s="37">
        <v>800</v>
      </c>
      <c r="D1007" s="37">
        <v>2.4700000000000002</v>
      </c>
      <c r="E1007" s="37" t="s">
        <v>771</v>
      </c>
      <c r="F1007" s="37">
        <v>20</v>
      </c>
      <c r="G1007" s="37" t="s">
        <v>629</v>
      </c>
      <c r="H1007" s="37" t="s">
        <v>1320</v>
      </c>
      <c r="I1007" s="38">
        <f t="shared" si="120"/>
        <v>2.4700000000000002</v>
      </c>
      <c r="J1007" s="38">
        <f t="shared" si="121"/>
        <v>6.6846117276679271</v>
      </c>
      <c r="K1007" s="38">
        <f t="shared" si="122"/>
        <v>0.90421815063988586</v>
      </c>
      <c r="L1007" s="39">
        <f t="shared" si="123"/>
        <v>0.40485829959514169</v>
      </c>
      <c r="M1007" s="39">
        <f t="shared" si="124"/>
        <v>11.451121962535183</v>
      </c>
      <c r="N1007" s="39">
        <f t="shared" si="125"/>
        <v>323.88663967611336</v>
      </c>
      <c r="O1007" s="40">
        <f>1</f>
        <v>1</v>
      </c>
      <c r="P1007" s="38">
        <f>INDEX(Cables!$AS:$AS,MATCH(B1007,Cables!$A:$A,0))+INDEX(Cables!$AT:$AT,MATCH(B1007,Cables!$A:$A,0))*SQRT(C1007)+INDEX(Cables!$AU:$AU,MATCH(B1007,Cables!$A:$A,0))*C1007</f>
        <v>2.4675523963750035</v>
      </c>
      <c r="Q1007" s="41">
        <f t="shared" si="126"/>
        <v>-9.9093264169913819E-4</v>
      </c>
      <c r="R1007" s="39">
        <f t="shared" si="127"/>
        <v>9.819475003848327E-7</v>
      </c>
      <c r="S1007" s="40" t="b">
        <f>IF(B1007=B1006,C1007&gt;C1006,COUNTIF(B$1:B1006,B1007)=0)</f>
        <v>1</v>
      </c>
      <c r="T1007" s="37"/>
    </row>
    <row r="1008" spans="1:20" x14ac:dyDescent="0.25">
      <c r="A1008" s="37" t="s">
        <v>1751</v>
      </c>
      <c r="B1008" s="37" t="s">
        <v>624</v>
      </c>
      <c r="C1008" s="37">
        <v>824</v>
      </c>
      <c r="D1008" s="37">
        <v>2.5099999999999998</v>
      </c>
      <c r="E1008" s="37" t="s">
        <v>771</v>
      </c>
      <c r="F1008" s="37">
        <v>20</v>
      </c>
      <c r="G1008" s="37" t="s">
        <v>629</v>
      </c>
      <c r="H1008" s="37" t="s">
        <v>1320</v>
      </c>
      <c r="I1008" s="38">
        <f t="shared" si="120"/>
        <v>2.5099999999999998</v>
      </c>
      <c r="J1008" s="38">
        <f t="shared" si="121"/>
        <v>6.7141705299094721</v>
      </c>
      <c r="K1008" s="38">
        <f t="shared" si="122"/>
        <v>0.92028275314369246</v>
      </c>
      <c r="L1008" s="39">
        <f t="shared" si="123"/>
        <v>0.39840637450199207</v>
      </c>
      <c r="M1008" s="39">
        <f t="shared" si="124"/>
        <v>11.436414417854442</v>
      </c>
      <c r="N1008" s="39">
        <f t="shared" si="125"/>
        <v>328.28685258964146</v>
      </c>
      <c r="O1008" s="40">
        <f>1</f>
        <v>1</v>
      </c>
      <c r="P1008" s="38">
        <f>INDEX(Cables!$AS:$AS,MATCH(B1008,Cables!$A:$A,0))+INDEX(Cables!$AT:$AT,MATCH(B1008,Cables!$A:$A,0))*SQRT(C1008)+INDEX(Cables!$AU:$AU,MATCH(B1008,Cables!$A:$A,0))*C1008</f>
        <v>2.5095377926441049</v>
      </c>
      <c r="Q1008" s="41">
        <f t="shared" si="126"/>
        <v>-1.8414635693020376E-4</v>
      </c>
      <c r="R1008" s="39">
        <f t="shared" si="127"/>
        <v>3.3909880770666004E-8</v>
      </c>
      <c r="S1008" s="40" t="b">
        <f>IF(B1008=B1007,C1008&gt;C1007,COUNTIF(B$1:B1007,B1008)=0)</f>
        <v>1</v>
      </c>
      <c r="T1008" s="37"/>
    </row>
    <row r="1009" spans="1:20" x14ac:dyDescent="0.25">
      <c r="A1009" s="37" t="s">
        <v>1752</v>
      </c>
      <c r="B1009" s="37" t="s">
        <v>624</v>
      </c>
      <c r="C1009" s="37">
        <v>894</v>
      </c>
      <c r="D1009" s="37">
        <v>2.63</v>
      </c>
      <c r="E1009" s="37" t="s">
        <v>771</v>
      </c>
      <c r="F1009" s="37">
        <v>20</v>
      </c>
      <c r="G1009" s="37" t="s">
        <v>629</v>
      </c>
      <c r="H1009" s="37" t="s">
        <v>1320</v>
      </c>
      <c r="I1009" s="38">
        <f t="shared" si="120"/>
        <v>2.63</v>
      </c>
      <c r="J1009" s="38">
        <f t="shared" si="121"/>
        <v>6.7957057751735137</v>
      </c>
      <c r="K1009" s="38">
        <f t="shared" si="122"/>
        <v>0.96698384618967315</v>
      </c>
      <c r="L1009" s="39">
        <f t="shared" si="123"/>
        <v>0.38022813688212931</v>
      </c>
      <c r="M1009" s="39">
        <f t="shared" si="124"/>
        <v>11.36875770929738</v>
      </c>
      <c r="N1009" s="39">
        <f t="shared" si="125"/>
        <v>339.9239543726236</v>
      </c>
      <c r="O1009" s="40">
        <f>1</f>
        <v>1</v>
      </c>
      <c r="P1009" s="38">
        <f>INDEX(Cables!$AS:$AS,MATCH(B1009,Cables!$A:$A,0))+INDEX(Cables!$AT:$AT,MATCH(B1009,Cables!$A:$A,0))*SQRT(C1009)+INDEX(Cables!$AU:$AU,MATCH(B1009,Cables!$A:$A,0))*C1009</f>
        <v>2.6294560872540909</v>
      </c>
      <c r="Q1009" s="41">
        <f t="shared" si="126"/>
        <v>-2.0681093000340933E-4</v>
      </c>
      <c r="R1009" s="39">
        <f t="shared" si="127"/>
        <v>4.2770760768875076E-8</v>
      </c>
      <c r="S1009" s="40" t="b">
        <f>IF(B1009=B1008,C1009&gt;C1008,COUNTIF(B$1:B1008,B1009)=0)</f>
        <v>1</v>
      </c>
      <c r="T1009" s="37"/>
    </row>
    <row r="1010" spans="1:20" x14ac:dyDescent="0.25">
      <c r="A1010" s="37" t="s">
        <v>1753</v>
      </c>
      <c r="B1010" s="37" t="s">
        <v>624</v>
      </c>
      <c r="C1010" s="37">
        <v>960</v>
      </c>
      <c r="D1010" s="37">
        <v>2.74</v>
      </c>
      <c r="E1010" s="37" t="s">
        <v>771</v>
      </c>
      <c r="F1010" s="37">
        <v>20</v>
      </c>
      <c r="G1010" s="37" t="s">
        <v>629</v>
      </c>
      <c r="H1010" s="37" t="s">
        <v>1320</v>
      </c>
      <c r="I1010" s="38">
        <f t="shared" si="120"/>
        <v>2.74</v>
      </c>
      <c r="J1010" s="38">
        <f t="shared" si="121"/>
        <v>6.866933284461882</v>
      </c>
      <c r="K1010" s="38">
        <f t="shared" si="122"/>
        <v>1.0079579203999789</v>
      </c>
      <c r="L1010" s="39">
        <f t="shared" si="123"/>
        <v>0.36496350364963503</v>
      </c>
      <c r="M1010" s="39">
        <f t="shared" si="124"/>
        <v>11.30798057286837</v>
      </c>
      <c r="N1010" s="39">
        <f t="shared" si="125"/>
        <v>350.36496350364962</v>
      </c>
      <c r="O1010" s="40">
        <f>1</f>
        <v>1</v>
      </c>
      <c r="P1010" s="38">
        <f>INDEX(Cables!$AS:$AS,MATCH(B1010,Cables!$A:$A,0))+INDEX(Cables!$AT:$AT,MATCH(B1010,Cables!$A:$A,0))*SQRT(C1010)+INDEX(Cables!$AU:$AU,MATCH(B1010,Cables!$A:$A,0))*C1010</f>
        <v>2.7393615090600809</v>
      </c>
      <c r="Q1010" s="41">
        <f t="shared" si="126"/>
        <v>-2.3302589048146416E-4</v>
      </c>
      <c r="R1010" s="39">
        <f t="shared" si="127"/>
        <v>5.4301065634679328E-8</v>
      </c>
      <c r="S1010" s="40" t="b">
        <f>IF(B1010=B1009,C1010&gt;C1009,COUNTIF(B$1:B1009,B1010)=0)</f>
        <v>1</v>
      </c>
      <c r="T1010" s="37"/>
    </row>
    <row r="1011" spans="1:20" x14ac:dyDescent="0.25">
      <c r="A1011" s="37" t="s">
        <v>1754</v>
      </c>
      <c r="B1011" s="37" t="s">
        <v>624</v>
      </c>
      <c r="C1011" s="37">
        <v>1000</v>
      </c>
      <c r="D1011" s="37">
        <v>2.8</v>
      </c>
      <c r="E1011" s="37" t="s">
        <v>771</v>
      </c>
      <c r="F1011" s="37">
        <v>20</v>
      </c>
      <c r="G1011" s="37" t="s">
        <v>629</v>
      </c>
      <c r="H1011" s="37" t="s">
        <v>1320</v>
      </c>
      <c r="I1011" s="38">
        <f t="shared" si="120"/>
        <v>2.8</v>
      </c>
      <c r="J1011" s="38">
        <f t="shared" si="121"/>
        <v>6.9077552789821368</v>
      </c>
      <c r="K1011" s="38">
        <f t="shared" si="122"/>
        <v>1.0296194171811581</v>
      </c>
      <c r="L1011" s="39">
        <f t="shared" si="123"/>
        <v>0.35714285714285715</v>
      </c>
      <c r="M1011" s="39">
        <f t="shared" si="124"/>
        <v>11.293848786315641</v>
      </c>
      <c r="N1011" s="39">
        <f t="shared" si="125"/>
        <v>357.14285714285717</v>
      </c>
      <c r="O1011" s="40">
        <f>1</f>
        <v>1</v>
      </c>
      <c r="P1011" s="38">
        <f>INDEX(Cables!$AS:$AS,MATCH(B1011,Cables!$A:$A,0))+INDEX(Cables!$AT:$AT,MATCH(B1011,Cables!$A:$A,0))*SQRT(C1011)+INDEX(Cables!$AU:$AU,MATCH(B1011,Cables!$A:$A,0))*C1011</f>
        <v>2.8046150345364311</v>
      </c>
      <c r="Q1011" s="41">
        <f t="shared" si="126"/>
        <v>1.6482266201540696E-3</v>
      </c>
      <c r="R1011" s="39">
        <f t="shared" si="127"/>
        <v>2.7166509913845076E-6</v>
      </c>
      <c r="S1011" s="40" t="b">
        <f>IF(B1011=B1010,C1011&gt;C1010,COUNTIF(B$1:B1010,B1011)=0)</f>
        <v>1</v>
      </c>
      <c r="T1011" s="37"/>
    </row>
    <row r="1012" spans="1:20" x14ac:dyDescent="0.25">
      <c r="A1012" s="37" t="s">
        <v>1755</v>
      </c>
      <c r="B1012" s="37" t="s">
        <v>624</v>
      </c>
      <c r="C1012" s="37">
        <v>1250</v>
      </c>
      <c r="D1012" s="37">
        <v>3.19</v>
      </c>
      <c r="E1012" s="37" t="s">
        <v>771</v>
      </c>
      <c r="F1012" s="37">
        <v>20</v>
      </c>
      <c r="G1012" s="37" t="s">
        <v>629</v>
      </c>
      <c r="H1012" s="37" t="s">
        <v>1320</v>
      </c>
      <c r="I1012" s="38">
        <f t="shared" si="120"/>
        <v>3.19</v>
      </c>
      <c r="J1012" s="38">
        <f t="shared" si="121"/>
        <v>7.1308988302963465</v>
      </c>
      <c r="K1012" s="38">
        <f t="shared" si="122"/>
        <v>1.1600209167967532</v>
      </c>
      <c r="L1012" s="39">
        <f t="shared" si="123"/>
        <v>0.31347962382445144</v>
      </c>
      <c r="M1012" s="39">
        <f t="shared" si="124"/>
        <v>11.08317838850388</v>
      </c>
      <c r="N1012" s="39">
        <f t="shared" si="125"/>
        <v>391.8495297805643</v>
      </c>
      <c r="O1012" s="40">
        <f>1</f>
        <v>1</v>
      </c>
      <c r="P1012" s="38">
        <f>INDEX(Cables!$AS:$AS,MATCH(B1012,Cables!$A:$A,0))+INDEX(Cables!$AT:$AT,MATCH(B1012,Cables!$A:$A,0))*SQRT(C1012)+INDEX(Cables!$AU:$AU,MATCH(B1012,Cables!$A:$A,0))*C1012</f>
        <v>3.1929058539121891</v>
      </c>
      <c r="Q1012" s="41">
        <f t="shared" si="126"/>
        <v>9.1092599128184126E-4</v>
      </c>
      <c r="R1012" s="39">
        <f t="shared" si="127"/>
        <v>8.2978616159280518E-7</v>
      </c>
      <c r="S1012" s="40" t="b">
        <f>IF(B1012=B1011,C1012&gt;C1011,COUNTIF(B$1:B1011,B1012)=0)</f>
        <v>1</v>
      </c>
      <c r="T1012" s="37"/>
    </row>
    <row r="1013" spans="1:20" x14ac:dyDescent="0.25">
      <c r="A1013" s="37" t="s">
        <v>1756</v>
      </c>
      <c r="B1013" s="37" t="s">
        <v>624</v>
      </c>
      <c r="C1013" s="37">
        <v>1500</v>
      </c>
      <c r="D1013" s="37">
        <v>3.55</v>
      </c>
      <c r="E1013" s="37" t="s">
        <v>771</v>
      </c>
      <c r="F1013" s="37">
        <v>20</v>
      </c>
      <c r="G1013" s="37" t="s">
        <v>629</v>
      </c>
      <c r="H1013" s="37" t="s">
        <v>1320</v>
      </c>
      <c r="I1013" s="38">
        <f t="shared" si="120"/>
        <v>3.55</v>
      </c>
      <c r="J1013" s="38">
        <f t="shared" si="121"/>
        <v>7.3132203870903014</v>
      </c>
      <c r="K1013" s="38">
        <f t="shared" si="122"/>
        <v>1.2669476034873244</v>
      </c>
      <c r="L1013" s="39">
        <f t="shared" si="123"/>
        <v>0.28169014084507044</v>
      </c>
      <c r="M1013" s="39">
        <f t="shared" si="124"/>
        <v>10.909812242837795</v>
      </c>
      <c r="N1013" s="39">
        <f t="shared" si="125"/>
        <v>422.53521126760563</v>
      </c>
      <c r="O1013" s="40">
        <f>1</f>
        <v>1</v>
      </c>
      <c r="P1013" s="38">
        <f>INDEX(Cables!$AS:$AS,MATCH(B1013,Cables!$A:$A,0))+INDEX(Cables!$AT:$AT,MATCH(B1013,Cables!$A:$A,0))*SQRT(C1013)+INDEX(Cables!$AU:$AU,MATCH(B1013,Cables!$A:$A,0))*C1013</f>
        <v>3.5543458070459972</v>
      </c>
      <c r="Q1013" s="41">
        <f t="shared" si="126"/>
        <v>1.2241709988725091E-3</v>
      </c>
      <c r="R1013" s="39">
        <f t="shared" si="127"/>
        <v>1.4985946344805167E-6</v>
      </c>
      <c r="S1013" s="40" t="b">
        <f>IF(B1013=B1012,C1013&gt;C1012,COUNTIF(B$1:B1012,B1013)=0)</f>
        <v>1</v>
      </c>
      <c r="T1013" s="37"/>
    </row>
    <row r="1014" spans="1:20" x14ac:dyDescent="0.25">
      <c r="A1014" s="37" t="s">
        <v>1757</v>
      </c>
      <c r="B1014" s="37" t="s">
        <v>624</v>
      </c>
      <c r="C1014" s="37">
        <v>1700</v>
      </c>
      <c r="D1014" s="37">
        <v>3.83</v>
      </c>
      <c r="E1014" s="37" t="s">
        <v>771</v>
      </c>
      <c r="F1014" s="37">
        <v>20</v>
      </c>
      <c r="G1014" s="37" t="s">
        <v>629</v>
      </c>
      <c r="H1014" s="37" t="s">
        <v>1320</v>
      </c>
      <c r="I1014" s="38">
        <f t="shared" si="120"/>
        <v>3.83</v>
      </c>
      <c r="J1014" s="38">
        <f t="shared" si="121"/>
        <v>7.4383835300443071</v>
      </c>
      <c r="K1014" s="38">
        <f t="shared" si="122"/>
        <v>1.3428648031925547</v>
      </c>
      <c r="L1014" s="39">
        <f t="shared" si="123"/>
        <v>0.2610966057441253</v>
      </c>
      <c r="M1014" s="39">
        <f t="shared" si="124"/>
        <v>10.765288839732795</v>
      </c>
      <c r="N1014" s="39">
        <f t="shared" si="125"/>
        <v>443.86422976501302</v>
      </c>
      <c r="O1014" s="40">
        <f>1</f>
        <v>1</v>
      </c>
      <c r="P1014" s="38">
        <f>INDEX(Cables!$AS:$AS,MATCH(B1014,Cables!$A:$A,0))+INDEX(Cables!$AT:$AT,MATCH(B1014,Cables!$A:$A,0))*SQRT(C1014)+INDEX(Cables!$AU:$AU,MATCH(B1014,Cables!$A:$A,0))*C1014</f>
        <v>3.8286221627646499</v>
      </c>
      <c r="Q1014" s="41">
        <f t="shared" si="126"/>
        <v>-3.597486254177662E-4</v>
      </c>
      <c r="R1014" s="39">
        <f t="shared" si="127"/>
        <v>1.2941907348997225E-7</v>
      </c>
      <c r="S1014" s="40" t="b">
        <f>IF(B1014=B1013,C1014&gt;C1013,COUNTIF(B$1:B1013,B1014)=0)</f>
        <v>1</v>
      </c>
      <c r="T1014" s="37"/>
    </row>
    <row r="1015" spans="1:20" x14ac:dyDescent="0.25">
      <c r="A1015" s="37" t="s">
        <v>1758</v>
      </c>
      <c r="B1015" s="37" t="s">
        <v>624</v>
      </c>
      <c r="C1015" s="37">
        <v>2000</v>
      </c>
      <c r="D1015" s="37">
        <v>4.22</v>
      </c>
      <c r="E1015" s="37" t="s">
        <v>771</v>
      </c>
      <c r="F1015" s="37">
        <v>20</v>
      </c>
      <c r="G1015" s="37" t="s">
        <v>629</v>
      </c>
      <c r="H1015" s="37" t="s">
        <v>1320</v>
      </c>
      <c r="I1015" s="38">
        <f t="shared" si="120"/>
        <v>4.22</v>
      </c>
      <c r="J1015" s="38">
        <f t="shared" si="121"/>
        <v>7.6009024595420822</v>
      </c>
      <c r="K1015" s="38">
        <f t="shared" si="122"/>
        <v>1.4398351280479205</v>
      </c>
      <c r="L1015" s="39">
        <f t="shared" si="123"/>
        <v>0.23696682464454977</v>
      </c>
      <c r="M1015" s="39">
        <f t="shared" si="124"/>
        <v>10.597478566349716</v>
      </c>
      <c r="N1015" s="39">
        <f t="shared" si="125"/>
        <v>473.93364928909955</v>
      </c>
      <c r="O1015" s="40">
        <f>1</f>
        <v>1</v>
      </c>
      <c r="P1015" s="38">
        <f>INDEX(Cables!$AS:$AS,MATCH(B1015,Cables!$A:$A,0))+INDEX(Cables!$AT:$AT,MATCH(B1015,Cables!$A:$A,0))*SQRT(C1015)+INDEX(Cables!$AU:$AU,MATCH(B1015,Cables!$A:$A,0))*C1015</f>
        <v>4.2204249743628823</v>
      </c>
      <c r="Q1015" s="41">
        <f t="shared" si="126"/>
        <v>1.0070482532764657E-4</v>
      </c>
      <c r="R1015" s="39">
        <f t="shared" si="127"/>
        <v>1.0141461844271808E-8</v>
      </c>
      <c r="S1015" s="40" t="b">
        <f>IF(B1015=B1014,C1015&gt;C1014,COUNTIF(B$1:B1014,B1015)=0)</f>
        <v>1</v>
      </c>
      <c r="T1015" s="37"/>
    </row>
    <row r="1016" spans="1:20" x14ac:dyDescent="0.25">
      <c r="A1016" s="37" t="s">
        <v>1759</v>
      </c>
      <c r="B1016" s="37" t="s">
        <v>624</v>
      </c>
      <c r="C1016" s="37">
        <v>2300</v>
      </c>
      <c r="D1016" s="37">
        <v>4.59</v>
      </c>
      <c r="E1016" s="37" t="s">
        <v>771</v>
      </c>
      <c r="F1016" s="37">
        <v>20</v>
      </c>
      <c r="G1016" s="37" t="s">
        <v>629</v>
      </c>
      <c r="H1016" s="37" t="s">
        <v>1320</v>
      </c>
      <c r="I1016" s="38">
        <f t="shared" si="120"/>
        <v>4.59</v>
      </c>
      <c r="J1016" s="38">
        <f t="shared" si="121"/>
        <v>7.7406644019172415</v>
      </c>
      <c r="K1016" s="38">
        <f t="shared" si="122"/>
        <v>1.5238800240724537</v>
      </c>
      <c r="L1016" s="39">
        <f t="shared" si="123"/>
        <v>0.2178649237472767</v>
      </c>
      <c r="M1016" s="39">
        <f t="shared" si="124"/>
        <v>10.448434691313114</v>
      </c>
      <c r="N1016" s="39">
        <f t="shared" si="125"/>
        <v>501.08932461873638</v>
      </c>
      <c r="O1016" s="40">
        <f>1</f>
        <v>1</v>
      </c>
      <c r="P1016" s="38">
        <f>INDEX(Cables!$AS:$AS,MATCH(B1016,Cables!$A:$A,0))+INDEX(Cables!$AT:$AT,MATCH(B1016,Cables!$A:$A,0))*SQRT(C1016)+INDEX(Cables!$AU:$AU,MATCH(B1016,Cables!$A:$A,0))*C1016</f>
        <v>4.5932297136274736</v>
      </c>
      <c r="Q1016" s="41">
        <f t="shared" si="126"/>
        <v>7.0364131317512957E-4</v>
      </c>
      <c r="R1016" s="39">
        <f t="shared" si="127"/>
        <v>4.9511109760682081E-7</v>
      </c>
      <c r="S1016" s="40" t="b">
        <f>IF(B1016=B1015,C1016&gt;C1015,COUNTIF(B$1:B1015,B1016)=0)</f>
        <v>1</v>
      </c>
      <c r="T1016" s="37"/>
    </row>
    <row r="1017" spans="1:20" x14ac:dyDescent="0.25">
      <c r="A1017" s="37" t="s">
        <v>1760</v>
      </c>
      <c r="B1017" s="37" t="s">
        <v>624</v>
      </c>
      <c r="C1017" s="37">
        <v>3000</v>
      </c>
      <c r="D1017" s="37">
        <v>5.41</v>
      </c>
      <c r="E1017" s="37" t="s">
        <v>771</v>
      </c>
      <c r="F1017" s="37">
        <v>20</v>
      </c>
      <c r="G1017" s="37" t="s">
        <v>629</v>
      </c>
      <c r="H1017" s="37" t="s">
        <v>1320</v>
      </c>
      <c r="I1017" s="38">
        <f t="shared" si="120"/>
        <v>5.41</v>
      </c>
      <c r="J1017" s="38">
        <f t="shared" si="121"/>
        <v>8.0063675676502459</v>
      </c>
      <c r="K1017" s="38">
        <f t="shared" si="122"/>
        <v>1.6882490928583902</v>
      </c>
      <c r="L1017" s="39">
        <f t="shared" si="123"/>
        <v>0.18484288354898337</v>
      </c>
      <c r="M1017" s="39">
        <f t="shared" si="124"/>
        <v>10.124261691407877</v>
      </c>
      <c r="N1017" s="39">
        <f t="shared" si="125"/>
        <v>554.52865064695004</v>
      </c>
      <c r="O1017" s="40">
        <f>1</f>
        <v>1</v>
      </c>
      <c r="P1017" s="38">
        <f>INDEX(Cables!$AS:$AS,MATCH(B1017,Cables!$A:$A,0))+INDEX(Cables!$AT:$AT,MATCH(B1017,Cables!$A:$A,0))*SQRT(C1017)+INDEX(Cables!$AU:$AU,MATCH(B1017,Cables!$A:$A,0))*C1017</f>
        <v>5.4076944786682377</v>
      </c>
      <c r="Q1017" s="41">
        <f t="shared" si="126"/>
        <v>-4.2615921104660615E-4</v>
      </c>
      <c r="R1017" s="39">
        <f t="shared" si="127"/>
        <v>1.816116731598658E-7</v>
      </c>
      <c r="S1017" s="40" t="b">
        <f>IF(B1017=B1016,C1017&gt;C1016,COUNTIF(B$1:B1016,B1017)=0)</f>
        <v>1</v>
      </c>
      <c r="T1017" s="37"/>
    </row>
    <row r="1018" spans="1:20" x14ac:dyDescent="0.25">
      <c r="A1018" s="37" t="s">
        <v>1761</v>
      </c>
      <c r="B1018" s="37" t="s">
        <v>624</v>
      </c>
      <c r="C1018" s="37">
        <v>3300</v>
      </c>
      <c r="D1018" s="37">
        <v>5.74</v>
      </c>
      <c r="E1018" s="37" t="s">
        <v>771</v>
      </c>
      <c r="F1018" s="37">
        <v>20</v>
      </c>
      <c r="G1018" s="37" t="s">
        <v>629</v>
      </c>
      <c r="H1018" s="37" t="s">
        <v>1320</v>
      </c>
      <c r="I1018" s="38">
        <f t="shared" si="120"/>
        <v>5.74</v>
      </c>
      <c r="J1018" s="38">
        <f t="shared" si="121"/>
        <v>8.1016777474545716</v>
      </c>
      <c r="K1018" s="38">
        <f t="shared" si="122"/>
        <v>1.747459210331475</v>
      </c>
      <c r="L1018" s="39">
        <f t="shared" si="123"/>
        <v>0.17421602787456444</v>
      </c>
      <c r="M1018" s="39">
        <f t="shared" si="124"/>
        <v>10.007948861564509</v>
      </c>
      <c r="N1018" s="39">
        <f t="shared" si="125"/>
        <v>574.91289198606273</v>
      </c>
      <c r="O1018" s="40">
        <f>1</f>
        <v>1</v>
      </c>
      <c r="P1018" s="38">
        <f>INDEX(Cables!$AS:$AS,MATCH(B1018,Cables!$A:$A,0))+INDEX(Cables!$AT:$AT,MATCH(B1018,Cables!$A:$A,0))*SQRT(C1018)+INDEX(Cables!$AU:$AU,MATCH(B1018,Cables!$A:$A,0))*C1018</f>
        <v>5.7382370155610136</v>
      </c>
      <c r="Q1018" s="41">
        <f t="shared" si="126"/>
        <v>-3.0714014616495255E-4</v>
      </c>
      <c r="R1018" s="39">
        <f t="shared" si="127"/>
        <v>9.4335069386228419E-8</v>
      </c>
      <c r="S1018" s="40" t="b">
        <f>IF(B1018=B1017,C1018&gt;C1017,COUNTIF(B$1:B1017,B1018)=0)</f>
        <v>1</v>
      </c>
      <c r="T1018" s="37"/>
    </row>
    <row r="1019" spans="1:20" x14ac:dyDescent="0.25">
      <c r="A1019" s="37" t="s">
        <v>1762</v>
      </c>
      <c r="B1019" s="37" t="s">
        <v>631</v>
      </c>
      <c r="C1019" s="37">
        <v>0.5</v>
      </c>
      <c r="D1019" s="37">
        <v>4.3999999999999997E-2</v>
      </c>
      <c r="E1019" s="37" t="s">
        <v>771</v>
      </c>
      <c r="F1019" s="37">
        <v>20</v>
      </c>
      <c r="G1019" s="37" t="s">
        <v>637</v>
      </c>
      <c r="H1019" s="37" t="s">
        <v>1320</v>
      </c>
      <c r="I1019" s="38">
        <f t="shared" si="120"/>
        <v>4.3999999999999997E-2</v>
      </c>
      <c r="J1019" s="38">
        <f t="shared" si="121"/>
        <v>-0.69314718055994529</v>
      </c>
      <c r="K1019" s="38">
        <f t="shared" si="122"/>
        <v>-3.1235656450638758</v>
      </c>
      <c r="L1019" s="39">
        <f t="shared" si="123"/>
        <v>22.72727272727273</v>
      </c>
      <c r="M1019" s="39">
        <f t="shared" si="124"/>
        <v>16.070608663330628</v>
      </c>
      <c r="N1019" s="39">
        <f t="shared" si="125"/>
        <v>11.363636363636365</v>
      </c>
      <c r="O1019" s="40">
        <f>1</f>
        <v>1</v>
      </c>
      <c r="P1019" s="38">
        <f>INDEX(Cables!$AS:$AS,MATCH(B1019,Cables!$A:$A,0))+INDEX(Cables!$AT:$AT,MATCH(B1019,Cables!$A:$A,0))*SQRT(C1019)+INDEX(Cables!$AU:$AU,MATCH(B1019,Cables!$A:$A,0))*C1019</f>
        <v>4.4131907278163469E-2</v>
      </c>
      <c r="Q1019" s="41">
        <f t="shared" si="126"/>
        <v>2.9978926855334098E-3</v>
      </c>
      <c r="R1019" s="39">
        <f t="shared" si="127"/>
        <v>8.9873605539747199E-6</v>
      </c>
      <c r="S1019" s="40" t="b">
        <f>IF(B1019=B1018,C1019&gt;C1018,COUNTIF(B$1:B1018,B1019)=0)</f>
        <v>1</v>
      </c>
      <c r="T1019" s="37"/>
    </row>
    <row r="1020" spans="1:20" x14ac:dyDescent="0.25">
      <c r="A1020" s="37" t="s">
        <v>1763</v>
      </c>
      <c r="B1020" s="37" t="s">
        <v>631</v>
      </c>
      <c r="C1020" s="37">
        <v>1</v>
      </c>
      <c r="D1020" s="37">
        <v>6.3E-2</v>
      </c>
      <c r="E1020" s="37" t="s">
        <v>771</v>
      </c>
      <c r="F1020" s="37">
        <v>20</v>
      </c>
      <c r="G1020" s="37" t="s">
        <v>637</v>
      </c>
      <c r="H1020" s="37" t="s">
        <v>1320</v>
      </c>
      <c r="I1020" s="38">
        <f t="shared" si="120"/>
        <v>6.3E-2</v>
      </c>
      <c r="J1020" s="38">
        <f t="shared" si="121"/>
        <v>0</v>
      </c>
      <c r="K1020" s="38">
        <f t="shared" si="122"/>
        <v>-2.7646205525906042</v>
      </c>
      <c r="L1020" s="39">
        <f t="shared" si="123"/>
        <v>15.873015873015873</v>
      </c>
      <c r="M1020" s="39">
        <f t="shared" si="124"/>
        <v>15.873015873015873</v>
      </c>
      <c r="N1020" s="39">
        <f t="shared" si="125"/>
        <v>15.873015873015873</v>
      </c>
      <c r="O1020" s="40">
        <f>1</f>
        <v>1</v>
      </c>
      <c r="P1020" s="38">
        <f>INDEX(Cables!$AS:$AS,MATCH(B1020,Cables!$A:$A,0))+INDEX(Cables!$AT:$AT,MATCH(B1020,Cables!$A:$A,0))*SQRT(C1020)+INDEX(Cables!$AU:$AU,MATCH(B1020,Cables!$A:$A,0))*C1020</f>
        <v>6.2692533940889361E-2</v>
      </c>
      <c r="Q1020" s="41">
        <f t="shared" si="126"/>
        <v>-4.8804136366767947E-3</v>
      </c>
      <c r="R1020" s="39">
        <f t="shared" si="127"/>
        <v>2.3818437265060817E-5</v>
      </c>
      <c r="S1020" s="40" t="b">
        <f>IF(B1020=B1019,C1020&gt;C1019,COUNTIF(B$1:B1019,B1020)=0)</f>
        <v>1</v>
      </c>
      <c r="T1020" s="37"/>
    </row>
    <row r="1021" spans="1:20" x14ac:dyDescent="0.25">
      <c r="A1021" s="37" t="s">
        <v>1764</v>
      </c>
      <c r="B1021" s="37" t="s">
        <v>631</v>
      </c>
      <c r="C1021" s="37">
        <v>1.5</v>
      </c>
      <c r="D1021" s="37">
        <v>7.6999999999999999E-2</v>
      </c>
      <c r="E1021" s="37" t="s">
        <v>771</v>
      </c>
      <c r="F1021" s="37">
        <v>20</v>
      </c>
      <c r="G1021" s="37" t="s">
        <v>637</v>
      </c>
      <c r="H1021" s="37" t="s">
        <v>1320</v>
      </c>
      <c r="I1021" s="38">
        <f t="shared" si="120"/>
        <v>7.6999999999999999E-2</v>
      </c>
      <c r="J1021" s="38">
        <f t="shared" si="121"/>
        <v>0.40546510810816438</v>
      </c>
      <c r="K1021" s="38">
        <f t="shared" si="122"/>
        <v>-2.5639498571284531</v>
      </c>
      <c r="L1021" s="39">
        <f t="shared" si="123"/>
        <v>12.987012987012987</v>
      </c>
      <c r="M1021" s="39">
        <f t="shared" si="124"/>
        <v>15.905777550540117</v>
      </c>
      <c r="N1021" s="39">
        <f t="shared" si="125"/>
        <v>19.480519480519479</v>
      </c>
      <c r="O1021" s="40">
        <f>1</f>
        <v>1</v>
      </c>
      <c r="P1021" s="38">
        <f>INDEX(Cables!$AS:$AS,MATCH(B1021,Cables!$A:$A,0))+INDEX(Cables!$AT:$AT,MATCH(B1021,Cables!$A:$A,0))*SQRT(C1021)+INDEX(Cables!$AU:$AU,MATCH(B1021,Cables!$A:$A,0))*C1021</f>
        <v>7.6987521679669241E-2</v>
      </c>
      <c r="Q1021" s="41">
        <f t="shared" si="126"/>
        <v>-1.6205610819164384E-4</v>
      </c>
      <c r="R1021" s="39">
        <f t="shared" si="127"/>
        <v>2.6262182202221776E-8</v>
      </c>
      <c r="S1021" s="40" t="b">
        <f>IF(B1021=B1020,C1021&gt;C1020,COUNTIF(B$1:B1020,B1021)=0)</f>
        <v>1</v>
      </c>
      <c r="T1021" s="37"/>
    </row>
    <row r="1022" spans="1:20" x14ac:dyDescent="0.25">
      <c r="A1022" s="37" t="s">
        <v>1765</v>
      </c>
      <c r="B1022" s="37" t="s">
        <v>631</v>
      </c>
      <c r="C1022" s="37">
        <v>2</v>
      </c>
      <c r="D1022" s="37">
        <v>8.8999999999999996E-2</v>
      </c>
      <c r="E1022" s="37" t="s">
        <v>771</v>
      </c>
      <c r="F1022" s="37">
        <v>20</v>
      </c>
      <c r="G1022" s="37" t="s">
        <v>637</v>
      </c>
      <c r="H1022" s="37" t="s">
        <v>1320</v>
      </c>
      <c r="I1022" s="38">
        <f t="shared" si="120"/>
        <v>8.8999999999999996E-2</v>
      </c>
      <c r="J1022" s="38">
        <f t="shared" si="121"/>
        <v>0.69314718055994529</v>
      </c>
      <c r="K1022" s="38">
        <f t="shared" si="122"/>
        <v>-2.4191189092499972</v>
      </c>
      <c r="L1022" s="39">
        <f t="shared" si="123"/>
        <v>11.235955056179776</v>
      </c>
      <c r="M1022" s="39">
        <f t="shared" si="124"/>
        <v>15.890040026663991</v>
      </c>
      <c r="N1022" s="39">
        <f t="shared" si="125"/>
        <v>22.471910112359552</v>
      </c>
      <c r="O1022" s="40">
        <f>1</f>
        <v>1</v>
      </c>
      <c r="P1022" s="38">
        <f>INDEX(Cables!$AS:$AS,MATCH(B1022,Cables!$A:$A,0))+INDEX(Cables!$AT:$AT,MATCH(B1022,Cables!$A:$A,0))*SQRT(C1022)+INDEX(Cables!$AU:$AU,MATCH(B1022,Cables!$A:$A,0))*C1022</f>
        <v>8.9074452232353468E-2</v>
      </c>
      <c r="Q1022" s="41">
        <f t="shared" si="126"/>
        <v>8.3654193655591236E-4</v>
      </c>
      <c r="R1022" s="39">
        <f t="shared" si="127"/>
        <v>6.9980241161671613E-7</v>
      </c>
      <c r="S1022" s="40" t="b">
        <f>IF(B1022=B1021,C1022&gt;C1021,COUNTIF(B$1:B1021,B1022)=0)</f>
        <v>1</v>
      </c>
      <c r="T1022" s="37"/>
    </row>
    <row r="1023" spans="1:20" x14ac:dyDescent="0.25">
      <c r="A1023" s="37" t="s">
        <v>1766</v>
      </c>
      <c r="B1023" s="37" t="s">
        <v>631</v>
      </c>
      <c r="C1023" s="37">
        <v>10</v>
      </c>
      <c r="D1023" s="37">
        <v>0.20200000000000001</v>
      </c>
      <c r="E1023" s="37" t="s">
        <v>771</v>
      </c>
      <c r="F1023" s="37">
        <v>20</v>
      </c>
      <c r="G1023" s="37" t="s">
        <v>637</v>
      </c>
      <c r="H1023" s="37" t="s">
        <v>1320</v>
      </c>
      <c r="I1023" s="38">
        <f t="shared" si="120"/>
        <v>0.20200000000000001</v>
      </c>
      <c r="J1023" s="38">
        <f t="shared" si="121"/>
        <v>2.3025850929940459</v>
      </c>
      <c r="K1023" s="38">
        <f t="shared" si="122"/>
        <v>-1.5994875815809322</v>
      </c>
      <c r="L1023" s="39">
        <f t="shared" si="123"/>
        <v>4.9504950495049505</v>
      </c>
      <c r="M1023" s="39">
        <f t="shared" si="124"/>
        <v>15.65483990182366</v>
      </c>
      <c r="N1023" s="39">
        <f t="shared" si="125"/>
        <v>49.504950495049499</v>
      </c>
      <c r="O1023" s="40">
        <f>1</f>
        <v>1</v>
      </c>
      <c r="P1023" s="38">
        <f>INDEX(Cables!$AS:$AS,MATCH(B1023,Cables!$A:$A,0))+INDEX(Cables!$AT:$AT,MATCH(B1023,Cables!$A:$A,0))*SQRT(C1023)+INDEX(Cables!$AU:$AU,MATCH(B1023,Cables!$A:$A,0))*C1023</f>
        <v>0.20213074280663576</v>
      </c>
      <c r="Q1023" s="41">
        <f t="shared" si="126"/>
        <v>6.4724161700868699E-4</v>
      </c>
      <c r="R1023" s="39">
        <f t="shared" si="127"/>
        <v>4.1892171078801985E-7</v>
      </c>
      <c r="S1023" s="40" t="b">
        <f>IF(B1023=B1022,C1023&gt;C1022,COUNTIF(B$1:B1022,B1023)=0)</f>
        <v>1</v>
      </c>
      <c r="T1023" s="37"/>
    </row>
    <row r="1024" spans="1:20" x14ac:dyDescent="0.25">
      <c r="A1024" s="37" t="s">
        <v>1767</v>
      </c>
      <c r="B1024" s="37" t="s">
        <v>631</v>
      </c>
      <c r="C1024" s="37">
        <v>20</v>
      </c>
      <c r="D1024" s="37">
        <v>0.28899999999999998</v>
      </c>
      <c r="E1024" s="37" t="s">
        <v>771</v>
      </c>
      <c r="F1024" s="37">
        <v>20</v>
      </c>
      <c r="G1024" s="37" t="s">
        <v>637</v>
      </c>
      <c r="H1024" s="37" t="s">
        <v>1320</v>
      </c>
      <c r="I1024" s="38">
        <f t="shared" si="120"/>
        <v>0.28899999999999998</v>
      </c>
      <c r="J1024" s="38">
        <f t="shared" si="121"/>
        <v>2.9957322735539909</v>
      </c>
      <c r="K1024" s="38">
        <f t="shared" si="122"/>
        <v>-1.2413285908697049</v>
      </c>
      <c r="L1024" s="39">
        <f t="shared" si="123"/>
        <v>3.4602076124567476</v>
      </c>
      <c r="M1024" s="39">
        <f t="shared" si="124"/>
        <v>15.474518875431073</v>
      </c>
      <c r="N1024" s="39">
        <f t="shared" si="125"/>
        <v>69.20415224913495</v>
      </c>
      <c r="O1024" s="40">
        <f>1</f>
        <v>1</v>
      </c>
      <c r="P1024" s="38">
        <f>INDEX(Cables!$AS:$AS,MATCH(B1024,Cables!$A:$A,0))+INDEX(Cables!$AT:$AT,MATCH(B1024,Cables!$A:$A,0))*SQRT(C1024)+INDEX(Cables!$AU:$AU,MATCH(B1024,Cables!$A:$A,0))*C1024</f>
        <v>0.28866796842338688</v>
      </c>
      <c r="Q1024" s="41">
        <f t="shared" si="126"/>
        <v>-1.1488981889726801E-3</v>
      </c>
      <c r="R1024" s="39">
        <f t="shared" si="127"/>
        <v>1.3199670486247043E-6</v>
      </c>
      <c r="S1024" s="40" t="b">
        <f>IF(B1024=B1023,C1024&gt;C1023,COUNTIF(B$1:B1023,B1024)=0)</f>
        <v>1</v>
      </c>
      <c r="T1024" s="37"/>
    </row>
    <row r="1025" spans="1:20" x14ac:dyDescent="0.25">
      <c r="A1025" s="37" t="s">
        <v>1768</v>
      </c>
      <c r="B1025" s="37" t="s">
        <v>631</v>
      </c>
      <c r="C1025" s="37">
        <v>30</v>
      </c>
      <c r="D1025" s="37">
        <v>0.35599999999999998</v>
      </c>
      <c r="E1025" s="37" t="s">
        <v>771</v>
      </c>
      <c r="F1025" s="37">
        <v>20</v>
      </c>
      <c r="G1025" s="37" t="s">
        <v>637</v>
      </c>
      <c r="H1025" s="37" t="s">
        <v>1320</v>
      </c>
      <c r="I1025" s="38">
        <f t="shared" si="120"/>
        <v>0.35599999999999998</v>
      </c>
      <c r="J1025" s="38">
        <f t="shared" si="121"/>
        <v>3.4011973816621555</v>
      </c>
      <c r="K1025" s="38">
        <f t="shared" si="122"/>
        <v>-1.0328245481301066</v>
      </c>
      <c r="L1025" s="39">
        <f t="shared" si="123"/>
        <v>2.808988764044944</v>
      </c>
      <c r="M1025" s="39">
        <f t="shared" si="124"/>
        <v>15.385465098459724</v>
      </c>
      <c r="N1025" s="39">
        <f t="shared" si="125"/>
        <v>84.269662921348313</v>
      </c>
      <c r="O1025" s="40">
        <f>1</f>
        <v>1</v>
      </c>
      <c r="P1025" s="38">
        <f>INDEX(Cables!$AS:$AS,MATCH(B1025,Cables!$A:$A,0))+INDEX(Cables!$AT:$AT,MATCH(B1025,Cables!$A:$A,0))*SQRT(C1025)+INDEX(Cables!$AU:$AU,MATCH(B1025,Cables!$A:$A,0))*C1025</f>
        <v>0.35612867683731342</v>
      </c>
      <c r="Q1025" s="41">
        <f t="shared" si="126"/>
        <v>3.6145179020619089E-4</v>
      </c>
      <c r="R1025" s="39">
        <f t="shared" si="127"/>
        <v>1.3064739664326024E-7</v>
      </c>
      <c r="S1025" s="40" t="b">
        <f>IF(B1025=B1024,C1025&gt;C1024,COUNTIF(B$1:B1024,B1025)=0)</f>
        <v>1</v>
      </c>
      <c r="T1025" s="37"/>
    </row>
    <row r="1026" spans="1:20" x14ac:dyDescent="0.25">
      <c r="A1026" s="37" t="s">
        <v>1769</v>
      </c>
      <c r="B1026" s="37" t="s">
        <v>631</v>
      </c>
      <c r="C1026" s="37">
        <v>50</v>
      </c>
      <c r="D1026" s="37">
        <v>0.46500000000000002</v>
      </c>
      <c r="E1026" s="37" t="s">
        <v>771</v>
      </c>
      <c r="F1026" s="37">
        <v>20</v>
      </c>
      <c r="G1026" s="37" t="s">
        <v>637</v>
      </c>
      <c r="H1026" s="37" t="s">
        <v>1320</v>
      </c>
      <c r="I1026" s="38">
        <f t="shared" ref="I1026:I1089" si="128">IF(E1026="dB/100ft",D1026*100/30.48,D1026)</f>
        <v>0.46500000000000002</v>
      </c>
      <c r="J1026" s="38">
        <f t="shared" ref="J1026:J1089" si="129">LN(C1026)</f>
        <v>3.912023005428146</v>
      </c>
      <c r="K1026" s="38">
        <f t="shared" ref="K1026:K1089" si="130">LN(I1026)</f>
        <v>-0.7657178733947807</v>
      </c>
      <c r="L1026" s="39">
        <f t="shared" ref="L1026:L1089" si="131">1/I1026</f>
        <v>2.150537634408602</v>
      </c>
      <c r="M1026" s="39">
        <f t="shared" ref="M1026:M1089" si="132">SQRT(C1026)/I1026</f>
        <v>15.20659744487199</v>
      </c>
      <c r="N1026" s="39">
        <f t="shared" ref="N1026:N1089" si="133">C1026/I1026</f>
        <v>107.5268817204301</v>
      </c>
      <c r="O1026" s="40">
        <f>1</f>
        <v>1</v>
      </c>
      <c r="P1026" s="38">
        <f>INDEX(Cables!$AS:$AS,MATCH(B1026,Cables!$A:$A,0))+INDEX(Cables!$AT:$AT,MATCH(B1026,Cables!$A:$A,0))*SQRT(C1026)+INDEX(Cables!$AU:$AU,MATCH(B1026,Cables!$A:$A,0))*C1026</f>
        <v>0.46499013192140476</v>
      </c>
      <c r="Q1026" s="41">
        <f t="shared" ref="Q1026:Q1089" si="134">P1026/I1026-1</f>
        <v>-2.1221674398441692E-5</v>
      </c>
      <c r="R1026" s="39">
        <f t="shared" ref="R1026:R1089" si="135">Q1026^2</f>
        <v>4.5035946427347556E-10</v>
      </c>
      <c r="S1026" s="40" t="b">
        <f>IF(B1026=B1025,C1026&gt;C1025,COUNTIF(B$1:B1025,B1026)=0)</f>
        <v>1</v>
      </c>
      <c r="T1026" s="37"/>
    </row>
    <row r="1027" spans="1:20" x14ac:dyDescent="0.25">
      <c r="A1027" s="37" t="s">
        <v>1770</v>
      </c>
      <c r="B1027" s="37" t="s">
        <v>631</v>
      </c>
      <c r="C1027" s="37">
        <v>88</v>
      </c>
      <c r="D1027" s="37">
        <v>0.627</v>
      </c>
      <c r="E1027" s="37" t="s">
        <v>771</v>
      </c>
      <c r="F1027" s="37">
        <v>20</v>
      </c>
      <c r="G1027" s="37" t="s">
        <v>637</v>
      </c>
      <c r="H1027" s="37" t="s">
        <v>1320</v>
      </c>
      <c r="I1027" s="38">
        <f t="shared" si="128"/>
        <v>0.627</v>
      </c>
      <c r="J1027" s="38">
        <f t="shared" si="129"/>
        <v>4.4773368144782069</v>
      </c>
      <c r="K1027" s="38">
        <f t="shared" si="130"/>
        <v>-0.46680873834921638</v>
      </c>
      <c r="L1027" s="39">
        <f t="shared" si="131"/>
        <v>1.594896331738437</v>
      </c>
      <c r="M1027" s="39">
        <f t="shared" si="132"/>
        <v>14.961453779341083</v>
      </c>
      <c r="N1027" s="39">
        <f t="shared" si="133"/>
        <v>140.35087719298247</v>
      </c>
      <c r="O1027" s="40">
        <f>1</f>
        <v>1</v>
      </c>
      <c r="P1027" s="38">
        <f>INDEX(Cables!$AS:$AS,MATCH(B1027,Cables!$A:$A,0))+INDEX(Cables!$AT:$AT,MATCH(B1027,Cables!$A:$A,0))*SQRT(C1027)+INDEX(Cables!$AU:$AU,MATCH(B1027,Cables!$A:$A,0))*C1027</f>
        <v>0.62685122866714338</v>
      </c>
      <c r="Q1027" s="41">
        <f t="shared" si="134"/>
        <v>-2.3727485304081419E-4</v>
      </c>
      <c r="R1027" s="39">
        <f t="shared" si="135"/>
        <v>5.6299355885539969E-8</v>
      </c>
      <c r="S1027" s="40" t="b">
        <f>IF(B1027=B1026,C1027&gt;C1026,COUNTIF(B$1:B1026,B1027)=0)</f>
        <v>1</v>
      </c>
      <c r="T1027" s="37"/>
    </row>
    <row r="1028" spans="1:20" x14ac:dyDescent="0.25">
      <c r="A1028" s="37" t="s">
        <v>1771</v>
      </c>
      <c r="B1028" s="37" t="s">
        <v>631</v>
      </c>
      <c r="C1028" s="37">
        <v>100</v>
      </c>
      <c r="D1028" s="37">
        <v>0.67100000000000004</v>
      </c>
      <c r="E1028" s="37" t="s">
        <v>771</v>
      </c>
      <c r="F1028" s="37">
        <v>20</v>
      </c>
      <c r="G1028" s="37" t="s">
        <v>637</v>
      </c>
      <c r="H1028" s="37" t="s">
        <v>1320</v>
      </c>
      <c r="I1028" s="38">
        <f t="shared" si="128"/>
        <v>0.67100000000000004</v>
      </c>
      <c r="J1028" s="38">
        <f t="shared" si="129"/>
        <v>4.6051701859880918</v>
      </c>
      <c r="K1028" s="38">
        <f t="shared" si="130"/>
        <v>-0.39898614201045518</v>
      </c>
      <c r="L1028" s="39">
        <f t="shared" si="131"/>
        <v>1.4903129657228018</v>
      </c>
      <c r="M1028" s="39">
        <f t="shared" si="132"/>
        <v>14.903129657228018</v>
      </c>
      <c r="N1028" s="39">
        <f t="shared" si="133"/>
        <v>149.03129657228018</v>
      </c>
      <c r="O1028" s="40">
        <f>1</f>
        <v>1</v>
      </c>
      <c r="P1028" s="38">
        <f>INDEX(Cables!$AS:$AS,MATCH(B1028,Cables!$A:$A,0))+INDEX(Cables!$AT:$AT,MATCH(B1028,Cables!$A:$A,0))*SQRT(C1028)+INDEX(Cables!$AU:$AU,MATCH(B1028,Cables!$A:$A,0))*C1028</f>
        <v>0.67106554861807766</v>
      </c>
      <c r="Q1028" s="41">
        <f t="shared" si="134"/>
        <v>9.7687955406211557E-5</v>
      </c>
      <c r="R1028" s="39">
        <f t="shared" si="135"/>
        <v>9.5429366314459785E-9</v>
      </c>
      <c r="S1028" s="40" t="b">
        <f>IF(B1028=B1027,C1028&gt;C1027,COUNTIF(B$1:B1027,B1028)=0)</f>
        <v>1</v>
      </c>
      <c r="T1028" s="37"/>
    </row>
    <row r="1029" spans="1:20" x14ac:dyDescent="0.25">
      <c r="A1029" s="37" t="s">
        <v>1772</v>
      </c>
      <c r="B1029" s="37" t="s">
        <v>631</v>
      </c>
      <c r="C1029" s="37">
        <v>108</v>
      </c>
      <c r="D1029" s="37">
        <v>0.69899999999999995</v>
      </c>
      <c r="E1029" s="37" t="s">
        <v>771</v>
      </c>
      <c r="F1029" s="37">
        <v>20</v>
      </c>
      <c r="G1029" s="37" t="s">
        <v>637</v>
      </c>
      <c r="H1029" s="37" t="s">
        <v>1320</v>
      </c>
      <c r="I1029" s="38">
        <f t="shared" si="128"/>
        <v>0.69899999999999995</v>
      </c>
      <c r="J1029" s="38">
        <f t="shared" si="129"/>
        <v>4.6821312271242199</v>
      </c>
      <c r="K1029" s="38">
        <f t="shared" si="130"/>
        <v>-0.35810453674832687</v>
      </c>
      <c r="L1029" s="39">
        <f t="shared" si="131"/>
        <v>1.4306151645207441</v>
      </c>
      <c r="M1029" s="39">
        <f t="shared" si="132"/>
        <v>14.867388906170621</v>
      </c>
      <c r="N1029" s="39">
        <f t="shared" si="133"/>
        <v>154.50643776824035</v>
      </c>
      <c r="O1029" s="40">
        <f>1</f>
        <v>1</v>
      </c>
      <c r="P1029" s="38">
        <f>INDEX(Cables!$AS:$AS,MATCH(B1029,Cables!$A:$A,0))+INDEX(Cables!$AT:$AT,MATCH(B1029,Cables!$A:$A,0))*SQRT(C1029)+INDEX(Cables!$AU:$AU,MATCH(B1029,Cables!$A:$A,0))*C1029</f>
        <v>0.69926021514356751</v>
      </c>
      <c r="Q1029" s="41">
        <f t="shared" si="134"/>
        <v>3.7226773042564609E-4</v>
      </c>
      <c r="R1029" s="39">
        <f t="shared" si="135"/>
        <v>1.3858326311626151E-7</v>
      </c>
      <c r="S1029" s="40" t="b">
        <f>IF(B1029=B1028,C1029&gt;C1028,COUNTIF(B$1:B1028,B1029)=0)</f>
        <v>1</v>
      </c>
      <c r="T1029" s="37"/>
    </row>
    <row r="1030" spans="1:20" x14ac:dyDescent="0.25">
      <c r="A1030" s="37" t="s">
        <v>1773</v>
      </c>
      <c r="B1030" s="37" t="s">
        <v>631</v>
      </c>
      <c r="C1030" s="37">
        <v>150</v>
      </c>
      <c r="D1030" s="37">
        <v>0.83399999999999996</v>
      </c>
      <c r="E1030" s="37" t="s">
        <v>771</v>
      </c>
      <c r="F1030" s="37">
        <v>20</v>
      </c>
      <c r="G1030" s="37" t="s">
        <v>637</v>
      </c>
      <c r="H1030" s="37" t="s">
        <v>1320</v>
      </c>
      <c r="I1030" s="38">
        <f t="shared" si="128"/>
        <v>0.83399999999999996</v>
      </c>
      <c r="J1030" s="38">
        <f t="shared" si="129"/>
        <v>5.0106352940962555</v>
      </c>
      <c r="K1030" s="38">
        <f t="shared" si="130"/>
        <v>-0.18152187662339034</v>
      </c>
      <c r="L1030" s="39">
        <f t="shared" si="131"/>
        <v>1.1990407673860912</v>
      </c>
      <c r="M1030" s="39">
        <f t="shared" si="132"/>
        <v>14.685190304455505</v>
      </c>
      <c r="N1030" s="39">
        <f t="shared" si="133"/>
        <v>179.85611510791367</v>
      </c>
      <c r="O1030" s="40">
        <f>1</f>
        <v>1</v>
      </c>
      <c r="P1030" s="38">
        <f>INDEX(Cables!$AS:$AS,MATCH(B1030,Cables!$A:$A,0))+INDEX(Cables!$AT:$AT,MATCH(B1030,Cables!$A:$A,0))*SQRT(C1030)+INDEX(Cables!$AU:$AU,MATCH(B1030,Cables!$A:$A,0))*C1030</f>
        <v>0.8344845760752907</v>
      </c>
      <c r="Q1030" s="41">
        <f t="shared" si="134"/>
        <v>5.8102646917346235E-4</v>
      </c>
      <c r="R1030" s="39">
        <f t="shared" si="135"/>
        <v>3.3759175788018038E-7</v>
      </c>
      <c r="S1030" s="40" t="b">
        <f>IF(B1030=B1029,C1030&gt;C1029,COUNTIF(B$1:B1029,B1030)=0)</f>
        <v>1</v>
      </c>
      <c r="T1030" s="37"/>
    </row>
    <row r="1031" spans="1:20" x14ac:dyDescent="0.25">
      <c r="A1031" s="37" t="s">
        <v>1774</v>
      </c>
      <c r="B1031" s="37" t="s">
        <v>631</v>
      </c>
      <c r="C1031" s="37">
        <v>174</v>
      </c>
      <c r="D1031" s="37">
        <v>0.90400000000000003</v>
      </c>
      <c r="E1031" s="37" t="s">
        <v>771</v>
      </c>
      <c r="F1031" s="37">
        <v>20</v>
      </c>
      <c r="G1031" s="37" t="s">
        <v>637</v>
      </c>
      <c r="H1031" s="37" t="s">
        <v>1320</v>
      </c>
      <c r="I1031" s="38">
        <f t="shared" si="128"/>
        <v>0.90400000000000003</v>
      </c>
      <c r="J1031" s="38">
        <f t="shared" si="129"/>
        <v>5.1590552992145291</v>
      </c>
      <c r="K1031" s="38">
        <f t="shared" si="130"/>
        <v>-0.10092591858996053</v>
      </c>
      <c r="L1031" s="39">
        <f t="shared" si="131"/>
        <v>1.1061946902654867</v>
      </c>
      <c r="M1031" s="39">
        <f t="shared" si="132"/>
        <v>14.591710130832876</v>
      </c>
      <c r="N1031" s="39">
        <f t="shared" si="133"/>
        <v>192.47787610619469</v>
      </c>
      <c r="O1031" s="40">
        <f>1</f>
        <v>1</v>
      </c>
      <c r="P1031" s="38">
        <f>INDEX(Cables!$AS:$AS,MATCH(B1031,Cables!$A:$A,0))+INDEX(Cables!$AT:$AT,MATCH(B1031,Cables!$A:$A,0))*SQRT(C1031)+INDEX(Cables!$AU:$AU,MATCH(B1031,Cables!$A:$A,0))*C1031</f>
        <v>0.9044556826175465</v>
      </c>
      <c r="Q1031" s="41">
        <f t="shared" si="134"/>
        <v>5.0407369197613683E-4</v>
      </c>
      <c r="R1031" s="39">
        <f t="shared" si="135"/>
        <v>2.5409028694245327E-7</v>
      </c>
      <c r="S1031" s="40" t="b">
        <f>IF(B1031=B1030,C1031&gt;C1030,COUNTIF(B$1:B1030,B1031)=0)</f>
        <v>1</v>
      </c>
      <c r="T1031" s="37"/>
    </row>
    <row r="1032" spans="1:20" x14ac:dyDescent="0.25">
      <c r="A1032" s="37" t="s">
        <v>1775</v>
      </c>
      <c r="B1032" s="37" t="s">
        <v>631</v>
      </c>
      <c r="C1032" s="37">
        <v>200</v>
      </c>
      <c r="D1032" s="37">
        <v>0.97599999999999998</v>
      </c>
      <c r="E1032" s="37" t="s">
        <v>771</v>
      </c>
      <c r="F1032" s="37">
        <v>20</v>
      </c>
      <c r="G1032" s="37" t="s">
        <v>637</v>
      </c>
      <c r="H1032" s="37" t="s">
        <v>1320</v>
      </c>
      <c r="I1032" s="38">
        <f t="shared" si="128"/>
        <v>0.97599999999999998</v>
      </c>
      <c r="J1032" s="38">
        <f t="shared" si="129"/>
        <v>5.2983173665480363</v>
      </c>
      <c r="K1032" s="38">
        <f t="shared" si="130"/>
        <v>-2.4292692569044587E-2</v>
      </c>
      <c r="L1032" s="39">
        <f t="shared" si="131"/>
        <v>1.0245901639344261</v>
      </c>
      <c r="M1032" s="39">
        <f t="shared" si="132"/>
        <v>14.489893057101385</v>
      </c>
      <c r="N1032" s="39">
        <f t="shared" si="133"/>
        <v>204.91803278688525</v>
      </c>
      <c r="O1032" s="40">
        <f>1</f>
        <v>1</v>
      </c>
      <c r="P1032" s="38">
        <f>INDEX(Cables!$AS:$AS,MATCH(B1032,Cables!$A:$A,0))+INDEX(Cables!$AT:$AT,MATCH(B1032,Cables!$A:$A,0))*SQRT(C1032)+INDEX(Cables!$AU:$AU,MATCH(B1032,Cables!$A:$A,0))*C1032</f>
        <v>0.97582303167154694</v>
      </c>
      <c r="Q1032" s="41">
        <f t="shared" si="134"/>
        <v>-1.8132000866089015E-4</v>
      </c>
      <c r="R1032" s="39">
        <f t="shared" si="135"/>
        <v>3.2876945540785283E-8</v>
      </c>
      <c r="S1032" s="40" t="b">
        <f>IF(B1032=B1031,C1032&gt;C1031,COUNTIF(B$1:B1031,B1032)=0)</f>
        <v>1</v>
      </c>
      <c r="T1032" s="37"/>
    </row>
    <row r="1033" spans="1:20" x14ac:dyDescent="0.25">
      <c r="A1033" s="37" t="s">
        <v>1776</v>
      </c>
      <c r="B1033" s="37" t="s">
        <v>631</v>
      </c>
      <c r="C1033" s="37">
        <v>300</v>
      </c>
      <c r="D1033" s="37">
        <v>1.22</v>
      </c>
      <c r="E1033" s="37" t="s">
        <v>771</v>
      </c>
      <c r="F1033" s="37">
        <v>20</v>
      </c>
      <c r="G1033" s="37" t="s">
        <v>637</v>
      </c>
      <c r="H1033" s="37" t="s">
        <v>1320</v>
      </c>
      <c r="I1033" s="38">
        <f t="shared" si="128"/>
        <v>1.22</v>
      </c>
      <c r="J1033" s="38">
        <f t="shared" si="129"/>
        <v>5.7037824746562009</v>
      </c>
      <c r="K1033" s="38">
        <f t="shared" si="130"/>
        <v>0.19885085874516517</v>
      </c>
      <c r="L1033" s="39">
        <f t="shared" si="131"/>
        <v>0.81967213114754101</v>
      </c>
      <c r="M1033" s="39">
        <f t="shared" si="132"/>
        <v>14.197137766958011</v>
      </c>
      <c r="N1033" s="39">
        <f t="shared" si="133"/>
        <v>245.90163934426229</v>
      </c>
      <c r="O1033" s="40">
        <f>1</f>
        <v>1</v>
      </c>
      <c r="P1033" s="38">
        <f>INDEX(Cables!$AS:$AS,MATCH(B1033,Cables!$A:$A,0))+INDEX(Cables!$AT:$AT,MATCH(B1033,Cables!$A:$A,0))*SQRT(C1033)+INDEX(Cables!$AU:$AU,MATCH(B1033,Cables!$A:$A,0))*C1033</f>
        <v>1.2202552705407059</v>
      </c>
      <c r="Q1033" s="41">
        <f t="shared" si="134"/>
        <v>2.0923814811957264E-4</v>
      </c>
      <c r="R1033" s="39">
        <f t="shared" si="135"/>
        <v>4.378060262850822E-8</v>
      </c>
      <c r="S1033" s="40" t="b">
        <f>IF(B1033=B1032,C1033&gt;C1032,COUNTIF(B$1:B1032,B1033)=0)</f>
        <v>1</v>
      </c>
      <c r="T1033" s="37"/>
    </row>
    <row r="1034" spans="1:20" x14ac:dyDescent="0.25">
      <c r="A1034" s="37" t="s">
        <v>1777</v>
      </c>
      <c r="B1034" s="37" t="s">
        <v>631</v>
      </c>
      <c r="C1034" s="37">
        <v>400</v>
      </c>
      <c r="D1034" s="37">
        <v>1.4330000000000001</v>
      </c>
      <c r="E1034" s="37" t="s">
        <v>771</v>
      </c>
      <c r="F1034" s="37">
        <v>20</v>
      </c>
      <c r="G1034" s="37" t="s">
        <v>637</v>
      </c>
      <c r="H1034" s="37" t="s">
        <v>1320</v>
      </c>
      <c r="I1034" s="38">
        <f t="shared" si="128"/>
        <v>1.4330000000000001</v>
      </c>
      <c r="J1034" s="38">
        <f t="shared" si="129"/>
        <v>5.9914645471079817</v>
      </c>
      <c r="K1034" s="38">
        <f t="shared" si="130"/>
        <v>0.35977014884603481</v>
      </c>
      <c r="L1034" s="39">
        <f t="shared" si="131"/>
        <v>0.69783670621074667</v>
      </c>
      <c r="M1034" s="39">
        <f t="shared" si="132"/>
        <v>13.956734124214933</v>
      </c>
      <c r="N1034" s="39">
        <f t="shared" si="133"/>
        <v>279.13468248429865</v>
      </c>
      <c r="O1034" s="40">
        <f>1</f>
        <v>1</v>
      </c>
      <c r="P1034" s="38">
        <f>INDEX(Cables!$AS:$AS,MATCH(B1034,Cables!$A:$A,0))+INDEX(Cables!$AT:$AT,MATCH(B1034,Cables!$A:$A,0))*SQRT(C1034)+INDEX(Cables!$AU:$AU,MATCH(B1034,Cables!$A:$A,0))*C1034</f>
        <v>1.4334608652191461</v>
      </c>
      <c r="Q1034" s="41">
        <f t="shared" si="134"/>
        <v>3.2160866653585529E-4</v>
      </c>
      <c r="R1034" s="39">
        <f t="shared" si="135"/>
        <v>1.0343213439097097E-7</v>
      </c>
      <c r="S1034" s="40" t="b">
        <f>IF(B1034=B1033,C1034&gt;C1033,COUNTIF(B$1:B1033,B1034)=0)</f>
        <v>1</v>
      </c>
      <c r="T1034" s="37"/>
    </row>
    <row r="1035" spans="1:20" x14ac:dyDescent="0.25">
      <c r="A1035" s="37" t="s">
        <v>1778</v>
      </c>
      <c r="B1035" s="37" t="s">
        <v>631</v>
      </c>
      <c r="C1035" s="37">
        <v>450</v>
      </c>
      <c r="D1035" s="37">
        <v>1.532</v>
      </c>
      <c r="E1035" s="37" t="s">
        <v>771</v>
      </c>
      <c r="F1035" s="37">
        <v>20</v>
      </c>
      <c r="G1035" s="37" t="s">
        <v>637</v>
      </c>
      <c r="H1035" s="37" t="s">
        <v>1320</v>
      </c>
      <c r="I1035" s="38">
        <f t="shared" si="128"/>
        <v>1.532</v>
      </c>
      <c r="J1035" s="38">
        <f t="shared" si="129"/>
        <v>6.1092475827643655</v>
      </c>
      <c r="K1035" s="38">
        <f t="shared" si="130"/>
        <v>0.42657407131839958</v>
      </c>
      <c r="L1035" s="39">
        <f t="shared" si="131"/>
        <v>0.65274151436031336</v>
      </c>
      <c r="M1035" s="39">
        <f t="shared" si="132"/>
        <v>13.846738534984611</v>
      </c>
      <c r="N1035" s="39">
        <f t="shared" si="133"/>
        <v>293.73368146214096</v>
      </c>
      <c r="O1035" s="40">
        <f>1</f>
        <v>1</v>
      </c>
      <c r="P1035" s="38">
        <f>INDEX(Cables!$AS:$AS,MATCH(B1035,Cables!$A:$A,0))+INDEX(Cables!$AT:$AT,MATCH(B1035,Cables!$A:$A,0))*SQRT(C1035)+INDEX(Cables!$AU:$AU,MATCH(B1035,Cables!$A:$A,0))*C1035</f>
        <v>1.5321429315759423</v>
      </c>
      <c r="Q1035" s="41">
        <f t="shared" si="134"/>
        <v>9.3297373330525346E-5</v>
      </c>
      <c r="R1035" s="39">
        <f t="shared" si="135"/>
        <v>8.7043998703754228E-9</v>
      </c>
      <c r="S1035" s="40" t="b">
        <f>IF(B1035=B1034,C1035&gt;C1034,COUNTIF(B$1:B1034,B1035)=0)</f>
        <v>1</v>
      </c>
      <c r="T1035" s="37"/>
    </row>
    <row r="1036" spans="1:20" x14ac:dyDescent="0.25">
      <c r="A1036" s="37" t="s">
        <v>1779</v>
      </c>
      <c r="B1036" s="37" t="s">
        <v>631</v>
      </c>
      <c r="C1036" s="37">
        <v>500</v>
      </c>
      <c r="D1036" s="37">
        <v>1.6259999999999999</v>
      </c>
      <c r="E1036" s="37" t="s">
        <v>771</v>
      </c>
      <c r="F1036" s="37">
        <v>20</v>
      </c>
      <c r="G1036" s="37" t="s">
        <v>637</v>
      </c>
      <c r="H1036" s="37" t="s">
        <v>1320</v>
      </c>
      <c r="I1036" s="38">
        <f t="shared" si="128"/>
        <v>1.6259999999999999</v>
      </c>
      <c r="J1036" s="38">
        <f t="shared" si="129"/>
        <v>6.2146080984221914</v>
      </c>
      <c r="K1036" s="38">
        <f t="shared" si="130"/>
        <v>0.48612301112561879</v>
      </c>
      <c r="L1036" s="39">
        <f t="shared" si="131"/>
        <v>0.61500615006150061</v>
      </c>
      <c r="M1036" s="39">
        <f t="shared" si="132"/>
        <v>13.751955581179519</v>
      </c>
      <c r="N1036" s="39">
        <f t="shared" si="133"/>
        <v>307.50307503075032</v>
      </c>
      <c r="O1036" s="40">
        <f>1</f>
        <v>1</v>
      </c>
      <c r="P1036" s="38">
        <f>INDEX(Cables!$AS:$AS,MATCH(B1036,Cables!$A:$A,0))+INDEX(Cables!$AT:$AT,MATCH(B1036,Cables!$A:$A,0))*SQRT(C1036)+INDEX(Cables!$AU:$AU,MATCH(B1036,Cables!$A:$A,0))*C1036</f>
        <v>1.626710913431884</v>
      </c>
      <c r="Q1036" s="41">
        <f t="shared" si="134"/>
        <v>4.3721613277014626E-4</v>
      </c>
      <c r="R1036" s="39">
        <f t="shared" si="135"/>
        <v>1.9115794675448217E-7</v>
      </c>
      <c r="S1036" s="40" t="b">
        <f>IF(B1036=B1035,C1036&gt;C1035,COUNTIF(B$1:B1035,B1036)=0)</f>
        <v>1</v>
      </c>
      <c r="T1036" s="37"/>
    </row>
    <row r="1037" spans="1:20" x14ac:dyDescent="0.25">
      <c r="A1037" s="37" t="s">
        <v>1780</v>
      </c>
      <c r="B1037" s="37" t="s">
        <v>631</v>
      </c>
      <c r="C1037" s="37">
        <v>512</v>
      </c>
      <c r="D1037" s="37">
        <v>1.649</v>
      </c>
      <c r="E1037" s="37" t="s">
        <v>771</v>
      </c>
      <c r="F1037" s="37">
        <v>20</v>
      </c>
      <c r="G1037" s="37" t="s">
        <v>637</v>
      </c>
      <c r="H1037" s="37" t="s">
        <v>1320</v>
      </c>
      <c r="I1037" s="38">
        <f t="shared" si="128"/>
        <v>1.649</v>
      </c>
      <c r="J1037" s="38">
        <f t="shared" si="129"/>
        <v>6.2383246250395077</v>
      </c>
      <c r="K1037" s="38">
        <f t="shared" si="130"/>
        <v>0.50016904357746184</v>
      </c>
      <c r="L1037" s="39">
        <f t="shared" si="131"/>
        <v>0.60642813826561548</v>
      </c>
      <c r="M1037" s="39">
        <f t="shared" si="132"/>
        <v>13.721902363838399</v>
      </c>
      <c r="N1037" s="39">
        <f t="shared" si="133"/>
        <v>310.49120679199513</v>
      </c>
      <c r="O1037" s="40">
        <f>1</f>
        <v>1</v>
      </c>
      <c r="P1037" s="38">
        <f>INDEX(Cables!$AS:$AS,MATCH(B1037,Cables!$A:$A,0))+INDEX(Cables!$AT:$AT,MATCH(B1037,Cables!$A:$A,0))*SQRT(C1037)+INDEX(Cables!$AU:$AU,MATCH(B1037,Cables!$A:$A,0))*C1037</f>
        <v>1.648865351575332</v>
      </c>
      <c r="Q1037" s="41">
        <f t="shared" si="134"/>
        <v>-8.1654593491853333E-5</v>
      </c>
      <c r="R1037" s="39">
        <f t="shared" si="135"/>
        <v>6.6674726383198164E-9</v>
      </c>
      <c r="S1037" s="40" t="b">
        <f>IF(B1037=B1036,C1037&gt;C1036,COUNTIF(B$1:B1036,B1037)=0)</f>
        <v>1</v>
      </c>
      <c r="T1037" s="37"/>
    </row>
    <row r="1038" spans="1:20" x14ac:dyDescent="0.25">
      <c r="A1038" s="37" t="s">
        <v>1781</v>
      </c>
      <c r="B1038" s="37" t="s">
        <v>631</v>
      </c>
      <c r="C1038" s="37">
        <v>600</v>
      </c>
      <c r="D1038" s="37">
        <v>1.806</v>
      </c>
      <c r="E1038" s="37" t="s">
        <v>771</v>
      </c>
      <c r="F1038" s="37">
        <v>20</v>
      </c>
      <c r="G1038" s="37" t="s">
        <v>637</v>
      </c>
      <c r="H1038" s="37" t="s">
        <v>1320</v>
      </c>
      <c r="I1038" s="38">
        <f t="shared" si="128"/>
        <v>1.806</v>
      </c>
      <c r="J1038" s="38">
        <f t="shared" si="129"/>
        <v>6.3969296552161463</v>
      </c>
      <c r="K1038" s="38">
        <f t="shared" si="130"/>
        <v>0.59111445499479376</v>
      </c>
      <c r="L1038" s="39">
        <f t="shared" si="131"/>
        <v>0.55370985603543743</v>
      </c>
      <c r="M1038" s="39">
        <f t="shared" si="132"/>
        <v>13.563066128367542</v>
      </c>
      <c r="N1038" s="39">
        <f t="shared" si="133"/>
        <v>332.22591362126246</v>
      </c>
      <c r="O1038" s="40">
        <f>1</f>
        <v>1</v>
      </c>
      <c r="P1038" s="38">
        <f>INDEX(Cables!$AS:$AS,MATCH(B1038,Cables!$A:$A,0))+INDEX(Cables!$AT:$AT,MATCH(B1038,Cables!$A:$A,0))*SQRT(C1038)+INDEX(Cables!$AU:$AU,MATCH(B1038,Cables!$A:$A,0))*C1038</f>
        <v>1.8057859202878257</v>
      </c>
      <c r="Q1038" s="41">
        <f t="shared" si="134"/>
        <v>-1.1853804660821865E-4</v>
      </c>
      <c r="R1038" s="39">
        <f t="shared" si="135"/>
        <v>1.4051268493692218E-8</v>
      </c>
      <c r="S1038" s="40" t="b">
        <f>IF(B1038=B1037,C1038&gt;C1037,COUNTIF(B$1:B1037,B1038)=0)</f>
        <v>1</v>
      </c>
      <c r="T1038" s="37"/>
    </row>
    <row r="1039" spans="1:20" x14ac:dyDescent="0.25">
      <c r="A1039" s="37" t="s">
        <v>1782</v>
      </c>
      <c r="B1039" s="37" t="s">
        <v>631</v>
      </c>
      <c r="C1039" s="37">
        <v>700</v>
      </c>
      <c r="D1039" s="37">
        <v>1.974</v>
      </c>
      <c r="E1039" s="37" t="s">
        <v>771</v>
      </c>
      <c r="F1039" s="37">
        <v>20</v>
      </c>
      <c r="G1039" s="37" t="s">
        <v>637</v>
      </c>
      <c r="H1039" s="37" t="s">
        <v>1320</v>
      </c>
      <c r="I1039" s="38">
        <f t="shared" si="128"/>
        <v>1.974</v>
      </c>
      <c r="J1039" s="38">
        <f t="shared" si="129"/>
        <v>6.5510803350434044</v>
      </c>
      <c r="K1039" s="38">
        <f t="shared" si="130"/>
        <v>0.68006194101128981</v>
      </c>
      <c r="L1039" s="39">
        <f t="shared" si="131"/>
        <v>0.50658561296859173</v>
      </c>
      <c r="M1039" s="39">
        <f t="shared" si="132"/>
        <v>13.402995496781108</v>
      </c>
      <c r="N1039" s="39">
        <f t="shared" si="133"/>
        <v>354.6099290780142</v>
      </c>
      <c r="O1039" s="40">
        <f>1</f>
        <v>1</v>
      </c>
      <c r="P1039" s="38">
        <f>INDEX(Cables!$AS:$AS,MATCH(B1039,Cables!$A:$A,0))+INDEX(Cables!$AT:$AT,MATCH(B1039,Cables!$A:$A,0))*SQRT(C1039)+INDEX(Cables!$AU:$AU,MATCH(B1039,Cables!$A:$A,0))*C1039</f>
        <v>1.9741197709685367</v>
      </c>
      <c r="Q1039" s="41">
        <f t="shared" si="134"/>
        <v>6.0674249511949441E-5</v>
      </c>
      <c r="R1039" s="39">
        <f t="shared" si="135"/>
        <v>3.6813645538382971E-9</v>
      </c>
      <c r="S1039" s="40" t="b">
        <f>IF(B1039=B1038,C1039&gt;C1038,COUNTIF(B$1:B1038,B1039)=0)</f>
        <v>1</v>
      </c>
      <c r="T1039" s="37"/>
    </row>
    <row r="1040" spans="1:20" x14ac:dyDescent="0.25">
      <c r="A1040" s="37" t="s">
        <v>1783</v>
      </c>
      <c r="B1040" s="37" t="s">
        <v>631</v>
      </c>
      <c r="C1040" s="37">
        <v>800</v>
      </c>
      <c r="D1040" s="37">
        <v>2.1339999999999999</v>
      </c>
      <c r="E1040" s="37" t="s">
        <v>771</v>
      </c>
      <c r="F1040" s="37">
        <v>20</v>
      </c>
      <c r="G1040" s="37" t="s">
        <v>637</v>
      </c>
      <c r="H1040" s="37" t="s">
        <v>1320</v>
      </c>
      <c r="I1040" s="38">
        <f t="shared" si="128"/>
        <v>2.1339999999999999</v>
      </c>
      <c r="J1040" s="38">
        <f t="shared" si="129"/>
        <v>6.6846117276679271</v>
      </c>
      <c r="K1040" s="38">
        <f t="shared" si="130"/>
        <v>0.75799815287956163</v>
      </c>
      <c r="L1040" s="39">
        <f t="shared" si="131"/>
        <v>0.46860356138706655</v>
      </c>
      <c r="M1040" s="39">
        <f t="shared" si="132"/>
        <v>13.254110237798455</v>
      </c>
      <c r="N1040" s="39">
        <f t="shared" si="133"/>
        <v>374.88284910965325</v>
      </c>
      <c r="O1040" s="40">
        <f>1</f>
        <v>1</v>
      </c>
      <c r="P1040" s="38">
        <f>INDEX(Cables!$AS:$AS,MATCH(B1040,Cables!$A:$A,0))+INDEX(Cables!$AT:$AT,MATCH(B1040,Cables!$A:$A,0))*SQRT(C1040)+INDEX(Cables!$AU:$AU,MATCH(B1040,Cables!$A:$A,0))*C1040</f>
        <v>2.1339498316345913</v>
      </c>
      <c r="Q1040" s="41">
        <f t="shared" si="134"/>
        <v>-2.3509074699390453E-5</v>
      </c>
      <c r="R1040" s="39">
        <f t="shared" si="135"/>
        <v>5.5267659322152035E-10</v>
      </c>
      <c r="S1040" s="40" t="b">
        <f>IF(B1040=B1039,C1040&gt;C1039,COUNTIF(B$1:B1039,B1040)=0)</f>
        <v>1</v>
      </c>
      <c r="T1040" s="37"/>
    </row>
    <row r="1041" spans="1:20" x14ac:dyDescent="0.25">
      <c r="A1041" s="37" t="s">
        <v>1784</v>
      </c>
      <c r="B1041" s="37" t="s">
        <v>631</v>
      </c>
      <c r="C1041" s="37">
        <v>824</v>
      </c>
      <c r="D1041" s="37">
        <v>2.1709999999999998</v>
      </c>
      <c r="E1041" s="37" t="s">
        <v>771</v>
      </c>
      <c r="F1041" s="37">
        <v>20</v>
      </c>
      <c r="G1041" s="37" t="s">
        <v>637</v>
      </c>
      <c r="H1041" s="37" t="s">
        <v>1320</v>
      </c>
      <c r="I1041" s="38">
        <f t="shared" si="128"/>
        <v>2.1709999999999998</v>
      </c>
      <c r="J1041" s="38">
        <f t="shared" si="129"/>
        <v>6.7141705299094721</v>
      </c>
      <c r="K1041" s="38">
        <f t="shared" si="130"/>
        <v>0.7751878908961547</v>
      </c>
      <c r="L1041" s="39">
        <f t="shared" si="131"/>
        <v>0.46061722708429298</v>
      </c>
      <c r="M1041" s="39">
        <f t="shared" si="132"/>
        <v>13.222201837316742</v>
      </c>
      <c r="N1041" s="39">
        <f t="shared" si="133"/>
        <v>379.54859511745741</v>
      </c>
      <c r="O1041" s="40">
        <f>1</f>
        <v>1</v>
      </c>
      <c r="P1041" s="38">
        <f>INDEX(Cables!$AS:$AS,MATCH(B1041,Cables!$A:$A,0))+INDEX(Cables!$AT:$AT,MATCH(B1041,Cables!$A:$A,0))*SQRT(C1041)+INDEX(Cables!$AU:$AU,MATCH(B1041,Cables!$A:$A,0))*C1041</f>
        <v>2.1712266172627803</v>
      </c>
      <c r="Q1041" s="41">
        <f t="shared" si="134"/>
        <v>1.0438381519128903E-4</v>
      </c>
      <c r="R1041" s="39">
        <f t="shared" si="135"/>
        <v>1.0895980873889183E-8</v>
      </c>
      <c r="S1041" s="40" t="b">
        <f>IF(B1041=B1040,C1041&gt;C1040,COUNTIF(B$1:B1040,B1041)=0)</f>
        <v>1</v>
      </c>
      <c r="T1041" s="37"/>
    </row>
    <row r="1042" spans="1:20" x14ac:dyDescent="0.25">
      <c r="A1042" s="37" t="s">
        <v>1785</v>
      </c>
      <c r="B1042" s="37" t="s">
        <v>631</v>
      </c>
      <c r="C1042" s="37">
        <v>860</v>
      </c>
      <c r="D1042" s="37">
        <v>2.226</v>
      </c>
      <c r="E1042" s="37" t="s">
        <v>771</v>
      </c>
      <c r="F1042" s="37">
        <v>20</v>
      </c>
      <c r="G1042" s="37" t="s">
        <v>637</v>
      </c>
      <c r="H1042" s="37" t="s">
        <v>1320</v>
      </c>
      <c r="I1042" s="38">
        <f t="shared" si="128"/>
        <v>2.226</v>
      </c>
      <c r="J1042" s="38">
        <f t="shared" si="129"/>
        <v>6.7569323892475532</v>
      </c>
      <c r="K1042" s="38">
        <f t="shared" si="130"/>
        <v>0.80020625285335312</v>
      </c>
      <c r="L1042" s="39">
        <f t="shared" si="131"/>
        <v>0.44923629829290207</v>
      </c>
      <c r="M1042" s="39">
        <f t="shared" si="132"/>
        <v>13.174194338378419</v>
      </c>
      <c r="N1042" s="39">
        <f t="shared" si="133"/>
        <v>386.34321653189579</v>
      </c>
      <c r="O1042" s="40">
        <f>1</f>
        <v>1</v>
      </c>
      <c r="P1042" s="38">
        <f>INDEX(Cables!$AS:$AS,MATCH(B1042,Cables!$A:$A,0))+INDEX(Cables!$AT:$AT,MATCH(B1042,Cables!$A:$A,0))*SQRT(C1042)+INDEX(Cables!$AU:$AU,MATCH(B1042,Cables!$A:$A,0))*C1042</f>
        <v>2.2264321737446822</v>
      </c>
      <c r="Q1042" s="41">
        <f t="shared" si="134"/>
        <v>1.9414813328033631E-4</v>
      </c>
      <c r="R1042" s="39">
        <f t="shared" si="135"/>
        <v>3.7693497656239234E-8</v>
      </c>
      <c r="S1042" s="40" t="b">
        <f>IF(B1042=B1041,C1042&gt;C1041,COUNTIF(B$1:B1041,B1042)=0)</f>
        <v>1</v>
      </c>
      <c r="T1042" s="37"/>
    </row>
    <row r="1043" spans="1:20" x14ac:dyDescent="0.25">
      <c r="A1043" s="37" t="s">
        <v>1786</v>
      </c>
      <c r="B1043" s="37" t="s">
        <v>631</v>
      </c>
      <c r="C1043" s="37">
        <v>894</v>
      </c>
      <c r="D1043" s="37">
        <v>2.278</v>
      </c>
      <c r="E1043" s="37" t="s">
        <v>771</v>
      </c>
      <c r="F1043" s="37">
        <v>20</v>
      </c>
      <c r="G1043" s="37" t="s">
        <v>637</v>
      </c>
      <c r="H1043" s="37" t="s">
        <v>1320</v>
      </c>
      <c r="I1043" s="38">
        <f t="shared" si="128"/>
        <v>2.278</v>
      </c>
      <c r="J1043" s="38">
        <f t="shared" si="129"/>
        <v>6.7957057751735137</v>
      </c>
      <c r="K1043" s="38">
        <f t="shared" si="130"/>
        <v>0.82329786502499036</v>
      </c>
      <c r="L1043" s="39">
        <f t="shared" si="131"/>
        <v>0.43898156277436345</v>
      </c>
      <c r="M1043" s="39">
        <f t="shared" si="132"/>
        <v>13.125475318460101</v>
      </c>
      <c r="N1043" s="39">
        <f t="shared" si="133"/>
        <v>392.44951712028092</v>
      </c>
      <c r="O1043" s="40">
        <f>1</f>
        <v>1</v>
      </c>
      <c r="P1043" s="38">
        <f>INDEX(Cables!$AS:$AS,MATCH(B1043,Cables!$A:$A,0))+INDEX(Cables!$AT:$AT,MATCH(B1043,Cables!$A:$A,0))*SQRT(C1043)+INDEX(Cables!$AU:$AU,MATCH(B1043,Cables!$A:$A,0))*C1043</f>
        <v>2.2778311517997802</v>
      </c>
      <c r="Q1043" s="41">
        <f t="shared" si="134"/>
        <v>-7.412124680417076E-5</v>
      </c>
      <c r="R1043" s="39">
        <f t="shared" si="135"/>
        <v>5.4939592278047942E-9</v>
      </c>
      <c r="S1043" s="40" t="b">
        <f>IF(B1043=B1042,C1043&gt;C1042,COUNTIF(B$1:B1042,B1043)=0)</f>
        <v>1</v>
      </c>
      <c r="T1043" s="37"/>
    </row>
    <row r="1044" spans="1:20" x14ac:dyDescent="0.25">
      <c r="A1044" s="37" t="s">
        <v>1787</v>
      </c>
      <c r="B1044" s="37" t="s">
        <v>631</v>
      </c>
      <c r="C1044" s="37">
        <v>960</v>
      </c>
      <c r="D1044" s="37">
        <v>2.3759999999999999</v>
      </c>
      <c r="E1044" s="37" t="s">
        <v>771</v>
      </c>
      <c r="F1044" s="37">
        <v>20</v>
      </c>
      <c r="G1044" s="37" t="s">
        <v>637</v>
      </c>
      <c r="H1044" s="37" t="s">
        <v>1320</v>
      </c>
      <c r="I1044" s="38">
        <f t="shared" si="128"/>
        <v>2.3759999999999999</v>
      </c>
      <c r="J1044" s="38">
        <f t="shared" si="129"/>
        <v>6.866933284461882</v>
      </c>
      <c r="K1044" s="38">
        <f t="shared" si="130"/>
        <v>0.86541840150039839</v>
      </c>
      <c r="L1044" s="39">
        <f t="shared" si="131"/>
        <v>0.4208754208754209</v>
      </c>
      <c r="M1044" s="39">
        <f t="shared" si="132"/>
        <v>13.040347967028341</v>
      </c>
      <c r="N1044" s="39">
        <f t="shared" si="133"/>
        <v>404.04040404040404</v>
      </c>
      <c r="O1044" s="40">
        <f>1</f>
        <v>1</v>
      </c>
      <c r="P1044" s="38">
        <f>INDEX(Cables!$AS:$AS,MATCH(B1044,Cables!$A:$A,0))+INDEX(Cables!$AT:$AT,MATCH(B1044,Cables!$A:$A,0))*SQRT(C1044)+INDEX(Cables!$AU:$AU,MATCH(B1044,Cables!$A:$A,0))*C1044</f>
        <v>2.3757059795850659</v>
      </c>
      <c r="Q1044" s="41">
        <f t="shared" si="134"/>
        <v>-1.2374596588127229E-4</v>
      </c>
      <c r="R1044" s="39">
        <f t="shared" si="135"/>
        <v>1.5313064071889007E-8</v>
      </c>
      <c r="S1044" s="40" t="b">
        <f>IF(B1044=B1043,C1044&gt;C1043,COUNTIF(B$1:B1043,B1044)=0)</f>
        <v>1</v>
      </c>
      <c r="T1044" s="37"/>
    </row>
    <row r="1045" spans="1:20" x14ac:dyDescent="0.25">
      <c r="A1045" s="37" t="s">
        <v>1788</v>
      </c>
      <c r="B1045" s="37" t="s">
        <v>631</v>
      </c>
      <c r="C1045" s="37">
        <v>1000</v>
      </c>
      <c r="D1045" s="37">
        <v>2.4340000000000002</v>
      </c>
      <c r="E1045" s="37" t="s">
        <v>771</v>
      </c>
      <c r="F1045" s="37">
        <v>20</v>
      </c>
      <c r="G1045" s="37" t="s">
        <v>637</v>
      </c>
      <c r="H1045" s="37" t="s">
        <v>1320</v>
      </c>
      <c r="I1045" s="38">
        <f t="shared" si="128"/>
        <v>2.4340000000000002</v>
      </c>
      <c r="J1045" s="38">
        <f t="shared" si="129"/>
        <v>6.9077552789821368</v>
      </c>
      <c r="K1045" s="38">
        <f t="shared" si="130"/>
        <v>0.8895359945653355</v>
      </c>
      <c r="L1045" s="39">
        <f t="shared" si="131"/>
        <v>0.41084634346754312</v>
      </c>
      <c r="M1045" s="39">
        <f t="shared" si="132"/>
        <v>12.992102137092765</v>
      </c>
      <c r="N1045" s="39">
        <f t="shared" si="133"/>
        <v>410.84634346754314</v>
      </c>
      <c r="O1045" s="40">
        <f>1</f>
        <v>1</v>
      </c>
      <c r="P1045" s="38">
        <f>INDEX(Cables!$AS:$AS,MATCH(B1045,Cables!$A:$A,0))+INDEX(Cables!$AT:$AT,MATCH(B1045,Cables!$A:$A,0))*SQRT(C1045)+INDEX(Cables!$AU:$AU,MATCH(B1045,Cables!$A:$A,0))*C1045</f>
        <v>2.433892338524994</v>
      </c>
      <c r="Q1045" s="41">
        <f t="shared" si="134"/>
        <v>-4.4232323338611046E-5</v>
      </c>
      <c r="R1045" s="39">
        <f t="shared" si="135"/>
        <v>1.9564984279314354E-9</v>
      </c>
      <c r="S1045" s="40" t="b">
        <f>IF(B1045=B1044,C1045&gt;C1044,COUNTIF(B$1:B1044,B1045)=0)</f>
        <v>1</v>
      </c>
      <c r="T1045" s="37"/>
    </row>
    <row r="1046" spans="1:20" x14ac:dyDescent="0.25">
      <c r="A1046" s="37" t="s">
        <v>1789</v>
      </c>
      <c r="B1046" s="37" t="s">
        <v>631</v>
      </c>
      <c r="C1046" s="37">
        <v>1250</v>
      </c>
      <c r="D1046" s="37">
        <v>2.7810000000000001</v>
      </c>
      <c r="E1046" s="37" t="s">
        <v>771</v>
      </c>
      <c r="F1046" s="37">
        <v>20</v>
      </c>
      <c r="G1046" s="37" t="s">
        <v>637</v>
      </c>
      <c r="H1046" s="37" t="s">
        <v>1320</v>
      </c>
      <c r="I1046" s="38">
        <f t="shared" si="128"/>
        <v>2.7810000000000001</v>
      </c>
      <c r="J1046" s="38">
        <f t="shared" si="129"/>
        <v>7.1308988302963465</v>
      </c>
      <c r="K1046" s="38">
        <f t="shared" si="130"/>
        <v>1.0228105752518279</v>
      </c>
      <c r="L1046" s="39">
        <f t="shared" si="131"/>
        <v>0.35958288385472847</v>
      </c>
      <c r="M1046" s="39">
        <f t="shared" si="132"/>
        <v>12.713174778614663</v>
      </c>
      <c r="N1046" s="39">
        <f t="shared" si="133"/>
        <v>449.47860481841064</v>
      </c>
      <c r="O1046" s="40">
        <f>1</f>
        <v>1</v>
      </c>
      <c r="P1046" s="38">
        <f>INDEX(Cables!$AS:$AS,MATCH(B1046,Cables!$A:$A,0))+INDEX(Cables!$AT:$AT,MATCH(B1046,Cables!$A:$A,0))*SQRT(C1046)+INDEX(Cables!$AU:$AU,MATCH(B1046,Cables!$A:$A,0))*C1046</f>
        <v>2.7812437318474941</v>
      </c>
      <c r="Q1046" s="41">
        <f t="shared" si="134"/>
        <v>8.7641800609050691E-5</v>
      </c>
      <c r="R1046" s="39">
        <f t="shared" si="135"/>
        <v>7.6810852139965975E-9</v>
      </c>
      <c r="S1046" s="40" t="b">
        <f>IF(B1046=B1045,C1046&gt;C1045,COUNTIF(B$1:B1045,B1046)=0)</f>
        <v>1</v>
      </c>
      <c r="T1046" s="37"/>
    </row>
    <row r="1047" spans="1:20" x14ac:dyDescent="0.25">
      <c r="A1047" s="37" t="s">
        <v>1790</v>
      </c>
      <c r="B1047" s="37" t="s">
        <v>631</v>
      </c>
      <c r="C1047" s="37">
        <v>1500</v>
      </c>
      <c r="D1047" s="37">
        <v>3.1059999999999999</v>
      </c>
      <c r="E1047" s="37" t="s">
        <v>771</v>
      </c>
      <c r="F1047" s="37">
        <v>20</v>
      </c>
      <c r="G1047" s="37" t="s">
        <v>637</v>
      </c>
      <c r="H1047" s="37" t="s">
        <v>1320</v>
      </c>
      <c r="I1047" s="38">
        <f t="shared" si="128"/>
        <v>3.1059999999999999</v>
      </c>
      <c r="J1047" s="38">
        <f t="shared" si="129"/>
        <v>7.3132203870903014</v>
      </c>
      <c r="K1047" s="38">
        <f t="shared" si="130"/>
        <v>1.1333357247264952</v>
      </c>
      <c r="L1047" s="39">
        <f t="shared" si="131"/>
        <v>0.32195750160978753</v>
      </c>
      <c r="M1047" s="39">
        <f t="shared" si="132"/>
        <v>12.469360419212547</v>
      </c>
      <c r="N1047" s="39">
        <f t="shared" si="133"/>
        <v>482.93625241468129</v>
      </c>
      <c r="O1047" s="40">
        <f>1</f>
        <v>1</v>
      </c>
      <c r="P1047" s="38">
        <f>INDEX(Cables!$AS:$AS,MATCH(B1047,Cables!$A:$A,0))+INDEX(Cables!$AT:$AT,MATCH(B1047,Cables!$A:$A,0))*SQRT(C1047)+INDEX(Cables!$AU:$AU,MATCH(B1047,Cables!$A:$A,0))*C1047</f>
        <v>3.1061824168627137</v>
      </c>
      <c r="Q1047" s="41">
        <f t="shared" si="134"/>
        <v>5.8730477370927403E-5</v>
      </c>
      <c r="R1047" s="39">
        <f t="shared" si="135"/>
        <v>3.4492689722170159E-9</v>
      </c>
      <c r="S1047" s="40" t="b">
        <f>IF(B1047=B1046,C1047&gt;C1046,COUNTIF(B$1:B1046,B1047)=0)</f>
        <v>1</v>
      </c>
      <c r="T1047" s="37"/>
    </row>
    <row r="1048" spans="1:20" x14ac:dyDescent="0.25">
      <c r="A1048" s="37" t="s">
        <v>1791</v>
      </c>
      <c r="B1048" s="37" t="s">
        <v>631</v>
      </c>
      <c r="C1048" s="37">
        <v>1640</v>
      </c>
      <c r="D1048" s="37">
        <v>3.2810000000000001</v>
      </c>
      <c r="E1048" s="37" t="s">
        <v>771</v>
      </c>
      <c r="F1048" s="37">
        <v>20</v>
      </c>
      <c r="G1048" s="37" t="s">
        <v>637</v>
      </c>
      <c r="H1048" s="37" t="s">
        <v>1320</v>
      </c>
      <c r="I1048" s="38">
        <f t="shared" si="128"/>
        <v>3.2810000000000001</v>
      </c>
      <c r="J1048" s="38">
        <f t="shared" si="129"/>
        <v>7.4024515208182438</v>
      </c>
      <c r="K1048" s="38">
        <f t="shared" si="130"/>
        <v>1.1881482539789647</v>
      </c>
      <c r="L1048" s="39">
        <f t="shared" si="131"/>
        <v>0.30478512648582745</v>
      </c>
      <c r="M1048" s="39">
        <f t="shared" si="132"/>
        <v>12.342856891994261</v>
      </c>
      <c r="N1048" s="39">
        <f t="shared" si="133"/>
        <v>499.84760743675707</v>
      </c>
      <c r="O1048" s="40">
        <f>1</f>
        <v>1</v>
      </c>
      <c r="P1048" s="38">
        <f>INDEX(Cables!$AS:$AS,MATCH(B1048,Cables!$A:$A,0))+INDEX(Cables!$AT:$AT,MATCH(B1048,Cables!$A:$A,0))*SQRT(C1048)+INDEX(Cables!$AU:$AU,MATCH(B1048,Cables!$A:$A,0))*C1048</f>
        <v>3.2804718182498269</v>
      </c>
      <c r="Q1048" s="41">
        <f t="shared" si="134"/>
        <v>-1.609819415340219E-4</v>
      </c>
      <c r="R1048" s="39">
        <f t="shared" si="135"/>
        <v>2.5915185500063245E-8</v>
      </c>
      <c r="S1048" s="40" t="b">
        <f>IF(B1048=B1047,C1048&gt;C1047,COUNTIF(B$1:B1047,B1048)=0)</f>
        <v>1</v>
      </c>
      <c r="T1048" s="37"/>
    </row>
    <row r="1049" spans="1:20" x14ac:dyDescent="0.25">
      <c r="A1049" s="37" t="s">
        <v>1792</v>
      </c>
      <c r="B1049" s="37" t="s">
        <v>631</v>
      </c>
      <c r="C1049" s="37">
        <v>1700</v>
      </c>
      <c r="D1049" s="37">
        <v>3.3540000000000001</v>
      </c>
      <c r="E1049" s="37" t="s">
        <v>771</v>
      </c>
      <c r="F1049" s="37">
        <v>20</v>
      </c>
      <c r="G1049" s="37" t="s">
        <v>637</v>
      </c>
      <c r="H1049" s="37" t="s">
        <v>1320</v>
      </c>
      <c r="I1049" s="38">
        <f t="shared" si="128"/>
        <v>3.3540000000000001</v>
      </c>
      <c r="J1049" s="38">
        <f t="shared" si="129"/>
        <v>7.4383835300443071</v>
      </c>
      <c r="K1049" s="38">
        <f t="shared" si="130"/>
        <v>1.210153663401017</v>
      </c>
      <c r="L1049" s="39">
        <f t="shared" si="131"/>
        <v>0.29815146094215861</v>
      </c>
      <c r="M1049" s="39">
        <f t="shared" si="132"/>
        <v>12.293099658967384</v>
      </c>
      <c r="N1049" s="39">
        <f t="shared" si="133"/>
        <v>506.85748360166963</v>
      </c>
      <c r="O1049" s="40">
        <f>1</f>
        <v>1</v>
      </c>
      <c r="P1049" s="38">
        <f>INDEX(Cables!$AS:$AS,MATCH(B1049,Cables!$A:$A,0))+INDEX(Cables!$AT:$AT,MATCH(B1049,Cables!$A:$A,0))*SQRT(C1049)+INDEX(Cables!$AU:$AU,MATCH(B1049,Cables!$A:$A,0))*C1049</f>
        <v>3.3537165350848266</v>
      </c>
      <c r="Q1049" s="41">
        <f t="shared" si="134"/>
        <v>-8.4515478584790138E-5</v>
      </c>
      <c r="R1049" s="39">
        <f t="shared" si="135"/>
        <v>7.1428661204161205E-9</v>
      </c>
      <c r="S1049" s="40" t="b">
        <f>IF(B1049=B1048,C1049&gt;C1048,COUNTIF(B$1:B1048,B1049)=0)</f>
        <v>1</v>
      </c>
      <c r="T1049" s="37"/>
    </row>
    <row r="1050" spans="1:20" x14ac:dyDescent="0.25">
      <c r="A1050" s="37" t="s">
        <v>1793</v>
      </c>
      <c r="B1050" s="37" t="s">
        <v>631</v>
      </c>
      <c r="C1050" s="37">
        <v>1800</v>
      </c>
      <c r="D1050" s="37">
        <v>3.4740000000000002</v>
      </c>
      <c r="E1050" s="37" t="s">
        <v>771</v>
      </c>
      <c r="F1050" s="37">
        <v>20</v>
      </c>
      <c r="G1050" s="37" t="s">
        <v>637</v>
      </c>
      <c r="H1050" s="37" t="s">
        <v>1320</v>
      </c>
      <c r="I1050" s="38">
        <f t="shared" si="128"/>
        <v>3.4740000000000002</v>
      </c>
      <c r="J1050" s="38">
        <f t="shared" si="129"/>
        <v>7.4955419438842563</v>
      </c>
      <c r="K1050" s="38">
        <f t="shared" si="130"/>
        <v>1.2453066678189133</v>
      </c>
      <c r="L1050" s="39">
        <f t="shared" si="131"/>
        <v>0.28785261945883706</v>
      </c>
      <c r="M1050" s="39">
        <f t="shared" si="132"/>
        <v>12.212552352099266</v>
      </c>
      <c r="N1050" s="39">
        <f t="shared" si="133"/>
        <v>518.13471502590676</v>
      </c>
      <c r="O1050" s="40">
        <f>1</f>
        <v>1</v>
      </c>
      <c r="P1050" s="38">
        <f>INDEX(Cables!$AS:$AS,MATCH(B1050,Cables!$A:$A,0))+INDEX(Cables!$AT:$AT,MATCH(B1050,Cables!$A:$A,0))*SQRT(C1050)+INDEX(Cables!$AU:$AU,MATCH(B1050,Cables!$A:$A,0))*C1050</f>
        <v>3.47402463221465</v>
      </c>
      <c r="Q1050" s="41">
        <f t="shared" si="134"/>
        <v>7.0904475100164177E-6</v>
      </c>
      <c r="R1050" s="39">
        <f t="shared" si="135"/>
        <v>5.027444589229802E-11</v>
      </c>
      <c r="S1050" s="40" t="b">
        <f>IF(B1050=B1049,C1050&gt;C1049,COUNTIF(B$1:B1049,B1050)=0)</f>
        <v>1</v>
      </c>
      <c r="T1050" s="37"/>
    </row>
    <row r="1051" spans="1:20" x14ac:dyDescent="0.25">
      <c r="A1051" s="37" t="s">
        <v>1794</v>
      </c>
      <c r="B1051" s="37" t="s">
        <v>631</v>
      </c>
      <c r="C1051" s="37">
        <v>2000</v>
      </c>
      <c r="D1051" s="37">
        <v>3.7090000000000001</v>
      </c>
      <c r="E1051" s="37" t="s">
        <v>771</v>
      </c>
      <c r="F1051" s="37">
        <v>20</v>
      </c>
      <c r="G1051" s="37" t="s">
        <v>637</v>
      </c>
      <c r="H1051" s="37" t="s">
        <v>1320</v>
      </c>
      <c r="I1051" s="38">
        <f t="shared" si="128"/>
        <v>3.7090000000000001</v>
      </c>
      <c r="J1051" s="38">
        <f t="shared" si="129"/>
        <v>7.6009024595420822</v>
      </c>
      <c r="K1051" s="38">
        <f t="shared" si="130"/>
        <v>1.3107622985074538</v>
      </c>
      <c r="L1051" s="39">
        <f t="shared" si="131"/>
        <v>0.26961445133459155</v>
      </c>
      <c r="M1051" s="39">
        <f t="shared" si="132"/>
        <v>12.057524818009112</v>
      </c>
      <c r="N1051" s="39">
        <f t="shared" si="133"/>
        <v>539.22890266918307</v>
      </c>
      <c r="O1051" s="40">
        <f>1</f>
        <v>1</v>
      </c>
      <c r="P1051" s="38">
        <f>INDEX(Cables!$AS:$AS,MATCH(B1051,Cables!$A:$A,0))+INDEX(Cables!$AT:$AT,MATCH(B1051,Cables!$A:$A,0))*SQRT(C1051)+INDEX(Cables!$AU:$AU,MATCH(B1051,Cables!$A:$A,0))*C1051</f>
        <v>3.7086475960807865</v>
      </c>
      <c r="Q1051" s="41">
        <f t="shared" si="134"/>
        <v>-9.5013189326920156E-5</v>
      </c>
      <c r="R1051" s="39">
        <f t="shared" si="135"/>
        <v>9.0275061460731739E-9</v>
      </c>
      <c r="S1051" s="40" t="b">
        <f>IF(B1051=B1050,C1051&gt;C1050,COUNTIF(B$1:B1050,B1051)=0)</f>
        <v>1</v>
      </c>
      <c r="T1051" s="37"/>
    </row>
    <row r="1052" spans="1:20" x14ac:dyDescent="0.25">
      <c r="A1052" s="37" t="s">
        <v>1795</v>
      </c>
      <c r="B1052" s="37" t="s">
        <v>631</v>
      </c>
      <c r="C1052" s="37">
        <v>2100</v>
      </c>
      <c r="D1052" s="37">
        <v>3.8239999999999998</v>
      </c>
      <c r="E1052" s="37" t="s">
        <v>771</v>
      </c>
      <c r="F1052" s="37">
        <v>20</v>
      </c>
      <c r="G1052" s="37" t="s">
        <v>637</v>
      </c>
      <c r="H1052" s="37" t="s">
        <v>1320</v>
      </c>
      <c r="I1052" s="38">
        <f t="shared" si="128"/>
        <v>3.8239999999999998</v>
      </c>
      <c r="J1052" s="38">
        <f t="shared" si="129"/>
        <v>7.6496926237115144</v>
      </c>
      <c r="K1052" s="38">
        <f t="shared" si="130"/>
        <v>1.3412969951891549</v>
      </c>
      <c r="L1052" s="39">
        <f t="shared" si="131"/>
        <v>0.2615062761506276</v>
      </c>
      <c r="M1052" s="39">
        <f t="shared" si="132"/>
        <v>11.983723051662761</v>
      </c>
      <c r="N1052" s="39">
        <f t="shared" si="133"/>
        <v>549.16317991631797</v>
      </c>
      <c r="O1052" s="40">
        <f>1</f>
        <v>1</v>
      </c>
      <c r="P1052" s="38">
        <f>INDEX(Cables!$AS:$AS,MATCH(B1052,Cables!$A:$A,0))+INDEX(Cables!$AT:$AT,MATCH(B1052,Cables!$A:$A,0))*SQRT(C1052)+INDEX(Cables!$AU:$AU,MATCH(B1052,Cables!$A:$A,0))*C1052</f>
        <v>3.8232626193390544</v>
      </c>
      <c r="Q1052" s="41">
        <f t="shared" si="134"/>
        <v>-1.9282967074929491E-4</v>
      </c>
      <c r="R1052" s="39">
        <f t="shared" si="135"/>
        <v>3.7183281921281483E-8</v>
      </c>
      <c r="S1052" s="40" t="b">
        <f>IF(B1052=B1051,C1052&gt;C1051,COUNTIF(B$1:B1051,B1052)=0)</f>
        <v>1</v>
      </c>
      <c r="T1052" s="37"/>
    </row>
    <row r="1053" spans="1:20" x14ac:dyDescent="0.25">
      <c r="A1053" s="37" t="s">
        <v>1796</v>
      </c>
      <c r="B1053" s="37" t="s">
        <v>631</v>
      </c>
      <c r="C1053" s="37">
        <v>2200</v>
      </c>
      <c r="D1053" s="37">
        <v>3.9369999999999998</v>
      </c>
      <c r="E1053" s="37" t="s">
        <v>771</v>
      </c>
      <c r="F1053" s="37">
        <v>20</v>
      </c>
      <c r="G1053" s="37" t="s">
        <v>637</v>
      </c>
      <c r="H1053" s="37" t="s">
        <v>1320</v>
      </c>
      <c r="I1053" s="38">
        <f t="shared" si="128"/>
        <v>3.9369999999999998</v>
      </c>
      <c r="J1053" s="38">
        <f t="shared" si="129"/>
        <v>7.696212639346407</v>
      </c>
      <c r="K1053" s="38">
        <f t="shared" si="130"/>
        <v>1.3704190119616004</v>
      </c>
      <c r="L1053" s="39">
        <f t="shared" si="131"/>
        <v>0.25400050800101603</v>
      </c>
      <c r="M1053" s="39">
        <f t="shared" si="132"/>
        <v>11.913679857311227</v>
      </c>
      <c r="N1053" s="39">
        <f t="shared" si="133"/>
        <v>558.80111760223519</v>
      </c>
      <c r="O1053" s="40">
        <f>1</f>
        <v>1</v>
      </c>
      <c r="P1053" s="38">
        <f>INDEX(Cables!$AS:$AS,MATCH(B1053,Cables!$A:$A,0))+INDEX(Cables!$AT:$AT,MATCH(B1053,Cables!$A:$A,0))*SQRT(C1053)+INDEX(Cables!$AU:$AU,MATCH(B1053,Cables!$A:$A,0))*C1053</f>
        <v>3.9362504167485133</v>
      </c>
      <c r="Q1053" s="41">
        <f t="shared" si="134"/>
        <v>-1.9039452666669288E-4</v>
      </c>
      <c r="R1053" s="39">
        <f t="shared" si="135"/>
        <v>3.6250075784634026E-8</v>
      </c>
      <c r="S1053" s="40" t="b">
        <f>IF(B1053=B1052,C1053&gt;C1052,COUNTIF(B$1:B1052,B1053)=0)</f>
        <v>1</v>
      </c>
      <c r="T1053" s="37"/>
    </row>
    <row r="1054" spans="1:20" x14ac:dyDescent="0.25">
      <c r="A1054" s="37" t="s">
        <v>1797</v>
      </c>
      <c r="B1054" s="37" t="s">
        <v>631</v>
      </c>
      <c r="C1054" s="37">
        <v>2300</v>
      </c>
      <c r="D1054" s="37">
        <v>4.048</v>
      </c>
      <c r="E1054" s="37" t="s">
        <v>771</v>
      </c>
      <c r="F1054" s="37">
        <v>20</v>
      </c>
      <c r="G1054" s="37" t="s">
        <v>637</v>
      </c>
      <c r="H1054" s="37" t="s">
        <v>1320</v>
      </c>
      <c r="I1054" s="38">
        <f t="shared" si="128"/>
        <v>4.048</v>
      </c>
      <c r="J1054" s="38">
        <f t="shared" si="129"/>
        <v>7.7406644019172415</v>
      </c>
      <c r="K1054" s="38">
        <f t="shared" si="130"/>
        <v>1.3982229319851645</v>
      </c>
      <c r="L1054" s="39">
        <f t="shared" si="131"/>
        <v>0.24703557312252963</v>
      </c>
      <c r="M1054" s="39">
        <f t="shared" si="132"/>
        <v>11.847409889606521</v>
      </c>
      <c r="N1054" s="39">
        <f t="shared" si="133"/>
        <v>568.18181818181813</v>
      </c>
      <c r="O1054" s="40">
        <f>1</f>
        <v>1</v>
      </c>
      <c r="P1054" s="38">
        <f>INDEX(Cables!$AS:$AS,MATCH(B1054,Cables!$A:$A,0))+INDEX(Cables!$AT:$AT,MATCH(B1054,Cables!$A:$A,0))*SQRT(C1054)+INDEX(Cables!$AU:$AU,MATCH(B1054,Cables!$A:$A,0))*C1054</f>
        <v>4.0477207607326324</v>
      </c>
      <c r="Q1054" s="41">
        <f t="shared" si="134"/>
        <v>-6.8982032452424846E-5</v>
      </c>
      <c r="R1054" s="39">
        <f t="shared" si="135"/>
        <v>4.7585208012673946E-9</v>
      </c>
      <c r="S1054" s="40" t="b">
        <f>IF(B1054=B1053,C1054&gt;C1053,COUNTIF(B$1:B1053,B1054)=0)</f>
        <v>1</v>
      </c>
      <c r="T1054" s="37"/>
    </row>
    <row r="1055" spans="1:20" x14ac:dyDescent="0.25">
      <c r="A1055" s="37" t="s">
        <v>1798</v>
      </c>
      <c r="B1055" s="37" t="s">
        <v>631</v>
      </c>
      <c r="C1055" s="37">
        <v>2500</v>
      </c>
      <c r="D1055" s="37">
        <v>4.2670000000000003</v>
      </c>
      <c r="E1055" s="37" t="s">
        <v>771</v>
      </c>
      <c r="F1055" s="37">
        <v>20</v>
      </c>
      <c r="G1055" s="37" t="s">
        <v>637</v>
      </c>
      <c r="H1055" s="37" t="s">
        <v>1320</v>
      </c>
      <c r="I1055" s="38">
        <f t="shared" si="128"/>
        <v>4.2670000000000003</v>
      </c>
      <c r="J1055" s="38">
        <f t="shared" si="129"/>
        <v>7.8240460108562919</v>
      </c>
      <c r="K1055" s="38">
        <f t="shared" si="130"/>
        <v>1.4509110042058631</v>
      </c>
      <c r="L1055" s="39">
        <f t="shared" si="131"/>
        <v>0.2343566908835247</v>
      </c>
      <c r="M1055" s="39">
        <f t="shared" si="132"/>
        <v>11.717834544176235</v>
      </c>
      <c r="N1055" s="39">
        <f t="shared" si="133"/>
        <v>585.89172720881174</v>
      </c>
      <c r="O1055" s="40">
        <f>1</f>
        <v>1</v>
      </c>
      <c r="P1055" s="38">
        <f>INDEX(Cables!$AS:$AS,MATCH(B1055,Cables!$A:$A,0))+INDEX(Cables!$AT:$AT,MATCH(B1055,Cables!$A:$A,0))*SQRT(C1055)+INDEX(Cables!$AU:$AU,MATCH(B1055,Cables!$A:$A,0))*C1055</f>
        <v>4.266490816873393</v>
      </c>
      <c r="Q1055" s="41">
        <f t="shared" si="134"/>
        <v>-1.1933047260537233E-4</v>
      </c>
      <c r="R1055" s="39">
        <f t="shared" si="135"/>
        <v>1.4239761692221515E-8</v>
      </c>
      <c r="S1055" s="40" t="b">
        <f>IF(B1055=B1054,C1055&gt;C1054,COUNTIF(B$1:B1054,B1055)=0)</f>
        <v>1</v>
      </c>
      <c r="T1055" s="37"/>
    </row>
    <row r="1056" spans="1:20" x14ac:dyDescent="0.25">
      <c r="A1056" s="37" t="s">
        <v>1799</v>
      </c>
      <c r="B1056" s="37" t="s">
        <v>639</v>
      </c>
      <c r="C1056" s="37">
        <v>1</v>
      </c>
      <c r="D1056" s="37">
        <v>3</v>
      </c>
      <c r="E1056" s="37" t="s">
        <v>707</v>
      </c>
      <c r="F1056" s="37"/>
      <c r="G1056" s="37" t="s">
        <v>643</v>
      </c>
      <c r="H1056" s="37" t="s">
        <v>708</v>
      </c>
      <c r="I1056" s="38">
        <f t="shared" si="128"/>
        <v>9.8425196850393704</v>
      </c>
      <c r="J1056" s="38">
        <f t="shared" si="129"/>
        <v>0</v>
      </c>
      <c r="K1056" s="38">
        <f t="shared" si="130"/>
        <v>2.2867117438377558</v>
      </c>
      <c r="L1056" s="39">
        <f t="shared" si="131"/>
        <v>0.1016</v>
      </c>
      <c r="M1056" s="39">
        <f t="shared" si="132"/>
        <v>0.1016</v>
      </c>
      <c r="N1056" s="39">
        <f t="shared" si="133"/>
        <v>0.1016</v>
      </c>
      <c r="O1056" s="40">
        <f>1</f>
        <v>1</v>
      </c>
      <c r="P1056" s="38">
        <f>INDEX(Cables!$AS:$AS,MATCH(B1056,Cables!$A:$A,0))+INDEX(Cables!$AT:$AT,MATCH(B1056,Cables!$A:$A,0))*SQRT(C1056)+INDEX(Cables!$AU:$AU,MATCH(B1056,Cables!$A:$A,0))*C1056</f>
        <v>10.261040347951598</v>
      </c>
      <c r="Q1056" s="41">
        <f t="shared" si="134"/>
        <v>4.2521699351882214E-2</v>
      </c>
      <c r="R1056" s="39">
        <f t="shared" si="135"/>
        <v>1.8080949157718604E-3</v>
      </c>
      <c r="S1056" s="40" t="b">
        <f>IF(B1056=B1055,C1056&gt;C1055,COUNTIF(B$1:B1055,B1056)=0)</f>
        <v>1</v>
      </c>
      <c r="T1056" s="37"/>
    </row>
    <row r="1057" spans="1:20" x14ac:dyDescent="0.25">
      <c r="A1057" s="37" t="s">
        <v>1800</v>
      </c>
      <c r="B1057" s="37" t="s">
        <v>639</v>
      </c>
      <c r="C1057" s="37">
        <v>10</v>
      </c>
      <c r="D1057" s="37">
        <v>5.3</v>
      </c>
      <c r="E1057" s="37" t="s">
        <v>707</v>
      </c>
      <c r="F1057" s="37"/>
      <c r="G1057" s="37" t="s">
        <v>643</v>
      </c>
      <c r="H1057" s="37" t="s">
        <v>708</v>
      </c>
      <c r="I1057" s="38">
        <f t="shared" si="128"/>
        <v>17.388451443569554</v>
      </c>
      <c r="J1057" s="38">
        <f t="shared" si="129"/>
        <v>2.3025850929940459</v>
      </c>
      <c r="K1057" s="38">
        <f t="shared" si="130"/>
        <v>2.8558062757277218</v>
      </c>
      <c r="L1057" s="39">
        <f t="shared" si="131"/>
        <v>5.7509433962264149E-2</v>
      </c>
      <c r="M1057" s="39">
        <f t="shared" si="132"/>
        <v>0.18186079826779661</v>
      </c>
      <c r="N1057" s="39">
        <f t="shared" si="133"/>
        <v>0.57509433962264145</v>
      </c>
      <c r="O1057" s="40">
        <f>1</f>
        <v>1</v>
      </c>
      <c r="P1057" s="38">
        <f>INDEX(Cables!$AS:$AS,MATCH(B1057,Cables!$A:$A,0))+INDEX(Cables!$AT:$AT,MATCH(B1057,Cables!$A:$A,0))*SQRT(C1057)+INDEX(Cables!$AU:$AU,MATCH(B1057,Cables!$A:$A,0))*C1057</f>
        <v>16.114175951197041</v>
      </c>
      <c r="Q1057" s="41">
        <f t="shared" si="134"/>
        <v>-7.3282862278328698E-2</v>
      </c>
      <c r="R1057" s="39">
        <f t="shared" si="135"/>
        <v>5.3703779037044914E-3</v>
      </c>
      <c r="S1057" s="40" t="b">
        <f>IF(B1057=B1056,C1057&gt;C1056,COUNTIF(B$1:B1056,B1057)=0)</f>
        <v>1</v>
      </c>
      <c r="T1057" s="37"/>
    </row>
    <row r="1058" spans="1:20" x14ac:dyDescent="0.25">
      <c r="A1058" s="37" t="s">
        <v>1801</v>
      </c>
      <c r="B1058" s="37" t="s">
        <v>639</v>
      </c>
      <c r="C1058" s="37">
        <v>50</v>
      </c>
      <c r="D1058" s="37">
        <v>8.5</v>
      </c>
      <c r="E1058" s="37" t="s">
        <v>707</v>
      </c>
      <c r="F1058" s="37"/>
      <c r="G1058" s="37" t="s">
        <v>643</v>
      </c>
      <c r="H1058" s="37" t="s">
        <v>708</v>
      </c>
      <c r="I1058" s="38">
        <f t="shared" si="128"/>
        <v>27.887139107611549</v>
      </c>
      <c r="J1058" s="38">
        <f t="shared" si="129"/>
        <v>3.912023005428146</v>
      </c>
      <c r="K1058" s="38">
        <f t="shared" si="130"/>
        <v>3.3281656186659165</v>
      </c>
      <c r="L1058" s="39">
        <f t="shared" si="131"/>
        <v>3.5858823529411762E-2</v>
      </c>
      <c r="M1058" s="39">
        <f t="shared" si="132"/>
        <v>0.25356017283018789</v>
      </c>
      <c r="N1058" s="39">
        <f t="shared" si="133"/>
        <v>1.7929411764705883</v>
      </c>
      <c r="O1058" s="40">
        <f>1</f>
        <v>1</v>
      </c>
      <c r="P1058" s="38">
        <f>INDEX(Cables!$AS:$AS,MATCH(B1058,Cables!$A:$A,0))+INDEX(Cables!$AT:$AT,MATCH(B1058,Cables!$A:$A,0))*SQRT(C1058)+INDEX(Cables!$AU:$AU,MATCH(B1058,Cables!$A:$A,0))*C1058</f>
        <v>26.192736473011607</v>
      </c>
      <c r="Q1058" s="41">
        <f t="shared" si="134"/>
        <v>-6.0759285061889656E-2</v>
      </c>
      <c r="R1058" s="39">
        <f t="shared" si="135"/>
        <v>3.6916907212319675E-3</v>
      </c>
      <c r="S1058" s="40" t="b">
        <f>IF(B1058=B1057,C1058&gt;C1057,COUNTIF(B$1:B1057,B1058)=0)</f>
        <v>1</v>
      </c>
      <c r="T1058" s="37"/>
    </row>
    <row r="1059" spans="1:20" x14ac:dyDescent="0.25">
      <c r="A1059" s="37" t="s">
        <v>1802</v>
      </c>
      <c r="B1059" s="37" t="s">
        <v>639</v>
      </c>
      <c r="C1059" s="37">
        <v>100</v>
      </c>
      <c r="D1059" s="37">
        <v>10</v>
      </c>
      <c r="E1059" s="37" t="s">
        <v>707</v>
      </c>
      <c r="F1059" s="37"/>
      <c r="G1059" s="37" t="s">
        <v>643</v>
      </c>
      <c r="H1059" s="37" t="s">
        <v>708</v>
      </c>
      <c r="I1059" s="38">
        <f t="shared" si="128"/>
        <v>32.808398950131235</v>
      </c>
      <c r="J1059" s="38">
        <f t="shared" si="129"/>
        <v>4.6051701859880918</v>
      </c>
      <c r="K1059" s="38">
        <f t="shared" si="130"/>
        <v>3.4906845481636917</v>
      </c>
      <c r="L1059" s="39">
        <f t="shared" si="131"/>
        <v>3.048E-2</v>
      </c>
      <c r="M1059" s="39">
        <f t="shared" si="132"/>
        <v>0.30480000000000002</v>
      </c>
      <c r="N1059" s="39">
        <f t="shared" si="133"/>
        <v>3.048</v>
      </c>
      <c r="O1059" s="40">
        <f>1</f>
        <v>1</v>
      </c>
      <c r="P1059" s="38">
        <f>INDEX(Cables!$AS:$AS,MATCH(B1059,Cables!$A:$A,0))+INDEX(Cables!$AT:$AT,MATCH(B1059,Cables!$A:$A,0))*SQRT(C1059)+INDEX(Cables!$AU:$AU,MATCH(B1059,Cables!$A:$A,0))*C1059</f>
        <v>33.320915383621987</v>
      </c>
      <c r="Q1059" s="41">
        <f t="shared" si="134"/>
        <v>1.5621500892798235E-2</v>
      </c>
      <c r="R1059" s="39">
        <f t="shared" si="135"/>
        <v>2.4403129014369604E-4</v>
      </c>
      <c r="S1059" s="40" t="b">
        <f>IF(B1059=B1058,C1059&gt;C1058,COUNTIF(B$1:B1058,B1059)=0)</f>
        <v>1</v>
      </c>
      <c r="T1059" s="37"/>
    </row>
    <row r="1060" spans="1:20" x14ac:dyDescent="0.25">
      <c r="A1060" s="37" t="s">
        <v>1803</v>
      </c>
      <c r="B1060" s="37" t="s">
        <v>639</v>
      </c>
      <c r="C1060" s="37">
        <v>200</v>
      </c>
      <c r="D1060" s="37">
        <v>12.5</v>
      </c>
      <c r="E1060" s="37" t="s">
        <v>707</v>
      </c>
      <c r="F1060" s="37"/>
      <c r="G1060" s="37" t="s">
        <v>643</v>
      </c>
      <c r="H1060" s="37" t="s">
        <v>708</v>
      </c>
      <c r="I1060" s="38">
        <f t="shared" si="128"/>
        <v>41.01049868766404</v>
      </c>
      <c r="J1060" s="38">
        <f t="shared" si="129"/>
        <v>5.2983173665480363</v>
      </c>
      <c r="K1060" s="38">
        <f t="shared" si="130"/>
        <v>3.7138280994779014</v>
      </c>
      <c r="L1060" s="39">
        <f t="shared" si="131"/>
        <v>2.4384000000000003E-2</v>
      </c>
      <c r="M1060" s="39">
        <f t="shared" si="132"/>
        <v>0.34484183504905552</v>
      </c>
      <c r="N1060" s="39">
        <f t="shared" si="133"/>
        <v>4.8768000000000002</v>
      </c>
      <c r="O1060" s="40">
        <f>1</f>
        <v>1</v>
      </c>
      <c r="P1060" s="38">
        <f>INDEX(Cables!$AS:$AS,MATCH(B1060,Cables!$A:$A,0))+INDEX(Cables!$AT:$AT,MATCH(B1060,Cables!$A:$A,0))*SQRT(C1060)+INDEX(Cables!$AU:$AU,MATCH(B1060,Cables!$A:$A,0))*C1060</f>
        <v>42.781766091201504</v>
      </c>
      <c r="Q1060" s="41">
        <f t="shared" si="134"/>
        <v>4.3190584367857499E-2</v>
      </c>
      <c r="R1060" s="39">
        <f t="shared" si="135"/>
        <v>1.8654265780370166E-3</v>
      </c>
      <c r="S1060" s="40" t="b">
        <f>IF(B1060=B1059,C1060&gt;C1059,COUNTIF(B$1:B1059,B1060)=0)</f>
        <v>1</v>
      </c>
      <c r="T1060" s="37"/>
    </row>
    <row r="1061" spans="1:20" x14ac:dyDescent="0.25">
      <c r="A1061" s="37" t="s">
        <v>1804</v>
      </c>
      <c r="B1061" s="37" t="s">
        <v>639</v>
      </c>
      <c r="C1061" s="37">
        <v>400</v>
      </c>
      <c r="D1061" s="37">
        <v>16</v>
      </c>
      <c r="E1061" s="37" t="s">
        <v>707</v>
      </c>
      <c r="F1061" s="37"/>
      <c r="G1061" s="37" t="s">
        <v>643</v>
      </c>
      <c r="H1061" s="37" t="s">
        <v>708</v>
      </c>
      <c r="I1061" s="38">
        <f t="shared" si="128"/>
        <v>52.493438320209975</v>
      </c>
      <c r="J1061" s="38">
        <f t="shared" si="129"/>
        <v>5.9914645471079817</v>
      </c>
      <c r="K1061" s="38">
        <f t="shared" si="130"/>
        <v>3.9606881774094269</v>
      </c>
      <c r="L1061" s="39">
        <f t="shared" si="131"/>
        <v>1.9050000000000001E-2</v>
      </c>
      <c r="M1061" s="39">
        <f t="shared" si="132"/>
        <v>0.38100000000000001</v>
      </c>
      <c r="N1061" s="39">
        <f t="shared" si="133"/>
        <v>7.62</v>
      </c>
      <c r="O1061" s="40">
        <f>1</f>
        <v>1</v>
      </c>
      <c r="P1061" s="38">
        <f>INDEX(Cables!$AS:$AS,MATCH(B1061,Cables!$A:$A,0))+INDEX(Cables!$AT:$AT,MATCH(B1061,Cables!$A:$A,0))*SQRT(C1061)+INDEX(Cables!$AU:$AU,MATCH(B1061,Cables!$A:$A,0))*C1061</f>
        <v>54.92159630779247</v>
      </c>
      <c r="Q1061" s="41">
        <f t="shared" si="134"/>
        <v>4.6256409663446574E-2</v>
      </c>
      <c r="R1061" s="39">
        <f t="shared" si="135"/>
        <v>2.1396554349525938E-3</v>
      </c>
      <c r="S1061" s="40" t="b">
        <f>IF(B1061=B1060,C1061&gt;C1060,COUNTIF(B$1:B1060,B1061)=0)</f>
        <v>1</v>
      </c>
      <c r="T1061" s="37"/>
    </row>
    <row r="1062" spans="1:20" x14ac:dyDescent="0.25">
      <c r="A1062" s="37" t="s">
        <v>1805</v>
      </c>
      <c r="B1062" s="37" t="s">
        <v>639</v>
      </c>
      <c r="C1062" s="37">
        <v>700</v>
      </c>
      <c r="D1062" s="37">
        <v>19.7</v>
      </c>
      <c r="E1062" s="37" t="s">
        <v>707</v>
      </c>
      <c r="F1062" s="37"/>
      <c r="G1062" s="37" t="s">
        <v>643</v>
      </c>
      <c r="H1062" s="37" t="s">
        <v>708</v>
      </c>
      <c r="I1062" s="38">
        <f t="shared" si="128"/>
        <v>64.632545931758528</v>
      </c>
      <c r="J1062" s="38">
        <f t="shared" si="129"/>
        <v>6.5510803350434044</v>
      </c>
      <c r="K1062" s="38">
        <f t="shared" si="130"/>
        <v>4.1687180909135888</v>
      </c>
      <c r="L1062" s="39">
        <f t="shared" si="131"/>
        <v>1.5472081218274113E-2</v>
      </c>
      <c r="M1062" s="39">
        <f t="shared" si="132"/>
        <v>0.4093527916814656</v>
      </c>
      <c r="N1062" s="39">
        <f t="shared" si="133"/>
        <v>10.830456852791878</v>
      </c>
      <c r="O1062" s="40">
        <f>1</f>
        <v>1</v>
      </c>
      <c r="P1062" s="38">
        <f>INDEX(Cables!$AS:$AS,MATCH(B1062,Cables!$A:$A,0))+INDEX(Cables!$AT:$AT,MATCH(B1062,Cables!$A:$A,0))*SQRT(C1062)+INDEX(Cables!$AU:$AU,MATCH(B1062,Cables!$A:$A,0))*C1062</f>
        <v>66.620932947356323</v>
      </c>
      <c r="Q1062" s="41">
        <f t="shared" si="134"/>
        <v>3.0764485398690811E-2</v>
      </c>
      <c r="R1062" s="39">
        <f t="shared" si="135"/>
        <v>9.4645356184626004E-4</v>
      </c>
      <c r="S1062" s="40" t="b">
        <f>IF(B1062=B1061,C1062&gt;C1061,COUNTIF(B$1:B1061,B1062)=0)</f>
        <v>1</v>
      </c>
      <c r="T1062" s="37"/>
    </row>
    <row r="1063" spans="1:20" x14ac:dyDescent="0.25">
      <c r="A1063" s="37" t="s">
        <v>1806</v>
      </c>
      <c r="B1063" s="37" t="s">
        <v>639</v>
      </c>
      <c r="C1063" s="37">
        <v>900</v>
      </c>
      <c r="D1063" s="37">
        <v>22.3</v>
      </c>
      <c r="E1063" s="37" t="s">
        <v>707</v>
      </c>
      <c r="F1063" s="37"/>
      <c r="G1063" s="37" t="s">
        <v>643</v>
      </c>
      <c r="H1063" s="37" t="s">
        <v>708</v>
      </c>
      <c r="I1063" s="38">
        <f t="shared" si="128"/>
        <v>73.162729658792657</v>
      </c>
      <c r="J1063" s="38">
        <f t="shared" si="129"/>
        <v>6.8023947633243109</v>
      </c>
      <c r="K1063" s="38">
        <f t="shared" si="130"/>
        <v>4.2926861336357192</v>
      </c>
      <c r="L1063" s="39">
        <f t="shared" si="131"/>
        <v>1.3668161434977578E-2</v>
      </c>
      <c r="M1063" s="39">
        <f t="shared" si="132"/>
        <v>0.41004484304932731</v>
      </c>
      <c r="N1063" s="39">
        <f t="shared" si="133"/>
        <v>12.301345291479819</v>
      </c>
      <c r="O1063" s="40">
        <f>1</f>
        <v>1</v>
      </c>
      <c r="P1063" s="38">
        <f>INDEX(Cables!$AS:$AS,MATCH(B1063,Cables!$A:$A,0))+INDEX(Cables!$AT:$AT,MATCH(B1063,Cables!$A:$A,0))*SQRT(C1063)+INDEX(Cables!$AU:$AU,MATCH(B1063,Cables!$A:$A,0))*C1063</f>
        <v>72.289222022703356</v>
      </c>
      <c r="Q1063" s="41">
        <f t="shared" si="134"/>
        <v>-1.1939243384754161E-2</v>
      </c>
      <c r="R1063" s="39">
        <f t="shared" si="135"/>
        <v>1.4254553260039599E-4</v>
      </c>
      <c r="S1063" s="40" t="b">
        <f>IF(B1063=B1062,C1063&gt;C1062,COUNTIF(B$1:B1062,B1063)=0)</f>
        <v>1</v>
      </c>
      <c r="T1063" s="37"/>
    </row>
    <row r="1064" spans="1:20" x14ac:dyDescent="0.25">
      <c r="A1064" s="37" t="s">
        <v>1807</v>
      </c>
      <c r="B1064" s="37" t="s">
        <v>639</v>
      </c>
      <c r="C1064" s="37">
        <v>1000</v>
      </c>
      <c r="D1064" s="37">
        <v>24</v>
      </c>
      <c r="E1064" s="37" t="s">
        <v>707</v>
      </c>
      <c r="F1064" s="37"/>
      <c r="G1064" s="37" t="s">
        <v>643</v>
      </c>
      <c r="H1064" s="37" t="s">
        <v>708</v>
      </c>
      <c r="I1064" s="38">
        <f t="shared" si="128"/>
        <v>78.740157480314963</v>
      </c>
      <c r="J1064" s="38">
        <f t="shared" si="129"/>
        <v>6.9077552789821368</v>
      </c>
      <c r="K1064" s="38">
        <f t="shared" si="130"/>
        <v>4.3661532855175915</v>
      </c>
      <c r="L1064" s="39">
        <f t="shared" si="131"/>
        <v>1.2699999999999999E-2</v>
      </c>
      <c r="M1064" s="39">
        <f t="shared" si="132"/>
        <v>0.40160926284138415</v>
      </c>
      <c r="N1064" s="39">
        <f t="shared" si="133"/>
        <v>12.7</v>
      </c>
      <c r="O1064" s="40">
        <f>1</f>
        <v>1</v>
      </c>
      <c r="P1064" s="38">
        <f>INDEX(Cables!$AS:$AS,MATCH(B1064,Cables!$A:$A,0))+INDEX(Cables!$AT:$AT,MATCH(B1064,Cables!$A:$A,0))*SQRT(C1064)+INDEX(Cables!$AU:$AU,MATCH(B1064,Cables!$A:$A,0))*C1064</f>
        <v>74.708397818575008</v>
      </c>
      <c r="Q1064" s="41">
        <f t="shared" si="134"/>
        <v>-5.1203347704097402E-2</v>
      </c>
      <c r="R1064" s="39">
        <f t="shared" si="135"/>
        <v>2.6217828161066966E-3</v>
      </c>
      <c r="S1064" s="40" t="b">
        <f>IF(B1064=B1063,C1064&gt;C1063,COUNTIF(B$1:B1063,B1064)=0)</f>
        <v>1</v>
      </c>
      <c r="T1064" s="37"/>
    </row>
    <row r="1065" spans="1:20" x14ac:dyDescent="0.25">
      <c r="A1065" s="37" t="s">
        <v>1808</v>
      </c>
      <c r="B1065" s="37" t="s">
        <v>645</v>
      </c>
      <c r="C1065" s="37">
        <v>1</v>
      </c>
      <c r="D1065" s="37">
        <v>0.6</v>
      </c>
      <c r="E1065" s="37" t="s">
        <v>707</v>
      </c>
      <c r="F1065" s="37"/>
      <c r="G1065" s="37" t="s">
        <v>652</v>
      </c>
      <c r="H1065" s="37" t="s">
        <v>1809</v>
      </c>
      <c r="I1065" s="38">
        <f t="shared" si="128"/>
        <v>1.9685039370078741</v>
      </c>
      <c r="J1065" s="38">
        <f t="shared" si="129"/>
        <v>0</v>
      </c>
      <c r="K1065" s="38">
        <f t="shared" si="130"/>
        <v>0.67727383140365516</v>
      </c>
      <c r="L1065" s="39">
        <f t="shared" si="131"/>
        <v>0.50800000000000001</v>
      </c>
      <c r="M1065" s="39">
        <f t="shared" si="132"/>
        <v>0.50800000000000001</v>
      </c>
      <c r="N1065" s="39">
        <f t="shared" si="133"/>
        <v>0.50800000000000001</v>
      </c>
      <c r="O1065" s="40">
        <f>1</f>
        <v>1</v>
      </c>
      <c r="P1065" s="38">
        <f>INDEX(Cables!$AS:$AS,MATCH(B1065,Cables!$A:$A,0))+INDEX(Cables!$AT:$AT,MATCH(B1065,Cables!$A:$A,0))*SQRT(C1065)+INDEX(Cables!$AU:$AU,MATCH(B1065,Cables!$A:$A,0))*C1065</f>
        <v>1.9097070460449626</v>
      </c>
      <c r="Q1065" s="41">
        <f t="shared" si="134"/>
        <v>-2.9868820609159075E-2</v>
      </c>
      <c r="R1065" s="39">
        <f t="shared" si="135"/>
        <v>8.9214644458212591E-4</v>
      </c>
      <c r="S1065" s="40" t="b">
        <f>IF(B1065=B1064,C1065&gt;C1064,COUNTIF(B$1:B1064,B1065)=0)</f>
        <v>1</v>
      </c>
      <c r="T1065" s="37"/>
    </row>
    <row r="1066" spans="1:20" x14ac:dyDescent="0.25">
      <c r="A1066" s="37" t="s">
        <v>1810</v>
      </c>
      <c r="B1066" s="37" t="s">
        <v>645</v>
      </c>
      <c r="C1066" s="37">
        <v>10</v>
      </c>
      <c r="D1066" s="37">
        <v>1.1000000000000001</v>
      </c>
      <c r="E1066" s="37" t="s">
        <v>707</v>
      </c>
      <c r="F1066" s="37"/>
      <c r="G1066" s="37" t="s">
        <v>652</v>
      </c>
      <c r="H1066" s="37" t="s">
        <v>1809</v>
      </c>
      <c r="I1066" s="38">
        <f t="shared" si="128"/>
        <v>3.6089238845144362</v>
      </c>
      <c r="J1066" s="38">
        <f t="shared" si="129"/>
        <v>2.3025850929940459</v>
      </c>
      <c r="K1066" s="38">
        <f t="shared" si="130"/>
        <v>1.2834096349739708</v>
      </c>
      <c r="L1066" s="39">
        <f t="shared" si="131"/>
        <v>0.27709090909090905</v>
      </c>
      <c r="M1066" s="39">
        <f t="shared" si="132"/>
        <v>0.87623839165392903</v>
      </c>
      <c r="N1066" s="39">
        <f t="shared" si="133"/>
        <v>2.7709090909090905</v>
      </c>
      <c r="O1066" s="40">
        <f>1</f>
        <v>1</v>
      </c>
      <c r="P1066" s="38">
        <f>INDEX(Cables!$AS:$AS,MATCH(B1066,Cables!$A:$A,0))+INDEX(Cables!$AT:$AT,MATCH(B1066,Cables!$A:$A,0))*SQRT(C1066)+INDEX(Cables!$AU:$AU,MATCH(B1066,Cables!$A:$A,0))*C1066</f>
        <v>3.8895509528665353</v>
      </c>
      <c r="Q1066" s="41">
        <f t="shared" si="134"/>
        <v>7.7759209485199765E-2</v>
      </c>
      <c r="R1066" s="39">
        <f t="shared" si="135"/>
        <v>6.0464946597631811E-3</v>
      </c>
      <c r="S1066" s="40" t="b">
        <f>IF(B1066=B1065,C1066&gt;C1065,COUNTIF(B$1:B1065,B1066)=0)</f>
        <v>1</v>
      </c>
      <c r="T1066" s="37"/>
    </row>
    <row r="1067" spans="1:20" x14ac:dyDescent="0.25">
      <c r="A1067" s="37" t="s">
        <v>1811</v>
      </c>
      <c r="B1067" s="37" t="s">
        <v>645</v>
      </c>
      <c r="C1067" s="37">
        <v>50</v>
      </c>
      <c r="D1067" s="37">
        <v>2.4</v>
      </c>
      <c r="E1067" s="37" t="s">
        <v>707</v>
      </c>
      <c r="F1067" s="37"/>
      <c r="G1067" s="37" t="s">
        <v>652</v>
      </c>
      <c r="H1067" s="37" t="s">
        <v>1809</v>
      </c>
      <c r="I1067" s="38">
        <f t="shared" si="128"/>
        <v>7.8740157480314963</v>
      </c>
      <c r="J1067" s="38">
        <f t="shared" si="129"/>
        <v>3.912023005428146</v>
      </c>
      <c r="K1067" s="38">
        <f t="shared" si="130"/>
        <v>2.0635681925235456</v>
      </c>
      <c r="L1067" s="39">
        <f t="shared" si="131"/>
        <v>0.127</v>
      </c>
      <c r="M1067" s="39">
        <f t="shared" si="132"/>
        <v>0.89802561210691534</v>
      </c>
      <c r="N1067" s="39">
        <f t="shared" si="133"/>
        <v>6.35</v>
      </c>
      <c r="O1067" s="40">
        <f>1</f>
        <v>1</v>
      </c>
      <c r="P1067" s="38">
        <f>INDEX(Cables!$AS:$AS,MATCH(B1067,Cables!$A:$A,0))+INDEX(Cables!$AT:$AT,MATCH(B1067,Cables!$A:$A,0))*SQRT(C1067)+INDEX(Cables!$AU:$AU,MATCH(B1067,Cables!$A:$A,0))*C1067</f>
        <v>7.7326188063558305</v>
      </c>
      <c r="Q1067" s="41">
        <f t="shared" si="134"/>
        <v>-1.7957411592809502E-2</v>
      </c>
      <c r="R1067" s="39">
        <f t="shared" si="135"/>
        <v>3.2246863111356914E-4</v>
      </c>
      <c r="S1067" s="40" t="b">
        <f>IF(B1067=B1066,C1067&gt;C1066,COUNTIF(B$1:B1066,B1067)=0)</f>
        <v>1</v>
      </c>
      <c r="T1067" s="37"/>
    </row>
    <row r="1068" spans="1:20" x14ac:dyDescent="0.25">
      <c r="A1068" s="37" t="s">
        <v>1812</v>
      </c>
      <c r="B1068" s="37" t="s">
        <v>645</v>
      </c>
      <c r="C1068" s="37">
        <v>100</v>
      </c>
      <c r="D1068" s="37">
        <v>3.4</v>
      </c>
      <c r="E1068" s="37" t="s">
        <v>707</v>
      </c>
      <c r="F1068" s="37"/>
      <c r="G1068" s="37" t="s">
        <v>652</v>
      </c>
      <c r="H1068" s="37" t="s">
        <v>1809</v>
      </c>
      <c r="I1068" s="38">
        <f t="shared" si="128"/>
        <v>11.15485564304462</v>
      </c>
      <c r="J1068" s="38">
        <f t="shared" si="129"/>
        <v>4.6051701859880918</v>
      </c>
      <c r="K1068" s="38">
        <f t="shared" si="130"/>
        <v>2.4118748867917614</v>
      </c>
      <c r="L1068" s="39">
        <f t="shared" si="131"/>
        <v>8.9647058823529413E-2</v>
      </c>
      <c r="M1068" s="39">
        <f t="shared" si="132"/>
        <v>0.89647058823529413</v>
      </c>
      <c r="N1068" s="39">
        <f t="shared" si="133"/>
        <v>8.9647058823529413</v>
      </c>
      <c r="O1068" s="40">
        <f>1</f>
        <v>1</v>
      </c>
      <c r="P1068" s="38">
        <f>INDEX(Cables!$AS:$AS,MATCH(B1068,Cables!$A:$A,0))+INDEX(Cables!$AT:$AT,MATCH(B1068,Cables!$A:$A,0))*SQRT(C1068)+INDEX(Cables!$AU:$AU,MATCH(B1068,Cables!$A:$A,0))*C1068</f>
        <v>10.835161312143775</v>
      </c>
      <c r="Q1068" s="41">
        <f t="shared" si="134"/>
        <v>-2.8659656487816876E-2</v>
      </c>
      <c r="R1068" s="39">
        <f t="shared" si="135"/>
        <v>8.213759099996639E-4</v>
      </c>
      <c r="S1068" s="40" t="b">
        <f>IF(B1068=B1067,C1068&gt;C1067,COUNTIF(B$1:B1067,B1068)=0)</f>
        <v>1</v>
      </c>
      <c r="T1068" s="37"/>
    </row>
    <row r="1069" spans="1:20" x14ac:dyDescent="0.25">
      <c r="A1069" s="37" t="s">
        <v>1813</v>
      </c>
      <c r="B1069" s="37" t="s">
        <v>645</v>
      </c>
      <c r="C1069" s="37">
        <v>200</v>
      </c>
      <c r="D1069" s="37">
        <v>4.9000000000000004</v>
      </c>
      <c r="E1069" s="37" t="s">
        <v>707</v>
      </c>
      <c r="F1069" s="37"/>
      <c r="G1069" s="37" t="s">
        <v>652</v>
      </c>
      <c r="H1069" s="37" t="s">
        <v>1809</v>
      </c>
      <c r="I1069" s="38">
        <f t="shared" si="128"/>
        <v>16.076115485564305</v>
      </c>
      <c r="J1069" s="38">
        <f t="shared" si="129"/>
        <v>5.2983173665480363</v>
      </c>
      <c r="K1069" s="38">
        <f t="shared" si="130"/>
        <v>2.7773346602862268</v>
      </c>
      <c r="L1069" s="39">
        <f t="shared" si="131"/>
        <v>6.2204081632653056E-2</v>
      </c>
      <c r="M1069" s="39">
        <f t="shared" si="132"/>
        <v>0.87969855879861092</v>
      </c>
      <c r="N1069" s="39">
        <f t="shared" si="133"/>
        <v>12.440816326530612</v>
      </c>
      <c r="O1069" s="40">
        <f>1</f>
        <v>1</v>
      </c>
      <c r="P1069" s="38">
        <f>INDEX(Cables!$AS:$AS,MATCH(B1069,Cables!$A:$A,0))+INDEX(Cables!$AT:$AT,MATCH(B1069,Cables!$A:$A,0))*SQRT(C1069)+INDEX(Cables!$AU:$AU,MATCH(B1069,Cables!$A:$A,0))*C1069</f>
        <v>15.548742310489864</v>
      </c>
      <c r="Q1069" s="41">
        <f t="shared" si="134"/>
        <v>-3.2804764033201983E-2</v>
      </c>
      <c r="R1069" s="39">
        <f t="shared" si="135"/>
        <v>1.0761525432740624E-3</v>
      </c>
      <c r="S1069" s="40" t="b">
        <f>IF(B1069=B1068,C1069&gt;C1068,COUNTIF(B$1:B1068,B1069)=0)</f>
        <v>1</v>
      </c>
      <c r="T1069" s="37"/>
    </row>
    <row r="1070" spans="1:20" x14ac:dyDescent="0.25">
      <c r="A1070" s="37" t="s">
        <v>1814</v>
      </c>
      <c r="B1070" s="37" t="s">
        <v>645</v>
      </c>
      <c r="C1070" s="37">
        <v>400</v>
      </c>
      <c r="D1070" s="37">
        <v>7</v>
      </c>
      <c r="E1070" s="37" t="s">
        <v>707</v>
      </c>
      <c r="F1070" s="37"/>
      <c r="G1070" s="37" t="s">
        <v>652</v>
      </c>
      <c r="H1070" s="37" t="s">
        <v>1809</v>
      </c>
      <c r="I1070" s="38">
        <f t="shared" si="128"/>
        <v>22.965879265091864</v>
      </c>
      <c r="J1070" s="38">
        <f t="shared" si="129"/>
        <v>5.9914645471079817</v>
      </c>
      <c r="K1070" s="38">
        <f t="shared" si="130"/>
        <v>3.1340096042249592</v>
      </c>
      <c r="L1070" s="39">
        <f t="shared" si="131"/>
        <v>4.354285714285714E-2</v>
      </c>
      <c r="M1070" s="39">
        <f t="shared" si="132"/>
        <v>0.87085714285714289</v>
      </c>
      <c r="N1070" s="39">
        <f t="shared" si="133"/>
        <v>17.417142857142856</v>
      </c>
      <c r="O1070" s="40">
        <f>1</f>
        <v>1</v>
      </c>
      <c r="P1070" s="38">
        <f>INDEX(Cables!$AS:$AS,MATCH(B1070,Cables!$A:$A,0))+INDEX(Cables!$AT:$AT,MATCH(B1070,Cables!$A:$A,0))*SQRT(C1070)+INDEX(Cables!$AU:$AU,MATCH(B1070,Cables!$A:$A,0))*C1070</f>
        <v>22.866599103338551</v>
      </c>
      <c r="Q1070" s="41">
        <f t="shared" si="134"/>
        <v>-4.3229419003442127E-3</v>
      </c>
      <c r="R1070" s="39">
        <f t="shared" si="135"/>
        <v>1.8687826673751631E-5</v>
      </c>
      <c r="S1070" s="40" t="b">
        <f>IF(B1070=B1069,C1070&gt;C1069,COUNTIF(B$1:B1069,B1070)=0)</f>
        <v>1</v>
      </c>
      <c r="T1070" s="37"/>
    </row>
    <row r="1071" spans="1:20" x14ac:dyDescent="0.25">
      <c r="A1071" s="37" t="s">
        <v>1815</v>
      </c>
      <c r="B1071" s="37" t="s">
        <v>645</v>
      </c>
      <c r="C1071" s="37">
        <v>700</v>
      </c>
      <c r="D1071" s="37">
        <v>9.6999999999999993</v>
      </c>
      <c r="E1071" s="37" t="s">
        <v>707</v>
      </c>
      <c r="F1071" s="37"/>
      <c r="G1071" s="37" t="s">
        <v>652</v>
      </c>
      <c r="H1071" s="37" t="s">
        <v>1809</v>
      </c>
      <c r="I1071" s="38">
        <f t="shared" si="128"/>
        <v>31.824146981627294</v>
      </c>
      <c r="J1071" s="38">
        <f t="shared" si="129"/>
        <v>6.5510803350434044</v>
      </c>
      <c r="K1071" s="38">
        <f t="shared" si="130"/>
        <v>3.4602253406789827</v>
      </c>
      <c r="L1071" s="39">
        <f t="shared" si="131"/>
        <v>3.1422680412371139E-2</v>
      </c>
      <c r="M1071" s="39">
        <f t="shared" si="132"/>
        <v>0.83136597898194564</v>
      </c>
      <c r="N1071" s="39">
        <f t="shared" si="133"/>
        <v>21.995876288659797</v>
      </c>
      <c r="O1071" s="40">
        <f>1</f>
        <v>1</v>
      </c>
      <c r="P1071" s="38">
        <f>INDEX(Cables!$AS:$AS,MATCH(B1071,Cables!$A:$A,0))+INDEX(Cables!$AT:$AT,MATCH(B1071,Cables!$A:$A,0))*SQRT(C1071)+INDEX(Cables!$AU:$AU,MATCH(B1071,Cables!$A:$A,0))*C1071</f>
        <v>31.818509664795268</v>
      </c>
      <c r="Q1071" s="41">
        <f t="shared" si="134"/>
        <v>-1.7713960519605276E-4</v>
      </c>
      <c r="R1071" s="39">
        <f t="shared" si="135"/>
        <v>3.137843972901344E-8</v>
      </c>
      <c r="S1071" s="40" t="b">
        <f>IF(B1071=B1070,C1071&gt;C1070,COUNTIF(B$1:B1070,B1071)=0)</f>
        <v>1</v>
      </c>
      <c r="T1071" s="37"/>
    </row>
    <row r="1072" spans="1:20" x14ac:dyDescent="0.25">
      <c r="A1072" s="37" t="s">
        <v>1816</v>
      </c>
      <c r="B1072" s="37" t="s">
        <v>645</v>
      </c>
      <c r="C1072" s="37">
        <v>900</v>
      </c>
      <c r="D1072" s="37">
        <v>11.1</v>
      </c>
      <c r="E1072" s="37" t="s">
        <v>707</v>
      </c>
      <c r="F1072" s="37"/>
      <c r="G1072" s="37" t="s">
        <v>652</v>
      </c>
      <c r="H1072" s="37" t="s">
        <v>1809</v>
      </c>
      <c r="I1072" s="38">
        <f t="shared" si="128"/>
        <v>36.417322834645667</v>
      </c>
      <c r="J1072" s="38">
        <f t="shared" si="129"/>
        <v>6.8023947633243109</v>
      </c>
      <c r="K1072" s="38">
        <f t="shared" si="130"/>
        <v>3.5950445634879342</v>
      </c>
      <c r="L1072" s="39">
        <f t="shared" si="131"/>
        <v>2.7459459459459462E-2</v>
      </c>
      <c r="M1072" s="39">
        <f t="shared" si="132"/>
        <v>0.82378378378378381</v>
      </c>
      <c r="N1072" s="39">
        <f t="shared" si="133"/>
        <v>24.713513513513515</v>
      </c>
      <c r="O1072" s="40">
        <f>1</f>
        <v>1</v>
      </c>
      <c r="P1072" s="38">
        <f>INDEX(Cables!$AS:$AS,MATCH(B1072,Cables!$A:$A,0))+INDEX(Cables!$AT:$AT,MATCH(B1072,Cables!$A:$A,0))*SQRT(C1072)+INDEX(Cables!$AU:$AU,MATCH(B1072,Cables!$A:$A,0))*C1072</f>
        <v>37.12358045707893</v>
      </c>
      <c r="Q1072" s="41">
        <f t="shared" si="134"/>
        <v>1.9393452551140333E-2</v>
      </c>
      <c r="R1072" s="39">
        <f t="shared" si="135"/>
        <v>3.7610600185333153E-4</v>
      </c>
      <c r="S1072" s="40" t="b">
        <f>IF(B1072=B1071,C1072&gt;C1071,COUNTIF(B$1:B1071,B1072)=0)</f>
        <v>1</v>
      </c>
      <c r="T1072" s="37"/>
    </row>
    <row r="1073" spans="1:20" x14ac:dyDescent="0.25">
      <c r="A1073" s="37" t="s">
        <v>1817</v>
      </c>
      <c r="B1073" s="37" t="s">
        <v>645</v>
      </c>
      <c r="C1073" s="37">
        <v>1000</v>
      </c>
      <c r="D1073" s="37">
        <v>12</v>
      </c>
      <c r="E1073" s="37" t="s">
        <v>707</v>
      </c>
      <c r="F1073" s="37"/>
      <c r="G1073" s="37" t="s">
        <v>652</v>
      </c>
      <c r="H1073" s="37" t="s">
        <v>1809</v>
      </c>
      <c r="I1073" s="38">
        <f t="shared" si="128"/>
        <v>39.370078740157481</v>
      </c>
      <c r="J1073" s="38">
        <f t="shared" si="129"/>
        <v>6.9077552789821368</v>
      </c>
      <c r="K1073" s="38">
        <f t="shared" si="130"/>
        <v>3.6730061049576461</v>
      </c>
      <c r="L1073" s="39">
        <f t="shared" si="131"/>
        <v>2.5399999999999999E-2</v>
      </c>
      <c r="M1073" s="39">
        <f t="shared" si="132"/>
        <v>0.8032185256827683</v>
      </c>
      <c r="N1073" s="39">
        <f t="shared" si="133"/>
        <v>25.4</v>
      </c>
      <c r="O1073" s="40">
        <f>1</f>
        <v>1</v>
      </c>
      <c r="P1073" s="38">
        <f>INDEX(Cables!$AS:$AS,MATCH(B1073,Cables!$A:$A,0))+INDEX(Cables!$AT:$AT,MATCH(B1073,Cables!$A:$A,0))*SQRT(C1073)+INDEX(Cables!$AU:$AU,MATCH(B1073,Cables!$A:$A,0))*C1073</f>
        <v>39.647051808669183</v>
      </c>
      <c r="Q1073" s="41">
        <f t="shared" si="134"/>
        <v>7.0351159401971231E-3</v>
      </c>
      <c r="R1073" s="39">
        <f t="shared" si="135"/>
        <v>4.9492856292015654E-5</v>
      </c>
      <c r="S1073" s="40" t="b">
        <f>IF(B1073=B1072,C1073&gt;C1072,COUNTIF(B$1:B1072,B1073)=0)</f>
        <v>1</v>
      </c>
      <c r="T1073" s="37"/>
    </row>
    <row r="1074" spans="1:20" x14ac:dyDescent="0.25">
      <c r="A1074" s="37" t="s">
        <v>1818</v>
      </c>
      <c r="B1074" s="37" t="s">
        <v>653</v>
      </c>
      <c r="C1074" s="37">
        <v>1</v>
      </c>
      <c r="D1074" s="37">
        <v>0.2</v>
      </c>
      <c r="E1074" s="37" t="s">
        <v>707</v>
      </c>
      <c r="F1074" s="37"/>
      <c r="G1074" s="37" t="s">
        <v>660</v>
      </c>
      <c r="H1074" s="37" t="s">
        <v>728</v>
      </c>
      <c r="I1074" s="38">
        <f t="shared" si="128"/>
        <v>0.65616797900262469</v>
      </c>
      <c r="J1074" s="38">
        <f t="shared" si="129"/>
        <v>0</v>
      </c>
      <c r="K1074" s="38">
        <f t="shared" si="130"/>
        <v>-0.42133845726445451</v>
      </c>
      <c r="L1074" s="39">
        <f t="shared" si="131"/>
        <v>1.524</v>
      </c>
      <c r="M1074" s="39">
        <f t="shared" si="132"/>
        <v>1.524</v>
      </c>
      <c r="N1074" s="39">
        <f t="shared" si="133"/>
        <v>1.524</v>
      </c>
      <c r="O1074" s="40">
        <f>1</f>
        <v>1</v>
      </c>
      <c r="P1074" s="38">
        <f>INDEX(Cables!$AS:$AS,MATCH(B1074,Cables!$A:$A,0))+INDEX(Cables!$AT:$AT,MATCH(B1074,Cables!$A:$A,0))*SQRT(C1074)+INDEX(Cables!$AU:$AU,MATCH(B1074,Cables!$A:$A,0))*C1074</f>
        <v>0.66904084504975048</v>
      </c>
      <c r="Q1074" s="41">
        <f t="shared" si="134"/>
        <v>1.9618247855819781E-2</v>
      </c>
      <c r="R1074" s="39">
        <f t="shared" si="135"/>
        <v>3.8487564893237747E-4</v>
      </c>
      <c r="S1074" s="40" t="b">
        <f>IF(B1074=B1073,C1074&gt;C1073,COUNTIF(B$1:B1073,B1074)=0)</f>
        <v>1</v>
      </c>
      <c r="T1074" s="37"/>
    </row>
    <row r="1075" spans="1:20" x14ac:dyDescent="0.25">
      <c r="A1075" s="37" t="s">
        <v>1819</v>
      </c>
      <c r="B1075" s="37" t="s">
        <v>653</v>
      </c>
      <c r="C1075" s="37">
        <v>10</v>
      </c>
      <c r="D1075" s="37">
        <v>0.7</v>
      </c>
      <c r="E1075" s="37" t="s">
        <v>707</v>
      </c>
      <c r="F1075" s="37"/>
      <c r="G1075" s="37" t="s">
        <v>660</v>
      </c>
      <c r="H1075" s="37" t="s">
        <v>728</v>
      </c>
      <c r="I1075" s="38">
        <f t="shared" si="128"/>
        <v>2.2965879265091864</v>
      </c>
      <c r="J1075" s="38">
        <f t="shared" si="129"/>
        <v>2.3025850929940459</v>
      </c>
      <c r="K1075" s="38">
        <f t="shared" si="130"/>
        <v>0.83142451123091354</v>
      </c>
      <c r="L1075" s="39">
        <f t="shared" si="131"/>
        <v>0.43542857142857144</v>
      </c>
      <c r="M1075" s="39">
        <f t="shared" si="132"/>
        <v>1.3769460440276029</v>
      </c>
      <c r="N1075" s="39">
        <f t="shared" si="133"/>
        <v>4.3542857142857141</v>
      </c>
      <c r="O1075" s="40">
        <f>1</f>
        <v>1</v>
      </c>
      <c r="P1075" s="38">
        <f>INDEX(Cables!$AS:$AS,MATCH(B1075,Cables!$A:$A,0))+INDEX(Cables!$AT:$AT,MATCH(B1075,Cables!$A:$A,0))*SQRT(C1075)+INDEX(Cables!$AU:$AU,MATCH(B1075,Cables!$A:$A,0))*C1075</f>
        <v>2.0382875761631487</v>
      </c>
      <c r="Q1075" s="41">
        <f t="shared" si="134"/>
        <v>-0.11247135255067475</v>
      </c>
      <c r="R1075" s="39">
        <f t="shared" si="135"/>
        <v>1.2649805144578172E-2</v>
      </c>
      <c r="S1075" s="40" t="b">
        <f>IF(B1075=B1074,C1075&gt;C1074,COUNTIF(B$1:B1074,B1075)=0)</f>
        <v>1</v>
      </c>
      <c r="T1075" s="37"/>
    </row>
    <row r="1076" spans="1:20" x14ac:dyDescent="0.25">
      <c r="A1076" s="37" t="s">
        <v>1820</v>
      </c>
      <c r="B1076" s="37" t="s">
        <v>653</v>
      </c>
      <c r="C1076" s="37">
        <v>50</v>
      </c>
      <c r="D1076" s="37">
        <v>1.3</v>
      </c>
      <c r="E1076" s="37" t="s">
        <v>707</v>
      </c>
      <c r="F1076" s="37"/>
      <c r="G1076" s="37" t="s">
        <v>660</v>
      </c>
      <c r="H1076" s="37" t="s">
        <v>728</v>
      </c>
      <c r="I1076" s="38">
        <f t="shared" si="128"/>
        <v>4.2650918635170605</v>
      </c>
      <c r="J1076" s="38">
        <f t="shared" si="129"/>
        <v>3.912023005428146</v>
      </c>
      <c r="K1076" s="38">
        <f t="shared" si="130"/>
        <v>1.4504637196371368</v>
      </c>
      <c r="L1076" s="39">
        <f t="shared" si="131"/>
        <v>0.23446153846153844</v>
      </c>
      <c r="M1076" s="39">
        <f t="shared" si="132"/>
        <v>1.6578934377358439</v>
      </c>
      <c r="N1076" s="39">
        <f t="shared" si="133"/>
        <v>11.723076923076922</v>
      </c>
      <c r="O1076" s="40">
        <f>1</f>
        <v>1</v>
      </c>
      <c r="P1076" s="38">
        <f>INDEX(Cables!$AS:$AS,MATCH(B1076,Cables!$A:$A,0))+INDEX(Cables!$AT:$AT,MATCH(B1076,Cables!$A:$A,0))*SQRT(C1076)+INDEX(Cables!$AU:$AU,MATCH(B1076,Cables!$A:$A,0))*C1076</f>
        <v>4.6014452050059553</v>
      </c>
      <c r="Q1076" s="41">
        <f t="shared" si="134"/>
        <v>7.8861921912165567E-2</v>
      </c>
      <c r="R1076" s="39">
        <f t="shared" si="135"/>
        <v>6.2192027276804993E-3</v>
      </c>
      <c r="S1076" s="40" t="b">
        <f>IF(B1076=B1075,C1076&gt;C1075,COUNTIF(B$1:B1075,B1076)=0)</f>
        <v>1</v>
      </c>
      <c r="T1076" s="37"/>
    </row>
    <row r="1077" spans="1:20" x14ac:dyDescent="0.25">
      <c r="A1077" s="37" t="s">
        <v>1821</v>
      </c>
      <c r="B1077" s="37" t="s">
        <v>653</v>
      </c>
      <c r="C1077" s="37">
        <v>100</v>
      </c>
      <c r="D1077" s="37">
        <v>2</v>
      </c>
      <c r="E1077" s="37" t="s">
        <v>707</v>
      </c>
      <c r="F1077" s="37"/>
      <c r="G1077" s="37" t="s">
        <v>660</v>
      </c>
      <c r="H1077" s="37" t="s">
        <v>728</v>
      </c>
      <c r="I1077" s="38">
        <f t="shared" si="128"/>
        <v>6.5616797900262469</v>
      </c>
      <c r="J1077" s="38">
        <f t="shared" si="129"/>
        <v>4.6051701859880918</v>
      </c>
      <c r="K1077" s="38">
        <f t="shared" si="130"/>
        <v>1.8812466357295912</v>
      </c>
      <c r="L1077" s="39">
        <f t="shared" si="131"/>
        <v>0.15240000000000001</v>
      </c>
      <c r="M1077" s="39">
        <f t="shared" si="132"/>
        <v>1.524</v>
      </c>
      <c r="N1077" s="39">
        <f t="shared" si="133"/>
        <v>15.24</v>
      </c>
      <c r="O1077" s="40">
        <f>1</f>
        <v>1</v>
      </c>
      <c r="P1077" s="38">
        <f>INDEX(Cables!$AS:$AS,MATCH(B1077,Cables!$A:$A,0))+INDEX(Cables!$AT:$AT,MATCH(B1077,Cables!$A:$A,0))*SQRT(C1077)+INDEX(Cables!$AU:$AU,MATCH(B1077,Cables!$A:$A,0))*C1077</f>
        <v>6.5962890241165226</v>
      </c>
      <c r="Q1077" s="41">
        <f t="shared" si="134"/>
        <v>5.2744472753580851E-3</v>
      </c>
      <c r="R1077" s="39">
        <f t="shared" si="135"/>
        <v>2.7819794060532326E-5</v>
      </c>
      <c r="S1077" s="40" t="b">
        <f>IF(B1077=B1076,C1077&gt;C1076,COUNTIF(B$1:B1076,B1077)=0)</f>
        <v>1</v>
      </c>
      <c r="T1077" s="37"/>
    </row>
    <row r="1078" spans="1:20" x14ac:dyDescent="0.25">
      <c r="A1078" s="37" t="s">
        <v>1822</v>
      </c>
      <c r="B1078" s="37" t="s">
        <v>653</v>
      </c>
      <c r="C1078" s="37">
        <v>200</v>
      </c>
      <c r="D1078" s="37">
        <v>2.9</v>
      </c>
      <c r="E1078" s="37" t="s">
        <v>707</v>
      </c>
      <c r="F1078" s="37"/>
      <c r="G1078" s="37" t="s">
        <v>660</v>
      </c>
      <c r="H1078" s="37" t="s">
        <v>728</v>
      </c>
      <c r="I1078" s="38">
        <f t="shared" si="128"/>
        <v>9.514435695538058</v>
      </c>
      <c r="J1078" s="38">
        <f t="shared" si="129"/>
        <v>5.2983173665480363</v>
      </c>
      <c r="K1078" s="38">
        <f t="shared" si="130"/>
        <v>2.252810192162074</v>
      </c>
      <c r="L1078" s="39">
        <f t="shared" si="131"/>
        <v>0.10510344827586207</v>
      </c>
      <c r="M1078" s="39">
        <f t="shared" si="132"/>
        <v>1.4863872200390322</v>
      </c>
      <c r="N1078" s="39">
        <f t="shared" si="133"/>
        <v>21.020689655172415</v>
      </c>
      <c r="O1078" s="40">
        <f>1</f>
        <v>1</v>
      </c>
      <c r="P1078" s="38">
        <f>INDEX(Cables!$AS:$AS,MATCH(B1078,Cables!$A:$A,0))+INDEX(Cables!$AT:$AT,MATCH(B1078,Cables!$A:$A,0))*SQRT(C1078)+INDEX(Cables!$AU:$AU,MATCH(B1078,Cables!$A:$A,0))*C1078</f>
        <v>9.5259693439354738</v>
      </c>
      <c r="Q1078" s="41">
        <f t="shared" si="134"/>
        <v>1.2122262177698406E-3</v>
      </c>
      <c r="R1078" s="39">
        <f t="shared" si="135"/>
        <v>1.469492403048573E-6</v>
      </c>
      <c r="S1078" s="40" t="b">
        <f>IF(B1078=B1077,C1078&gt;C1077,COUNTIF(B$1:B1077,B1078)=0)</f>
        <v>1</v>
      </c>
      <c r="T1078" s="37"/>
    </row>
    <row r="1079" spans="1:20" x14ac:dyDescent="0.25">
      <c r="A1079" s="37" t="s">
        <v>1823</v>
      </c>
      <c r="B1079" s="37" t="s">
        <v>653</v>
      </c>
      <c r="C1079" s="37">
        <v>400</v>
      </c>
      <c r="D1079" s="37">
        <v>4.2</v>
      </c>
      <c r="E1079" s="37" t="s">
        <v>707</v>
      </c>
      <c r="F1079" s="37"/>
      <c r="G1079" s="37" t="s">
        <v>660</v>
      </c>
      <c r="H1079" s="37" t="s">
        <v>728</v>
      </c>
      <c r="I1079" s="38">
        <f t="shared" si="128"/>
        <v>13.779527559055119</v>
      </c>
      <c r="J1079" s="38">
        <f t="shared" si="129"/>
        <v>5.9914645471079817</v>
      </c>
      <c r="K1079" s="38">
        <f t="shared" si="130"/>
        <v>2.6231839804589683</v>
      </c>
      <c r="L1079" s="39">
        <f t="shared" si="131"/>
        <v>7.2571428571428565E-2</v>
      </c>
      <c r="M1079" s="39">
        <f t="shared" si="132"/>
        <v>1.4514285714285713</v>
      </c>
      <c r="N1079" s="39">
        <f t="shared" si="133"/>
        <v>29.028571428571428</v>
      </c>
      <c r="O1079" s="40">
        <f>1</f>
        <v>1</v>
      </c>
      <c r="P1079" s="38">
        <f>INDEX(Cables!$AS:$AS,MATCH(B1079,Cables!$A:$A,0))+INDEX(Cables!$AT:$AT,MATCH(B1079,Cables!$A:$A,0))*SQRT(C1079)+INDEX(Cables!$AU:$AU,MATCH(B1079,Cables!$A:$A,0))*C1079</f>
        <v>13.886253257674269</v>
      </c>
      <c r="Q1079" s="41">
        <f t="shared" si="134"/>
        <v>7.7452364140755403E-3</v>
      </c>
      <c r="R1079" s="39">
        <f t="shared" si="135"/>
        <v>5.9988687109921737E-5</v>
      </c>
      <c r="S1079" s="40" t="b">
        <f>IF(B1079=B1078,C1079&gt;C1078,COUNTIF(B$1:B1078,B1079)=0)</f>
        <v>1</v>
      </c>
      <c r="T1079" s="37"/>
    </row>
    <row r="1080" spans="1:20" x14ac:dyDescent="0.25">
      <c r="A1080" s="37" t="s">
        <v>1824</v>
      </c>
      <c r="B1080" s="37" t="s">
        <v>653</v>
      </c>
      <c r="C1080" s="37">
        <v>700</v>
      </c>
      <c r="D1080" s="37">
        <v>5.8</v>
      </c>
      <c r="E1080" s="37" t="s">
        <v>707</v>
      </c>
      <c r="F1080" s="37"/>
      <c r="G1080" s="37" t="s">
        <v>660</v>
      </c>
      <c r="H1080" s="37" t="s">
        <v>728</v>
      </c>
      <c r="I1080" s="38">
        <f t="shared" si="128"/>
        <v>19.028871391076116</v>
      </c>
      <c r="J1080" s="38">
        <f t="shared" si="129"/>
        <v>6.5510803350434044</v>
      </c>
      <c r="K1080" s="38">
        <f t="shared" si="130"/>
        <v>2.9459573727220194</v>
      </c>
      <c r="L1080" s="39">
        <f t="shared" si="131"/>
        <v>5.2551724137931036E-2</v>
      </c>
      <c r="M1080" s="39">
        <f t="shared" si="132"/>
        <v>1.3903879303663571</v>
      </c>
      <c r="N1080" s="39">
        <f t="shared" si="133"/>
        <v>36.786206896551725</v>
      </c>
      <c r="O1080" s="40">
        <f>1</f>
        <v>1</v>
      </c>
      <c r="P1080" s="38">
        <f>INDEX(Cables!$AS:$AS,MATCH(B1080,Cables!$A:$A,0))+INDEX(Cables!$AT:$AT,MATCH(B1080,Cables!$A:$A,0))*SQRT(C1080)+INDEX(Cables!$AU:$AU,MATCH(B1080,Cables!$A:$A,0))*C1080</f>
        <v>18.987606953287589</v>
      </c>
      <c r="Q1080" s="41">
        <f t="shared" si="134"/>
        <v>-2.16851735136947E-3</v>
      </c>
      <c r="R1080" s="39">
        <f t="shared" si="135"/>
        <v>4.7024675031904611E-6</v>
      </c>
      <c r="S1080" s="40" t="b">
        <f>IF(B1080=B1079,C1080&gt;C1079,COUNTIF(B$1:B1079,B1080)=0)</f>
        <v>1</v>
      </c>
      <c r="T1080" s="37"/>
    </row>
    <row r="1081" spans="1:20" x14ac:dyDescent="0.25">
      <c r="A1081" s="37" t="s">
        <v>1825</v>
      </c>
      <c r="B1081" s="37" t="s">
        <v>653</v>
      </c>
      <c r="C1081" s="37">
        <v>900</v>
      </c>
      <c r="D1081" s="37">
        <v>6.8</v>
      </c>
      <c r="E1081" s="37" t="s">
        <v>707</v>
      </c>
      <c r="F1081" s="37"/>
      <c r="G1081" s="37" t="s">
        <v>660</v>
      </c>
      <c r="H1081" s="37" t="s">
        <v>728</v>
      </c>
      <c r="I1081" s="38">
        <f t="shared" si="128"/>
        <v>22.309711286089239</v>
      </c>
      <c r="J1081" s="38">
        <f t="shared" si="129"/>
        <v>6.8023947633243109</v>
      </c>
      <c r="K1081" s="38">
        <f t="shared" si="130"/>
        <v>3.1050220673517068</v>
      </c>
      <c r="L1081" s="39">
        <f t="shared" si="131"/>
        <v>4.4823529411764707E-2</v>
      </c>
      <c r="M1081" s="39">
        <f t="shared" si="132"/>
        <v>1.3447058823529412</v>
      </c>
      <c r="N1081" s="39">
        <f t="shared" si="133"/>
        <v>40.341176470588238</v>
      </c>
      <c r="O1081" s="40">
        <f>1</f>
        <v>1</v>
      </c>
      <c r="P1081" s="38">
        <f>INDEX(Cables!$AS:$AS,MATCH(B1081,Cables!$A:$A,0))+INDEX(Cables!$AT:$AT,MATCH(B1081,Cables!$A:$A,0))*SQRT(C1081)+INDEX(Cables!$AU:$AU,MATCH(B1081,Cables!$A:$A,0))*C1081</f>
        <v>21.917410042267335</v>
      </c>
      <c r="Q1081" s="41">
        <f t="shared" si="134"/>
        <v>-1.7584326340723044E-2</v>
      </c>
      <c r="R1081" s="39">
        <f t="shared" si="135"/>
        <v>3.092085328570463E-4</v>
      </c>
      <c r="S1081" s="40" t="b">
        <f>IF(B1081=B1080,C1081&gt;C1080,COUNTIF(B$1:B1080,B1081)=0)</f>
        <v>1</v>
      </c>
      <c r="T1081" s="37"/>
    </row>
    <row r="1082" spans="1:20" x14ac:dyDescent="0.25">
      <c r="A1082" s="37" t="s">
        <v>1826</v>
      </c>
      <c r="B1082" s="37" t="s">
        <v>653</v>
      </c>
      <c r="C1082" s="37">
        <v>1000</v>
      </c>
      <c r="D1082" s="37">
        <v>7.1</v>
      </c>
      <c r="E1082" s="37" t="s">
        <v>707</v>
      </c>
      <c r="F1082" s="37"/>
      <c r="G1082" s="37" t="s">
        <v>660</v>
      </c>
      <c r="H1082" s="37" t="s">
        <v>728</v>
      </c>
      <c r="I1082" s="38">
        <f t="shared" si="128"/>
        <v>23.293963254593177</v>
      </c>
      <c r="J1082" s="38">
        <f t="shared" si="129"/>
        <v>6.9077552789821368</v>
      </c>
      <c r="K1082" s="38">
        <f t="shared" si="130"/>
        <v>3.1481942392169158</v>
      </c>
      <c r="L1082" s="39">
        <f t="shared" si="131"/>
        <v>4.2929577464788732E-2</v>
      </c>
      <c r="M1082" s="39">
        <f t="shared" si="132"/>
        <v>1.3575524377736929</v>
      </c>
      <c r="N1082" s="39">
        <f t="shared" si="133"/>
        <v>42.929577464788728</v>
      </c>
      <c r="O1082" s="40">
        <f>1</f>
        <v>1</v>
      </c>
      <c r="P1082" s="38">
        <f>INDEX(Cables!$AS:$AS,MATCH(B1082,Cables!$A:$A,0))+INDEX(Cables!$AT:$AT,MATCH(B1082,Cables!$A:$A,0))*SQRT(C1082)+INDEX(Cables!$AU:$AU,MATCH(B1082,Cables!$A:$A,0))*C1082</f>
        <v>23.290586166943555</v>
      </c>
      <c r="Q1082" s="41">
        <f t="shared" si="134"/>
        <v>-1.4497694585979826E-4</v>
      </c>
      <c r="R1082" s="39">
        <f t="shared" si="135"/>
        <v>2.1018314830834876E-8</v>
      </c>
      <c r="S1082" s="40" t="b">
        <f>IF(B1082=B1081,C1082&gt;C1081,COUNTIF(B$1:B1081,B1082)=0)</f>
        <v>1</v>
      </c>
      <c r="T1082" s="37"/>
    </row>
    <row r="1083" spans="1:20" x14ac:dyDescent="0.25">
      <c r="A1083" s="37" t="s">
        <v>1827</v>
      </c>
      <c r="B1083" s="37" t="s">
        <v>661</v>
      </c>
      <c r="C1083" s="37">
        <v>1</v>
      </c>
      <c r="D1083" s="37">
        <v>0.24</v>
      </c>
      <c r="E1083" s="37" t="s">
        <v>707</v>
      </c>
      <c r="F1083" s="37"/>
      <c r="G1083" s="37" t="s">
        <v>670</v>
      </c>
      <c r="H1083" s="37" t="s">
        <v>728</v>
      </c>
      <c r="I1083" s="38">
        <f t="shared" si="128"/>
        <v>0.78740157480314954</v>
      </c>
      <c r="J1083" s="38">
        <f t="shared" si="129"/>
        <v>0</v>
      </c>
      <c r="K1083" s="38">
        <f t="shared" si="130"/>
        <v>-0.23901690047049998</v>
      </c>
      <c r="L1083" s="39">
        <f t="shared" si="131"/>
        <v>1.27</v>
      </c>
      <c r="M1083" s="39">
        <f t="shared" si="132"/>
        <v>1.27</v>
      </c>
      <c r="N1083" s="39">
        <f t="shared" si="133"/>
        <v>1.27</v>
      </c>
      <c r="O1083" s="40">
        <f>1</f>
        <v>1</v>
      </c>
      <c r="P1083" s="38">
        <f>INDEX(Cables!$AS:$AS,MATCH(B1083,Cables!$A:$A,0))+INDEX(Cables!$AT:$AT,MATCH(B1083,Cables!$A:$A,0))*SQRT(C1083)+INDEX(Cables!$AU:$AU,MATCH(B1083,Cables!$A:$A,0))*C1083</f>
        <v>0.86845152786020452</v>
      </c>
      <c r="Q1083" s="41">
        <f t="shared" si="134"/>
        <v>0.10293344038245977</v>
      </c>
      <c r="R1083" s="39">
        <f t="shared" si="135"/>
        <v>1.05952931489694E-2</v>
      </c>
      <c r="S1083" s="40" t="b">
        <f>IF(B1083=B1082,C1083&gt;C1082,COUNTIF(B$1:B1082,B1083)=0)</f>
        <v>1</v>
      </c>
      <c r="T1083" s="37"/>
    </row>
    <row r="1084" spans="1:20" x14ac:dyDescent="0.25">
      <c r="A1084" s="37" t="s">
        <v>1828</v>
      </c>
      <c r="B1084" s="37" t="s">
        <v>661</v>
      </c>
      <c r="C1084" s="37">
        <v>3.58</v>
      </c>
      <c r="D1084" s="37">
        <v>0.44</v>
      </c>
      <c r="E1084" s="37" t="s">
        <v>707</v>
      </c>
      <c r="F1084" s="37"/>
      <c r="G1084" s="37" t="s">
        <v>670</v>
      </c>
      <c r="H1084" s="37" t="s">
        <v>728</v>
      </c>
      <c r="I1084" s="38">
        <f t="shared" si="128"/>
        <v>1.4435695538057742</v>
      </c>
      <c r="J1084" s="38">
        <f t="shared" si="129"/>
        <v>1.275362800412609</v>
      </c>
      <c r="K1084" s="38">
        <f t="shared" si="130"/>
        <v>0.3671189030998156</v>
      </c>
      <c r="L1084" s="39">
        <f t="shared" si="131"/>
        <v>0.69272727272727275</v>
      </c>
      <c r="M1084" s="39">
        <f t="shared" si="132"/>
        <v>1.3107015092235883</v>
      </c>
      <c r="N1084" s="39">
        <f t="shared" si="133"/>
        <v>2.4799636363636366</v>
      </c>
      <c r="O1084" s="40">
        <f>1</f>
        <v>1</v>
      </c>
      <c r="P1084" s="38">
        <f>INDEX(Cables!$AS:$AS,MATCH(B1084,Cables!$A:$A,0))+INDEX(Cables!$AT:$AT,MATCH(B1084,Cables!$A:$A,0))*SQRT(C1084)+INDEX(Cables!$AU:$AU,MATCH(B1084,Cables!$A:$A,0))*C1084</f>
        <v>1.4204969473069682</v>
      </c>
      <c r="Q1084" s="41">
        <f t="shared" si="134"/>
        <v>-1.5983023774627458E-2</v>
      </c>
      <c r="R1084" s="39">
        <f t="shared" si="135"/>
        <v>2.5545704898030658E-4</v>
      </c>
      <c r="S1084" s="40" t="b">
        <f>IF(B1084=B1083,C1084&gt;C1083,COUNTIF(B$1:B1083,B1084)=0)</f>
        <v>1</v>
      </c>
      <c r="T1084" s="37"/>
    </row>
    <row r="1085" spans="1:20" x14ac:dyDescent="0.25">
      <c r="A1085" s="37" t="s">
        <v>1829</v>
      </c>
      <c r="B1085" s="37" t="s">
        <v>661</v>
      </c>
      <c r="C1085" s="37">
        <v>5</v>
      </c>
      <c r="D1085" s="37">
        <v>0.52</v>
      </c>
      <c r="E1085" s="37" t="s">
        <v>707</v>
      </c>
      <c r="F1085" s="37"/>
      <c r="G1085" s="37" t="s">
        <v>670</v>
      </c>
      <c r="H1085" s="37" t="s">
        <v>728</v>
      </c>
      <c r="I1085" s="38">
        <f t="shared" si="128"/>
        <v>1.7060367454068242</v>
      </c>
      <c r="J1085" s="38">
        <f t="shared" si="129"/>
        <v>1.6094379124341003</v>
      </c>
      <c r="K1085" s="38">
        <f t="shared" si="130"/>
        <v>0.53417298776298183</v>
      </c>
      <c r="L1085" s="39">
        <f t="shared" si="131"/>
        <v>0.58615384615384614</v>
      </c>
      <c r="M1085" s="39">
        <f t="shared" si="132"/>
        <v>1.3106798452729538</v>
      </c>
      <c r="N1085" s="39">
        <f t="shared" si="133"/>
        <v>2.9307692307692306</v>
      </c>
      <c r="O1085" s="40">
        <f>1</f>
        <v>1</v>
      </c>
      <c r="P1085" s="38">
        <f>INDEX(Cables!$AS:$AS,MATCH(B1085,Cables!$A:$A,0))+INDEX(Cables!$AT:$AT,MATCH(B1085,Cables!$A:$A,0))*SQRT(C1085)+INDEX(Cables!$AU:$AU,MATCH(B1085,Cables!$A:$A,0))*C1085</f>
        <v>1.6338797653080681</v>
      </c>
      <c r="Q1085" s="41">
        <f t="shared" si="134"/>
        <v>-4.2295091411732377E-2</v>
      </c>
      <c r="R1085" s="39">
        <f t="shared" si="135"/>
        <v>1.788874757526798E-3</v>
      </c>
      <c r="S1085" s="40" t="b">
        <f>IF(B1085=B1084,C1085&gt;C1084,COUNTIF(B$1:B1084,B1085)=0)</f>
        <v>1</v>
      </c>
      <c r="T1085" s="37"/>
    </row>
    <row r="1086" spans="1:20" x14ac:dyDescent="0.25">
      <c r="A1086" s="37" t="s">
        <v>1830</v>
      </c>
      <c r="B1086" s="37" t="s">
        <v>661</v>
      </c>
      <c r="C1086" s="37">
        <v>6</v>
      </c>
      <c r="D1086" s="37">
        <v>0.56999999999999995</v>
      </c>
      <c r="E1086" s="37" t="s">
        <v>707</v>
      </c>
      <c r="F1086" s="37"/>
      <c r="G1086" s="37" t="s">
        <v>670</v>
      </c>
      <c r="H1086" s="37" t="s">
        <v>728</v>
      </c>
      <c r="I1086" s="38">
        <f t="shared" si="128"/>
        <v>1.8700787401574801</v>
      </c>
      <c r="J1086" s="38">
        <f t="shared" si="129"/>
        <v>1.791759469228055</v>
      </c>
      <c r="K1086" s="38">
        <f t="shared" si="130"/>
        <v>0.62598053701610457</v>
      </c>
      <c r="L1086" s="39">
        <f t="shared" si="131"/>
        <v>0.53473684210526318</v>
      </c>
      <c r="M1086" s="39">
        <f t="shared" si="132"/>
        <v>1.30983240982511</v>
      </c>
      <c r="N1086" s="39">
        <f t="shared" si="133"/>
        <v>3.2084210526315795</v>
      </c>
      <c r="O1086" s="40">
        <f>1</f>
        <v>1</v>
      </c>
      <c r="P1086" s="38">
        <f>INDEX(Cables!$AS:$AS,MATCH(B1086,Cables!$A:$A,0))+INDEX(Cables!$AT:$AT,MATCH(B1086,Cables!$A:$A,0))*SQRT(C1086)+INDEX(Cables!$AU:$AU,MATCH(B1086,Cables!$A:$A,0))*C1086</f>
        <v>1.7664186768903289</v>
      </c>
      <c r="Q1086" s="41">
        <f t="shared" si="134"/>
        <v>-5.5430854883908198E-2</v>
      </c>
      <c r="R1086" s="39">
        <f t="shared" si="135"/>
        <v>3.0725796731608892E-3</v>
      </c>
      <c r="S1086" s="40" t="b">
        <f>IF(B1086=B1085,C1086&gt;C1085,COUNTIF(B$1:B1085,B1086)=0)</f>
        <v>1</v>
      </c>
      <c r="T1086" s="37"/>
    </row>
    <row r="1087" spans="1:20" x14ac:dyDescent="0.25">
      <c r="A1087" s="37" t="s">
        <v>1831</v>
      </c>
      <c r="B1087" s="37" t="s">
        <v>661</v>
      </c>
      <c r="C1087" s="37">
        <v>7</v>
      </c>
      <c r="D1087" s="37">
        <v>0.61</v>
      </c>
      <c r="E1087" s="37" t="s">
        <v>707</v>
      </c>
      <c r="F1087" s="37"/>
      <c r="G1087" s="37" t="s">
        <v>670</v>
      </c>
      <c r="H1087" s="37" t="s">
        <v>728</v>
      </c>
      <c r="I1087" s="38">
        <f t="shared" si="128"/>
        <v>2.0013123359580054</v>
      </c>
      <c r="J1087" s="38">
        <f t="shared" si="129"/>
        <v>1.9459101490553132</v>
      </c>
      <c r="K1087" s="38">
        <f t="shared" si="130"/>
        <v>0.69380313335486576</v>
      </c>
      <c r="L1087" s="39">
        <f t="shared" si="131"/>
        <v>0.49967213114754094</v>
      </c>
      <c r="M1087" s="39">
        <f t="shared" si="132"/>
        <v>1.3220081960860446</v>
      </c>
      <c r="N1087" s="39">
        <f t="shared" si="133"/>
        <v>3.4977049180327868</v>
      </c>
      <c r="O1087" s="40">
        <f>1</f>
        <v>1</v>
      </c>
      <c r="P1087" s="38">
        <f>INDEX(Cables!$AS:$AS,MATCH(B1087,Cables!$A:$A,0))+INDEX(Cables!$AT:$AT,MATCH(B1087,Cables!$A:$A,0))*SQRT(C1087)+INDEX(Cables!$AU:$AU,MATCH(B1087,Cables!$A:$A,0))*C1087</f>
        <v>1.8883992058756474</v>
      </c>
      <c r="Q1087" s="41">
        <f t="shared" si="134"/>
        <v>-5.6419544342791395E-2</v>
      </c>
      <c r="R1087" s="39">
        <f t="shared" si="135"/>
        <v>3.1831649838482043E-3</v>
      </c>
      <c r="S1087" s="40" t="b">
        <f>IF(B1087=B1086,C1087&gt;C1086,COUNTIF(B$1:B1086,B1087)=0)</f>
        <v>1</v>
      </c>
      <c r="T1087" s="37"/>
    </row>
    <row r="1088" spans="1:20" x14ac:dyDescent="0.25">
      <c r="A1088" s="37" t="s">
        <v>1832</v>
      </c>
      <c r="B1088" s="37" t="s">
        <v>661</v>
      </c>
      <c r="C1088" s="37">
        <v>10</v>
      </c>
      <c r="D1088" s="37">
        <v>0.71</v>
      </c>
      <c r="E1088" s="37" t="s">
        <v>707</v>
      </c>
      <c r="F1088" s="37"/>
      <c r="G1088" s="37" t="s">
        <v>670</v>
      </c>
      <c r="H1088" s="37" t="s">
        <v>728</v>
      </c>
      <c r="I1088" s="38">
        <f t="shared" si="128"/>
        <v>2.3293963254593177</v>
      </c>
      <c r="J1088" s="38">
        <f t="shared" si="129"/>
        <v>2.3025850929940459</v>
      </c>
      <c r="K1088" s="38">
        <f t="shared" si="130"/>
        <v>0.84560914622286998</v>
      </c>
      <c r="L1088" s="39">
        <f t="shared" si="131"/>
        <v>0.42929577464788732</v>
      </c>
      <c r="M1088" s="39">
        <f t="shared" si="132"/>
        <v>1.3575524377736929</v>
      </c>
      <c r="N1088" s="39">
        <f t="shared" si="133"/>
        <v>4.2929577464788728</v>
      </c>
      <c r="O1088" s="40">
        <f>1</f>
        <v>1</v>
      </c>
      <c r="P1088" s="38">
        <f>INDEX(Cables!$AS:$AS,MATCH(B1088,Cables!$A:$A,0))+INDEX(Cables!$AT:$AT,MATCH(B1088,Cables!$A:$A,0))*SQRT(C1088)+INDEX(Cables!$AU:$AU,MATCH(B1088,Cables!$A:$A,0))*C1088</f>
        <v>2.2098814334404602</v>
      </c>
      <c r="Q1088" s="41">
        <f t="shared" si="134"/>
        <v>-5.130723815119409E-2</v>
      </c>
      <c r="R1088" s="39">
        <f t="shared" si="135"/>
        <v>2.6324326867033462E-3</v>
      </c>
      <c r="S1088" s="40" t="b">
        <f>IF(B1088=B1087,C1088&gt;C1087,COUNTIF(B$1:B1087,B1088)=0)</f>
        <v>1</v>
      </c>
      <c r="T1088" s="37"/>
    </row>
    <row r="1089" spans="1:20" x14ac:dyDescent="0.25">
      <c r="A1089" s="37" t="s">
        <v>1833</v>
      </c>
      <c r="B1089" s="37" t="s">
        <v>661</v>
      </c>
      <c r="C1089" s="37">
        <v>12</v>
      </c>
      <c r="D1089" s="37">
        <v>0.78</v>
      </c>
      <c r="E1089" s="37" t="s">
        <v>707</v>
      </c>
      <c r="F1089" s="37"/>
      <c r="G1089" s="37" t="s">
        <v>670</v>
      </c>
      <c r="H1089" s="37" t="s">
        <v>728</v>
      </c>
      <c r="I1089" s="38">
        <f t="shared" si="128"/>
        <v>2.5590551181102361</v>
      </c>
      <c r="J1089" s="38">
        <f t="shared" si="129"/>
        <v>2.4849066497880004</v>
      </c>
      <c r="K1089" s="38">
        <f t="shared" si="130"/>
        <v>0.93963809587114622</v>
      </c>
      <c r="L1089" s="39">
        <f t="shared" si="131"/>
        <v>0.39076923076923076</v>
      </c>
      <c r="M1089" s="39">
        <f t="shared" si="132"/>
        <v>1.3536643234538301</v>
      </c>
      <c r="N1089" s="39">
        <f t="shared" si="133"/>
        <v>4.6892307692307691</v>
      </c>
      <c r="O1089" s="40">
        <f>1</f>
        <v>1</v>
      </c>
      <c r="P1089" s="38">
        <f>INDEX(Cables!$AS:$AS,MATCH(B1089,Cables!$A:$A,0))+INDEX(Cables!$AT:$AT,MATCH(B1089,Cables!$A:$A,0))*SQRT(C1089)+INDEX(Cables!$AU:$AU,MATCH(B1089,Cables!$A:$A,0))*C1089</f>
        <v>2.3980367998806931</v>
      </c>
      <c r="Q1089" s="41">
        <f t="shared" si="134"/>
        <v>-6.2921004354313692E-2</v>
      </c>
      <c r="R1089" s="39">
        <f t="shared" si="135"/>
        <v>3.9590527889555626E-3</v>
      </c>
      <c r="S1089" s="40" t="b">
        <f>IF(B1089=B1088,C1089&gt;C1088,COUNTIF(B$1:B1088,B1089)=0)</f>
        <v>1</v>
      </c>
      <c r="T1089" s="37"/>
    </row>
    <row r="1090" spans="1:20" x14ac:dyDescent="0.25">
      <c r="A1090" s="37" t="s">
        <v>1834</v>
      </c>
      <c r="B1090" s="37" t="s">
        <v>661</v>
      </c>
      <c r="C1090" s="37">
        <v>25</v>
      </c>
      <c r="D1090" s="37">
        <v>1.08</v>
      </c>
      <c r="E1090" s="37" t="s">
        <v>707</v>
      </c>
      <c r="F1090" s="37"/>
      <c r="G1090" s="37" t="s">
        <v>670</v>
      </c>
      <c r="H1090" s="37" t="s">
        <v>728</v>
      </c>
      <c r="I1090" s="38">
        <f t="shared" ref="I1090:I1127" si="136">IF(E1090="dB/100ft",D1090*100/30.48,D1090)</f>
        <v>3.5433070866141732</v>
      </c>
      <c r="J1090" s="38">
        <f t="shared" ref="J1090:J1127" si="137">LN(C1090)</f>
        <v>3.2188758248682006</v>
      </c>
      <c r="K1090" s="38">
        <f t="shared" ref="K1090:K1127" si="138">LN(I1090)</f>
        <v>1.2650604963057741</v>
      </c>
      <c r="L1090" s="39">
        <f t="shared" ref="L1090:L1127" si="139">1/I1090</f>
        <v>0.28222222222222221</v>
      </c>
      <c r="M1090" s="39">
        <f t="shared" ref="M1090:M1127" si="140">SQRT(C1090)/I1090</f>
        <v>1.4111111111111112</v>
      </c>
      <c r="N1090" s="39">
        <f t="shared" ref="N1090:N1127" si="141">C1090/I1090</f>
        <v>7.0555555555555554</v>
      </c>
      <c r="O1090" s="40">
        <f>1</f>
        <v>1</v>
      </c>
      <c r="P1090" s="38">
        <f>INDEX(Cables!$AS:$AS,MATCH(B1090,Cables!$A:$A,0))+INDEX(Cables!$AT:$AT,MATCH(B1090,Cables!$A:$A,0))*SQRT(C1090)+INDEX(Cables!$AU:$AU,MATCH(B1090,Cables!$A:$A,0))*C1090</f>
        <v>3.3589622558023908</v>
      </c>
      <c r="Q1090" s="41">
        <f t="shared" ref="Q1090:Q1153" si="142">P1090/I1090-1</f>
        <v>-5.2026207806880831E-2</v>
      </c>
      <c r="R1090" s="39">
        <f t="shared" ref="R1090:R1153" si="143">Q1090^2</f>
        <v>2.7067262987647478E-3</v>
      </c>
      <c r="S1090" s="40" t="b">
        <f>IF(B1090=B1089,C1090&gt;C1089,COUNTIF(B$1:B1089,B1090)=0)</f>
        <v>1</v>
      </c>
      <c r="T1090" s="37"/>
    </row>
    <row r="1091" spans="1:20" x14ac:dyDescent="0.25">
      <c r="A1091" s="37" t="s">
        <v>1835</v>
      </c>
      <c r="B1091" s="37" t="s">
        <v>661</v>
      </c>
      <c r="C1091" s="37">
        <v>67.5</v>
      </c>
      <c r="D1091" s="37">
        <v>1.65</v>
      </c>
      <c r="E1091" s="37" t="s">
        <v>707</v>
      </c>
      <c r="F1091" s="37"/>
      <c r="G1091" s="37" t="s">
        <v>670</v>
      </c>
      <c r="H1091" s="37" t="s">
        <v>728</v>
      </c>
      <c r="I1091" s="38">
        <f t="shared" si="136"/>
        <v>5.4133858267716537</v>
      </c>
      <c r="J1091" s="38">
        <f t="shared" si="137"/>
        <v>4.2121275978784842</v>
      </c>
      <c r="K1091" s="38">
        <f t="shared" si="138"/>
        <v>1.6888747430821351</v>
      </c>
      <c r="L1091" s="39">
        <f t="shared" si="139"/>
        <v>0.18472727272727271</v>
      </c>
      <c r="M1091" s="39">
        <f t="shared" si="140"/>
        <v>1.517689413887042</v>
      </c>
      <c r="N1091" s="39">
        <f t="shared" si="141"/>
        <v>12.469090909090909</v>
      </c>
      <c r="O1091" s="40">
        <f>1</f>
        <v>1</v>
      </c>
      <c r="P1091" s="38">
        <f>INDEX(Cables!$AS:$AS,MATCH(B1091,Cables!$A:$A,0))+INDEX(Cables!$AT:$AT,MATCH(B1091,Cables!$A:$A,0))*SQRT(C1091)+INDEX(Cables!$AU:$AU,MATCH(B1091,Cables!$A:$A,0))*C1091</f>
        <v>5.3896366112365248</v>
      </c>
      <c r="Q1091" s="41">
        <f t="shared" si="142"/>
        <v>-4.3871278152165516E-3</v>
      </c>
      <c r="R1091" s="39">
        <f t="shared" si="143"/>
        <v>1.9246890467046753E-5</v>
      </c>
      <c r="S1091" s="40" t="b">
        <f>IF(B1091=B1090,C1091&gt;C1090,COUNTIF(B$1:B1090,B1091)=0)</f>
        <v>1</v>
      </c>
      <c r="T1091" s="37"/>
    </row>
    <row r="1092" spans="1:20" x14ac:dyDescent="0.25">
      <c r="A1092" s="37" t="s">
        <v>1836</v>
      </c>
      <c r="B1092" s="37" t="s">
        <v>661</v>
      </c>
      <c r="C1092" s="37">
        <v>71.5</v>
      </c>
      <c r="D1092" s="37">
        <v>1.69</v>
      </c>
      <c r="E1092" s="37" t="s">
        <v>707</v>
      </c>
      <c r="F1092" s="37"/>
      <c r="G1092" s="37" t="s">
        <v>670</v>
      </c>
      <c r="H1092" s="37" t="s">
        <v>728</v>
      </c>
      <c r="I1092" s="38">
        <f t="shared" si="136"/>
        <v>5.5446194225721781</v>
      </c>
      <c r="J1092" s="38">
        <f t="shared" si="137"/>
        <v>4.2696974496999616</v>
      </c>
      <c r="K1092" s="38">
        <f t="shared" si="138"/>
        <v>1.7128279841046279</v>
      </c>
      <c r="L1092" s="39">
        <f t="shared" si="139"/>
        <v>0.18035502958579883</v>
      </c>
      <c r="M1092" s="39">
        <f t="shared" si="140"/>
        <v>1.5250401548247665</v>
      </c>
      <c r="N1092" s="39">
        <f t="shared" si="141"/>
        <v>12.895384615384616</v>
      </c>
      <c r="O1092" s="40">
        <f>1</f>
        <v>1</v>
      </c>
      <c r="P1092" s="38">
        <f>INDEX(Cables!$AS:$AS,MATCH(B1092,Cables!$A:$A,0))+INDEX(Cables!$AT:$AT,MATCH(B1092,Cables!$A:$A,0))*SQRT(C1092)+INDEX(Cables!$AU:$AU,MATCH(B1092,Cables!$A:$A,0))*C1092</f>
        <v>5.542157112363161</v>
      </c>
      <c r="Q1092" s="41">
        <f t="shared" si="142"/>
        <v>-4.4409003059664443E-4</v>
      </c>
      <c r="R1092" s="39">
        <f t="shared" si="143"/>
        <v>1.9721595527532857E-7</v>
      </c>
      <c r="S1092" s="40" t="b">
        <f>IF(B1092=B1091,C1092&gt;C1091,COUNTIF(B$1:B1091,B1092)=0)</f>
        <v>1</v>
      </c>
      <c r="T1092" s="37"/>
    </row>
    <row r="1093" spans="1:20" x14ac:dyDescent="0.25">
      <c r="A1093" s="37" t="s">
        <v>1837</v>
      </c>
      <c r="B1093" s="37" t="s">
        <v>661</v>
      </c>
      <c r="C1093" s="37">
        <v>88.5</v>
      </c>
      <c r="D1093" s="37">
        <v>1.86</v>
      </c>
      <c r="E1093" s="37" t="s">
        <v>707</v>
      </c>
      <c r="F1093" s="37"/>
      <c r="G1093" s="37" t="s">
        <v>670</v>
      </c>
      <c r="H1093" s="37" t="s">
        <v>728</v>
      </c>
      <c r="I1093" s="38">
        <f t="shared" si="136"/>
        <v>6.1023622047244093</v>
      </c>
      <c r="J1093" s="38">
        <f t="shared" si="137"/>
        <v>4.4830025520138834</v>
      </c>
      <c r="K1093" s="38">
        <f t="shared" si="138"/>
        <v>1.8086759428947556</v>
      </c>
      <c r="L1093" s="39">
        <f t="shared" si="139"/>
        <v>0.16387096774193549</v>
      </c>
      <c r="M1093" s="39">
        <f t="shared" si="140"/>
        <v>1.5416069294985812</v>
      </c>
      <c r="N1093" s="39">
        <f t="shared" si="141"/>
        <v>14.502580645161292</v>
      </c>
      <c r="O1093" s="40">
        <f>1</f>
        <v>1</v>
      </c>
      <c r="P1093" s="38">
        <f>INDEX(Cables!$AS:$AS,MATCH(B1093,Cables!$A:$A,0))+INDEX(Cables!$AT:$AT,MATCH(B1093,Cables!$A:$A,0))*SQRT(C1093)+INDEX(Cables!$AU:$AU,MATCH(B1093,Cables!$A:$A,0))*C1093</f>
        <v>6.1485169174188066</v>
      </c>
      <c r="Q1093" s="41">
        <f t="shared" si="142"/>
        <v>7.5634174350818206E-3</v>
      </c>
      <c r="R1093" s="39">
        <f t="shared" si="143"/>
        <v>5.7205283297299667E-5</v>
      </c>
      <c r="S1093" s="40" t="b">
        <f>IF(B1093=B1092,C1093&gt;C1092,COUNTIF(B$1:B1092,B1093)=0)</f>
        <v>1</v>
      </c>
      <c r="T1093" s="37"/>
    </row>
    <row r="1094" spans="1:20" x14ac:dyDescent="0.25">
      <c r="A1094" s="37" t="s">
        <v>1838</v>
      </c>
      <c r="B1094" s="37" t="s">
        <v>661</v>
      </c>
      <c r="C1094" s="37">
        <v>100</v>
      </c>
      <c r="D1094" s="37">
        <v>1.95</v>
      </c>
      <c r="E1094" s="37" t="s">
        <v>707</v>
      </c>
      <c r="F1094" s="37"/>
      <c r="G1094" s="37" t="s">
        <v>670</v>
      </c>
      <c r="H1094" s="37" t="s">
        <v>728</v>
      </c>
      <c r="I1094" s="38">
        <f t="shared" si="136"/>
        <v>6.3976377952755907</v>
      </c>
      <c r="J1094" s="38">
        <f t="shared" si="137"/>
        <v>4.6051701859880918</v>
      </c>
      <c r="K1094" s="38">
        <f t="shared" si="138"/>
        <v>1.8559288277453012</v>
      </c>
      <c r="L1094" s="39">
        <f t="shared" si="139"/>
        <v>0.15630769230769231</v>
      </c>
      <c r="M1094" s="39">
        <f t="shared" si="140"/>
        <v>1.563076923076923</v>
      </c>
      <c r="N1094" s="39">
        <f t="shared" si="141"/>
        <v>15.63076923076923</v>
      </c>
      <c r="O1094" s="40">
        <f>1</f>
        <v>1</v>
      </c>
      <c r="P1094" s="38">
        <f>INDEX(Cables!$AS:$AS,MATCH(B1094,Cables!$A:$A,0))+INDEX(Cables!$AT:$AT,MATCH(B1094,Cables!$A:$A,0))*SQRT(C1094)+INDEX(Cables!$AU:$AU,MATCH(B1094,Cables!$A:$A,0))*C1094</f>
        <v>6.5271835494515527</v>
      </c>
      <c r="Q1094" s="41">
        <f t="shared" si="142"/>
        <v>2.0248997883504094E-2</v>
      </c>
      <c r="R1094" s="39">
        <f t="shared" si="143"/>
        <v>4.1002191528615329E-4</v>
      </c>
      <c r="S1094" s="40" t="b">
        <f>IF(B1094=B1093,C1094&gt;C1093,COUNTIF(B$1:B1093,B1094)=0)</f>
        <v>1</v>
      </c>
      <c r="T1094" s="37"/>
    </row>
    <row r="1095" spans="1:20" x14ac:dyDescent="0.25">
      <c r="A1095" s="37" t="s">
        <v>1839</v>
      </c>
      <c r="B1095" s="37" t="s">
        <v>661</v>
      </c>
      <c r="C1095" s="37">
        <v>135</v>
      </c>
      <c r="D1095" s="37">
        <v>2.2400000000000002</v>
      </c>
      <c r="E1095" s="37" t="s">
        <v>707</v>
      </c>
      <c r="F1095" s="37"/>
      <c r="G1095" s="37" t="s">
        <v>670</v>
      </c>
      <c r="H1095" s="37" t="s">
        <v>728</v>
      </c>
      <c r="I1095" s="38">
        <f t="shared" si="136"/>
        <v>7.3490813648293969</v>
      </c>
      <c r="J1095" s="38">
        <f t="shared" si="137"/>
        <v>4.9052747784384296</v>
      </c>
      <c r="K1095" s="38">
        <f t="shared" si="138"/>
        <v>1.9945753210365944</v>
      </c>
      <c r="L1095" s="39">
        <f t="shared" si="139"/>
        <v>0.13607142857142857</v>
      </c>
      <c r="M1095" s="39">
        <f t="shared" si="140"/>
        <v>1.5810071302553845</v>
      </c>
      <c r="N1095" s="39">
        <f t="shared" si="141"/>
        <v>18.369642857142857</v>
      </c>
      <c r="O1095" s="40">
        <f>1</f>
        <v>1</v>
      </c>
      <c r="P1095" s="38">
        <f>INDEX(Cables!$AS:$AS,MATCH(B1095,Cables!$A:$A,0))+INDEX(Cables!$AT:$AT,MATCH(B1095,Cables!$A:$A,0))*SQRT(C1095)+INDEX(Cables!$AU:$AU,MATCH(B1095,Cables!$A:$A,0))*C1095</f>
        <v>7.5661387105800157</v>
      </c>
      <c r="Q1095" s="41">
        <f t="shared" si="142"/>
        <v>2.9535303118209288E-2</v>
      </c>
      <c r="R1095" s="39">
        <f t="shared" si="143"/>
        <v>8.7233413028450335E-4</v>
      </c>
      <c r="S1095" s="40" t="b">
        <f>IF(B1095=B1094,C1095&gt;C1094,COUNTIF(B$1:B1094,B1095)=0)</f>
        <v>1</v>
      </c>
      <c r="T1095" s="37"/>
    </row>
    <row r="1096" spans="1:20" x14ac:dyDescent="0.25">
      <c r="A1096" s="37" t="s">
        <v>1840</v>
      </c>
      <c r="B1096" s="37" t="s">
        <v>661</v>
      </c>
      <c r="C1096" s="37">
        <v>143</v>
      </c>
      <c r="D1096" s="37">
        <v>2.2999999999999998</v>
      </c>
      <c r="E1096" s="37" t="s">
        <v>707</v>
      </c>
      <c r="F1096" s="37"/>
      <c r="G1096" s="37" t="s">
        <v>670</v>
      </c>
      <c r="H1096" s="37" t="s">
        <v>728</v>
      </c>
      <c r="I1096" s="38">
        <f t="shared" si="136"/>
        <v>7.5459317585301831</v>
      </c>
      <c r="J1096" s="38">
        <f t="shared" si="137"/>
        <v>4.962844630259907</v>
      </c>
      <c r="K1096" s="38">
        <f t="shared" si="138"/>
        <v>2.0210085781047495</v>
      </c>
      <c r="L1096" s="39">
        <f t="shared" si="139"/>
        <v>0.1325217391304348</v>
      </c>
      <c r="M1096" s="39">
        <f t="shared" si="140"/>
        <v>1.5847295106510029</v>
      </c>
      <c r="N1096" s="39">
        <f t="shared" si="141"/>
        <v>18.950608695652175</v>
      </c>
      <c r="O1096" s="40">
        <f>1</f>
        <v>1</v>
      </c>
      <c r="P1096" s="38">
        <f>INDEX(Cables!$AS:$AS,MATCH(B1096,Cables!$A:$A,0))+INDEX(Cables!$AT:$AT,MATCH(B1096,Cables!$A:$A,0))*SQRT(C1096)+INDEX(Cables!$AU:$AU,MATCH(B1096,Cables!$A:$A,0))*C1096</f>
        <v>7.7847034323669693</v>
      </c>
      <c r="Q1096" s="41">
        <f t="shared" si="142"/>
        <v>3.1642437471935736E-2</v>
      </c>
      <c r="R1096" s="39">
        <f t="shared" si="143"/>
        <v>1.0012438491653628E-3</v>
      </c>
      <c r="S1096" s="40" t="b">
        <f>IF(B1096=B1095,C1096&gt;C1095,COUNTIF(B$1:B1095,B1096)=0)</f>
        <v>1</v>
      </c>
      <c r="T1096" s="37"/>
    </row>
    <row r="1097" spans="1:20" x14ac:dyDescent="0.25">
      <c r="A1097" s="37" t="s">
        <v>1841</v>
      </c>
      <c r="B1097" s="37" t="s">
        <v>661</v>
      </c>
      <c r="C1097" s="37">
        <v>180</v>
      </c>
      <c r="D1097" s="37">
        <v>2.57</v>
      </c>
      <c r="E1097" s="37" t="s">
        <v>707</v>
      </c>
      <c r="F1097" s="37"/>
      <c r="G1097" s="37" t="s">
        <v>670</v>
      </c>
      <c r="H1097" s="37" t="s">
        <v>728</v>
      </c>
      <c r="I1097" s="38">
        <f t="shared" si="136"/>
        <v>8.4317585301837266</v>
      </c>
      <c r="J1097" s="38">
        <f t="shared" si="137"/>
        <v>5.1929568508902104</v>
      </c>
      <c r="K1097" s="38">
        <f t="shared" si="138"/>
        <v>2.1320053540767741</v>
      </c>
      <c r="L1097" s="39">
        <f t="shared" si="139"/>
        <v>0.11859922178988327</v>
      </c>
      <c r="M1097" s="39">
        <f t="shared" si="140"/>
        <v>1.5911755320045198</v>
      </c>
      <c r="N1097" s="39">
        <f t="shared" si="141"/>
        <v>21.347859922178991</v>
      </c>
      <c r="O1097" s="40">
        <f>1</f>
        <v>1</v>
      </c>
      <c r="P1097" s="38">
        <f>INDEX(Cables!$AS:$AS,MATCH(B1097,Cables!$A:$A,0))+INDEX(Cables!$AT:$AT,MATCH(B1097,Cables!$A:$A,0))*SQRT(C1097)+INDEX(Cables!$AU:$AU,MATCH(B1097,Cables!$A:$A,0))*C1097</f>
        <v>8.7271673728124206</v>
      </c>
      <c r="Q1097" s="41">
        <f t="shared" si="142"/>
        <v>3.5035258845613315E-2</v>
      </c>
      <c r="R1097" s="39">
        <f t="shared" si="143"/>
        <v>1.227469362379126E-3</v>
      </c>
      <c r="S1097" s="40" t="b">
        <f>IF(B1097=B1096,C1097&gt;C1096,COUNTIF(B$1:B1096,B1097)=0)</f>
        <v>1</v>
      </c>
      <c r="T1097" s="37"/>
    </row>
    <row r="1098" spans="1:20" x14ac:dyDescent="0.25">
      <c r="A1098" s="37" t="s">
        <v>1842</v>
      </c>
      <c r="B1098" s="37" t="s">
        <v>661</v>
      </c>
      <c r="C1098" s="37">
        <v>270</v>
      </c>
      <c r="D1098" s="37">
        <v>3.17</v>
      </c>
      <c r="E1098" s="37" t="s">
        <v>707</v>
      </c>
      <c r="F1098" s="37"/>
      <c r="G1098" s="37" t="s">
        <v>670</v>
      </c>
      <c r="H1098" s="37" t="s">
        <v>728</v>
      </c>
      <c r="I1098" s="38">
        <f t="shared" si="136"/>
        <v>10.400262467191601</v>
      </c>
      <c r="J1098" s="38">
        <f t="shared" si="137"/>
        <v>5.598421958998375</v>
      </c>
      <c r="K1098" s="38">
        <f t="shared" si="138"/>
        <v>2.3418310430588352</v>
      </c>
      <c r="L1098" s="39">
        <f t="shared" si="139"/>
        <v>9.6151419558359624E-2</v>
      </c>
      <c r="M1098" s="39">
        <f t="shared" si="140"/>
        <v>1.5799290428477095</v>
      </c>
      <c r="N1098" s="39">
        <f t="shared" si="141"/>
        <v>25.960883280757098</v>
      </c>
      <c r="O1098" s="40">
        <f>1</f>
        <v>1</v>
      </c>
      <c r="P1098" s="38">
        <f>INDEX(Cables!$AS:$AS,MATCH(B1098,Cables!$A:$A,0))+INDEX(Cables!$AT:$AT,MATCH(B1098,Cables!$A:$A,0))*SQRT(C1098)+INDEX(Cables!$AU:$AU,MATCH(B1098,Cables!$A:$A,0))*C1098</f>
        <v>10.692577707349184</v>
      </c>
      <c r="Q1098" s="41">
        <f t="shared" si="142"/>
        <v>2.8106525299694374E-2</v>
      </c>
      <c r="R1098" s="39">
        <f t="shared" si="143"/>
        <v>7.899767644223599E-4</v>
      </c>
      <c r="S1098" s="40" t="b">
        <f>IF(B1098=B1097,C1098&gt;C1097,COUNTIF(B$1:B1097,B1098)=0)</f>
        <v>1</v>
      </c>
      <c r="T1098" s="37"/>
    </row>
    <row r="1099" spans="1:20" x14ac:dyDescent="0.25">
      <c r="A1099" s="37" t="s">
        <v>1843</v>
      </c>
      <c r="B1099" s="37" t="s">
        <v>661</v>
      </c>
      <c r="C1099" s="37">
        <v>360</v>
      </c>
      <c r="D1099" s="37">
        <v>3.69</v>
      </c>
      <c r="E1099" s="37" t="s">
        <v>707</v>
      </c>
      <c r="F1099" s="37"/>
      <c r="G1099" s="37" t="s">
        <v>670</v>
      </c>
      <c r="H1099" s="37" t="s">
        <v>728</v>
      </c>
      <c r="I1099" s="38">
        <f t="shared" si="136"/>
        <v>12.106299212598426</v>
      </c>
      <c r="J1099" s="38">
        <f t="shared" si="137"/>
        <v>5.8861040314501558</v>
      </c>
      <c r="K1099" s="38">
        <f t="shared" si="138"/>
        <v>2.4937259132220819</v>
      </c>
      <c r="L1099" s="39">
        <f t="shared" si="139"/>
        <v>8.2601626016260157E-2</v>
      </c>
      <c r="M1099" s="39">
        <f t="shared" si="140"/>
        <v>1.5672556598688163</v>
      </c>
      <c r="N1099" s="39">
        <f t="shared" si="141"/>
        <v>29.736585365853657</v>
      </c>
      <c r="O1099" s="40">
        <f>1</f>
        <v>1</v>
      </c>
      <c r="P1099" s="38">
        <f>INDEX(Cables!$AS:$AS,MATCH(B1099,Cables!$A:$A,0))+INDEX(Cables!$AT:$AT,MATCH(B1099,Cables!$A:$A,0))*SQRT(C1099)+INDEX(Cables!$AU:$AU,MATCH(B1099,Cables!$A:$A,0))*C1099</f>
        <v>12.366786994011532</v>
      </c>
      <c r="Q1099" s="41">
        <f t="shared" si="142"/>
        <v>2.1516714302090678E-2</v>
      </c>
      <c r="R1099" s="39">
        <f t="shared" si="143"/>
        <v>4.6296899435779355E-4</v>
      </c>
      <c r="S1099" s="40" t="b">
        <f>IF(B1099=B1098,C1099&gt;C1098,COUNTIF(B$1:B1098,B1099)=0)</f>
        <v>1</v>
      </c>
      <c r="T1099" s="37"/>
    </row>
    <row r="1100" spans="1:20" x14ac:dyDescent="0.25">
      <c r="A1100" s="37" t="s">
        <v>1844</v>
      </c>
      <c r="B1100" s="37" t="s">
        <v>661</v>
      </c>
      <c r="C1100" s="37">
        <v>540</v>
      </c>
      <c r="D1100" s="37">
        <v>4.5</v>
      </c>
      <c r="E1100" s="37" t="s">
        <v>707</v>
      </c>
      <c r="F1100" s="37"/>
      <c r="G1100" s="37" t="s">
        <v>670</v>
      </c>
      <c r="H1100" s="37" t="s">
        <v>728</v>
      </c>
      <c r="I1100" s="38">
        <f t="shared" si="136"/>
        <v>14.763779527559056</v>
      </c>
      <c r="J1100" s="38">
        <f t="shared" si="137"/>
        <v>6.2915691395583204</v>
      </c>
      <c r="K1100" s="38">
        <f t="shared" si="138"/>
        <v>2.6921768519459199</v>
      </c>
      <c r="L1100" s="39">
        <f t="shared" si="139"/>
        <v>6.7733333333333326E-2</v>
      </c>
      <c r="M1100" s="39">
        <f t="shared" si="140"/>
        <v>1.5739804318986941</v>
      </c>
      <c r="N1100" s="39">
        <f t="shared" si="141"/>
        <v>36.576000000000001</v>
      </c>
      <c r="O1100" s="40">
        <f>1</f>
        <v>1</v>
      </c>
      <c r="P1100" s="38">
        <f>INDEX(Cables!$AS:$AS,MATCH(B1100,Cables!$A:$A,0))+INDEX(Cables!$AT:$AT,MATCH(B1100,Cables!$A:$A,0))*SQRT(C1100)+INDEX(Cables!$AU:$AU,MATCH(B1100,Cables!$A:$A,0))*C1100</f>
        <v>15.210830557200451</v>
      </c>
      <c r="Q1100" s="41">
        <f t="shared" si="142"/>
        <v>3.0280256407710482E-2</v>
      </c>
      <c r="R1100" s="39">
        <f t="shared" si="143"/>
        <v>9.1689392811669169E-4</v>
      </c>
      <c r="S1100" s="40" t="b">
        <f>IF(B1100=B1099,C1100&gt;C1099,COUNTIF(B$1:B1099,B1100)=0)</f>
        <v>1</v>
      </c>
      <c r="T1100" s="37"/>
    </row>
    <row r="1101" spans="1:20" x14ac:dyDescent="0.25">
      <c r="A1101" s="37" t="s">
        <v>1845</v>
      </c>
      <c r="B1101" s="37" t="s">
        <v>661</v>
      </c>
      <c r="C1101" s="37">
        <v>720</v>
      </c>
      <c r="D1101" s="37">
        <v>5.3</v>
      </c>
      <c r="E1101" s="37" t="s">
        <v>707</v>
      </c>
      <c r="F1101" s="37"/>
      <c r="G1101" s="37" t="s">
        <v>670</v>
      </c>
      <c r="H1101" s="37" t="s">
        <v>728</v>
      </c>
      <c r="I1101" s="38">
        <f t="shared" si="136"/>
        <v>17.388451443569554</v>
      </c>
      <c r="J1101" s="38">
        <f t="shared" si="137"/>
        <v>6.5792512120101012</v>
      </c>
      <c r="K1101" s="38">
        <f t="shared" si="138"/>
        <v>2.8558062757277218</v>
      </c>
      <c r="L1101" s="39">
        <f t="shared" si="139"/>
        <v>5.7509433962264149E-2</v>
      </c>
      <c r="M1101" s="39">
        <f t="shared" si="140"/>
        <v>1.5431400442458927</v>
      </c>
      <c r="N1101" s="39">
        <f t="shared" si="141"/>
        <v>41.406792452830189</v>
      </c>
      <c r="O1101" s="40">
        <f>1</f>
        <v>1</v>
      </c>
      <c r="P1101" s="38">
        <f>INDEX(Cables!$AS:$AS,MATCH(B1101,Cables!$A:$A,0))+INDEX(Cables!$AT:$AT,MATCH(B1101,Cables!$A:$A,0))*SQRT(C1101)+INDEX(Cables!$AU:$AU,MATCH(B1101,Cables!$A:$A,0))*C1101</f>
        <v>17.643053649108118</v>
      </c>
      <c r="Q1101" s="41">
        <f t="shared" si="142"/>
        <v>1.4642028726066902E-2</v>
      </c>
      <c r="R1101" s="39">
        <f t="shared" si="143"/>
        <v>2.1438900521496835E-4</v>
      </c>
      <c r="S1101" s="40" t="b">
        <f>IF(B1101=B1100,C1101&gt;C1100,COUNTIF(B$1:B1100,B1101)=0)</f>
        <v>1</v>
      </c>
      <c r="T1101" s="37"/>
    </row>
    <row r="1102" spans="1:20" x14ac:dyDescent="0.25">
      <c r="A1102" s="37" t="s">
        <v>1846</v>
      </c>
      <c r="B1102" s="37" t="s">
        <v>661</v>
      </c>
      <c r="C1102" s="37">
        <v>750</v>
      </c>
      <c r="D1102" s="37">
        <v>5.4</v>
      </c>
      <c r="E1102" s="37" t="s">
        <v>707</v>
      </c>
      <c r="F1102" s="37"/>
      <c r="G1102" s="37" t="s">
        <v>670</v>
      </c>
      <c r="H1102" s="37" t="s">
        <v>728</v>
      </c>
      <c r="I1102" s="38">
        <f t="shared" si="136"/>
        <v>17.716535433070867</v>
      </c>
      <c r="J1102" s="38">
        <f t="shared" si="137"/>
        <v>6.620073206530356</v>
      </c>
      <c r="K1102" s="38">
        <f t="shared" si="138"/>
        <v>2.8744984087398744</v>
      </c>
      <c r="L1102" s="39">
        <f t="shared" si="139"/>
        <v>5.6444444444444443E-2</v>
      </c>
      <c r="M1102" s="39">
        <f t="shared" si="140"/>
        <v>1.5457947734034689</v>
      </c>
      <c r="N1102" s="39">
        <f t="shared" si="141"/>
        <v>42.333333333333329</v>
      </c>
      <c r="O1102" s="40">
        <f>1</f>
        <v>1</v>
      </c>
      <c r="P1102" s="38">
        <f>INDEX(Cables!$AS:$AS,MATCH(B1102,Cables!$A:$A,0))+INDEX(Cables!$AT:$AT,MATCH(B1102,Cables!$A:$A,0))*SQRT(C1102)+INDEX(Cables!$AU:$AU,MATCH(B1102,Cables!$A:$A,0))*C1102</f>
        <v>18.020219292866066</v>
      </c>
      <c r="Q1102" s="41">
        <f t="shared" si="142"/>
        <v>1.7141266752884521E-2</v>
      </c>
      <c r="R1102" s="39">
        <f t="shared" si="143"/>
        <v>2.9382302589354422E-4</v>
      </c>
      <c r="S1102" s="40" t="b">
        <f>IF(B1102=B1101,C1102&gt;C1101,COUNTIF(B$1:B1101,B1102)=0)</f>
        <v>1</v>
      </c>
      <c r="T1102" s="37"/>
    </row>
    <row r="1103" spans="1:20" x14ac:dyDescent="0.25">
      <c r="A1103" s="37" t="s">
        <v>1847</v>
      </c>
      <c r="B1103" s="37" t="s">
        <v>661</v>
      </c>
      <c r="C1103" s="37">
        <v>1000</v>
      </c>
      <c r="D1103" s="37">
        <v>6.3</v>
      </c>
      <c r="E1103" s="37" t="s">
        <v>707</v>
      </c>
      <c r="F1103" s="37"/>
      <c r="G1103" s="37" t="s">
        <v>670</v>
      </c>
      <c r="H1103" s="37" t="s">
        <v>728</v>
      </c>
      <c r="I1103" s="38">
        <f t="shared" si="136"/>
        <v>20.669291338582678</v>
      </c>
      <c r="J1103" s="38">
        <f t="shared" si="137"/>
        <v>6.9077552789821368</v>
      </c>
      <c r="K1103" s="38">
        <f t="shared" si="138"/>
        <v>3.0286490885671329</v>
      </c>
      <c r="L1103" s="39">
        <f t="shared" si="139"/>
        <v>4.8380952380952379E-2</v>
      </c>
      <c r="M1103" s="39">
        <f t="shared" si="140"/>
        <v>1.5299400489195587</v>
      </c>
      <c r="N1103" s="39">
        <f t="shared" si="141"/>
        <v>48.38095238095238</v>
      </c>
      <c r="O1103" s="40">
        <f>1</f>
        <v>1</v>
      </c>
      <c r="P1103" s="38">
        <f>INDEX(Cables!$AS:$AS,MATCH(B1103,Cables!$A:$A,0))+INDEX(Cables!$AT:$AT,MATCH(B1103,Cables!$A:$A,0))*SQRT(C1103)+INDEX(Cables!$AU:$AU,MATCH(B1103,Cables!$A:$A,0))*C1103</f>
        <v>20.93297451223982</v>
      </c>
      <c r="Q1103" s="41">
        <f t="shared" si="142"/>
        <v>1.2757243068364676E-2</v>
      </c>
      <c r="R1103" s="39">
        <f t="shared" si="143"/>
        <v>1.6274725070533857E-4</v>
      </c>
      <c r="S1103" s="40" t="b">
        <f>IF(B1103=B1102,C1103&gt;C1102,COUNTIF(B$1:B1102,B1103)=0)</f>
        <v>1</v>
      </c>
      <c r="T1103" s="37"/>
    </row>
    <row r="1104" spans="1:20" x14ac:dyDescent="0.25">
      <c r="A1104" s="37" t="s">
        <v>1848</v>
      </c>
      <c r="B1104" s="37" t="s">
        <v>661</v>
      </c>
      <c r="C1104" s="37">
        <v>1500</v>
      </c>
      <c r="D1104" s="37">
        <v>7.8</v>
      </c>
      <c r="E1104" s="37" t="s">
        <v>707</v>
      </c>
      <c r="F1104" s="37"/>
      <c r="G1104" s="37" t="s">
        <v>670</v>
      </c>
      <c r="H1104" s="37" t="s">
        <v>728</v>
      </c>
      <c r="I1104" s="38">
        <f t="shared" si="136"/>
        <v>25.590551181102363</v>
      </c>
      <c r="J1104" s="38">
        <f t="shared" si="137"/>
        <v>7.3132203870903014</v>
      </c>
      <c r="K1104" s="38">
        <f t="shared" si="138"/>
        <v>3.242223188865192</v>
      </c>
      <c r="L1104" s="39">
        <f t="shared" si="139"/>
        <v>3.9076923076923079E-2</v>
      </c>
      <c r="M1104" s="39">
        <f t="shared" si="140"/>
        <v>1.5134427229795135</v>
      </c>
      <c r="N1104" s="39">
        <f t="shared" si="141"/>
        <v>58.615384615384613</v>
      </c>
      <c r="O1104" s="40">
        <f>1</f>
        <v>1</v>
      </c>
      <c r="P1104" s="38">
        <f>INDEX(Cables!$AS:$AS,MATCH(B1104,Cables!$A:$A,0))+INDEX(Cables!$AT:$AT,MATCH(B1104,Cables!$A:$A,0))*SQRT(C1104)+INDEX(Cables!$AU:$AU,MATCH(B1104,Cables!$A:$A,0))*C1104</f>
        <v>25.917859934094363</v>
      </c>
      <c r="Q1104" s="41">
        <f t="shared" si="142"/>
        <v>1.2790218963071975E-2</v>
      </c>
      <c r="R1104" s="39">
        <f t="shared" si="143"/>
        <v>1.6358970112332596E-4</v>
      </c>
      <c r="S1104" s="40" t="b">
        <f>IF(B1104=B1103,C1104&gt;C1103,COUNTIF(B$1:B1103,B1104)=0)</f>
        <v>1</v>
      </c>
      <c r="T1104" s="37"/>
    </row>
    <row r="1105" spans="1:20" x14ac:dyDescent="0.25">
      <c r="A1105" s="37" t="s">
        <v>1849</v>
      </c>
      <c r="B1105" s="37" t="s">
        <v>661</v>
      </c>
      <c r="C1105" s="37">
        <v>2000</v>
      </c>
      <c r="D1105" s="37">
        <v>9.1999999999999993</v>
      </c>
      <c r="E1105" s="37" t="s">
        <v>707</v>
      </c>
      <c r="F1105" s="37"/>
      <c r="G1105" s="37" t="s">
        <v>670</v>
      </c>
      <c r="H1105" s="37" t="s">
        <v>728</v>
      </c>
      <c r="I1105" s="38">
        <f t="shared" si="136"/>
        <v>30.183727034120732</v>
      </c>
      <c r="J1105" s="38">
        <f t="shared" si="137"/>
        <v>7.6009024595420822</v>
      </c>
      <c r="K1105" s="38">
        <f t="shared" si="138"/>
        <v>3.4073029392246403</v>
      </c>
      <c r="L1105" s="39">
        <f t="shared" si="139"/>
        <v>3.31304347826087E-2</v>
      </c>
      <c r="M1105" s="39">
        <f t="shared" si="140"/>
        <v>1.4816380859607303</v>
      </c>
      <c r="N1105" s="39">
        <f t="shared" si="141"/>
        <v>66.260869565217391</v>
      </c>
      <c r="O1105" s="40">
        <f>1</f>
        <v>1</v>
      </c>
      <c r="P1105" s="38">
        <f>INDEX(Cables!$AS:$AS,MATCH(B1105,Cables!$A:$A,0))+INDEX(Cables!$AT:$AT,MATCH(B1105,Cables!$A:$A,0))*SQRT(C1105)+INDEX(Cables!$AU:$AU,MATCH(B1105,Cables!$A:$A,0))*C1105</f>
        <v>30.216377903813491</v>
      </c>
      <c r="Q1105" s="41">
        <f t="shared" si="142"/>
        <v>1.0817375089513526E-3</v>
      </c>
      <c r="R1105" s="39">
        <f t="shared" si="143"/>
        <v>1.1701560382722775E-6</v>
      </c>
      <c r="S1105" s="40" t="b">
        <f>IF(B1105=B1104,C1105&gt;C1104,COUNTIF(B$1:B1104,B1105)=0)</f>
        <v>1</v>
      </c>
      <c r="T1105" s="37"/>
    </row>
    <row r="1106" spans="1:20" x14ac:dyDescent="0.25">
      <c r="A1106" s="37" t="s">
        <v>1850</v>
      </c>
      <c r="B1106" s="37" t="s">
        <v>661</v>
      </c>
      <c r="C1106" s="37">
        <v>2250</v>
      </c>
      <c r="D1106" s="37">
        <v>9.8000000000000007</v>
      </c>
      <c r="E1106" s="37" t="s">
        <v>707</v>
      </c>
      <c r="F1106" s="37"/>
      <c r="G1106" s="37" t="s">
        <v>670</v>
      </c>
      <c r="H1106" s="37" t="s">
        <v>728</v>
      </c>
      <c r="I1106" s="38">
        <f t="shared" si="136"/>
        <v>32.15223097112861</v>
      </c>
      <c r="J1106" s="38">
        <f t="shared" si="137"/>
        <v>7.718685495198466</v>
      </c>
      <c r="K1106" s="38">
        <f t="shared" si="138"/>
        <v>3.4704818408461722</v>
      </c>
      <c r="L1106" s="39">
        <f t="shared" si="139"/>
        <v>3.1102040816326528E-2</v>
      </c>
      <c r="M1106" s="39">
        <f t="shared" si="140"/>
        <v>1.4752993328867172</v>
      </c>
      <c r="N1106" s="39">
        <f t="shared" si="141"/>
        <v>69.979591836734699</v>
      </c>
      <c r="O1106" s="40">
        <f>1</f>
        <v>1</v>
      </c>
      <c r="P1106" s="38">
        <f>INDEX(Cables!$AS:$AS,MATCH(B1106,Cables!$A:$A,0))+INDEX(Cables!$AT:$AT,MATCH(B1106,Cables!$A:$A,0))*SQRT(C1106)+INDEX(Cables!$AU:$AU,MATCH(B1106,Cables!$A:$A,0))*C1106</f>
        <v>32.191537747239458</v>
      </c>
      <c r="Q1106" s="41">
        <f t="shared" si="142"/>
        <v>1.2225209549578953E-3</v>
      </c>
      <c r="R1106" s="39">
        <f t="shared" si="143"/>
        <v>1.4945574853111642E-6</v>
      </c>
      <c r="S1106" s="40" t="b">
        <f>IF(B1106=B1105,C1106&gt;C1105,COUNTIF(B$1:B1105,B1106)=0)</f>
        <v>1</v>
      </c>
      <c r="T1106" s="37"/>
    </row>
    <row r="1107" spans="1:20" x14ac:dyDescent="0.25">
      <c r="A1107" s="37" t="s">
        <v>1851</v>
      </c>
      <c r="B1107" s="37" t="s">
        <v>661</v>
      </c>
      <c r="C1107" s="37">
        <v>3000</v>
      </c>
      <c r="D1107" s="37">
        <v>11.5</v>
      </c>
      <c r="E1107" s="37" t="s">
        <v>707</v>
      </c>
      <c r="F1107" s="37"/>
      <c r="G1107" s="37" t="s">
        <v>670</v>
      </c>
      <c r="H1107" s="37" t="s">
        <v>728</v>
      </c>
      <c r="I1107" s="38">
        <f t="shared" si="136"/>
        <v>37.729658792650916</v>
      </c>
      <c r="J1107" s="38">
        <f t="shared" si="137"/>
        <v>8.0063675676502459</v>
      </c>
      <c r="K1107" s="38">
        <f t="shared" si="138"/>
        <v>3.63044649053885</v>
      </c>
      <c r="L1107" s="39">
        <f t="shared" si="139"/>
        <v>2.6504347826086957E-2</v>
      </c>
      <c r="M1107" s="39">
        <f t="shared" si="140"/>
        <v>1.4517029176310838</v>
      </c>
      <c r="N1107" s="39">
        <f t="shared" si="141"/>
        <v>79.513043478260869</v>
      </c>
      <c r="O1107" s="40">
        <f>1</f>
        <v>1</v>
      </c>
      <c r="P1107" s="38">
        <f>INDEX(Cables!$AS:$AS,MATCH(B1107,Cables!$A:$A,0))+INDEX(Cables!$AT:$AT,MATCH(B1107,Cables!$A:$A,0))*SQRT(C1107)+INDEX(Cables!$AU:$AU,MATCH(B1107,Cables!$A:$A,0))*C1107</f>
        <v>37.624590543491585</v>
      </c>
      <c r="Q1107" s="41">
        <f t="shared" si="142"/>
        <v>-2.7847654211968775E-3</v>
      </c>
      <c r="R1107" s="39">
        <f t="shared" si="143"/>
        <v>7.7549184510938235E-6</v>
      </c>
      <c r="S1107" s="40" t="b">
        <f>IF(B1107=B1106,C1107&gt;C1106,COUNTIF(B$1:B1106,B1107)=0)</f>
        <v>1</v>
      </c>
      <c r="T1107" s="37"/>
    </row>
    <row r="1108" spans="1:20" x14ac:dyDescent="0.25">
      <c r="A1108" s="37" t="s">
        <v>1852</v>
      </c>
      <c r="B1108" s="37" t="s">
        <v>661</v>
      </c>
      <c r="C1108" s="37">
        <v>4500</v>
      </c>
      <c r="D1108" s="37">
        <v>14.5</v>
      </c>
      <c r="E1108" s="37" t="s">
        <v>707</v>
      </c>
      <c r="F1108" s="37"/>
      <c r="G1108" s="37" t="s">
        <v>670</v>
      </c>
      <c r="H1108" s="37" t="s">
        <v>728</v>
      </c>
      <c r="I1108" s="38">
        <f t="shared" si="136"/>
        <v>47.572178477690287</v>
      </c>
      <c r="J1108" s="38">
        <f t="shared" si="137"/>
        <v>8.4118326757584114</v>
      </c>
      <c r="K1108" s="38">
        <f t="shared" si="138"/>
        <v>3.8622481045961745</v>
      </c>
      <c r="L1108" s="39">
        <f t="shared" si="139"/>
        <v>2.1020689655172415E-2</v>
      </c>
      <c r="M1108" s="39">
        <f t="shared" si="140"/>
        <v>1.4101107300867639</v>
      </c>
      <c r="N1108" s="39">
        <f t="shared" si="141"/>
        <v>94.593103448275869</v>
      </c>
      <c r="O1108" s="40">
        <f>1</f>
        <v>1</v>
      </c>
      <c r="P1108" s="38">
        <f>INDEX(Cables!$AS:$AS,MATCH(B1108,Cables!$A:$A,0))+INDEX(Cables!$AT:$AT,MATCH(B1108,Cables!$A:$A,0))*SQRT(C1108)+INDEX(Cables!$AU:$AU,MATCH(B1108,Cables!$A:$A,0))*C1108</f>
        <v>47.034690896623765</v>
      </c>
      <c r="Q1108" s="41">
        <f t="shared" si="142"/>
        <v>-1.1298359635108723E-2</v>
      </c>
      <c r="R1108" s="39">
        <f t="shared" si="143"/>
        <v>1.2765293044425413E-4</v>
      </c>
      <c r="S1108" s="40" t="b">
        <f>IF(B1108=B1107,C1108&gt;C1107,COUNTIF(B$1:B1107,B1108)=0)</f>
        <v>1</v>
      </c>
      <c r="T1108" s="37"/>
    </row>
    <row r="1109" spans="1:20" x14ac:dyDescent="0.25">
      <c r="A1109" s="37" t="s">
        <v>1853</v>
      </c>
      <c r="B1109" s="37" t="s">
        <v>661</v>
      </c>
      <c r="C1109" s="37">
        <v>6000</v>
      </c>
      <c r="D1109" s="37">
        <v>17.7</v>
      </c>
      <c r="E1109" s="37" t="s">
        <v>707</v>
      </c>
      <c r="F1109" s="37"/>
      <c r="G1109" s="37" t="s">
        <v>670</v>
      </c>
      <c r="H1109" s="37" t="s">
        <v>728</v>
      </c>
      <c r="I1109" s="38">
        <f t="shared" si="136"/>
        <v>58.070866141732282</v>
      </c>
      <c r="J1109" s="38">
        <f t="shared" si="137"/>
        <v>8.6995147482101913</v>
      </c>
      <c r="K1109" s="38">
        <f t="shared" si="138"/>
        <v>4.0616640947494291</v>
      </c>
      <c r="L1109" s="39">
        <f t="shared" si="139"/>
        <v>1.7220338983050847E-2</v>
      </c>
      <c r="M1109" s="39">
        <f t="shared" si="140"/>
        <v>1.3338817219480459</v>
      </c>
      <c r="N1109" s="39">
        <f t="shared" si="141"/>
        <v>103.32203389830509</v>
      </c>
      <c r="O1109" s="40">
        <f>1</f>
        <v>1</v>
      </c>
      <c r="P1109" s="38">
        <f>INDEX(Cables!$AS:$AS,MATCH(B1109,Cables!$A:$A,0))+INDEX(Cables!$AT:$AT,MATCH(B1109,Cables!$A:$A,0))*SQRT(C1109)+INDEX(Cables!$AU:$AU,MATCH(B1109,Cables!$A:$A,0))*C1109</f>
        <v>55.255967949995792</v>
      </c>
      <c r="Q1109" s="41">
        <f t="shared" si="142"/>
        <v>-4.847350106447923E-2</v>
      </c>
      <c r="R1109" s="39">
        <f t="shared" si="143"/>
        <v>2.349680305448069E-3</v>
      </c>
      <c r="S1109" s="40" t="b">
        <f>IF(B1109=B1108,C1109&gt;C1108,COUNTIF(B$1:B1108,B1109)=0)</f>
        <v>1</v>
      </c>
      <c r="T1109" s="37"/>
    </row>
    <row r="1110" spans="1:20" x14ac:dyDescent="0.25">
      <c r="A1110" s="37" t="s">
        <v>1854</v>
      </c>
      <c r="B1110" s="37" t="s">
        <v>672</v>
      </c>
      <c r="C1110" s="37">
        <v>1</v>
      </c>
      <c r="D1110" s="37">
        <v>0.2</v>
      </c>
      <c r="E1110" s="37" t="s">
        <v>707</v>
      </c>
      <c r="F1110" s="37"/>
      <c r="G1110" s="37" t="s">
        <v>677</v>
      </c>
      <c r="H1110" s="37" t="s">
        <v>728</v>
      </c>
      <c r="I1110" s="38">
        <f t="shared" si="136"/>
        <v>0.65616797900262469</v>
      </c>
      <c r="J1110" s="38">
        <f t="shared" si="137"/>
        <v>0</v>
      </c>
      <c r="K1110" s="38">
        <f t="shared" si="138"/>
        <v>-0.42133845726445451</v>
      </c>
      <c r="L1110" s="39">
        <f t="shared" si="139"/>
        <v>1.524</v>
      </c>
      <c r="M1110" s="39">
        <f t="shared" si="140"/>
        <v>1.524</v>
      </c>
      <c r="N1110" s="39">
        <f t="shared" si="141"/>
        <v>1.524</v>
      </c>
      <c r="O1110" s="40">
        <f>1</f>
        <v>1</v>
      </c>
      <c r="P1110" s="38">
        <f>INDEX(Cables!$AS:$AS,MATCH(B1110,Cables!$A:$A,0))+INDEX(Cables!$AT:$AT,MATCH(B1110,Cables!$A:$A,0))*SQRT(C1110)+INDEX(Cables!$AU:$AU,MATCH(B1110,Cables!$A:$A,0))*C1110</f>
        <v>0.67961227284825909</v>
      </c>
      <c r="Q1110" s="41">
        <f t="shared" si="142"/>
        <v>3.5729103820746788E-2</v>
      </c>
      <c r="R1110" s="39">
        <f t="shared" si="143"/>
        <v>1.2765688598337028E-3</v>
      </c>
      <c r="S1110" s="40" t="b">
        <f>IF(B1110=B1109,C1110&gt;C1109,COUNTIF(B$1:B1109,B1110)=0)</f>
        <v>1</v>
      </c>
      <c r="T1110" s="37"/>
    </row>
    <row r="1111" spans="1:20" x14ac:dyDescent="0.25">
      <c r="A1111" s="37" t="s">
        <v>1855</v>
      </c>
      <c r="B1111" s="37" t="s">
        <v>672</v>
      </c>
      <c r="C1111" s="37">
        <v>10</v>
      </c>
      <c r="D1111" s="37">
        <v>0.5</v>
      </c>
      <c r="E1111" s="37" t="s">
        <v>707</v>
      </c>
      <c r="F1111" s="37"/>
      <c r="G1111" s="37" t="s">
        <v>677</v>
      </c>
      <c r="H1111" s="37" t="s">
        <v>728</v>
      </c>
      <c r="I1111" s="38">
        <f t="shared" si="136"/>
        <v>1.6404199475065617</v>
      </c>
      <c r="J1111" s="38">
        <f t="shared" si="137"/>
        <v>2.3025850929940459</v>
      </c>
      <c r="K1111" s="38">
        <f t="shared" si="138"/>
        <v>0.49495227460970054</v>
      </c>
      <c r="L1111" s="39">
        <f t="shared" si="139"/>
        <v>0.60960000000000003</v>
      </c>
      <c r="M1111" s="39">
        <f t="shared" si="140"/>
        <v>1.9277244616386442</v>
      </c>
      <c r="N1111" s="39">
        <f t="shared" si="141"/>
        <v>6.0960000000000001</v>
      </c>
      <c r="O1111" s="40">
        <f>1</f>
        <v>1</v>
      </c>
      <c r="P1111" s="38">
        <f>INDEX(Cables!$AS:$AS,MATCH(B1111,Cables!$A:$A,0))+INDEX(Cables!$AT:$AT,MATCH(B1111,Cables!$A:$A,0))*SQRT(C1111)+INDEX(Cables!$AU:$AU,MATCH(B1111,Cables!$A:$A,0))*C1111</f>
        <v>1.4691042186529764</v>
      </c>
      <c r="Q1111" s="41">
        <f t="shared" si="142"/>
        <v>-0.10443406830914559</v>
      </c>
      <c r="R1111" s="39">
        <f t="shared" si="143"/>
        <v>1.0906474623599288E-2</v>
      </c>
      <c r="S1111" s="40" t="b">
        <f>IF(B1111=B1110,C1111&gt;C1110,COUNTIF(B$1:B1110,B1111)=0)</f>
        <v>1</v>
      </c>
      <c r="T1111" s="37"/>
    </row>
    <row r="1112" spans="1:20" x14ac:dyDescent="0.25">
      <c r="A1112" s="37" t="s">
        <v>1856</v>
      </c>
      <c r="B1112" s="37" t="s">
        <v>672</v>
      </c>
      <c r="C1112" s="37">
        <v>50</v>
      </c>
      <c r="D1112" s="37">
        <v>0.9</v>
      </c>
      <c r="E1112" s="37" t="s">
        <v>707</v>
      </c>
      <c r="F1112" s="37"/>
      <c r="G1112" s="37" t="s">
        <v>677</v>
      </c>
      <c r="H1112" s="37" t="s">
        <v>728</v>
      </c>
      <c r="I1112" s="38">
        <f t="shared" si="136"/>
        <v>2.9527559055118111</v>
      </c>
      <c r="J1112" s="38">
        <f t="shared" si="137"/>
        <v>3.912023005428146</v>
      </c>
      <c r="K1112" s="38">
        <f t="shared" si="138"/>
        <v>1.0827389395118197</v>
      </c>
      <c r="L1112" s="39">
        <f t="shared" si="139"/>
        <v>0.33866666666666667</v>
      </c>
      <c r="M1112" s="39">
        <f t="shared" si="140"/>
        <v>2.3947349656184409</v>
      </c>
      <c r="N1112" s="39">
        <f t="shared" si="141"/>
        <v>16.933333333333334</v>
      </c>
      <c r="O1112" s="40">
        <f>1</f>
        <v>1</v>
      </c>
      <c r="P1112" s="38">
        <f>INDEX(Cables!$AS:$AS,MATCH(B1112,Cables!$A:$A,0))+INDEX(Cables!$AT:$AT,MATCH(B1112,Cables!$A:$A,0))*SQRT(C1112)+INDEX(Cables!$AU:$AU,MATCH(B1112,Cables!$A:$A,0))*C1112</f>
        <v>2.9361441854072092</v>
      </c>
      <c r="Q1112" s="41">
        <f t="shared" si="142"/>
        <v>-5.6258358754252002E-3</v>
      </c>
      <c r="R1112" s="39">
        <f t="shared" si="143"/>
        <v>3.1650029297221228E-5</v>
      </c>
      <c r="S1112" s="40" t="b">
        <f>IF(B1112=B1111,C1112&gt;C1111,COUNTIF(B$1:B1111,B1112)=0)</f>
        <v>1</v>
      </c>
      <c r="T1112" s="37"/>
    </row>
    <row r="1113" spans="1:20" x14ac:dyDescent="0.25">
      <c r="A1113" s="37" t="s">
        <v>1857</v>
      </c>
      <c r="B1113" s="37" t="s">
        <v>672</v>
      </c>
      <c r="C1113" s="37">
        <v>100</v>
      </c>
      <c r="D1113" s="37">
        <v>1.3</v>
      </c>
      <c r="E1113" s="37" t="s">
        <v>707</v>
      </c>
      <c r="F1113" s="37"/>
      <c r="G1113" s="37" t="s">
        <v>677</v>
      </c>
      <c r="H1113" s="37" t="s">
        <v>728</v>
      </c>
      <c r="I1113" s="38">
        <f t="shared" si="136"/>
        <v>4.2650918635170605</v>
      </c>
      <c r="J1113" s="38">
        <f t="shared" si="137"/>
        <v>4.6051701859880918</v>
      </c>
      <c r="K1113" s="38">
        <f t="shared" si="138"/>
        <v>1.4504637196371368</v>
      </c>
      <c r="L1113" s="39">
        <f t="shared" si="139"/>
        <v>0.23446153846153844</v>
      </c>
      <c r="M1113" s="39">
        <f t="shared" si="140"/>
        <v>2.3446153846153845</v>
      </c>
      <c r="N1113" s="39">
        <f t="shared" si="141"/>
        <v>23.446153846153845</v>
      </c>
      <c r="O1113" s="40">
        <f>1</f>
        <v>1</v>
      </c>
      <c r="P1113" s="38">
        <f>INDEX(Cables!$AS:$AS,MATCH(B1113,Cables!$A:$A,0))+INDEX(Cables!$AT:$AT,MATCH(B1113,Cables!$A:$A,0))*SQRT(C1113)+INDEX(Cables!$AU:$AU,MATCH(B1113,Cables!$A:$A,0))*C1113</f>
        <v>4.0690656364547868</v>
      </c>
      <c r="Q1113" s="41">
        <f t="shared" si="142"/>
        <v>-4.5960610775831579E-2</v>
      </c>
      <c r="R1113" s="39">
        <f t="shared" si="143"/>
        <v>2.1123777428874858E-3</v>
      </c>
      <c r="S1113" s="40" t="b">
        <f>IF(B1113=B1112,C1113&gt;C1112,COUNTIF(B$1:B1112,B1113)=0)</f>
        <v>1</v>
      </c>
      <c r="T1113" s="37"/>
    </row>
    <row r="1114" spans="1:20" x14ac:dyDescent="0.25">
      <c r="A1114" s="37" t="s">
        <v>1858</v>
      </c>
      <c r="B1114" s="37" t="s">
        <v>672</v>
      </c>
      <c r="C1114" s="37">
        <v>200</v>
      </c>
      <c r="D1114" s="37">
        <v>1.6</v>
      </c>
      <c r="E1114" s="37" t="s">
        <v>707</v>
      </c>
      <c r="F1114" s="37"/>
      <c r="G1114" s="37" t="s">
        <v>677</v>
      </c>
      <c r="H1114" s="37" t="s">
        <v>728</v>
      </c>
      <c r="I1114" s="38">
        <f t="shared" si="136"/>
        <v>5.2493438320209975</v>
      </c>
      <c r="J1114" s="38">
        <f t="shared" si="137"/>
        <v>5.2983173665480363</v>
      </c>
      <c r="K1114" s="38">
        <f t="shared" si="138"/>
        <v>1.6581030844153815</v>
      </c>
      <c r="L1114" s="39">
        <f t="shared" si="139"/>
        <v>0.1905</v>
      </c>
      <c r="M1114" s="39">
        <f t="shared" si="140"/>
        <v>2.6940768363207459</v>
      </c>
      <c r="N1114" s="39">
        <f t="shared" si="141"/>
        <v>38.1</v>
      </c>
      <c r="O1114" s="40">
        <f>1</f>
        <v>1</v>
      </c>
      <c r="P1114" s="38">
        <f>INDEX(Cables!$AS:$AS,MATCH(B1114,Cables!$A:$A,0))+INDEX(Cables!$AT:$AT,MATCH(B1114,Cables!$A:$A,0))*SQRT(C1114)+INDEX(Cables!$AU:$AU,MATCH(B1114,Cables!$A:$A,0))*C1114</f>
        <v>5.7204561603417821</v>
      </c>
      <c r="Q1114" s="41">
        <f t="shared" si="142"/>
        <v>8.9746898545109532E-2</v>
      </c>
      <c r="R1114" s="39">
        <f t="shared" si="143"/>
        <v>8.0545057984661838E-3</v>
      </c>
      <c r="S1114" s="40" t="b">
        <f>IF(B1114=B1113,C1114&gt;C1113,COUNTIF(B$1:B1113,B1114)=0)</f>
        <v>1</v>
      </c>
      <c r="T1114" s="37"/>
    </row>
    <row r="1115" spans="1:20" x14ac:dyDescent="0.25">
      <c r="A1115" s="37" t="s">
        <v>1859</v>
      </c>
      <c r="B1115" s="37" t="s">
        <v>672</v>
      </c>
      <c r="C1115" s="37">
        <v>400</v>
      </c>
      <c r="D1115" s="37">
        <v>2.2999999999999998</v>
      </c>
      <c r="E1115" s="37" t="s">
        <v>707</v>
      </c>
      <c r="F1115" s="37"/>
      <c r="G1115" s="37" t="s">
        <v>677</v>
      </c>
      <c r="H1115" s="37" t="s">
        <v>728</v>
      </c>
      <c r="I1115" s="38">
        <f t="shared" si="136"/>
        <v>7.5459317585301831</v>
      </c>
      <c r="J1115" s="38">
        <f t="shared" si="137"/>
        <v>5.9914645471079817</v>
      </c>
      <c r="K1115" s="38">
        <f t="shared" si="138"/>
        <v>2.0210085781047495</v>
      </c>
      <c r="L1115" s="39">
        <f t="shared" si="139"/>
        <v>0.1325217391304348</v>
      </c>
      <c r="M1115" s="39">
        <f t="shared" si="140"/>
        <v>2.6504347826086958</v>
      </c>
      <c r="N1115" s="39">
        <f t="shared" si="141"/>
        <v>53.00869565217392</v>
      </c>
      <c r="O1115" s="40">
        <f>1</f>
        <v>1</v>
      </c>
      <c r="P1115" s="38">
        <f>INDEX(Cables!$AS:$AS,MATCH(B1115,Cables!$A:$A,0))+INDEX(Cables!$AT:$AT,MATCH(B1115,Cables!$A:$A,0))*SQRT(C1115)+INDEX(Cables!$AU:$AU,MATCH(B1115,Cables!$A:$A,0))*C1115</f>
        <v>8.1542703214213912</v>
      </c>
      <c r="Q1115" s="41">
        <f t="shared" si="142"/>
        <v>8.0618084334452389E-2</v>
      </c>
      <c r="R1115" s="39">
        <f t="shared" si="143"/>
        <v>6.4992755217568778E-3</v>
      </c>
      <c r="S1115" s="40" t="b">
        <f>IF(B1115=B1114,C1115&gt;C1114,COUNTIF(B$1:B1114,B1115)=0)</f>
        <v>1</v>
      </c>
      <c r="T1115" s="37"/>
    </row>
    <row r="1116" spans="1:20" x14ac:dyDescent="0.25">
      <c r="A1116" s="37" t="s">
        <v>1860</v>
      </c>
      <c r="B1116" s="37" t="s">
        <v>672</v>
      </c>
      <c r="C1116" s="37">
        <v>700</v>
      </c>
      <c r="D1116" s="37">
        <v>3.3</v>
      </c>
      <c r="E1116" s="37" t="s">
        <v>707</v>
      </c>
      <c r="F1116" s="37"/>
      <c r="G1116" s="37" t="s">
        <v>677</v>
      </c>
      <c r="H1116" s="37" t="s">
        <v>728</v>
      </c>
      <c r="I1116" s="38">
        <f t="shared" si="136"/>
        <v>10.826771653543307</v>
      </c>
      <c r="J1116" s="38">
        <f t="shared" si="137"/>
        <v>6.5510803350434044</v>
      </c>
      <c r="K1116" s="38">
        <f t="shared" si="138"/>
        <v>2.3820219236420805</v>
      </c>
      <c r="L1116" s="39">
        <f t="shared" si="139"/>
        <v>9.2363636363636356E-2</v>
      </c>
      <c r="M1116" s="39">
        <f t="shared" si="140"/>
        <v>2.4437121200378398</v>
      </c>
      <c r="N1116" s="39">
        <f t="shared" si="141"/>
        <v>64.654545454545456</v>
      </c>
      <c r="O1116" s="40">
        <f>1</f>
        <v>1</v>
      </c>
      <c r="P1116" s="38">
        <f>INDEX(Cables!$AS:$AS,MATCH(B1116,Cables!$A:$A,0))+INDEX(Cables!$AT:$AT,MATCH(B1116,Cables!$A:$A,0))*SQRT(C1116)+INDEX(Cables!$AU:$AU,MATCH(B1116,Cables!$A:$A,0))*C1116</f>
        <v>10.970807397528004</v>
      </c>
      <c r="Q1116" s="41">
        <f t="shared" si="142"/>
        <v>1.3303665080768301E-2</v>
      </c>
      <c r="R1116" s="39">
        <f t="shared" si="143"/>
        <v>1.7698750458125385E-4</v>
      </c>
      <c r="S1116" s="40" t="b">
        <f>IF(B1116=B1115,C1116&gt;C1115,COUNTIF(B$1:B1115,B1116)=0)</f>
        <v>1</v>
      </c>
      <c r="T1116" s="37"/>
    </row>
    <row r="1117" spans="1:20" x14ac:dyDescent="0.25">
      <c r="A1117" s="37" t="s">
        <v>1861</v>
      </c>
      <c r="B1117" s="37" t="s">
        <v>672</v>
      </c>
      <c r="C1117" s="37">
        <v>900</v>
      </c>
      <c r="D1117" s="37">
        <v>4</v>
      </c>
      <c r="E1117" s="37" t="s">
        <v>707</v>
      </c>
      <c r="F1117" s="37"/>
      <c r="G1117" s="37" t="s">
        <v>677</v>
      </c>
      <c r="H1117" s="37" t="s">
        <v>728</v>
      </c>
      <c r="I1117" s="38">
        <f t="shared" si="136"/>
        <v>13.123359580052494</v>
      </c>
      <c r="J1117" s="38">
        <f t="shared" si="137"/>
        <v>6.8023947633243109</v>
      </c>
      <c r="K1117" s="38">
        <f t="shared" si="138"/>
        <v>2.5743938162895366</v>
      </c>
      <c r="L1117" s="39">
        <f t="shared" si="139"/>
        <v>7.6200000000000004E-2</v>
      </c>
      <c r="M1117" s="39">
        <f t="shared" si="140"/>
        <v>2.286</v>
      </c>
      <c r="N1117" s="39">
        <f t="shared" si="141"/>
        <v>68.58</v>
      </c>
      <c r="O1117" s="40">
        <f>1</f>
        <v>1</v>
      </c>
      <c r="P1117" s="38">
        <f>INDEX(Cables!$AS:$AS,MATCH(B1117,Cables!$A:$A,0))+INDEX(Cables!$AT:$AT,MATCH(B1117,Cables!$A:$A,0))*SQRT(C1117)+INDEX(Cables!$AU:$AU,MATCH(B1117,Cables!$A:$A,0))*C1117</f>
        <v>12.575417524356908</v>
      </c>
      <c r="Q1117" s="41">
        <f t="shared" si="142"/>
        <v>-4.1753184644003682E-2</v>
      </c>
      <c r="R1117" s="39">
        <f t="shared" si="143"/>
        <v>1.7433284279162649E-3</v>
      </c>
      <c r="S1117" s="40" t="b">
        <f>IF(B1117=B1116,C1117&gt;C1116,COUNTIF(B$1:B1116,B1117)=0)</f>
        <v>1</v>
      </c>
      <c r="T1117" s="37"/>
    </row>
    <row r="1118" spans="1:20" x14ac:dyDescent="0.25">
      <c r="A1118" s="37" t="s">
        <v>1862</v>
      </c>
      <c r="B1118" s="37" t="s">
        <v>672</v>
      </c>
      <c r="C1118" s="37">
        <v>1000</v>
      </c>
      <c r="D1118" s="37">
        <v>4.3</v>
      </c>
      <c r="E1118" s="37" t="s">
        <v>707</v>
      </c>
      <c r="F1118" s="37"/>
      <c r="G1118" s="37" t="s">
        <v>677</v>
      </c>
      <c r="H1118" s="37" t="s">
        <v>728</v>
      </c>
      <c r="I1118" s="38">
        <f t="shared" si="136"/>
        <v>14.107611548556431</v>
      </c>
      <c r="J1118" s="38">
        <f t="shared" si="137"/>
        <v>6.9077552789821368</v>
      </c>
      <c r="K1118" s="38">
        <f t="shared" si="138"/>
        <v>2.6467144778691627</v>
      </c>
      <c r="L1118" s="39">
        <f t="shared" si="139"/>
        <v>7.0883720930232555E-2</v>
      </c>
      <c r="M1118" s="39">
        <f t="shared" si="140"/>
        <v>2.241540071672842</v>
      </c>
      <c r="N1118" s="39">
        <f t="shared" si="141"/>
        <v>70.883720930232556</v>
      </c>
      <c r="O1118" s="40">
        <f>1</f>
        <v>1</v>
      </c>
      <c r="P1118" s="38">
        <f>INDEX(Cables!$AS:$AS,MATCH(B1118,Cables!$A:$A,0))+INDEX(Cables!$AT:$AT,MATCH(B1118,Cables!$A:$A,0))*SQRT(C1118)+INDEX(Cables!$AU:$AU,MATCH(B1118,Cables!$A:$A,0))*C1118</f>
        <v>13.324552292276039</v>
      </c>
      <c r="Q1118" s="41">
        <f t="shared" si="142"/>
        <v>-5.5506153794014801E-2</v>
      </c>
      <c r="R1118" s="39">
        <f t="shared" si="143"/>
        <v>3.0809331090048235E-3</v>
      </c>
      <c r="S1118" s="40" t="b">
        <f>IF(B1118=B1117,C1118&gt;C1117,COUNTIF(B$1:B1117,B1118)=0)</f>
        <v>1</v>
      </c>
      <c r="T1118" s="37"/>
    </row>
    <row r="1119" spans="1:20" x14ac:dyDescent="0.25">
      <c r="A1119" s="37" t="s">
        <v>1863</v>
      </c>
      <c r="B1119" s="37" t="s">
        <v>678</v>
      </c>
      <c r="C1119" s="37">
        <v>1</v>
      </c>
      <c r="D1119" s="37">
        <v>0.3</v>
      </c>
      <c r="E1119" s="37" t="s">
        <v>707</v>
      </c>
      <c r="F1119" s="37"/>
      <c r="G1119" s="37" t="s">
        <v>685</v>
      </c>
      <c r="H1119" s="37" t="s">
        <v>728</v>
      </c>
      <c r="I1119" s="38">
        <f t="shared" si="136"/>
        <v>0.98425196850393704</v>
      </c>
      <c r="J1119" s="38">
        <f t="shared" si="137"/>
        <v>0</v>
      </c>
      <c r="K1119" s="38">
        <f t="shared" si="138"/>
        <v>-1.5873349156290122E-2</v>
      </c>
      <c r="L1119" s="39">
        <f t="shared" si="139"/>
        <v>1.016</v>
      </c>
      <c r="M1119" s="39">
        <f t="shared" si="140"/>
        <v>1.016</v>
      </c>
      <c r="N1119" s="39">
        <f t="shared" si="141"/>
        <v>1.016</v>
      </c>
      <c r="O1119" s="40">
        <f>1</f>
        <v>1</v>
      </c>
      <c r="P1119" s="38">
        <f>INDEX(Cables!$AS:$AS,MATCH(B1119,Cables!$A:$A,0))+INDEX(Cables!$AT:$AT,MATCH(B1119,Cables!$A:$A,0))*SQRT(C1119)+INDEX(Cables!$AU:$AU,MATCH(B1119,Cables!$A:$A,0))*C1119</f>
        <v>0.99079065880259787</v>
      </c>
      <c r="Q1119" s="41">
        <f t="shared" si="142"/>
        <v>6.6433093434394852E-3</v>
      </c>
      <c r="R1119" s="39">
        <f t="shared" si="143"/>
        <v>4.4133559032630367E-5</v>
      </c>
      <c r="S1119" s="40" t="b">
        <f>IF(B1119=B1118,C1119&gt;C1118,COUNTIF(B$1:B1118,B1119)=0)</f>
        <v>1</v>
      </c>
      <c r="T1119" s="37"/>
    </row>
    <row r="1120" spans="1:20" x14ac:dyDescent="0.25">
      <c r="A1120" s="37" t="s">
        <v>1864</v>
      </c>
      <c r="B1120" s="37" t="s">
        <v>678</v>
      </c>
      <c r="C1120" s="37">
        <v>10</v>
      </c>
      <c r="D1120" s="37">
        <v>0.9</v>
      </c>
      <c r="E1120" s="37" t="s">
        <v>707</v>
      </c>
      <c r="F1120" s="37"/>
      <c r="G1120" s="37" t="s">
        <v>685</v>
      </c>
      <c r="H1120" s="37" t="s">
        <v>728</v>
      </c>
      <c r="I1120" s="38">
        <f t="shared" si="136"/>
        <v>2.9527559055118111</v>
      </c>
      <c r="J1120" s="38">
        <f t="shared" si="137"/>
        <v>2.3025850929940459</v>
      </c>
      <c r="K1120" s="38">
        <f t="shared" si="138"/>
        <v>1.0827389395118197</v>
      </c>
      <c r="L1120" s="39">
        <f t="shared" si="139"/>
        <v>0.33866666666666667</v>
      </c>
      <c r="M1120" s="39">
        <f t="shared" si="140"/>
        <v>1.0709580342436911</v>
      </c>
      <c r="N1120" s="39">
        <f t="shared" si="141"/>
        <v>3.3866666666666667</v>
      </c>
      <c r="O1120" s="40">
        <f>1</f>
        <v>1</v>
      </c>
      <c r="P1120" s="38">
        <f>INDEX(Cables!$AS:$AS,MATCH(B1120,Cables!$A:$A,0))+INDEX(Cables!$AT:$AT,MATCH(B1120,Cables!$A:$A,0))*SQRT(C1120)+INDEX(Cables!$AU:$AU,MATCH(B1120,Cables!$A:$A,0))*C1120</f>
        <v>2.8710355647562049</v>
      </c>
      <c r="Q1120" s="41">
        <f t="shared" si="142"/>
        <v>-2.7675955402565289E-2</v>
      </c>
      <c r="R1120" s="39">
        <f t="shared" si="143"/>
        <v>7.6595850744478277E-4</v>
      </c>
      <c r="S1120" s="40" t="b">
        <f>IF(B1120=B1119,C1120&gt;C1119,COUNTIF(B$1:B1119,B1120)=0)</f>
        <v>1</v>
      </c>
      <c r="T1120" s="37"/>
    </row>
    <row r="1121" spans="1:20" x14ac:dyDescent="0.25">
      <c r="A1121" s="37" t="s">
        <v>1865</v>
      </c>
      <c r="B1121" s="37" t="s">
        <v>678</v>
      </c>
      <c r="C1121" s="37">
        <v>50</v>
      </c>
      <c r="D1121" s="37">
        <v>1.9</v>
      </c>
      <c r="E1121" s="37" t="s">
        <v>707</v>
      </c>
      <c r="F1121" s="37"/>
      <c r="G1121" s="37" t="s">
        <v>685</v>
      </c>
      <c r="H1121" s="37" t="s">
        <v>728</v>
      </c>
      <c r="I1121" s="38">
        <f t="shared" si="136"/>
        <v>6.2335958005249346</v>
      </c>
      <c r="J1121" s="38">
        <f t="shared" si="137"/>
        <v>3.912023005428146</v>
      </c>
      <c r="K1121" s="38">
        <f t="shared" si="138"/>
        <v>1.8299533413420406</v>
      </c>
      <c r="L1121" s="39">
        <f t="shared" si="139"/>
        <v>0.16042105263157894</v>
      </c>
      <c r="M1121" s="39">
        <f t="shared" si="140"/>
        <v>1.1343481416087351</v>
      </c>
      <c r="N1121" s="39">
        <f t="shared" si="141"/>
        <v>8.0210526315789465</v>
      </c>
      <c r="O1121" s="40">
        <f>1</f>
        <v>1</v>
      </c>
      <c r="P1121" s="38">
        <f>INDEX(Cables!$AS:$AS,MATCH(B1121,Cables!$A:$A,0))+INDEX(Cables!$AT:$AT,MATCH(B1121,Cables!$A:$A,0))*SQRT(C1121)+INDEX(Cables!$AU:$AU,MATCH(B1121,Cables!$A:$A,0))*C1121</f>
        <v>6.2904007192513447</v>
      </c>
      <c r="Q1121" s="41">
        <f t="shared" si="142"/>
        <v>9.1127048567420932E-3</v>
      </c>
      <c r="R1121" s="39">
        <f t="shared" si="143"/>
        <v>8.3041389806090936E-5</v>
      </c>
      <c r="S1121" s="40" t="b">
        <f>IF(B1121=B1120,C1121&gt;C1120,COUNTIF(B$1:B1120,B1121)=0)</f>
        <v>1</v>
      </c>
      <c r="T1121" s="37"/>
    </row>
    <row r="1122" spans="1:20" x14ac:dyDescent="0.25">
      <c r="A1122" s="37" t="s">
        <v>1866</v>
      </c>
      <c r="B1122" s="37" t="s">
        <v>678</v>
      </c>
      <c r="C1122" s="37">
        <v>100</v>
      </c>
      <c r="D1122" s="37">
        <v>2.7</v>
      </c>
      <c r="E1122" s="37" t="s">
        <v>707</v>
      </c>
      <c r="F1122" s="37"/>
      <c r="G1122" s="37" t="s">
        <v>685</v>
      </c>
      <c r="H1122" s="37" t="s">
        <v>728</v>
      </c>
      <c r="I1122" s="38">
        <f t="shared" si="136"/>
        <v>8.8582677165354333</v>
      </c>
      <c r="J1122" s="38">
        <f t="shared" si="137"/>
        <v>4.6051701859880918</v>
      </c>
      <c r="K1122" s="38">
        <f t="shared" si="138"/>
        <v>2.1813512281799294</v>
      </c>
      <c r="L1122" s="39">
        <f t="shared" si="139"/>
        <v>0.11288888888888889</v>
      </c>
      <c r="M1122" s="39">
        <f t="shared" si="140"/>
        <v>1.1288888888888888</v>
      </c>
      <c r="N1122" s="39">
        <f t="shared" si="141"/>
        <v>11.288888888888888</v>
      </c>
      <c r="O1122" s="40">
        <f>1</f>
        <v>1</v>
      </c>
      <c r="P1122" s="38">
        <f>INDEX(Cables!$AS:$AS,MATCH(B1122,Cables!$A:$A,0))+INDEX(Cables!$AT:$AT,MATCH(B1122,Cables!$A:$A,0))*SQRT(C1122)+INDEX(Cables!$AU:$AU,MATCH(B1122,Cables!$A:$A,0))*C1122</f>
        <v>8.8698229518065848</v>
      </c>
      <c r="Q1122" s="41">
        <f t="shared" si="142"/>
        <v>1.3044576706100486E-3</v>
      </c>
      <c r="R1122" s="39">
        <f t="shared" si="143"/>
        <v>1.701609814413394E-6</v>
      </c>
      <c r="S1122" s="40" t="b">
        <f>IF(B1122=B1121,C1122&gt;C1121,COUNTIF(B$1:B1121,B1122)=0)</f>
        <v>1</v>
      </c>
      <c r="T1122" s="37"/>
    </row>
    <row r="1123" spans="1:20" x14ac:dyDescent="0.25">
      <c r="A1123" s="37" t="s">
        <v>1867</v>
      </c>
      <c r="B1123" s="37" t="s">
        <v>678</v>
      </c>
      <c r="C1123" s="37">
        <v>200</v>
      </c>
      <c r="D1123" s="37">
        <v>3.8</v>
      </c>
      <c r="E1123" s="37" t="s">
        <v>707</v>
      </c>
      <c r="F1123" s="37"/>
      <c r="G1123" s="37" t="s">
        <v>685</v>
      </c>
      <c r="H1123" s="37" t="s">
        <v>728</v>
      </c>
      <c r="I1123" s="38">
        <f t="shared" si="136"/>
        <v>12.467191601049869</v>
      </c>
      <c r="J1123" s="38">
        <f t="shared" si="137"/>
        <v>5.2983173665480363</v>
      </c>
      <c r="K1123" s="38">
        <f t="shared" si="138"/>
        <v>2.523100521901986</v>
      </c>
      <c r="L1123" s="39">
        <f t="shared" si="139"/>
        <v>8.0210526315789468E-2</v>
      </c>
      <c r="M1123" s="39">
        <f t="shared" si="140"/>
        <v>1.1343481416087351</v>
      </c>
      <c r="N1123" s="39">
        <f t="shared" si="141"/>
        <v>16.042105263157893</v>
      </c>
      <c r="O1123" s="40">
        <f>1</f>
        <v>1</v>
      </c>
      <c r="P1123" s="38">
        <f>INDEX(Cables!$AS:$AS,MATCH(B1123,Cables!$A:$A,0))+INDEX(Cables!$AT:$AT,MATCH(B1123,Cables!$A:$A,0))*SQRT(C1123)+INDEX(Cables!$AU:$AU,MATCH(B1123,Cables!$A:$A,0))*C1123</f>
        <v>12.54286898289077</v>
      </c>
      <c r="Q1123" s="41">
        <f t="shared" si="142"/>
        <v>6.0701226276596021E-3</v>
      </c>
      <c r="R1123" s="39">
        <f t="shared" si="143"/>
        <v>3.6846388714825111E-5</v>
      </c>
      <c r="S1123" s="40" t="b">
        <f>IF(B1123=B1122,C1123&gt;C1122,COUNTIF(B$1:B1122,B1123)=0)</f>
        <v>1</v>
      </c>
      <c r="T1123" s="37"/>
    </row>
    <row r="1124" spans="1:20" x14ac:dyDescent="0.25">
      <c r="A1124" s="37" t="s">
        <v>1868</v>
      </c>
      <c r="B1124" s="37" t="s">
        <v>678</v>
      </c>
      <c r="C1124" s="37">
        <v>400</v>
      </c>
      <c r="D1124" s="37">
        <v>5.3</v>
      </c>
      <c r="E1124" s="37" t="s">
        <v>707</v>
      </c>
      <c r="F1124" s="37"/>
      <c r="G1124" s="37" t="s">
        <v>685</v>
      </c>
      <c r="H1124" s="37" t="s">
        <v>728</v>
      </c>
      <c r="I1124" s="38">
        <f t="shared" si="136"/>
        <v>17.388451443569554</v>
      </c>
      <c r="J1124" s="38">
        <f t="shared" si="137"/>
        <v>5.9914645471079817</v>
      </c>
      <c r="K1124" s="38">
        <f t="shared" si="138"/>
        <v>2.8558062757277218</v>
      </c>
      <c r="L1124" s="39">
        <f t="shared" si="139"/>
        <v>5.7509433962264149E-2</v>
      </c>
      <c r="M1124" s="39">
        <f t="shared" si="140"/>
        <v>1.1501886792452829</v>
      </c>
      <c r="N1124" s="39">
        <f t="shared" si="141"/>
        <v>23.003773584905659</v>
      </c>
      <c r="O1124" s="40">
        <f>1</f>
        <v>1</v>
      </c>
      <c r="P1124" s="38">
        <f>INDEX(Cables!$AS:$AS,MATCH(B1124,Cables!$A:$A,0))+INDEX(Cables!$AT:$AT,MATCH(B1124,Cables!$A:$A,0))*SQRT(C1124)+INDEX(Cables!$AU:$AU,MATCH(B1124,Cables!$A:$A,0))*C1124</f>
        <v>17.787724748706449</v>
      </c>
      <c r="Q1124" s="41">
        <f t="shared" si="142"/>
        <v>2.296198177466513E-2</v>
      </c>
      <c r="R1124" s="39">
        <f t="shared" si="143"/>
        <v>5.2725260702005355E-4</v>
      </c>
      <c r="S1124" s="40" t="b">
        <f>IF(B1124=B1123,C1124&gt;C1123,COUNTIF(B$1:B1123,B1124)=0)</f>
        <v>1</v>
      </c>
      <c r="T1124" s="37"/>
    </row>
    <row r="1125" spans="1:20" x14ac:dyDescent="0.25">
      <c r="A1125" s="37" t="s">
        <v>1869</v>
      </c>
      <c r="B1125" s="37" t="s">
        <v>678</v>
      </c>
      <c r="C1125" s="37">
        <v>700</v>
      </c>
      <c r="D1125" s="37">
        <v>7.3</v>
      </c>
      <c r="E1125" s="37" t="s">
        <v>707</v>
      </c>
      <c r="F1125" s="37"/>
      <c r="G1125" s="37" t="s">
        <v>685</v>
      </c>
      <c r="H1125" s="37" t="s">
        <v>728</v>
      </c>
      <c r="I1125" s="38">
        <f t="shared" si="136"/>
        <v>23.950131233595801</v>
      </c>
      <c r="J1125" s="38">
        <f t="shared" si="137"/>
        <v>6.5510803350434044</v>
      </c>
      <c r="K1125" s="38">
        <f t="shared" si="138"/>
        <v>3.1759738033239913</v>
      </c>
      <c r="L1125" s="39">
        <f t="shared" si="139"/>
        <v>4.1753424657534247E-2</v>
      </c>
      <c r="M1125" s="39">
        <f t="shared" si="140"/>
        <v>1.1046917802910783</v>
      </c>
      <c r="N1125" s="39">
        <f t="shared" si="141"/>
        <v>29.227397260273971</v>
      </c>
      <c r="O1125" s="40">
        <f>1</f>
        <v>1</v>
      </c>
      <c r="P1125" s="38">
        <f>INDEX(Cables!$AS:$AS,MATCH(B1125,Cables!$A:$A,0))+INDEX(Cables!$AT:$AT,MATCH(B1125,Cables!$A:$A,0))*SQRT(C1125)+INDEX(Cables!$AU:$AU,MATCH(B1125,Cables!$A:$A,0))*C1125</f>
        <v>23.637879697525143</v>
      </c>
      <c r="Q1125" s="41">
        <f t="shared" si="142"/>
        <v>-1.3037570985525604E-2</v>
      </c>
      <c r="R1125" s="39">
        <f t="shared" si="143"/>
        <v>1.6997825720261906E-4</v>
      </c>
      <c r="S1125" s="40" t="b">
        <f>IF(B1125=B1124,C1125&gt;C1124,COUNTIF(B$1:B1124,B1125)=0)</f>
        <v>1</v>
      </c>
      <c r="T1125" s="37"/>
    </row>
    <row r="1126" spans="1:20" x14ac:dyDescent="0.25">
      <c r="A1126" s="37" t="s">
        <v>1870</v>
      </c>
      <c r="B1126" s="37" t="s">
        <v>678</v>
      </c>
      <c r="C1126" s="37">
        <v>900</v>
      </c>
      <c r="D1126" s="37">
        <v>8.1999999999999993</v>
      </c>
      <c r="E1126" s="37" t="s">
        <v>707</v>
      </c>
      <c r="F1126" s="37"/>
      <c r="G1126" s="37" t="s">
        <v>685</v>
      </c>
      <c r="H1126" s="37" t="s">
        <v>728</v>
      </c>
      <c r="I1126" s="38">
        <f t="shared" si="136"/>
        <v>26.902887139107609</v>
      </c>
      <c r="J1126" s="38">
        <f t="shared" si="137"/>
        <v>6.8023947633243109</v>
      </c>
      <c r="K1126" s="38">
        <f t="shared" si="138"/>
        <v>3.2922336094398532</v>
      </c>
      <c r="L1126" s="39">
        <f t="shared" si="139"/>
        <v>3.7170731707317078E-2</v>
      </c>
      <c r="M1126" s="39">
        <f t="shared" si="140"/>
        <v>1.1151219512195123</v>
      </c>
      <c r="N1126" s="39">
        <f t="shared" si="141"/>
        <v>33.453658536585372</v>
      </c>
      <c r="O1126" s="40">
        <f>1</f>
        <v>1</v>
      </c>
      <c r="P1126" s="38">
        <f>INDEX(Cables!$AS:$AS,MATCH(B1126,Cables!$A:$A,0))+INDEX(Cables!$AT:$AT,MATCH(B1126,Cables!$A:$A,0))*SQRT(C1126)+INDEX(Cables!$AU:$AU,MATCH(B1126,Cables!$A:$A,0))*C1126</f>
        <v>26.877649147016712</v>
      </c>
      <c r="Q1126" s="41">
        <f t="shared" si="142"/>
        <v>-9.3811463284210195E-4</v>
      </c>
      <c r="R1126" s="39">
        <f t="shared" si="143"/>
        <v>8.8005906435247169E-7</v>
      </c>
      <c r="S1126" s="40" t="b">
        <f>IF(B1126=B1125,C1126&gt;C1125,COUNTIF(B$1:B1125,B1126)=0)</f>
        <v>1</v>
      </c>
      <c r="T1126" s="37"/>
    </row>
    <row r="1127" spans="1:20" x14ac:dyDescent="0.25">
      <c r="A1127" s="37" t="s">
        <v>1871</v>
      </c>
      <c r="B1127" s="37" t="s">
        <v>678</v>
      </c>
      <c r="C1127" s="37">
        <v>1000</v>
      </c>
      <c r="D1127" s="37">
        <v>8.6999999999999993</v>
      </c>
      <c r="E1127" s="37" t="s">
        <v>707</v>
      </c>
      <c r="F1127" s="37"/>
      <c r="G1127" s="37" t="s">
        <v>685</v>
      </c>
      <c r="H1127" s="37" t="s">
        <v>728</v>
      </c>
      <c r="I1127" s="38">
        <f t="shared" si="136"/>
        <v>28.54330708661417</v>
      </c>
      <c r="J1127" s="38">
        <f t="shared" si="137"/>
        <v>6.9077552789821368</v>
      </c>
      <c r="K1127" s="38">
        <f t="shared" si="138"/>
        <v>3.3514224808301836</v>
      </c>
      <c r="L1127" s="39">
        <f t="shared" si="139"/>
        <v>3.5034482758620693E-2</v>
      </c>
      <c r="M1127" s="39">
        <f t="shared" si="140"/>
        <v>1.1078876216314046</v>
      </c>
      <c r="N1127" s="39">
        <f t="shared" si="141"/>
        <v>35.03448275862069</v>
      </c>
      <c r="O1127" s="40">
        <f>1</f>
        <v>1</v>
      </c>
      <c r="P1127" s="38">
        <f>INDEX(Cables!$AS:$AS,MATCH(B1127,Cables!$A:$A,0))+INDEX(Cables!$AT:$AT,MATCH(B1127,Cables!$A:$A,0))*SQRT(C1127)+INDEX(Cables!$AU:$AU,MATCH(B1127,Cables!$A:$A,0))*C1127</f>
        <v>28.368963547054769</v>
      </c>
      <c r="Q1127" s="41">
        <f t="shared" si="142"/>
        <v>-6.1080357307707889E-3</v>
      </c>
      <c r="R1127" s="39">
        <f t="shared" si="143"/>
        <v>3.7308100488372644E-5</v>
      </c>
      <c r="S1127" s="40" t="b">
        <f>IF(B1127=B1126,C1127&gt;C1126,COUNTIF(B$1:B1126,B1127)=0)</f>
        <v>1</v>
      </c>
      <c r="T1127" s="37"/>
    </row>
  </sheetData>
  <conditionalFormatting sqref="Q2:Q1127">
    <cfRule type="expression" dxfId="8" priority="1">
      <formula>ABS(Q2)&gt;0.1</formula>
    </cfRule>
    <cfRule type="expression" dxfId="7" priority="2">
      <formula>ABS(Q2)&gt;0.05</formula>
    </cfRule>
  </conditionalFormatting>
  <conditionalFormatting sqref="S2:S1127">
    <cfRule type="expression" dxfId="6" priority="3">
      <formula>S2=FALSE</formula>
    </cfRule>
  </conditionalFormatting>
  <dataValidations count="1">
    <dataValidation type="list" sqref="E2:E1627" xr:uid="{00000000-0002-0000-0500-000000000000}">
      <formula1>"dB/100m,dB/100ft"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76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9" customWidth="1"/>
    <col min="2" max="2" width="17" customWidth="1"/>
    <col min="3" max="3" width="10" customWidth="1"/>
    <col min="4" max="4" width="9" customWidth="1"/>
    <col min="5" max="5" width="7" customWidth="1"/>
    <col min="6" max="6" width="14" customWidth="1"/>
    <col min="7" max="7" width="10" customWidth="1"/>
    <col min="8" max="8" width="40" customWidth="1"/>
    <col min="9" max="9" width="10" customWidth="1"/>
    <col min="10" max="11" width="8" hidden="1" customWidth="1" outlineLevel="1"/>
    <col min="12" max="12" width="9" customWidth="1"/>
    <col min="13" max="13" width="30" customWidth="1"/>
  </cols>
  <sheetData>
    <row r="1" spans="1:13" ht="25.5" x14ac:dyDescent="0.25">
      <c r="A1" s="27" t="s">
        <v>1872</v>
      </c>
      <c r="B1" s="27" t="s">
        <v>52</v>
      </c>
      <c r="C1" s="27" t="s">
        <v>688</v>
      </c>
      <c r="D1" s="27" t="s">
        <v>689</v>
      </c>
      <c r="E1" s="27" t="s">
        <v>690</v>
      </c>
      <c r="F1" s="27" t="s">
        <v>1873</v>
      </c>
      <c r="G1" s="27" t="s">
        <v>692</v>
      </c>
      <c r="H1" s="27" t="s">
        <v>693</v>
      </c>
      <c r="I1" s="28" t="s">
        <v>1874</v>
      </c>
      <c r="J1" s="28" t="s">
        <v>695</v>
      </c>
      <c r="K1" s="28" t="s">
        <v>1875</v>
      </c>
      <c r="L1" s="28" t="s">
        <v>704</v>
      </c>
      <c r="M1" s="27" t="s">
        <v>705</v>
      </c>
    </row>
    <row r="2" spans="1:13" x14ac:dyDescent="0.25">
      <c r="A2" s="37" t="s">
        <v>1876</v>
      </c>
      <c r="B2" s="37" t="s">
        <v>154</v>
      </c>
      <c r="C2" s="37">
        <v>50</v>
      </c>
      <c r="D2" s="37">
        <v>380</v>
      </c>
      <c r="E2" s="37" t="s">
        <v>1877</v>
      </c>
      <c r="F2" s="37"/>
      <c r="G2" s="37" t="s">
        <v>167</v>
      </c>
      <c r="H2" s="37" t="s">
        <v>708</v>
      </c>
      <c r="I2" s="42">
        <f t="shared" ref="I2:I65" si="0">IF(E2="kW",D2*1000,D2)</f>
        <v>380</v>
      </c>
      <c r="J2" s="38">
        <f t="shared" ref="J2:J65" si="1">LN(C2)</f>
        <v>3.912023005428146</v>
      </c>
      <c r="K2" s="38">
        <f t="shared" ref="K2:K65" si="2">LN(I2)</f>
        <v>5.9401712527204316</v>
      </c>
      <c r="L2" s="40" t="b">
        <f>IF(B2=B1,C2&gt;C1,COUNTIF(B$1:B1,B2)=0)</f>
        <v>1</v>
      </c>
      <c r="M2" s="1"/>
    </row>
    <row r="3" spans="1:13" x14ac:dyDescent="0.25">
      <c r="A3" s="37" t="s">
        <v>1878</v>
      </c>
      <c r="B3" s="37" t="s">
        <v>154</v>
      </c>
      <c r="C3" s="37">
        <v>100</v>
      </c>
      <c r="D3" s="37">
        <v>253</v>
      </c>
      <c r="E3" s="37" t="s">
        <v>1877</v>
      </c>
      <c r="F3" s="37"/>
      <c r="G3" s="37" t="s">
        <v>167</v>
      </c>
      <c r="H3" s="37" t="s">
        <v>708</v>
      </c>
      <c r="I3" s="42">
        <f t="shared" si="0"/>
        <v>253</v>
      </c>
      <c r="J3" s="38">
        <f t="shared" si="1"/>
        <v>4.6051701859880918</v>
      </c>
      <c r="K3" s="38">
        <f t="shared" si="2"/>
        <v>5.5333894887275203</v>
      </c>
      <c r="L3" s="40" t="b">
        <f>IF(B3=B2,C3&gt;C2,COUNTIF(B$1:B2,B3)=0)</f>
        <v>1</v>
      </c>
      <c r="M3" s="1"/>
    </row>
    <row r="4" spans="1:13" x14ac:dyDescent="0.25">
      <c r="A4" s="37" t="s">
        <v>1879</v>
      </c>
      <c r="B4" s="37" t="s">
        <v>154</v>
      </c>
      <c r="C4" s="37">
        <v>200</v>
      </c>
      <c r="D4" s="37">
        <v>170</v>
      </c>
      <c r="E4" s="37" t="s">
        <v>1877</v>
      </c>
      <c r="F4" s="37"/>
      <c r="G4" s="37" t="s">
        <v>167</v>
      </c>
      <c r="H4" s="37" t="s">
        <v>708</v>
      </c>
      <c r="I4" s="42">
        <f t="shared" si="0"/>
        <v>170</v>
      </c>
      <c r="J4" s="38">
        <f t="shared" si="1"/>
        <v>5.2983173665480363</v>
      </c>
      <c r="K4" s="38">
        <f t="shared" si="2"/>
        <v>5.1357984370502621</v>
      </c>
      <c r="L4" s="40" t="b">
        <f>IF(B4=B3,C4&gt;C3,COUNTIF(B$1:B3,B4)=0)</f>
        <v>1</v>
      </c>
      <c r="M4" s="1"/>
    </row>
    <row r="5" spans="1:13" x14ac:dyDescent="0.25">
      <c r="A5" s="37" t="s">
        <v>1880</v>
      </c>
      <c r="B5" s="37" t="s">
        <v>154</v>
      </c>
      <c r="C5" s="37">
        <v>400</v>
      </c>
      <c r="D5" s="37">
        <v>113</v>
      </c>
      <c r="E5" s="37" t="s">
        <v>1877</v>
      </c>
      <c r="F5" s="37"/>
      <c r="G5" s="37" t="s">
        <v>167</v>
      </c>
      <c r="H5" s="37" t="s">
        <v>708</v>
      </c>
      <c r="I5" s="42">
        <f t="shared" si="0"/>
        <v>113</v>
      </c>
      <c r="J5" s="38">
        <f t="shared" si="1"/>
        <v>5.9914645471079817</v>
      </c>
      <c r="K5" s="38">
        <f t="shared" si="2"/>
        <v>4.7273878187123408</v>
      </c>
      <c r="L5" s="40" t="b">
        <f>IF(B5=B4,C5&gt;C4,COUNTIF(B$1:B4,B5)=0)</f>
        <v>1</v>
      </c>
      <c r="M5" s="1"/>
    </row>
    <row r="6" spans="1:13" x14ac:dyDescent="0.25">
      <c r="A6" s="37" t="s">
        <v>1881</v>
      </c>
      <c r="B6" s="37" t="s">
        <v>154</v>
      </c>
      <c r="C6" s="37">
        <v>700</v>
      </c>
      <c r="D6" s="37">
        <v>81</v>
      </c>
      <c r="E6" s="37" t="s">
        <v>1877</v>
      </c>
      <c r="F6" s="37"/>
      <c r="G6" s="37" t="s">
        <v>167</v>
      </c>
      <c r="H6" s="37" t="s">
        <v>708</v>
      </c>
      <c r="I6" s="42">
        <f t="shared" si="0"/>
        <v>81</v>
      </c>
      <c r="J6" s="38">
        <f t="shared" si="1"/>
        <v>6.5510803350434044</v>
      </c>
      <c r="K6" s="38">
        <f t="shared" si="2"/>
        <v>4.3944491546724391</v>
      </c>
      <c r="L6" s="40" t="b">
        <f>IF(B6=B5,C6&gt;C5,COUNTIF(B$1:B5,B6)=0)</f>
        <v>1</v>
      </c>
      <c r="M6" s="1"/>
    </row>
    <row r="7" spans="1:13" x14ac:dyDescent="0.25">
      <c r="A7" s="37" t="s">
        <v>1882</v>
      </c>
      <c r="B7" s="37" t="s">
        <v>154</v>
      </c>
      <c r="C7" s="37">
        <v>900</v>
      </c>
      <c r="D7" s="37">
        <v>70</v>
      </c>
      <c r="E7" s="37" t="s">
        <v>1877</v>
      </c>
      <c r="F7" s="37"/>
      <c r="G7" s="37" t="s">
        <v>167</v>
      </c>
      <c r="H7" s="37" t="s">
        <v>708</v>
      </c>
      <c r="I7" s="42">
        <f t="shared" si="0"/>
        <v>70</v>
      </c>
      <c r="J7" s="38">
        <f t="shared" si="1"/>
        <v>6.8023947633243109</v>
      </c>
      <c r="K7" s="38">
        <f t="shared" si="2"/>
        <v>4.2484952420493594</v>
      </c>
      <c r="L7" s="40" t="b">
        <f>IF(B7=B6,C7&gt;C6,COUNTIF(B$1:B6,B7)=0)</f>
        <v>1</v>
      </c>
      <c r="M7" s="1"/>
    </row>
    <row r="8" spans="1:13" x14ac:dyDescent="0.25">
      <c r="A8" s="37" t="s">
        <v>1883</v>
      </c>
      <c r="B8" s="37" t="s">
        <v>154</v>
      </c>
      <c r="C8" s="37">
        <v>1000</v>
      </c>
      <c r="D8" s="37">
        <v>66</v>
      </c>
      <c r="E8" s="37" t="s">
        <v>1877</v>
      </c>
      <c r="F8" s="37"/>
      <c r="G8" s="37" t="s">
        <v>167</v>
      </c>
      <c r="H8" s="37" t="s">
        <v>708</v>
      </c>
      <c r="I8" s="42">
        <f t="shared" si="0"/>
        <v>66</v>
      </c>
      <c r="J8" s="38">
        <f t="shared" si="1"/>
        <v>6.9077552789821368</v>
      </c>
      <c r="K8" s="38">
        <f t="shared" si="2"/>
        <v>4.1896547420264252</v>
      </c>
      <c r="L8" s="40" t="b">
        <f>IF(B8=B7,C8&gt;C7,COUNTIF(B$1:B7,B8)=0)</f>
        <v>1</v>
      </c>
      <c r="M8" s="1"/>
    </row>
    <row r="9" spans="1:13" x14ac:dyDescent="0.25">
      <c r="A9" s="37" t="s">
        <v>1884</v>
      </c>
      <c r="B9" s="37" t="s">
        <v>169</v>
      </c>
      <c r="C9" s="37">
        <v>1</v>
      </c>
      <c r="D9" s="37">
        <v>976</v>
      </c>
      <c r="E9" s="37" t="s">
        <v>1877</v>
      </c>
      <c r="F9" s="37"/>
      <c r="G9" s="37" t="s">
        <v>181</v>
      </c>
      <c r="H9" s="37" t="s">
        <v>1885</v>
      </c>
      <c r="I9" s="42">
        <f t="shared" si="0"/>
        <v>976</v>
      </c>
      <c r="J9" s="38">
        <f t="shared" si="1"/>
        <v>0</v>
      </c>
      <c r="K9" s="38">
        <f t="shared" si="2"/>
        <v>6.8834625864130921</v>
      </c>
      <c r="L9" s="40" t="b">
        <f>IF(B9=B8,C9&gt;C8,COUNTIF(B$1:B8,B9)=0)</f>
        <v>1</v>
      </c>
      <c r="M9" s="1"/>
    </row>
    <row r="10" spans="1:13" x14ac:dyDescent="0.25">
      <c r="A10" s="37" t="s">
        <v>1886</v>
      </c>
      <c r="B10" s="37" t="s">
        <v>169</v>
      </c>
      <c r="C10" s="37">
        <v>10</v>
      </c>
      <c r="D10" s="37">
        <v>354</v>
      </c>
      <c r="E10" s="37" t="s">
        <v>1877</v>
      </c>
      <c r="F10" s="37"/>
      <c r="G10" s="37" t="s">
        <v>181</v>
      </c>
      <c r="H10" s="37" t="s">
        <v>1885</v>
      </c>
      <c r="I10" s="42">
        <f t="shared" si="0"/>
        <v>354</v>
      </c>
      <c r="J10" s="38">
        <f t="shared" si="1"/>
        <v>2.3025850929940459</v>
      </c>
      <c r="K10" s="38">
        <f t="shared" si="2"/>
        <v>5.8692969131337742</v>
      </c>
      <c r="L10" s="40" t="b">
        <f>IF(B10=B9,C10&gt;C9,COUNTIF(B$1:B9,B10)=0)</f>
        <v>1</v>
      </c>
      <c r="M10" s="1"/>
    </row>
    <row r="11" spans="1:13" x14ac:dyDescent="0.25">
      <c r="A11" s="37" t="s">
        <v>1887</v>
      </c>
      <c r="B11" s="37" t="s">
        <v>169</v>
      </c>
      <c r="C11" s="37">
        <v>50</v>
      </c>
      <c r="D11" s="37">
        <v>197</v>
      </c>
      <c r="E11" s="37" t="s">
        <v>1877</v>
      </c>
      <c r="F11" s="37"/>
      <c r="G11" s="37" t="s">
        <v>181</v>
      </c>
      <c r="H11" s="37" t="s">
        <v>1885</v>
      </c>
      <c r="I11" s="42">
        <f t="shared" si="0"/>
        <v>197</v>
      </c>
      <c r="J11" s="38">
        <f t="shared" si="1"/>
        <v>3.912023005428146</v>
      </c>
      <c r="K11" s="38">
        <f t="shared" si="2"/>
        <v>5.2832037287379885</v>
      </c>
      <c r="L11" s="40" t="b">
        <f>IF(B11=B10,C11&gt;C10,COUNTIF(B$1:B10,B11)=0)</f>
        <v>1</v>
      </c>
      <c r="M11" s="1"/>
    </row>
    <row r="12" spans="1:13" x14ac:dyDescent="0.25">
      <c r="A12" s="37" t="s">
        <v>1888</v>
      </c>
      <c r="B12" s="37" t="s">
        <v>169</v>
      </c>
      <c r="C12" s="37">
        <v>100</v>
      </c>
      <c r="D12" s="37">
        <v>161</v>
      </c>
      <c r="E12" s="37" t="s">
        <v>1877</v>
      </c>
      <c r="F12" s="37"/>
      <c r="G12" s="37" t="s">
        <v>181</v>
      </c>
      <c r="H12" s="37" t="s">
        <v>1885</v>
      </c>
      <c r="I12" s="42">
        <f t="shared" si="0"/>
        <v>161</v>
      </c>
      <c r="J12" s="38">
        <f t="shared" si="1"/>
        <v>4.6051701859880918</v>
      </c>
      <c r="K12" s="38">
        <f t="shared" si="2"/>
        <v>5.0814043649844631</v>
      </c>
      <c r="L12" s="40" t="b">
        <f>IF(B12=B11,C12&gt;C11,COUNTIF(B$1:B11,B12)=0)</f>
        <v>1</v>
      </c>
      <c r="M12" s="1"/>
    </row>
    <row r="13" spans="1:13" x14ac:dyDescent="0.25">
      <c r="A13" s="37" t="s">
        <v>1889</v>
      </c>
      <c r="B13" s="37" t="s">
        <v>169</v>
      </c>
      <c r="C13" s="37">
        <v>200</v>
      </c>
      <c r="D13" s="37">
        <v>136</v>
      </c>
      <c r="E13" s="37" t="s">
        <v>1877</v>
      </c>
      <c r="F13" s="37"/>
      <c r="G13" s="37" t="s">
        <v>181</v>
      </c>
      <c r="H13" s="37" t="s">
        <v>1885</v>
      </c>
      <c r="I13" s="42">
        <f t="shared" si="0"/>
        <v>136</v>
      </c>
      <c r="J13" s="38">
        <f t="shared" si="1"/>
        <v>5.2983173665480363</v>
      </c>
      <c r="K13" s="38">
        <f t="shared" si="2"/>
        <v>4.9126548857360524</v>
      </c>
      <c r="L13" s="40" t="b">
        <f>IF(B13=B12,C13&gt;C12,COUNTIF(B$1:B12,B13)=0)</f>
        <v>1</v>
      </c>
      <c r="M13" s="1"/>
    </row>
    <row r="14" spans="1:13" x14ac:dyDescent="0.25">
      <c r="A14" s="37" t="s">
        <v>1890</v>
      </c>
      <c r="B14" s="37" t="s">
        <v>169</v>
      </c>
      <c r="C14" s="37">
        <v>400</v>
      </c>
      <c r="D14" s="37">
        <v>120</v>
      </c>
      <c r="E14" s="37" t="s">
        <v>1877</v>
      </c>
      <c r="F14" s="37"/>
      <c r="G14" s="37" t="s">
        <v>181</v>
      </c>
      <c r="H14" s="37" t="s">
        <v>1885</v>
      </c>
      <c r="I14" s="42">
        <f t="shared" si="0"/>
        <v>120</v>
      </c>
      <c r="J14" s="38">
        <f t="shared" si="1"/>
        <v>5.9914645471079817</v>
      </c>
      <c r="K14" s="38">
        <f t="shared" si="2"/>
        <v>4.7874917427820458</v>
      </c>
      <c r="L14" s="40" t="b">
        <f>IF(B14=B13,C14&gt;C13,COUNTIF(B$1:B13,B14)=0)</f>
        <v>1</v>
      </c>
      <c r="M14" s="1"/>
    </row>
    <row r="15" spans="1:13" x14ac:dyDescent="0.25">
      <c r="A15" s="37" t="s">
        <v>1891</v>
      </c>
      <c r="B15" s="37" t="s">
        <v>169</v>
      </c>
      <c r="C15" s="37">
        <v>700</v>
      </c>
      <c r="D15" s="37">
        <v>112</v>
      </c>
      <c r="E15" s="37" t="s">
        <v>1877</v>
      </c>
      <c r="F15" s="37"/>
      <c r="G15" s="37" t="s">
        <v>181</v>
      </c>
      <c r="H15" s="37" t="s">
        <v>1885</v>
      </c>
      <c r="I15" s="42">
        <f t="shared" si="0"/>
        <v>112</v>
      </c>
      <c r="J15" s="38">
        <f t="shared" si="1"/>
        <v>6.5510803350434044</v>
      </c>
      <c r="K15" s="38">
        <f t="shared" si="2"/>
        <v>4.7184988712950942</v>
      </c>
      <c r="L15" s="40" t="b">
        <f>IF(B15=B14,C15&gt;C14,COUNTIF(B$1:B14,B15)=0)</f>
        <v>1</v>
      </c>
      <c r="M15" s="1"/>
    </row>
    <row r="16" spans="1:13" x14ac:dyDescent="0.25">
      <c r="A16" s="37" t="s">
        <v>1892</v>
      </c>
      <c r="B16" s="37" t="s">
        <v>169</v>
      </c>
      <c r="C16" s="37">
        <v>900</v>
      </c>
      <c r="D16" s="37">
        <v>109</v>
      </c>
      <c r="E16" s="37" t="s">
        <v>1877</v>
      </c>
      <c r="F16" s="37"/>
      <c r="G16" s="37" t="s">
        <v>181</v>
      </c>
      <c r="H16" s="37" t="s">
        <v>1885</v>
      </c>
      <c r="I16" s="42">
        <f t="shared" si="0"/>
        <v>109</v>
      </c>
      <c r="J16" s="38">
        <f t="shared" si="1"/>
        <v>6.8023947633243109</v>
      </c>
      <c r="K16" s="38">
        <f t="shared" si="2"/>
        <v>4.6913478822291435</v>
      </c>
      <c r="L16" s="40" t="b">
        <f>IF(B16=B15,C16&gt;C15,COUNTIF(B$1:B15,B16)=0)</f>
        <v>1</v>
      </c>
      <c r="M16" s="1"/>
    </row>
    <row r="17" spans="1:13" x14ac:dyDescent="0.25">
      <c r="A17" s="37" t="s">
        <v>1893</v>
      </c>
      <c r="B17" s="37" t="s">
        <v>169</v>
      </c>
      <c r="C17" s="37">
        <v>1000</v>
      </c>
      <c r="D17" s="37">
        <v>108</v>
      </c>
      <c r="E17" s="37" t="s">
        <v>1877</v>
      </c>
      <c r="F17" s="37"/>
      <c r="G17" s="37" t="s">
        <v>181</v>
      </c>
      <c r="H17" s="37" t="s">
        <v>1885</v>
      </c>
      <c r="I17" s="42">
        <f t="shared" si="0"/>
        <v>108</v>
      </c>
      <c r="J17" s="38">
        <f t="shared" si="1"/>
        <v>6.9077552789821368</v>
      </c>
      <c r="K17" s="38">
        <f t="shared" si="2"/>
        <v>4.6821312271242199</v>
      </c>
      <c r="L17" s="40" t="b">
        <f>IF(B17=B16,C17&gt;C16,COUNTIF(B$1:B16,B17)=0)</f>
        <v>1</v>
      </c>
      <c r="M17" s="1"/>
    </row>
    <row r="18" spans="1:13" x14ac:dyDescent="0.25">
      <c r="A18" s="37" t="s">
        <v>1894</v>
      </c>
      <c r="B18" s="37" t="s">
        <v>199</v>
      </c>
      <c r="C18" s="37">
        <v>30</v>
      </c>
      <c r="D18" s="37">
        <v>0.23</v>
      </c>
      <c r="E18" s="37" t="s">
        <v>1895</v>
      </c>
      <c r="F18" s="37">
        <v>40</v>
      </c>
      <c r="G18" s="37" t="s">
        <v>207</v>
      </c>
      <c r="H18" s="37" t="s">
        <v>1896</v>
      </c>
      <c r="I18" s="42">
        <f t="shared" si="0"/>
        <v>230</v>
      </c>
      <c r="J18" s="38">
        <f t="shared" si="1"/>
        <v>3.4011973816621555</v>
      </c>
      <c r="K18" s="38">
        <f t="shared" si="2"/>
        <v>5.4380793089231956</v>
      </c>
      <c r="L18" s="40" t="b">
        <f>IF(B18=B17,C18&gt;C17,COUNTIF(B$1:B17,B18)=0)</f>
        <v>1</v>
      </c>
      <c r="M18" s="1"/>
    </row>
    <row r="19" spans="1:13" x14ac:dyDescent="0.25">
      <c r="A19" s="37" t="s">
        <v>1897</v>
      </c>
      <c r="B19" s="37" t="s">
        <v>199</v>
      </c>
      <c r="C19" s="37">
        <v>50</v>
      </c>
      <c r="D19" s="37">
        <v>0.18</v>
      </c>
      <c r="E19" s="37" t="s">
        <v>1895</v>
      </c>
      <c r="F19" s="37">
        <v>40</v>
      </c>
      <c r="G19" s="37" t="s">
        <v>207</v>
      </c>
      <c r="H19" s="37" t="s">
        <v>1896</v>
      </c>
      <c r="I19" s="42">
        <f t="shared" si="0"/>
        <v>180</v>
      </c>
      <c r="J19" s="38">
        <f t="shared" si="1"/>
        <v>3.912023005428146</v>
      </c>
      <c r="K19" s="38">
        <f t="shared" si="2"/>
        <v>5.1929568508902104</v>
      </c>
      <c r="L19" s="40" t="b">
        <f>IF(B19=B18,C19&gt;C18,COUNTIF(B$1:B18,B19)=0)</f>
        <v>1</v>
      </c>
      <c r="M19" s="1"/>
    </row>
    <row r="20" spans="1:13" x14ac:dyDescent="0.25">
      <c r="A20" s="37" t="s">
        <v>1898</v>
      </c>
      <c r="B20" s="37" t="s">
        <v>199</v>
      </c>
      <c r="C20" s="37">
        <v>150</v>
      </c>
      <c r="D20" s="37">
        <v>0.1</v>
      </c>
      <c r="E20" s="37" t="s">
        <v>1895</v>
      </c>
      <c r="F20" s="37">
        <v>40</v>
      </c>
      <c r="G20" s="37" t="s">
        <v>207</v>
      </c>
      <c r="H20" s="37" t="s">
        <v>1896</v>
      </c>
      <c r="I20" s="42">
        <f t="shared" si="0"/>
        <v>100</v>
      </c>
      <c r="J20" s="38">
        <f t="shared" si="1"/>
        <v>5.0106352940962555</v>
      </c>
      <c r="K20" s="38">
        <f t="shared" si="2"/>
        <v>4.6051701859880918</v>
      </c>
      <c r="L20" s="40" t="b">
        <f>IF(B20=B19,C20&gt;C19,COUNTIF(B$1:B19,B20)=0)</f>
        <v>1</v>
      </c>
      <c r="M20" s="1"/>
    </row>
    <row r="21" spans="1:13" x14ac:dyDescent="0.25">
      <c r="A21" s="37" t="s">
        <v>1899</v>
      </c>
      <c r="B21" s="37" t="s">
        <v>199</v>
      </c>
      <c r="C21" s="37">
        <v>220</v>
      </c>
      <c r="D21" s="37">
        <v>0.08</v>
      </c>
      <c r="E21" s="37" t="s">
        <v>1895</v>
      </c>
      <c r="F21" s="37">
        <v>40</v>
      </c>
      <c r="G21" s="37" t="s">
        <v>207</v>
      </c>
      <c r="H21" s="37" t="s">
        <v>1896</v>
      </c>
      <c r="I21" s="42">
        <f t="shared" si="0"/>
        <v>80</v>
      </c>
      <c r="J21" s="38">
        <f t="shared" si="1"/>
        <v>5.393627546352362</v>
      </c>
      <c r="K21" s="38">
        <f t="shared" si="2"/>
        <v>4.3820266346738812</v>
      </c>
      <c r="L21" s="40" t="b">
        <f>IF(B21=B20,C21&gt;C20,COUNTIF(B$1:B20,B21)=0)</f>
        <v>1</v>
      </c>
      <c r="M21" s="1"/>
    </row>
    <row r="22" spans="1:13" x14ac:dyDescent="0.25">
      <c r="A22" s="37" t="s">
        <v>1900</v>
      </c>
      <c r="B22" s="37" t="s">
        <v>199</v>
      </c>
      <c r="C22" s="37">
        <v>450</v>
      </c>
      <c r="D22" s="37">
        <v>0.06</v>
      </c>
      <c r="E22" s="37" t="s">
        <v>1895</v>
      </c>
      <c r="F22" s="37">
        <v>40</v>
      </c>
      <c r="G22" s="37" t="s">
        <v>207</v>
      </c>
      <c r="H22" s="37" t="s">
        <v>1896</v>
      </c>
      <c r="I22" s="42">
        <f t="shared" si="0"/>
        <v>60</v>
      </c>
      <c r="J22" s="38">
        <f t="shared" si="1"/>
        <v>6.1092475827643655</v>
      </c>
      <c r="K22" s="38">
        <f t="shared" si="2"/>
        <v>4.0943445622221004</v>
      </c>
      <c r="L22" s="40" t="b">
        <f>IF(B22=B21,C22&gt;C21,COUNTIF(B$1:B21,B22)=0)</f>
        <v>1</v>
      </c>
      <c r="M22" s="1"/>
    </row>
    <row r="23" spans="1:13" x14ac:dyDescent="0.25">
      <c r="A23" s="37" t="s">
        <v>1901</v>
      </c>
      <c r="B23" s="37" t="s">
        <v>199</v>
      </c>
      <c r="C23" s="37">
        <v>700</v>
      </c>
      <c r="D23" s="37">
        <v>0.05</v>
      </c>
      <c r="E23" s="37" t="s">
        <v>1895</v>
      </c>
      <c r="F23" s="37">
        <v>40</v>
      </c>
      <c r="G23" s="37" t="s">
        <v>207</v>
      </c>
      <c r="H23" s="37" t="s">
        <v>1896</v>
      </c>
      <c r="I23" s="42">
        <f t="shared" si="0"/>
        <v>50</v>
      </c>
      <c r="J23" s="38">
        <f t="shared" si="1"/>
        <v>6.5510803350434044</v>
      </c>
      <c r="K23" s="38">
        <f t="shared" si="2"/>
        <v>3.912023005428146</v>
      </c>
      <c r="L23" s="40" t="b">
        <f>IF(B23=B22,C23&gt;C22,COUNTIF(B$1:B22,B23)=0)</f>
        <v>1</v>
      </c>
      <c r="M23" s="1"/>
    </row>
    <row r="24" spans="1:13" x14ac:dyDescent="0.25">
      <c r="A24" s="37" t="s">
        <v>1902</v>
      </c>
      <c r="B24" s="37" t="s">
        <v>199</v>
      </c>
      <c r="C24" s="37">
        <v>900</v>
      </c>
      <c r="D24" s="37">
        <v>0.04</v>
      </c>
      <c r="E24" s="37" t="s">
        <v>1895</v>
      </c>
      <c r="F24" s="37">
        <v>40</v>
      </c>
      <c r="G24" s="37" t="s">
        <v>207</v>
      </c>
      <c r="H24" s="37" t="s">
        <v>1896</v>
      </c>
      <c r="I24" s="42">
        <f t="shared" si="0"/>
        <v>40</v>
      </c>
      <c r="J24" s="38">
        <f t="shared" si="1"/>
        <v>6.8023947633243109</v>
      </c>
      <c r="K24" s="38">
        <f t="shared" si="2"/>
        <v>3.6888794541139363</v>
      </c>
      <c r="L24" s="40" t="b">
        <f>IF(B24=B23,C24&gt;C23,COUNTIF(B$1:B23,B24)=0)</f>
        <v>1</v>
      </c>
      <c r="M24" s="1"/>
    </row>
    <row r="25" spans="1:13" x14ac:dyDescent="0.25">
      <c r="A25" s="37" t="s">
        <v>1903</v>
      </c>
      <c r="B25" s="37" t="s">
        <v>199</v>
      </c>
      <c r="C25" s="37">
        <v>1500</v>
      </c>
      <c r="D25" s="37">
        <v>0.03</v>
      </c>
      <c r="E25" s="37" t="s">
        <v>1895</v>
      </c>
      <c r="F25" s="37">
        <v>40</v>
      </c>
      <c r="G25" s="37" t="s">
        <v>207</v>
      </c>
      <c r="H25" s="37" t="s">
        <v>1896</v>
      </c>
      <c r="I25" s="42">
        <f t="shared" si="0"/>
        <v>30</v>
      </c>
      <c r="J25" s="38">
        <f t="shared" si="1"/>
        <v>7.3132203870903014</v>
      </c>
      <c r="K25" s="38">
        <f t="shared" si="2"/>
        <v>3.4011973816621555</v>
      </c>
      <c r="L25" s="40" t="b">
        <f>IF(B25=B24,C25&gt;C24,COUNTIF(B$1:B24,B25)=0)</f>
        <v>1</v>
      </c>
      <c r="M25" s="1"/>
    </row>
    <row r="26" spans="1:13" x14ac:dyDescent="0.25">
      <c r="A26" s="37" t="s">
        <v>1904</v>
      </c>
      <c r="B26" s="37" t="s">
        <v>199</v>
      </c>
      <c r="C26" s="37">
        <v>2000</v>
      </c>
      <c r="D26" s="37">
        <v>2.5000000000000001E-2</v>
      </c>
      <c r="E26" s="37" t="s">
        <v>1895</v>
      </c>
      <c r="F26" s="37">
        <v>40</v>
      </c>
      <c r="G26" s="37" t="s">
        <v>207</v>
      </c>
      <c r="H26" s="37" t="s">
        <v>1896</v>
      </c>
      <c r="I26" s="42">
        <f t="shared" si="0"/>
        <v>25</v>
      </c>
      <c r="J26" s="38">
        <f t="shared" si="1"/>
        <v>7.6009024595420822</v>
      </c>
      <c r="K26" s="38">
        <f t="shared" si="2"/>
        <v>3.2188758248682006</v>
      </c>
      <c r="L26" s="40" t="b">
        <f>IF(B26=B25,C26&gt;C25,COUNTIF(B$1:B25,B26)=0)</f>
        <v>1</v>
      </c>
      <c r="M26" s="1"/>
    </row>
    <row r="27" spans="1:13" x14ac:dyDescent="0.25">
      <c r="A27" s="37" t="s">
        <v>1905</v>
      </c>
      <c r="B27" s="37" t="s">
        <v>199</v>
      </c>
      <c r="C27" s="37">
        <v>2500</v>
      </c>
      <c r="D27" s="37">
        <v>0.02</v>
      </c>
      <c r="E27" s="37" t="s">
        <v>1895</v>
      </c>
      <c r="F27" s="37">
        <v>40</v>
      </c>
      <c r="G27" s="37" t="s">
        <v>207</v>
      </c>
      <c r="H27" s="37" t="s">
        <v>1896</v>
      </c>
      <c r="I27" s="42">
        <f t="shared" si="0"/>
        <v>20</v>
      </c>
      <c r="J27" s="38">
        <f t="shared" si="1"/>
        <v>7.8240460108562919</v>
      </c>
      <c r="K27" s="38">
        <f t="shared" si="2"/>
        <v>2.9957322735539909</v>
      </c>
      <c r="L27" s="40" t="b">
        <f>IF(B27=B26,C27&gt;C26,COUNTIF(B$1:B26,B27)=0)</f>
        <v>1</v>
      </c>
      <c r="M27" s="1"/>
    </row>
    <row r="28" spans="1:13" x14ac:dyDescent="0.25">
      <c r="A28" s="37" t="s">
        <v>1906</v>
      </c>
      <c r="B28" s="37" t="s">
        <v>235</v>
      </c>
      <c r="C28" s="37">
        <v>50</v>
      </c>
      <c r="D28" s="37">
        <v>350</v>
      </c>
      <c r="E28" s="37" t="s">
        <v>1877</v>
      </c>
      <c r="F28" s="37"/>
      <c r="G28" s="37" t="s">
        <v>244</v>
      </c>
      <c r="H28" s="37" t="s">
        <v>708</v>
      </c>
      <c r="I28" s="42">
        <f t="shared" si="0"/>
        <v>350</v>
      </c>
      <c r="J28" s="38">
        <f t="shared" si="1"/>
        <v>3.912023005428146</v>
      </c>
      <c r="K28" s="38">
        <f t="shared" si="2"/>
        <v>5.857933154483459</v>
      </c>
      <c r="L28" s="40" t="b">
        <f>IF(B28=B27,C28&gt;C27,COUNTIF(B$1:B27,B28)=0)</f>
        <v>1</v>
      </c>
      <c r="M28" s="1"/>
    </row>
    <row r="29" spans="1:13" x14ac:dyDescent="0.25">
      <c r="A29" s="37" t="s">
        <v>1907</v>
      </c>
      <c r="B29" s="37" t="s">
        <v>235</v>
      </c>
      <c r="C29" s="37">
        <v>400</v>
      </c>
      <c r="D29" s="37">
        <v>86</v>
      </c>
      <c r="E29" s="37" t="s">
        <v>1877</v>
      </c>
      <c r="F29" s="37"/>
      <c r="G29" s="37" t="s">
        <v>244</v>
      </c>
      <c r="H29" s="37" t="s">
        <v>708</v>
      </c>
      <c r="I29" s="42">
        <f t="shared" si="0"/>
        <v>86</v>
      </c>
      <c r="J29" s="38">
        <f t="shared" si="1"/>
        <v>5.9914645471079817</v>
      </c>
      <c r="K29" s="38">
        <f t="shared" si="2"/>
        <v>4.4543472962535073</v>
      </c>
      <c r="L29" s="40" t="b">
        <f>IF(B29=B28,C29&gt;C28,COUNTIF(B$1:B28,B29)=0)</f>
        <v>1</v>
      </c>
      <c r="M29" s="1"/>
    </row>
    <row r="30" spans="1:13" x14ac:dyDescent="0.25">
      <c r="A30" s="37" t="s">
        <v>1908</v>
      </c>
      <c r="B30" s="37" t="s">
        <v>235</v>
      </c>
      <c r="C30" s="37">
        <v>1000</v>
      </c>
      <c r="D30" s="37">
        <v>50</v>
      </c>
      <c r="E30" s="37" t="s">
        <v>1877</v>
      </c>
      <c r="F30" s="37"/>
      <c r="G30" s="37" t="s">
        <v>244</v>
      </c>
      <c r="H30" s="37" t="s">
        <v>708</v>
      </c>
      <c r="I30" s="42">
        <f t="shared" si="0"/>
        <v>50</v>
      </c>
      <c r="J30" s="38">
        <f t="shared" si="1"/>
        <v>6.9077552789821368</v>
      </c>
      <c r="K30" s="38">
        <f t="shared" si="2"/>
        <v>3.912023005428146</v>
      </c>
      <c r="L30" s="40" t="b">
        <f>IF(B30=B29,C30&gt;C29,COUNTIF(B$1:B29,B30)=0)</f>
        <v>1</v>
      </c>
      <c r="M30" s="1"/>
    </row>
    <row r="31" spans="1:13" x14ac:dyDescent="0.25">
      <c r="A31" s="37" t="s">
        <v>1909</v>
      </c>
      <c r="B31" s="37" t="s">
        <v>257</v>
      </c>
      <c r="C31" s="37">
        <v>30</v>
      </c>
      <c r="D31" s="37">
        <v>0.89</v>
      </c>
      <c r="E31" s="37" t="s">
        <v>1895</v>
      </c>
      <c r="F31" s="37">
        <v>40</v>
      </c>
      <c r="G31" s="37" t="s">
        <v>207</v>
      </c>
      <c r="H31" s="37" t="s">
        <v>1896</v>
      </c>
      <c r="I31" s="42">
        <f t="shared" si="0"/>
        <v>890</v>
      </c>
      <c r="J31" s="38">
        <f t="shared" si="1"/>
        <v>3.4011973816621555</v>
      </c>
      <c r="K31" s="38">
        <f t="shared" si="2"/>
        <v>6.7912214627261855</v>
      </c>
      <c r="L31" s="40" t="b">
        <f>IF(B31=B30,C31&gt;C30,COUNTIF(B$1:B30,B31)=0)</f>
        <v>1</v>
      </c>
      <c r="M31" s="1"/>
    </row>
    <row r="32" spans="1:13" x14ac:dyDescent="0.25">
      <c r="A32" s="37" t="s">
        <v>1910</v>
      </c>
      <c r="B32" s="37" t="s">
        <v>257</v>
      </c>
      <c r="C32" s="37">
        <v>50</v>
      </c>
      <c r="D32" s="37">
        <v>0.68</v>
      </c>
      <c r="E32" s="37" t="s">
        <v>1895</v>
      </c>
      <c r="F32" s="37">
        <v>40</v>
      </c>
      <c r="G32" s="37" t="s">
        <v>207</v>
      </c>
      <c r="H32" s="37" t="s">
        <v>1896</v>
      </c>
      <c r="I32" s="42">
        <f t="shared" si="0"/>
        <v>680</v>
      </c>
      <c r="J32" s="38">
        <f t="shared" si="1"/>
        <v>3.912023005428146</v>
      </c>
      <c r="K32" s="38">
        <f t="shared" si="2"/>
        <v>6.522092798170152</v>
      </c>
      <c r="L32" s="40" t="b">
        <f>IF(B32=B31,C32&gt;C31,COUNTIF(B$1:B31,B32)=0)</f>
        <v>1</v>
      </c>
      <c r="M32" s="1"/>
    </row>
    <row r="33" spans="1:13" x14ac:dyDescent="0.25">
      <c r="A33" s="37" t="s">
        <v>1911</v>
      </c>
      <c r="B33" s="37" t="s">
        <v>257</v>
      </c>
      <c r="C33" s="37">
        <v>150</v>
      </c>
      <c r="D33" s="37">
        <v>0.39</v>
      </c>
      <c r="E33" s="37" t="s">
        <v>1895</v>
      </c>
      <c r="F33" s="37">
        <v>40</v>
      </c>
      <c r="G33" s="37" t="s">
        <v>207</v>
      </c>
      <c r="H33" s="37" t="s">
        <v>1896</v>
      </c>
      <c r="I33" s="42">
        <f t="shared" si="0"/>
        <v>390</v>
      </c>
      <c r="J33" s="38">
        <f t="shared" si="1"/>
        <v>5.0106352940962555</v>
      </c>
      <c r="K33" s="38">
        <f t="shared" si="2"/>
        <v>5.9661467391236922</v>
      </c>
      <c r="L33" s="40" t="b">
        <f>IF(B33=B32,C33&gt;C32,COUNTIF(B$1:B32,B33)=0)</f>
        <v>1</v>
      </c>
      <c r="M33" s="1"/>
    </row>
    <row r="34" spans="1:13" x14ac:dyDescent="0.25">
      <c r="A34" s="37" t="s">
        <v>1912</v>
      </c>
      <c r="B34" s="37" t="s">
        <v>257</v>
      </c>
      <c r="C34" s="37">
        <v>220</v>
      </c>
      <c r="D34" s="37">
        <v>0.32</v>
      </c>
      <c r="E34" s="37" t="s">
        <v>1895</v>
      </c>
      <c r="F34" s="37">
        <v>40</v>
      </c>
      <c r="G34" s="37" t="s">
        <v>207</v>
      </c>
      <c r="H34" s="37" t="s">
        <v>1896</v>
      </c>
      <c r="I34" s="42">
        <f t="shared" si="0"/>
        <v>320</v>
      </c>
      <c r="J34" s="38">
        <f t="shared" si="1"/>
        <v>5.393627546352362</v>
      </c>
      <c r="K34" s="38">
        <f t="shared" si="2"/>
        <v>5.768320995793772</v>
      </c>
      <c r="L34" s="40" t="b">
        <f>IF(B34=B33,C34&gt;C33,COUNTIF(B$1:B33,B34)=0)</f>
        <v>1</v>
      </c>
      <c r="M34" s="1"/>
    </row>
    <row r="35" spans="1:13" x14ac:dyDescent="0.25">
      <c r="A35" s="37" t="s">
        <v>1913</v>
      </c>
      <c r="B35" s="37" t="s">
        <v>257</v>
      </c>
      <c r="C35" s="37">
        <v>450</v>
      </c>
      <c r="D35" s="37">
        <v>0.22</v>
      </c>
      <c r="E35" s="37" t="s">
        <v>1895</v>
      </c>
      <c r="F35" s="37">
        <v>40</v>
      </c>
      <c r="G35" s="37" t="s">
        <v>207</v>
      </c>
      <c r="H35" s="37" t="s">
        <v>1896</v>
      </c>
      <c r="I35" s="42">
        <f t="shared" si="0"/>
        <v>220</v>
      </c>
      <c r="J35" s="38">
        <f t="shared" si="1"/>
        <v>6.1092475827643655</v>
      </c>
      <c r="K35" s="38">
        <f t="shared" si="2"/>
        <v>5.393627546352362</v>
      </c>
      <c r="L35" s="40" t="b">
        <f>IF(B35=B34,C35&gt;C34,COUNTIF(B$1:B34,B35)=0)</f>
        <v>1</v>
      </c>
      <c r="M35" s="1"/>
    </row>
    <row r="36" spans="1:13" x14ac:dyDescent="0.25">
      <c r="A36" s="37" t="s">
        <v>1914</v>
      </c>
      <c r="B36" s="37" t="s">
        <v>257</v>
      </c>
      <c r="C36" s="37">
        <v>700</v>
      </c>
      <c r="D36" s="37">
        <v>0.18</v>
      </c>
      <c r="E36" s="37" t="s">
        <v>1895</v>
      </c>
      <c r="F36" s="37">
        <v>40</v>
      </c>
      <c r="G36" s="37" t="s">
        <v>207</v>
      </c>
      <c r="H36" s="37" t="s">
        <v>1896</v>
      </c>
      <c r="I36" s="42">
        <f t="shared" si="0"/>
        <v>180</v>
      </c>
      <c r="J36" s="38">
        <f t="shared" si="1"/>
        <v>6.5510803350434044</v>
      </c>
      <c r="K36" s="38">
        <f t="shared" si="2"/>
        <v>5.1929568508902104</v>
      </c>
      <c r="L36" s="40" t="b">
        <f>IF(B36=B35,C36&gt;C35,COUNTIF(B$1:B35,B36)=0)</f>
        <v>1</v>
      </c>
      <c r="M36" s="1"/>
    </row>
    <row r="37" spans="1:13" x14ac:dyDescent="0.25">
      <c r="A37" s="37" t="s">
        <v>1915</v>
      </c>
      <c r="B37" s="37" t="s">
        <v>257</v>
      </c>
      <c r="C37" s="37">
        <v>900</v>
      </c>
      <c r="D37" s="37">
        <v>0.15</v>
      </c>
      <c r="E37" s="37" t="s">
        <v>1895</v>
      </c>
      <c r="F37" s="37">
        <v>40</v>
      </c>
      <c r="G37" s="37" t="s">
        <v>207</v>
      </c>
      <c r="H37" s="37" t="s">
        <v>1896</v>
      </c>
      <c r="I37" s="42">
        <f t="shared" si="0"/>
        <v>150</v>
      </c>
      <c r="J37" s="38">
        <f t="shared" si="1"/>
        <v>6.8023947633243109</v>
      </c>
      <c r="K37" s="38">
        <f t="shared" si="2"/>
        <v>5.0106352940962555</v>
      </c>
      <c r="L37" s="40" t="b">
        <f>IF(B37=B36,C37&gt;C36,COUNTIF(B$1:B36,B37)=0)</f>
        <v>1</v>
      </c>
      <c r="M37" s="1"/>
    </row>
    <row r="38" spans="1:13" x14ac:dyDescent="0.25">
      <c r="A38" s="37" t="s">
        <v>1916</v>
      </c>
      <c r="B38" s="37" t="s">
        <v>257</v>
      </c>
      <c r="C38" s="37">
        <v>1500</v>
      </c>
      <c r="D38" s="37">
        <v>0.12</v>
      </c>
      <c r="E38" s="37" t="s">
        <v>1895</v>
      </c>
      <c r="F38" s="37">
        <v>40</v>
      </c>
      <c r="G38" s="37" t="s">
        <v>207</v>
      </c>
      <c r="H38" s="37" t="s">
        <v>1896</v>
      </c>
      <c r="I38" s="42">
        <f t="shared" si="0"/>
        <v>120</v>
      </c>
      <c r="J38" s="38">
        <f t="shared" si="1"/>
        <v>7.3132203870903014</v>
      </c>
      <c r="K38" s="38">
        <f t="shared" si="2"/>
        <v>4.7874917427820458</v>
      </c>
      <c r="L38" s="40" t="b">
        <f>IF(B38=B37,C38&gt;C37,COUNTIF(B$1:B37,B38)=0)</f>
        <v>1</v>
      </c>
      <c r="M38" s="1"/>
    </row>
    <row r="39" spans="1:13" x14ac:dyDescent="0.25">
      <c r="A39" s="37" t="s">
        <v>1917</v>
      </c>
      <c r="B39" s="37" t="s">
        <v>257</v>
      </c>
      <c r="C39" s="37">
        <v>2000</v>
      </c>
      <c r="D39" s="37">
        <v>0.1</v>
      </c>
      <c r="E39" s="37" t="s">
        <v>1895</v>
      </c>
      <c r="F39" s="37">
        <v>40</v>
      </c>
      <c r="G39" s="37" t="s">
        <v>207</v>
      </c>
      <c r="H39" s="37" t="s">
        <v>1896</v>
      </c>
      <c r="I39" s="42">
        <f t="shared" si="0"/>
        <v>100</v>
      </c>
      <c r="J39" s="38">
        <f t="shared" si="1"/>
        <v>7.6009024595420822</v>
      </c>
      <c r="K39" s="38">
        <f t="shared" si="2"/>
        <v>4.6051701859880918</v>
      </c>
      <c r="L39" s="40" t="b">
        <f>IF(B39=B38,C39&gt;C38,COUNTIF(B$1:B38,B39)=0)</f>
        <v>1</v>
      </c>
      <c r="M39" s="1"/>
    </row>
    <row r="40" spans="1:13" x14ac:dyDescent="0.25">
      <c r="A40" s="37" t="s">
        <v>1918</v>
      </c>
      <c r="B40" s="37" t="s">
        <v>257</v>
      </c>
      <c r="C40" s="37">
        <v>2500</v>
      </c>
      <c r="D40" s="37">
        <v>0.09</v>
      </c>
      <c r="E40" s="37" t="s">
        <v>1895</v>
      </c>
      <c r="F40" s="37">
        <v>40</v>
      </c>
      <c r="G40" s="37" t="s">
        <v>207</v>
      </c>
      <c r="H40" s="37" t="s">
        <v>1896</v>
      </c>
      <c r="I40" s="42">
        <f t="shared" si="0"/>
        <v>90</v>
      </c>
      <c r="J40" s="38">
        <f t="shared" si="1"/>
        <v>7.8240460108562919</v>
      </c>
      <c r="K40" s="38">
        <f t="shared" si="2"/>
        <v>4.499809670330265</v>
      </c>
      <c r="L40" s="40" t="b">
        <f>IF(B40=B39,C40&gt;C39,COUNTIF(B$1:B39,B40)=0)</f>
        <v>1</v>
      </c>
      <c r="M40" s="1"/>
    </row>
    <row r="41" spans="1:13" x14ac:dyDescent="0.25">
      <c r="A41" s="37" t="s">
        <v>1919</v>
      </c>
      <c r="B41" s="37" t="s">
        <v>274</v>
      </c>
      <c r="C41" s="37">
        <v>10</v>
      </c>
      <c r="D41" s="37">
        <v>1000</v>
      </c>
      <c r="E41" s="37" t="s">
        <v>1877</v>
      </c>
      <c r="F41" s="37"/>
      <c r="G41" s="37" t="s">
        <v>281</v>
      </c>
      <c r="H41" s="37" t="s">
        <v>1885</v>
      </c>
      <c r="I41" s="42">
        <f t="shared" si="0"/>
        <v>1000</v>
      </c>
      <c r="J41" s="38">
        <f t="shared" si="1"/>
        <v>2.3025850929940459</v>
      </c>
      <c r="K41" s="38">
        <f t="shared" si="2"/>
        <v>6.9077552789821368</v>
      </c>
      <c r="L41" s="40" t="b">
        <f>IF(B41=B40,C41&gt;C40,COUNTIF(B$1:B40,B41)=0)</f>
        <v>1</v>
      </c>
      <c r="M41" s="1"/>
    </row>
    <row r="42" spans="1:13" x14ac:dyDescent="0.25">
      <c r="A42" s="37" t="s">
        <v>1920</v>
      </c>
      <c r="B42" s="37" t="s">
        <v>274</v>
      </c>
      <c r="C42" s="37">
        <v>50</v>
      </c>
      <c r="D42" s="37">
        <v>370</v>
      </c>
      <c r="E42" s="37" t="s">
        <v>1877</v>
      </c>
      <c r="F42" s="37"/>
      <c r="G42" s="37" t="s">
        <v>281</v>
      </c>
      <c r="H42" s="37" t="s">
        <v>1885</v>
      </c>
      <c r="I42" s="42">
        <f t="shared" si="0"/>
        <v>370</v>
      </c>
      <c r="J42" s="38">
        <f t="shared" si="1"/>
        <v>3.912023005428146</v>
      </c>
      <c r="K42" s="38">
        <f t="shared" si="2"/>
        <v>5.9135030056382698</v>
      </c>
      <c r="L42" s="40" t="b">
        <f>IF(B42=B41,C42&gt;C41,COUNTIF(B$1:B41,B42)=0)</f>
        <v>1</v>
      </c>
      <c r="M42" s="1"/>
    </row>
    <row r="43" spans="1:13" x14ac:dyDescent="0.25">
      <c r="A43" s="37" t="s">
        <v>1921</v>
      </c>
      <c r="B43" s="37" t="s">
        <v>274</v>
      </c>
      <c r="C43" s="37">
        <v>100</v>
      </c>
      <c r="D43" s="37">
        <v>250</v>
      </c>
      <c r="E43" s="37" t="s">
        <v>1877</v>
      </c>
      <c r="F43" s="37"/>
      <c r="G43" s="37" t="s">
        <v>281</v>
      </c>
      <c r="H43" s="37" t="s">
        <v>1885</v>
      </c>
      <c r="I43" s="42">
        <f t="shared" si="0"/>
        <v>250</v>
      </c>
      <c r="J43" s="38">
        <f t="shared" si="1"/>
        <v>4.6051701859880918</v>
      </c>
      <c r="K43" s="38">
        <f t="shared" si="2"/>
        <v>5.521460917862246</v>
      </c>
      <c r="L43" s="40" t="b">
        <f>IF(B43=B42,C43&gt;C42,COUNTIF(B$1:B42,B43)=0)</f>
        <v>1</v>
      </c>
      <c r="M43" s="1"/>
    </row>
    <row r="44" spans="1:13" x14ac:dyDescent="0.25">
      <c r="A44" s="37" t="s">
        <v>1922</v>
      </c>
      <c r="B44" s="37" t="s">
        <v>274</v>
      </c>
      <c r="C44" s="37">
        <v>200</v>
      </c>
      <c r="D44" s="37">
        <v>190</v>
      </c>
      <c r="E44" s="37" t="s">
        <v>1877</v>
      </c>
      <c r="F44" s="37"/>
      <c r="G44" s="37" t="s">
        <v>281</v>
      </c>
      <c r="H44" s="37" t="s">
        <v>1885</v>
      </c>
      <c r="I44" s="42">
        <f t="shared" si="0"/>
        <v>190</v>
      </c>
      <c r="J44" s="38">
        <f t="shared" si="1"/>
        <v>5.2983173665480363</v>
      </c>
      <c r="K44" s="38">
        <f t="shared" si="2"/>
        <v>5.2470240721604862</v>
      </c>
      <c r="L44" s="40" t="b">
        <f>IF(B44=B43,C44&gt;C43,COUNTIF(B$1:B43,B44)=0)</f>
        <v>1</v>
      </c>
      <c r="M44" s="1"/>
    </row>
    <row r="45" spans="1:13" x14ac:dyDescent="0.25">
      <c r="A45" s="37" t="s">
        <v>1923</v>
      </c>
      <c r="B45" s="37" t="s">
        <v>274</v>
      </c>
      <c r="C45" s="37">
        <v>400</v>
      </c>
      <c r="D45" s="37">
        <v>110</v>
      </c>
      <c r="E45" s="37" t="s">
        <v>1877</v>
      </c>
      <c r="F45" s="37"/>
      <c r="G45" s="37" t="s">
        <v>281</v>
      </c>
      <c r="H45" s="37" t="s">
        <v>1885</v>
      </c>
      <c r="I45" s="42">
        <f t="shared" si="0"/>
        <v>110</v>
      </c>
      <c r="J45" s="38">
        <f t="shared" si="1"/>
        <v>5.9914645471079817</v>
      </c>
      <c r="K45" s="38">
        <f t="shared" si="2"/>
        <v>4.7004803657924166</v>
      </c>
      <c r="L45" s="40" t="b">
        <f>IF(B45=B44,C45&gt;C44,COUNTIF(B$1:B44,B45)=0)</f>
        <v>1</v>
      </c>
      <c r="M45" s="1"/>
    </row>
    <row r="46" spans="1:13" x14ac:dyDescent="0.25">
      <c r="A46" s="37" t="s">
        <v>1924</v>
      </c>
      <c r="B46" s="37" t="s">
        <v>274</v>
      </c>
      <c r="C46" s="37">
        <v>700</v>
      </c>
      <c r="D46" s="37">
        <v>75</v>
      </c>
      <c r="E46" s="37" t="s">
        <v>1877</v>
      </c>
      <c r="F46" s="37"/>
      <c r="G46" s="37" t="s">
        <v>281</v>
      </c>
      <c r="H46" s="37" t="s">
        <v>1885</v>
      </c>
      <c r="I46" s="42">
        <f t="shared" si="0"/>
        <v>75</v>
      </c>
      <c r="J46" s="38">
        <f t="shared" si="1"/>
        <v>6.5510803350434044</v>
      </c>
      <c r="K46" s="38">
        <f t="shared" si="2"/>
        <v>4.3174881135363101</v>
      </c>
      <c r="L46" s="40" t="b">
        <f>IF(B46=B45,C46&gt;C45,COUNTIF(B$1:B45,B46)=0)</f>
        <v>1</v>
      </c>
      <c r="M46" s="1"/>
    </row>
    <row r="47" spans="1:13" x14ac:dyDescent="0.25">
      <c r="A47" s="37" t="s">
        <v>1925</v>
      </c>
      <c r="B47" s="37" t="s">
        <v>274</v>
      </c>
      <c r="C47" s="37">
        <v>1000</v>
      </c>
      <c r="D47" s="37">
        <v>60</v>
      </c>
      <c r="E47" s="37" t="s">
        <v>1877</v>
      </c>
      <c r="F47" s="37"/>
      <c r="G47" s="37" t="s">
        <v>281</v>
      </c>
      <c r="H47" s="37" t="s">
        <v>1885</v>
      </c>
      <c r="I47" s="42">
        <f t="shared" si="0"/>
        <v>60</v>
      </c>
      <c r="J47" s="38">
        <f t="shared" si="1"/>
        <v>6.9077552789821368</v>
      </c>
      <c r="K47" s="38">
        <f t="shared" si="2"/>
        <v>4.0943445622221004</v>
      </c>
      <c r="L47" s="40" t="b">
        <f>IF(B47=B46,C47&gt;C46,COUNTIF(B$1:B46,B47)=0)</f>
        <v>1</v>
      </c>
      <c r="M47" s="1"/>
    </row>
    <row r="48" spans="1:13" x14ac:dyDescent="0.25">
      <c r="A48" s="37" t="s">
        <v>1926</v>
      </c>
      <c r="B48" s="37" t="s">
        <v>282</v>
      </c>
      <c r="C48" s="37">
        <v>30</v>
      </c>
      <c r="D48" s="37">
        <v>1.02</v>
      </c>
      <c r="E48" s="37" t="s">
        <v>1895</v>
      </c>
      <c r="F48" s="37">
        <v>40</v>
      </c>
      <c r="G48" s="37" t="s">
        <v>207</v>
      </c>
      <c r="H48" s="37" t="s">
        <v>1896</v>
      </c>
      <c r="I48" s="42">
        <f t="shared" si="0"/>
        <v>1020</v>
      </c>
      <c r="J48" s="38">
        <f t="shared" si="1"/>
        <v>3.4011973816621555</v>
      </c>
      <c r="K48" s="38">
        <f t="shared" si="2"/>
        <v>6.9275579062783166</v>
      </c>
      <c r="L48" s="40" t="b">
        <f>IF(B48=B47,C48&gt;C47,COUNTIF(B$1:B47,B48)=0)</f>
        <v>1</v>
      </c>
      <c r="M48" s="1"/>
    </row>
    <row r="49" spans="1:13" x14ac:dyDescent="0.25">
      <c r="A49" s="37" t="s">
        <v>1927</v>
      </c>
      <c r="B49" s="37" t="s">
        <v>282</v>
      </c>
      <c r="C49" s="37">
        <v>50</v>
      </c>
      <c r="D49" s="37">
        <v>0.79</v>
      </c>
      <c r="E49" s="37" t="s">
        <v>1895</v>
      </c>
      <c r="F49" s="37">
        <v>40</v>
      </c>
      <c r="G49" s="37" t="s">
        <v>207</v>
      </c>
      <c r="H49" s="37" t="s">
        <v>1896</v>
      </c>
      <c r="I49" s="42">
        <f t="shared" si="0"/>
        <v>790</v>
      </c>
      <c r="J49" s="38">
        <f t="shared" si="1"/>
        <v>3.912023005428146</v>
      </c>
      <c r="K49" s="38">
        <f t="shared" si="2"/>
        <v>6.6720329454610674</v>
      </c>
      <c r="L49" s="40" t="b">
        <f>IF(B49=B48,C49&gt;C48,COUNTIF(B$1:B48,B49)=0)</f>
        <v>1</v>
      </c>
      <c r="M49" s="1"/>
    </row>
    <row r="50" spans="1:13" x14ac:dyDescent="0.25">
      <c r="A50" s="37" t="s">
        <v>1928</v>
      </c>
      <c r="B50" s="37" t="s">
        <v>282</v>
      </c>
      <c r="C50" s="37">
        <v>150</v>
      </c>
      <c r="D50" s="37">
        <v>0.45</v>
      </c>
      <c r="E50" s="37" t="s">
        <v>1895</v>
      </c>
      <c r="F50" s="37">
        <v>40</v>
      </c>
      <c r="G50" s="37" t="s">
        <v>207</v>
      </c>
      <c r="H50" s="37" t="s">
        <v>1896</v>
      </c>
      <c r="I50" s="42">
        <f t="shared" si="0"/>
        <v>450</v>
      </c>
      <c r="J50" s="38">
        <f t="shared" si="1"/>
        <v>5.0106352940962555</v>
      </c>
      <c r="K50" s="38">
        <f t="shared" si="2"/>
        <v>6.1092475827643655</v>
      </c>
      <c r="L50" s="40" t="b">
        <f>IF(B50=B49,C50&gt;C49,COUNTIF(B$1:B49,B50)=0)</f>
        <v>1</v>
      </c>
      <c r="M50" s="1"/>
    </row>
    <row r="51" spans="1:13" x14ac:dyDescent="0.25">
      <c r="A51" s="37" t="s">
        <v>1929</v>
      </c>
      <c r="B51" s="37" t="s">
        <v>282</v>
      </c>
      <c r="C51" s="37">
        <v>220</v>
      </c>
      <c r="D51" s="37">
        <v>0.37</v>
      </c>
      <c r="E51" s="37" t="s">
        <v>1895</v>
      </c>
      <c r="F51" s="37">
        <v>40</v>
      </c>
      <c r="G51" s="37" t="s">
        <v>207</v>
      </c>
      <c r="H51" s="37" t="s">
        <v>1896</v>
      </c>
      <c r="I51" s="42">
        <f t="shared" si="0"/>
        <v>370</v>
      </c>
      <c r="J51" s="38">
        <f t="shared" si="1"/>
        <v>5.393627546352362</v>
      </c>
      <c r="K51" s="38">
        <f t="shared" si="2"/>
        <v>5.9135030056382698</v>
      </c>
      <c r="L51" s="40" t="b">
        <f>IF(B51=B50,C51&gt;C50,COUNTIF(B$1:B50,B51)=0)</f>
        <v>1</v>
      </c>
      <c r="M51" s="1"/>
    </row>
    <row r="52" spans="1:13" x14ac:dyDescent="0.25">
      <c r="A52" s="37" t="s">
        <v>1930</v>
      </c>
      <c r="B52" s="37" t="s">
        <v>282</v>
      </c>
      <c r="C52" s="37">
        <v>450</v>
      </c>
      <c r="D52" s="37">
        <v>0.26</v>
      </c>
      <c r="E52" s="37" t="s">
        <v>1895</v>
      </c>
      <c r="F52" s="37">
        <v>40</v>
      </c>
      <c r="G52" s="37" t="s">
        <v>207</v>
      </c>
      <c r="H52" s="37" t="s">
        <v>1896</v>
      </c>
      <c r="I52" s="42">
        <f t="shared" si="0"/>
        <v>260</v>
      </c>
      <c r="J52" s="38">
        <f t="shared" si="1"/>
        <v>6.1092475827643655</v>
      </c>
      <c r="K52" s="38">
        <f t="shared" si="2"/>
        <v>5.5606816310155276</v>
      </c>
      <c r="L52" s="40" t="b">
        <f>IF(B52=B51,C52&gt;C51,COUNTIF(B$1:B51,B52)=0)</f>
        <v>1</v>
      </c>
      <c r="M52" s="1"/>
    </row>
    <row r="53" spans="1:13" x14ac:dyDescent="0.25">
      <c r="A53" s="37" t="s">
        <v>1931</v>
      </c>
      <c r="B53" s="37" t="s">
        <v>282</v>
      </c>
      <c r="C53" s="37">
        <v>700</v>
      </c>
      <c r="D53" s="37">
        <v>0.21</v>
      </c>
      <c r="E53" s="37" t="s">
        <v>1895</v>
      </c>
      <c r="F53" s="37">
        <v>40</v>
      </c>
      <c r="G53" s="37" t="s">
        <v>207</v>
      </c>
      <c r="H53" s="37" t="s">
        <v>1896</v>
      </c>
      <c r="I53" s="42">
        <f t="shared" si="0"/>
        <v>210</v>
      </c>
      <c r="J53" s="38">
        <f t="shared" si="1"/>
        <v>6.5510803350434044</v>
      </c>
      <c r="K53" s="38">
        <f t="shared" si="2"/>
        <v>5.3471075307174685</v>
      </c>
      <c r="L53" s="40" t="b">
        <f>IF(B53=B52,C53&gt;C52,COUNTIF(B$1:B52,B53)=0)</f>
        <v>1</v>
      </c>
      <c r="M53" s="1"/>
    </row>
    <row r="54" spans="1:13" x14ac:dyDescent="0.25">
      <c r="A54" s="37" t="s">
        <v>1932</v>
      </c>
      <c r="B54" s="37" t="s">
        <v>282</v>
      </c>
      <c r="C54" s="37">
        <v>900</v>
      </c>
      <c r="D54" s="37">
        <v>0.18</v>
      </c>
      <c r="E54" s="37" t="s">
        <v>1895</v>
      </c>
      <c r="F54" s="37">
        <v>40</v>
      </c>
      <c r="G54" s="37" t="s">
        <v>207</v>
      </c>
      <c r="H54" s="37" t="s">
        <v>1896</v>
      </c>
      <c r="I54" s="42">
        <f t="shared" si="0"/>
        <v>180</v>
      </c>
      <c r="J54" s="38">
        <f t="shared" si="1"/>
        <v>6.8023947633243109</v>
      </c>
      <c r="K54" s="38">
        <f t="shared" si="2"/>
        <v>5.1929568508902104</v>
      </c>
      <c r="L54" s="40" t="b">
        <f>IF(B54=B53,C54&gt;C53,COUNTIF(B$1:B53,B54)=0)</f>
        <v>1</v>
      </c>
      <c r="M54" s="1"/>
    </row>
    <row r="55" spans="1:13" x14ac:dyDescent="0.25">
      <c r="A55" s="37" t="s">
        <v>1933</v>
      </c>
      <c r="B55" s="37" t="s">
        <v>282</v>
      </c>
      <c r="C55" s="37">
        <v>1500</v>
      </c>
      <c r="D55" s="37">
        <v>0.14000000000000001</v>
      </c>
      <c r="E55" s="37" t="s">
        <v>1895</v>
      </c>
      <c r="F55" s="37">
        <v>40</v>
      </c>
      <c r="G55" s="37" t="s">
        <v>207</v>
      </c>
      <c r="H55" s="37" t="s">
        <v>1896</v>
      </c>
      <c r="I55" s="42">
        <f t="shared" si="0"/>
        <v>140</v>
      </c>
      <c r="J55" s="38">
        <f t="shared" si="1"/>
        <v>7.3132203870903014</v>
      </c>
      <c r="K55" s="38">
        <f t="shared" si="2"/>
        <v>4.9416424226093039</v>
      </c>
      <c r="L55" s="40" t="b">
        <f>IF(B55=B54,C55&gt;C54,COUNTIF(B$1:B54,B55)=0)</f>
        <v>1</v>
      </c>
      <c r="M55" s="1"/>
    </row>
    <row r="56" spans="1:13" x14ac:dyDescent="0.25">
      <c r="A56" s="37" t="s">
        <v>1934</v>
      </c>
      <c r="B56" s="37" t="s">
        <v>282</v>
      </c>
      <c r="C56" s="37">
        <v>2000</v>
      </c>
      <c r="D56" s="37">
        <v>0.12</v>
      </c>
      <c r="E56" s="37" t="s">
        <v>1895</v>
      </c>
      <c r="F56" s="37">
        <v>40</v>
      </c>
      <c r="G56" s="37" t="s">
        <v>207</v>
      </c>
      <c r="H56" s="37" t="s">
        <v>1896</v>
      </c>
      <c r="I56" s="42">
        <f t="shared" si="0"/>
        <v>120</v>
      </c>
      <c r="J56" s="38">
        <f t="shared" si="1"/>
        <v>7.6009024595420822</v>
      </c>
      <c r="K56" s="38">
        <f t="shared" si="2"/>
        <v>4.7874917427820458</v>
      </c>
      <c r="L56" s="40" t="b">
        <f>IF(B56=B55,C56&gt;C55,COUNTIF(B$1:B55,B56)=0)</f>
        <v>1</v>
      </c>
      <c r="M56" s="1"/>
    </row>
    <row r="57" spans="1:13" x14ac:dyDescent="0.25">
      <c r="A57" s="37" t="s">
        <v>1935</v>
      </c>
      <c r="B57" s="37" t="s">
        <v>282</v>
      </c>
      <c r="C57" s="37">
        <v>2500</v>
      </c>
      <c r="D57" s="37">
        <v>0.1</v>
      </c>
      <c r="E57" s="37" t="s">
        <v>1895</v>
      </c>
      <c r="F57" s="37">
        <v>40</v>
      </c>
      <c r="G57" s="37" t="s">
        <v>207</v>
      </c>
      <c r="H57" s="37" t="s">
        <v>1896</v>
      </c>
      <c r="I57" s="42">
        <f t="shared" si="0"/>
        <v>100</v>
      </c>
      <c r="J57" s="38">
        <f t="shared" si="1"/>
        <v>7.8240460108562919</v>
      </c>
      <c r="K57" s="38">
        <f t="shared" si="2"/>
        <v>4.6051701859880918</v>
      </c>
      <c r="L57" s="40" t="b">
        <f>IF(B57=B56,C57&gt;C56,COUNTIF(B$1:B56,B57)=0)</f>
        <v>1</v>
      </c>
      <c r="M57" s="1"/>
    </row>
    <row r="58" spans="1:13" x14ac:dyDescent="0.25">
      <c r="A58" s="37" t="s">
        <v>1936</v>
      </c>
      <c r="B58" s="37" t="s">
        <v>300</v>
      </c>
      <c r="C58" s="37">
        <v>10</v>
      </c>
      <c r="D58" s="37">
        <v>1730</v>
      </c>
      <c r="E58" s="37" t="s">
        <v>1877</v>
      </c>
      <c r="F58" s="37">
        <v>40</v>
      </c>
      <c r="G58" s="37" t="s">
        <v>311</v>
      </c>
      <c r="H58" s="37" t="s">
        <v>1937</v>
      </c>
      <c r="I58" s="42">
        <f t="shared" si="0"/>
        <v>1730</v>
      </c>
      <c r="J58" s="38">
        <f t="shared" si="1"/>
        <v>2.3025850929940459</v>
      </c>
      <c r="K58" s="38">
        <f t="shared" si="2"/>
        <v>7.4558766874918243</v>
      </c>
      <c r="L58" s="40" t="b">
        <f>IF(B58=B57,C58&gt;C57,COUNTIF(B$1:B57,B58)=0)</f>
        <v>1</v>
      </c>
      <c r="M58" s="1"/>
    </row>
    <row r="59" spans="1:13" x14ac:dyDescent="0.25">
      <c r="A59" s="37" t="s">
        <v>1938</v>
      </c>
      <c r="B59" s="37" t="s">
        <v>300</v>
      </c>
      <c r="C59" s="37">
        <v>100</v>
      </c>
      <c r="D59" s="37">
        <v>540</v>
      </c>
      <c r="E59" s="37" t="s">
        <v>1877</v>
      </c>
      <c r="F59" s="37">
        <v>40</v>
      </c>
      <c r="G59" s="37" t="s">
        <v>311</v>
      </c>
      <c r="H59" s="37" t="s">
        <v>1937</v>
      </c>
      <c r="I59" s="42">
        <f t="shared" si="0"/>
        <v>540</v>
      </c>
      <c r="J59" s="38">
        <f t="shared" si="1"/>
        <v>4.6051701859880918</v>
      </c>
      <c r="K59" s="38">
        <f t="shared" si="2"/>
        <v>6.2915691395583204</v>
      </c>
      <c r="L59" s="40" t="b">
        <f>IF(B59=B58,C59&gt;C58,COUNTIF(B$1:B58,B59)=0)</f>
        <v>1</v>
      </c>
      <c r="M59" s="1"/>
    </row>
    <row r="60" spans="1:13" x14ac:dyDescent="0.25">
      <c r="A60" s="37" t="s">
        <v>1939</v>
      </c>
      <c r="B60" s="37" t="s">
        <v>300</v>
      </c>
      <c r="C60" s="37">
        <v>500</v>
      </c>
      <c r="D60" s="37">
        <v>230</v>
      </c>
      <c r="E60" s="37" t="s">
        <v>1877</v>
      </c>
      <c r="F60" s="37">
        <v>40</v>
      </c>
      <c r="G60" s="37" t="s">
        <v>311</v>
      </c>
      <c r="H60" s="37" t="s">
        <v>1937</v>
      </c>
      <c r="I60" s="42">
        <f t="shared" si="0"/>
        <v>230</v>
      </c>
      <c r="J60" s="38">
        <f t="shared" si="1"/>
        <v>6.2146080984221914</v>
      </c>
      <c r="K60" s="38">
        <f t="shared" si="2"/>
        <v>5.4380793089231956</v>
      </c>
      <c r="L60" s="40" t="b">
        <f>IF(B60=B59,C60&gt;C59,COUNTIF(B$1:B59,B60)=0)</f>
        <v>1</v>
      </c>
      <c r="M60" s="1"/>
    </row>
    <row r="61" spans="1:13" x14ac:dyDescent="0.25">
      <c r="A61" s="37" t="s">
        <v>1940</v>
      </c>
      <c r="B61" s="37" t="s">
        <v>300</v>
      </c>
      <c r="C61" s="37">
        <v>1000</v>
      </c>
      <c r="D61" s="37">
        <v>160</v>
      </c>
      <c r="E61" s="37" t="s">
        <v>1877</v>
      </c>
      <c r="F61" s="37">
        <v>40</v>
      </c>
      <c r="G61" s="37" t="s">
        <v>311</v>
      </c>
      <c r="H61" s="37" t="s">
        <v>1937</v>
      </c>
      <c r="I61" s="42">
        <f t="shared" si="0"/>
        <v>160</v>
      </c>
      <c r="J61" s="38">
        <f t="shared" si="1"/>
        <v>6.9077552789821368</v>
      </c>
      <c r="K61" s="38">
        <f t="shared" si="2"/>
        <v>5.0751738152338266</v>
      </c>
      <c r="L61" s="40" t="b">
        <f>IF(B61=B60,C61&gt;C60,COUNTIF(B$1:B60,B61)=0)</f>
        <v>1</v>
      </c>
      <c r="M61" s="1"/>
    </row>
    <row r="62" spans="1:13" x14ac:dyDescent="0.25">
      <c r="A62" s="37" t="s">
        <v>1941</v>
      </c>
      <c r="B62" s="37" t="s">
        <v>300</v>
      </c>
      <c r="C62" s="37">
        <v>2000</v>
      </c>
      <c r="D62" s="37">
        <v>110</v>
      </c>
      <c r="E62" s="37" t="s">
        <v>1877</v>
      </c>
      <c r="F62" s="37">
        <v>40</v>
      </c>
      <c r="G62" s="37" t="s">
        <v>311</v>
      </c>
      <c r="H62" s="37" t="s">
        <v>1937</v>
      </c>
      <c r="I62" s="42">
        <f t="shared" si="0"/>
        <v>110</v>
      </c>
      <c r="J62" s="38">
        <f t="shared" si="1"/>
        <v>7.6009024595420822</v>
      </c>
      <c r="K62" s="38">
        <f t="shared" si="2"/>
        <v>4.7004803657924166</v>
      </c>
      <c r="L62" s="40" t="b">
        <f>IF(B62=B61,C62&gt;C61,COUNTIF(B$1:B61,B62)=0)</f>
        <v>1</v>
      </c>
      <c r="M62" s="1"/>
    </row>
    <row r="63" spans="1:13" x14ac:dyDescent="0.25">
      <c r="A63" s="37" t="s">
        <v>1942</v>
      </c>
      <c r="B63" s="37" t="s">
        <v>300</v>
      </c>
      <c r="C63" s="37">
        <v>3000</v>
      </c>
      <c r="D63" s="37">
        <v>90</v>
      </c>
      <c r="E63" s="37" t="s">
        <v>1877</v>
      </c>
      <c r="F63" s="37">
        <v>40</v>
      </c>
      <c r="G63" s="37" t="s">
        <v>311</v>
      </c>
      <c r="H63" s="37" t="s">
        <v>1937</v>
      </c>
      <c r="I63" s="42">
        <f t="shared" si="0"/>
        <v>90</v>
      </c>
      <c r="J63" s="38">
        <f t="shared" si="1"/>
        <v>8.0063675676502459</v>
      </c>
      <c r="K63" s="38">
        <f t="shared" si="2"/>
        <v>4.499809670330265</v>
      </c>
      <c r="L63" s="40" t="b">
        <f>IF(B63=B62,C63&gt;C62,COUNTIF(B$1:B62,B63)=0)</f>
        <v>1</v>
      </c>
      <c r="M63" s="1"/>
    </row>
    <row r="64" spans="1:13" x14ac:dyDescent="0.25">
      <c r="A64" s="37" t="s">
        <v>1943</v>
      </c>
      <c r="B64" s="37" t="s">
        <v>300</v>
      </c>
      <c r="C64" s="37">
        <v>4000</v>
      </c>
      <c r="D64" s="37">
        <v>80</v>
      </c>
      <c r="E64" s="37" t="s">
        <v>1877</v>
      </c>
      <c r="F64" s="37">
        <v>40</v>
      </c>
      <c r="G64" s="37" t="s">
        <v>311</v>
      </c>
      <c r="H64" s="37" t="s">
        <v>1937</v>
      </c>
      <c r="I64" s="42">
        <f t="shared" si="0"/>
        <v>80</v>
      </c>
      <c r="J64" s="38">
        <f t="shared" si="1"/>
        <v>8.2940496401020276</v>
      </c>
      <c r="K64" s="38">
        <f t="shared" si="2"/>
        <v>4.3820266346738812</v>
      </c>
      <c r="L64" s="40" t="b">
        <f>IF(B64=B63,C64&gt;C63,COUNTIF(B$1:B63,B64)=0)</f>
        <v>1</v>
      </c>
      <c r="M64" s="1"/>
    </row>
    <row r="65" spans="1:13" x14ac:dyDescent="0.25">
      <c r="A65" s="37" t="s">
        <v>1944</v>
      </c>
      <c r="B65" s="37" t="s">
        <v>300</v>
      </c>
      <c r="C65" s="37">
        <v>5000</v>
      </c>
      <c r="D65" s="37">
        <v>70</v>
      </c>
      <c r="E65" s="37" t="s">
        <v>1877</v>
      </c>
      <c r="F65" s="37">
        <v>40</v>
      </c>
      <c r="G65" s="37" t="s">
        <v>311</v>
      </c>
      <c r="H65" s="37" t="s">
        <v>1937</v>
      </c>
      <c r="I65" s="42">
        <f t="shared" si="0"/>
        <v>70</v>
      </c>
      <c r="J65" s="38">
        <f t="shared" si="1"/>
        <v>8.5171931914162382</v>
      </c>
      <c r="K65" s="38">
        <f t="shared" si="2"/>
        <v>4.2484952420493594</v>
      </c>
      <c r="L65" s="40" t="b">
        <f>IF(B65=B64,C65&gt;C64,COUNTIF(B$1:B64,B65)=0)</f>
        <v>1</v>
      </c>
      <c r="M65" s="1"/>
    </row>
    <row r="66" spans="1:13" x14ac:dyDescent="0.25">
      <c r="A66" s="37" t="s">
        <v>1945</v>
      </c>
      <c r="B66" s="37" t="s">
        <v>300</v>
      </c>
      <c r="C66" s="37">
        <v>6000</v>
      </c>
      <c r="D66" s="37">
        <v>60</v>
      </c>
      <c r="E66" s="37" t="s">
        <v>1877</v>
      </c>
      <c r="F66" s="37">
        <v>40</v>
      </c>
      <c r="G66" s="37" t="s">
        <v>311</v>
      </c>
      <c r="H66" s="37" t="s">
        <v>1937</v>
      </c>
      <c r="I66" s="42">
        <f t="shared" ref="I66:I129" si="3">IF(E66="kW",D66*1000,D66)</f>
        <v>60</v>
      </c>
      <c r="J66" s="38">
        <f t="shared" ref="J66:J129" si="4">LN(C66)</f>
        <v>8.6995147482101913</v>
      </c>
      <c r="K66" s="38">
        <f t="shared" ref="K66:K129" si="5">LN(I66)</f>
        <v>4.0943445622221004</v>
      </c>
      <c r="L66" s="40" t="b">
        <f>IF(B66=B65,C66&gt;C65,COUNTIF(B$1:B65,B66)=0)</f>
        <v>1</v>
      </c>
      <c r="M66" s="1"/>
    </row>
    <row r="67" spans="1:13" x14ac:dyDescent="0.25">
      <c r="A67" s="37" t="s">
        <v>1946</v>
      </c>
      <c r="B67" s="37" t="s">
        <v>300</v>
      </c>
      <c r="C67" s="37">
        <v>10000</v>
      </c>
      <c r="D67" s="37">
        <v>50</v>
      </c>
      <c r="E67" s="37" t="s">
        <v>1877</v>
      </c>
      <c r="F67" s="37">
        <v>40</v>
      </c>
      <c r="G67" s="37" t="s">
        <v>311</v>
      </c>
      <c r="H67" s="37" t="s">
        <v>1937</v>
      </c>
      <c r="I67" s="42">
        <f t="shared" si="3"/>
        <v>50</v>
      </c>
      <c r="J67" s="38">
        <f t="shared" si="4"/>
        <v>9.2103403719761836</v>
      </c>
      <c r="K67" s="38">
        <f t="shared" si="5"/>
        <v>3.912023005428146</v>
      </c>
      <c r="L67" s="40" t="b">
        <f>IF(B67=B66,C67&gt;C66,COUNTIF(B$1:B66,B67)=0)</f>
        <v>1</v>
      </c>
      <c r="M67" s="1"/>
    </row>
    <row r="68" spans="1:13" x14ac:dyDescent="0.25">
      <c r="A68" s="37" t="s">
        <v>1947</v>
      </c>
      <c r="B68" s="37" t="s">
        <v>313</v>
      </c>
      <c r="C68" s="37">
        <v>1.8</v>
      </c>
      <c r="D68" s="37">
        <v>1172</v>
      </c>
      <c r="E68" s="37" t="s">
        <v>1877</v>
      </c>
      <c r="F68" s="37">
        <v>40</v>
      </c>
      <c r="G68" s="37" t="s">
        <v>320</v>
      </c>
      <c r="H68" s="37" t="s">
        <v>1948</v>
      </c>
      <c r="I68" s="42">
        <f t="shared" si="3"/>
        <v>1172</v>
      </c>
      <c r="J68" s="38">
        <f t="shared" si="4"/>
        <v>0.58778666490211906</v>
      </c>
      <c r="K68" s="38">
        <f t="shared" si="5"/>
        <v>7.0664669701369576</v>
      </c>
      <c r="L68" s="40" t="b">
        <f>IF(B68=B67,C68&gt;C67,COUNTIF(B$1:B67,B68)=0)</f>
        <v>1</v>
      </c>
      <c r="M68" s="1"/>
    </row>
    <row r="69" spans="1:13" x14ac:dyDescent="0.25">
      <c r="A69" s="37" t="s">
        <v>1949</v>
      </c>
      <c r="B69" s="37" t="s">
        <v>313</v>
      </c>
      <c r="C69" s="37">
        <v>3.5</v>
      </c>
      <c r="D69" s="37">
        <v>837</v>
      </c>
      <c r="E69" s="37" t="s">
        <v>1877</v>
      </c>
      <c r="F69" s="37">
        <v>40</v>
      </c>
      <c r="G69" s="37" t="s">
        <v>320</v>
      </c>
      <c r="H69" s="37" t="s">
        <v>1948</v>
      </c>
      <c r="I69" s="42">
        <f t="shared" si="3"/>
        <v>837</v>
      </c>
      <c r="J69" s="38">
        <f t="shared" si="4"/>
        <v>1.2527629684953681</v>
      </c>
      <c r="K69" s="38">
        <f t="shared" si="5"/>
        <v>6.7298240704894754</v>
      </c>
      <c r="L69" s="40" t="b">
        <f>IF(B69=B68,C69&gt;C68,COUNTIF(B$1:B68,B69)=0)</f>
        <v>1</v>
      </c>
      <c r="M69" s="1"/>
    </row>
    <row r="70" spans="1:13" x14ac:dyDescent="0.25">
      <c r="A70" s="37" t="s">
        <v>1950</v>
      </c>
      <c r="B70" s="37" t="s">
        <v>313</v>
      </c>
      <c r="C70" s="37">
        <v>7</v>
      </c>
      <c r="D70" s="37">
        <v>625</v>
      </c>
      <c r="E70" s="37" t="s">
        <v>1877</v>
      </c>
      <c r="F70" s="37">
        <v>40</v>
      </c>
      <c r="G70" s="37" t="s">
        <v>320</v>
      </c>
      <c r="H70" s="37" t="s">
        <v>1948</v>
      </c>
      <c r="I70" s="42">
        <f t="shared" si="3"/>
        <v>625</v>
      </c>
      <c r="J70" s="38">
        <f t="shared" si="4"/>
        <v>1.9459101490553132</v>
      </c>
      <c r="K70" s="38">
        <f t="shared" si="5"/>
        <v>6.4377516497364011</v>
      </c>
      <c r="L70" s="40" t="b">
        <f>IF(B70=B69,C70&gt;C69,COUNTIF(B$1:B69,B70)=0)</f>
        <v>1</v>
      </c>
      <c r="M70" s="1"/>
    </row>
    <row r="71" spans="1:13" x14ac:dyDescent="0.25">
      <c r="A71" s="37" t="s">
        <v>1951</v>
      </c>
      <c r="B71" s="37" t="s">
        <v>313</v>
      </c>
      <c r="C71" s="37">
        <v>10</v>
      </c>
      <c r="D71" s="37">
        <v>543</v>
      </c>
      <c r="E71" s="37" t="s">
        <v>1877</v>
      </c>
      <c r="F71" s="37">
        <v>40</v>
      </c>
      <c r="G71" s="37" t="s">
        <v>320</v>
      </c>
      <c r="H71" s="37" t="s">
        <v>1948</v>
      </c>
      <c r="I71" s="42">
        <f t="shared" si="3"/>
        <v>543</v>
      </c>
      <c r="J71" s="38">
        <f t="shared" si="4"/>
        <v>2.3025850929940459</v>
      </c>
      <c r="K71" s="38">
        <f t="shared" si="5"/>
        <v>6.2971093199339352</v>
      </c>
      <c r="L71" s="40" t="b">
        <f>IF(B71=B70,C71&gt;C70,COUNTIF(B$1:B70,B71)=0)</f>
        <v>1</v>
      </c>
      <c r="M71" s="1"/>
    </row>
    <row r="72" spans="1:13" x14ac:dyDescent="0.25">
      <c r="A72" s="37" t="s">
        <v>1952</v>
      </c>
      <c r="B72" s="37" t="s">
        <v>313</v>
      </c>
      <c r="C72" s="37">
        <v>14</v>
      </c>
      <c r="D72" s="37">
        <v>471</v>
      </c>
      <c r="E72" s="37" t="s">
        <v>1877</v>
      </c>
      <c r="F72" s="37">
        <v>40</v>
      </c>
      <c r="G72" s="37" t="s">
        <v>320</v>
      </c>
      <c r="H72" s="37" t="s">
        <v>1948</v>
      </c>
      <c r="I72" s="42">
        <f t="shared" si="3"/>
        <v>471</v>
      </c>
      <c r="J72" s="38">
        <f t="shared" si="4"/>
        <v>2.6390573296152584</v>
      </c>
      <c r="K72" s="38">
        <f t="shared" si="5"/>
        <v>6.1548580940164177</v>
      </c>
      <c r="L72" s="40" t="b">
        <f>IF(B72=B71,C72&gt;C71,COUNTIF(B$1:B71,B72)=0)</f>
        <v>1</v>
      </c>
      <c r="M72" s="1"/>
    </row>
    <row r="73" spans="1:13" x14ac:dyDescent="0.25">
      <c r="A73" s="37" t="s">
        <v>1953</v>
      </c>
      <c r="B73" s="37" t="s">
        <v>313</v>
      </c>
      <c r="C73" s="37">
        <v>21</v>
      </c>
      <c r="D73" s="37">
        <v>394</v>
      </c>
      <c r="E73" s="37" t="s">
        <v>1877</v>
      </c>
      <c r="F73" s="37">
        <v>40</v>
      </c>
      <c r="G73" s="37" t="s">
        <v>320</v>
      </c>
      <c r="H73" s="37" t="s">
        <v>1948</v>
      </c>
      <c r="I73" s="42">
        <f t="shared" si="3"/>
        <v>394</v>
      </c>
      <c r="J73" s="38">
        <f t="shared" si="4"/>
        <v>3.044522437723423</v>
      </c>
      <c r="K73" s="38">
        <f t="shared" si="5"/>
        <v>5.9763509092979339</v>
      </c>
      <c r="L73" s="40" t="b">
        <f>IF(B73=B72,C73&gt;C72,COUNTIF(B$1:B72,B73)=0)</f>
        <v>1</v>
      </c>
      <c r="M73" s="1"/>
    </row>
    <row r="74" spans="1:13" x14ac:dyDescent="0.25">
      <c r="A74" s="37" t="s">
        <v>1954</v>
      </c>
      <c r="B74" s="37" t="s">
        <v>313</v>
      </c>
      <c r="C74" s="37">
        <v>28</v>
      </c>
      <c r="D74" s="37">
        <v>346</v>
      </c>
      <c r="E74" s="37" t="s">
        <v>1877</v>
      </c>
      <c r="F74" s="37">
        <v>40</v>
      </c>
      <c r="G74" s="37" t="s">
        <v>320</v>
      </c>
      <c r="H74" s="37" t="s">
        <v>1948</v>
      </c>
      <c r="I74" s="42">
        <f t="shared" si="3"/>
        <v>346</v>
      </c>
      <c r="J74" s="38">
        <f t="shared" si="4"/>
        <v>3.3322045101752038</v>
      </c>
      <c r="K74" s="38">
        <f t="shared" si="5"/>
        <v>5.8464387750577247</v>
      </c>
      <c r="L74" s="40" t="b">
        <f>IF(B74=B73,C74&gt;C73,COUNTIF(B$1:B73,B74)=0)</f>
        <v>1</v>
      </c>
      <c r="M74" s="1"/>
    </row>
    <row r="75" spans="1:13" x14ac:dyDescent="0.25">
      <c r="A75" s="37" t="s">
        <v>1955</v>
      </c>
      <c r="B75" s="37" t="s">
        <v>313</v>
      </c>
      <c r="C75" s="37">
        <v>50</v>
      </c>
      <c r="D75" s="37">
        <v>268</v>
      </c>
      <c r="E75" s="37" t="s">
        <v>1877</v>
      </c>
      <c r="F75" s="37">
        <v>40</v>
      </c>
      <c r="G75" s="37" t="s">
        <v>320</v>
      </c>
      <c r="H75" s="37" t="s">
        <v>1948</v>
      </c>
      <c r="I75" s="42">
        <f t="shared" si="3"/>
        <v>268</v>
      </c>
      <c r="J75" s="38">
        <f t="shared" si="4"/>
        <v>3.912023005428146</v>
      </c>
      <c r="K75" s="38">
        <f t="shared" si="5"/>
        <v>5.5909869805108565</v>
      </c>
      <c r="L75" s="40" t="b">
        <f>IF(B75=B74,C75&gt;C74,COUNTIF(B$1:B74,B75)=0)</f>
        <v>1</v>
      </c>
      <c r="M75" s="1"/>
    </row>
    <row r="76" spans="1:13" x14ac:dyDescent="0.25">
      <c r="A76" s="37" t="s">
        <v>1956</v>
      </c>
      <c r="B76" s="37" t="s">
        <v>313</v>
      </c>
      <c r="C76" s="37">
        <v>100</v>
      </c>
      <c r="D76" s="37">
        <v>198</v>
      </c>
      <c r="E76" s="37" t="s">
        <v>1877</v>
      </c>
      <c r="F76" s="37">
        <v>40</v>
      </c>
      <c r="G76" s="37" t="s">
        <v>320</v>
      </c>
      <c r="H76" s="37" t="s">
        <v>1948</v>
      </c>
      <c r="I76" s="42">
        <f t="shared" si="3"/>
        <v>198</v>
      </c>
      <c r="J76" s="38">
        <f t="shared" si="4"/>
        <v>4.6051701859880918</v>
      </c>
      <c r="K76" s="38">
        <f t="shared" si="5"/>
        <v>5.2882670306945352</v>
      </c>
      <c r="L76" s="40" t="b">
        <f>IF(B76=B75,C76&gt;C75,COUNTIF(B$1:B75,B76)=0)</f>
        <v>1</v>
      </c>
      <c r="M76" s="1"/>
    </row>
    <row r="77" spans="1:13" x14ac:dyDescent="0.25">
      <c r="A77" s="37" t="s">
        <v>1957</v>
      </c>
      <c r="B77" s="37" t="s">
        <v>313</v>
      </c>
      <c r="C77" s="37">
        <v>144</v>
      </c>
      <c r="D77" s="37">
        <v>170</v>
      </c>
      <c r="E77" s="37" t="s">
        <v>1877</v>
      </c>
      <c r="F77" s="37">
        <v>40</v>
      </c>
      <c r="G77" s="37" t="s">
        <v>320</v>
      </c>
      <c r="H77" s="37" t="s">
        <v>1948</v>
      </c>
      <c r="I77" s="42">
        <f t="shared" si="3"/>
        <v>170</v>
      </c>
      <c r="J77" s="38">
        <f t="shared" si="4"/>
        <v>4.9698132995760007</v>
      </c>
      <c r="K77" s="38">
        <f t="shared" si="5"/>
        <v>5.1357984370502621</v>
      </c>
      <c r="L77" s="40" t="b">
        <f>IF(B77=B76,C77&gt;C76,COUNTIF(B$1:B76,B77)=0)</f>
        <v>1</v>
      </c>
      <c r="M77" s="1"/>
    </row>
    <row r="78" spans="1:13" x14ac:dyDescent="0.25">
      <c r="A78" s="37" t="s">
        <v>1958</v>
      </c>
      <c r="B78" s="37" t="s">
        <v>313</v>
      </c>
      <c r="C78" s="37">
        <v>200</v>
      </c>
      <c r="D78" s="37">
        <v>146</v>
      </c>
      <c r="E78" s="37" t="s">
        <v>1877</v>
      </c>
      <c r="F78" s="37">
        <v>40</v>
      </c>
      <c r="G78" s="37" t="s">
        <v>320</v>
      </c>
      <c r="H78" s="37" t="s">
        <v>1948</v>
      </c>
      <c r="I78" s="42">
        <f t="shared" si="3"/>
        <v>146</v>
      </c>
      <c r="J78" s="38">
        <f t="shared" si="4"/>
        <v>5.2983173665480363</v>
      </c>
      <c r="K78" s="38">
        <f t="shared" si="5"/>
        <v>4.9836066217083363</v>
      </c>
      <c r="L78" s="40" t="b">
        <f>IF(B78=B77,C78&gt;C77,COUNTIF(B$1:B77,B78)=0)</f>
        <v>1</v>
      </c>
      <c r="M78" s="1"/>
    </row>
    <row r="79" spans="1:13" x14ac:dyDescent="0.25">
      <c r="A79" s="37" t="s">
        <v>1959</v>
      </c>
      <c r="B79" s="37" t="s">
        <v>313</v>
      </c>
      <c r="C79" s="37">
        <v>400</v>
      </c>
      <c r="D79" s="37">
        <v>102</v>
      </c>
      <c r="E79" s="37" t="s">
        <v>1877</v>
      </c>
      <c r="F79" s="37">
        <v>40</v>
      </c>
      <c r="G79" s="37" t="s">
        <v>320</v>
      </c>
      <c r="H79" s="37" t="s">
        <v>1948</v>
      </c>
      <c r="I79" s="42">
        <f t="shared" si="3"/>
        <v>102</v>
      </c>
      <c r="J79" s="38">
        <f t="shared" si="4"/>
        <v>5.9914645471079817</v>
      </c>
      <c r="K79" s="38">
        <f t="shared" si="5"/>
        <v>4.6249728132842707</v>
      </c>
      <c r="L79" s="40" t="b">
        <f>IF(B79=B78,C79&gt;C78,COUNTIF(B$1:B78,B79)=0)</f>
        <v>1</v>
      </c>
      <c r="M79" s="1"/>
    </row>
    <row r="80" spans="1:13" x14ac:dyDescent="0.25">
      <c r="A80" s="37" t="s">
        <v>1960</v>
      </c>
      <c r="B80" s="37" t="s">
        <v>313</v>
      </c>
      <c r="C80" s="37">
        <v>430</v>
      </c>
      <c r="D80" s="37">
        <v>99</v>
      </c>
      <c r="E80" s="37" t="s">
        <v>1877</v>
      </c>
      <c r="F80" s="37">
        <v>40</v>
      </c>
      <c r="G80" s="37" t="s">
        <v>320</v>
      </c>
      <c r="H80" s="37" t="s">
        <v>1948</v>
      </c>
      <c r="I80" s="42">
        <f t="shared" si="3"/>
        <v>99</v>
      </c>
      <c r="J80" s="38">
        <f t="shared" si="4"/>
        <v>6.0637852086876078</v>
      </c>
      <c r="K80" s="38">
        <f t="shared" si="5"/>
        <v>4.5951198501345898</v>
      </c>
      <c r="L80" s="40" t="b">
        <f>IF(B80=B79,C80&gt;C79,COUNTIF(B$1:B79,B80)=0)</f>
        <v>1</v>
      </c>
      <c r="M80" s="1"/>
    </row>
    <row r="81" spans="1:13" x14ac:dyDescent="0.25">
      <c r="A81" s="37" t="s">
        <v>1961</v>
      </c>
      <c r="B81" s="37" t="s">
        <v>313</v>
      </c>
      <c r="C81" s="37">
        <v>800</v>
      </c>
      <c r="D81" s="37">
        <v>71</v>
      </c>
      <c r="E81" s="37" t="s">
        <v>1877</v>
      </c>
      <c r="F81" s="37">
        <v>40</v>
      </c>
      <c r="G81" s="37" t="s">
        <v>320</v>
      </c>
      <c r="H81" s="37" t="s">
        <v>1948</v>
      </c>
      <c r="I81" s="42">
        <f t="shared" si="3"/>
        <v>71</v>
      </c>
      <c r="J81" s="38">
        <f t="shared" si="4"/>
        <v>6.6846117276679271</v>
      </c>
      <c r="K81" s="38">
        <f t="shared" si="5"/>
        <v>4.2626798770413155</v>
      </c>
      <c r="L81" s="40" t="b">
        <f>IF(B81=B80,C81&gt;C80,COUNTIF(B$1:B80,B81)=0)</f>
        <v>1</v>
      </c>
      <c r="M81" s="1"/>
    </row>
    <row r="82" spans="1:13" x14ac:dyDescent="0.25">
      <c r="A82" s="37" t="s">
        <v>1962</v>
      </c>
      <c r="B82" s="37" t="s">
        <v>313</v>
      </c>
      <c r="C82" s="37">
        <v>1000</v>
      </c>
      <c r="D82" s="37">
        <v>63</v>
      </c>
      <c r="E82" s="37" t="s">
        <v>1877</v>
      </c>
      <c r="F82" s="37">
        <v>40</v>
      </c>
      <c r="G82" s="37" t="s">
        <v>320</v>
      </c>
      <c r="H82" s="37" t="s">
        <v>1948</v>
      </c>
      <c r="I82" s="42">
        <f t="shared" si="3"/>
        <v>63</v>
      </c>
      <c r="J82" s="38">
        <f t="shared" si="4"/>
        <v>6.9077552789821368</v>
      </c>
      <c r="K82" s="38">
        <f t="shared" si="5"/>
        <v>4.1431347263915326</v>
      </c>
      <c r="L82" s="40" t="b">
        <f>IF(B82=B81,C82&gt;C81,COUNTIF(B$1:B81,B82)=0)</f>
        <v>1</v>
      </c>
      <c r="M82" s="1"/>
    </row>
    <row r="83" spans="1:13" x14ac:dyDescent="0.25">
      <c r="A83" s="37" t="s">
        <v>1963</v>
      </c>
      <c r="B83" s="37" t="s">
        <v>313</v>
      </c>
      <c r="C83" s="37">
        <v>1296</v>
      </c>
      <c r="D83" s="37">
        <v>55</v>
      </c>
      <c r="E83" s="37" t="s">
        <v>1877</v>
      </c>
      <c r="F83" s="37">
        <v>40</v>
      </c>
      <c r="G83" s="37" t="s">
        <v>320</v>
      </c>
      <c r="H83" s="37" t="s">
        <v>1948</v>
      </c>
      <c r="I83" s="42">
        <f t="shared" si="3"/>
        <v>55</v>
      </c>
      <c r="J83" s="38">
        <f t="shared" si="4"/>
        <v>7.1670378769122198</v>
      </c>
      <c r="K83" s="38">
        <f t="shared" si="5"/>
        <v>4.0073331852324712</v>
      </c>
      <c r="L83" s="40" t="b">
        <f>IF(B83=B82,C83&gt;C82,COUNTIF(B$1:B82,B83)=0)</f>
        <v>1</v>
      </c>
      <c r="M83" s="1"/>
    </row>
    <row r="84" spans="1:13" x14ac:dyDescent="0.25">
      <c r="A84" s="37" t="s">
        <v>1964</v>
      </c>
      <c r="B84" s="37" t="s">
        <v>313</v>
      </c>
      <c r="C84" s="37">
        <v>2400</v>
      </c>
      <c r="D84" s="37">
        <v>39</v>
      </c>
      <c r="E84" s="37" t="s">
        <v>1877</v>
      </c>
      <c r="F84" s="37">
        <v>40</v>
      </c>
      <c r="G84" s="37" t="s">
        <v>320</v>
      </c>
      <c r="H84" s="37" t="s">
        <v>1948</v>
      </c>
      <c r="I84" s="42">
        <f t="shared" si="3"/>
        <v>39</v>
      </c>
      <c r="J84" s="38">
        <f t="shared" si="4"/>
        <v>7.7832240163360371</v>
      </c>
      <c r="K84" s="38">
        <f t="shared" si="5"/>
        <v>3.6635616461296463</v>
      </c>
      <c r="L84" s="40" t="b">
        <f>IF(B84=B83,C84&gt;C83,COUNTIF(B$1:B83,B84)=0)</f>
        <v>1</v>
      </c>
      <c r="M84" s="1"/>
    </row>
    <row r="85" spans="1:13" x14ac:dyDescent="0.25">
      <c r="A85" s="37" t="s">
        <v>1965</v>
      </c>
      <c r="B85" s="37" t="s">
        <v>313</v>
      </c>
      <c r="C85" s="37">
        <v>3000</v>
      </c>
      <c r="D85" s="37">
        <v>35</v>
      </c>
      <c r="E85" s="37" t="s">
        <v>1877</v>
      </c>
      <c r="F85" s="37">
        <v>40</v>
      </c>
      <c r="G85" s="37" t="s">
        <v>320</v>
      </c>
      <c r="H85" s="37" t="s">
        <v>1948</v>
      </c>
      <c r="I85" s="42">
        <f t="shared" si="3"/>
        <v>35</v>
      </c>
      <c r="J85" s="38">
        <f t="shared" si="4"/>
        <v>8.0063675676502459</v>
      </c>
      <c r="K85" s="38">
        <f t="shared" si="5"/>
        <v>3.5553480614894135</v>
      </c>
      <c r="L85" s="40" t="b">
        <f>IF(B85=B84,C85&gt;C84,COUNTIF(B$1:B84,B85)=0)</f>
        <v>1</v>
      </c>
      <c r="M85" s="1"/>
    </row>
    <row r="86" spans="1:13" x14ac:dyDescent="0.25">
      <c r="A86" s="37" t="s">
        <v>1966</v>
      </c>
      <c r="B86" s="37" t="s">
        <v>313</v>
      </c>
      <c r="C86" s="37">
        <v>4000</v>
      </c>
      <c r="D86" s="37">
        <v>31</v>
      </c>
      <c r="E86" s="37" t="s">
        <v>1877</v>
      </c>
      <c r="F86" s="37">
        <v>40</v>
      </c>
      <c r="G86" s="37" t="s">
        <v>320</v>
      </c>
      <c r="H86" s="37" t="s">
        <v>1948</v>
      </c>
      <c r="I86" s="42">
        <f t="shared" si="3"/>
        <v>31</v>
      </c>
      <c r="J86" s="38">
        <f t="shared" si="4"/>
        <v>8.2940496401020276</v>
      </c>
      <c r="K86" s="38">
        <f t="shared" si="5"/>
        <v>3.4339872044851463</v>
      </c>
      <c r="L86" s="40" t="b">
        <f>IF(B86=B85,C86&gt;C85,COUNTIF(B$1:B85,B86)=0)</f>
        <v>1</v>
      </c>
      <c r="M86" s="1"/>
    </row>
    <row r="87" spans="1:13" x14ac:dyDescent="0.25">
      <c r="A87" s="37" t="s">
        <v>1967</v>
      </c>
      <c r="B87" s="37" t="s">
        <v>313</v>
      </c>
      <c r="C87" s="37">
        <v>5000</v>
      </c>
      <c r="D87" s="37">
        <v>27</v>
      </c>
      <c r="E87" s="37" t="s">
        <v>1877</v>
      </c>
      <c r="F87" s="37">
        <v>40</v>
      </c>
      <c r="G87" s="37" t="s">
        <v>320</v>
      </c>
      <c r="H87" s="37" t="s">
        <v>1948</v>
      </c>
      <c r="I87" s="42">
        <f t="shared" si="3"/>
        <v>27</v>
      </c>
      <c r="J87" s="38">
        <f t="shared" si="4"/>
        <v>8.5171931914162382</v>
      </c>
      <c r="K87" s="38">
        <f t="shared" si="5"/>
        <v>3.2958368660043291</v>
      </c>
      <c r="L87" s="40" t="b">
        <f>IF(B87=B86,C87&gt;C86,COUNTIF(B$1:B86,B87)=0)</f>
        <v>1</v>
      </c>
      <c r="M87" s="1"/>
    </row>
    <row r="88" spans="1:13" x14ac:dyDescent="0.25">
      <c r="A88" s="37" t="s">
        <v>1968</v>
      </c>
      <c r="B88" s="37" t="s">
        <v>313</v>
      </c>
      <c r="C88" s="37">
        <v>6000</v>
      </c>
      <c r="D88" s="37">
        <v>25</v>
      </c>
      <c r="E88" s="37" t="s">
        <v>1877</v>
      </c>
      <c r="F88" s="37">
        <v>40</v>
      </c>
      <c r="G88" s="37" t="s">
        <v>320</v>
      </c>
      <c r="H88" s="37" t="s">
        <v>1948</v>
      </c>
      <c r="I88" s="42">
        <f t="shared" si="3"/>
        <v>25</v>
      </c>
      <c r="J88" s="38">
        <f t="shared" si="4"/>
        <v>8.6995147482101913</v>
      </c>
      <c r="K88" s="38">
        <f t="shared" si="5"/>
        <v>3.2188758248682006</v>
      </c>
      <c r="L88" s="40" t="b">
        <f>IF(B88=B87,C88&gt;C87,COUNTIF(B$1:B87,B88)=0)</f>
        <v>1</v>
      </c>
      <c r="M88" s="1"/>
    </row>
    <row r="89" spans="1:13" x14ac:dyDescent="0.25">
      <c r="A89" s="37" t="s">
        <v>1969</v>
      </c>
      <c r="B89" s="37" t="s">
        <v>333</v>
      </c>
      <c r="C89" s="37">
        <v>1.8</v>
      </c>
      <c r="D89" s="37">
        <v>1274</v>
      </c>
      <c r="E89" s="37" t="s">
        <v>1877</v>
      </c>
      <c r="F89" s="37">
        <v>40</v>
      </c>
      <c r="G89" s="37" t="s">
        <v>344</v>
      </c>
      <c r="H89" s="37" t="s">
        <v>928</v>
      </c>
      <c r="I89" s="42">
        <f t="shared" si="3"/>
        <v>1274</v>
      </c>
      <c r="J89" s="38">
        <f t="shared" si="4"/>
        <v>0.58778666490211906</v>
      </c>
      <c r="K89" s="38">
        <f t="shared" si="5"/>
        <v>7.1499168361321086</v>
      </c>
      <c r="L89" s="40" t="b">
        <f>IF(B89=B88,C89&gt;C88,COUNTIF(B$1:B88,B89)=0)</f>
        <v>1</v>
      </c>
      <c r="M89" s="1"/>
    </row>
    <row r="90" spans="1:13" x14ac:dyDescent="0.25">
      <c r="A90" s="37" t="s">
        <v>1970</v>
      </c>
      <c r="B90" s="37" t="s">
        <v>333</v>
      </c>
      <c r="C90" s="37">
        <v>3.5</v>
      </c>
      <c r="D90" s="37">
        <v>987</v>
      </c>
      <c r="E90" s="37" t="s">
        <v>1877</v>
      </c>
      <c r="F90" s="37">
        <v>40</v>
      </c>
      <c r="G90" s="37" t="s">
        <v>344</v>
      </c>
      <c r="H90" s="37" t="s">
        <v>928</v>
      </c>
      <c r="I90" s="42">
        <f t="shared" si="3"/>
        <v>987</v>
      </c>
      <c r="J90" s="38">
        <f t="shared" si="4"/>
        <v>1.2527629684953681</v>
      </c>
      <c r="K90" s="38">
        <f t="shared" si="5"/>
        <v>6.8946700394334819</v>
      </c>
      <c r="L90" s="40" t="b">
        <f>IF(B90=B89,C90&gt;C89,COUNTIF(B$1:B89,B90)=0)</f>
        <v>1</v>
      </c>
      <c r="M90" s="1"/>
    </row>
    <row r="91" spans="1:13" x14ac:dyDescent="0.25">
      <c r="A91" s="37" t="s">
        <v>1971</v>
      </c>
      <c r="B91" s="37" t="s">
        <v>333</v>
      </c>
      <c r="C91" s="37">
        <v>7</v>
      </c>
      <c r="D91" s="37">
        <v>809</v>
      </c>
      <c r="E91" s="37" t="s">
        <v>1877</v>
      </c>
      <c r="F91" s="37">
        <v>40</v>
      </c>
      <c r="G91" s="37" t="s">
        <v>344</v>
      </c>
      <c r="H91" s="37" t="s">
        <v>928</v>
      </c>
      <c r="I91" s="42">
        <f t="shared" si="3"/>
        <v>809</v>
      </c>
      <c r="J91" s="38">
        <f t="shared" si="4"/>
        <v>1.9459101490553132</v>
      </c>
      <c r="K91" s="38">
        <f t="shared" si="5"/>
        <v>6.6957989170584913</v>
      </c>
      <c r="L91" s="40" t="b">
        <f>IF(B91=B90,C91&gt;C90,COUNTIF(B$1:B90,B91)=0)</f>
        <v>1</v>
      </c>
      <c r="M91" s="1"/>
    </row>
    <row r="92" spans="1:13" x14ac:dyDescent="0.25">
      <c r="A92" s="37" t="s">
        <v>1972</v>
      </c>
      <c r="B92" s="37" t="s">
        <v>333</v>
      </c>
      <c r="C92" s="37">
        <v>10</v>
      </c>
      <c r="D92" s="37">
        <v>717</v>
      </c>
      <c r="E92" s="37" t="s">
        <v>1877</v>
      </c>
      <c r="F92" s="37">
        <v>40</v>
      </c>
      <c r="G92" s="37" t="s">
        <v>344</v>
      </c>
      <c r="H92" s="37" t="s">
        <v>928</v>
      </c>
      <c r="I92" s="42">
        <f t="shared" si="3"/>
        <v>717</v>
      </c>
      <c r="J92" s="38">
        <f t="shared" si="4"/>
        <v>2.3025850929940459</v>
      </c>
      <c r="K92" s="38">
        <f t="shared" si="5"/>
        <v>6.5750758405996201</v>
      </c>
      <c r="L92" s="40" t="b">
        <f>IF(B92=B91,C92&gt;C91,COUNTIF(B$1:B91,B92)=0)</f>
        <v>1</v>
      </c>
      <c r="M92" s="1"/>
    </row>
    <row r="93" spans="1:13" x14ac:dyDescent="0.25">
      <c r="A93" s="37" t="s">
        <v>1973</v>
      </c>
      <c r="B93" s="37" t="s">
        <v>333</v>
      </c>
      <c r="C93" s="37">
        <v>14</v>
      </c>
      <c r="D93" s="37">
        <v>620</v>
      </c>
      <c r="E93" s="37" t="s">
        <v>1877</v>
      </c>
      <c r="F93" s="37">
        <v>40</v>
      </c>
      <c r="G93" s="37" t="s">
        <v>344</v>
      </c>
      <c r="H93" s="37" t="s">
        <v>928</v>
      </c>
      <c r="I93" s="42">
        <f t="shared" si="3"/>
        <v>620</v>
      </c>
      <c r="J93" s="38">
        <f t="shared" si="4"/>
        <v>2.6390573296152584</v>
      </c>
      <c r="K93" s="38">
        <f t="shared" si="5"/>
        <v>6.4297194780391376</v>
      </c>
      <c r="L93" s="40" t="b">
        <f>IF(B93=B92,C93&gt;C92,COUNTIF(B$1:B92,B93)=0)</f>
        <v>1</v>
      </c>
      <c r="M93" s="1"/>
    </row>
    <row r="94" spans="1:13" x14ac:dyDescent="0.25">
      <c r="A94" s="37" t="s">
        <v>1974</v>
      </c>
      <c r="B94" s="37" t="s">
        <v>333</v>
      </c>
      <c r="C94" s="37">
        <v>21</v>
      </c>
      <c r="D94" s="37">
        <v>518</v>
      </c>
      <c r="E94" s="37" t="s">
        <v>1877</v>
      </c>
      <c r="F94" s="37">
        <v>40</v>
      </c>
      <c r="G94" s="37" t="s">
        <v>344</v>
      </c>
      <c r="H94" s="37" t="s">
        <v>928</v>
      </c>
      <c r="I94" s="42">
        <f t="shared" si="3"/>
        <v>518</v>
      </c>
      <c r="J94" s="38">
        <f t="shared" si="4"/>
        <v>3.044522437723423</v>
      </c>
      <c r="K94" s="38">
        <f t="shared" si="5"/>
        <v>6.2499752422594828</v>
      </c>
      <c r="L94" s="40" t="b">
        <f>IF(B94=B93,C94&gt;C93,COUNTIF(B$1:B93,B94)=0)</f>
        <v>1</v>
      </c>
      <c r="M94" s="1"/>
    </row>
    <row r="95" spans="1:13" x14ac:dyDescent="0.25">
      <c r="A95" s="37" t="s">
        <v>1975</v>
      </c>
      <c r="B95" s="37" t="s">
        <v>333</v>
      </c>
      <c r="C95" s="37">
        <v>28</v>
      </c>
      <c r="D95" s="37">
        <v>453</v>
      </c>
      <c r="E95" s="37" t="s">
        <v>1877</v>
      </c>
      <c r="F95" s="37">
        <v>40</v>
      </c>
      <c r="G95" s="37" t="s">
        <v>344</v>
      </c>
      <c r="H95" s="37" t="s">
        <v>928</v>
      </c>
      <c r="I95" s="42">
        <f t="shared" si="3"/>
        <v>453</v>
      </c>
      <c r="J95" s="38">
        <f t="shared" si="4"/>
        <v>3.3322045101752038</v>
      </c>
      <c r="K95" s="38">
        <f t="shared" si="5"/>
        <v>6.1158921254830343</v>
      </c>
      <c r="L95" s="40" t="b">
        <f>IF(B95=B94,C95&gt;C94,COUNTIF(B$1:B94,B95)=0)</f>
        <v>1</v>
      </c>
      <c r="M95" s="1"/>
    </row>
    <row r="96" spans="1:13" x14ac:dyDescent="0.25">
      <c r="A96" s="37" t="s">
        <v>1976</v>
      </c>
      <c r="B96" s="37" t="s">
        <v>333</v>
      </c>
      <c r="C96" s="37">
        <v>50</v>
      </c>
      <c r="D96" s="37">
        <v>338</v>
      </c>
      <c r="E96" s="37" t="s">
        <v>1877</v>
      </c>
      <c r="F96" s="37">
        <v>40</v>
      </c>
      <c r="G96" s="37" t="s">
        <v>344</v>
      </c>
      <c r="H96" s="37" t="s">
        <v>928</v>
      </c>
      <c r="I96" s="42">
        <f t="shared" si="3"/>
        <v>338</v>
      </c>
      <c r="J96" s="38">
        <f t="shared" si="4"/>
        <v>3.912023005428146</v>
      </c>
      <c r="K96" s="38">
        <f t="shared" si="5"/>
        <v>5.8230458954830189</v>
      </c>
      <c r="L96" s="40" t="b">
        <f>IF(B96=B95,C96&gt;C95,COUNTIF(B$1:B95,B96)=0)</f>
        <v>1</v>
      </c>
      <c r="M96" s="1"/>
    </row>
    <row r="97" spans="1:13" x14ac:dyDescent="0.25">
      <c r="A97" s="37" t="s">
        <v>1977</v>
      </c>
      <c r="B97" s="37" t="s">
        <v>333</v>
      </c>
      <c r="C97" s="37">
        <v>100</v>
      </c>
      <c r="D97" s="37">
        <v>235</v>
      </c>
      <c r="E97" s="37" t="s">
        <v>1877</v>
      </c>
      <c r="F97" s="37">
        <v>40</v>
      </c>
      <c r="G97" s="37" t="s">
        <v>344</v>
      </c>
      <c r="H97" s="37" t="s">
        <v>928</v>
      </c>
      <c r="I97" s="42">
        <f t="shared" si="3"/>
        <v>235</v>
      </c>
      <c r="J97" s="38">
        <f t="shared" si="4"/>
        <v>4.6051701859880918</v>
      </c>
      <c r="K97" s="38">
        <f t="shared" si="5"/>
        <v>5.4595855141441589</v>
      </c>
      <c r="L97" s="40" t="b">
        <f>IF(B97=B96,C97&gt;C96,COUNTIF(B$1:B96,B97)=0)</f>
        <v>1</v>
      </c>
      <c r="M97" s="1"/>
    </row>
    <row r="98" spans="1:13" x14ac:dyDescent="0.25">
      <c r="A98" s="37" t="s">
        <v>1978</v>
      </c>
      <c r="B98" s="37" t="s">
        <v>333</v>
      </c>
      <c r="C98" s="37">
        <v>144</v>
      </c>
      <c r="D98" s="37">
        <v>195</v>
      </c>
      <c r="E98" s="37" t="s">
        <v>1877</v>
      </c>
      <c r="F98" s="37">
        <v>40</v>
      </c>
      <c r="G98" s="37" t="s">
        <v>344</v>
      </c>
      <c r="H98" s="37" t="s">
        <v>928</v>
      </c>
      <c r="I98" s="42">
        <f t="shared" si="3"/>
        <v>195</v>
      </c>
      <c r="J98" s="38">
        <f t="shared" si="4"/>
        <v>4.9698132995760007</v>
      </c>
      <c r="K98" s="38">
        <f t="shared" si="5"/>
        <v>5.2729995585637468</v>
      </c>
      <c r="L98" s="40" t="b">
        <f>IF(B98=B97,C98&gt;C97,COUNTIF(B$1:B97,B98)=0)</f>
        <v>1</v>
      </c>
      <c r="M98" s="1"/>
    </row>
    <row r="99" spans="1:13" x14ac:dyDescent="0.25">
      <c r="A99" s="37" t="s">
        <v>1979</v>
      </c>
      <c r="B99" s="37" t="s">
        <v>333</v>
      </c>
      <c r="C99" s="37">
        <v>200</v>
      </c>
      <c r="D99" s="37">
        <v>165</v>
      </c>
      <c r="E99" s="37" t="s">
        <v>1877</v>
      </c>
      <c r="F99" s="37">
        <v>40</v>
      </c>
      <c r="G99" s="37" t="s">
        <v>344</v>
      </c>
      <c r="H99" s="37" t="s">
        <v>928</v>
      </c>
      <c r="I99" s="42">
        <f t="shared" si="3"/>
        <v>165</v>
      </c>
      <c r="J99" s="38">
        <f t="shared" si="4"/>
        <v>5.2983173665480363</v>
      </c>
      <c r="K99" s="38">
        <f t="shared" si="5"/>
        <v>5.1059454739005803</v>
      </c>
      <c r="L99" s="40" t="b">
        <f>IF(B99=B98,C99&gt;C98,COUNTIF(B$1:B98,B99)=0)</f>
        <v>1</v>
      </c>
      <c r="M99" s="1"/>
    </row>
    <row r="100" spans="1:13" x14ac:dyDescent="0.25">
      <c r="A100" s="37" t="s">
        <v>1980</v>
      </c>
      <c r="B100" s="37" t="s">
        <v>333</v>
      </c>
      <c r="C100" s="37">
        <v>400</v>
      </c>
      <c r="D100" s="37">
        <v>115</v>
      </c>
      <c r="E100" s="37" t="s">
        <v>1877</v>
      </c>
      <c r="F100" s="37">
        <v>40</v>
      </c>
      <c r="G100" s="37" t="s">
        <v>344</v>
      </c>
      <c r="H100" s="37" t="s">
        <v>928</v>
      </c>
      <c r="I100" s="42">
        <f t="shared" si="3"/>
        <v>115</v>
      </c>
      <c r="J100" s="38">
        <f t="shared" si="4"/>
        <v>5.9914645471079817</v>
      </c>
      <c r="K100" s="38">
        <f t="shared" si="5"/>
        <v>4.7449321283632502</v>
      </c>
      <c r="L100" s="40" t="b">
        <f>IF(B100=B99,C100&gt;C99,COUNTIF(B$1:B99,B100)=0)</f>
        <v>1</v>
      </c>
      <c r="M100" s="1"/>
    </row>
    <row r="101" spans="1:13" x14ac:dyDescent="0.25">
      <c r="A101" s="37" t="s">
        <v>1981</v>
      </c>
      <c r="B101" s="37" t="s">
        <v>333</v>
      </c>
      <c r="C101" s="37">
        <v>430</v>
      </c>
      <c r="D101" s="37">
        <v>111</v>
      </c>
      <c r="E101" s="37" t="s">
        <v>1877</v>
      </c>
      <c r="F101" s="37">
        <v>40</v>
      </c>
      <c r="G101" s="37" t="s">
        <v>344</v>
      </c>
      <c r="H101" s="37" t="s">
        <v>928</v>
      </c>
      <c r="I101" s="42">
        <f t="shared" si="3"/>
        <v>111</v>
      </c>
      <c r="J101" s="38">
        <f t="shared" si="4"/>
        <v>6.0637852086876078</v>
      </c>
      <c r="K101" s="38">
        <f t="shared" si="5"/>
        <v>4.7095302013123339</v>
      </c>
      <c r="L101" s="40" t="b">
        <f>IF(B101=B100,C101&gt;C100,COUNTIF(B$1:B100,B101)=0)</f>
        <v>1</v>
      </c>
      <c r="M101" s="1"/>
    </row>
    <row r="102" spans="1:13" x14ac:dyDescent="0.25">
      <c r="A102" s="37" t="s">
        <v>1982</v>
      </c>
      <c r="B102" s="37" t="s">
        <v>333</v>
      </c>
      <c r="C102" s="37">
        <v>800</v>
      </c>
      <c r="D102" s="37">
        <v>80</v>
      </c>
      <c r="E102" s="37" t="s">
        <v>1877</v>
      </c>
      <c r="F102" s="37">
        <v>40</v>
      </c>
      <c r="G102" s="37" t="s">
        <v>344</v>
      </c>
      <c r="H102" s="37" t="s">
        <v>928</v>
      </c>
      <c r="I102" s="42">
        <f t="shared" si="3"/>
        <v>80</v>
      </c>
      <c r="J102" s="38">
        <f t="shared" si="4"/>
        <v>6.6846117276679271</v>
      </c>
      <c r="K102" s="38">
        <f t="shared" si="5"/>
        <v>4.3820266346738812</v>
      </c>
      <c r="L102" s="40" t="b">
        <f>IF(B102=B101,C102&gt;C101,COUNTIF(B$1:B101,B102)=0)</f>
        <v>1</v>
      </c>
      <c r="M102" s="1"/>
    </row>
    <row r="103" spans="1:13" x14ac:dyDescent="0.25">
      <c r="A103" s="37" t="s">
        <v>1983</v>
      </c>
      <c r="B103" s="37" t="s">
        <v>333</v>
      </c>
      <c r="C103" s="37">
        <v>1000</v>
      </c>
      <c r="D103" s="37">
        <v>71</v>
      </c>
      <c r="E103" s="37" t="s">
        <v>1877</v>
      </c>
      <c r="F103" s="37">
        <v>40</v>
      </c>
      <c r="G103" s="37" t="s">
        <v>344</v>
      </c>
      <c r="H103" s="37" t="s">
        <v>928</v>
      </c>
      <c r="I103" s="42">
        <f t="shared" si="3"/>
        <v>71</v>
      </c>
      <c r="J103" s="38">
        <f t="shared" si="4"/>
        <v>6.9077552789821368</v>
      </c>
      <c r="K103" s="38">
        <f t="shared" si="5"/>
        <v>4.2626798770413155</v>
      </c>
      <c r="L103" s="40" t="b">
        <f>IF(B103=B102,C103&gt;C102,COUNTIF(B$1:B102,B103)=0)</f>
        <v>1</v>
      </c>
      <c r="M103" s="1"/>
    </row>
    <row r="104" spans="1:13" x14ac:dyDescent="0.25">
      <c r="A104" s="37" t="s">
        <v>1984</v>
      </c>
      <c r="B104" s="37" t="s">
        <v>333</v>
      </c>
      <c r="C104" s="37">
        <v>1296</v>
      </c>
      <c r="D104" s="37">
        <v>62</v>
      </c>
      <c r="E104" s="37" t="s">
        <v>1877</v>
      </c>
      <c r="F104" s="37">
        <v>40</v>
      </c>
      <c r="G104" s="37" t="s">
        <v>344</v>
      </c>
      <c r="H104" s="37" t="s">
        <v>928</v>
      </c>
      <c r="I104" s="42">
        <f t="shared" si="3"/>
        <v>62</v>
      </c>
      <c r="J104" s="38">
        <f t="shared" si="4"/>
        <v>7.1670378769122198</v>
      </c>
      <c r="K104" s="38">
        <f t="shared" si="5"/>
        <v>4.1271343850450917</v>
      </c>
      <c r="L104" s="40" t="b">
        <f>IF(B104=B103,C104&gt;C103,COUNTIF(B$1:B103,B104)=0)</f>
        <v>1</v>
      </c>
      <c r="M104" s="1"/>
    </row>
    <row r="105" spans="1:13" x14ac:dyDescent="0.25">
      <c r="A105" s="37" t="s">
        <v>1985</v>
      </c>
      <c r="B105" s="37" t="s">
        <v>333</v>
      </c>
      <c r="C105" s="37">
        <v>2400</v>
      </c>
      <c r="D105" s="37">
        <v>44</v>
      </c>
      <c r="E105" s="37" t="s">
        <v>1877</v>
      </c>
      <c r="F105" s="37">
        <v>40</v>
      </c>
      <c r="G105" s="37" t="s">
        <v>344</v>
      </c>
      <c r="H105" s="37" t="s">
        <v>928</v>
      </c>
      <c r="I105" s="42">
        <f t="shared" si="3"/>
        <v>44</v>
      </c>
      <c r="J105" s="38">
        <f t="shared" si="4"/>
        <v>7.7832240163360371</v>
      </c>
      <c r="K105" s="38">
        <f t="shared" si="5"/>
        <v>3.784189633918261</v>
      </c>
      <c r="L105" s="40" t="b">
        <f>IF(B105=B104,C105&gt;C104,COUNTIF(B$1:B104,B105)=0)</f>
        <v>1</v>
      </c>
      <c r="M105" s="1"/>
    </row>
    <row r="106" spans="1:13" x14ac:dyDescent="0.25">
      <c r="A106" s="37" t="s">
        <v>1986</v>
      </c>
      <c r="B106" s="37" t="s">
        <v>333</v>
      </c>
      <c r="C106" s="37">
        <v>3000</v>
      </c>
      <c r="D106" s="37">
        <v>39</v>
      </c>
      <c r="E106" s="37" t="s">
        <v>1877</v>
      </c>
      <c r="F106" s="37">
        <v>40</v>
      </c>
      <c r="G106" s="37" t="s">
        <v>344</v>
      </c>
      <c r="H106" s="37" t="s">
        <v>928</v>
      </c>
      <c r="I106" s="42">
        <f t="shared" si="3"/>
        <v>39</v>
      </c>
      <c r="J106" s="38">
        <f t="shared" si="4"/>
        <v>8.0063675676502459</v>
      </c>
      <c r="K106" s="38">
        <f t="shared" si="5"/>
        <v>3.6635616461296463</v>
      </c>
      <c r="L106" s="40" t="b">
        <f>IF(B106=B105,C106&gt;C105,COUNTIF(B$1:B105,B106)=0)</f>
        <v>1</v>
      </c>
      <c r="M106" s="1"/>
    </row>
    <row r="107" spans="1:13" x14ac:dyDescent="0.25">
      <c r="A107" s="37" t="s">
        <v>1987</v>
      </c>
      <c r="B107" s="37" t="s">
        <v>333</v>
      </c>
      <c r="C107" s="37">
        <v>4000</v>
      </c>
      <c r="D107" s="37">
        <v>33</v>
      </c>
      <c r="E107" s="37" t="s">
        <v>1877</v>
      </c>
      <c r="F107" s="37">
        <v>40</v>
      </c>
      <c r="G107" s="37" t="s">
        <v>344</v>
      </c>
      <c r="H107" s="37" t="s">
        <v>928</v>
      </c>
      <c r="I107" s="42">
        <f t="shared" si="3"/>
        <v>33</v>
      </c>
      <c r="J107" s="38">
        <f t="shared" si="4"/>
        <v>8.2940496401020276</v>
      </c>
      <c r="K107" s="38">
        <f t="shared" si="5"/>
        <v>3.4965075614664802</v>
      </c>
      <c r="L107" s="40" t="b">
        <f>IF(B107=B106,C107&gt;C106,COUNTIF(B$1:B106,B107)=0)</f>
        <v>1</v>
      </c>
      <c r="M107" s="1"/>
    </row>
    <row r="108" spans="1:13" x14ac:dyDescent="0.25">
      <c r="A108" s="37" t="s">
        <v>1988</v>
      </c>
      <c r="B108" s="37" t="s">
        <v>333</v>
      </c>
      <c r="C108" s="37">
        <v>5000</v>
      </c>
      <c r="D108" s="37">
        <v>29</v>
      </c>
      <c r="E108" s="37" t="s">
        <v>1877</v>
      </c>
      <c r="F108" s="37">
        <v>40</v>
      </c>
      <c r="G108" s="37" t="s">
        <v>344</v>
      </c>
      <c r="H108" s="37" t="s">
        <v>928</v>
      </c>
      <c r="I108" s="42">
        <f t="shared" si="3"/>
        <v>29</v>
      </c>
      <c r="J108" s="38">
        <f t="shared" si="4"/>
        <v>8.5171931914162382</v>
      </c>
      <c r="K108" s="38">
        <f t="shared" si="5"/>
        <v>3.3672958299864741</v>
      </c>
      <c r="L108" s="40" t="b">
        <f>IF(B108=B107,C108&gt;C107,COUNTIF(B$1:B107,B108)=0)</f>
        <v>1</v>
      </c>
      <c r="M108" s="1"/>
    </row>
    <row r="109" spans="1:13" x14ac:dyDescent="0.25">
      <c r="A109" s="37" t="s">
        <v>1989</v>
      </c>
      <c r="B109" s="37" t="s">
        <v>333</v>
      </c>
      <c r="C109" s="37">
        <v>6000</v>
      </c>
      <c r="D109" s="37">
        <v>26</v>
      </c>
      <c r="E109" s="37" t="s">
        <v>1877</v>
      </c>
      <c r="F109" s="37">
        <v>40</v>
      </c>
      <c r="G109" s="37" t="s">
        <v>344</v>
      </c>
      <c r="H109" s="37" t="s">
        <v>928</v>
      </c>
      <c r="I109" s="42">
        <f t="shared" si="3"/>
        <v>26</v>
      </c>
      <c r="J109" s="38">
        <f t="shared" si="4"/>
        <v>8.6995147482101913</v>
      </c>
      <c r="K109" s="38">
        <f t="shared" si="5"/>
        <v>3.2580965380214821</v>
      </c>
      <c r="L109" s="40" t="b">
        <f>IF(B109=B108,C109&gt;C108,COUNTIF(B$1:B108,B109)=0)</f>
        <v>1</v>
      </c>
      <c r="M109" s="1"/>
    </row>
    <row r="110" spans="1:13" x14ac:dyDescent="0.25">
      <c r="A110" s="37" t="s">
        <v>1990</v>
      </c>
      <c r="B110" s="37" t="s">
        <v>346</v>
      </c>
      <c r="C110" s="37">
        <v>50</v>
      </c>
      <c r="D110" s="37">
        <v>1150</v>
      </c>
      <c r="E110" s="37" t="s">
        <v>1877</v>
      </c>
      <c r="F110" s="37"/>
      <c r="G110" s="37" t="s">
        <v>352</v>
      </c>
      <c r="H110" s="37" t="s">
        <v>1991</v>
      </c>
      <c r="I110" s="42">
        <f t="shared" si="3"/>
        <v>1150</v>
      </c>
      <c r="J110" s="38">
        <f t="shared" si="4"/>
        <v>3.912023005428146</v>
      </c>
      <c r="K110" s="38">
        <f t="shared" si="5"/>
        <v>7.0475172213572961</v>
      </c>
      <c r="L110" s="40" t="b">
        <f>IF(B110=B109,C110&gt;C109,COUNTIF(B$1:B109,B110)=0)</f>
        <v>1</v>
      </c>
      <c r="M110" s="1"/>
    </row>
    <row r="111" spans="1:13" x14ac:dyDescent="0.25">
      <c r="A111" s="37" t="s">
        <v>1992</v>
      </c>
      <c r="B111" s="37" t="s">
        <v>346</v>
      </c>
      <c r="C111" s="37">
        <v>150</v>
      </c>
      <c r="D111" s="37">
        <v>660</v>
      </c>
      <c r="E111" s="37" t="s">
        <v>1877</v>
      </c>
      <c r="F111" s="37"/>
      <c r="G111" s="37" t="s">
        <v>352</v>
      </c>
      <c r="H111" s="37" t="s">
        <v>1991</v>
      </c>
      <c r="I111" s="42">
        <f t="shared" si="3"/>
        <v>660</v>
      </c>
      <c r="J111" s="38">
        <f t="shared" si="4"/>
        <v>5.0106352940962555</v>
      </c>
      <c r="K111" s="38">
        <f t="shared" si="5"/>
        <v>6.4922398350204711</v>
      </c>
      <c r="L111" s="40" t="b">
        <f>IF(B111=B110,C111&gt;C110,COUNTIF(B$1:B110,B111)=0)</f>
        <v>1</v>
      </c>
      <c r="M111" s="1"/>
    </row>
    <row r="112" spans="1:13" x14ac:dyDescent="0.25">
      <c r="A112" s="37" t="s">
        <v>1993</v>
      </c>
      <c r="B112" s="37" t="s">
        <v>346</v>
      </c>
      <c r="C112" s="37">
        <v>220</v>
      </c>
      <c r="D112" s="37">
        <v>540</v>
      </c>
      <c r="E112" s="37" t="s">
        <v>1877</v>
      </c>
      <c r="F112" s="37"/>
      <c r="G112" s="37" t="s">
        <v>352</v>
      </c>
      <c r="H112" s="37" t="s">
        <v>1991</v>
      </c>
      <c r="I112" s="42">
        <f t="shared" si="3"/>
        <v>540</v>
      </c>
      <c r="J112" s="38">
        <f t="shared" si="4"/>
        <v>5.393627546352362</v>
      </c>
      <c r="K112" s="38">
        <f t="shared" si="5"/>
        <v>6.2915691395583204</v>
      </c>
      <c r="L112" s="40" t="b">
        <f>IF(B112=B111,C112&gt;C111,COUNTIF(B$1:B111,B112)=0)</f>
        <v>1</v>
      </c>
      <c r="M112" s="1"/>
    </row>
    <row r="113" spans="1:13" x14ac:dyDescent="0.25">
      <c r="A113" s="37" t="s">
        <v>1994</v>
      </c>
      <c r="B113" s="37" t="s">
        <v>346</v>
      </c>
      <c r="C113" s="37">
        <v>450</v>
      </c>
      <c r="D113" s="37">
        <v>380</v>
      </c>
      <c r="E113" s="37" t="s">
        <v>1877</v>
      </c>
      <c r="F113" s="37"/>
      <c r="G113" s="37" t="s">
        <v>352</v>
      </c>
      <c r="H113" s="37" t="s">
        <v>1991</v>
      </c>
      <c r="I113" s="42">
        <f t="shared" si="3"/>
        <v>380</v>
      </c>
      <c r="J113" s="38">
        <f t="shared" si="4"/>
        <v>6.1092475827643655</v>
      </c>
      <c r="K113" s="38">
        <f t="shared" si="5"/>
        <v>5.9401712527204316</v>
      </c>
      <c r="L113" s="40" t="b">
        <f>IF(B113=B112,C113&gt;C112,COUNTIF(B$1:B112,B113)=0)</f>
        <v>1</v>
      </c>
      <c r="M113" s="1"/>
    </row>
    <row r="114" spans="1:13" x14ac:dyDescent="0.25">
      <c r="A114" s="37" t="s">
        <v>1995</v>
      </c>
      <c r="B114" s="37" t="s">
        <v>346</v>
      </c>
      <c r="C114" s="37">
        <v>900</v>
      </c>
      <c r="D114" s="37">
        <v>260</v>
      </c>
      <c r="E114" s="37" t="s">
        <v>1877</v>
      </c>
      <c r="F114" s="37"/>
      <c r="G114" s="37" t="s">
        <v>352</v>
      </c>
      <c r="H114" s="37" t="s">
        <v>1991</v>
      </c>
      <c r="I114" s="42">
        <f t="shared" si="3"/>
        <v>260</v>
      </c>
      <c r="J114" s="38">
        <f t="shared" si="4"/>
        <v>6.8023947633243109</v>
      </c>
      <c r="K114" s="38">
        <f t="shared" si="5"/>
        <v>5.5606816310155276</v>
      </c>
      <c r="L114" s="40" t="b">
        <f>IF(B114=B113,C114&gt;C113,COUNTIF(B$1:B113,B114)=0)</f>
        <v>1</v>
      </c>
      <c r="M114" s="1"/>
    </row>
    <row r="115" spans="1:13" x14ac:dyDescent="0.25">
      <c r="A115" s="37" t="s">
        <v>1996</v>
      </c>
      <c r="B115" s="37" t="s">
        <v>346</v>
      </c>
      <c r="C115" s="37">
        <v>1500</v>
      </c>
      <c r="D115" s="37">
        <v>200</v>
      </c>
      <c r="E115" s="37" t="s">
        <v>1877</v>
      </c>
      <c r="F115" s="37"/>
      <c r="G115" s="37" t="s">
        <v>352</v>
      </c>
      <c r="H115" s="37" t="s">
        <v>1991</v>
      </c>
      <c r="I115" s="42">
        <f t="shared" si="3"/>
        <v>200</v>
      </c>
      <c r="J115" s="38">
        <f t="shared" si="4"/>
        <v>7.3132203870903014</v>
      </c>
      <c r="K115" s="38">
        <f t="shared" si="5"/>
        <v>5.2983173665480363</v>
      </c>
      <c r="L115" s="40" t="b">
        <f>IF(B115=B114,C115&gt;C114,COUNTIF(B$1:B114,B115)=0)</f>
        <v>1</v>
      </c>
      <c r="M115" s="1"/>
    </row>
    <row r="116" spans="1:13" x14ac:dyDescent="0.25">
      <c r="A116" s="37" t="s">
        <v>1997</v>
      </c>
      <c r="B116" s="37" t="s">
        <v>346</v>
      </c>
      <c r="C116" s="37">
        <v>1800</v>
      </c>
      <c r="D116" s="37">
        <v>180</v>
      </c>
      <c r="E116" s="37" t="s">
        <v>1877</v>
      </c>
      <c r="F116" s="37"/>
      <c r="G116" s="37" t="s">
        <v>352</v>
      </c>
      <c r="H116" s="37" t="s">
        <v>1991</v>
      </c>
      <c r="I116" s="42">
        <f t="shared" si="3"/>
        <v>180</v>
      </c>
      <c r="J116" s="38">
        <f t="shared" si="4"/>
        <v>7.4955419438842563</v>
      </c>
      <c r="K116" s="38">
        <f t="shared" si="5"/>
        <v>5.1929568508902104</v>
      </c>
      <c r="L116" s="40" t="b">
        <f>IF(B116=B115,C116&gt;C115,COUNTIF(B$1:B115,B116)=0)</f>
        <v>1</v>
      </c>
      <c r="M116" s="1"/>
    </row>
    <row r="117" spans="1:13" x14ac:dyDescent="0.25">
      <c r="A117" s="37" t="s">
        <v>1998</v>
      </c>
      <c r="B117" s="37" t="s">
        <v>346</v>
      </c>
      <c r="C117" s="37">
        <v>2000</v>
      </c>
      <c r="D117" s="37">
        <v>170</v>
      </c>
      <c r="E117" s="37" t="s">
        <v>1877</v>
      </c>
      <c r="F117" s="37"/>
      <c r="G117" s="37" t="s">
        <v>352</v>
      </c>
      <c r="H117" s="37" t="s">
        <v>1991</v>
      </c>
      <c r="I117" s="42">
        <f t="shared" si="3"/>
        <v>170</v>
      </c>
      <c r="J117" s="38">
        <f t="shared" si="4"/>
        <v>7.6009024595420822</v>
      </c>
      <c r="K117" s="38">
        <f t="shared" si="5"/>
        <v>5.1357984370502621</v>
      </c>
      <c r="L117" s="40" t="b">
        <f>IF(B117=B116,C117&gt;C116,COUNTIF(B$1:B116,B117)=0)</f>
        <v>1</v>
      </c>
      <c r="M117" s="1"/>
    </row>
    <row r="118" spans="1:13" x14ac:dyDescent="0.25">
      <c r="A118" s="37" t="s">
        <v>1999</v>
      </c>
      <c r="B118" s="37" t="s">
        <v>346</v>
      </c>
      <c r="C118" s="37">
        <v>2500</v>
      </c>
      <c r="D118" s="37">
        <v>150</v>
      </c>
      <c r="E118" s="37" t="s">
        <v>1877</v>
      </c>
      <c r="F118" s="37"/>
      <c r="G118" s="37" t="s">
        <v>352</v>
      </c>
      <c r="H118" s="37" t="s">
        <v>1991</v>
      </c>
      <c r="I118" s="42">
        <f t="shared" si="3"/>
        <v>150</v>
      </c>
      <c r="J118" s="38">
        <f t="shared" si="4"/>
        <v>7.8240460108562919</v>
      </c>
      <c r="K118" s="38">
        <f t="shared" si="5"/>
        <v>5.0106352940962555</v>
      </c>
      <c r="L118" s="40" t="b">
        <f>IF(B118=B117,C118&gt;C117,COUNTIF(B$1:B117,B118)=0)</f>
        <v>1</v>
      </c>
      <c r="M118" s="1"/>
    </row>
    <row r="119" spans="1:13" x14ac:dyDescent="0.25">
      <c r="A119" s="37" t="s">
        <v>2000</v>
      </c>
      <c r="B119" s="37" t="s">
        <v>346</v>
      </c>
      <c r="C119" s="37">
        <v>5800</v>
      </c>
      <c r="D119" s="37">
        <v>100</v>
      </c>
      <c r="E119" s="37" t="s">
        <v>1877</v>
      </c>
      <c r="F119" s="37"/>
      <c r="G119" s="37" t="s">
        <v>352</v>
      </c>
      <c r="H119" s="37" t="s">
        <v>1991</v>
      </c>
      <c r="I119" s="42">
        <f t="shared" si="3"/>
        <v>100</v>
      </c>
      <c r="J119" s="38">
        <f t="shared" si="4"/>
        <v>8.66561319653451</v>
      </c>
      <c r="K119" s="38">
        <f t="shared" si="5"/>
        <v>4.6051701859880918</v>
      </c>
      <c r="L119" s="40" t="b">
        <f>IF(B119=B118,C119&gt;C118,COUNTIF(B$1:B118,B119)=0)</f>
        <v>1</v>
      </c>
      <c r="M119" s="1"/>
    </row>
    <row r="120" spans="1:13" x14ac:dyDescent="0.25">
      <c r="A120" s="37" t="s">
        <v>2001</v>
      </c>
      <c r="B120" s="37" t="s">
        <v>371</v>
      </c>
      <c r="C120" s="37">
        <v>1</v>
      </c>
      <c r="D120" s="37">
        <v>9295</v>
      </c>
      <c r="E120" s="37" t="s">
        <v>1877</v>
      </c>
      <c r="F120" s="37"/>
      <c r="G120" s="37" t="s">
        <v>376</v>
      </c>
      <c r="H120" s="37" t="s">
        <v>1885</v>
      </c>
      <c r="I120" s="42">
        <f t="shared" si="3"/>
        <v>9295</v>
      </c>
      <c r="J120" s="38">
        <f t="shared" si="4"/>
        <v>0</v>
      </c>
      <c r="K120" s="38">
        <f t="shared" si="5"/>
        <v>9.1372319001555447</v>
      </c>
      <c r="L120" s="40" t="b">
        <f>IF(B120=B119,C120&gt;C119,COUNTIF(B$1:B119,B120)=0)</f>
        <v>1</v>
      </c>
      <c r="M120" s="1"/>
    </row>
    <row r="121" spans="1:13" x14ac:dyDescent="0.25">
      <c r="A121" s="37" t="s">
        <v>2002</v>
      </c>
      <c r="B121" s="37" t="s">
        <v>371</v>
      </c>
      <c r="C121" s="37">
        <v>10</v>
      </c>
      <c r="D121" s="37">
        <v>2761</v>
      </c>
      <c r="E121" s="37" t="s">
        <v>1877</v>
      </c>
      <c r="F121" s="37"/>
      <c r="G121" s="37" t="s">
        <v>376</v>
      </c>
      <c r="H121" s="37" t="s">
        <v>1885</v>
      </c>
      <c r="I121" s="42">
        <f t="shared" si="3"/>
        <v>2761</v>
      </c>
      <c r="J121" s="38">
        <f t="shared" si="4"/>
        <v>2.3025850929940459</v>
      </c>
      <c r="K121" s="38">
        <f t="shared" si="5"/>
        <v>7.9233482119301542</v>
      </c>
      <c r="L121" s="40" t="b">
        <f>IF(B121=B120,C121&gt;C120,COUNTIF(B$1:B120,B121)=0)</f>
        <v>1</v>
      </c>
      <c r="M121" s="1"/>
    </row>
    <row r="122" spans="1:13" x14ac:dyDescent="0.25">
      <c r="A122" s="37" t="s">
        <v>2003</v>
      </c>
      <c r="B122" s="37" t="s">
        <v>371</v>
      </c>
      <c r="C122" s="37">
        <v>50</v>
      </c>
      <c r="D122" s="37">
        <v>1122</v>
      </c>
      <c r="E122" s="37" t="s">
        <v>1877</v>
      </c>
      <c r="F122" s="37"/>
      <c r="G122" s="37" t="s">
        <v>376</v>
      </c>
      <c r="H122" s="37" t="s">
        <v>1885</v>
      </c>
      <c r="I122" s="42">
        <f t="shared" si="3"/>
        <v>1122</v>
      </c>
      <c r="J122" s="38">
        <f t="shared" si="4"/>
        <v>3.912023005428146</v>
      </c>
      <c r="K122" s="38">
        <f t="shared" si="5"/>
        <v>7.0228680860826413</v>
      </c>
      <c r="L122" s="40" t="b">
        <f>IF(B122=B121,C122&gt;C121,COUNTIF(B$1:B121,B122)=0)</f>
        <v>1</v>
      </c>
      <c r="M122" s="1"/>
    </row>
    <row r="123" spans="1:13" x14ac:dyDescent="0.25">
      <c r="A123" s="37" t="s">
        <v>2004</v>
      </c>
      <c r="B123" s="37" t="s">
        <v>371</v>
      </c>
      <c r="C123" s="37">
        <v>100</v>
      </c>
      <c r="D123" s="37">
        <v>748</v>
      </c>
      <c r="E123" s="37" t="s">
        <v>1877</v>
      </c>
      <c r="F123" s="37"/>
      <c r="G123" s="37" t="s">
        <v>376</v>
      </c>
      <c r="H123" s="37" t="s">
        <v>1885</v>
      </c>
      <c r="I123" s="42">
        <f t="shared" si="3"/>
        <v>748</v>
      </c>
      <c r="J123" s="38">
        <f t="shared" si="4"/>
        <v>4.6051701859880918</v>
      </c>
      <c r="K123" s="38">
        <f t="shared" si="5"/>
        <v>6.6174029779744776</v>
      </c>
      <c r="L123" s="40" t="b">
        <f>IF(B123=B122,C123&gt;C122,COUNTIF(B$1:B122,B123)=0)</f>
        <v>1</v>
      </c>
      <c r="M123" s="1"/>
    </row>
    <row r="124" spans="1:13" x14ac:dyDescent="0.25">
      <c r="A124" s="37" t="s">
        <v>2005</v>
      </c>
      <c r="B124" s="37" t="s">
        <v>371</v>
      </c>
      <c r="C124" s="37">
        <v>200</v>
      </c>
      <c r="D124" s="37">
        <v>494</v>
      </c>
      <c r="E124" s="37" t="s">
        <v>1877</v>
      </c>
      <c r="F124" s="37"/>
      <c r="G124" s="37" t="s">
        <v>376</v>
      </c>
      <c r="H124" s="37" t="s">
        <v>1885</v>
      </c>
      <c r="I124" s="42">
        <f t="shared" si="3"/>
        <v>494</v>
      </c>
      <c r="J124" s="38">
        <f t="shared" si="4"/>
        <v>5.2983173665480363</v>
      </c>
      <c r="K124" s="38">
        <f t="shared" si="5"/>
        <v>6.2025355171879228</v>
      </c>
      <c r="L124" s="40" t="b">
        <f>IF(B124=B123,C124&gt;C123,COUNTIF(B$1:B123,B124)=0)</f>
        <v>1</v>
      </c>
      <c r="M124" s="1"/>
    </row>
    <row r="125" spans="1:13" x14ac:dyDescent="0.25">
      <c r="A125" s="37" t="s">
        <v>2006</v>
      </c>
      <c r="B125" s="37" t="s">
        <v>371</v>
      </c>
      <c r="C125" s="37">
        <v>400</v>
      </c>
      <c r="D125" s="37">
        <v>326</v>
      </c>
      <c r="E125" s="37" t="s">
        <v>1877</v>
      </c>
      <c r="F125" s="37"/>
      <c r="G125" s="37" t="s">
        <v>376</v>
      </c>
      <c r="H125" s="37" t="s">
        <v>1885</v>
      </c>
      <c r="I125" s="42">
        <f t="shared" si="3"/>
        <v>326</v>
      </c>
      <c r="J125" s="38">
        <f t="shared" si="4"/>
        <v>5.9914645471079817</v>
      </c>
      <c r="K125" s="38">
        <f t="shared" si="5"/>
        <v>5.7868973813667077</v>
      </c>
      <c r="L125" s="40" t="b">
        <f>IF(B125=B124,C125&gt;C124,COUNTIF(B$1:B124,B125)=0)</f>
        <v>1</v>
      </c>
      <c r="M125" s="1"/>
    </row>
    <row r="126" spans="1:13" x14ac:dyDescent="0.25">
      <c r="A126" s="37" t="s">
        <v>2007</v>
      </c>
      <c r="B126" s="37" t="s">
        <v>371</v>
      </c>
      <c r="C126" s="37">
        <v>700</v>
      </c>
      <c r="D126" s="37">
        <v>235</v>
      </c>
      <c r="E126" s="37" t="s">
        <v>1877</v>
      </c>
      <c r="F126" s="37"/>
      <c r="G126" s="37" t="s">
        <v>376</v>
      </c>
      <c r="H126" s="37" t="s">
        <v>1885</v>
      </c>
      <c r="I126" s="42">
        <f t="shared" si="3"/>
        <v>235</v>
      </c>
      <c r="J126" s="38">
        <f t="shared" si="4"/>
        <v>6.5510803350434044</v>
      </c>
      <c r="K126" s="38">
        <f t="shared" si="5"/>
        <v>5.4595855141441589</v>
      </c>
      <c r="L126" s="40" t="b">
        <f>IF(B126=B125,C126&gt;C125,COUNTIF(B$1:B125,B126)=0)</f>
        <v>1</v>
      </c>
      <c r="M126" s="1"/>
    </row>
    <row r="127" spans="1:13" x14ac:dyDescent="0.25">
      <c r="A127" s="37" t="s">
        <v>2008</v>
      </c>
      <c r="B127" s="37" t="s">
        <v>371</v>
      </c>
      <c r="C127" s="37">
        <v>900</v>
      </c>
      <c r="D127" s="37">
        <v>205</v>
      </c>
      <c r="E127" s="37" t="s">
        <v>1877</v>
      </c>
      <c r="F127" s="37"/>
      <c r="G127" s="37" t="s">
        <v>376</v>
      </c>
      <c r="H127" s="37" t="s">
        <v>1885</v>
      </c>
      <c r="I127" s="42">
        <f t="shared" si="3"/>
        <v>205</v>
      </c>
      <c r="J127" s="38">
        <f t="shared" si="4"/>
        <v>6.8023947633243109</v>
      </c>
      <c r="K127" s="38">
        <f t="shared" si="5"/>
        <v>5.3230099791384085</v>
      </c>
      <c r="L127" s="40" t="b">
        <f>IF(B127=B126,C127&gt;C126,COUNTIF(B$1:B126,B127)=0)</f>
        <v>1</v>
      </c>
      <c r="M127" s="1"/>
    </row>
    <row r="128" spans="1:13" x14ac:dyDescent="0.25">
      <c r="A128" s="37" t="s">
        <v>2009</v>
      </c>
      <c r="B128" s="37" t="s">
        <v>371</v>
      </c>
      <c r="C128" s="37">
        <v>1000</v>
      </c>
      <c r="D128" s="37">
        <v>194</v>
      </c>
      <c r="E128" s="37" t="s">
        <v>1877</v>
      </c>
      <c r="F128" s="37"/>
      <c r="G128" s="37" t="s">
        <v>376</v>
      </c>
      <c r="H128" s="37" t="s">
        <v>1885</v>
      </c>
      <c r="I128" s="42">
        <f t="shared" si="3"/>
        <v>194</v>
      </c>
      <c r="J128" s="38">
        <f t="shared" si="4"/>
        <v>6.9077552789821368</v>
      </c>
      <c r="K128" s="38">
        <f t="shared" si="5"/>
        <v>5.2678581590633282</v>
      </c>
      <c r="L128" s="40" t="b">
        <f>IF(B128=B127,C128&gt;C127,COUNTIF(B$1:B127,B128)=0)</f>
        <v>1</v>
      </c>
      <c r="M128" s="1"/>
    </row>
    <row r="129" spans="1:13" x14ac:dyDescent="0.25">
      <c r="A129" s="37" t="s">
        <v>2010</v>
      </c>
      <c r="B129" s="37" t="s">
        <v>371</v>
      </c>
      <c r="C129" s="37">
        <v>4000</v>
      </c>
      <c r="D129" s="37">
        <v>110</v>
      </c>
      <c r="E129" s="37" t="s">
        <v>1877</v>
      </c>
      <c r="F129" s="37"/>
      <c r="G129" s="37" t="s">
        <v>376</v>
      </c>
      <c r="H129" s="37" t="s">
        <v>1885</v>
      </c>
      <c r="I129" s="42">
        <f t="shared" si="3"/>
        <v>110</v>
      </c>
      <c r="J129" s="38">
        <f t="shared" si="4"/>
        <v>8.2940496401020276</v>
      </c>
      <c r="K129" s="38">
        <f t="shared" si="5"/>
        <v>4.7004803657924166</v>
      </c>
      <c r="L129" s="40" t="b">
        <f>IF(B129=B128,C129&gt;C128,COUNTIF(B$1:B128,B129)=0)</f>
        <v>1</v>
      </c>
      <c r="M129" s="1"/>
    </row>
    <row r="130" spans="1:13" x14ac:dyDescent="0.25">
      <c r="A130" s="37" t="s">
        <v>2011</v>
      </c>
      <c r="B130" s="37" t="s">
        <v>378</v>
      </c>
      <c r="C130" s="37">
        <v>50</v>
      </c>
      <c r="D130" s="37">
        <v>1500</v>
      </c>
      <c r="E130" s="37" t="s">
        <v>1877</v>
      </c>
      <c r="F130" s="37"/>
      <c r="G130" s="37" t="s">
        <v>382</v>
      </c>
      <c r="H130" s="37" t="s">
        <v>708</v>
      </c>
      <c r="I130" s="42">
        <f t="shared" ref="I130:I193" si="6">IF(E130="kW",D130*1000,D130)</f>
        <v>1500</v>
      </c>
      <c r="J130" s="38">
        <f t="shared" ref="J130:J193" si="7">LN(C130)</f>
        <v>3.912023005428146</v>
      </c>
      <c r="K130" s="38">
        <f t="shared" ref="K130:K193" si="8">LN(I130)</f>
        <v>7.3132203870903014</v>
      </c>
      <c r="L130" s="40" t="b">
        <f>IF(B130=B129,C130&gt;C129,COUNTIF(B$1:B129,B130)=0)</f>
        <v>1</v>
      </c>
      <c r="M130" s="1"/>
    </row>
    <row r="131" spans="1:13" x14ac:dyDescent="0.25">
      <c r="A131" s="37" t="s">
        <v>2012</v>
      </c>
      <c r="B131" s="37" t="s">
        <v>378</v>
      </c>
      <c r="C131" s="37">
        <v>100</v>
      </c>
      <c r="D131" s="37">
        <v>907</v>
      </c>
      <c r="E131" s="37" t="s">
        <v>1877</v>
      </c>
      <c r="F131" s="37"/>
      <c r="G131" s="37" t="s">
        <v>382</v>
      </c>
      <c r="H131" s="37" t="s">
        <v>708</v>
      </c>
      <c r="I131" s="42">
        <f t="shared" si="6"/>
        <v>907</v>
      </c>
      <c r="J131" s="38">
        <f t="shared" si="7"/>
        <v>4.6051701859880918</v>
      </c>
      <c r="K131" s="38">
        <f t="shared" si="8"/>
        <v>6.8101424501151362</v>
      </c>
      <c r="L131" s="40" t="b">
        <f>IF(B131=B130,C131&gt;C130,COUNTIF(B$1:B130,B131)=0)</f>
        <v>1</v>
      </c>
      <c r="M131" s="1"/>
    </row>
    <row r="132" spans="1:13" x14ac:dyDescent="0.25">
      <c r="A132" s="37" t="s">
        <v>2013</v>
      </c>
      <c r="B132" s="37" t="s">
        <v>378</v>
      </c>
      <c r="C132" s="37">
        <v>200</v>
      </c>
      <c r="D132" s="37">
        <v>549</v>
      </c>
      <c r="E132" s="37" t="s">
        <v>1877</v>
      </c>
      <c r="F132" s="37"/>
      <c r="G132" s="37" t="s">
        <v>382</v>
      </c>
      <c r="H132" s="37" t="s">
        <v>708</v>
      </c>
      <c r="I132" s="42">
        <f t="shared" si="6"/>
        <v>549</v>
      </c>
      <c r="J132" s="38">
        <f t="shared" si="7"/>
        <v>5.2983173665480363</v>
      </c>
      <c r="K132" s="38">
        <f t="shared" si="8"/>
        <v>6.3080984415095305</v>
      </c>
      <c r="L132" s="40" t="b">
        <f>IF(B132=B131,C132&gt;C131,COUNTIF(B$1:B131,B132)=0)</f>
        <v>1</v>
      </c>
      <c r="M132" s="1"/>
    </row>
    <row r="133" spans="1:13" x14ac:dyDescent="0.25">
      <c r="A133" s="37" t="s">
        <v>2014</v>
      </c>
      <c r="B133" s="37" t="s">
        <v>378</v>
      </c>
      <c r="C133" s="37">
        <v>400</v>
      </c>
      <c r="D133" s="37">
        <v>332</v>
      </c>
      <c r="E133" s="37" t="s">
        <v>1877</v>
      </c>
      <c r="F133" s="37"/>
      <c r="G133" s="37" t="s">
        <v>382</v>
      </c>
      <c r="H133" s="37" t="s">
        <v>708</v>
      </c>
      <c r="I133" s="42">
        <f t="shared" si="6"/>
        <v>332</v>
      </c>
      <c r="J133" s="38">
        <f t="shared" si="7"/>
        <v>5.9914645471079817</v>
      </c>
      <c r="K133" s="38">
        <f t="shared" si="8"/>
        <v>5.8051349689164882</v>
      </c>
      <c r="L133" s="40" t="b">
        <f>IF(B133=B132,C133&gt;C132,COUNTIF(B$1:B132,B133)=0)</f>
        <v>1</v>
      </c>
      <c r="M133" s="1"/>
    </row>
    <row r="134" spans="1:13" x14ac:dyDescent="0.25">
      <c r="A134" s="37" t="s">
        <v>2015</v>
      </c>
      <c r="B134" s="37" t="s">
        <v>378</v>
      </c>
      <c r="C134" s="37">
        <v>700</v>
      </c>
      <c r="D134" s="37">
        <v>221</v>
      </c>
      <c r="E134" s="37" t="s">
        <v>1877</v>
      </c>
      <c r="F134" s="37"/>
      <c r="G134" s="37" t="s">
        <v>382</v>
      </c>
      <c r="H134" s="37" t="s">
        <v>708</v>
      </c>
      <c r="I134" s="42">
        <f t="shared" si="6"/>
        <v>221</v>
      </c>
      <c r="J134" s="38">
        <f t="shared" si="7"/>
        <v>6.5510803350434044</v>
      </c>
      <c r="K134" s="38">
        <f t="shared" si="8"/>
        <v>5.3981627015177525</v>
      </c>
      <c r="L134" s="40" t="b">
        <f>IF(B134=B133,C134&gt;C133,COUNTIF(B$1:B133,B134)=0)</f>
        <v>1</v>
      </c>
      <c r="M134" s="1"/>
    </row>
    <row r="135" spans="1:13" x14ac:dyDescent="0.25">
      <c r="A135" s="37" t="s">
        <v>2016</v>
      </c>
      <c r="B135" s="37" t="s">
        <v>378</v>
      </c>
      <c r="C135" s="37">
        <v>900</v>
      </c>
      <c r="D135" s="37">
        <v>184</v>
      </c>
      <c r="E135" s="37" t="s">
        <v>1877</v>
      </c>
      <c r="F135" s="37"/>
      <c r="G135" s="37" t="s">
        <v>382</v>
      </c>
      <c r="H135" s="37" t="s">
        <v>708</v>
      </c>
      <c r="I135" s="42">
        <f t="shared" si="6"/>
        <v>184</v>
      </c>
      <c r="J135" s="38">
        <f t="shared" si="7"/>
        <v>6.8023947633243109</v>
      </c>
      <c r="K135" s="38">
        <f t="shared" si="8"/>
        <v>5.2149357576089859</v>
      </c>
      <c r="L135" s="40" t="b">
        <f>IF(B135=B134,C135&gt;C134,COUNTIF(B$1:B134,B135)=0)</f>
        <v>1</v>
      </c>
      <c r="M135" s="1"/>
    </row>
    <row r="136" spans="1:13" x14ac:dyDescent="0.25">
      <c r="A136" s="37" t="s">
        <v>2017</v>
      </c>
      <c r="B136" s="37" t="s">
        <v>378</v>
      </c>
      <c r="C136" s="37">
        <v>1000</v>
      </c>
      <c r="D136" s="37">
        <v>171</v>
      </c>
      <c r="E136" s="37" t="s">
        <v>1877</v>
      </c>
      <c r="F136" s="37"/>
      <c r="G136" s="37" t="s">
        <v>382</v>
      </c>
      <c r="H136" s="37" t="s">
        <v>708</v>
      </c>
      <c r="I136" s="42">
        <f t="shared" si="6"/>
        <v>171</v>
      </c>
      <c r="J136" s="38">
        <f t="shared" si="7"/>
        <v>6.9077552789821368</v>
      </c>
      <c r="K136" s="38">
        <f t="shared" si="8"/>
        <v>5.1416635565026603</v>
      </c>
      <c r="L136" s="40" t="b">
        <f>IF(B136=B135,C136&gt;C135,COUNTIF(B$1:B135,B136)=0)</f>
        <v>1</v>
      </c>
      <c r="M136" s="1"/>
    </row>
    <row r="137" spans="1:13" x14ac:dyDescent="0.25">
      <c r="A137" s="37" t="s">
        <v>2018</v>
      </c>
      <c r="B137" s="37" t="s">
        <v>378</v>
      </c>
      <c r="C137" s="37">
        <v>4000</v>
      </c>
      <c r="D137" s="37">
        <v>62</v>
      </c>
      <c r="E137" s="37" t="s">
        <v>1877</v>
      </c>
      <c r="F137" s="37"/>
      <c r="G137" s="37" t="s">
        <v>382</v>
      </c>
      <c r="H137" s="37" t="s">
        <v>708</v>
      </c>
      <c r="I137" s="42">
        <f t="shared" si="6"/>
        <v>62</v>
      </c>
      <c r="J137" s="38">
        <f t="shared" si="7"/>
        <v>8.2940496401020276</v>
      </c>
      <c r="K137" s="38">
        <f t="shared" si="8"/>
        <v>4.1271343850450917</v>
      </c>
      <c r="L137" s="40" t="b">
        <f>IF(B137=B136,C137&gt;C136,COUNTIF(B$1:B136,B137)=0)</f>
        <v>1</v>
      </c>
      <c r="M137" s="1"/>
    </row>
    <row r="138" spans="1:13" x14ac:dyDescent="0.25">
      <c r="A138" s="37" t="s">
        <v>2019</v>
      </c>
      <c r="B138" s="37" t="s">
        <v>388</v>
      </c>
      <c r="C138" s="37">
        <v>10</v>
      </c>
      <c r="D138" s="37">
        <v>2040</v>
      </c>
      <c r="E138" s="37" t="s">
        <v>1877</v>
      </c>
      <c r="F138" s="37">
        <v>40</v>
      </c>
      <c r="G138" s="37" t="s">
        <v>395</v>
      </c>
      <c r="H138" s="37" t="s">
        <v>2020</v>
      </c>
      <c r="I138" s="42">
        <f t="shared" si="6"/>
        <v>2040</v>
      </c>
      <c r="J138" s="38">
        <f t="shared" si="7"/>
        <v>2.3025850929940459</v>
      </c>
      <c r="K138" s="38">
        <f t="shared" si="8"/>
        <v>7.620705086838262</v>
      </c>
      <c r="L138" s="40" t="b">
        <f>IF(B138=B137,C138&gt;C137,COUNTIF(B$1:B137,B138)=0)</f>
        <v>1</v>
      </c>
      <c r="M138" s="1"/>
    </row>
    <row r="139" spans="1:13" x14ac:dyDescent="0.25">
      <c r="A139" s="37" t="s">
        <v>2021</v>
      </c>
      <c r="B139" s="37" t="s">
        <v>388</v>
      </c>
      <c r="C139" s="37">
        <v>100</v>
      </c>
      <c r="D139" s="37">
        <v>620</v>
      </c>
      <c r="E139" s="37" t="s">
        <v>1877</v>
      </c>
      <c r="F139" s="37">
        <v>40</v>
      </c>
      <c r="G139" s="37" t="s">
        <v>395</v>
      </c>
      <c r="H139" s="37" t="s">
        <v>2020</v>
      </c>
      <c r="I139" s="42">
        <f t="shared" si="6"/>
        <v>620</v>
      </c>
      <c r="J139" s="38">
        <f t="shared" si="7"/>
        <v>4.6051701859880918</v>
      </c>
      <c r="K139" s="38">
        <f t="shared" si="8"/>
        <v>6.4297194780391376</v>
      </c>
      <c r="L139" s="40" t="b">
        <f>IF(B139=B138,C139&gt;C138,COUNTIF(B$1:B138,B139)=0)</f>
        <v>1</v>
      </c>
      <c r="M139" s="1"/>
    </row>
    <row r="140" spans="1:13" x14ac:dyDescent="0.25">
      <c r="A140" s="37" t="s">
        <v>2022</v>
      </c>
      <c r="B140" s="37" t="s">
        <v>388</v>
      </c>
      <c r="C140" s="37">
        <v>500</v>
      </c>
      <c r="D140" s="37">
        <v>260</v>
      </c>
      <c r="E140" s="37" t="s">
        <v>1877</v>
      </c>
      <c r="F140" s="37">
        <v>40</v>
      </c>
      <c r="G140" s="37" t="s">
        <v>395</v>
      </c>
      <c r="H140" s="37" t="s">
        <v>2020</v>
      </c>
      <c r="I140" s="42">
        <f t="shared" si="6"/>
        <v>260</v>
      </c>
      <c r="J140" s="38">
        <f t="shared" si="7"/>
        <v>6.2146080984221914</v>
      </c>
      <c r="K140" s="38">
        <f t="shared" si="8"/>
        <v>5.5606816310155276</v>
      </c>
      <c r="L140" s="40" t="b">
        <f>IF(B140=B139,C140&gt;C139,COUNTIF(B$1:B139,B140)=0)</f>
        <v>1</v>
      </c>
      <c r="M140" s="1"/>
    </row>
    <row r="141" spans="1:13" x14ac:dyDescent="0.25">
      <c r="A141" s="37" t="s">
        <v>2023</v>
      </c>
      <c r="B141" s="37" t="s">
        <v>388</v>
      </c>
      <c r="C141" s="37">
        <v>1000</v>
      </c>
      <c r="D141" s="37">
        <v>180</v>
      </c>
      <c r="E141" s="37" t="s">
        <v>1877</v>
      </c>
      <c r="F141" s="37">
        <v>40</v>
      </c>
      <c r="G141" s="37" t="s">
        <v>395</v>
      </c>
      <c r="H141" s="37" t="s">
        <v>2020</v>
      </c>
      <c r="I141" s="42">
        <f t="shared" si="6"/>
        <v>180</v>
      </c>
      <c r="J141" s="38">
        <f t="shared" si="7"/>
        <v>6.9077552789821368</v>
      </c>
      <c r="K141" s="38">
        <f t="shared" si="8"/>
        <v>5.1929568508902104</v>
      </c>
      <c r="L141" s="40" t="b">
        <f>IF(B141=B140,C141&gt;C140,COUNTIF(B$1:B140,B141)=0)</f>
        <v>1</v>
      </c>
      <c r="M141" s="1"/>
    </row>
    <row r="142" spans="1:13" x14ac:dyDescent="0.25">
      <c r="A142" s="37" t="s">
        <v>2024</v>
      </c>
      <c r="B142" s="37" t="s">
        <v>388</v>
      </c>
      <c r="C142" s="37">
        <v>2000</v>
      </c>
      <c r="D142" s="37">
        <v>120</v>
      </c>
      <c r="E142" s="37" t="s">
        <v>1877</v>
      </c>
      <c r="F142" s="37">
        <v>40</v>
      </c>
      <c r="G142" s="37" t="s">
        <v>395</v>
      </c>
      <c r="H142" s="37" t="s">
        <v>2020</v>
      </c>
      <c r="I142" s="42">
        <f t="shared" si="6"/>
        <v>120</v>
      </c>
      <c r="J142" s="38">
        <f t="shared" si="7"/>
        <v>7.6009024595420822</v>
      </c>
      <c r="K142" s="38">
        <f t="shared" si="8"/>
        <v>4.7874917427820458</v>
      </c>
      <c r="L142" s="40" t="b">
        <f>IF(B142=B141,C142&gt;C141,COUNTIF(B$1:B141,B142)=0)</f>
        <v>1</v>
      </c>
      <c r="M142" s="1"/>
    </row>
    <row r="143" spans="1:13" x14ac:dyDescent="0.25">
      <c r="A143" s="37" t="s">
        <v>2025</v>
      </c>
      <c r="B143" s="37" t="s">
        <v>388</v>
      </c>
      <c r="C143" s="37">
        <v>3000</v>
      </c>
      <c r="D143" s="37">
        <v>90</v>
      </c>
      <c r="E143" s="37" t="s">
        <v>1877</v>
      </c>
      <c r="F143" s="37">
        <v>40</v>
      </c>
      <c r="G143" s="37" t="s">
        <v>395</v>
      </c>
      <c r="H143" s="37" t="s">
        <v>2020</v>
      </c>
      <c r="I143" s="42">
        <f t="shared" si="6"/>
        <v>90</v>
      </c>
      <c r="J143" s="38">
        <f t="shared" si="7"/>
        <v>8.0063675676502459</v>
      </c>
      <c r="K143" s="38">
        <f t="shared" si="8"/>
        <v>4.499809670330265</v>
      </c>
      <c r="L143" s="40" t="b">
        <f>IF(B143=B142,C143&gt;C142,COUNTIF(B$1:B142,B143)=0)</f>
        <v>1</v>
      </c>
      <c r="M143" s="1"/>
    </row>
    <row r="144" spans="1:13" x14ac:dyDescent="0.25">
      <c r="A144" s="37" t="s">
        <v>2026</v>
      </c>
      <c r="B144" s="37" t="s">
        <v>397</v>
      </c>
      <c r="C144" s="37">
        <v>30</v>
      </c>
      <c r="D144" s="37">
        <v>2.1</v>
      </c>
      <c r="E144" s="37" t="s">
        <v>1895</v>
      </c>
      <c r="F144" s="37">
        <v>40</v>
      </c>
      <c r="G144" s="37" t="s">
        <v>207</v>
      </c>
      <c r="H144" s="37" t="s">
        <v>1896</v>
      </c>
      <c r="I144" s="42">
        <f t="shared" si="6"/>
        <v>2100</v>
      </c>
      <c r="J144" s="38">
        <f t="shared" si="7"/>
        <v>3.4011973816621555</v>
      </c>
      <c r="K144" s="38">
        <f t="shared" si="8"/>
        <v>7.6496926237115144</v>
      </c>
      <c r="L144" s="40" t="b">
        <f>IF(B144=B143,C144&gt;C143,COUNTIF(B$1:B143,B144)=0)</f>
        <v>1</v>
      </c>
      <c r="M144" s="1"/>
    </row>
    <row r="145" spans="1:13" x14ac:dyDescent="0.25">
      <c r="A145" s="37" t="s">
        <v>2027</v>
      </c>
      <c r="B145" s="37" t="s">
        <v>397</v>
      </c>
      <c r="C145" s="37">
        <v>50</v>
      </c>
      <c r="D145" s="37">
        <v>1.6</v>
      </c>
      <c r="E145" s="37" t="s">
        <v>1895</v>
      </c>
      <c r="F145" s="37">
        <v>40</v>
      </c>
      <c r="G145" s="37" t="s">
        <v>207</v>
      </c>
      <c r="H145" s="37" t="s">
        <v>1896</v>
      </c>
      <c r="I145" s="42">
        <f t="shared" si="6"/>
        <v>1600</v>
      </c>
      <c r="J145" s="38">
        <f t="shared" si="7"/>
        <v>3.912023005428146</v>
      </c>
      <c r="K145" s="38">
        <f t="shared" si="8"/>
        <v>7.3777589082278725</v>
      </c>
      <c r="L145" s="40" t="b">
        <f>IF(B145=B144,C145&gt;C144,COUNTIF(B$1:B144,B145)=0)</f>
        <v>1</v>
      </c>
      <c r="M145" s="1"/>
    </row>
    <row r="146" spans="1:13" x14ac:dyDescent="0.25">
      <c r="A146" s="37" t="s">
        <v>2028</v>
      </c>
      <c r="B146" s="37" t="s">
        <v>397</v>
      </c>
      <c r="C146" s="37">
        <v>150</v>
      </c>
      <c r="D146" s="37">
        <v>0.93</v>
      </c>
      <c r="E146" s="37" t="s">
        <v>1895</v>
      </c>
      <c r="F146" s="37">
        <v>40</v>
      </c>
      <c r="G146" s="37" t="s">
        <v>207</v>
      </c>
      <c r="H146" s="37" t="s">
        <v>1896</v>
      </c>
      <c r="I146" s="42">
        <f t="shared" si="6"/>
        <v>930</v>
      </c>
      <c r="J146" s="38">
        <f t="shared" si="7"/>
        <v>5.0106352940962555</v>
      </c>
      <c r="K146" s="38">
        <f t="shared" si="8"/>
        <v>6.8351845861473013</v>
      </c>
      <c r="L146" s="40" t="b">
        <f>IF(B146=B145,C146&gt;C145,COUNTIF(B$1:B145,B146)=0)</f>
        <v>1</v>
      </c>
      <c r="M146" s="1"/>
    </row>
    <row r="147" spans="1:13" x14ac:dyDescent="0.25">
      <c r="A147" s="37" t="s">
        <v>2029</v>
      </c>
      <c r="B147" s="37" t="s">
        <v>397</v>
      </c>
      <c r="C147" s="37">
        <v>220</v>
      </c>
      <c r="D147" s="37">
        <v>0.76</v>
      </c>
      <c r="E147" s="37" t="s">
        <v>1895</v>
      </c>
      <c r="F147" s="37">
        <v>40</v>
      </c>
      <c r="G147" s="37" t="s">
        <v>207</v>
      </c>
      <c r="H147" s="37" t="s">
        <v>1896</v>
      </c>
      <c r="I147" s="42">
        <f t="shared" si="6"/>
        <v>760</v>
      </c>
      <c r="J147" s="38">
        <f t="shared" si="7"/>
        <v>5.393627546352362</v>
      </c>
      <c r="K147" s="38">
        <f t="shared" si="8"/>
        <v>6.633318433280377</v>
      </c>
      <c r="L147" s="40" t="b">
        <f>IF(B147=B146,C147&gt;C146,COUNTIF(B$1:B146,B147)=0)</f>
        <v>1</v>
      </c>
      <c r="M147" s="1"/>
    </row>
    <row r="148" spans="1:13" x14ac:dyDescent="0.25">
      <c r="A148" s="37" t="s">
        <v>2030</v>
      </c>
      <c r="B148" s="37" t="s">
        <v>397</v>
      </c>
      <c r="C148" s="37">
        <v>450</v>
      </c>
      <c r="D148" s="37">
        <v>0.52</v>
      </c>
      <c r="E148" s="37" t="s">
        <v>1895</v>
      </c>
      <c r="F148" s="37">
        <v>40</v>
      </c>
      <c r="G148" s="37" t="s">
        <v>207</v>
      </c>
      <c r="H148" s="37" t="s">
        <v>1896</v>
      </c>
      <c r="I148" s="42">
        <f t="shared" si="6"/>
        <v>520</v>
      </c>
      <c r="J148" s="38">
        <f t="shared" si="7"/>
        <v>6.1092475827643655</v>
      </c>
      <c r="K148" s="38">
        <f t="shared" si="8"/>
        <v>6.253828811575473</v>
      </c>
      <c r="L148" s="40" t="b">
        <f>IF(B148=B147,C148&gt;C147,COUNTIF(B$1:B147,B148)=0)</f>
        <v>1</v>
      </c>
      <c r="M148" s="1"/>
    </row>
    <row r="149" spans="1:13" x14ac:dyDescent="0.25">
      <c r="A149" s="37" t="s">
        <v>2031</v>
      </c>
      <c r="B149" s="37" t="s">
        <v>397</v>
      </c>
      <c r="C149" s="37">
        <v>700</v>
      </c>
      <c r="D149" s="37">
        <v>0.43</v>
      </c>
      <c r="E149" s="37" t="s">
        <v>1895</v>
      </c>
      <c r="F149" s="37">
        <v>40</v>
      </c>
      <c r="G149" s="37" t="s">
        <v>207</v>
      </c>
      <c r="H149" s="37" t="s">
        <v>1896</v>
      </c>
      <c r="I149" s="42">
        <f t="shared" si="6"/>
        <v>430</v>
      </c>
      <c r="J149" s="38">
        <f t="shared" si="7"/>
        <v>6.5510803350434044</v>
      </c>
      <c r="K149" s="38">
        <f t="shared" si="8"/>
        <v>6.0637852086876078</v>
      </c>
      <c r="L149" s="40" t="b">
        <f>IF(B149=B148,C149&gt;C148,COUNTIF(B$1:B148,B149)=0)</f>
        <v>1</v>
      </c>
      <c r="M149" s="1"/>
    </row>
    <row r="150" spans="1:13" x14ac:dyDescent="0.25">
      <c r="A150" s="37" t="s">
        <v>2032</v>
      </c>
      <c r="B150" s="37" t="s">
        <v>397</v>
      </c>
      <c r="C150" s="37">
        <v>900</v>
      </c>
      <c r="D150" s="37">
        <v>0.36</v>
      </c>
      <c r="E150" s="37" t="s">
        <v>1895</v>
      </c>
      <c r="F150" s="37">
        <v>40</v>
      </c>
      <c r="G150" s="37" t="s">
        <v>207</v>
      </c>
      <c r="H150" s="37" t="s">
        <v>1896</v>
      </c>
      <c r="I150" s="42">
        <f t="shared" si="6"/>
        <v>360</v>
      </c>
      <c r="J150" s="38">
        <f t="shared" si="7"/>
        <v>6.8023947633243109</v>
      </c>
      <c r="K150" s="38">
        <f t="shared" si="8"/>
        <v>5.8861040314501558</v>
      </c>
      <c r="L150" s="40" t="b">
        <f>IF(B150=B149,C150&gt;C149,COUNTIF(B$1:B149,B150)=0)</f>
        <v>1</v>
      </c>
      <c r="M150" s="1"/>
    </row>
    <row r="151" spans="1:13" x14ac:dyDescent="0.25">
      <c r="A151" s="37" t="s">
        <v>2033</v>
      </c>
      <c r="B151" s="37" t="s">
        <v>397</v>
      </c>
      <c r="C151" s="37">
        <v>1500</v>
      </c>
      <c r="D151" s="37">
        <v>0.28000000000000003</v>
      </c>
      <c r="E151" s="37" t="s">
        <v>1895</v>
      </c>
      <c r="F151" s="37">
        <v>40</v>
      </c>
      <c r="G151" s="37" t="s">
        <v>207</v>
      </c>
      <c r="H151" s="37" t="s">
        <v>1896</v>
      </c>
      <c r="I151" s="42">
        <f t="shared" si="6"/>
        <v>280</v>
      </c>
      <c r="J151" s="38">
        <f t="shared" si="7"/>
        <v>7.3132203870903014</v>
      </c>
      <c r="K151" s="38">
        <f t="shared" si="8"/>
        <v>5.6347896031692493</v>
      </c>
      <c r="L151" s="40" t="b">
        <f>IF(B151=B150,C151&gt;C150,COUNTIF(B$1:B150,B151)=0)</f>
        <v>1</v>
      </c>
      <c r="M151" s="1"/>
    </row>
    <row r="152" spans="1:13" x14ac:dyDescent="0.25">
      <c r="A152" s="37" t="s">
        <v>2034</v>
      </c>
      <c r="B152" s="37" t="s">
        <v>397</v>
      </c>
      <c r="C152" s="37">
        <v>2000</v>
      </c>
      <c r="D152" s="37">
        <v>0.24</v>
      </c>
      <c r="E152" s="37" t="s">
        <v>1895</v>
      </c>
      <c r="F152" s="37">
        <v>40</v>
      </c>
      <c r="G152" s="37" t="s">
        <v>207</v>
      </c>
      <c r="H152" s="37" t="s">
        <v>1896</v>
      </c>
      <c r="I152" s="42">
        <f t="shared" si="6"/>
        <v>240</v>
      </c>
      <c r="J152" s="38">
        <f t="shared" si="7"/>
        <v>7.6009024595420822</v>
      </c>
      <c r="K152" s="38">
        <f t="shared" si="8"/>
        <v>5.4806389233419912</v>
      </c>
      <c r="L152" s="40" t="b">
        <f>IF(B152=B151,C152&gt;C151,COUNTIF(B$1:B151,B152)=0)</f>
        <v>1</v>
      </c>
      <c r="M152" s="1"/>
    </row>
    <row r="153" spans="1:13" x14ac:dyDescent="0.25">
      <c r="A153" s="37" t="s">
        <v>2035</v>
      </c>
      <c r="B153" s="37" t="s">
        <v>397</v>
      </c>
      <c r="C153" s="37">
        <v>2500</v>
      </c>
      <c r="D153" s="37">
        <v>0.21</v>
      </c>
      <c r="E153" s="37" t="s">
        <v>1895</v>
      </c>
      <c r="F153" s="37">
        <v>40</v>
      </c>
      <c r="G153" s="37" t="s">
        <v>207</v>
      </c>
      <c r="H153" s="37" t="s">
        <v>1896</v>
      </c>
      <c r="I153" s="42">
        <f t="shared" si="6"/>
        <v>210</v>
      </c>
      <c r="J153" s="38">
        <f t="shared" si="7"/>
        <v>7.8240460108562919</v>
      </c>
      <c r="K153" s="38">
        <f t="shared" si="8"/>
        <v>5.3471075307174685</v>
      </c>
      <c r="L153" s="40" t="b">
        <f>IF(B153=B152,C153&gt;C152,COUNTIF(B$1:B152,B153)=0)</f>
        <v>1</v>
      </c>
      <c r="M153" s="1"/>
    </row>
    <row r="154" spans="1:13" x14ac:dyDescent="0.25">
      <c r="A154" s="37" t="s">
        <v>2036</v>
      </c>
      <c r="B154" s="37" t="s">
        <v>401</v>
      </c>
      <c r="C154" s="37">
        <v>0.5</v>
      </c>
      <c r="D154" s="37">
        <v>6.4</v>
      </c>
      <c r="E154" s="37" t="s">
        <v>1895</v>
      </c>
      <c r="F154" s="37">
        <v>40</v>
      </c>
      <c r="G154" s="37" t="s">
        <v>410</v>
      </c>
      <c r="H154" s="37" t="s">
        <v>1047</v>
      </c>
      <c r="I154" s="42">
        <f t="shared" si="6"/>
        <v>6400</v>
      </c>
      <c r="J154" s="38">
        <f t="shared" si="7"/>
        <v>-0.69314718055994529</v>
      </c>
      <c r="K154" s="38">
        <f t="shared" si="8"/>
        <v>8.7640532693477624</v>
      </c>
      <c r="L154" s="40" t="b">
        <f>IF(B154=B153,C154&gt;C153,COUNTIF(B$1:B153,B154)=0)</f>
        <v>1</v>
      </c>
      <c r="M154" s="1"/>
    </row>
    <row r="155" spans="1:13" x14ac:dyDescent="0.25">
      <c r="A155" s="37" t="s">
        <v>2037</v>
      </c>
      <c r="B155" s="37" t="s">
        <v>401</v>
      </c>
      <c r="C155" s="37">
        <v>1</v>
      </c>
      <c r="D155" s="37">
        <v>6.4</v>
      </c>
      <c r="E155" s="37" t="s">
        <v>1895</v>
      </c>
      <c r="F155" s="37">
        <v>40</v>
      </c>
      <c r="G155" s="37" t="s">
        <v>410</v>
      </c>
      <c r="H155" s="37" t="s">
        <v>1047</v>
      </c>
      <c r="I155" s="42">
        <f t="shared" si="6"/>
        <v>6400</v>
      </c>
      <c r="J155" s="38">
        <f t="shared" si="7"/>
        <v>0</v>
      </c>
      <c r="K155" s="38">
        <f t="shared" si="8"/>
        <v>8.7640532693477624</v>
      </c>
      <c r="L155" s="40" t="b">
        <f>IF(B155=B154,C155&gt;C154,COUNTIF(B$1:B154,B155)=0)</f>
        <v>1</v>
      </c>
      <c r="M155" s="1"/>
    </row>
    <row r="156" spans="1:13" x14ac:dyDescent="0.25">
      <c r="A156" s="37" t="s">
        <v>2038</v>
      </c>
      <c r="B156" s="37" t="s">
        <v>401</v>
      </c>
      <c r="C156" s="37">
        <v>1.5</v>
      </c>
      <c r="D156" s="37">
        <v>6.4</v>
      </c>
      <c r="E156" s="37" t="s">
        <v>1895</v>
      </c>
      <c r="F156" s="37">
        <v>40</v>
      </c>
      <c r="G156" s="37" t="s">
        <v>410</v>
      </c>
      <c r="H156" s="37" t="s">
        <v>1047</v>
      </c>
      <c r="I156" s="42">
        <f t="shared" si="6"/>
        <v>6400</v>
      </c>
      <c r="J156" s="38">
        <f t="shared" si="7"/>
        <v>0.40546510810816438</v>
      </c>
      <c r="K156" s="38">
        <f t="shared" si="8"/>
        <v>8.7640532693477624</v>
      </c>
      <c r="L156" s="40" t="b">
        <f>IF(B156=B155,C156&gt;C155,COUNTIF(B$1:B155,B156)=0)</f>
        <v>1</v>
      </c>
      <c r="M156" s="1"/>
    </row>
    <row r="157" spans="1:13" x14ac:dyDescent="0.25">
      <c r="A157" s="37" t="s">
        <v>2039</v>
      </c>
      <c r="B157" s="37" t="s">
        <v>401</v>
      </c>
      <c r="C157" s="37">
        <v>2</v>
      </c>
      <c r="D157" s="37">
        <v>6.4</v>
      </c>
      <c r="E157" s="37" t="s">
        <v>1895</v>
      </c>
      <c r="F157" s="37">
        <v>40</v>
      </c>
      <c r="G157" s="37" t="s">
        <v>410</v>
      </c>
      <c r="H157" s="37" t="s">
        <v>1047</v>
      </c>
      <c r="I157" s="42">
        <f t="shared" si="6"/>
        <v>6400</v>
      </c>
      <c r="J157" s="38">
        <f t="shared" si="7"/>
        <v>0.69314718055994529</v>
      </c>
      <c r="K157" s="38">
        <f t="shared" si="8"/>
        <v>8.7640532693477624</v>
      </c>
      <c r="L157" s="40" t="b">
        <f>IF(B157=B156,C157&gt;C156,COUNTIF(B$1:B156,B157)=0)</f>
        <v>1</v>
      </c>
      <c r="M157" s="1"/>
    </row>
    <row r="158" spans="1:13" x14ac:dyDescent="0.25">
      <c r="A158" s="37" t="s">
        <v>2040</v>
      </c>
      <c r="B158" s="37" t="s">
        <v>401</v>
      </c>
      <c r="C158" s="37">
        <v>10</v>
      </c>
      <c r="D158" s="37">
        <v>3.99</v>
      </c>
      <c r="E158" s="37" t="s">
        <v>1895</v>
      </c>
      <c r="F158" s="37">
        <v>40</v>
      </c>
      <c r="G158" s="37" t="s">
        <v>410</v>
      </c>
      <c r="H158" s="37" t="s">
        <v>1047</v>
      </c>
      <c r="I158" s="42">
        <f t="shared" si="6"/>
        <v>3990</v>
      </c>
      <c r="J158" s="38">
        <f t="shared" si="7"/>
        <v>2.3025850929940459</v>
      </c>
      <c r="K158" s="38">
        <f t="shared" si="8"/>
        <v>8.2915465098839096</v>
      </c>
      <c r="L158" s="40" t="b">
        <f>IF(B158=B157,C158&gt;C157,COUNTIF(B$1:B157,B158)=0)</f>
        <v>1</v>
      </c>
      <c r="M158" s="1"/>
    </row>
    <row r="159" spans="1:13" x14ac:dyDescent="0.25">
      <c r="A159" s="37" t="s">
        <v>2041</v>
      </c>
      <c r="B159" s="37" t="s">
        <v>401</v>
      </c>
      <c r="C159" s="37">
        <v>20</v>
      </c>
      <c r="D159" s="37">
        <v>2.81</v>
      </c>
      <c r="E159" s="37" t="s">
        <v>1895</v>
      </c>
      <c r="F159" s="37">
        <v>40</v>
      </c>
      <c r="G159" s="37" t="s">
        <v>410</v>
      </c>
      <c r="H159" s="37" t="s">
        <v>1047</v>
      </c>
      <c r="I159" s="42">
        <f t="shared" si="6"/>
        <v>2810</v>
      </c>
      <c r="J159" s="38">
        <f t="shared" si="7"/>
        <v>2.9957322735539909</v>
      </c>
      <c r="K159" s="38">
        <f t="shared" si="8"/>
        <v>7.9409397623277913</v>
      </c>
      <c r="L159" s="40" t="b">
        <f>IF(B159=B158,C159&gt;C158,COUNTIF(B$1:B158,B159)=0)</f>
        <v>1</v>
      </c>
      <c r="M159" s="1"/>
    </row>
    <row r="160" spans="1:13" x14ac:dyDescent="0.25">
      <c r="A160" s="37" t="s">
        <v>2042</v>
      </c>
      <c r="B160" s="37" t="s">
        <v>401</v>
      </c>
      <c r="C160" s="37">
        <v>30</v>
      </c>
      <c r="D160" s="37">
        <v>2.29</v>
      </c>
      <c r="E160" s="37" t="s">
        <v>1895</v>
      </c>
      <c r="F160" s="37">
        <v>40</v>
      </c>
      <c r="G160" s="37" t="s">
        <v>410</v>
      </c>
      <c r="H160" s="37" t="s">
        <v>1047</v>
      </c>
      <c r="I160" s="42">
        <f t="shared" si="6"/>
        <v>2290</v>
      </c>
      <c r="J160" s="38">
        <f t="shared" si="7"/>
        <v>3.4011973816621555</v>
      </c>
      <c r="K160" s="38">
        <f t="shared" si="8"/>
        <v>7.736307096548285</v>
      </c>
      <c r="L160" s="40" t="b">
        <f>IF(B160=B159,C160&gt;C159,COUNTIF(B$1:B159,B160)=0)</f>
        <v>1</v>
      </c>
      <c r="M160" s="1"/>
    </row>
    <row r="161" spans="1:13" x14ac:dyDescent="0.25">
      <c r="A161" s="37" t="s">
        <v>2043</v>
      </c>
      <c r="B161" s="37" t="s">
        <v>401</v>
      </c>
      <c r="C161" s="37">
        <v>50</v>
      </c>
      <c r="D161" s="37">
        <v>1.77</v>
      </c>
      <c r="E161" s="37" t="s">
        <v>1895</v>
      </c>
      <c r="F161" s="37">
        <v>40</v>
      </c>
      <c r="G161" s="37" t="s">
        <v>410</v>
      </c>
      <c r="H161" s="37" t="s">
        <v>1047</v>
      </c>
      <c r="I161" s="42">
        <f t="shared" si="6"/>
        <v>1770</v>
      </c>
      <c r="J161" s="38">
        <f t="shared" si="7"/>
        <v>3.912023005428146</v>
      </c>
      <c r="K161" s="38">
        <f t="shared" si="8"/>
        <v>7.4787348255678747</v>
      </c>
      <c r="L161" s="40" t="b">
        <f>IF(B161=B160,C161&gt;C160,COUNTIF(B$1:B160,B161)=0)</f>
        <v>1</v>
      </c>
      <c r="M161" s="1"/>
    </row>
    <row r="162" spans="1:13" x14ac:dyDescent="0.25">
      <c r="A162" s="37" t="s">
        <v>2044</v>
      </c>
      <c r="B162" s="37" t="s">
        <v>401</v>
      </c>
      <c r="C162" s="37">
        <v>88</v>
      </c>
      <c r="D162" s="37">
        <v>1.33</v>
      </c>
      <c r="E162" s="37" t="s">
        <v>1895</v>
      </c>
      <c r="F162" s="37">
        <v>40</v>
      </c>
      <c r="G162" s="37" t="s">
        <v>410</v>
      </c>
      <c r="H162" s="37" t="s">
        <v>1047</v>
      </c>
      <c r="I162" s="42">
        <f t="shared" si="6"/>
        <v>1330</v>
      </c>
      <c r="J162" s="38">
        <f t="shared" si="7"/>
        <v>4.4773368144782069</v>
      </c>
      <c r="K162" s="38">
        <f t="shared" si="8"/>
        <v>7.1929342212157996</v>
      </c>
      <c r="L162" s="40" t="b">
        <f>IF(B162=B161,C162&gt;C161,COUNTIF(B$1:B161,B162)=0)</f>
        <v>1</v>
      </c>
      <c r="M162" s="1"/>
    </row>
    <row r="163" spans="1:13" x14ac:dyDescent="0.25">
      <c r="A163" s="37" t="s">
        <v>2045</v>
      </c>
      <c r="B163" s="37" t="s">
        <v>401</v>
      </c>
      <c r="C163" s="37">
        <v>100</v>
      </c>
      <c r="D163" s="37">
        <v>1.24</v>
      </c>
      <c r="E163" s="37" t="s">
        <v>1895</v>
      </c>
      <c r="F163" s="37">
        <v>40</v>
      </c>
      <c r="G163" s="37" t="s">
        <v>410</v>
      </c>
      <c r="H163" s="37" t="s">
        <v>1047</v>
      </c>
      <c r="I163" s="42">
        <f t="shared" si="6"/>
        <v>1240</v>
      </c>
      <c r="J163" s="38">
        <f t="shared" si="7"/>
        <v>4.6051701859880918</v>
      </c>
      <c r="K163" s="38">
        <f t="shared" si="8"/>
        <v>7.122866658599083</v>
      </c>
      <c r="L163" s="40" t="b">
        <f>IF(B163=B162,C163&gt;C162,COUNTIF(B$1:B162,B163)=0)</f>
        <v>1</v>
      </c>
      <c r="M163" s="1"/>
    </row>
    <row r="164" spans="1:13" x14ac:dyDescent="0.25">
      <c r="A164" s="37" t="s">
        <v>2046</v>
      </c>
      <c r="B164" s="37" t="s">
        <v>401</v>
      </c>
      <c r="C164" s="37">
        <v>108</v>
      </c>
      <c r="D164" s="37">
        <v>1.19</v>
      </c>
      <c r="E164" s="37" t="s">
        <v>1895</v>
      </c>
      <c r="F164" s="37">
        <v>40</v>
      </c>
      <c r="G164" s="37" t="s">
        <v>410</v>
      </c>
      <c r="H164" s="37" t="s">
        <v>1047</v>
      </c>
      <c r="I164" s="42">
        <f t="shared" si="6"/>
        <v>1190</v>
      </c>
      <c r="J164" s="38">
        <f t="shared" si="7"/>
        <v>4.6821312271242199</v>
      </c>
      <c r="K164" s="38">
        <f t="shared" si="8"/>
        <v>7.0817085861055746</v>
      </c>
      <c r="L164" s="40" t="b">
        <f>IF(B164=B163,C164&gt;C163,COUNTIF(B$1:B163,B164)=0)</f>
        <v>1</v>
      </c>
      <c r="M164" s="1"/>
    </row>
    <row r="165" spans="1:13" x14ac:dyDescent="0.25">
      <c r="A165" s="37" t="s">
        <v>2047</v>
      </c>
      <c r="B165" s="37" t="s">
        <v>401</v>
      </c>
      <c r="C165" s="37">
        <v>150</v>
      </c>
      <c r="D165" s="37">
        <v>1.01</v>
      </c>
      <c r="E165" s="37" t="s">
        <v>1895</v>
      </c>
      <c r="F165" s="37">
        <v>40</v>
      </c>
      <c r="G165" s="37" t="s">
        <v>410</v>
      </c>
      <c r="H165" s="37" t="s">
        <v>1047</v>
      </c>
      <c r="I165" s="42">
        <f t="shared" si="6"/>
        <v>1010</v>
      </c>
      <c r="J165" s="38">
        <f t="shared" si="7"/>
        <v>5.0106352940962555</v>
      </c>
      <c r="K165" s="38">
        <f t="shared" si="8"/>
        <v>6.9177056098353047</v>
      </c>
      <c r="L165" s="40" t="b">
        <f>IF(B165=B164,C165&gt;C164,COUNTIF(B$1:B164,B165)=0)</f>
        <v>1</v>
      </c>
      <c r="M165" s="1"/>
    </row>
    <row r="166" spans="1:13" x14ac:dyDescent="0.25">
      <c r="A166" s="37" t="s">
        <v>2048</v>
      </c>
      <c r="B166" s="37" t="s">
        <v>401</v>
      </c>
      <c r="C166" s="37">
        <v>174</v>
      </c>
      <c r="D166" s="37">
        <v>0.93</v>
      </c>
      <c r="E166" s="37" t="s">
        <v>1895</v>
      </c>
      <c r="F166" s="37">
        <v>40</v>
      </c>
      <c r="G166" s="37" t="s">
        <v>410</v>
      </c>
      <c r="H166" s="37" t="s">
        <v>1047</v>
      </c>
      <c r="I166" s="42">
        <f t="shared" si="6"/>
        <v>930</v>
      </c>
      <c r="J166" s="38">
        <f t="shared" si="7"/>
        <v>5.1590552992145291</v>
      </c>
      <c r="K166" s="38">
        <f t="shared" si="8"/>
        <v>6.8351845861473013</v>
      </c>
      <c r="L166" s="40" t="b">
        <f>IF(B166=B165,C166&gt;C165,COUNTIF(B$1:B165,B166)=0)</f>
        <v>1</v>
      </c>
      <c r="M166" s="1"/>
    </row>
    <row r="167" spans="1:13" x14ac:dyDescent="0.25">
      <c r="A167" s="37" t="s">
        <v>2049</v>
      </c>
      <c r="B167" s="37" t="s">
        <v>401</v>
      </c>
      <c r="C167" s="37">
        <v>200</v>
      </c>
      <c r="D167" s="37">
        <v>0.87</v>
      </c>
      <c r="E167" s="37" t="s">
        <v>1895</v>
      </c>
      <c r="F167" s="37">
        <v>40</v>
      </c>
      <c r="G167" s="37" t="s">
        <v>410</v>
      </c>
      <c r="H167" s="37" t="s">
        <v>1047</v>
      </c>
      <c r="I167" s="42">
        <f t="shared" si="6"/>
        <v>870</v>
      </c>
      <c r="J167" s="38">
        <f t="shared" si="7"/>
        <v>5.2983173665480363</v>
      </c>
      <c r="K167" s="38">
        <f t="shared" si="8"/>
        <v>6.7684932116486296</v>
      </c>
      <c r="L167" s="40" t="b">
        <f>IF(B167=B166,C167&gt;C166,COUNTIF(B$1:B166,B167)=0)</f>
        <v>1</v>
      </c>
      <c r="M167" s="1"/>
    </row>
    <row r="168" spans="1:13" x14ac:dyDescent="0.25">
      <c r="A168" s="37" t="s">
        <v>2050</v>
      </c>
      <c r="B168" s="37" t="s">
        <v>401</v>
      </c>
      <c r="C168" s="37">
        <v>300</v>
      </c>
      <c r="D168" s="37">
        <v>0.71</v>
      </c>
      <c r="E168" s="37" t="s">
        <v>1895</v>
      </c>
      <c r="F168" s="37">
        <v>40</v>
      </c>
      <c r="G168" s="37" t="s">
        <v>410</v>
      </c>
      <c r="H168" s="37" t="s">
        <v>1047</v>
      </c>
      <c r="I168" s="42">
        <f t="shared" si="6"/>
        <v>710</v>
      </c>
      <c r="J168" s="38">
        <f t="shared" si="7"/>
        <v>5.7037824746562009</v>
      </c>
      <c r="K168" s="38">
        <f t="shared" si="8"/>
        <v>6.5652649700353614</v>
      </c>
      <c r="L168" s="40" t="b">
        <f>IF(B168=B167,C168&gt;C167,COUNTIF(B$1:B167,B168)=0)</f>
        <v>1</v>
      </c>
      <c r="M168" s="1"/>
    </row>
    <row r="169" spans="1:13" x14ac:dyDescent="0.25">
      <c r="A169" s="37" t="s">
        <v>2051</v>
      </c>
      <c r="B169" s="37" t="s">
        <v>401</v>
      </c>
      <c r="C169" s="37">
        <v>400</v>
      </c>
      <c r="D169" s="37">
        <v>0.61</v>
      </c>
      <c r="E169" s="37" t="s">
        <v>1895</v>
      </c>
      <c r="F169" s="37">
        <v>40</v>
      </c>
      <c r="G169" s="37" t="s">
        <v>410</v>
      </c>
      <c r="H169" s="37" t="s">
        <v>1047</v>
      </c>
      <c r="I169" s="42">
        <f t="shared" si="6"/>
        <v>610</v>
      </c>
      <c r="J169" s="38">
        <f t="shared" si="7"/>
        <v>5.9914645471079817</v>
      </c>
      <c r="K169" s="38">
        <f t="shared" si="8"/>
        <v>6.4134589571673573</v>
      </c>
      <c r="L169" s="40" t="b">
        <f>IF(B169=B168,C169&gt;C168,COUNTIF(B$1:B168,B169)=0)</f>
        <v>1</v>
      </c>
      <c r="M169" s="1"/>
    </row>
    <row r="170" spans="1:13" x14ac:dyDescent="0.25">
      <c r="A170" s="37" t="s">
        <v>2052</v>
      </c>
      <c r="B170" s="37" t="s">
        <v>401</v>
      </c>
      <c r="C170" s="37">
        <v>450</v>
      </c>
      <c r="D170" s="37">
        <v>0.56999999999999995</v>
      </c>
      <c r="E170" s="37" t="s">
        <v>1895</v>
      </c>
      <c r="F170" s="37">
        <v>40</v>
      </c>
      <c r="G170" s="37" t="s">
        <v>410</v>
      </c>
      <c r="H170" s="37" t="s">
        <v>1047</v>
      </c>
      <c r="I170" s="42">
        <f t="shared" si="6"/>
        <v>570</v>
      </c>
      <c r="J170" s="38">
        <f t="shared" si="7"/>
        <v>6.1092475827643655</v>
      </c>
      <c r="K170" s="38">
        <f t="shared" si="8"/>
        <v>6.3456363608285962</v>
      </c>
      <c r="L170" s="40" t="b">
        <f>IF(B170=B169,C170&gt;C169,COUNTIF(B$1:B169,B170)=0)</f>
        <v>1</v>
      </c>
      <c r="M170" s="1"/>
    </row>
    <row r="171" spans="1:13" x14ac:dyDescent="0.25">
      <c r="A171" s="37" t="s">
        <v>2053</v>
      </c>
      <c r="B171" s="37" t="s">
        <v>401</v>
      </c>
      <c r="C171" s="37">
        <v>500</v>
      </c>
      <c r="D171" s="37">
        <v>0.54</v>
      </c>
      <c r="E171" s="37" t="s">
        <v>1895</v>
      </c>
      <c r="F171" s="37">
        <v>40</v>
      </c>
      <c r="G171" s="37" t="s">
        <v>410</v>
      </c>
      <c r="H171" s="37" t="s">
        <v>1047</v>
      </c>
      <c r="I171" s="42">
        <f t="shared" si="6"/>
        <v>540</v>
      </c>
      <c r="J171" s="38">
        <f t="shared" si="7"/>
        <v>6.2146080984221914</v>
      </c>
      <c r="K171" s="38">
        <f t="shared" si="8"/>
        <v>6.2915691395583204</v>
      </c>
      <c r="L171" s="40" t="b">
        <f>IF(B171=B170,C171&gt;C170,COUNTIF(B$1:B170,B171)=0)</f>
        <v>1</v>
      </c>
      <c r="M171" s="1"/>
    </row>
    <row r="172" spans="1:13" x14ac:dyDescent="0.25">
      <c r="A172" s="37" t="s">
        <v>2054</v>
      </c>
      <c r="B172" s="37" t="s">
        <v>401</v>
      </c>
      <c r="C172" s="37">
        <v>512</v>
      </c>
      <c r="D172" s="37">
        <v>0.53</v>
      </c>
      <c r="E172" s="37" t="s">
        <v>1895</v>
      </c>
      <c r="F172" s="37">
        <v>40</v>
      </c>
      <c r="G172" s="37" t="s">
        <v>410</v>
      </c>
      <c r="H172" s="37" t="s">
        <v>1047</v>
      </c>
      <c r="I172" s="42">
        <f t="shared" si="6"/>
        <v>530</v>
      </c>
      <c r="J172" s="38">
        <f t="shared" si="7"/>
        <v>6.2383246250395077</v>
      </c>
      <c r="K172" s="38">
        <f t="shared" si="8"/>
        <v>6.2728770065461674</v>
      </c>
      <c r="L172" s="40" t="b">
        <f>IF(B172=B171,C172&gt;C171,COUNTIF(B$1:B171,B172)=0)</f>
        <v>1</v>
      </c>
      <c r="M172" s="1"/>
    </row>
    <row r="173" spans="1:13" x14ac:dyDescent="0.25">
      <c r="A173" s="37" t="s">
        <v>2055</v>
      </c>
      <c r="B173" s="37" t="s">
        <v>401</v>
      </c>
      <c r="C173" s="37">
        <v>600</v>
      </c>
      <c r="D173" s="37">
        <v>0.49</v>
      </c>
      <c r="E173" s="37" t="s">
        <v>1895</v>
      </c>
      <c r="F173" s="37">
        <v>40</v>
      </c>
      <c r="G173" s="37" t="s">
        <v>410</v>
      </c>
      <c r="H173" s="37" t="s">
        <v>1047</v>
      </c>
      <c r="I173" s="42">
        <f t="shared" si="6"/>
        <v>490</v>
      </c>
      <c r="J173" s="38">
        <f t="shared" si="7"/>
        <v>6.3969296552161463</v>
      </c>
      <c r="K173" s="38">
        <f t="shared" si="8"/>
        <v>6.1944053911046719</v>
      </c>
      <c r="L173" s="40" t="b">
        <f>IF(B173=B172,C173&gt;C172,COUNTIF(B$1:B172,B173)=0)</f>
        <v>1</v>
      </c>
      <c r="M173" s="1"/>
    </row>
    <row r="174" spans="1:13" x14ac:dyDescent="0.25">
      <c r="A174" s="37" t="s">
        <v>2056</v>
      </c>
      <c r="B174" s="37" t="s">
        <v>401</v>
      </c>
      <c r="C174" s="37">
        <v>700</v>
      </c>
      <c r="D174" s="37">
        <v>0.45</v>
      </c>
      <c r="E174" s="37" t="s">
        <v>1895</v>
      </c>
      <c r="F174" s="37">
        <v>40</v>
      </c>
      <c r="G174" s="37" t="s">
        <v>410</v>
      </c>
      <c r="H174" s="37" t="s">
        <v>1047</v>
      </c>
      <c r="I174" s="42">
        <f t="shared" si="6"/>
        <v>450</v>
      </c>
      <c r="J174" s="38">
        <f t="shared" si="7"/>
        <v>6.5510803350434044</v>
      </c>
      <c r="K174" s="38">
        <f t="shared" si="8"/>
        <v>6.1092475827643655</v>
      </c>
      <c r="L174" s="40" t="b">
        <f>IF(B174=B173,C174&gt;C173,COUNTIF(B$1:B173,B174)=0)</f>
        <v>1</v>
      </c>
      <c r="M174" s="1"/>
    </row>
    <row r="175" spans="1:13" x14ac:dyDescent="0.25">
      <c r="A175" s="37" t="s">
        <v>2057</v>
      </c>
      <c r="B175" s="37" t="s">
        <v>401</v>
      </c>
      <c r="C175" s="37">
        <v>800</v>
      </c>
      <c r="D175" s="37">
        <v>0.42</v>
      </c>
      <c r="E175" s="37" t="s">
        <v>1895</v>
      </c>
      <c r="F175" s="37">
        <v>40</v>
      </c>
      <c r="G175" s="37" t="s">
        <v>410</v>
      </c>
      <c r="H175" s="37" t="s">
        <v>1047</v>
      </c>
      <c r="I175" s="42">
        <f t="shared" si="6"/>
        <v>420</v>
      </c>
      <c r="J175" s="38">
        <f t="shared" si="7"/>
        <v>6.6846117276679271</v>
      </c>
      <c r="K175" s="38">
        <f t="shared" si="8"/>
        <v>6.0402547112774139</v>
      </c>
      <c r="L175" s="40" t="b">
        <f>IF(B175=B174,C175&gt;C174,COUNTIF(B$1:B174,B175)=0)</f>
        <v>1</v>
      </c>
      <c r="M175" s="1"/>
    </row>
    <row r="176" spans="1:13" x14ac:dyDescent="0.25">
      <c r="A176" s="37" t="s">
        <v>2058</v>
      </c>
      <c r="B176" s="37" t="s">
        <v>401</v>
      </c>
      <c r="C176" s="37">
        <v>824</v>
      </c>
      <c r="D176" s="37">
        <v>0.41</v>
      </c>
      <c r="E176" s="37" t="s">
        <v>1895</v>
      </c>
      <c r="F176" s="37">
        <v>40</v>
      </c>
      <c r="G176" s="37" t="s">
        <v>410</v>
      </c>
      <c r="H176" s="37" t="s">
        <v>1047</v>
      </c>
      <c r="I176" s="42">
        <f t="shared" si="6"/>
        <v>410</v>
      </c>
      <c r="J176" s="38">
        <f t="shared" si="7"/>
        <v>6.7141705299094721</v>
      </c>
      <c r="K176" s="38">
        <f t="shared" si="8"/>
        <v>6.0161571596983539</v>
      </c>
      <c r="L176" s="40" t="b">
        <f>IF(B176=B175,C176&gt;C175,COUNTIF(B$1:B175,B176)=0)</f>
        <v>1</v>
      </c>
      <c r="M176" s="1"/>
    </row>
    <row r="177" spans="1:13" x14ac:dyDescent="0.25">
      <c r="A177" s="37" t="s">
        <v>2059</v>
      </c>
      <c r="B177" s="37" t="s">
        <v>401</v>
      </c>
      <c r="C177" s="37">
        <v>894</v>
      </c>
      <c r="D177" s="37">
        <v>0.4</v>
      </c>
      <c r="E177" s="37" t="s">
        <v>1895</v>
      </c>
      <c r="F177" s="37">
        <v>40</v>
      </c>
      <c r="G177" s="37" t="s">
        <v>410</v>
      </c>
      <c r="H177" s="37" t="s">
        <v>1047</v>
      </c>
      <c r="I177" s="42">
        <f t="shared" si="6"/>
        <v>400</v>
      </c>
      <c r="J177" s="38">
        <f t="shared" si="7"/>
        <v>6.7957057751735137</v>
      </c>
      <c r="K177" s="38">
        <f t="shared" si="8"/>
        <v>5.9914645471079817</v>
      </c>
      <c r="L177" s="40" t="b">
        <f>IF(B177=B176,C177&gt;C176,COUNTIF(B$1:B176,B177)=0)</f>
        <v>1</v>
      </c>
      <c r="M177" s="1"/>
    </row>
    <row r="178" spans="1:13" x14ac:dyDescent="0.25">
      <c r="A178" s="37" t="s">
        <v>2060</v>
      </c>
      <c r="B178" s="37" t="s">
        <v>401</v>
      </c>
      <c r="C178" s="37">
        <v>960</v>
      </c>
      <c r="D178" s="37">
        <v>0.38</v>
      </c>
      <c r="E178" s="37" t="s">
        <v>1895</v>
      </c>
      <c r="F178" s="37">
        <v>40</v>
      </c>
      <c r="G178" s="37" t="s">
        <v>410</v>
      </c>
      <c r="H178" s="37" t="s">
        <v>1047</v>
      </c>
      <c r="I178" s="42">
        <f t="shared" si="6"/>
        <v>380</v>
      </c>
      <c r="J178" s="38">
        <f t="shared" si="7"/>
        <v>6.866933284461882</v>
      </c>
      <c r="K178" s="38">
        <f t="shared" si="8"/>
        <v>5.9401712527204316</v>
      </c>
      <c r="L178" s="40" t="b">
        <f>IF(B178=B177,C178&gt;C177,COUNTIF(B$1:B177,B178)=0)</f>
        <v>1</v>
      </c>
      <c r="M178" s="1"/>
    </row>
    <row r="179" spans="1:13" x14ac:dyDescent="0.25">
      <c r="A179" s="37" t="s">
        <v>2061</v>
      </c>
      <c r="B179" s="37" t="s">
        <v>401</v>
      </c>
      <c r="C179" s="37">
        <v>1000</v>
      </c>
      <c r="D179" s="37">
        <v>0.37</v>
      </c>
      <c r="E179" s="37" t="s">
        <v>1895</v>
      </c>
      <c r="F179" s="37">
        <v>40</v>
      </c>
      <c r="G179" s="37" t="s">
        <v>410</v>
      </c>
      <c r="H179" s="37" t="s">
        <v>1047</v>
      </c>
      <c r="I179" s="42">
        <f t="shared" si="6"/>
        <v>370</v>
      </c>
      <c r="J179" s="38">
        <f t="shared" si="7"/>
        <v>6.9077552789821368</v>
      </c>
      <c r="K179" s="38">
        <f t="shared" si="8"/>
        <v>5.9135030056382698</v>
      </c>
      <c r="L179" s="40" t="b">
        <f>IF(B179=B178,C179&gt;C178,COUNTIF(B$1:B178,B179)=0)</f>
        <v>1</v>
      </c>
      <c r="M179" s="1"/>
    </row>
    <row r="180" spans="1:13" x14ac:dyDescent="0.25">
      <c r="A180" s="37" t="s">
        <v>2062</v>
      </c>
      <c r="B180" s="37" t="s">
        <v>401</v>
      </c>
      <c r="C180" s="37">
        <v>1250</v>
      </c>
      <c r="D180" s="37">
        <v>0.33</v>
      </c>
      <c r="E180" s="37" t="s">
        <v>1895</v>
      </c>
      <c r="F180" s="37">
        <v>40</v>
      </c>
      <c r="G180" s="37" t="s">
        <v>410</v>
      </c>
      <c r="H180" s="37" t="s">
        <v>1047</v>
      </c>
      <c r="I180" s="42">
        <f t="shared" si="6"/>
        <v>330</v>
      </c>
      <c r="J180" s="38">
        <f t="shared" si="7"/>
        <v>7.1308988302963465</v>
      </c>
      <c r="K180" s="38">
        <f t="shared" si="8"/>
        <v>5.7990926544605257</v>
      </c>
      <c r="L180" s="40" t="b">
        <f>IF(B180=B179,C180&gt;C179,COUNTIF(B$1:B179,B180)=0)</f>
        <v>1</v>
      </c>
      <c r="M180" s="1"/>
    </row>
    <row r="181" spans="1:13" x14ac:dyDescent="0.25">
      <c r="A181" s="37" t="s">
        <v>2063</v>
      </c>
      <c r="B181" s="37" t="s">
        <v>401</v>
      </c>
      <c r="C181" s="37">
        <v>1500</v>
      </c>
      <c r="D181" s="37">
        <v>0.3</v>
      </c>
      <c r="E181" s="37" t="s">
        <v>1895</v>
      </c>
      <c r="F181" s="37">
        <v>40</v>
      </c>
      <c r="G181" s="37" t="s">
        <v>410</v>
      </c>
      <c r="H181" s="37" t="s">
        <v>1047</v>
      </c>
      <c r="I181" s="42">
        <f t="shared" si="6"/>
        <v>300</v>
      </c>
      <c r="J181" s="38">
        <f t="shared" si="7"/>
        <v>7.3132203870903014</v>
      </c>
      <c r="K181" s="38">
        <f t="shared" si="8"/>
        <v>5.7037824746562009</v>
      </c>
      <c r="L181" s="40" t="b">
        <f>IF(B181=B180,C181&gt;C180,COUNTIF(B$1:B180,B181)=0)</f>
        <v>1</v>
      </c>
      <c r="M181" s="1"/>
    </row>
    <row r="182" spans="1:13" x14ac:dyDescent="0.25">
      <c r="A182" s="37" t="s">
        <v>2064</v>
      </c>
      <c r="B182" s="37" t="s">
        <v>401</v>
      </c>
      <c r="C182" s="37">
        <v>1700</v>
      </c>
      <c r="D182" s="37">
        <v>0.28000000000000003</v>
      </c>
      <c r="E182" s="37" t="s">
        <v>1895</v>
      </c>
      <c r="F182" s="37">
        <v>40</v>
      </c>
      <c r="G182" s="37" t="s">
        <v>410</v>
      </c>
      <c r="H182" s="37" t="s">
        <v>1047</v>
      </c>
      <c r="I182" s="42">
        <f t="shared" si="6"/>
        <v>280</v>
      </c>
      <c r="J182" s="38">
        <f t="shared" si="7"/>
        <v>7.4383835300443071</v>
      </c>
      <c r="K182" s="38">
        <f t="shared" si="8"/>
        <v>5.6347896031692493</v>
      </c>
      <c r="L182" s="40" t="b">
        <f>IF(B182=B181,C182&gt;C181,COUNTIF(B$1:B181,B182)=0)</f>
        <v>1</v>
      </c>
      <c r="M182" s="1"/>
    </row>
    <row r="183" spans="1:13" x14ac:dyDescent="0.25">
      <c r="A183" s="37" t="s">
        <v>2065</v>
      </c>
      <c r="B183" s="37" t="s">
        <v>401</v>
      </c>
      <c r="C183" s="37">
        <v>1800</v>
      </c>
      <c r="D183" s="37">
        <v>0.27</v>
      </c>
      <c r="E183" s="37" t="s">
        <v>1895</v>
      </c>
      <c r="F183" s="37">
        <v>40</v>
      </c>
      <c r="G183" s="37" t="s">
        <v>410</v>
      </c>
      <c r="H183" s="37" t="s">
        <v>1047</v>
      </c>
      <c r="I183" s="42">
        <f t="shared" si="6"/>
        <v>270</v>
      </c>
      <c r="J183" s="38">
        <f t="shared" si="7"/>
        <v>7.4955419438842563</v>
      </c>
      <c r="K183" s="38">
        <f t="shared" si="8"/>
        <v>5.598421958998375</v>
      </c>
      <c r="L183" s="40" t="b">
        <f>IF(B183=B182,C183&gt;C182,COUNTIF(B$1:B182,B183)=0)</f>
        <v>1</v>
      </c>
      <c r="M183" s="1"/>
    </row>
    <row r="184" spans="1:13" x14ac:dyDescent="0.25">
      <c r="A184" s="37" t="s">
        <v>2066</v>
      </c>
      <c r="B184" s="37" t="s">
        <v>401</v>
      </c>
      <c r="C184" s="37">
        <v>2000</v>
      </c>
      <c r="D184" s="37">
        <v>0.26</v>
      </c>
      <c r="E184" s="37" t="s">
        <v>1895</v>
      </c>
      <c r="F184" s="37">
        <v>40</v>
      </c>
      <c r="G184" s="37" t="s">
        <v>410</v>
      </c>
      <c r="H184" s="37" t="s">
        <v>1047</v>
      </c>
      <c r="I184" s="42">
        <f t="shared" si="6"/>
        <v>260</v>
      </c>
      <c r="J184" s="38">
        <f t="shared" si="7"/>
        <v>7.6009024595420822</v>
      </c>
      <c r="K184" s="38">
        <f t="shared" si="8"/>
        <v>5.5606816310155276</v>
      </c>
      <c r="L184" s="40" t="b">
        <f>IF(B184=B183,C184&gt;C183,COUNTIF(B$1:B183,B184)=0)</f>
        <v>1</v>
      </c>
      <c r="M184" s="1"/>
    </row>
    <row r="185" spans="1:13" x14ac:dyDescent="0.25">
      <c r="A185" s="37" t="s">
        <v>2067</v>
      </c>
      <c r="B185" s="37" t="s">
        <v>401</v>
      </c>
      <c r="C185" s="37">
        <v>2100</v>
      </c>
      <c r="D185" s="37">
        <v>0.25</v>
      </c>
      <c r="E185" s="37" t="s">
        <v>1895</v>
      </c>
      <c r="F185" s="37">
        <v>40</v>
      </c>
      <c r="G185" s="37" t="s">
        <v>410</v>
      </c>
      <c r="H185" s="37" t="s">
        <v>1047</v>
      </c>
      <c r="I185" s="42">
        <f t="shared" si="6"/>
        <v>250</v>
      </c>
      <c r="J185" s="38">
        <f t="shared" si="7"/>
        <v>7.6496926237115144</v>
      </c>
      <c r="K185" s="38">
        <f t="shared" si="8"/>
        <v>5.521460917862246</v>
      </c>
      <c r="L185" s="40" t="b">
        <f>IF(B185=B184,C185&gt;C184,COUNTIF(B$1:B184,B185)=0)</f>
        <v>1</v>
      </c>
      <c r="M185" s="1"/>
    </row>
    <row r="186" spans="1:13" x14ac:dyDescent="0.25">
      <c r="A186" s="37" t="s">
        <v>2068</v>
      </c>
      <c r="B186" s="37" t="s">
        <v>401</v>
      </c>
      <c r="C186" s="37">
        <v>2200</v>
      </c>
      <c r="D186" s="37">
        <v>0.24</v>
      </c>
      <c r="E186" s="37" t="s">
        <v>1895</v>
      </c>
      <c r="F186" s="37">
        <v>40</v>
      </c>
      <c r="G186" s="37" t="s">
        <v>410</v>
      </c>
      <c r="H186" s="37" t="s">
        <v>1047</v>
      </c>
      <c r="I186" s="42">
        <f t="shared" si="6"/>
        <v>240</v>
      </c>
      <c r="J186" s="38">
        <f t="shared" si="7"/>
        <v>7.696212639346407</v>
      </c>
      <c r="K186" s="38">
        <f t="shared" si="8"/>
        <v>5.4806389233419912</v>
      </c>
      <c r="L186" s="40" t="b">
        <f>IF(B186=B185,C186&gt;C185,COUNTIF(B$1:B185,B186)=0)</f>
        <v>1</v>
      </c>
      <c r="M186" s="1"/>
    </row>
    <row r="187" spans="1:13" x14ac:dyDescent="0.25">
      <c r="A187" s="37" t="s">
        <v>2069</v>
      </c>
      <c r="B187" s="37" t="s">
        <v>401</v>
      </c>
      <c r="C187" s="37">
        <v>2300</v>
      </c>
      <c r="D187" s="37">
        <v>0.24</v>
      </c>
      <c r="E187" s="37" t="s">
        <v>1895</v>
      </c>
      <c r="F187" s="37">
        <v>40</v>
      </c>
      <c r="G187" s="37" t="s">
        <v>410</v>
      </c>
      <c r="H187" s="37" t="s">
        <v>1047</v>
      </c>
      <c r="I187" s="42">
        <f t="shared" si="6"/>
        <v>240</v>
      </c>
      <c r="J187" s="38">
        <f t="shared" si="7"/>
        <v>7.7406644019172415</v>
      </c>
      <c r="K187" s="38">
        <f t="shared" si="8"/>
        <v>5.4806389233419912</v>
      </c>
      <c r="L187" s="40" t="b">
        <f>IF(B187=B186,C187&gt;C186,COUNTIF(B$1:B186,B187)=0)</f>
        <v>1</v>
      </c>
      <c r="M187" s="1"/>
    </row>
    <row r="188" spans="1:13" x14ac:dyDescent="0.25">
      <c r="A188" s="37" t="s">
        <v>2070</v>
      </c>
      <c r="B188" s="37" t="s">
        <v>401</v>
      </c>
      <c r="C188" s="37">
        <v>2500</v>
      </c>
      <c r="D188" s="37">
        <v>0.23</v>
      </c>
      <c r="E188" s="37" t="s">
        <v>1895</v>
      </c>
      <c r="F188" s="37">
        <v>40</v>
      </c>
      <c r="G188" s="37" t="s">
        <v>410</v>
      </c>
      <c r="H188" s="37" t="s">
        <v>1047</v>
      </c>
      <c r="I188" s="42">
        <f t="shared" si="6"/>
        <v>230</v>
      </c>
      <c r="J188" s="38">
        <f t="shared" si="7"/>
        <v>7.8240460108562919</v>
      </c>
      <c r="K188" s="38">
        <f t="shared" si="8"/>
        <v>5.4380793089231956</v>
      </c>
      <c r="L188" s="40" t="b">
        <f>IF(B188=B187,C188&gt;C187,COUNTIF(B$1:B187,B188)=0)</f>
        <v>1</v>
      </c>
      <c r="M188" s="1"/>
    </row>
    <row r="189" spans="1:13" x14ac:dyDescent="0.25">
      <c r="A189" s="37" t="s">
        <v>2071</v>
      </c>
      <c r="B189" s="37" t="s">
        <v>401</v>
      </c>
      <c r="C189" s="37">
        <v>2700</v>
      </c>
      <c r="D189" s="37">
        <v>0.22</v>
      </c>
      <c r="E189" s="37" t="s">
        <v>1895</v>
      </c>
      <c r="F189" s="37">
        <v>40</v>
      </c>
      <c r="G189" s="37" t="s">
        <v>410</v>
      </c>
      <c r="H189" s="37" t="s">
        <v>1047</v>
      </c>
      <c r="I189" s="42">
        <f t="shared" si="6"/>
        <v>220</v>
      </c>
      <c r="J189" s="38">
        <f t="shared" si="7"/>
        <v>7.90100705199242</v>
      </c>
      <c r="K189" s="38">
        <f t="shared" si="8"/>
        <v>5.393627546352362</v>
      </c>
      <c r="L189" s="40" t="b">
        <f>IF(B189=B188,C189&gt;C188,COUNTIF(B$1:B188,B189)=0)</f>
        <v>1</v>
      </c>
      <c r="M189" s="1"/>
    </row>
    <row r="190" spans="1:13" x14ac:dyDescent="0.25">
      <c r="A190" s="37" t="s">
        <v>2072</v>
      </c>
      <c r="B190" s="37" t="s">
        <v>401</v>
      </c>
      <c r="C190" s="37">
        <v>3000</v>
      </c>
      <c r="D190" s="37">
        <v>0.21</v>
      </c>
      <c r="E190" s="37" t="s">
        <v>1895</v>
      </c>
      <c r="F190" s="37">
        <v>40</v>
      </c>
      <c r="G190" s="37" t="s">
        <v>410</v>
      </c>
      <c r="H190" s="37" t="s">
        <v>1047</v>
      </c>
      <c r="I190" s="42">
        <f t="shared" si="6"/>
        <v>210</v>
      </c>
      <c r="J190" s="38">
        <f t="shared" si="7"/>
        <v>8.0063675676502459</v>
      </c>
      <c r="K190" s="38">
        <f t="shared" si="8"/>
        <v>5.3471075307174685</v>
      </c>
      <c r="L190" s="40" t="b">
        <f>IF(B190=B189,C190&gt;C189,COUNTIF(B$1:B189,B190)=0)</f>
        <v>1</v>
      </c>
      <c r="M190" s="1"/>
    </row>
    <row r="191" spans="1:13" x14ac:dyDescent="0.25">
      <c r="A191" s="37" t="s">
        <v>2073</v>
      </c>
      <c r="B191" s="37" t="s">
        <v>401</v>
      </c>
      <c r="C191" s="37">
        <v>3400</v>
      </c>
      <c r="D191" s="37">
        <v>0.19</v>
      </c>
      <c r="E191" s="37" t="s">
        <v>1895</v>
      </c>
      <c r="F191" s="37">
        <v>40</v>
      </c>
      <c r="G191" s="37" t="s">
        <v>410</v>
      </c>
      <c r="H191" s="37" t="s">
        <v>1047</v>
      </c>
      <c r="I191" s="42">
        <f t="shared" si="6"/>
        <v>190</v>
      </c>
      <c r="J191" s="38">
        <f t="shared" si="7"/>
        <v>8.1315307106042525</v>
      </c>
      <c r="K191" s="38">
        <f t="shared" si="8"/>
        <v>5.2470240721604862</v>
      </c>
      <c r="L191" s="40" t="b">
        <f>IF(B191=B190,C191&gt;C190,COUNTIF(B$1:B190,B191)=0)</f>
        <v>1</v>
      </c>
      <c r="M191" s="1"/>
    </row>
    <row r="192" spans="1:13" x14ac:dyDescent="0.25">
      <c r="A192" s="37" t="s">
        <v>2074</v>
      </c>
      <c r="B192" s="37" t="s">
        <v>401</v>
      </c>
      <c r="C192" s="37">
        <v>4000</v>
      </c>
      <c r="D192" s="37">
        <v>0.17</v>
      </c>
      <c r="E192" s="37" t="s">
        <v>1895</v>
      </c>
      <c r="F192" s="37">
        <v>40</v>
      </c>
      <c r="G192" s="37" t="s">
        <v>410</v>
      </c>
      <c r="H192" s="37" t="s">
        <v>1047</v>
      </c>
      <c r="I192" s="42">
        <f t="shared" si="6"/>
        <v>170</v>
      </c>
      <c r="J192" s="38">
        <f t="shared" si="7"/>
        <v>8.2940496401020276</v>
      </c>
      <c r="K192" s="38">
        <f t="shared" si="8"/>
        <v>5.1357984370502621</v>
      </c>
      <c r="L192" s="40" t="b">
        <f>IF(B192=B191,C192&gt;C191,COUNTIF(B$1:B191,B192)=0)</f>
        <v>1</v>
      </c>
      <c r="M192" s="1"/>
    </row>
    <row r="193" spans="1:13" x14ac:dyDescent="0.25">
      <c r="A193" s="37" t="s">
        <v>2075</v>
      </c>
      <c r="B193" s="37" t="s">
        <v>401</v>
      </c>
      <c r="C193" s="37">
        <v>5000</v>
      </c>
      <c r="D193" s="37">
        <v>0.15</v>
      </c>
      <c r="E193" s="37" t="s">
        <v>1895</v>
      </c>
      <c r="F193" s="37">
        <v>40</v>
      </c>
      <c r="G193" s="37" t="s">
        <v>410</v>
      </c>
      <c r="H193" s="37" t="s">
        <v>1047</v>
      </c>
      <c r="I193" s="42">
        <f t="shared" si="6"/>
        <v>150</v>
      </c>
      <c r="J193" s="38">
        <f t="shared" si="7"/>
        <v>8.5171931914162382</v>
      </c>
      <c r="K193" s="38">
        <f t="shared" si="8"/>
        <v>5.0106352940962555</v>
      </c>
      <c r="L193" s="40" t="b">
        <f>IF(B193=B192,C193&gt;C192,COUNTIF(B$1:B192,B193)=0)</f>
        <v>1</v>
      </c>
      <c r="M193" s="1"/>
    </row>
    <row r="194" spans="1:13" x14ac:dyDescent="0.25">
      <c r="A194" s="37" t="s">
        <v>2076</v>
      </c>
      <c r="B194" s="37" t="s">
        <v>401</v>
      </c>
      <c r="C194" s="37">
        <v>6000</v>
      </c>
      <c r="D194" s="37">
        <v>0.14000000000000001</v>
      </c>
      <c r="E194" s="37" t="s">
        <v>1895</v>
      </c>
      <c r="F194" s="37">
        <v>40</v>
      </c>
      <c r="G194" s="37" t="s">
        <v>410</v>
      </c>
      <c r="H194" s="37" t="s">
        <v>1047</v>
      </c>
      <c r="I194" s="42">
        <f t="shared" ref="I194:I257" si="9">IF(E194="kW",D194*1000,D194)</f>
        <v>140</v>
      </c>
      <c r="J194" s="38">
        <f t="shared" ref="J194:J257" si="10">LN(C194)</f>
        <v>8.6995147482101913</v>
      </c>
      <c r="K194" s="38">
        <f t="shared" ref="K194:K257" si="11">LN(I194)</f>
        <v>4.9416424226093039</v>
      </c>
      <c r="L194" s="40" t="b">
        <f>IF(B194=B193,C194&gt;C193,COUNTIF(B$1:B193,B194)=0)</f>
        <v>1</v>
      </c>
      <c r="M194" s="1"/>
    </row>
    <row r="195" spans="1:13" x14ac:dyDescent="0.25">
      <c r="A195" s="37" t="s">
        <v>2077</v>
      </c>
      <c r="B195" s="37" t="s">
        <v>401</v>
      </c>
      <c r="C195" s="37">
        <v>8000</v>
      </c>
      <c r="D195" s="37">
        <v>0.12</v>
      </c>
      <c r="E195" s="37" t="s">
        <v>1895</v>
      </c>
      <c r="F195" s="37">
        <v>40</v>
      </c>
      <c r="G195" s="37" t="s">
        <v>410</v>
      </c>
      <c r="H195" s="37" t="s">
        <v>1047</v>
      </c>
      <c r="I195" s="42">
        <f t="shared" si="9"/>
        <v>120</v>
      </c>
      <c r="J195" s="38">
        <f t="shared" si="10"/>
        <v>8.987196820661973</v>
      </c>
      <c r="K195" s="38">
        <f t="shared" si="11"/>
        <v>4.7874917427820458</v>
      </c>
      <c r="L195" s="40" t="b">
        <f>IF(B195=B194,C195&gt;C194,COUNTIF(B$1:B194,B195)=0)</f>
        <v>1</v>
      </c>
      <c r="M195" s="1"/>
    </row>
    <row r="196" spans="1:13" x14ac:dyDescent="0.25">
      <c r="A196" s="37" t="s">
        <v>2078</v>
      </c>
      <c r="B196" s="37" t="s">
        <v>401</v>
      </c>
      <c r="C196" s="37">
        <v>10000</v>
      </c>
      <c r="D196" s="37">
        <v>0.1</v>
      </c>
      <c r="E196" s="37" t="s">
        <v>1895</v>
      </c>
      <c r="F196" s="37">
        <v>40</v>
      </c>
      <c r="G196" s="37" t="s">
        <v>410</v>
      </c>
      <c r="H196" s="37" t="s">
        <v>1047</v>
      </c>
      <c r="I196" s="42">
        <f t="shared" si="9"/>
        <v>100</v>
      </c>
      <c r="J196" s="38">
        <f t="shared" si="10"/>
        <v>9.2103403719761836</v>
      </c>
      <c r="K196" s="38">
        <f t="shared" si="11"/>
        <v>4.6051701859880918</v>
      </c>
      <c r="L196" s="40" t="b">
        <f>IF(B196=B195,C196&gt;C195,COUNTIF(B$1:B195,B196)=0)</f>
        <v>1</v>
      </c>
      <c r="M196" s="1"/>
    </row>
    <row r="197" spans="1:13" x14ac:dyDescent="0.25">
      <c r="A197" s="37" t="s">
        <v>2079</v>
      </c>
      <c r="B197" s="37" t="s">
        <v>401</v>
      </c>
      <c r="C197" s="37">
        <v>12000</v>
      </c>
      <c r="D197" s="37">
        <v>0.09</v>
      </c>
      <c r="E197" s="37" t="s">
        <v>1895</v>
      </c>
      <c r="F197" s="37">
        <v>40</v>
      </c>
      <c r="G197" s="37" t="s">
        <v>410</v>
      </c>
      <c r="H197" s="37" t="s">
        <v>1047</v>
      </c>
      <c r="I197" s="42">
        <f t="shared" si="9"/>
        <v>90</v>
      </c>
      <c r="J197" s="38">
        <f t="shared" si="10"/>
        <v>9.3926619287701367</v>
      </c>
      <c r="K197" s="38">
        <f t="shared" si="11"/>
        <v>4.499809670330265</v>
      </c>
      <c r="L197" s="40" t="b">
        <f>IF(B197=B196,C197&gt;C196,COUNTIF(B$1:B196,B197)=0)</f>
        <v>1</v>
      </c>
      <c r="M197" s="1"/>
    </row>
    <row r="198" spans="1:13" x14ac:dyDescent="0.25">
      <c r="A198" s="37" t="s">
        <v>2080</v>
      </c>
      <c r="B198" s="37" t="s">
        <v>401</v>
      </c>
      <c r="C198" s="37">
        <v>14000</v>
      </c>
      <c r="D198" s="37">
        <v>0.08</v>
      </c>
      <c r="E198" s="37" t="s">
        <v>1895</v>
      </c>
      <c r="F198" s="37">
        <v>40</v>
      </c>
      <c r="G198" s="37" t="s">
        <v>410</v>
      </c>
      <c r="H198" s="37" t="s">
        <v>1047</v>
      </c>
      <c r="I198" s="42">
        <f t="shared" si="9"/>
        <v>80</v>
      </c>
      <c r="J198" s="38">
        <f t="shared" si="10"/>
        <v>9.5468126085973957</v>
      </c>
      <c r="K198" s="38">
        <f t="shared" si="11"/>
        <v>4.3820266346738812</v>
      </c>
      <c r="L198" s="40" t="b">
        <f>IF(B198=B197,C198&gt;C197,COUNTIF(B$1:B197,B198)=0)</f>
        <v>1</v>
      </c>
      <c r="M198" s="1"/>
    </row>
    <row r="199" spans="1:13" x14ac:dyDescent="0.25">
      <c r="A199" s="37" t="s">
        <v>2081</v>
      </c>
      <c r="B199" s="37" t="s">
        <v>401</v>
      </c>
      <c r="C199" s="37">
        <v>16000</v>
      </c>
      <c r="D199" s="37">
        <v>0.08</v>
      </c>
      <c r="E199" s="37" t="s">
        <v>1895</v>
      </c>
      <c r="F199" s="37">
        <v>40</v>
      </c>
      <c r="G199" s="37" t="s">
        <v>410</v>
      </c>
      <c r="H199" s="37" t="s">
        <v>1047</v>
      </c>
      <c r="I199" s="42">
        <f t="shared" si="9"/>
        <v>80</v>
      </c>
      <c r="J199" s="38">
        <f t="shared" si="10"/>
        <v>9.6803440012219184</v>
      </c>
      <c r="K199" s="38">
        <f t="shared" si="11"/>
        <v>4.3820266346738812</v>
      </c>
      <c r="L199" s="40" t="b">
        <f>IF(B199=B198,C199&gt;C198,COUNTIF(B$1:B198,B199)=0)</f>
        <v>1</v>
      </c>
      <c r="M199" s="1"/>
    </row>
    <row r="200" spans="1:13" x14ac:dyDescent="0.25">
      <c r="A200" s="37" t="s">
        <v>2082</v>
      </c>
      <c r="B200" s="37" t="s">
        <v>401</v>
      </c>
      <c r="C200" s="37">
        <v>18000</v>
      </c>
      <c r="D200" s="37">
        <v>7.0000000000000007E-2</v>
      </c>
      <c r="E200" s="37" t="s">
        <v>1895</v>
      </c>
      <c r="F200" s="37">
        <v>40</v>
      </c>
      <c r="G200" s="37" t="s">
        <v>410</v>
      </c>
      <c r="H200" s="37" t="s">
        <v>1047</v>
      </c>
      <c r="I200" s="42">
        <f t="shared" si="9"/>
        <v>70</v>
      </c>
      <c r="J200" s="38">
        <f t="shared" si="10"/>
        <v>9.7981270368783022</v>
      </c>
      <c r="K200" s="38">
        <f t="shared" si="11"/>
        <v>4.2484952420493594</v>
      </c>
      <c r="L200" s="40" t="b">
        <f>IF(B200=B199,C200&gt;C199,COUNTIF(B$1:B199,B200)=0)</f>
        <v>1</v>
      </c>
      <c r="M200" s="1"/>
    </row>
    <row r="201" spans="1:13" x14ac:dyDescent="0.25">
      <c r="A201" s="37" t="s">
        <v>2083</v>
      </c>
      <c r="B201" s="37" t="s">
        <v>411</v>
      </c>
      <c r="C201" s="37">
        <v>1</v>
      </c>
      <c r="D201" s="37">
        <v>11.65</v>
      </c>
      <c r="E201" s="37" t="s">
        <v>1895</v>
      </c>
      <c r="F201" s="37">
        <v>40</v>
      </c>
      <c r="G201" s="37" t="s">
        <v>419</v>
      </c>
      <c r="H201" s="37" t="s">
        <v>1095</v>
      </c>
      <c r="I201" s="42">
        <f t="shared" si="9"/>
        <v>11650</v>
      </c>
      <c r="J201" s="38">
        <f t="shared" si="10"/>
        <v>0</v>
      </c>
      <c r="K201" s="38">
        <f t="shared" si="11"/>
        <v>9.3630614589938475</v>
      </c>
      <c r="L201" s="40" t="b">
        <f>IF(B201=B200,C201&gt;C200,COUNTIF(B$1:B200,B201)=0)</f>
        <v>1</v>
      </c>
      <c r="M201" s="1"/>
    </row>
    <row r="202" spans="1:13" x14ac:dyDescent="0.25">
      <c r="A202" s="37" t="s">
        <v>2084</v>
      </c>
      <c r="B202" s="37" t="s">
        <v>411</v>
      </c>
      <c r="C202" s="37">
        <v>100</v>
      </c>
      <c r="D202" s="37">
        <v>1.1399999999999999</v>
      </c>
      <c r="E202" s="37" t="s">
        <v>1895</v>
      </c>
      <c r="F202" s="37">
        <v>40</v>
      </c>
      <c r="G202" s="37" t="s">
        <v>419</v>
      </c>
      <c r="H202" s="37" t="s">
        <v>1095</v>
      </c>
      <c r="I202" s="42">
        <f t="shared" si="9"/>
        <v>1140</v>
      </c>
      <c r="J202" s="38">
        <f t="shared" si="10"/>
        <v>4.6051701859880918</v>
      </c>
      <c r="K202" s="38">
        <f t="shared" si="11"/>
        <v>7.0387835413885416</v>
      </c>
      <c r="L202" s="40" t="b">
        <f>IF(B202=B201,C202&gt;C201,COUNTIF(B$1:B201,B202)=0)</f>
        <v>1</v>
      </c>
      <c r="M202" s="1"/>
    </row>
    <row r="203" spans="1:13" x14ac:dyDescent="0.25">
      <c r="A203" s="37" t="s">
        <v>2085</v>
      </c>
      <c r="B203" s="37" t="s">
        <v>411</v>
      </c>
      <c r="C203" s="37">
        <v>200</v>
      </c>
      <c r="D203" s="37">
        <v>0.79</v>
      </c>
      <c r="E203" s="37" t="s">
        <v>1895</v>
      </c>
      <c r="F203" s="37">
        <v>40</v>
      </c>
      <c r="G203" s="37" t="s">
        <v>419</v>
      </c>
      <c r="H203" s="37" t="s">
        <v>1095</v>
      </c>
      <c r="I203" s="42">
        <f t="shared" si="9"/>
        <v>790</v>
      </c>
      <c r="J203" s="38">
        <f t="shared" si="10"/>
        <v>5.2983173665480363</v>
      </c>
      <c r="K203" s="38">
        <f t="shared" si="11"/>
        <v>6.6720329454610674</v>
      </c>
      <c r="L203" s="40" t="b">
        <f>IF(B203=B202,C203&gt;C202,COUNTIF(B$1:B202,B203)=0)</f>
        <v>1</v>
      </c>
      <c r="M203" s="1"/>
    </row>
    <row r="204" spans="1:13" x14ac:dyDescent="0.25">
      <c r="A204" s="37" t="s">
        <v>2086</v>
      </c>
      <c r="B204" s="37" t="s">
        <v>411</v>
      </c>
      <c r="C204" s="37">
        <v>450</v>
      </c>
      <c r="D204" s="37">
        <v>0.52</v>
      </c>
      <c r="E204" s="37" t="s">
        <v>1895</v>
      </c>
      <c r="F204" s="37">
        <v>40</v>
      </c>
      <c r="G204" s="37" t="s">
        <v>419</v>
      </c>
      <c r="H204" s="37" t="s">
        <v>1095</v>
      </c>
      <c r="I204" s="42">
        <f t="shared" si="9"/>
        <v>520</v>
      </c>
      <c r="J204" s="38">
        <f t="shared" si="10"/>
        <v>6.1092475827643655</v>
      </c>
      <c r="K204" s="38">
        <f t="shared" si="11"/>
        <v>6.253828811575473</v>
      </c>
      <c r="L204" s="40" t="b">
        <f>IF(B204=B203,C204&gt;C203,COUNTIF(B$1:B203,B204)=0)</f>
        <v>1</v>
      </c>
      <c r="M204" s="1"/>
    </row>
    <row r="205" spans="1:13" x14ac:dyDescent="0.25">
      <c r="A205" s="37" t="s">
        <v>2087</v>
      </c>
      <c r="B205" s="37" t="s">
        <v>411</v>
      </c>
      <c r="C205" s="37">
        <v>700</v>
      </c>
      <c r="D205" s="37">
        <v>0.41</v>
      </c>
      <c r="E205" s="37" t="s">
        <v>1895</v>
      </c>
      <c r="F205" s="37">
        <v>40</v>
      </c>
      <c r="G205" s="37" t="s">
        <v>419</v>
      </c>
      <c r="H205" s="37" t="s">
        <v>1095</v>
      </c>
      <c r="I205" s="42">
        <f t="shared" si="9"/>
        <v>410</v>
      </c>
      <c r="J205" s="38">
        <f t="shared" si="10"/>
        <v>6.5510803350434044</v>
      </c>
      <c r="K205" s="38">
        <f t="shared" si="11"/>
        <v>6.0161571596983539</v>
      </c>
      <c r="L205" s="40" t="b">
        <f>IF(B205=B204,C205&gt;C204,COUNTIF(B$1:B204,B205)=0)</f>
        <v>1</v>
      </c>
      <c r="M205" s="1"/>
    </row>
    <row r="206" spans="1:13" x14ac:dyDescent="0.25">
      <c r="A206" s="37" t="s">
        <v>2088</v>
      </c>
      <c r="B206" s="37" t="s">
        <v>411</v>
      </c>
      <c r="C206" s="37">
        <v>800</v>
      </c>
      <c r="D206" s="37">
        <v>0.38</v>
      </c>
      <c r="E206" s="37" t="s">
        <v>1895</v>
      </c>
      <c r="F206" s="37">
        <v>40</v>
      </c>
      <c r="G206" s="37" t="s">
        <v>419</v>
      </c>
      <c r="H206" s="37" t="s">
        <v>1095</v>
      </c>
      <c r="I206" s="42">
        <f t="shared" si="9"/>
        <v>380</v>
      </c>
      <c r="J206" s="38">
        <f t="shared" si="10"/>
        <v>6.6846117276679271</v>
      </c>
      <c r="K206" s="38">
        <f t="shared" si="11"/>
        <v>5.9401712527204316</v>
      </c>
      <c r="L206" s="40" t="b">
        <f>IF(B206=B205,C206&gt;C205,COUNTIF(B$1:B205,B206)=0)</f>
        <v>1</v>
      </c>
      <c r="M206" s="1"/>
    </row>
    <row r="207" spans="1:13" x14ac:dyDescent="0.25">
      <c r="A207" s="37" t="s">
        <v>2089</v>
      </c>
      <c r="B207" s="37" t="s">
        <v>411</v>
      </c>
      <c r="C207" s="37">
        <v>900</v>
      </c>
      <c r="D207" s="37">
        <v>0.36</v>
      </c>
      <c r="E207" s="37" t="s">
        <v>1895</v>
      </c>
      <c r="F207" s="37">
        <v>40</v>
      </c>
      <c r="G207" s="37" t="s">
        <v>419</v>
      </c>
      <c r="H207" s="37" t="s">
        <v>1095</v>
      </c>
      <c r="I207" s="42">
        <f t="shared" si="9"/>
        <v>360</v>
      </c>
      <c r="J207" s="38">
        <f t="shared" si="10"/>
        <v>6.8023947633243109</v>
      </c>
      <c r="K207" s="38">
        <f t="shared" si="11"/>
        <v>5.8861040314501558</v>
      </c>
      <c r="L207" s="40" t="b">
        <f>IF(B207=B206,C207&gt;C206,COUNTIF(B$1:B206,B207)=0)</f>
        <v>1</v>
      </c>
      <c r="M207" s="1"/>
    </row>
    <row r="208" spans="1:13" x14ac:dyDescent="0.25">
      <c r="A208" s="37" t="s">
        <v>2090</v>
      </c>
      <c r="B208" s="37" t="s">
        <v>411</v>
      </c>
      <c r="C208" s="37">
        <v>1800</v>
      </c>
      <c r="D208" s="37">
        <v>0.25</v>
      </c>
      <c r="E208" s="37" t="s">
        <v>1895</v>
      </c>
      <c r="F208" s="37">
        <v>40</v>
      </c>
      <c r="G208" s="37" t="s">
        <v>419</v>
      </c>
      <c r="H208" s="37" t="s">
        <v>1095</v>
      </c>
      <c r="I208" s="42">
        <f t="shared" si="9"/>
        <v>250</v>
      </c>
      <c r="J208" s="38">
        <f t="shared" si="10"/>
        <v>7.4955419438842563</v>
      </c>
      <c r="K208" s="38">
        <f t="shared" si="11"/>
        <v>5.521460917862246</v>
      </c>
      <c r="L208" s="40" t="b">
        <f>IF(B208=B207,C208&gt;C207,COUNTIF(B$1:B207,B208)=0)</f>
        <v>1</v>
      </c>
      <c r="M208" s="1"/>
    </row>
    <row r="209" spans="1:13" x14ac:dyDescent="0.25">
      <c r="A209" s="37" t="s">
        <v>2091</v>
      </c>
      <c r="B209" s="37" t="s">
        <v>411</v>
      </c>
      <c r="C209" s="37">
        <v>2000</v>
      </c>
      <c r="D209" s="37">
        <v>0.23</v>
      </c>
      <c r="E209" s="37" t="s">
        <v>1895</v>
      </c>
      <c r="F209" s="37">
        <v>40</v>
      </c>
      <c r="G209" s="37" t="s">
        <v>419</v>
      </c>
      <c r="H209" s="37" t="s">
        <v>1095</v>
      </c>
      <c r="I209" s="42">
        <f t="shared" si="9"/>
        <v>230</v>
      </c>
      <c r="J209" s="38">
        <f t="shared" si="10"/>
        <v>7.6009024595420822</v>
      </c>
      <c r="K209" s="38">
        <f t="shared" si="11"/>
        <v>5.4380793089231956</v>
      </c>
      <c r="L209" s="40" t="b">
        <f>IF(B209=B208,C209&gt;C208,COUNTIF(B$1:B208,B209)=0)</f>
        <v>1</v>
      </c>
      <c r="M209" s="1"/>
    </row>
    <row r="210" spans="1:13" x14ac:dyDescent="0.25">
      <c r="A210" s="37" t="s">
        <v>2092</v>
      </c>
      <c r="B210" s="37" t="s">
        <v>411</v>
      </c>
      <c r="C210" s="37">
        <v>2200</v>
      </c>
      <c r="D210" s="37">
        <v>0.22</v>
      </c>
      <c r="E210" s="37" t="s">
        <v>1895</v>
      </c>
      <c r="F210" s="37">
        <v>40</v>
      </c>
      <c r="G210" s="37" t="s">
        <v>419</v>
      </c>
      <c r="H210" s="37" t="s">
        <v>1095</v>
      </c>
      <c r="I210" s="42">
        <f t="shared" si="9"/>
        <v>220</v>
      </c>
      <c r="J210" s="38">
        <f t="shared" si="10"/>
        <v>7.696212639346407</v>
      </c>
      <c r="K210" s="38">
        <f t="shared" si="11"/>
        <v>5.393627546352362</v>
      </c>
      <c r="L210" s="40" t="b">
        <f>IF(B210=B209,C210&gt;C209,COUNTIF(B$1:B209,B210)=0)</f>
        <v>1</v>
      </c>
      <c r="M210" s="1"/>
    </row>
    <row r="211" spans="1:13" x14ac:dyDescent="0.25">
      <c r="A211" s="37" t="s">
        <v>2093</v>
      </c>
      <c r="B211" s="37" t="s">
        <v>411</v>
      </c>
      <c r="C211" s="37">
        <v>2400</v>
      </c>
      <c r="D211" s="37">
        <v>0.21</v>
      </c>
      <c r="E211" s="37" t="s">
        <v>1895</v>
      </c>
      <c r="F211" s="37">
        <v>40</v>
      </c>
      <c r="G211" s="37" t="s">
        <v>419</v>
      </c>
      <c r="H211" s="37" t="s">
        <v>1095</v>
      </c>
      <c r="I211" s="42">
        <f t="shared" si="9"/>
        <v>210</v>
      </c>
      <c r="J211" s="38">
        <f t="shared" si="10"/>
        <v>7.7832240163360371</v>
      </c>
      <c r="K211" s="38">
        <f t="shared" si="11"/>
        <v>5.3471075307174685</v>
      </c>
      <c r="L211" s="40" t="b">
        <f>IF(B211=B210,C211&gt;C210,COUNTIF(B$1:B210,B211)=0)</f>
        <v>1</v>
      </c>
      <c r="M211" s="1"/>
    </row>
    <row r="212" spans="1:13" x14ac:dyDescent="0.25">
      <c r="A212" s="37" t="s">
        <v>2094</v>
      </c>
      <c r="B212" s="37" t="s">
        <v>411</v>
      </c>
      <c r="C212" s="37">
        <v>2700</v>
      </c>
      <c r="D212" s="37">
        <v>0.2</v>
      </c>
      <c r="E212" s="37" t="s">
        <v>1895</v>
      </c>
      <c r="F212" s="37">
        <v>40</v>
      </c>
      <c r="G212" s="37" t="s">
        <v>419</v>
      </c>
      <c r="H212" s="37" t="s">
        <v>1095</v>
      </c>
      <c r="I212" s="42">
        <f t="shared" si="9"/>
        <v>200</v>
      </c>
      <c r="J212" s="38">
        <f t="shared" si="10"/>
        <v>7.90100705199242</v>
      </c>
      <c r="K212" s="38">
        <f t="shared" si="11"/>
        <v>5.2983173665480363</v>
      </c>
      <c r="L212" s="40" t="b">
        <f>IF(B212=B211,C212&gt;C211,COUNTIF(B$1:B211,B212)=0)</f>
        <v>1</v>
      </c>
      <c r="M212" s="1"/>
    </row>
    <row r="213" spans="1:13" x14ac:dyDescent="0.25">
      <c r="A213" s="37" t="s">
        <v>2095</v>
      </c>
      <c r="B213" s="37" t="s">
        <v>411</v>
      </c>
      <c r="C213" s="37">
        <v>3000</v>
      </c>
      <c r="D213" s="37">
        <v>0.18</v>
      </c>
      <c r="E213" s="37" t="s">
        <v>1895</v>
      </c>
      <c r="F213" s="37">
        <v>40</v>
      </c>
      <c r="G213" s="37" t="s">
        <v>419</v>
      </c>
      <c r="H213" s="37" t="s">
        <v>1095</v>
      </c>
      <c r="I213" s="42">
        <f t="shared" si="9"/>
        <v>180</v>
      </c>
      <c r="J213" s="38">
        <f t="shared" si="10"/>
        <v>8.0063675676502459</v>
      </c>
      <c r="K213" s="38">
        <f t="shared" si="11"/>
        <v>5.1929568508902104</v>
      </c>
      <c r="L213" s="40" t="b">
        <f>IF(B213=B212,C213&gt;C212,COUNTIF(B$1:B212,B213)=0)</f>
        <v>1</v>
      </c>
      <c r="M213" s="1"/>
    </row>
    <row r="214" spans="1:13" x14ac:dyDescent="0.25">
      <c r="A214" s="37" t="s">
        <v>2096</v>
      </c>
      <c r="B214" s="37" t="s">
        <v>411</v>
      </c>
      <c r="C214" s="37">
        <v>3500</v>
      </c>
      <c r="D214" s="37">
        <v>0.17</v>
      </c>
      <c r="E214" s="37" t="s">
        <v>1895</v>
      </c>
      <c r="F214" s="37">
        <v>40</v>
      </c>
      <c r="G214" s="37" t="s">
        <v>419</v>
      </c>
      <c r="H214" s="37" t="s">
        <v>1095</v>
      </c>
      <c r="I214" s="42">
        <f t="shared" si="9"/>
        <v>170</v>
      </c>
      <c r="J214" s="38">
        <f t="shared" si="10"/>
        <v>8.1605182474775049</v>
      </c>
      <c r="K214" s="38">
        <f t="shared" si="11"/>
        <v>5.1357984370502621</v>
      </c>
      <c r="L214" s="40" t="b">
        <f>IF(B214=B213,C214&gt;C213,COUNTIF(B$1:B213,B214)=0)</f>
        <v>1</v>
      </c>
      <c r="M214" s="1"/>
    </row>
    <row r="215" spans="1:13" x14ac:dyDescent="0.25">
      <c r="A215" s="37" t="s">
        <v>2097</v>
      </c>
      <c r="B215" s="37" t="s">
        <v>411</v>
      </c>
      <c r="C215" s="37">
        <v>4000</v>
      </c>
      <c r="D215" s="37">
        <v>0.16</v>
      </c>
      <c r="E215" s="37" t="s">
        <v>1895</v>
      </c>
      <c r="F215" s="37">
        <v>40</v>
      </c>
      <c r="G215" s="37" t="s">
        <v>419</v>
      </c>
      <c r="H215" s="37" t="s">
        <v>1095</v>
      </c>
      <c r="I215" s="42">
        <f t="shared" si="9"/>
        <v>160</v>
      </c>
      <c r="J215" s="38">
        <f t="shared" si="10"/>
        <v>8.2940496401020276</v>
      </c>
      <c r="K215" s="38">
        <f t="shared" si="11"/>
        <v>5.0751738152338266</v>
      </c>
      <c r="L215" s="40" t="b">
        <f>IF(B215=B214,C215&gt;C214,COUNTIF(B$1:B214,B215)=0)</f>
        <v>1</v>
      </c>
      <c r="M215" s="1"/>
    </row>
    <row r="216" spans="1:13" x14ac:dyDescent="0.25">
      <c r="A216" s="37" t="s">
        <v>2098</v>
      </c>
      <c r="B216" s="37" t="s">
        <v>411</v>
      </c>
      <c r="C216" s="37">
        <v>5000</v>
      </c>
      <c r="D216" s="37">
        <v>0.14000000000000001</v>
      </c>
      <c r="E216" s="37" t="s">
        <v>1895</v>
      </c>
      <c r="F216" s="37">
        <v>40</v>
      </c>
      <c r="G216" s="37" t="s">
        <v>419</v>
      </c>
      <c r="H216" s="37" t="s">
        <v>1095</v>
      </c>
      <c r="I216" s="42">
        <f t="shared" si="9"/>
        <v>140</v>
      </c>
      <c r="J216" s="38">
        <f t="shared" si="10"/>
        <v>8.5171931914162382</v>
      </c>
      <c r="K216" s="38">
        <f t="shared" si="11"/>
        <v>4.9416424226093039</v>
      </c>
      <c r="L216" s="40" t="b">
        <f>IF(B216=B215,C216&gt;C215,COUNTIF(B$1:B215,B216)=0)</f>
        <v>1</v>
      </c>
      <c r="M216" s="1"/>
    </row>
    <row r="217" spans="1:13" x14ac:dyDescent="0.25">
      <c r="A217" s="37" t="s">
        <v>2099</v>
      </c>
      <c r="B217" s="37" t="s">
        <v>411</v>
      </c>
      <c r="C217" s="37">
        <v>20400</v>
      </c>
      <c r="D217" s="37">
        <v>0.06</v>
      </c>
      <c r="E217" s="37" t="s">
        <v>1895</v>
      </c>
      <c r="F217" s="37">
        <v>40</v>
      </c>
      <c r="G217" s="37" t="s">
        <v>419</v>
      </c>
      <c r="H217" s="37" t="s">
        <v>1095</v>
      </c>
      <c r="I217" s="42">
        <f t="shared" si="9"/>
        <v>60</v>
      </c>
      <c r="J217" s="38">
        <f t="shared" si="10"/>
        <v>9.923290179832307</v>
      </c>
      <c r="K217" s="38">
        <f t="shared" si="11"/>
        <v>4.0943445622221004</v>
      </c>
      <c r="L217" s="40" t="b">
        <f>IF(B217=B216,C217&gt;C216,COUNTIF(B$1:B216,B217)=0)</f>
        <v>1</v>
      </c>
      <c r="M217" s="1"/>
    </row>
    <row r="218" spans="1:13" x14ac:dyDescent="0.25">
      <c r="A218" s="37" t="s">
        <v>2100</v>
      </c>
      <c r="B218" s="37" t="s">
        <v>421</v>
      </c>
      <c r="C218" s="37">
        <v>1.8</v>
      </c>
      <c r="D218" s="37">
        <v>4572</v>
      </c>
      <c r="E218" s="37" t="s">
        <v>1877</v>
      </c>
      <c r="F218" s="37">
        <v>40</v>
      </c>
      <c r="G218" s="37" t="s">
        <v>429</v>
      </c>
      <c r="H218" s="37" t="s">
        <v>928</v>
      </c>
      <c r="I218" s="42">
        <f t="shared" si="9"/>
        <v>4572</v>
      </c>
      <c r="J218" s="38">
        <f t="shared" si="10"/>
        <v>0.58778666490211906</v>
      </c>
      <c r="K218" s="38">
        <f t="shared" si="11"/>
        <v>8.427706024914702</v>
      </c>
      <c r="L218" s="40" t="b">
        <f>IF(B218=B217,C218&gt;C217,COUNTIF(B$1:B217,B218)=0)</f>
        <v>1</v>
      </c>
      <c r="M218" s="1"/>
    </row>
    <row r="219" spans="1:13" x14ac:dyDescent="0.25">
      <c r="A219" s="37" t="s">
        <v>2101</v>
      </c>
      <c r="B219" s="37" t="s">
        <v>421</v>
      </c>
      <c r="C219" s="37">
        <v>3.5</v>
      </c>
      <c r="D219" s="37">
        <v>3393</v>
      </c>
      <c r="E219" s="37" t="s">
        <v>1877</v>
      </c>
      <c r="F219" s="37">
        <v>40</v>
      </c>
      <c r="G219" s="37" t="s">
        <v>429</v>
      </c>
      <c r="H219" s="37" t="s">
        <v>928</v>
      </c>
      <c r="I219" s="42">
        <f t="shared" si="9"/>
        <v>3393</v>
      </c>
      <c r="J219" s="38">
        <f t="shared" si="10"/>
        <v>1.2527629684953681</v>
      </c>
      <c r="K219" s="38">
        <f t="shared" si="11"/>
        <v>8.1294697647842309</v>
      </c>
      <c r="L219" s="40" t="b">
        <f>IF(B219=B218,C219&gt;C218,COUNTIF(B$1:B218,B219)=0)</f>
        <v>1</v>
      </c>
      <c r="M219" s="1"/>
    </row>
    <row r="220" spans="1:13" x14ac:dyDescent="0.25">
      <c r="A220" s="37" t="s">
        <v>2102</v>
      </c>
      <c r="B220" s="37" t="s">
        <v>421</v>
      </c>
      <c r="C220" s="37">
        <v>7</v>
      </c>
      <c r="D220" s="37">
        <v>2714</v>
      </c>
      <c r="E220" s="37" t="s">
        <v>1877</v>
      </c>
      <c r="F220" s="37">
        <v>40</v>
      </c>
      <c r="G220" s="37" t="s">
        <v>429</v>
      </c>
      <c r="H220" s="37" t="s">
        <v>928</v>
      </c>
      <c r="I220" s="42">
        <f t="shared" si="9"/>
        <v>2714</v>
      </c>
      <c r="J220" s="38">
        <f t="shared" si="10"/>
        <v>1.9459101490553132</v>
      </c>
      <c r="K220" s="38">
        <f t="shared" si="11"/>
        <v>7.9061788403948148</v>
      </c>
      <c r="L220" s="40" t="b">
        <f>IF(B220=B219,C220&gt;C219,COUNTIF(B$1:B219,B220)=0)</f>
        <v>1</v>
      </c>
      <c r="M220" s="1"/>
    </row>
    <row r="221" spans="1:13" x14ac:dyDescent="0.25">
      <c r="A221" s="37" t="s">
        <v>2103</v>
      </c>
      <c r="B221" s="37" t="s">
        <v>421</v>
      </c>
      <c r="C221" s="37">
        <v>10</v>
      </c>
      <c r="D221" s="37">
        <v>2286</v>
      </c>
      <c r="E221" s="37" t="s">
        <v>1877</v>
      </c>
      <c r="F221" s="37">
        <v>40</v>
      </c>
      <c r="G221" s="37" t="s">
        <v>429</v>
      </c>
      <c r="H221" s="37" t="s">
        <v>928</v>
      </c>
      <c r="I221" s="42">
        <f t="shared" si="9"/>
        <v>2286</v>
      </c>
      <c r="J221" s="38">
        <f t="shared" si="10"/>
        <v>2.3025850929940459</v>
      </c>
      <c r="K221" s="38">
        <f t="shared" si="11"/>
        <v>7.7345588443547557</v>
      </c>
      <c r="L221" s="40" t="b">
        <f>IF(B221=B220,C221&gt;C220,COUNTIF(B$1:B220,B221)=0)</f>
        <v>1</v>
      </c>
      <c r="M221" s="1"/>
    </row>
    <row r="222" spans="1:13" x14ac:dyDescent="0.25">
      <c r="A222" s="37" t="s">
        <v>2104</v>
      </c>
      <c r="B222" s="37" t="s">
        <v>421</v>
      </c>
      <c r="C222" s="37">
        <v>14</v>
      </c>
      <c r="D222" s="37">
        <v>1974</v>
      </c>
      <c r="E222" s="37" t="s">
        <v>1877</v>
      </c>
      <c r="F222" s="37">
        <v>40</v>
      </c>
      <c r="G222" s="37" t="s">
        <v>429</v>
      </c>
      <c r="H222" s="37" t="s">
        <v>928</v>
      </c>
      <c r="I222" s="42">
        <f t="shared" si="9"/>
        <v>1974</v>
      </c>
      <c r="J222" s="38">
        <f t="shared" si="10"/>
        <v>2.6390573296152584</v>
      </c>
      <c r="K222" s="38">
        <f t="shared" si="11"/>
        <v>7.5878172199934273</v>
      </c>
      <c r="L222" s="40" t="b">
        <f>IF(B222=B221,C222&gt;C221,COUNTIF(B$1:B221,B222)=0)</f>
        <v>1</v>
      </c>
      <c r="M222" s="1"/>
    </row>
    <row r="223" spans="1:13" x14ac:dyDescent="0.25">
      <c r="A223" s="37" t="s">
        <v>2105</v>
      </c>
      <c r="B223" s="37" t="s">
        <v>421</v>
      </c>
      <c r="C223" s="37">
        <v>21</v>
      </c>
      <c r="D223" s="37">
        <v>1670</v>
      </c>
      <c r="E223" s="37" t="s">
        <v>1877</v>
      </c>
      <c r="F223" s="37">
        <v>40</v>
      </c>
      <c r="G223" s="37" t="s">
        <v>429</v>
      </c>
      <c r="H223" s="37" t="s">
        <v>928</v>
      </c>
      <c r="I223" s="42">
        <f t="shared" si="9"/>
        <v>1670</v>
      </c>
      <c r="J223" s="38">
        <f t="shared" si="10"/>
        <v>3.044522437723423</v>
      </c>
      <c r="K223" s="38">
        <f t="shared" si="11"/>
        <v>7.4205789054108005</v>
      </c>
      <c r="L223" s="40" t="b">
        <f>IF(B223=B222,C223&gt;C222,COUNTIF(B$1:B222,B223)=0)</f>
        <v>1</v>
      </c>
      <c r="M223" s="1"/>
    </row>
    <row r="224" spans="1:13" x14ac:dyDescent="0.25">
      <c r="A224" s="37" t="s">
        <v>2106</v>
      </c>
      <c r="B224" s="37" t="s">
        <v>421</v>
      </c>
      <c r="C224" s="37">
        <v>28</v>
      </c>
      <c r="D224" s="37">
        <v>1448</v>
      </c>
      <c r="E224" s="37" t="s">
        <v>1877</v>
      </c>
      <c r="F224" s="37">
        <v>40</v>
      </c>
      <c r="G224" s="37" t="s">
        <v>429</v>
      </c>
      <c r="H224" s="37" t="s">
        <v>928</v>
      </c>
      <c r="I224" s="42">
        <f t="shared" si="9"/>
        <v>1448</v>
      </c>
      <c r="J224" s="38">
        <f t="shared" si="10"/>
        <v>3.3322045101752038</v>
      </c>
      <c r="K224" s="38">
        <f t="shared" si="11"/>
        <v>7.2779385729456614</v>
      </c>
      <c r="L224" s="40" t="b">
        <f>IF(B224=B223,C224&gt;C223,COUNTIF(B$1:B223,B224)=0)</f>
        <v>1</v>
      </c>
      <c r="M224" s="1"/>
    </row>
    <row r="225" spans="1:13" x14ac:dyDescent="0.25">
      <c r="A225" s="37" t="s">
        <v>2107</v>
      </c>
      <c r="B225" s="37" t="s">
        <v>421</v>
      </c>
      <c r="C225" s="37">
        <v>50</v>
      </c>
      <c r="D225" s="37">
        <v>1086</v>
      </c>
      <c r="E225" s="37" t="s">
        <v>1877</v>
      </c>
      <c r="F225" s="37">
        <v>40</v>
      </c>
      <c r="G225" s="37" t="s">
        <v>429</v>
      </c>
      <c r="H225" s="37" t="s">
        <v>928</v>
      </c>
      <c r="I225" s="42">
        <f t="shared" si="9"/>
        <v>1086</v>
      </c>
      <c r="J225" s="38">
        <f t="shared" si="10"/>
        <v>3.912023005428146</v>
      </c>
      <c r="K225" s="38">
        <f t="shared" si="11"/>
        <v>6.9902565004938806</v>
      </c>
      <c r="L225" s="40" t="b">
        <f>IF(B225=B224,C225&gt;C224,COUNTIF(B$1:B224,B225)=0)</f>
        <v>1</v>
      </c>
      <c r="M225" s="1"/>
    </row>
    <row r="226" spans="1:13" x14ac:dyDescent="0.25">
      <c r="A226" s="37" t="s">
        <v>2108</v>
      </c>
      <c r="B226" s="37" t="s">
        <v>421</v>
      </c>
      <c r="C226" s="37">
        <v>100</v>
      </c>
      <c r="D226" s="37">
        <v>749</v>
      </c>
      <c r="E226" s="37" t="s">
        <v>1877</v>
      </c>
      <c r="F226" s="37">
        <v>40</v>
      </c>
      <c r="G226" s="37" t="s">
        <v>429</v>
      </c>
      <c r="H226" s="37" t="s">
        <v>928</v>
      </c>
      <c r="I226" s="42">
        <f t="shared" si="9"/>
        <v>749</v>
      </c>
      <c r="J226" s="38">
        <f t="shared" si="10"/>
        <v>4.6051701859880918</v>
      </c>
      <c r="K226" s="38">
        <f t="shared" si="11"/>
        <v>6.6187389835172192</v>
      </c>
      <c r="L226" s="40" t="b">
        <f>IF(B226=B225,C226&gt;C225,COUNTIF(B$1:B225,B226)=0)</f>
        <v>1</v>
      </c>
      <c r="M226" s="1"/>
    </row>
    <row r="227" spans="1:13" x14ac:dyDescent="0.25">
      <c r="A227" s="37" t="s">
        <v>2109</v>
      </c>
      <c r="B227" s="37" t="s">
        <v>421</v>
      </c>
      <c r="C227" s="37">
        <v>144</v>
      </c>
      <c r="D227" s="37">
        <v>629</v>
      </c>
      <c r="E227" s="37" t="s">
        <v>1877</v>
      </c>
      <c r="F227" s="37">
        <v>40</v>
      </c>
      <c r="G227" s="37" t="s">
        <v>429</v>
      </c>
      <c r="H227" s="37" t="s">
        <v>928</v>
      </c>
      <c r="I227" s="42">
        <f t="shared" si="9"/>
        <v>629</v>
      </c>
      <c r="J227" s="38">
        <f t="shared" si="10"/>
        <v>4.9698132995760007</v>
      </c>
      <c r="K227" s="38">
        <f t="shared" si="11"/>
        <v>6.444131256700441</v>
      </c>
      <c r="L227" s="40" t="b">
        <f>IF(B227=B226,C227&gt;C226,COUNTIF(B$1:B226,B227)=0)</f>
        <v>1</v>
      </c>
      <c r="M227" s="1"/>
    </row>
    <row r="228" spans="1:13" x14ac:dyDescent="0.25">
      <c r="A228" s="37" t="s">
        <v>2110</v>
      </c>
      <c r="B228" s="37" t="s">
        <v>421</v>
      </c>
      <c r="C228" s="37">
        <v>200</v>
      </c>
      <c r="D228" s="37">
        <v>530</v>
      </c>
      <c r="E228" s="37" t="s">
        <v>1877</v>
      </c>
      <c r="F228" s="37">
        <v>40</v>
      </c>
      <c r="G228" s="37" t="s">
        <v>429</v>
      </c>
      <c r="H228" s="37" t="s">
        <v>928</v>
      </c>
      <c r="I228" s="42">
        <f t="shared" si="9"/>
        <v>530</v>
      </c>
      <c r="J228" s="38">
        <f t="shared" si="10"/>
        <v>5.2983173665480363</v>
      </c>
      <c r="K228" s="38">
        <f t="shared" si="11"/>
        <v>6.2728770065461674</v>
      </c>
      <c r="L228" s="40" t="b">
        <f>IF(B228=B227,C228&gt;C227,COUNTIF(B$1:B227,B228)=0)</f>
        <v>1</v>
      </c>
      <c r="M228" s="1"/>
    </row>
    <row r="229" spans="1:13" x14ac:dyDescent="0.25">
      <c r="A229" s="37" t="s">
        <v>2111</v>
      </c>
      <c r="B229" s="37" t="s">
        <v>421</v>
      </c>
      <c r="C229" s="37">
        <v>400</v>
      </c>
      <c r="D229" s="37">
        <v>368</v>
      </c>
      <c r="E229" s="37" t="s">
        <v>1877</v>
      </c>
      <c r="F229" s="37">
        <v>40</v>
      </c>
      <c r="G229" s="37" t="s">
        <v>429</v>
      </c>
      <c r="H229" s="37" t="s">
        <v>928</v>
      </c>
      <c r="I229" s="42">
        <f t="shared" si="9"/>
        <v>368</v>
      </c>
      <c r="J229" s="38">
        <f t="shared" si="10"/>
        <v>5.9914645471079817</v>
      </c>
      <c r="K229" s="38">
        <f t="shared" si="11"/>
        <v>5.9080829381689313</v>
      </c>
      <c r="L229" s="40" t="b">
        <f>IF(B229=B228,C229&gt;C228,COUNTIF(B$1:B228,B229)=0)</f>
        <v>1</v>
      </c>
      <c r="M229" s="1"/>
    </row>
    <row r="230" spans="1:13" x14ac:dyDescent="0.25">
      <c r="A230" s="37" t="s">
        <v>2112</v>
      </c>
      <c r="B230" s="37" t="s">
        <v>421</v>
      </c>
      <c r="C230" s="37">
        <v>430</v>
      </c>
      <c r="D230" s="37">
        <v>353</v>
      </c>
      <c r="E230" s="37" t="s">
        <v>1877</v>
      </c>
      <c r="F230" s="37">
        <v>40</v>
      </c>
      <c r="G230" s="37" t="s">
        <v>429</v>
      </c>
      <c r="H230" s="37" t="s">
        <v>928</v>
      </c>
      <c r="I230" s="42">
        <f t="shared" si="9"/>
        <v>353</v>
      </c>
      <c r="J230" s="38">
        <f t="shared" si="10"/>
        <v>6.0637852086876078</v>
      </c>
      <c r="K230" s="38">
        <f t="shared" si="11"/>
        <v>5.8664680569332965</v>
      </c>
      <c r="L230" s="40" t="b">
        <f>IF(B230=B229,C230&gt;C229,COUNTIF(B$1:B229,B230)=0)</f>
        <v>1</v>
      </c>
      <c r="M230" s="1"/>
    </row>
    <row r="231" spans="1:13" x14ac:dyDescent="0.25">
      <c r="A231" s="37" t="s">
        <v>2113</v>
      </c>
      <c r="B231" s="37" t="s">
        <v>421</v>
      </c>
      <c r="C231" s="37">
        <v>800</v>
      </c>
      <c r="D231" s="37">
        <v>254</v>
      </c>
      <c r="E231" s="37" t="s">
        <v>1877</v>
      </c>
      <c r="F231" s="37">
        <v>40</v>
      </c>
      <c r="G231" s="37" t="s">
        <v>429</v>
      </c>
      <c r="H231" s="37" t="s">
        <v>928</v>
      </c>
      <c r="I231" s="42">
        <f t="shared" si="9"/>
        <v>254</v>
      </c>
      <c r="J231" s="38">
        <f t="shared" si="10"/>
        <v>6.6846117276679271</v>
      </c>
      <c r="K231" s="38">
        <f t="shared" si="11"/>
        <v>5.5373342670185366</v>
      </c>
      <c r="L231" s="40" t="b">
        <f>IF(B231=B230,C231&gt;C230,COUNTIF(B$1:B230,B231)=0)</f>
        <v>1</v>
      </c>
      <c r="M231" s="1"/>
    </row>
    <row r="232" spans="1:13" x14ac:dyDescent="0.25">
      <c r="A232" s="37" t="s">
        <v>2114</v>
      </c>
      <c r="B232" s="37" t="s">
        <v>421</v>
      </c>
      <c r="C232" s="37">
        <v>1000</v>
      </c>
      <c r="D232" s="37">
        <v>225</v>
      </c>
      <c r="E232" s="37" t="s">
        <v>1877</v>
      </c>
      <c r="F232" s="37">
        <v>40</v>
      </c>
      <c r="G232" s="37" t="s">
        <v>429</v>
      </c>
      <c r="H232" s="37" t="s">
        <v>928</v>
      </c>
      <c r="I232" s="42">
        <f t="shared" si="9"/>
        <v>225</v>
      </c>
      <c r="J232" s="38">
        <f t="shared" si="10"/>
        <v>6.9077552789821368</v>
      </c>
      <c r="K232" s="38">
        <f t="shared" si="11"/>
        <v>5.4161004022044201</v>
      </c>
      <c r="L232" s="40" t="b">
        <f>IF(B232=B231,C232&gt;C231,COUNTIF(B$1:B231,B232)=0)</f>
        <v>1</v>
      </c>
      <c r="M232" s="1"/>
    </row>
    <row r="233" spans="1:13" x14ac:dyDescent="0.25">
      <c r="A233" s="37" t="s">
        <v>2115</v>
      </c>
      <c r="B233" s="37" t="s">
        <v>421</v>
      </c>
      <c r="C233" s="37">
        <v>1296</v>
      </c>
      <c r="D233" s="37">
        <v>195</v>
      </c>
      <c r="E233" s="37" t="s">
        <v>1877</v>
      </c>
      <c r="F233" s="37">
        <v>40</v>
      </c>
      <c r="G233" s="37" t="s">
        <v>429</v>
      </c>
      <c r="H233" s="37" t="s">
        <v>928</v>
      </c>
      <c r="I233" s="42">
        <f t="shared" si="9"/>
        <v>195</v>
      </c>
      <c r="J233" s="38">
        <f t="shared" si="10"/>
        <v>7.1670378769122198</v>
      </c>
      <c r="K233" s="38">
        <f t="shared" si="11"/>
        <v>5.2729995585637468</v>
      </c>
      <c r="L233" s="40" t="b">
        <f>IF(B233=B232,C233&gt;C232,COUNTIF(B$1:B232,B233)=0)</f>
        <v>1</v>
      </c>
      <c r="M233" s="1"/>
    </row>
    <row r="234" spans="1:13" x14ac:dyDescent="0.25">
      <c r="A234" s="37" t="s">
        <v>2116</v>
      </c>
      <c r="B234" s="37" t="s">
        <v>421</v>
      </c>
      <c r="C234" s="37">
        <v>2400</v>
      </c>
      <c r="D234" s="37">
        <v>134</v>
      </c>
      <c r="E234" s="37" t="s">
        <v>1877</v>
      </c>
      <c r="F234" s="37">
        <v>40</v>
      </c>
      <c r="G234" s="37" t="s">
        <v>429</v>
      </c>
      <c r="H234" s="37" t="s">
        <v>928</v>
      </c>
      <c r="I234" s="42">
        <f t="shared" si="9"/>
        <v>134</v>
      </c>
      <c r="J234" s="38">
        <f t="shared" si="10"/>
        <v>7.7832240163360371</v>
      </c>
      <c r="K234" s="38">
        <f t="shared" si="11"/>
        <v>4.8978397999509111</v>
      </c>
      <c r="L234" s="40" t="b">
        <f>IF(B234=B233,C234&gt;C233,COUNTIF(B$1:B233,B234)=0)</f>
        <v>1</v>
      </c>
      <c r="M234" s="1"/>
    </row>
    <row r="235" spans="1:13" x14ac:dyDescent="0.25">
      <c r="A235" s="37" t="s">
        <v>2117</v>
      </c>
      <c r="B235" s="37" t="s">
        <v>421</v>
      </c>
      <c r="C235" s="37">
        <v>3000</v>
      </c>
      <c r="D235" s="37">
        <v>120</v>
      </c>
      <c r="E235" s="37" t="s">
        <v>1877</v>
      </c>
      <c r="F235" s="37">
        <v>40</v>
      </c>
      <c r="G235" s="37" t="s">
        <v>429</v>
      </c>
      <c r="H235" s="37" t="s">
        <v>928</v>
      </c>
      <c r="I235" s="42">
        <f t="shared" si="9"/>
        <v>120</v>
      </c>
      <c r="J235" s="38">
        <f t="shared" si="10"/>
        <v>8.0063675676502459</v>
      </c>
      <c r="K235" s="38">
        <f t="shared" si="11"/>
        <v>4.7874917427820458</v>
      </c>
      <c r="L235" s="40" t="b">
        <f>IF(B235=B234,C235&gt;C234,COUNTIF(B$1:B234,B235)=0)</f>
        <v>1</v>
      </c>
      <c r="M235" s="1"/>
    </row>
    <row r="236" spans="1:13" x14ac:dyDescent="0.25">
      <c r="A236" s="37" t="s">
        <v>2118</v>
      </c>
      <c r="B236" s="37" t="s">
        <v>421</v>
      </c>
      <c r="C236" s="37">
        <v>4000</v>
      </c>
      <c r="D236" s="37">
        <v>102</v>
      </c>
      <c r="E236" s="37" t="s">
        <v>1877</v>
      </c>
      <c r="F236" s="37">
        <v>40</v>
      </c>
      <c r="G236" s="37" t="s">
        <v>429</v>
      </c>
      <c r="H236" s="37" t="s">
        <v>928</v>
      </c>
      <c r="I236" s="42">
        <f t="shared" si="9"/>
        <v>102</v>
      </c>
      <c r="J236" s="38">
        <f t="shared" si="10"/>
        <v>8.2940496401020276</v>
      </c>
      <c r="K236" s="38">
        <f t="shared" si="11"/>
        <v>4.6249728132842707</v>
      </c>
      <c r="L236" s="40" t="b">
        <f>IF(B236=B235,C236&gt;C235,COUNTIF(B$1:B235,B236)=0)</f>
        <v>1</v>
      </c>
      <c r="M236" s="1"/>
    </row>
    <row r="237" spans="1:13" x14ac:dyDescent="0.25">
      <c r="A237" s="37" t="s">
        <v>2119</v>
      </c>
      <c r="B237" s="37" t="s">
        <v>421</v>
      </c>
      <c r="C237" s="37">
        <v>5000</v>
      </c>
      <c r="D237" s="37">
        <v>88</v>
      </c>
      <c r="E237" s="37" t="s">
        <v>1877</v>
      </c>
      <c r="F237" s="37">
        <v>40</v>
      </c>
      <c r="G237" s="37" t="s">
        <v>429</v>
      </c>
      <c r="H237" s="37" t="s">
        <v>928</v>
      </c>
      <c r="I237" s="42">
        <f t="shared" si="9"/>
        <v>88</v>
      </c>
      <c r="J237" s="38">
        <f t="shared" si="10"/>
        <v>8.5171931914162382</v>
      </c>
      <c r="K237" s="38">
        <f t="shared" si="11"/>
        <v>4.4773368144782069</v>
      </c>
      <c r="L237" s="40" t="b">
        <f>IF(B237=B236,C237&gt;C236,COUNTIF(B$1:B236,B237)=0)</f>
        <v>1</v>
      </c>
      <c r="M237" s="1"/>
    </row>
    <row r="238" spans="1:13" x14ac:dyDescent="0.25">
      <c r="A238" s="37" t="s">
        <v>2120</v>
      </c>
      <c r="B238" s="37" t="s">
        <v>421</v>
      </c>
      <c r="C238" s="37">
        <v>6000</v>
      </c>
      <c r="D238" s="37">
        <v>79</v>
      </c>
      <c r="E238" s="37" t="s">
        <v>1877</v>
      </c>
      <c r="F238" s="37">
        <v>40</v>
      </c>
      <c r="G238" s="37" t="s">
        <v>429</v>
      </c>
      <c r="H238" s="37" t="s">
        <v>928</v>
      </c>
      <c r="I238" s="42">
        <f t="shared" si="9"/>
        <v>79</v>
      </c>
      <c r="J238" s="38">
        <f t="shared" si="10"/>
        <v>8.6995147482101913</v>
      </c>
      <c r="K238" s="38">
        <f t="shared" si="11"/>
        <v>4.3694478524670215</v>
      </c>
      <c r="L238" s="40" t="b">
        <f>IF(B238=B237,C238&gt;C237,COUNTIF(B$1:B237,B238)=0)</f>
        <v>1</v>
      </c>
      <c r="M238" s="1"/>
    </row>
    <row r="239" spans="1:13" x14ac:dyDescent="0.25">
      <c r="A239" s="37" t="s">
        <v>2121</v>
      </c>
      <c r="B239" s="37" t="s">
        <v>421</v>
      </c>
      <c r="C239" s="37">
        <v>7000</v>
      </c>
      <c r="D239" s="37">
        <v>71</v>
      </c>
      <c r="E239" s="37" t="s">
        <v>1877</v>
      </c>
      <c r="F239" s="37">
        <v>40</v>
      </c>
      <c r="G239" s="37" t="s">
        <v>429</v>
      </c>
      <c r="H239" s="37" t="s">
        <v>928</v>
      </c>
      <c r="I239" s="42">
        <f t="shared" si="9"/>
        <v>71</v>
      </c>
      <c r="J239" s="38">
        <f t="shared" si="10"/>
        <v>8.8536654280374503</v>
      </c>
      <c r="K239" s="38">
        <f t="shared" si="11"/>
        <v>4.2626798770413155</v>
      </c>
      <c r="L239" s="40" t="b">
        <f>IF(B239=B238,C239&gt;C238,COUNTIF(B$1:B238,B239)=0)</f>
        <v>1</v>
      </c>
      <c r="M239" s="1"/>
    </row>
    <row r="240" spans="1:13" x14ac:dyDescent="0.25">
      <c r="A240" s="37" t="s">
        <v>2122</v>
      </c>
      <c r="B240" s="37" t="s">
        <v>421</v>
      </c>
      <c r="C240" s="37">
        <v>8000</v>
      </c>
      <c r="D240" s="37">
        <v>63</v>
      </c>
      <c r="E240" s="37" t="s">
        <v>1877</v>
      </c>
      <c r="F240" s="37">
        <v>40</v>
      </c>
      <c r="G240" s="37" t="s">
        <v>429</v>
      </c>
      <c r="H240" s="37" t="s">
        <v>928</v>
      </c>
      <c r="I240" s="42">
        <f t="shared" si="9"/>
        <v>63</v>
      </c>
      <c r="J240" s="38">
        <f t="shared" si="10"/>
        <v>8.987196820661973</v>
      </c>
      <c r="K240" s="38">
        <f t="shared" si="11"/>
        <v>4.1431347263915326</v>
      </c>
      <c r="L240" s="40" t="b">
        <f>IF(B240=B239,C240&gt;C239,COUNTIF(B$1:B239,B240)=0)</f>
        <v>1</v>
      </c>
      <c r="M240" s="1"/>
    </row>
    <row r="241" spans="1:13" x14ac:dyDescent="0.25">
      <c r="A241" s="37" t="s">
        <v>2123</v>
      </c>
      <c r="B241" s="37" t="s">
        <v>454</v>
      </c>
      <c r="C241" s="37">
        <v>100</v>
      </c>
      <c r="D241" s="37">
        <v>1.88</v>
      </c>
      <c r="E241" s="37" t="s">
        <v>1895</v>
      </c>
      <c r="F241" s="37">
        <v>40</v>
      </c>
      <c r="G241" s="37" t="s">
        <v>460</v>
      </c>
      <c r="H241" s="37" t="s">
        <v>1151</v>
      </c>
      <c r="I241" s="42">
        <f t="shared" si="9"/>
        <v>1880</v>
      </c>
      <c r="J241" s="38">
        <f t="shared" si="10"/>
        <v>4.6051701859880918</v>
      </c>
      <c r="K241" s="38">
        <f t="shared" si="11"/>
        <v>7.5390270558239951</v>
      </c>
      <c r="L241" s="40" t="b">
        <f>IF(B241=B240,C241&gt;C240,COUNTIF(B$1:B240,B241)=0)</f>
        <v>1</v>
      </c>
      <c r="M241" s="1"/>
    </row>
    <row r="242" spans="1:13" x14ac:dyDescent="0.25">
      <c r="A242" s="37" t="s">
        <v>2124</v>
      </c>
      <c r="B242" s="37" t="s">
        <v>454</v>
      </c>
      <c r="C242" s="37">
        <v>150</v>
      </c>
      <c r="D242" s="37">
        <v>1.52</v>
      </c>
      <c r="E242" s="37" t="s">
        <v>1895</v>
      </c>
      <c r="F242" s="37">
        <v>40</v>
      </c>
      <c r="G242" s="37" t="s">
        <v>460</v>
      </c>
      <c r="H242" s="37" t="s">
        <v>1151</v>
      </c>
      <c r="I242" s="42">
        <f t="shared" si="9"/>
        <v>1520</v>
      </c>
      <c r="J242" s="38">
        <f t="shared" si="10"/>
        <v>5.0106352940962555</v>
      </c>
      <c r="K242" s="38">
        <f t="shared" si="11"/>
        <v>7.3264656138403224</v>
      </c>
      <c r="L242" s="40" t="b">
        <f>IF(B242=B241,C242&gt;C241,COUNTIF(B$1:B241,B242)=0)</f>
        <v>1</v>
      </c>
      <c r="M242" s="1"/>
    </row>
    <row r="243" spans="1:13" x14ac:dyDescent="0.25">
      <c r="A243" s="37" t="s">
        <v>2125</v>
      </c>
      <c r="B243" s="37" t="s">
        <v>454</v>
      </c>
      <c r="C243" s="37">
        <v>200</v>
      </c>
      <c r="D243" s="37">
        <v>1.31</v>
      </c>
      <c r="E243" s="37" t="s">
        <v>1895</v>
      </c>
      <c r="F243" s="37">
        <v>40</v>
      </c>
      <c r="G243" s="37" t="s">
        <v>460</v>
      </c>
      <c r="H243" s="37" t="s">
        <v>1151</v>
      </c>
      <c r="I243" s="42">
        <f t="shared" si="9"/>
        <v>1310</v>
      </c>
      <c r="J243" s="38">
        <f t="shared" si="10"/>
        <v>5.2983173665480363</v>
      </c>
      <c r="K243" s="38">
        <f t="shared" si="11"/>
        <v>7.1777824161951971</v>
      </c>
      <c r="L243" s="40" t="b">
        <f>IF(B243=B242,C243&gt;C242,COUNTIF(B$1:B242,B243)=0)</f>
        <v>1</v>
      </c>
      <c r="M243" s="1"/>
    </row>
    <row r="244" spans="1:13" x14ac:dyDescent="0.25">
      <c r="A244" s="37" t="s">
        <v>2126</v>
      </c>
      <c r="B244" s="37" t="s">
        <v>454</v>
      </c>
      <c r="C244" s="37">
        <v>450</v>
      </c>
      <c r="D244" s="37">
        <v>0.85</v>
      </c>
      <c r="E244" s="37" t="s">
        <v>1895</v>
      </c>
      <c r="F244" s="37">
        <v>40</v>
      </c>
      <c r="G244" s="37" t="s">
        <v>460</v>
      </c>
      <c r="H244" s="37" t="s">
        <v>1151</v>
      </c>
      <c r="I244" s="42">
        <f t="shared" si="9"/>
        <v>850</v>
      </c>
      <c r="J244" s="38">
        <f t="shared" si="10"/>
        <v>6.1092475827643655</v>
      </c>
      <c r="K244" s="38">
        <f t="shared" si="11"/>
        <v>6.7452363494843626</v>
      </c>
      <c r="L244" s="40" t="b">
        <f>IF(B244=B243,C244&gt;C243,COUNTIF(B$1:B243,B244)=0)</f>
        <v>1</v>
      </c>
      <c r="M244" s="1"/>
    </row>
    <row r="245" spans="1:13" x14ac:dyDescent="0.25">
      <c r="A245" s="37" t="s">
        <v>2127</v>
      </c>
      <c r="B245" s="37" t="s">
        <v>454</v>
      </c>
      <c r="C245" s="37">
        <v>700</v>
      </c>
      <c r="D245" s="37">
        <v>0.67</v>
      </c>
      <c r="E245" s="37" t="s">
        <v>1895</v>
      </c>
      <c r="F245" s="37">
        <v>40</v>
      </c>
      <c r="G245" s="37" t="s">
        <v>460</v>
      </c>
      <c r="H245" s="37" t="s">
        <v>1151</v>
      </c>
      <c r="I245" s="42">
        <f t="shared" si="9"/>
        <v>670</v>
      </c>
      <c r="J245" s="38">
        <f t="shared" si="10"/>
        <v>6.5510803350434044</v>
      </c>
      <c r="K245" s="38">
        <f t="shared" si="11"/>
        <v>6.5072777123850116</v>
      </c>
      <c r="L245" s="40" t="b">
        <f>IF(B245=B244,C245&gt;C244,COUNTIF(B$1:B244,B245)=0)</f>
        <v>1</v>
      </c>
      <c r="M245" s="1"/>
    </row>
    <row r="246" spans="1:13" x14ac:dyDescent="0.25">
      <c r="A246" s="37" t="s">
        <v>2128</v>
      </c>
      <c r="B246" s="37" t="s">
        <v>454</v>
      </c>
      <c r="C246" s="37">
        <v>800</v>
      </c>
      <c r="D246" s="37">
        <v>0.62</v>
      </c>
      <c r="E246" s="37" t="s">
        <v>1895</v>
      </c>
      <c r="F246" s="37">
        <v>40</v>
      </c>
      <c r="G246" s="37" t="s">
        <v>460</v>
      </c>
      <c r="H246" s="37" t="s">
        <v>1151</v>
      </c>
      <c r="I246" s="42">
        <f t="shared" si="9"/>
        <v>620</v>
      </c>
      <c r="J246" s="38">
        <f t="shared" si="10"/>
        <v>6.6846117276679271</v>
      </c>
      <c r="K246" s="38">
        <f t="shared" si="11"/>
        <v>6.4297194780391376</v>
      </c>
      <c r="L246" s="40" t="b">
        <f>IF(B246=B245,C246&gt;C245,COUNTIF(B$1:B245,B246)=0)</f>
        <v>1</v>
      </c>
      <c r="M246" s="1"/>
    </row>
    <row r="247" spans="1:13" x14ac:dyDescent="0.25">
      <c r="A247" s="37" t="s">
        <v>2129</v>
      </c>
      <c r="B247" s="37" t="s">
        <v>454</v>
      </c>
      <c r="C247" s="37">
        <v>870</v>
      </c>
      <c r="D247" s="37">
        <v>0.59</v>
      </c>
      <c r="E247" s="37" t="s">
        <v>1895</v>
      </c>
      <c r="F247" s="37">
        <v>40</v>
      </c>
      <c r="G247" s="37" t="s">
        <v>460</v>
      </c>
      <c r="H247" s="37" t="s">
        <v>1151</v>
      </c>
      <c r="I247" s="42">
        <f t="shared" si="9"/>
        <v>590</v>
      </c>
      <c r="J247" s="38">
        <f t="shared" si="10"/>
        <v>6.7684932116486296</v>
      </c>
      <c r="K247" s="38">
        <f t="shared" si="11"/>
        <v>6.3801225368997647</v>
      </c>
      <c r="L247" s="40" t="b">
        <f>IF(B247=B246,C247&gt;C246,COUNTIF(B$1:B246,B247)=0)</f>
        <v>1</v>
      </c>
      <c r="M247" s="1"/>
    </row>
    <row r="248" spans="1:13" x14ac:dyDescent="0.25">
      <c r="A248" s="37" t="s">
        <v>2130</v>
      </c>
      <c r="B248" s="37" t="s">
        <v>454</v>
      </c>
      <c r="C248" s="37">
        <v>900</v>
      </c>
      <c r="D248" s="37">
        <v>0.57999999999999996</v>
      </c>
      <c r="E248" s="37" t="s">
        <v>1895</v>
      </c>
      <c r="F248" s="37">
        <v>40</v>
      </c>
      <c r="G248" s="37" t="s">
        <v>460</v>
      </c>
      <c r="H248" s="37" t="s">
        <v>1151</v>
      </c>
      <c r="I248" s="42">
        <f t="shared" si="9"/>
        <v>580</v>
      </c>
      <c r="J248" s="38">
        <f t="shared" si="10"/>
        <v>6.8023947633243109</v>
      </c>
      <c r="K248" s="38">
        <f t="shared" si="11"/>
        <v>6.363028103540465</v>
      </c>
      <c r="L248" s="40" t="b">
        <f>IF(B248=B247,C248&gt;C247,COUNTIF(B$1:B247,B248)=0)</f>
        <v>1</v>
      </c>
      <c r="M248" s="1"/>
    </row>
    <row r="249" spans="1:13" x14ac:dyDescent="0.25">
      <c r="A249" s="37" t="s">
        <v>2131</v>
      </c>
      <c r="B249" s="37" t="s">
        <v>454</v>
      </c>
      <c r="C249" s="37">
        <v>960</v>
      </c>
      <c r="D249" s="37">
        <v>0.56000000000000005</v>
      </c>
      <c r="E249" s="37" t="s">
        <v>1895</v>
      </c>
      <c r="F249" s="37">
        <v>40</v>
      </c>
      <c r="G249" s="37" t="s">
        <v>460</v>
      </c>
      <c r="H249" s="37" t="s">
        <v>1151</v>
      </c>
      <c r="I249" s="42">
        <f t="shared" si="9"/>
        <v>560</v>
      </c>
      <c r="J249" s="38">
        <f t="shared" si="10"/>
        <v>6.866933284461882</v>
      </c>
      <c r="K249" s="38">
        <f t="shared" si="11"/>
        <v>6.3279367837291947</v>
      </c>
      <c r="L249" s="40" t="b">
        <f>IF(B249=B248,C249&gt;C248,COUNTIF(B$1:B248,B249)=0)</f>
        <v>1</v>
      </c>
      <c r="M249" s="1"/>
    </row>
    <row r="250" spans="1:13" x14ac:dyDescent="0.25">
      <c r="A250" s="37" t="s">
        <v>2132</v>
      </c>
      <c r="B250" s="37" t="s">
        <v>454</v>
      </c>
      <c r="C250" s="37">
        <v>1800</v>
      </c>
      <c r="D250" s="37">
        <v>0.39</v>
      </c>
      <c r="E250" s="37" t="s">
        <v>1895</v>
      </c>
      <c r="F250" s="37">
        <v>40</v>
      </c>
      <c r="G250" s="37" t="s">
        <v>460</v>
      </c>
      <c r="H250" s="37" t="s">
        <v>1151</v>
      </c>
      <c r="I250" s="42">
        <f t="shared" si="9"/>
        <v>390</v>
      </c>
      <c r="J250" s="38">
        <f t="shared" si="10"/>
        <v>7.4955419438842563</v>
      </c>
      <c r="K250" s="38">
        <f t="shared" si="11"/>
        <v>5.9661467391236922</v>
      </c>
      <c r="L250" s="40" t="b">
        <f>IF(B250=B249,C250&gt;C249,COUNTIF(B$1:B249,B250)=0)</f>
        <v>1</v>
      </c>
      <c r="M250" s="1"/>
    </row>
    <row r="251" spans="1:13" x14ac:dyDescent="0.25">
      <c r="A251" s="37" t="s">
        <v>2133</v>
      </c>
      <c r="B251" s="37" t="s">
        <v>454</v>
      </c>
      <c r="C251" s="37">
        <v>2000</v>
      </c>
      <c r="D251" s="37">
        <v>0.37</v>
      </c>
      <c r="E251" s="37" t="s">
        <v>1895</v>
      </c>
      <c r="F251" s="37">
        <v>40</v>
      </c>
      <c r="G251" s="37" t="s">
        <v>460</v>
      </c>
      <c r="H251" s="37" t="s">
        <v>1151</v>
      </c>
      <c r="I251" s="42">
        <f t="shared" si="9"/>
        <v>370</v>
      </c>
      <c r="J251" s="38">
        <f t="shared" si="10"/>
        <v>7.6009024595420822</v>
      </c>
      <c r="K251" s="38">
        <f t="shared" si="11"/>
        <v>5.9135030056382698</v>
      </c>
      <c r="L251" s="40" t="b">
        <f>IF(B251=B250,C251&gt;C250,COUNTIF(B$1:B250,B251)=0)</f>
        <v>1</v>
      </c>
      <c r="M251" s="1"/>
    </row>
    <row r="252" spans="1:13" x14ac:dyDescent="0.25">
      <c r="A252" s="37" t="s">
        <v>2134</v>
      </c>
      <c r="B252" s="37" t="s">
        <v>454</v>
      </c>
      <c r="C252" s="37">
        <v>2200</v>
      </c>
      <c r="D252" s="37">
        <v>0.35</v>
      </c>
      <c r="E252" s="37" t="s">
        <v>1895</v>
      </c>
      <c r="F252" s="37">
        <v>40</v>
      </c>
      <c r="G252" s="37" t="s">
        <v>460</v>
      </c>
      <c r="H252" s="37" t="s">
        <v>1151</v>
      </c>
      <c r="I252" s="42">
        <f t="shared" si="9"/>
        <v>350</v>
      </c>
      <c r="J252" s="38">
        <f t="shared" si="10"/>
        <v>7.696212639346407</v>
      </c>
      <c r="K252" s="38">
        <f t="shared" si="11"/>
        <v>5.857933154483459</v>
      </c>
      <c r="L252" s="40" t="b">
        <f>IF(B252=B251,C252&gt;C251,COUNTIF(B$1:B251,B252)=0)</f>
        <v>1</v>
      </c>
      <c r="M252" s="1"/>
    </row>
    <row r="253" spans="1:13" x14ac:dyDescent="0.25">
      <c r="A253" s="37" t="s">
        <v>2135</v>
      </c>
      <c r="B253" s="37" t="s">
        <v>454</v>
      </c>
      <c r="C253" s="37">
        <v>2400</v>
      </c>
      <c r="D253" s="37">
        <v>0.33</v>
      </c>
      <c r="E253" s="37" t="s">
        <v>1895</v>
      </c>
      <c r="F253" s="37">
        <v>40</v>
      </c>
      <c r="G253" s="37" t="s">
        <v>460</v>
      </c>
      <c r="H253" s="37" t="s">
        <v>1151</v>
      </c>
      <c r="I253" s="42">
        <f t="shared" si="9"/>
        <v>330</v>
      </c>
      <c r="J253" s="38">
        <f t="shared" si="10"/>
        <v>7.7832240163360371</v>
      </c>
      <c r="K253" s="38">
        <f t="shared" si="11"/>
        <v>5.7990926544605257</v>
      </c>
      <c r="L253" s="40" t="b">
        <f>IF(B253=B252,C253&gt;C252,COUNTIF(B$1:B252,B253)=0)</f>
        <v>1</v>
      </c>
      <c r="M253" s="1"/>
    </row>
    <row r="254" spans="1:13" x14ac:dyDescent="0.25">
      <c r="A254" s="37" t="s">
        <v>2136</v>
      </c>
      <c r="B254" s="37" t="s">
        <v>454</v>
      </c>
      <c r="C254" s="37">
        <v>2600</v>
      </c>
      <c r="D254" s="37">
        <v>0.32</v>
      </c>
      <c r="E254" s="37" t="s">
        <v>1895</v>
      </c>
      <c r="F254" s="37">
        <v>40</v>
      </c>
      <c r="G254" s="37" t="s">
        <v>460</v>
      </c>
      <c r="H254" s="37" t="s">
        <v>1151</v>
      </c>
      <c r="I254" s="42">
        <f t="shared" si="9"/>
        <v>320</v>
      </c>
      <c r="J254" s="38">
        <f t="shared" si="10"/>
        <v>7.8632667240095735</v>
      </c>
      <c r="K254" s="38">
        <f t="shared" si="11"/>
        <v>5.768320995793772</v>
      </c>
      <c r="L254" s="40" t="b">
        <f>IF(B254=B253,C254&gt;C253,COUNTIF(B$1:B253,B254)=0)</f>
        <v>1</v>
      </c>
      <c r="M254" s="1"/>
    </row>
    <row r="255" spans="1:13" x14ac:dyDescent="0.25">
      <c r="A255" s="37" t="s">
        <v>2137</v>
      </c>
      <c r="B255" s="37" t="s">
        <v>454</v>
      </c>
      <c r="C255" s="37">
        <v>2700</v>
      </c>
      <c r="D255" s="37">
        <v>0.31</v>
      </c>
      <c r="E255" s="37" t="s">
        <v>1895</v>
      </c>
      <c r="F255" s="37">
        <v>40</v>
      </c>
      <c r="G255" s="37" t="s">
        <v>460</v>
      </c>
      <c r="H255" s="37" t="s">
        <v>1151</v>
      </c>
      <c r="I255" s="42">
        <f t="shared" si="9"/>
        <v>310</v>
      </c>
      <c r="J255" s="38">
        <f t="shared" si="10"/>
        <v>7.90100705199242</v>
      </c>
      <c r="K255" s="38">
        <f t="shared" si="11"/>
        <v>5.7365722974791922</v>
      </c>
      <c r="L255" s="40" t="b">
        <f>IF(B255=B254,C255&gt;C254,COUNTIF(B$1:B254,B255)=0)</f>
        <v>1</v>
      </c>
      <c r="M255" s="1"/>
    </row>
    <row r="256" spans="1:13" x14ac:dyDescent="0.25">
      <c r="A256" s="37" t="s">
        <v>2138</v>
      </c>
      <c r="B256" s="37" t="s">
        <v>454</v>
      </c>
      <c r="C256" s="37">
        <v>3000</v>
      </c>
      <c r="D256" s="37">
        <v>0.28999999999999998</v>
      </c>
      <c r="E256" s="37" t="s">
        <v>1895</v>
      </c>
      <c r="F256" s="37">
        <v>40</v>
      </c>
      <c r="G256" s="37" t="s">
        <v>460</v>
      </c>
      <c r="H256" s="37" t="s">
        <v>1151</v>
      </c>
      <c r="I256" s="42">
        <f t="shared" si="9"/>
        <v>290</v>
      </c>
      <c r="J256" s="38">
        <f t="shared" si="10"/>
        <v>8.0063675676502459</v>
      </c>
      <c r="K256" s="38">
        <f t="shared" si="11"/>
        <v>5.6698809229805196</v>
      </c>
      <c r="L256" s="40" t="b">
        <f>IF(B256=B255,C256&gt;C255,COUNTIF(B$1:B255,B256)=0)</f>
        <v>1</v>
      </c>
      <c r="M256" s="1"/>
    </row>
    <row r="257" spans="1:13" x14ac:dyDescent="0.25">
      <c r="A257" s="37" t="s">
        <v>2139</v>
      </c>
      <c r="B257" s="37" t="s">
        <v>454</v>
      </c>
      <c r="C257" s="37">
        <v>3500</v>
      </c>
      <c r="D257" s="37">
        <v>0.27</v>
      </c>
      <c r="E257" s="37" t="s">
        <v>1895</v>
      </c>
      <c r="F257" s="37">
        <v>40</v>
      </c>
      <c r="G257" s="37" t="s">
        <v>460</v>
      </c>
      <c r="H257" s="37" t="s">
        <v>1151</v>
      </c>
      <c r="I257" s="42">
        <f t="shared" si="9"/>
        <v>270</v>
      </c>
      <c r="J257" s="38">
        <f t="shared" si="10"/>
        <v>8.1605182474775049</v>
      </c>
      <c r="K257" s="38">
        <f t="shared" si="11"/>
        <v>5.598421958998375</v>
      </c>
      <c r="L257" s="40" t="b">
        <f>IF(B257=B256,C257&gt;C256,COUNTIF(B$1:B256,B257)=0)</f>
        <v>1</v>
      </c>
      <c r="M257" s="1"/>
    </row>
    <row r="258" spans="1:13" x14ac:dyDescent="0.25">
      <c r="A258" s="37" t="s">
        <v>2140</v>
      </c>
      <c r="B258" s="37" t="s">
        <v>454</v>
      </c>
      <c r="C258" s="37">
        <v>4000</v>
      </c>
      <c r="D258" s="37">
        <v>0.25</v>
      </c>
      <c r="E258" s="37" t="s">
        <v>1895</v>
      </c>
      <c r="F258" s="37">
        <v>40</v>
      </c>
      <c r="G258" s="37" t="s">
        <v>460</v>
      </c>
      <c r="H258" s="37" t="s">
        <v>1151</v>
      </c>
      <c r="I258" s="42">
        <f t="shared" ref="I258:I321" si="12">IF(E258="kW",D258*1000,D258)</f>
        <v>250</v>
      </c>
      <c r="J258" s="38">
        <f t="shared" ref="J258:J321" si="13">LN(C258)</f>
        <v>8.2940496401020276</v>
      </c>
      <c r="K258" s="38">
        <f t="shared" ref="K258:K321" si="14">LN(I258)</f>
        <v>5.521460917862246</v>
      </c>
      <c r="L258" s="40" t="b">
        <f>IF(B258=B257,C258&gt;C257,COUNTIF(B$1:B257,B258)=0)</f>
        <v>1</v>
      </c>
      <c r="M258" s="1"/>
    </row>
    <row r="259" spans="1:13" x14ac:dyDescent="0.25">
      <c r="A259" s="37" t="s">
        <v>2141</v>
      </c>
      <c r="B259" s="37" t="s">
        <v>454</v>
      </c>
      <c r="C259" s="37">
        <v>5000</v>
      </c>
      <c r="D259" s="37">
        <v>0.22</v>
      </c>
      <c r="E259" s="37" t="s">
        <v>1895</v>
      </c>
      <c r="F259" s="37">
        <v>40</v>
      </c>
      <c r="G259" s="37" t="s">
        <v>460</v>
      </c>
      <c r="H259" s="37" t="s">
        <v>1151</v>
      </c>
      <c r="I259" s="42">
        <f t="shared" si="12"/>
        <v>220</v>
      </c>
      <c r="J259" s="38">
        <f t="shared" si="13"/>
        <v>8.5171931914162382</v>
      </c>
      <c r="K259" s="38">
        <f t="shared" si="14"/>
        <v>5.393627546352362</v>
      </c>
      <c r="L259" s="40" t="b">
        <f>IF(B259=B258,C259&gt;C258,COUNTIF(B$1:B258,B259)=0)</f>
        <v>1</v>
      </c>
      <c r="M259" s="1"/>
    </row>
    <row r="260" spans="1:13" x14ac:dyDescent="0.25">
      <c r="A260" s="37" t="s">
        <v>2142</v>
      </c>
      <c r="B260" s="37" t="s">
        <v>454</v>
      </c>
      <c r="C260" s="37">
        <v>6000</v>
      </c>
      <c r="D260" s="37">
        <v>0.19</v>
      </c>
      <c r="E260" s="37" t="s">
        <v>1895</v>
      </c>
      <c r="F260" s="37">
        <v>40</v>
      </c>
      <c r="G260" s="37" t="s">
        <v>460</v>
      </c>
      <c r="H260" s="37" t="s">
        <v>1151</v>
      </c>
      <c r="I260" s="42">
        <f t="shared" si="12"/>
        <v>190</v>
      </c>
      <c r="J260" s="38">
        <f t="shared" si="13"/>
        <v>8.6995147482101913</v>
      </c>
      <c r="K260" s="38">
        <f t="shared" si="14"/>
        <v>5.2470240721604862</v>
      </c>
      <c r="L260" s="40" t="b">
        <f>IF(B260=B259,C260&gt;C259,COUNTIF(B$1:B259,B260)=0)</f>
        <v>1</v>
      </c>
      <c r="M260" s="1"/>
    </row>
    <row r="261" spans="1:13" x14ac:dyDescent="0.25">
      <c r="A261" s="37" t="s">
        <v>2143</v>
      </c>
      <c r="B261" s="37" t="s">
        <v>461</v>
      </c>
      <c r="C261" s="37">
        <v>5</v>
      </c>
      <c r="D261" s="37">
        <v>4021</v>
      </c>
      <c r="E261" s="37" t="s">
        <v>1877</v>
      </c>
      <c r="F261" s="37"/>
      <c r="G261" s="37" t="s">
        <v>471</v>
      </c>
      <c r="H261" s="37" t="s">
        <v>708</v>
      </c>
      <c r="I261" s="42">
        <f t="shared" si="12"/>
        <v>4021</v>
      </c>
      <c r="J261" s="38">
        <f t="shared" si="13"/>
        <v>1.6094379124341003</v>
      </c>
      <c r="K261" s="38">
        <f t="shared" si="14"/>
        <v>8.2992859068972749</v>
      </c>
      <c r="L261" s="40" t="b">
        <f>IF(B261=B260,C261&gt;C260,COUNTIF(B$1:B260,B261)=0)</f>
        <v>1</v>
      </c>
      <c r="M261" s="1"/>
    </row>
    <row r="262" spans="1:13" x14ac:dyDescent="0.25">
      <c r="A262" s="37" t="s">
        <v>2144</v>
      </c>
      <c r="B262" s="37" t="s">
        <v>461</v>
      </c>
      <c r="C262" s="37">
        <v>10</v>
      </c>
      <c r="D262" s="37">
        <v>3217</v>
      </c>
      <c r="E262" s="37" t="s">
        <v>1877</v>
      </c>
      <c r="F262" s="37"/>
      <c r="G262" s="37" t="s">
        <v>471</v>
      </c>
      <c r="H262" s="37" t="s">
        <v>708</v>
      </c>
      <c r="I262" s="42">
        <f t="shared" si="12"/>
        <v>3217</v>
      </c>
      <c r="J262" s="38">
        <f t="shared" si="13"/>
        <v>2.3025850929940459</v>
      </c>
      <c r="K262" s="38">
        <f t="shared" si="14"/>
        <v>8.0762045272390264</v>
      </c>
      <c r="L262" s="40" t="b">
        <f>IF(B262=B261,C262&gt;C261,COUNTIF(B$1:B261,B262)=0)</f>
        <v>1</v>
      </c>
      <c r="M262" s="1"/>
    </row>
    <row r="263" spans="1:13" x14ac:dyDescent="0.25">
      <c r="A263" s="37" t="s">
        <v>2145</v>
      </c>
      <c r="B263" s="37" t="s">
        <v>461</v>
      </c>
      <c r="C263" s="37">
        <v>50</v>
      </c>
      <c r="D263" s="37">
        <v>1609</v>
      </c>
      <c r="E263" s="37" t="s">
        <v>1877</v>
      </c>
      <c r="F263" s="37"/>
      <c r="G263" s="37" t="s">
        <v>471</v>
      </c>
      <c r="H263" s="37" t="s">
        <v>708</v>
      </c>
      <c r="I263" s="42">
        <f t="shared" si="12"/>
        <v>1609</v>
      </c>
      <c r="J263" s="38">
        <f t="shared" si="13"/>
        <v>3.912023005428146</v>
      </c>
      <c r="K263" s="38">
        <f t="shared" si="14"/>
        <v>7.3833681469923835</v>
      </c>
      <c r="L263" s="40" t="b">
        <f>IF(B263=B262,C263&gt;C262,COUNTIF(B$1:B262,B263)=0)</f>
        <v>1</v>
      </c>
      <c r="M263" s="1"/>
    </row>
    <row r="264" spans="1:13" x14ac:dyDescent="0.25">
      <c r="A264" s="37" t="s">
        <v>2146</v>
      </c>
      <c r="B264" s="37" t="s">
        <v>461</v>
      </c>
      <c r="C264" s="37">
        <v>100</v>
      </c>
      <c r="D264" s="37">
        <v>1149</v>
      </c>
      <c r="E264" s="37" t="s">
        <v>1877</v>
      </c>
      <c r="F264" s="37"/>
      <c r="G264" s="37" t="s">
        <v>471</v>
      </c>
      <c r="H264" s="37" t="s">
        <v>708</v>
      </c>
      <c r="I264" s="42">
        <f t="shared" si="12"/>
        <v>1149</v>
      </c>
      <c r="J264" s="38">
        <f t="shared" si="13"/>
        <v>4.6051701859880918</v>
      </c>
      <c r="K264" s="38">
        <f t="shared" si="14"/>
        <v>7.0466472778487557</v>
      </c>
      <c r="L264" s="40" t="b">
        <f>IF(B264=B263,C264&gt;C263,COUNTIF(B$1:B263,B264)=0)</f>
        <v>1</v>
      </c>
      <c r="M264" s="1"/>
    </row>
    <row r="265" spans="1:13" x14ac:dyDescent="0.25">
      <c r="A265" s="37" t="s">
        <v>2147</v>
      </c>
      <c r="B265" s="37" t="s">
        <v>461</v>
      </c>
      <c r="C265" s="37">
        <v>200</v>
      </c>
      <c r="D265" s="37">
        <v>894</v>
      </c>
      <c r="E265" s="37" t="s">
        <v>1877</v>
      </c>
      <c r="F265" s="37"/>
      <c r="G265" s="37" t="s">
        <v>471</v>
      </c>
      <c r="H265" s="37" t="s">
        <v>708</v>
      </c>
      <c r="I265" s="42">
        <f t="shared" si="12"/>
        <v>894</v>
      </c>
      <c r="J265" s="38">
        <f t="shared" si="13"/>
        <v>5.2983173665480363</v>
      </c>
      <c r="K265" s="38">
        <f t="shared" si="14"/>
        <v>6.7957057751735137</v>
      </c>
      <c r="L265" s="40" t="b">
        <f>IF(B265=B264,C265&gt;C264,COUNTIF(B$1:B264,B265)=0)</f>
        <v>1</v>
      </c>
      <c r="M265" s="1"/>
    </row>
    <row r="266" spans="1:13" x14ac:dyDescent="0.25">
      <c r="A266" s="37" t="s">
        <v>2148</v>
      </c>
      <c r="B266" s="37" t="s">
        <v>461</v>
      </c>
      <c r="C266" s="37">
        <v>400</v>
      </c>
      <c r="D266" s="37">
        <v>619</v>
      </c>
      <c r="E266" s="37" t="s">
        <v>1877</v>
      </c>
      <c r="F266" s="37"/>
      <c r="G266" s="37" t="s">
        <v>471</v>
      </c>
      <c r="H266" s="37" t="s">
        <v>708</v>
      </c>
      <c r="I266" s="42">
        <f t="shared" si="12"/>
        <v>619</v>
      </c>
      <c r="J266" s="38">
        <f t="shared" si="13"/>
        <v>5.9914645471079817</v>
      </c>
      <c r="K266" s="38">
        <f t="shared" si="14"/>
        <v>6.4281052726845962</v>
      </c>
      <c r="L266" s="40" t="b">
        <f>IF(B266=B265,C266&gt;C265,COUNTIF(B$1:B265,B266)=0)</f>
        <v>1</v>
      </c>
      <c r="M266" s="1"/>
    </row>
    <row r="267" spans="1:13" x14ac:dyDescent="0.25">
      <c r="A267" s="37" t="s">
        <v>2149</v>
      </c>
      <c r="B267" s="37" t="s">
        <v>461</v>
      </c>
      <c r="C267" s="37">
        <v>700</v>
      </c>
      <c r="D267" s="37">
        <v>447</v>
      </c>
      <c r="E267" s="37" t="s">
        <v>1877</v>
      </c>
      <c r="F267" s="37"/>
      <c r="G267" s="37" t="s">
        <v>471</v>
      </c>
      <c r="H267" s="37" t="s">
        <v>708</v>
      </c>
      <c r="I267" s="42">
        <f t="shared" si="12"/>
        <v>447</v>
      </c>
      <c r="J267" s="38">
        <f t="shared" si="13"/>
        <v>6.5510803350434044</v>
      </c>
      <c r="K267" s="38">
        <f t="shared" si="14"/>
        <v>6.1025585946135692</v>
      </c>
      <c r="L267" s="40" t="b">
        <f>IF(B267=B266,C267&gt;C266,COUNTIF(B$1:B266,B267)=0)</f>
        <v>1</v>
      </c>
      <c r="M267" s="1"/>
    </row>
    <row r="268" spans="1:13" x14ac:dyDescent="0.25">
      <c r="A268" s="37" t="s">
        <v>2150</v>
      </c>
      <c r="B268" s="37" t="s">
        <v>461</v>
      </c>
      <c r="C268" s="37">
        <v>1000</v>
      </c>
      <c r="D268" s="37">
        <v>366</v>
      </c>
      <c r="E268" s="37" t="s">
        <v>1877</v>
      </c>
      <c r="F268" s="37"/>
      <c r="G268" s="37" t="s">
        <v>471</v>
      </c>
      <c r="H268" s="37" t="s">
        <v>708</v>
      </c>
      <c r="I268" s="42">
        <f t="shared" si="12"/>
        <v>366</v>
      </c>
      <c r="J268" s="38">
        <f t="shared" si="13"/>
        <v>6.9077552789821368</v>
      </c>
      <c r="K268" s="38">
        <f t="shared" si="14"/>
        <v>5.9026333334013659</v>
      </c>
      <c r="L268" s="40" t="b">
        <f>IF(B268=B267,C268&gt;C267,COUNTIF(B$1:B267,B268)=0)</f>
        <v>1</v>
      </c>
      <c r="M268" s="1"/>
    </row>
    <row r="269" spans="1:13" x14ac:dyDescent="0.25">
      <c r="A269" s="37" t="s">
        <v>2151</v>
      </c>
      <c r="B269" s="37" t="s">
        <v>461</v>
      </c>
      <c r="C269" s="37">
        <v>1500</v>
      </c>
      <c r="D269" s="37">
        <v>293</v>
      </c>
      <c r="E269" s="37" t="s">
        <v>1877</v>
      </c>
      <c r="F269" s="37"/>
      <c r="G269" s="37" t="s">
        <v>471</v>
      </c>
      <c r="H269" s="37" t="s">
        <v>708</v>
      </c>
      <c r="I269" s="42">
        <f t="shared" si="12"/>
        <v>293</v>
      </c>
      <c r="J269" s="38">
        <f t="shared" si="13"/>
        <v>7.3132203870903014</v>
      </c>
      <c r="K269" s="38">
        <f t="shared" si="14"/>
        <v>5.6801726090170677</v>
      </c>
      <c r="L269" s="40" t="b">
        <f>IF(B269=B268,C269&gt;C268,COUNTIF(B$1:B268,B269)=0)</f>
        <v>1</v>
      </c>
      <c r="M269" s="1"/>
    </row>
    <row r="270" spans="1:13" x14ac:dyDescent="0.25">
      <c r="A270" s="37" t="s">
        <v>2152</v>
      </c>
      <c r="B270" s="37" t="s">
        <v>461</v>
      </c>
      <c r="C270" s="37">
        <v>2000</v>
      </c>
      <c r="D270" s="37">
        <v>248</v>
      </c>
      <c r="E270" s="37" t="s">
        <v>1877</v>
      </c>
      <c r="F270" s="37"/>
      <c r="G270" s="37" t="s">
        <v>471</v>
      </c>
      <c r="H270" s="37" t="s">
        <v>708</v>
      </c>
      <c r="I270" s="42">
        <f t="shared" si="12"/>
        <v>248</v>
      </c>
      <c r="J270" s="38">
        <f t="shared" si="13"/>
        <v>7.6009024595420822</v>
      </c>
      <c r="K270" s="38">
        <f t="shared" si="14"/>
        <v>5.5134287461649825</v>
      </c>
      <c r="L270" s="40" t="b">
        <f>IF(B270=B269,C270&gt;C269,COUNTIF(B$1:B269,B270)=0)</f>
        <v>1</v>
      </c>
      <c r="M270" s="1"/>
    </row>
    <row r="271" spans="1:13" x14ac:dyDescent="0.25">
      <c r="A271" s="37" t="s">
        <v>2153</v>
      </c>
      <c r="B271" s="37" t="s">
        <v>461</v>
      </c>
      <c r="C271" s="37">
        <v>2500</v>
      </c>
      <c r="D271" s="37">
        <v>215</v>
      </c>
      <c r="E271" s="37" t="s">
        <v>1877</v>
      </c>
      <c r="F271" s="37"/>
      <c r="G271" s="37" t="s">
        <v>471</v>
      </c>
      <c r="H271" s="37" t="s">
        <v>708</v>
      </c>
      <c r="I271" s="42">
        <f t="shared" si="12"/>
        <v>215</v>
      </c>
      <c r="J271" s="38">
        <f t="shared" si="13"/>
        <v>7.8240460108562919</v>
      </c>
      <c r="K271" s="38">
        <f t="shared" si="14"/>
        <v>5.3706380281276624</v>
      </c>
      <c r="L271" s="40" t="b">
        <f>IF(B271=B270,C271&gt;C270,COUNTIF(B$1:B270,B271)=0)</f>
        <v>1</v>
      </c>
      <c r="M271" s="1"/>
    </row>
    <row r="272" spans="1:13" x14ac:dyDescent="0.25">
      <c r="A272" s="37" t="s">
        <v>2154</v>
      </c>
      <c r="B272" s="37" t="s">
        <v>461</v>
      </c>
      <c r="C272" s="37">
        <v>3000</v>
      </c>
      <c r="D272" s="37">
        <v>194</v>
      </c>
      <c r="E272" s="37" t="s">
        <v>1877</v>
      </c>
      <c r="F272" s="37"/>
      <c r="G272" s="37" t="s">
        <v>471</v>
      </c>
      <c r="H272" s="37" t="s">
        <v>708</v>
      </c>
      <c r="I272" s="42">
        <f t="shared" si="12"/>
        <v>194</v>
      </c>
      <c r="J272" s="38">
        <f t="shared" si="13"/>
        <v>8.0063675676502459</v>
      </c>
      <c r="K272" s="38">
        <f t="shared" si="14"/>
        <v>5.2678581590633282</v>
      </c>
      <c r="L272" s="40" t="b">
        <f>IF(B272=B271,C272&gt;C271,COUNTIF(B$1:B271,B272)=0)</f>
        <v>1</v>
      </c>
      <c r="M272" s="1"/>
    </row>
    <row r="273" spans="1:13" x14ac:dyDescent="0.25">
      <c r="A273" s="37" t="s">
        <v>2155</v>
      </c>
      <c r="B273" s="37" t="s">
        <v>461</v>
      </c>
      <c r="C273" s="37">
        <v>4000</v>
      </c>
      <c r="D273" s="37">
        <v>163</v>
      </c>
      <c r="E273" s="37" t="s">
        <v>1877</v>
      </c>
      <c r="F273" s="37"/>
      <c r="G273" s="37" t="s">
        <v>471</v>
      </c>
      <c r="H273" s="37" t="s">
        <v>708</v>
      </c>
      <c r="I273" s="42">
        <f t="shared" si="12"/>
        <v>163</v>
      </c>
      <c r="J273" s="38">
        <f t="shared" si="13"/>
        <v>8.2940496401020276</v>
      </c>
      <c r="K273" s="38">
        <f t="shared" si="14"/>
        <v>5.0937502008067623</v>
      </c>
      <c r="L273" s="40" t="b">
        <f>IF(B273=B272,C273&gt;C272,COUNTIF(B$1:B272,B273)=0)</f>
        <v>1</v>
      </c>
      <c r="M273" s="1"/>
    </row>
    <row r="274" spans="1:13" x14ac:dyDescent="0.25">
      <c r="A274" s="37" t="s">
        <v>2156</v>
      </c>
      <c r="B274" s="37" t="s">
        <v>472</v>
      </c>
      <c r="C274" s="37">
        <v>10</v>
      </c>
      <c r="D274" s="37">
        <v>3960</v>
      </c>
      <c r="E274" s="37" t="s">
        <v>1877</v>
      </c>
      <c r="F274" s="37">
        <v>40</v>
      </c>
      <c r="G274" s="37" t="s">
        <v>479</v>
      </c>
      <c r="H274" s="37" t="s">
        <v>2157</v>
      </c>
      <c r="I274" s="42">
        <f t="shared" si="12"/>
        <v>3960</v>
      </c>
      <c r="J274" s="38">
        <f t="shared" si="13"/>
        <v>2.3025850929940459</v>
      </c>
      <c r="K274" s="38">
        <f t="shared" si="14"/>
        <v>8.2839993042485265</v>
      </c>
      <c r="L274" s="40" t="b">
        <f>IF(B274=B273,C274&gt;C273,COUNTIF(B$1:B273,B274)=0)</f>
        <v>1</v>
      </c>
      <c r="M274" s="1"/>
    </row>
    <row r="275" spans="1:13" x14ac:dyDescent="0.25">
      <c r="A275" s="37" t="s">
        <v>2158</v>
      </c>
      <c r="B275" s="37" t="s">
        <v>472</v>
      </c>
      <c r="C275" s="37">
        <v>100</v>
      </c>
      <c r="D275" s="37">
        <v>1210</v>
      </c>
      <c r="E275" s="37" t="s">
        <v>1877</v>
      </c>
      <c r="F275" s="37">
        <v>40</v>
      </c>
      <c r="G275" s="37" t="s">
        <v>479</v>
      </c>
      <c r="H275" s="37" t="s">
        <v>2157</v>
      </c>
      <c r="I275" s="42">
        <f t="shared" si="12"/>
        <v>1210</v>
      </c>
      <c r="J275" s="38">
        <f t="shared" si="13"/>
        <v>4.6051701859880918</v>
      </c>
      <c r="K275" s="38">
        <f t="shared" si="14"/>
        <v>7.0983756385907864</v>
      </c>
      <c r="L275" s="40" t="b">
        <f>IF(B275=B274,C275&gt;C274,COUNTIF(B$1:B274,B275)=0)</f>
        <v>1</v>
      </c>
      <c r="M275" s="1"/>
    </row>
    <row r="276" spans="1:13" x14ac:dyDescent="0.25">
      <c r="A276" s="37" t="s">
        <v>2159</v>
      </c>
      <c r="B276" s="37" t="s">
        <v>472</v>
      </c>
      <c r="C276" s="37">
        <v>500</v>
      </c>
      <c r="D276" s="37">
        <v>510</v>
      </c>
      <c r="E276" s="37" t="s">
        <v>1877</v>
      </c>
      <c r="F276" s="37">
        <v>40</v>
      </c>
      <c r="G276" s="37" t="s">
        <v>479</v>
      </c>
      <c r="H276" s="37" t="s">
        <v>2157</v>
      </c>
      <c r="I276" s="42">
        <f t="shared" si="12"/>
        <v>510</v>
      </c>
      <c r="J276" s="38">
        <f t="shared" si="13"/>
        <v>6.2146080984221914</v>
      </c>
      <c r="K276" s="38">
        <f t="shared" si="14"/>
        <v>6.2344107257183712</v>
      </c>
      <c r="L276" s="40" t="b">
        <f>IF(B276=B275,C276&gt;C275,COUNTIF(B$1:B275,B276)=0)</f>
        <v>1</v>
      </c>
      <c r="M276" s="1"/>
    </row>
    <row r="277" spans="1:13" x14ac:dyDescent="0.25">
      <c r="A277" s="37" t="s">
        <v>2160</v>
      </c>
      <c r="B277" s="37" t="s">
        <v>472</v>
      </c>
      <c r="C277" s="37">
        <v>1000</v>
      </c>
      <c r="D277" s="37">
        <v>350</v>
      </c>
      <c r="E277" s="37" t="s">
        <v>1877</v>
      </c>
      <c r="F277" s="37">
        <v>40</v>
      </c>
      <c r="G277" s="37" t="s">
        <v>479</v>
      </c>
      <c r="H277" s="37" t="s">
        <v>2157</v>
      </c>
      <c r="I277" s="42">
        <f t="shared" si="12"/>
        <v>350</v>
      </c>
      <c r="J277" s="38">
        <f t="shared" si="13"/>
        <v>6.9077552789821368</v>
      </c>
      <c r="K277" s="38">
        <f t="shared" si="14"/>
        <v>5.857933154483459</v>
      </c>
      <c r="L277" s="40" t="b">
        <f>IF(B277=B276,C277&gt;C276,COUNTIF(B$1:B276,B277)=0)</f>
        <v>1</v>
      </c>
      <c r="M277" s="1"/>
    </row>
    <row r="278" spans="1:13" x14ac:dyDescent="0.25">
      <c r="A278" s="37" t="s">
        <v>2161</v>
      </c>
      <c r="B278" s="37" t="s">
        <v>472</v>
      </c>
      <c r="C278" s="37">
        <v>2000</v>
      </c>
      <c r="D278" s="37">
        <v>230</v>
      </c>
      <c r="E278" s="37" t="s">
        <v>1877</v>
      </c>
      <c r="F278" s="37">
        <v>40</v>
      </c>
      <c r="G278" s="37" t="s">
        <v>479</v>
      </c>
      <c r="H278" s="37" t="s">
        <v>2157</v>
      </c>
      <c r="I278" s="42">
        <f t="shared" si="12"/>
        <v>230</v>
      </c>
      <c r="J278" s="38">
        <f t="shared" si="13"/>
        <v>7.6009024595420822</v>
      </c>
      <c r="K278" s="38">
        <f t="shared" si="14"/>
        <v>5.4380793089231956</v>
      </c>
      <c r="L278" s="40" t="b">
        <f>IF(B278=B277,C278&gt;C277,COUNTIF(B$1:B277,B278)=0)</f>
        <v>1</v>
      </c>
      <c r="M278" s="1"/>
    </row>
    <row r="279" spans="1:13" x14ac:dyDescent="0.25">
      <c r="A279" s="37" t="s">
        <v>2162</v>
      </c>
      <c r="B279" s="37" t="s">
        <v>472</v>
      </c>
      <c r="C279" s="37">
        <v>3000</v>
      </c>
      <c r="D279" s="37">
        <v>180</v>
      </c>
      <c r="E279" s="37" t="s">
        <v>1877</v>
      </c>
      <c r="F279" s="37">
        <v>40</v>
      </c>
      <c r="G279" s="37" t="s">
        <v>479</v>
      </c>
      <c r="H279" s="37" t="s">
        <v>2157</v>
      </c>
      <c r="I279" s="42">
        <f t="shared" si="12"/>
        <v>180</v>
      </c>
      <c r="J279" s="38">
        <f t="shared" si="13"/>
        <v>8.0063675676502459</v>
      </c>
      <c r="K279" s="38">
        <f t="shared" si="14"/>
        <v>5.1929568508902104</v>
      </c>
      <c r="L279" s="40" t="b">
        <f>IF(B279=B278,C279&gt;C278,COUNTIF(B$1:B278,B279)=0)</f>
        <v>1</v>
      </c>
      <c r="M279" s="1"/>
    </row>
    <row r="280" spans="1:13" x14ac:dyDescent="0.25">
      <c r="A280" s="37" t="s">
        <v>2163</v>
      </c>
      <c r="B280" s="37" t="s">
        <v>472</v>
      </c>
      <c r="C280" s="37">
        <v>4000</v>
      </c>
      <c r="D280" s="37">
        <v>150</v>
      </c>
      <c r="E280" s="37" t="s">
        <v>1877</v>
      </c>
      <c r="F280" s="37">
        <v>40</v>
      </c>
      <c r="G280" s="37" t="s">
        <v>479</v>
      </c>
      <c r="H280" s="37" t="s">
        <v>2157</v>
      </c>
      <c r="I280" s="42">
        <f t="shared" si="12"/>
        <v>150</v>
      </c>
      <c r="J280" s="38">
        <f t="shared" si="13"/>
        <v>8.2940496401020276</v>
      </c>
      <c r="K280" s="38">
        <f t="shared" si="14"/>
        <v>5.0106352940962555</v>
      </c>
      <c r="L280" s="40" t="b">
        <f>IF(B280=B279,C280&gt;C279,COUNTIF(B$1:B279,B280)=0)</f>
        <v>1</v>
      </c>
      <c r="M280" s="1"/>
    </row>
    <row r="281" spans="1:13" x14ac:dyDescent="0.25">
      <c r="A281" s="37" t="s">
        <v>2164</v>
      </c>
      <c r="B281" s="37" t="s">
        <v>472</v>
      </c>
      <c r="C281" s="37">
        <v>5000</v>
      </c>
      <c r="D281" s="37">
        <v>130</v>
      </c>
      <c r="E281" s="37" t="s">
        <v>1877</v>
      </c>
      <c r="F281" s="37">
        <v>40</v>
      </c>
      <c r="G281" s="37" t="s">
        <v>479</v>
      </c>
      <c r="H281" s="37" t="s">
        <v>2157</v>
      </c>
      <c r="I281" s="42">
        <f t="shared" si="12"/>
        <v>130</v>
      </c>
      <c r="J281" s="38">
        <f t="shared" si="13"/>
        <v>8.5171931914162382</v>
      </c>
      <c r="K281" s="38">
        <f t="shared" si="14"/>
        <v>4.8675344504555822</v>
      </c>
      <c r="L281" s="40" t="b">
        <f>IF(B281=B280,C281&gt;C280,COUNTIF(B$1:B280,B281)=0)</f>
        <v>1</v>
      </c>
      <c r="M281" s="1"/>
    </row>
    <row r="282" spans="1:13" x14ac:dyDescent="0.25">
      <c r="A282" s="37" t="s">
        <v>2165</v>
      </c>
      <c r="B282" s="37" t="s">
        <v>472</v>
      </c>
      <c r="C282" s="37">
        <v>6000</v>
      </c>
      <c r="D282" s="37">
        <v>120</v>
      </c>
      <c r="E282" s="37" t="s">
        <v>1877</v>
      </c>
      <c r="F282" s="37">
        <v>40</v>
      </c>
      <c r="G282" s="37" t="s">
        <v>479</v>
      </c>
      <c r="H282" s="37" t="s">
        <v>2157</v>
      </c>
      <c r="I282" s="42">
        <f t="shared" si="12"/>
        <v>120</v>
      </c>
      <c r="J282" s="38">
        <f t="shared" si="13"/>
        <v>8.6995147482101913</v>
      </c>
      <c r="K282" s="38">
        <f t="shared" si="14"/>
        <v>4.7874917427820458</v>
      </c>
      <c r="L282" s="40" t="b">
        <f>IF(B282=B281,C282&gt;C281,COUNTIF(B$1:B281,B282)=0)</f>
        <v>1</v>
      </c>
      <c r="M282" s="1"/>
    </row>
    <row r="283" spans="1:13" x14ac:dyDescent="0.25">
      <c r="A283" s="37" t="s">
        <v>2166</v>
      </c>
      <c r="B283" s="37" t="s">
        <v>501</v>
      </c>
      <c r="C283" s="37">
        <v>50</v>
      </c>
      <c r="D283" s="37">
        <v>2570</v>
      </c>
      <c r="E283" s="37" t="s">
        <v>1877</v>
      </c>
      <c r="F283" s="37"/>
      <c r="G283" s="37" t="s">
        <v>504</v>
      </c>
      <c r="H283" s="37" t="s">
        <v>2167</v>
      </c>
      <c r="I283" s="42">
        <f t="shared" si="12"/>
        <v>2570</v>
      </c>
      <c r="J283" s="38">
        <f t="shared" si="13"/>
        <v>3.912023005428146</v>
      </c>
      <c r="K283" s="38">
        <f t="shared" si="14"/>
        <v>7.8516611778892651</v>
      </c>
      <c r="L283" s="40" t="b">
        <f>IF(B283=B282,C283&gt;C282,COUNTIF(B$1:B282,B283)=0)</f>
        <v>1</v>
      </c>
      <c r="M283" s="1"/>
    </row>
    <row r="284" spans="1:13" x14ac:dyDescent="0.25">
      <c r="A284" s="37" t="s">
        <v>2168</v>
      </c>
      <c r="B284" s="37" t="s">
        <v>501</v>
      </c>
      <c r="C284" s="37">
        <v>150</v>
      </c>
      <c r="D284" s="37">
        <v>1470</v>
      </c>
      <c r="E284" s="37" t="s">
        <v>1877</v>
      </c>
      <c r="F284" s="37"/>
      <c r="G284" s="37" t="s">
        <v>504</v>
      </c>
      <c r="H284" s="37" t="s">
        <v>2167</v>
      </c>
      <c r="I284" s="42">
        <f t="shared" si="12"/>
        <v>1470</v>
      </c>
      <c r="J284" s="38">
        <f t="shared" si="13"/>
        <v>5.0106352940962555</v>
      </c>
      <c r="K284" s="38">
        <f t="shared" si="14"/>
        <v>7.2930176797727819</v>
      </c>
      <c r="L284" s="40" t="b">
        <f>IF(B284=B283,C284&gt;C283,COUNTIF(B$1:B283,B284)=0)</f>
        <v>1</v>
      </c>
      <c r="M284" s="1"/>
    </row>
    <row r="285" spans="1:13" x14ac:dyDescent="0.25">
      <c r="A285" s="37" t="s">
        <v>2169</v>
      </c>
      <c r="B285" s="37" t="s">
        <v>501</v>
      </c>
      <c r="C285" s="37">
        <v>220</v>
      </c>
      <c r="D285" s="37">
        <v>1200</v>
      </c>
      <c r="E285" s="37" t="s">
        <v>1877</v>
      </c>
      <c r="F285" s="37"/>
      <c r="G285" s="37" t="s">
        <v>504</v>
      </c>
      <c r="H285" s="37" t="s">
        <v>2167</v>
      </c>
      <c r="I285" s="42">
        <f t="shared" si="12"/>
        <v>1200</v>
      </c>
      <c r="J285" s="38">
        <f t="shared" si="13"/>
        <v>5.393627546352362</v>
      </c>
      <c r="K285" s="38">
        <f t="shared" si="14"/>
        <v>7.0900768357760917</v>
      </c>
      <c r="L285" s="40" t="b">
        <f>IF(B285=B284,C285&gt;C284,COUNTIF(B$1:B284,B285)=0)</f>
        <v>1</v>
      </c>
      <c r="M285" s="1"/>
    </row>
    <row r="286" spans="1:13" x14ac:dyDescent="0.25">
      <c r="A286" s="37" t="s">
        <v>2170</v>
      </c>
      <c r="B286" s="37" t="s">
        <v>501</v>
      </c>
      <c r="C286" s="37">
        <v>450</v>
      </c>
      <c r="D286" s="37">
        <v>830</v>
      </c>
      <c r="E286" s="37" t="s">
        <v>1877</v>
      </c>
      <c r="F286" s="37"/>
      <c r="G286" s="37" t="s">
        <v>504</v>
      </c>
      <c r="H286" s="37" t="s">
        <v>2167</v>
      </c>
      <c r="I286" s="42">
        <f t="shared" si="12"/>
        <v>830</v>
      </c>
      <c r="J286" s="38">
        <f t="shared" si="13"/>
        <v>6.1092475827643655</v>
      </c>
      <c r="K286" s="38">
        <f t="shared" si="14"/>
        <v>6.7214257007906433</v>
      </c>
      <c r="L286" s="40" t="b">
        <f>IF(B286=B285,C286&gt;C285,COUNTIF(B$1:B285,B286)=0)</f>
        <v>1</v>
      </c>
      <c r="M286" s="1"/>
    </row>
    <row r="287" spans="1:13" x14ac:dyDescent="0.25">
      <c r="A287" s="37" t="s">
        <v>2171</v>
      </c>
      <c r="B287" s="37" t="s">
        <v>501</v>
      </c>
      <c r="C287" s="37">
        <v>900</v>
      </c>
      <c r="D287" s="37">
        <v>580</v>
      </c>
      <c r="E287" s="37" t="s">
        <v>1877</v>
      </c>
      <c r="F287" s="37"/>
      <c r="G287" s="37" t="s">
        <v>504</v>
      </c>
      <c r="H287" s="37" t="s">
        <v>2167</v>
      </c>
      <c r="I287" s="42">
        <f t="shared" si="12"/>
        <v>580</v>
      </c>
      <c r="J287" s="38">
        <f t="shared" si="13"/>
        <v>6.8023947633243109</v>
      </c>
      <c r="K287" s="38">
        <f t="shared" si="14"/>
        <v>6.363028103540465</v>
      </c>
      <c r="L287" s="40" t="b">
        <f>IF(B287=B286,C287&gt;C286,COUNTIF(B$1:B286,B287)=0)</f>
        <v>1</v>
      </c>
      <c r="M287" s="1"/>
    </row>
    <row r="288" spans="1:13" x14ac:dyDescent="0.25">
      <c r="A288" s="37" t="s">
        <v>2172</v>
      </c>
      <c r="B288" s="37" t="s">
        <v>501</v>
      </c>
      <c r="C288" s="37">
        <v>1500</v>
      </c>
      <c r="D288" s="37">
        <v>440</v>
      </c>
      <c r="E288" s="37" t="s">
        <v>1877</v>
      </c>
      <c r="F288" s="37"/>
      <c r="G288" s="37" t="s">
        <v>504</v>
      </c>
      <c r="H288" s="37" t="s">
        <v>2167</v>
      </c>
      <c r="I288" s="42">
        <f t="shared" si="12"/>
        <v>440</v>
      </c>
      <c r="J288" s="38">
        <f t="shared" si="13"/>
        <v>7.3132203870903014</v>
      </c>
      <c r="K288" s="38">
        <f t="shared" si="14"/>
        <v>6.0867747269123065</v>
      </c>
      <c r="L288" s="40" t="b">
        <f>IF(B288=B287,C288&gt;C287,COUNTIF(B$1:B287,B288)=0)</f>
        <v>1</v>
      </c>
      <c r="M288" s="1"/>
    </row>
    <row r="289" spans="1:13" x14ac:dyDescent="0.25">
      <c r="A289" s="37" t="s">
        <v>2173</v>
      </c>
      <c r="B289" s="37" t="s">
        <v>501</v>
      </c>
      <c r="C289" s="37">
        <v>1800</v>
      </c>
      <c r="D289" s="37">
        <v>400</v>
      </c>
      <c r="E289" s="37" t="s">
        <v>1877</v>
      </c>
      <c r="F289" s="37"/>
      <c r="G289" s="37" t="s">
        <v>504</v>
      </c>
      <c r="H289" s="37" t="s">
        <v>2167</v>
      </c>
      <c r="I289" s="42">
        <f t="shared" si="12"/>
        <v>400</v>
      </c>
      <c r="J289" s="38">
        <f t="shared" si="13"/>
        <v>7.4955419438842563</v>
      </c>
      <c r="K289" s="38">
        <f t="shared" si="14"/>
        <v>5.9914645471079817</v>
      </c>
      <c r="L289" s="40" t="b">
        <f>IF(B289=B288,C289&gt;C288,COUNTIF(B$1:B288,B289)=0)</f>
        <v>1</v>
      </c>
      <c r="M289" s="1"/>
    </row>
    <row r="290" spans="1:13" x14ac:dyDescent="0.25">
      <c r="A290" s="37" t="s">
        <v>2174</v>
      </c>
      <c r="B290" s="37" t="s">
        <v>501</v>
      </c>
      <c r="C290" s="37">
        <v>2000</v>
      </c>
      <c r="D290" s="37">
        <v>370</v>
      </c>
      <c r="E290" s="37" t="s">
        <v>1877</v>
      </c>
      <c r="F290" s="37"/>
      <c r="G290" s="37" t="s">
        <v>504</v>
      </c>
      <c r="H290" s="37" t="s">
        <v>2167</v>
      </c>
      <c r="I290" s="42">
        <f t="shared" si="12"/>
        <v>370</v>
      </c>
      <c r="J290" s="38">
        <f t="shared" si="13"/>
        <v>7.6009024595420822</v>
      </c>
      <c r="K290" s="38">
        <f t="shared" si="14"/>
        <v>5.9135030056382698</v>
      </c>
      <c r="L290" s="40" t="b">
        <f>IF(B290=B289,C290&gt;C289,COUNTIF(B$1:B289,B290)=0)</f>
        <v>1</v>
      </c>
      <c r="M290" s="1"/>
    </row>
    <row r="291" spans="1:13" x14ac:dyDescent="0.25">
      <c r="A291" s="37" t="s">
        <v>2175</v>
      </c>
      <c r="B291" s="37" t="s">
        <v>501</v>
      </c>
      <c r="C291" s="37">
        <v>2500</v>
      </c>
      <c r="D291" s="37">
        <v>330</v>
      </c>
      <c r="E291" s="37" t="s">
        <v>1877</v>
      </c>
      <c r="F291" s="37"/>
      <c r="G291" s="37" t="s">
        <v>504</v>
      </c>
      <c r="H291" s="37" t="s">
        <v>2167</v>
      </c>
      <c r="I291" s="42">
        <f t="shared" si="12"/>
        <v>330</v>
      </c>
      <c r="J291" s="38">
        <f t="shared" si="13"/>
        <v>7.8240460108562919</v>
      </c>
      <c r="K291" s="38">
        <f t="shared" si="14"/>
        <v>5.7990926544605257</v>
      </c>
      <c r="L291" s="40" t="b">
        <f>IF(B291=B290,C291&gt;C290,COUNTIF(B$1:B290,B291)=0)</f>
        <v>1</v>
      </c>
      <c r="M291" s="1"/>
    </row>
    <row r="292" spans="1:13" x14ac:dyDescent="0.25">
      <c r="A292" s="37" t="s">
        <v>2176</v>
      </c>
      <c r="B292" s="37" t="s">
        <v>501</v>
      </c>
      <c r="C292" s="37">
        <v>5800</v>
      </c>
      <c r="D292" s="37">
        <v>210</v>
      </c>
      <c r="E292" s="37" t="s">
        <v>1877</v>
      </c>
      <c r="F292" s="37"/>
      <c r="G292" s="37" t="s">
        <v>504</v>
      </c>
      <c r="H292" s="37" t="s">
        <v>2167</v>
      </c>
      <c r="I292" s="42">
        <f t="shared" si="12"/>
        <v>210</v>
      </c>
      <c r="J292" s="38">
        <f t="shared" si="13"/>
        <v>8.66561319653451</v>
      </c>
      <c r="K292" s="38">
        <f t="shared" si="14"/>
        <v>5.3471075307174685</v>
      </c>
      <c r="L292" s="40" t="b">
        <f>IF(B292=B291,C292&gt;C291,COUNTIF(B$1:B291,B292)=0)</f>
        <v>1</v>
      </c>
      <c r="M292" s="1"/>
    </row>
    <row r="293" spans="1:13" x14ac:dyDescent="0.25">
      <c r="A293" s="37" t="s">
        <v>2177</v>
      </c>
      <c r="B293" s="37" t="s">
        <v>506</v>
      </c>
      <c r="C293" s="37">
        <v>1.8</v>
      </c>
      <c r="D293" s="37">
        <v>9927</v>
      </c>
      <c r="E293" s="37" t="s">
        <v>1877</v>
      </c>
      <c r="F293" s="37">
        <v>40</v>
      </c>
      <c r="G293" s="37" t="s">
        <v>513</v>
      </c>
      <c r="H293" s="37" t="s">
        <v>928</v>
      </c>
      <c r="I293" s="42">
        <f t="shared" si="12"/>
        <v>9927</v>
      </c>
      <c r="J293" s="38">
        <f t="shared" si="13"/>
        <v>0.58778666490211906</v>
      </c>
      <c r="K293" s="38">
        <f t="shared" si="14"/>
        <v>9.203013596589722</v>
      </c>
      <c r="L293" s="40" t="b">
        <f>IF(B293=B292,C293&gt;C292,COUNTIF(B$1:B292,B293)=0)</f>
        <v>1</v>
      </c>
      <c r="M293" s="1"/>
    </row>
    <row r="294" spans="1:13" x14ac:dyDescent="0.25">
      <c r="A294" s="37" t="s">
        <v>2178</v>
      </c>
      <c r="B294" s="37" t="s">
        <v>506</v>
      </c>
      <c r="C294" s="37">
        <v>3.5</v>
      </c>
      <c r="D294" s="37">
        <v>7721</v>
      </c>
      <c r="E294" s="37" t="s">
        <v>1877</v>
      </c>
      <c r="F294" s="37">
        <v>40</v>
      </c>
      <c r="G294" s="37" t="s">
        <v>513</v>
      </c>
      <c r="H294" s="37" t="s">
        <v>928</v>
      </c>
      <c r="I294" s="42">
        <f t="shared" si="12"/>
        <v>7721</v>
      </c>
      <c r="J294" s="38">
        <f t="shared" si="13"/>
        <v>1.2527629684953681</v>
      </c>
      <c r="K294" s="38">
        <f t="shared" si="14"/>
        <v>8.9516991683088154</v>
      </c>
      <c r="L294" s="40" t="b">
        <f>IF(B294=B293,C294&gt;C293,COUNTIF(B$1:B293,B294)=0)</f>
        <v>1</v>
      </c>
      <c r="M294" s="1"/>
    </row>
    <row r="295" spans="1:13" x14ac:dyDescent="0.25">
      <c r="A295" s="37" t="s">
        <v>2179</v>
      </c>
      <c r="B295" s="37" t="s">
        <v>506</v>
      </c>
      <c r="C295" s="37">
        <v>7</v>
      </c>
      <c r="D295" s="37">
        <v>7164</v>
      </c>
      <c r="E295" s="37" t="s">
        <v>1877</v>
      </c>
      <c r="F295" s="37">
        <v>40</v>
      </c>
      <c r="G295" s="37" t="s">
        <v>513</v>
      </c>
      <c r="H295" s="37" t="s">
        <v>928</v>
      </c>
      <c r="I295" s="42">
        <f t="shared" si="12"/>
        <v>7164</v>
      </c>
      <c r="J295" s="38">
        <f t="shared" si="13"/>
        <v>1.9459101490553132</v>
      </c>
      <c r="K295" s="38">
        <f t="shared" si="14"/>
        <v>8.8768237631806031</v>
      </c>
      <c r="L295" s="40" t="b">
        <f>IF(B295=B294,C295&gt;C294,COUNTIF(B$1:B294,B295)=0)</f>
        <v>1</v>
      </c>
      <c r="M295" s="1"/>
    </row>
    <row r="296" spans="1:13" x14ac:dyDescent="0.25">
      <c r="A296" s="37" t="s">
        <v>2180</v>
      </c>
      <c r="B296" s="37" t="s">
        <v>506</v>
      </c>
      <c r="C296" s="37">
        <v>10</v>
      </c>
      <c r="D296" s="37">
        <v>5345</v>
      </c>
      <c r="E296" s="37" t="s">
        <v>1877</v>
      </c>
      <c r="F296" s="37">
        <v>40</v>
      </c>
      <c r="G296" s="37" t="s">
        <v>513</v>
      </c>
      <c r="H296" s="37" t="s">
        <v>928</v>
      </c>
      <c r="I296" s="42">
        <f t="shared" si="12"/>
        <v>5345</v>
      </c>
      <c r="J296" s="38">
        <f t="shared" si="13"/>
        <v>2.3025850929940459</v>
      </c>
      <c r="K296" s="38">
        <f t="shared" si="14"/>
        <v>8.5839168234591448</v>
      </c>
      <c r="L296" s="40" t="b">
        <f>IF(B296=B295,C296&gt;C295,COUNTIF(B$1:B295,B296)=0)</f>
        <v>1</v>
      </c>
      <c r="M296" s="1"/>
    </row>
    <row r="297" spans="1:13" x14ac:dyDescent="0.25">
      <c r="A297" s="37" t="s">
        <v>2181</v>
      </c>
      <c r="B297" s="37" t="s">
        <v>506</v>
      </c>
      <c r="C297" s="37">
        <v>14</v>
      </c>
      <c r="D297" s="37">
        <v>4370</v>
      </c>
      <c r="E297" s="37" t="s">
        <v>1877</v>
      </c>
      <c r="F297" s="37">
        <v>40</v>
      </c>
      <c r="G297" s="37" t="s">
        <v>513</v>
      </c>
      <c r="H297" s="37" t="s">
        <v>928</v>
      </c>
      <c r="I297" s="42">
        <f t="shared" si="12"/>
        <v>4370</v>
      </c>
      <c r="J297" s="38">
        <f t="shared" si="13"/>
        <v>2.6390573296152584</v>
      </c>
      <c r="K297" s="38">
        <f t="shared" si="14"/>
        <v>8.382518288089635</v>
      </c>
      <c r="L297" s="40" t="b">
        <f>IF(B297=B296,C297&gt;C296,COUNTIF(B$1:B296,B297)=0)</f>
        <v>1</v>
      </c>
      <c r="M297" s="1"/>
    </row>
    <row r="298" spans="1:13" x14ac:dyDescent="0.25">
      <c r="A298" s="37" t="s">
        <v>2182</v>
      </c>
      <c r="B298" s="37" t="s">
        <v>506</v>
      </c>
      <c r="C298" s="37">
        <v>21</v>
      </c>
      <c r="D298" s="37">
        <v>3657</v>
      </c>
      <c r="E298" s="37" t="s">
        <v>1877</v>
      </c>
      <c r="F298" s="37">
        <v>40</v>
      </c>
      <c r="G298" s="37" t="s">
        <v>513</v>
      </c>
      <c r="H298" s="37" t="s">
        <v>928</v>
      </c>
      <c r="I298" s="42">
        <f t="shared" si="12"/>
        <v>3657</v>
      </c>
      <c r="J298" s="38">
        <f t="shared" si="13"/>
        <v>3.044522437723423</v>
      </c>
      <c r="K298" s="38">
        <f t="shared" si="14"/>
        <v>8.2043984181493812</v>
      </c>
      <c r="L298" s="40" t="b">
        <f>IF(B298=B297,C298&gt;C297,COUNTIF(B$1:B297,B298)=0)</f>
        <v>1</v>
      </c>
      <c r="M298" s="1"/>
    </row>
    <row r="299" spans="1:13" x14ac:dyDescent="0.25">
      <c r="A299" s="37" t="s">
        <v>2183</v>
      </c>
      <c r="B299" s="37" t="s">
        <v>506</v>
      </c>
      <c r="C299" s="37">
        <v>28</v>
      </c>
      <c r="D299" s="37">
        <v>3247</v>
      </c>
      <c r="E299" s="37" t="s">
        <v>1877</v>
      </c>
      <c r="F299" s="37">
        <v>40</v>
      </c>
      <c r="G299" s="37" t="s">
        <v>513</v>
      </c>
      <c r="H299" s="37" t="s">
        <v>928</v>
      </c>
      <c r="I299" s="42">
        <f t="shared" si="12"/>
        <v>3247</v>
      </c>
      <c r="J299" s="38">
        <f t="shared" si="13"/>
        <v>3.3322045101752038</v>
      </c>
      <c r="K299" s="38">
        <f t="shared" si="14"/>
        <v>8.0854867721028452</v>
      </c>
      <c r="L299" s="40" t="b">
        <f>IF(B299=B298,C299&gt;C298,COUNTIF(B$1:B298,B299)=0)</f>
        <v>1</v>
      </c>
      <c r="M299" s="1"/>
    </row>
    <row r="300" spans="1:13" x14ac:dyDescent="0.25">
      <c r="A300" s="37" t="s">
        <v>2184</v>
      </c>
      <c r="B300" s="37" t="s">
        <v>506</v>
      </c>
      <c r="C300" s="37">
        <v>50</v>
      </c>
      <c r="D300" s="37">
        <v>2518</v>
      </c>
      <c r="E300" s="37" t="s">
        <v>1877</v>
      </c>
      <c r="F300" s="37">
        <v>40</v>
      </c>
      <c r="G300" s="37" t="s">
        <v>513</v>
      </c>
      <c r="H300" s="37" t="s">
        <v>928</v>
      </c>
      <c r="I300" s="42">
        <f t="shared" si="12"/>
        <v>2518</v>
      </c>
      <c r="J300" s="38">
        <f t="shared" si="13"/>
        <v>3.912023005428146</v>
      </c>
      <c r="K300" s="38">
        <f t="shared" si="14"/>
        <v>7.8312202146042926</v>
      </c>
      <c r="L300" s="40" t="b">
        <f>IF(B300=B299,C300&gt;C299,COUNTIF(B$1:B299,B300)=0)</f>
        <v>1</v>
      </c>
      <c r="M300" s="1"/>
    </row>
    <row r="301" spans="1:13" x14ac:dyDescent="0.25">
      <c r="A301" s="37" t="s">
        <v>2185</v>
      </c>
      <c r="B301" s="37" t="s">
        <v>506</v>
      </c>
      <c r="C301" s="37">
        <v>100</v>
      </c>
      <c r="D301" s="37">
        <v>1768</v>
      </c>
      <c r="E301" s="37" t="s">
        <v>1877</v>
      </c>
      <c r="F301" s="37">
        <v>40</v>
      </c>
      <c r="G301" s="37" t="s">
        <v>513</v>
      </c>
      <c r="H301" s="37" t="s">
        <v>928</v>
      </c>
      <c r="I301" s="42">
        <f t="shared" si="12"/>
        <v>1768</v>
      </c>
      <c r="J301" s="38">
        <f t="shared" si="13"/>
        <v>4.6051701859880918</v>
      </c>
      <c r="K301" s="38">
        <f t="shared" si="14"/>
        <v>7.4776042431975887</v>
      </c>
      <c r="L301" s="40" t="b">
        <f>IF(B301=B300,C301&gt;C300,COUNTIF(B$1:B300,B301)=0)</f>
        <v>1</v>
      </c>
      <c r="M301" s="1"/>
    </row>
    <row r="302" spans="1:13" x14ac:dyDescent="0.25">
      <c r="A302" s="37" t="s">
        <v>2186</v>
      </c>
      <c r="B302" s="37" t="s">
        <v>506</v>
      </c>
      <c r="C302" s="37">
        <v>144</v>
      </c>
      <c r="D302" s="37">
        <v>1466</v>
      </c>
      <c r="E302" s="37" t="s">
        <v>1877</v>
      </c>
      <c r="F302" s="37">
        <v>40</v>
      </c>
      <c r="G302" s="37" t="s">
        <v>513</v>
      </c>
      <c r="H302" s="37" t="s">
        <v>928</v>
      </c>
      <c r="I302" s="42">
        <f t="shared" si="12"/>
        <v>1466</v>
      </c>
      <c r="J302" s="38">
        <f t="shared" si="13"/>
        <v>4.9698132995760007</v>
      </c>
      <c r="K302" s="38">
        <f t="shared" si="14"/>
        <v>7.2902928824465967</v>
      </c>
      <c r="L302" s="40" t="b">
        <f>IF(B302=B301,C302&gt;C301,COUNTIF(B$1:B301,B302)=0)</f>
        <v>1</v>
      </c>
      <c r="M302" s="1"/>
    </row>
    <row r="303" spans="1:13" x14ac:dyDescent="0.25">
      <c r="A303" s="37" t="s">
        <v>2187</v>
      </c>
      <c r="B303" s="37" t="s">
        <v>506</v>
      </c>
      <c r="C303" s="37">
        <v>200</v>
      </c>
      <c r="D303" s="37">
        <v>1215</v>
      </c>
      <c r="E303" s="37" t="s">
        <v>1877</v>
      </c>
      <c r="F303" s="37">
        <v>40</v>
      </c>
      <c r="G303" s="37" t="s">
        <v>513</v>
      </c>
      <c r="H303" s="37" t="s">
        <v>928</v>
      </c>
      <c r="I303" s="42">
        <f t="shared" si="12"/>
        <v>1215</v>
      </c>
      <c r="J303" s="38">
        <f t="shared" si="13"/>
        <v>5.2983173665480363</v>
      </c>
      <c r="K303" s="38">
        <f t="shared" si="14"/>
        <v>7.1024993557746487</v>
      </c>
      <c r="L303" s="40" t="b">
        <f>IF(B303=B302,C303&gt;C302,COUNTIF(B$1:B302,B303)=0)</f>
        <v>1</v>
      </c>
      <c r="M303" s="1"/>
    </row>
    <row r="304" spans="1:13" x14ac:dyDescent="0.25">
      <c r="A304" s="37" t="s">
        <v>2188</v>
      </c>
      <c r="B304" s="37" t="s">
        <v>506</v>
      </c>
      <c r="C304" s="37">
        <v>400</v>
      </c>
      <c r="D304" s="37">
        <v>836</v>
      </c>
      <c r="E304" s="37" t="s">
        <v>1877</v>
      </c>
      <c r="F304" s="37">
        <v>40</v>
      </c>
      <c r="G304" s="37" t="s">
        <v>513</v>
      </c>
      <c r="H304" s="37" t="s">
        <v>928</v>
      </c>
      <c r="I304" s="42">
        <f t="shared" si="12"/>
        <v>836</v>
      </c>
      <c r="J304" s="38">
        <f t="shared" si="13"/>
        <v>5.9914645471079817</v>
      </c>
      <c r="K304" s="38">
        <f t="shared" si="14"/>
        <v>6.7286286130847017</v>
      </c>
      <c r="L304" s="40" t="b">
        <f>IF(B304=B303,C304&gt;C303,COUNTIF(B$1:B303,B304)=0)</f>
        <v>1</v>
      </c>
      <c r="M304" s="1"/>
    </row>
    <row r="305" spans="1:13" x14ac:dyDescent="0.25">
      <c r="A305" s="37" t="s">
        <v>2189</v>
      </c>
      <c r="B305" s="37" t="s">
        <v>506</v>
      </c>
      <c r="C305" s="37">
        <v>430</v>
      </c>
      <c r="D305" s="37">
        <v>803</v>
      </c>
      <c r="E305" s="37" t="s">
        <v>1877</v>
      </c>
      <c r="F305" s="37">
        <v>40</v>
      </c>
      <c r="G305" s="37" t="s">
        <v>513</v>
      </c>
      <c r="H305" s="37" t="s">
        <v>928</v>
      </c>
      <c r="I305" s="42">
        <f t="shared" si="12"/>
        <v>803</v>
      </c>
      <c r="J305" s="38">
        <f t="shared" si="13"/>
        <v>6.0637852086876078</v>
      </c>
      <c r="K305" s="38">
        <f t="shared" si="14"/>
        <v>6.6883547139467616</v>
      </c>
      <c r="L305" s="40" t="b">
        <f>IF(B305=B304,C305&gt;C304,COUNTIF(B$1:B304,B305)=0)</f>
        <v>1</v>
      </c>
      <c r="M305" s="1"/>
    </row>
    <row r="306" spans="1:13" x14ac:dyDescent="0.25">
      <c r="A306" s="37" t="s">
        <v>2190</v>
      </c>
      <c r="B306" s="37" t="s">
        <v>506</v>
      </c>
      <c r="C306" s="37">
        <v>800</v>
      </c>
      <c r="D306" s="37">
        <v>571</v>
      </c>
      <c r="E306" s="37" t="s">
        <v>1877</v>
      </c>
      <c r="F306" s="37">
        <v>40</v>
      </c>
      <c r="G306" s="37" t="s">
        <v>513</v>
      </c>
      <c r="H306" s="37" t="s">
        <v>928</v>
      </c>
      <c r="I306" s="42">
        <f t="shared" si="12"/>
        <v>571</v>
      </c>
      <c r="J306" s="38">
        <f t="shared" si="13"/>
        <v>6.6846117276679271</v>
      </c>
      <c r="K306" s="38">
        <f t="shared" si="14"/>
        <v>6.3473892096560105</v>
      </c>
      <c r="L306" s="40" t="b">
        <f>IF(B306=B305,C306&gt;C305,COUNTIF(B$1:B305,B306)=0)</f>
        <v>1</v>
      </c>
      <c r="M306" s="1"/>
    </row>
    <row r="307" spans="1:13" x14ac:dyDescent="0.25">
      <c r="A307" s="37" t="s">
        <v>2191</v>
      </c>
      <c r="B307" s="37" t="s">
        <v>506</v>
      </c>
      <c r="C307" s="37">
        <v>1000</v>
      </c>
      <c r="D307" s="37">
        <v>503</v>
      </c>
      <c r="E307" s="37" t="s">
        <v>1877</v>
      </c>
      <c r="F307" s="37">
        <v>40</v>
      </c>
      <c r="G307" s="37" t="s">
        <v>513</v>
      </c>
      <c r="H307" s="37" t="s">
        <v>928</v>
      </c>
      <c r="I307" s="42">
        <f t="shared" si="12"/>
        <v>503</v>
      </c>
      <c r="J307" s="38">
        <f t="shared" si="13"/>
        <v>6.9077552789821368</v>
      </c>
      <c r="K307" s="38">
        <f t="shared" si="14"/>
        <v>6.2205901700997392</v>
      </c>
      <c r="L307" s="40" t="b">
        <f>IF(B307=B306,C307&gt;C306,COUNTIF(B$1:B306,B307)=0)</f>
        <v>1</v>
      </c>
      <c r="M307" s="1"/>
    </row>
    <row r="308" spans="1:13" x14ac:dyDescent="0.25">
      <c r="A308" s="37" t="s">
        <v>2192</v>
      </c>
      <c r="B308" s="37" t="s">
        <v>506</v>
      </c>
      <c r="C308" s="37">
        <v>1296</v>
      </c>
      <c r="D308" s="37">
        <v>445</v>
      </c>
      <c r="E308" s="37" t="s">
        <v>1877</v>
      </c>
      <c r="F308" s="37">
        <v>40</v>
      </c>
      <c r="G308" s="37" t="s">
        <v>513</v>
      </c>
      <c r="H308" s="37" t="s">
        <v>928</v>
      </c>
      <c r="I308" s="42">
        <f t="shared" si="12"/>
        <v>445</v>
      </c>
      <c r="J308" s="38">
        <f t="shared" si="13"/>
        <v>7.1670378769122198</v>
      </c>
      <c r="K308" s="38">
        <f t="shared" si="14"/>
        <v>6.0980742821662401</v>
      </c>
      <c r="L308" s="40" t="b">
        <f>IF(B308=B307,C308&gt;C307,COUNTIF(B$1:B307,B308)=0)</f>
        <v>1</v>
      </c>
      <c r="M308" s="1"/>
    </row>
    <row r="309" spans="1:13" x14ac:dyDescent="0.25">
      <c r="A309" s="37" t="s">
        <v>2193</v>
      </c>
      <c r="B309" s="37" t="s">
        <v>506</v>
      </c>
      <c r="C309" s="37">
        <v>2400</v>
      </c>
      <c r="D309" s="37">
        <v>293</v>
      </c>
      <c r="E309" s="37" t="s">
        <v>1877</v>
      </c>
      <c r="F309" s="37">
        <v>40</v>
      </c>
      <c r="G309" s="37" t="s">
        <v>513</v>
      </c>
      <c r="H309" s="37" t="s">
        <v>928</v>
      </c>
      <c r="I309" s="42">
        <f t="shared" si="12"/>
        <v>293</v>
      </c>
      <c r="J309" s="38">
        <f t="shared" si="13"/>
        <v>7.7832240163360371</v>
      </c>
      <c r="K309" s="38">
        <f t="shared" si="14"/>
        <v>5.6801726090170677</v>
      </c>
      <c r="L309" s="40" t="b">
        <f>IF(B309=B308,C309&gt;C308,COUNTIF(B$1:B308,B309)=0)</f>
        <v>1</v>
      </c>
      <c r="M309" s="1"/>
    </row>
    <row r="310" spans="1:13" x14ac:dyDescent="0.25">
      <c r="A310" s="37" t="s">
        <v>2194</v>
      </c>
      <c r="B310" s="37" t="s">
        <v>506</v>
      </c>
      <c r="C310" s="37">
        <v>3000</v>
      </c>
      <c r="D310" s="37">
        <v>255</v>
      </c>
      <c r="E310" s="37" t="s">
        <v>1877</v>
      </c>
      <c r="F310" s="37">
        <v>40</v>
      </c>
      <c r="G310" s="37" t="s">
        <v>513</v>
      </c>
      <c r="H310" s="37" t="s">
        <v>928</v>
      </c>
      <c r="I310" s="42">
        <f t="shared" si="12"/>
        <v>255</v>
      </c>
      <c r="J310" s="38">
        <f t="shared" si="13"/>
        <v>8.0063675676502459</v>
      </c>
      <c r="K310" s="38">
        <f t="shared" si="14"/>
        <v>5.5412635451584258</v>
      </c>
      <c r="L310" s="40" t="b">
        <f>IF(B310=B309,C310&gt;C309,COUNTIF(B$1:B309,B310)=0)</f>
        <v>1</v>
      </c>
      <c r="M310" s="1"/>
    </row>
    <row r="311" spans="1:13" x14ac:dyDescent="0.25">
      <c r="A311" s="37" t="s">
        <v>2195</v>
      </c>
      <c r="B311" s="37" t="s">
        <v>506</v>
      </c>
      <c r="C311" s="37">
        <v>4000</v>
      </c>
      <c r="D311" s="37">
        <v>211</v>
      </c>
      <c r="E311" s="37" t="s">
        <v>1877</v>
      </c>
      <c r="F311" s="37">
        <v>40</v>
      </c>
      <c r="G311" s="37" t="s">
        <v>513</v>
      </c>
      <c r="H311" s="37" t="s">
        <v>928</v>
      </c>
      <c r="I311" s="42">
        <f t="shared" si="12"/>
        <v>211</v>
      </c>
      <c r="J311" s="38">
        <f t="shared" si="13"/>
        <v>8.2940496401020276</v>
      </c>
      <c r="K311" s="38">
        <f t="shared" si="14"/>
        <v>5.3518581334760666</v>
      </c>
      <c r="L311" s="40" t="b">
        <f>IF(B311=B310,C311&gt;C310,COUNTIF(B$1:B310,B311)=0)</f>
        <v>1</v>
      </c>
      <c r="M311" s="1"/>
    </row>
    <row r="312" spans="1:13" x14ac:dyDescent="0.25">
      <c r="A312" s="37" t="s">
        <v>2196</v>
      </c>
      <c r="B312" s="37" t="s">
        <v>506</v>
      </c>
      <c r="C312" s="37">
        <v>5000</v>
      </c>
      <c r="D312" s="37">
        <v>182</v>
      </c>
      <c r="E312" s="37" t="s">
        <v>1877</v>
      </c>
      <c r="F312" s="37">
        <v>40</v>
      </c>
      <c r="G312" s="37" t="s">
        <v>513</v>
      </c>
      <c r="H312" s="37" t="s">
        <v>928</v>
      </c>
      <c r="I312" s="42">
        <f t="shared" si="12"/>
        <v>182</v>
      </c>
      <c r="J312" s="38">
        <f t="shared" si="13"/>
        <v>8.5171931914162382</v>
      </c>
      <c r="K312" s="38">
        <f t="shared" si="14"/>
        <v>5.2040066870767951</v>
      </c>
      <c r="L312" s="40" t="b">
        <f>IF(B312=B311,C312&gt;C311,COUNTIF(B$1:B311,B312)=0)</f>
        <v>1</v>
      </c>
      <c r="M312" s="1"/>
    </row>
    <row r="313" spans="1:13" x14ac:dyDescent="0.25">
      <c r="A313" s="37" t="s">
        <v>2197</v>
      </c>
      <c r="B313" s="37" t="s">
        <v>506</v>
      </c>
      <c r="C313" s="37">
        <v>6000</v>
      </c>
      <c r="D313" s="37">
        <v>162</v>
      </c>
      <c r="E313" s="37" t="s">
        <v>1877</v>
      </c>
      <c r="F313" s="37">
        <v>40</v>
      </c>
      <c r="G313" s="37" t="s">
        <v>513</v>
      </c>
      <c r="H313" s="37" t="s">
        <v>928</v>
      </c>
      <c r="I313" s="42">
        <f t="shared" si="12"/>
        <v>162</v>
      </c>
      <c r="J313" s="38">
        <f t="shared" si="13"/>
        <v>8.6995147482101913</v>
      </c>
      <c r="K313" s="38">
        <f t="shared" si="14"/>
        <v>5.0875963352323836</v>
      </c>
      <c r="L313" s="40" t="b">
        <f>IF(B313=B312,C313&gt;C312,COUNTIF(B$1:B312,B313)=0)</f>
        <v>1</v>
      </c>
      <c r="M313" s="1"/>
    </row>
    <row r="314" spans="1:13" x14ac:dyDescent="0.25">
      <c r="A314" s="37" t="s">
        <v>2198</v>
      </c>
      <c r="B314" s="37" t="s">
        <v>506</v>
      </c>
      <c r="C314" s="37">
        <v>7000</v>
      </c>
      <c r="D314" s="37">
        <v>138</v>
      </c>
      <c r="E314" s="37" t="s">
        <v>1877</v>
      </c>
      <c r="F314" s="37">
        <v>40</v>
      </c>
      <c r="G314" s="37" t="s">
        <v>513</v>
      </c>
      <c r="H314" s="37" t="s">
        <v>928</v>
      </c>
      <c r="I314" s="42">
        <f t="shared" si="12"/>
        <v>138</v>
      </c>
      <c r="J314" s="38">
        <f t="shared" si="13"/>
        <v>8.8536654280374503</v>
      </c>
      <c r="K314" s="38">
        <f t="shared" si="14"/>
        <v>4.9272536851572051</v>
      </c>
      <c r="L314" s="40" t="b">
        <f>IF(B314=B313,C314&gt;C313,COUNTIF(B$1:B313,B314)=0)</f>
        <v>1</v>
      </c>
      <c r="M314" s="1"/>
    </row>
    <row r="315" spans="1:13" x14ac:dyDescent="0.25">
      <c r="A315" s="37" t="s">
        <v>2199</v>
      </c>
      <c r="B315" s="37" t="s">
        <v>506</v>
      </c>
      <c r="C315" s="37">
        <v>8000</v>
      </c>
      <c r="D315" s="37">
        <v>125</v>
      </c>
      <c r="E315" s="37" t="s">
        <v>1877</v>
      </c>
      <c r="F315" s="37">
        <v>40</v>
      </c>
      <c r="G315" s="37" t="s">
        <v>513</v>
      </c>
      <c r="H315" s="37" t="s">
        <v>928</v>
      </c>
      <c r="I315" s="42">
        <f t="shared" si="12"/>
        <v>125</v>
      </c>
      <c r="J315" s="38">
        <f t="shared" si="13"/>
        <v>8.987196820661973</v>
      </c>
      <c r="K315" s="38">
        <f t="shared" si="14"/>
        <v>4.8283137373023015</v>
      </c>
      <c r="L315" s="40" t="b">
        <f>IF(B315=B314,C315&gt;C314,COUNTIF(B$1:B314,B315)=0)</f>
        <v>1</v>
      </c>
      <c r="M315" s="1"/>
    </row>
    <row r="316" spans="1:13" x14ac:dyDescent="0.25">
      <c r="A316" s="37" t="s">
        <v>2200</v>
      </c>
      <c r="B316" s="37" t="s">
        <v>515</v>
      </c>
      <c r="C316" s="37">
        <v>1.8</v>
      </c>
      <c r="D316" s="37">
        <v>9927</v>
      </c>
      <c r="E316" s="37" t="s">
        <v>1877</v>
      </c>
      <c r="F316" s="37">
        <v>40</v>
      </c>
      <c r="G316" s="37" t="s">
        <v>522</v>
      </c>
      <c r="H316" s="37" t="s">
        <v>1948</v>
      </c>
      <c r="I316" s="42">
        <f t="shared" si="12"/>
        <v>9927</v>
      </c>
      <c r="J316" s="38">
        <f t="shared" si="13"/>
        <v>0.58778666490211906</v>
      </c>
      <c r="K316" s="38">
        <f t="shared" si="14"/>
        <v>9.203013596589722</v>
      </c>
      <c r="L316" s="40" t="b">
        <f>IF(B316=B315,C316&gt;C315,COUNTIF(B$1:B315,B316)=0)</f>
        <v>1</v>
      </c>
      <c r="M316" s="1"/>
    </row>
    <row r="317" spans="1:13" x14ac:dyDescent="0.25">
      <c r="A317" s="37" t="s">
        <v>2201</v>
      </c>
      <c r="B317" s="37" t="s">
        <v>515</v>
      </c>
      <c r="C317" s="37">
        <v>3.5</v>
      </c>
      <c r="D317" s="37">
        <v>7721</v>
      </c>
      <c r="E317" s="37" t="s">
        <v>1877</v>
      </c>
      <c r="F317" s="37">
        <v>40</v>
      </c>
      <c r="G317" s="37" t="s">
        <v>522</v>
      </c>
      <c r="H317" s="37" t="s">
        <v>1948</v>
      </c>
      <c r="I317" s="42">
        <f t="shared" si="12"/>
        <v>7721</v>
      </c>
      <c r="J317" s="38">
        <f t="shared" si="13"/>
        <v>1.2527629684953681</v>
      </c>
      <c r="K317" s="38">
        <f t="shared" si="14"/>
        <v>8.9516991683088154</v>
      </c>
      <c r="L317" s="40" t="b">
        <f>IF(B317=B316,C317&gt;C316,COUNTIF(B$1:B316,B317)=0)</f>
        <v>1</v>
      </c>
      <c r="M317" s="1"/>
    </row>
    <row r="318" spans="1:13" x14ac:dyDescent="0.25">
      <c r="A318" s="37" t="s">
        <v>2202</v>
      </c>
      <c r="B318" s="37" t="s">
        <v>515</v>
      </c>
      <c r="C318" s="37">
        <v>7</v>
      </c>
      <c r="D318" s="37">
        <v>5990</v>
      </c>
      <c r="E318" s="37" t="s">
        <v>1877</v>
      </c>
      <c r="F318" s="37">
        <v>40</v>
      </c>
      <c r="G318" s="37" t="s">
        <v>522</v>
      </c>
      <c r="H318" s="37" t="s">
        <v>1948</v>
      </c>
      <c r="I318" s="42">
        <f t="shared" si="12"/>
        <v>5990</v>
      </c>
      <c r="J318" s="38">
        <f t="shared" si="13"/>
        <v>1.9459101490553132</v>
      </c>
      <c r="K318" s="38">
        <f t="shared" si="14"/>
        <v>8.6978466911094952</v>
      </c>
      <c r="L318" s="40" t="b">
        <f>IF(B318=B317,C318&gt;C317,COUNTIF(B$1:B317,B318)=0)</f>
        <v>1</v>
      </c>
      <c r="M318" s="1"/>
    </row>
    <row r="319" spans="1:13" x14ac:dyDescent="0.25">
      <c r="A319" s="37" t="s">
        <v>2203</v>
      </c>
      <c r="B319" s="37" t="s">
        <v>515</v>
      </c>
      <c r="C319" s="37">
        <v>10</v>
      </c>
      <c r="D319" s="37">
        <v>5186</v>
      </c>
      <c r="E319" s="37" t="s">
        <v>1877</v>
      </c>
      <c r="F319" s="37">
        <v>40</v>
      </c>
      <c r="G319" s="37" t="s">
        <v>522</v>
      </c>
      <c r="H319" s="37" t="s">
        <v>1948</v>
      </c>
      <c r="I319" s="42">
        <f t="shared" si="12"/>
        <v>5186</v>
      </c>
      <c r="J319" s="38">
        <f t="shared" si="13"/>
        <v>2.3025850929940459</v>
      </c>
      <c r="K319" s="38">
        <f t="shared" si="14"/>
        <v>8.5537179660986098</v>
      </c>
      <c r="L319" s="40" t="b">
        <f>IF(B319=B318,C319&gt;C318,COUNTIF(B$1:B318,B319)=0)</f>
        <v>1</v>
      </c>
      <c r="M319" s="1"/>
    </row>
    <row r="320" spans="1:13" x14ac:dyDescent="0.25">
      <c r="A320" s="37" t="s">
        <v>2204</v>
      </c>
      <c r="B320" s="37" t="s">
        <v>515</v>
      </c>
      <c r="C320" s="37">
        <v>14</v>
      </c>
      <c r="D320" s="37">
        <v>4483</v>
      </c>
      <c r="E320" s="37" t="s">
        <v>1877</v>
      </c>
      <c r="F320" s="37">
        <v>40</v>
      </c>
      <c r="G320" s="37" t="s">
        <v>522</v>
      </c>
      <c r="H320" s="37" t="s">
        <v>1948</v>
      </c>
      <c r="I320" s="42">
        <f t="shared" si="12"/>
        <v>4483</v>
      </c>
      <c r="J320" s="38">
        <f t="shared" si="13"/>
        <v>2.6390573296152584</v>
      </c>
      <c r="K320" s="38">
        <f t="shared" si="14"/>
        <v>8.4080477441554393</v>
      </c>
      <c r="L320" s="40" t="b">
        <f>IF(B320=B319,C320&gt;C319,COUNTIF(B$1:B319,B320)=0)</f>
        <v>1</v>
      </c>
      <c r="M320" s="1"/>
    </row>
    <row r="321" spans="1:13" x14ac:dyDescent="0.25">
      <c r="A321" s="37" t="s">
        <v>2205</v>
      </c>
      <c r="B321" s="37" t="s">
        <v>515</v>
      </c>
      <c r="C321" s="37">
        <v>21</v>
      </c>
      <c r="D321" s="37">
        <v>3777</v>
      </c>
      <c r="E321" s="37" t="s">
        <v>1877</v>
      </c>
      <c r="F321" s="37">
        <v>40</v>
      </c>
      <c r="G321" s="37" t="s">
        <v>522</v>
      </c>
      <c r="H321" s="37" t="s">
        <v>1948</v>
      </c>
      <c r="I321" s="42">
        <f t="shared" si="12"/>
        <v>3777</v>
      </c>
      <c r="J321" s="38">
        <f t="shared" si="13"/>
        <v>3.044522437723423</v>
      </c>
      <c r="K321" s="38">
        <f t="shared" si="14"/>
        <v>8.2366853227124572</v>
      </c>
      <c r="L321" s="40" t="b">
        <f>IF(B321=B320,C321&gt;C320,COUNTIF(B$1:B320,B321)=0)</f>
        <v>1</v>
      </c>
      <c r="M321" s="1"/>
    </row>
    <row r="322" spans="1:13" x14ac:dyDescent="0.25">
      <c r="A322" s="37" t="s">
        <v>2206</v>
      </c>
      <c r="B322" s="37" t="s">
        <v>515</v>
      </c>
      <c r="C322" s="37">
        <v>28</v>
      </c>
      <c r="D322" s="37">
        <v>3357</v>
      </c>
      <c r="E322" s="37" t="s">
        <v>1877</v>
      </c>
      <c r="F322" s="37">
        <v>40</v>
      </c>
      <c r="G322" s="37" t="s">
        <v>522</v>
      </c>
      <c r="H322" s="37" t="s">
        <v>1948</v>
      </c>
      <c r="I322" s="42">
        <f t="shared" ref="I322:I385" si="15">IF(E322="kW",D322*1000,D322)</f>
        <v>3357</v>
      </c>
      <c r="J322" s="38">
        <f t="shared" ref="J322:J385" si="16">LN(C322)</f>
        <v>3.3322045101752038</v>
      </c>
      <c r="K322" s="38">
        <f t="shared" ref="K322:K385" si="17">LN(I322)</f>
        <v>8.118802996980035</v>
      </c>
      <c r="L322" s="40" t="b">
        <f>IF(B322=B321,C322&gt;C321,COUNTIF(B$1:B321,B322)=0)</f>
        <v>1</v>
      </c>
      <c r="M322" s="1"/>
    </row>
    <row r="323" spans="1:13" x14ac:dyDescent="0.25">
      <c r="A323" s="37" t="s">
        <v>2207</v>
      </c>
      <c r="B323" s="37" t="s">
        <v>515</v>
      </c>
      <c r="C323" s="37">
        <v>50</v>
      </c>
      <c r="D323" s="37">
        <v>2518</v>
      </c>
      <c r="E323" s="37" t="s">
        <v>1877</v>
      </c>
      <c r="F323" s="37">
        <v>40</v>
      </c>
      <c r="G323" s="37" t="s">
        <v>522</v>
      </c>
      <c r="H323" s="37" t="s">
        <v>1948</v>
      </c>
      <c r="I323" s="42">
        <f t="shared" si="15"/>
        <v>2518</v>
      </c>
      <c r="J323" s="38">
        <f t="shared" si="16"/>
        <v>3.912023005428146</v>
      </c>
      <c r="K323" s="38">
        <f t="shared" si="17"/>
        <v>7.8312202146042926</v>
      </c>
      <c r="L323" s="40" t="b">
        <f>IF(B323=B322,C323&gt;C322,COUNTIF(B$1:B322,B323)=0)</f>
        <v>1</v>
      </c>
      <c r="M323" s="1"/>
    </row>
    <row r="324" spans="1:13" x14ac:dyDescent="0.25">
      <c r="A324" s="37" t="s">
        <v>2208</v>
      </c>
      <c r="B324" s="37" t="s">
        <v>515</v>
      </c>
      <c r="C324" s="37">
        <v>100</v>
      </c>
      <c r="D324" s="37">
        <v>1759</v>
      </c>
      <c r="E324" s="37" t="s">
        <v>1877</v>
      </c>
      <c r="F324" s="37">
        <v>40</v>
      </c>
      <c r="G324" s="37" t="s">
        <v>522</v>
      </c>
      <c r="H324" s="37" t="s">
        <v>1948</v>
      </c>
      <c r="I324" s="42">
        <f t="shared" si="15"/>
        <v>1759</v>
      </c>
      <c r="J324" s="38">
        <f t="shared" si="16"/>
        <v>4.6051701859880918</v>
      </c>
      <c r="K324" s="38">
        <f t="shared" si="17"/>
        <v>7.472500744737558</v>
      </c>
      <c r="L324" s="40" t="b">
        <f>IF(B324=B323,C324&gt;C323,COUNTIF(B$1:B323,B324)=0)</f>
        <v>1</v>
      </c>
      <c r="M324" s="1"/>
    </row>
    <row r="325" spans="1:13" x14ac:dyDescent="0.25">
      <c r="A325" s="37" t="s">
        <v>2209</v>
      </c>
      <c r="B325" s="37" t="s">
        <v>515</v>
      </c>
      <c r="C325" s="37">
        <v>144</v>
      </c>
      <c r="D325" s="37">
        <v>1460</v>
      </c>
      <c r="E325" s="37" t="s">
        <v>1877</v>
      </c>
      <c r="F325" s="37">
        <v>40</v>
      </c>
      <c r="G325" s="37" t="s">
        <v>522</v>
      </c>
      <c r="H325" s="37" t="s">
        <v>1948</v>
      </c>
      <c r="I325" s="42">
        <f t="shared" si="15"/>
        <v>1460</v>
      </c>
      <c r="J325" s="38">
        <f t="shared" si="16"/>
        <v>4.9698132995760007</v>
      </c>
      <c r="K325" s="38">
        <f t="shared" si="17"/>
        <v>7.2861917147023822</v>
      </c>
      <c r="L325" s="40" t="b">
        <f>IF(B325=B324,C325&gt;C324,COUNTIF(B$1:B324,B325)=0)</f>
        <v>1</v>
      </c>
      <c r="M325" s="1"/>
    </row>
    <row r="326" spans="1:13" x14ac:dyDescent="0.25">
      <c r="A326" s="37" t="s">
        <v>2210</v>
      </c>
      <c r="B326" s="37" t="s">
        <v>515</v>
      </c>
      <c r="C326" s="37">
        <v>200</v>
      </c>
      <c r="D326" s="37">
        <v>1226</v>
      </c>
      <c r="E326" s="37" t="s">
        <v>1877</v>
      </c>
      <c r="F326" s="37">
        <v>40</v>
      </c>
      <c r="G326" s="37" t="s">
        <v>522</v>
      </c>
      <c r="H326" s="37" t="s">
        <v>1948</v>
      </c>
      <c r="I326" s="42">
        <f t="shared" si="15"/>
        <v>1226</v>
      </c>
      <c r="J326" s="38">
        <f t="shared" si="16"/>
        <v>5.2983173665480363</v>
      </c>
      <c r="K326" s="38">
        <f t="shared" si="17"/>
        <v>7.111512116496157</v>
      </c>
      <c r="L326" s="40" t="b">
        <f>IF(B326=B325,C326&gt;C325,COUNTIF(B$1:B325,B326)=0)</f>
        <v>1</v>
      </c>
      <c r="M326" s="1"/>
    </row>
    <row r="327" spans="1:13" x14ac:dyDescent="0.25">
      <c r="A327" s="37" t="s">
        <v>2211</v>
      </c>
      <c r="B327" s="37" t="s">
        <v>515</v>
      </c>
      <c r="C327" s="37">
        <v>400</v>
      </c>
      <c r="D327" s="37">
        <v>837</v>
      </c>
      <c r="E327" s="37" t="s">
        <v>1877</v>
      </c>
      <c r="F327" s="37">
        <v>40</v>
      </c>
      <c r="G327" s="37" t="s">
        <v>522</v>
      </c>
      <c r="H327" s="37" t="s">
        <v>1948</v>
      </c>
      <c r="I327" s="42">
        <f t="shared" si="15"/>
        <v>837</v>
      </c>
      <c r="J327" s="38">
        <f t="shared" si="16"/>
        <v>5.9914645471079817</v>
      </c>
      <c r="K327" s="38">
        <f t="shared" si="17"/>
        <v>6.7298240704894754</v>
      </c>
      <c r="L327" s="40" t="b">
        <f>IF(B327=B326,C327&gt;C326,COUNTIF(B$1:B326,B327)=0)</f>
        <v>1</v>
      </c>
      <c r="M327" s="1"/>
    </row>
    <row r="328" spans="1:13" x14ac:dyDescent="0.25">
      <c r="A328" s="37" t="s">
        <v>2212</v>
      </c>
      <c r="B328" s="37" t="s">
        <v>515</v>
      </c>
      <c r="C328" s="37">
        <v>430</v>
      </c>
      <c r="D328" s="37">
        <v>808</v>
      </c>
      <c r="E328" s="37" t="s">
        <v>1877</v>
      </c>
      <c r="F328" s="37">
        <v>40</v>
      </c>
      <c r="G328" s="37" t="s">
        <v>522</v>
      </c>
      <c r="H328" s="37" t="s">
        <v>1948</v>
      </c>
      <c r="I328" s="42">
        <f t="shared" si="15"/>
        <v>808</v>
      </c>
      <c r="J328" s="38">
        <f t="shared" si="16"/>
        <v>6.0637852086876078</v>
      </c>
      <c r="K328" s="38">
        <f t="shared" si="17"/>
        <v>6.694562058521095</v>
      </c>
      <c r="L328" s="40" t="b">
        <f>IF(B328=B327,C328&gt;C327,COUNTIF(B$1:B327,B328)=0)</f>
        <v>1</v>
      </c>
      <c r="M328" s="1"/>
    </row>
    <row r="329" spans="1:13" x14ac:dyDescent="0.25">
      <c r="A329" s="37" t="s">
        <v>2213</v>
      </c>
      <c r="B329" s="37" t="s">
        <v>515</v>
      </c>
      <c r="C329" s="37">
        <v>800</v>
      </c>
      <c r="D329" s="37">
        <v>581</v>
      </c>
      <c r="E329" s="37" t="s">
        <v>1877</v>
      </c>
      <c r="F329" s="37">
        <v>40</v>
      </c>
      <c r="G329" s="37" t="s">
        <v>522</v>
      </c>
      <c r="H329" s="37" t="s">
        <v>1948</v>
      </c>
      <c r="I329" s="42">
        <f t="shared" si="15"/>
        <v>581</v>
      </c>
      <c r="J329" s="38">
        <f t="shared" si="16"/>
        <v>6.6846117276679271</v>
      </c>
      <c r="K329" s="38">
        <f t="shared" si="17"/>
        <v>6.3647507568519108</v>
      </c>
      <c r="L329" s="40" t="b">
        <f>IF(B329=B328,C329&gt;C328,COUNTIF(B$1:B328,B329)=0)</f>
        <v>1</v>
      </c>
      <c r="M329" s="1"/>
    </row>
    <row r="330" spans="1:13" x14ac:dyDescent="0.25">
      <c r="A330" s="37" t="s">
        <v>2214</v>
      </c>
      <c r="B330" s="37" t="s">
        <v>515</v>
      </c>
      <c r="C330" s="37">
        <v>1000</v>
      </c>
      <c r="D330" s="37">
        <v>516</v>
      </c>
      <c r="E330" s="37" t="s">
        <v>1877</v>
      </c>
      <c r="F330" s="37">
        <v>40</v>
      </c>
      <c r="G330" s="37" t="s">
        <v>522</v>
      </c>
      <c r="H330" s="37" t="s">
        <v>1948</v>
      </c>
      <c r="I330" s="42">
        <f t="shared" si="15"/>
        <v>516</v>
      </c>
      <c r="J330" s="38">
        <f t="shared" si="16"/>
        <v>6.9077552789821368</v>
      </c>
      <c r="K330" s="38">
        <f t="shared" si="17"/>
        <v>6.2461067654815627</v>
      </c>
      <c r="L330" s="40" t="b">
        <f>IF(B330=B329,C330&gt;C329,COUNTIF(B$1:B329,B330)=0)</f>
        <v>1</v>
      </c>
      <c r="M330" s="1"/>
    </row>
    <row r="331" spans="1:13" x14ac:dyDescent="0.25">
      <c r="A331" s="37" t="s">
        <v>2215</v>
      </c>
      <c r="B331" s="37" t="s">
        <v>515</v>
      </c>
      <c r="C331" s="37">
        <v>1296</v>
      </c>
      <c r="D331" s="37">
        <v>449</v>
      </c>
      <c r="E331" s="37" t="s">
        <v>1877</v>
      </c>
      <c r="F331" s="37">
        <v>40</v>
      </c>
      <c r="G331" s="37" t="s">
        <v>522</v>
      </c>
      <c r="H331" s="37" t="s">
        <v>1948</v>
      </c>
      <c r="I331" s="42">
        <f t="shared" si="15"/>
        <v>449</v>
      </c>
      <c r="J331" s="38">
        <f t="shared" si="16"/>
        <v>7.1670378769122198</v>
      </c>
      <c r="K331" s="38">
        <f t="shared" si="17"/>
        <v>6.1070228877422545</v>
      </c>
      <c r="L331" s="40" t="b">
        <f>IF(B331=B330,C331&gt;C330,COUNTIF(B$1:B330,B331)=0)</f>
        <v>1</v>
      </c>
      <c r="M331" s="1"/>
    </row>
    <row r="332" spans="1:13" x14ac:dyDescent="0.25">
      <c r="A332" s="37" t="s">
        <v>2216</v>
      </c>
      <c r="B332" s="37" t="s">
        <v>515</v>
      </c>
      <c r="C332" s="37">
        <v>2400</v>
      </c>
      <c r="D332" s="37">
        <v>319</v>
      </c>
      <c r="E332" s="37" t="s">
        <v>1877</v>
      </c>
      <c r="F332" s="37">
        <v>40</v>
      </c>
      <c r="G332" s="37" t="s">
        <v>522</v>
      </c>
      <c r="H332" s="37" t="s">
        <v>1948</v>
      </c>
      <c r="I332" s="42">
        <f t="shared" si="15"/>
        <v>319</v>
      </c>
      <c r="J332" s="38">
        <f t="shared" si="16"/>
        <v>7.7832240163360371</v>
      </c>
      <c r="K332" s="38">
        <f t="shared" si="17"/>
        <v>5.7651911027848444</v>
      </c>
      <c r="L332" s="40" t="b">
        <f>IF(B332=B331,C332&gt;C331,COUNTIF(B$1:B331,B332)=0)</f>
        <v>1</v>
      </c>
      <c r="M332" s="1"/>
    </row>
    <row r="333" spans="1:13" x14ac:dyDescent="0.25">
      <c r="A333" s="37" t="s">
        <v>2217</v>
      </c>
      <c r="B333" s="37" t="s">
        <v>515</v>
      </c>
      <c r="C333" s="37">
        <v>3000</v>
      </c>
      <c r="D333" s="37">
        <v>282</v>
      </c>
      <c r="E333" s="37" t="s">
        <v>1877</v>
      </c>
      <c r="F333" s="37">
        <v>40</v>
      </c>
      <c r="G333" s="37" t="s">
        <v>522</v>
      </c>
      <c r="H333" s="37" t="s">
        <v>1948</v>
      </c>
      <c r="I333" s="42">
        <f t="shared" si="15"/>
        <v>282</v>
      </c>
      <c r="J333" s="38">
        <f t="shared" si="16"/>
        <v>8.0063675676502459</v>
      </c>
      <c r="K333" s="38">
        <f t="shared" si="17"/>
        <v>5.6419070709381138</v>
      </c>
      <c r="L333" s="40" t="b">
        <f>IF(B333=B332,C333&gt;C332,COUNTIF(B$1:B332,B333)=0)</f>
        <v>1</v>
      </c>
      <c r="M333" s="1"/>
    </row>
    <row r="334" spans="1:13" x14ac:dyDescent="0.25">
      <c r="A334" s="37" t="s">
        <v>2218</v>
      </c>
      <c r="B334" s="37" t="s">
        <v>515</v>
      </c>
      <c r="C334" s="37">
        <v>4000</v>
      </c>
      <c r="D334" s="37">
        <v>239</v>
      </c>
      <c r="E334" s="37" t="s">
        <v>1877</v>
      </c>
      <c r="F334" s="37">
        <v>40</v>
      </c>
      <c r="G334" s="37" t="s">
        <v>522</v>
      </c>
      <c r="H334" s="37" t="s">
        <v>1948</v>
      </c>
      <c r="I334" s="42">
        <f t="shared" si="15"/>
        <v>239</v>
      </c>
      <c r="J334" s="38">
        <f t="shared" si="16"/>
        <v>8.2940496401020276</v>
      </c>
      <c r="K334" s="38">
        <f t="shared" si="17"/>
        <v>5.476463551931511</v>
      </c>
      <c r="L334" s="40" t="b">
        <f>IF(B334=B333,C334&gt;C333,COUNTIF(B$1:B333,B334)=0)</f>
        <v>1</v>
      </c>
      <c r="M334" s="1"/>
    </row>
    <row r="335" spans="1:13" x14ac:dyDescent="0.25">
      <c r="A335" s="37" t="s">
        <v>2219</v>
      </c>
      <c r="B335" s="37" t="s">
        <v>515</v>
      </c>
      <c r="C335" s="37">
        <v>5000</v>
      </c>
      <c r="D335" s="37">
        <v>210</v>
      </c>
      <c r="E335" s="37" t="s">
        <v>1877</v>
      </c>
      <c r="F335" s="37">
        <v>40</v>
      </c>
      <c r="G335" s="37" t="s">
        <v>522</v>
      </c>
      <c r="H335" s="37" t="s">
        <v>1948</v>
      </c>
      <c r="I335" s="42">
        <f t="shared" si="15"/>
        <v>210</v>
      </c>
      <c r="J335" s="38">
        <f t="shared" si="16"/>
        <v>8.5171931914162382</v>
      </c>
      <c r="K335" s="38">
        <f t="shared" si="17"/>
        <v>5.3471075307174685</v>
      </c>
      <c r="L335" s="40" t="b">
        <f>IF(B335=B334,C335&gt;C334,COUNTIF(B$1:B334,B335)=0)</f>
        <v>1</v>
      </c>
      <c r="M335" s="1"/>
    </row>
    <row r="336" spans="1:13" x14ac:dyDescent="0.25">
      <c r="A336" s="37" t="s">
        <v>2220</v>
      </c>
      <c r="B336" s="37" t="s">
        <v>515</v>
      </c>
      <c r="C336" s="37">
        <v>6000</v>
      </c>
      <c r="D336" s="37">
        <v>188</v>
      </c>
      <c r="E336" s="37" t="s">
        <v>1877</v>
      </c>
      <c r="F336" s="37">
        <v>40</v>
      </c>
      <c r="G336" s="37" t="s">
        <v>522</v>
      </c>
      <c r="H336" s="37" t="s">
        <v>1948</v>
      </c>
      <c r="I336" s="42">
        <f t="shared" si="15"/>
        <v>188</v>
      </c>
      <c r="J336" s="38">
        <f t="shared" si="16"/>
        <v>8.6995147482101913</v>
      </c>
      <c r="K336" s="38">
        <f t="shared" si="17"/>
        <v>5.2364419628299492</v>
      </c>
      <c r="L336" s="40" t="b">
        <f>IF(B336=B335,C336&gt;C335,COUNTIF(B$1:B335,B336)=0)</f>
        <v>1</v>
      </c>
      <c r="M336" s="1"/>
    </row>
    <row r="337" spans="1:13" x14ac:dyDescent="0.25">
      <c r="A337" s="37" t="s">
        <v>2221</v>
      </c>
      <c r="B337" s="37" t="s">
        <v>515</v>
      </c>
      <c r="C337" s="37">
        <v>7000</v>
      </c>
      <c r="D337" s="37">
        <v>171</v>
      </c>
      <c r="E337" s="37" t="s">
        <v>1877</v>
      </c>
      <c r="F337" s="37">
        <v>40</v>
      </c>
      <c r="G337" s="37" t="s">
        <v>522</v>
      </c>
      <c r="H337" s="37" t="s">
        <v>1948</v>
      </c>
      <c r="I337" s="42">
        <f t="shared" si="15"/>
        <v>171</v>
      </c>
      <c r="J337" s="38">
        <f t="shared" si="16"/>
        <v>8.8536654280374503</v>
      </c>
      <c r="K337" s="38">
        <f t="shared" si="17"/>
        <v>5.1416635565026603</v>
      </c>
      <c r="L337" s="40" t="b">
        <f>IF(B337=B336,C337&gt;C336,COUNTIF(B$1:B336,B337)=0)</f>
        <v>1</v>
      </c>
      <c r="M337" s="1"/>
    </row>
    <row r="338" spans="1:13" x14ac:dyDescent="0.25">
      <c r="A338" s="37" t="s">
        <v>2222</v>
      </c>
      <c r="B338" s="37" t="s">
        <v>515</v>
      </c>
      <c r="C338" s="37">
        <v>8000</v>
      </c>
      <c r="D338" s="37">
        <v>157</v>
      </c>
      <c r="E338" s="37" t="s">
        <v>1877</v>
      </c>
      <c r="F338" s="37">
        <v>40</v>
      </c>
      <c r="G338" s="37" t="s">
        <v>522</v>
      </c>
      <c r="H338" s="37" t="s">
        <v>1948</v>
      </c>
      <c r="I338" s="42">
        <f t="shared" si="15"/>
        <v>157</v>
      </c>
      <c r="J338" s="38">
        <f t="shared" si="16"/>
        <v>8.987196820661973</v>
      </c>
      <c r="K338" s="38">
        <f t="shared" si="17"/>
        <v>5.0562458053483077</v>
      </c>
      <c r="L338" s="40" t="b">
        <f>IF(B338=B337,C338&gt;C337,COUNTIF(B$1:B337,B338)=0)</f>
        <v>1</v>
      </c>
      <c r="M338" s="1"/>
    </row>
    <row r="339" spans="1:13" x14ac:dyDescent="0.25">
      <c r="A339" s="37" t="s">
        <v>2223</v>
      </c>
      <c r="B339" s="37" t="s">
        <v>515</v>
      </c>
      <c r="C339" s="37">
        <v>10000</v>
      </c>
      <c r="D339" s="37">
        <v>137</v>
      </c>
      <c r="E339" s="37" t="s">
        <v>1877</v>
      </c>
      <c r="F339" s="37">
        <v>40</v>
      </c>
      <c r="G339" s="37" t="s">
        <v>522</v>
      </c>
      <c r="H339" s="37" t="s">
        <v>1948</v>
      </c>
      <c r="I339" s="42">
        <f t="shared" si="15"/>
        <v>137</v>
      </c>
      <c r="J339" s="38">
        <f t="shared" si="16"/>
        <v>9.2103403719761836</v>
      </c>
      <c r="K339" s="38">
        <f t="shared" si="17"/>
        <v>4.9199809258281251</v>
      </c>
      <c r="L339" s="40" t="b">
        <f>IF(B339=B338,C339&gt;C338,COUNTIF(B$1:B338,B339)=0)</f>
        <v>1</v>
      </c>
      <c r="M339" s="1"/>
    </row>
    <row r="340" spans="1:13" x14ac:dyDescent="0.25">
      <c r="A340" s="37" t="s">
        <v>2224</v>
      </c>
      <c r="B340" s="37" t="s">
        <v>524</v>
      </c>
      <c r="C340" s="37">
        <v>28</v>
      </c>
      <c r="D340" s="37">
        <v>2.2000000000000002</v>
      </c>
      <c r="E340" s="37" t="s">
        <v>1895</v>
      </c>
      <c r="F340" s="37">
        <v>40</v>
      </c>
      <c r="G340" s="37" t="s">
        <v>529</v>
      </c>
      <c r="H340" s="37" t="s">
        <v>2225</v>
      </c>
      <c r="I340" s="42">
        <f t="shared" si="15"/>
        <v>2200</v>
      </c>
      <c r="J340" s="38">
        <f t="shared" si="16"/>
        <v>3.3322045101752038</v>
      </c>
      <c r="K340" s="38">
        <f t="shared" si="17"/>
        <v>7.696212639346407</v>
      </c>
      <c r="L340" s="40" t="b">
        <f>IF(B340=B339,C340&gt;C339,COUNTIF(B$1:B339,B340)=0)</f>
        <v>1</v>
      </c>
      <c r="M340" s="1"/>
    </row>
    <row r="341" spans="1:13" x14ac:dyDescent="0.25">
      <c r="A341" s="37" t="s">
        <v>2226</v>
      </c>
      <c r="B341" s="37" t="s">
        <v>524</v>
      </c>
      <c r="C341" s="37">
        <v>50</v>
      </c>
      <c r="D341" s="37">
        <v>1.7</v>
      </c>
      <c r="E341" s="37" t="s">
        <v>1895</v>
      </c>
      <c r="F341" s="37">
        <v>40</v>
      </c>
      <c r="G341" s="37" t="s">
        <v>529</v>
      </c>
      <c r="H341" s="37" t="s">
        <v>2225</v>
      </c>
      <c r="I341" s="42">
        <f t="shared" si="15"/>
        <v>1700</v>
      </c>
      <c r="J341" s="38">
        <f t="shared" si="16"/>
        <v>3.912023005428146</v>
      </c>
      <c r="K341" s="38">
        <f t="shared" si="17"/>
        <v>7.4383835300443071</v>
      </c>
      <c r="L341" s="40" t="b">
        <f>IF(B341=B340,C341&gt;C340,COUNTIF(B$1:B340,B341)=0)</f>
        <v>1</v>
      </c>
      <c r="M341" s="1"/>
    </row>
    <row r="342" spans="1:13" x14ac:dyDescent="0.25">
      <c r="A342" s="37" t="s">
        <v>2227</v>
      </c>
      <c r="B342" s="37" t="s">
        <v>524</v>
      </c>
      <c r="C342" s="37">
        <v>144</v>
      </c>
      <c r="D342" s="37">
        <v>0.95</v>
      </c>
      <c r="E342" s="37" t="s">
        <v>1895</v>
      </c>
      <c r="F342" s="37">
        <v>40</v>
      </c>
      <c r="G342" s="37" t="s">
        <v>529</v>
      </c>
      <c r="H342" s="37" t="s">
        <v>2225</v>
      </c>
      <c r="I342" s="42">
        <f t="shared" si="15"/>
        <v>950</v>
      </c>
      <c r="J342" s="38">
        <f t="shared" si="16"/>
        <v>4.9698132995760007</v>
      </c>
      <c r="K342" s="38">
        <f t="shared" si="17"/>
        <v>6.8564619845945867</v>
      </c>
      <c r="L342" s="40" t="b">
        <f>IF(B342=B341,C342&gt;C341,COUNTIF(B$1:B341,B342)=0)</f>
        <v>1</v>
      </c>
      <c r="M342" s="1"/>
    </row>
    <row r="343" spans="1:13" x14ac:dyDescent="0.25">
      <c r="A343" s="37" t="s">
        <v>2228</v>
      </c>
      <c r="B343" s="37" t="s">
        <v>524</v>
      </c>
      <c r="C343" s="37">
        <v>432</v>
      </c>
      <c r="D343" s="37">
        <v>0.53</v>
      </c>
      <c r="E343" s="37" t="s">
        <v>1895</v>
      </c>
      <c r="F343" s="37">
        <v>40</v>
      </c>
      <c r="G343" s="37" t="s">
        <v>529</v>
      </c>
      <c r="H343" s="37" t="s">
        <v>2225</v>
      </c>
      <c r="I343" s="42">
        <f t="shared" si="15"/>
        <v>530</v>
      </c>
      <c r="J343" s="38">
        <f t="shared" si="16"/>
        <v>6.0684255882441107</v>
      </c>
      <c r="K343" s="38">
        <f t="shared" si="17"/>
        <v>6.2728770065461674</v>
      </c>
      <c r="L343" s="40" t="b">
        <f>IF(B343=B342,C343&gt;C342,COUNTIF(B$1:B342,B343)=0)</f>
        <v>1</v>
      </c>
      <c r="M343" s="1"/>
    </row>
    <row r="344" spans="1:13" x14ac:dyDescent="0.25">
      <c r="A344" s="37" t="s">
        <v>2229</v>
      </c>
      <c r="B344" s="37" t="s">
        <v>524</v>
      </c>
      <c r="C344" s="37">
        <v>900</v>
      </c>
      <c r="D344" s="37">
        <v>0.4</v>
      </c>
      <c r="E344" s="37" t="s">
        <v>1895</v>
      </c>
      <c r="F344" s="37">
        <v>40</v>
      </c>
      <c r="G344" s="37" t="s">
        <v>529</v>
      </c>
      <c r="H344" s="37" t="s">
        <v>2225</v>
      </c>
      <c r="I344" s="42">
        <f t="shared" si="15"/>
        <v>400</v>
      </c>
      <c r="J344" s="38">
        <f t="shared" si="16"/>
        <v>6.8023947633243109</v>
      </c>
      <c r="K344" s="38">
        <f t="shared" si="17"/>
        <v>5.9914645471079817</v>
      </c>
      <c r="L344" s="40" t="b">
        <f>IF(B344=B343,C344&gt;C343,COUNTIF(B$1:B343,B344)=0)</f>
        <v>1</v>
      </c>
      <c r="M344" s="1"/>
    </row>
    <row r="345" spans="1:13" x14ac:dyDescent="0.25">
      <c r="A345" s="37" t="s">
        <v>2230</v>
      </c>
      <c r="B345" s="37" t="s">
        <v>524</v>
      </c>
      <c r="C345" s="37">
        <v>1296</v>
      </c>
      <c r="D345" s="37">
        <v>0.31</v>
      </c>
      <c r="E345" s="37" t="s">
        <v>1895</v>
      </c>
      <c r="F345" s="37">
        <v>40</v>
      </c>
      <c r="G345" s="37" t="s">
        <v>529</v>
      </c>
      <c r="H345" s="37" t="s">
        <v>2225</v>
      </c>
      <c r="I345" s="42">
        <f t="shared" si="15"/>
        <v>310</v>
      </c>
      <c r="J345" s="38">
        <f t="shared" si="16"/>
        <v>7.1670378769122198</v>
      </c>
      <c r="K345" s="38">
        <f t="shared" si="17"/>
        <v>5.7365722974791922</v>
      </c>
      <c r="L345" s="40" t="b">
        <f>IF(B345=B344,C345&gt;C344,COUNTIF(B$1:B344,B345)=0)</f>
        <v>1</v>
      </c>
      <c r="M345" s="1"/>
    </row>
    <row r="346" spans="1:13" x14ac:dyDescent="0.25">
      <c r="A346" s="37" t="s">
        <v>2231</v>
      </c>
      <c r="B346" s="37" t="s">
        <v>524</v>
      </c>
      <c r="C346" s="37">
        <v>2320</v>
      </c>
      <c r="D346" s="37">
        <v>0.2</v>
      </c>
      <c r="E346" s="37" t="s">
        <v>1895</v>
      </c>
      <c r="F346" s="37">
        <v>40</v>
      </c>
      <c r="G346" s="37" t="s">
        <v>529</v>
      </c>
      <c r="H346" s="37" t="s">
        <v>2225</v>
      </c>
      <c r="I346" s="42">
        <f t="shared" si="15"/>
        <v>200</v>
      </c>
      <c r="J346" s="38">
        <f t="shared" si="16"/>
        <v>7.7493224646603558</v>
      </c>
      <c r="K346" s="38">
        <f t="shared" si="17"/>
        <v>5.2983173665480363</v>
      </c>
      <c r="L346" s="40" t="b">
        <f>IF(B346=B345,C346&gt;C345,COUNTIF(B$1:B345,B346)=0)</f>
        <v>1</v>
      </c>
      <c r="M346" s="1"/>
    </row>
    <row r="347" spans="1:13" x14ac:dyDescent="0.25">
      <c r="A347" s="37" t="s">
        <v>2232</v>
      </c>
      <c r="B347" s="37" t="s">
        <v>531</v>
      </c>
      <c r="C347" s="37">
        <v>0.5</v>
      </c>
      <c r="D347" s="37">
        <v>13.2</v>
      </c>
      <c r="E347" s="37" t="s">
        <v>1895</v>
      </c>
      <c r="F347" s="37">
        <v>40</v>
      </c>
      <c r="G347" s="37" t="s">
        <v>536</v>
      </c>
      <c r="H347" s="37" t="s">
        <v>1320</v>
      </c>
      <c r="I347" s="42">
        <f t="shared" si="15"/>
        <v>13200</v>
      </c>
      <c r="J347" s="38">
        <f t="shared" si="16"/>
        <v>-0.69314718055994529</v>
      </c>
      <c r="K347" s="38">
        <f t="shared" si="17"/>
        <v>9.4879721085744624</v>
      </c>
      <c r="L347" s="40" t="b">
        <f>IF(B347=B346,C347&gt;C346,COUNTIF(B$1:B346,B347)=0)</f>
        <v>1</v>
      </c>
      <c r="M347" s="1"/>
    </row>
    <row r="348" spans="1:13" x14ac:dyDescent="0.25">
      <c r="A348" s="37" t="s">
        <v>2233</v>
      </c>
      <c r="B348" s="37" t="s">
        <v>531</v>
      </c>
      <c r="C348" s="37">
        <v>1</v>
      </c>
      <c r="D348" s="37">
        <v>13.2</v>
      </c>
      <c r="E348" s="37" t="s">
        <v>1895</v>
      </c>
      <c r="F348" s="37">
        <v>40</v>
      </c>
      <c r="G348" s="37" t="s">
        <v>536</v>
      </c>
      <c r="H348" s="37" t="s">
        <v>1320</v>
      </c>
      <c r="I348" s="42">
        <f t="shared" si="15"/>
        <v>13200</v>
      </c>
      <c r="J348" s="38">
        <f t="shared" si="16"/>
        <v>0</v>
      </c>
      <c r="K348" s="38">
        <f t="shared" si="17"/>
        <v>9.4879721085744624</v>
      </c>
      <c r="L348" s="40" t="b">
        <f>IF(B348=B347,C348&gt;C347,COUNTIF(B$1:B347,B348)=0)</f>
        <v>1</v>
      </c>
      <c r="M348" s="1"/>
    </row>
    <row r="349" spans="1:13" x14ac:dyDescent="0.25">
      <c r="A349" s="37" t="s">
        <v>2234</v>
      </c>
      <c r="B349" s="37" t="s">
        <v>531</v>
      </c>
      <c r="C349" s="37">
        <v>1.5</v>
      </c>
      <c r="D349" s="37">
        <v>13.2</v>
      </c>
      <c r="E349" s="37" t="s">
        <v>1895</v>
      </c>
      <c r="F349" s="37">
        <v>40</v>
      </c>
      <c r="G349" s="37" t="s">
        <v>536</v>
      </c>
      <c r="H349" s="37" t="s">
        <v>1320</v>
      </c>
      <c r="I349" s="42">
        <f t="shared" si="15"/>
        <v>13200</v>
      </c>
      <c r="J349" s="38">
        <f t="shared" si="16"/>
        <v>0.40546510810816438</v>
      </c>
      <c r="K349" s="38">
        <f t="shared" si="17"/>
        <v>9.4879721085744624</v>
      </c>
      <c r="L349" s="40" t="b">
        <f>IF(B349=B348,C349&gt;C348,COUNTIF(B$1:B348,B349)=0)</f>
        <v>1</v>
      </c>
      <c r="M349" s="1"/>
    </row>
    <row r="350" spans="1:13" x14ac:dyDescent="0.25">
      <c r="A350" s="37" t="s">
        <v>2235</v>
      </c>
      <c r="B350" s="37" t="s">
        <v>531</v>
      </c>
      <c r="C350" s="37">
        <v>2</v>
      </c>
      <c r="D350" s="37">
        <v>13.2</v>
      </c>
      <c r="E350" s="37" t="s">
        <v>1895</v>
      </c>
      <c r="F350" s="37">
        <v>40</v>
      </c>
      <c r="G350" s="37" t="s">
        <v>536</v>
      </c>
      <c r="H350" s="37" t="s">
        <v>1320</v>
      </c>
      <c r="I350" s="42">
        <f t="shared" si="15"/>
        <v>13200</v>
      </c>
      <c r="J350" s="38">
        <f t="shared" si="16"/>
        <v>0.69314718055994529</v>
      </c>
      <c r="K350" s="38">
        <f t="shared" si="17"/>
        <v>9.4879721085744624</v>
      </c>
      <c r="L350" s="40" t="b">
        <f>IF(B350=B349,C350&gt;C349,COUNTIF(B$1:B349,B350)=0)</f>
        <v>1</v>
      </c>
      <c r="M350" s="1"/>
    </row>
    <row r="351" spans="1:13" x14ac:dyDescent="0.25">
      <c r="A351" s="37" t="s">
        <v>2236</v>
      </c>
      <c r="B351" s="37" t="s">
        <v>531</v>
      </c>
      <c r="C351" s="37">
        <v>10</v>
      </c>
      <c r="D351" s="37">
        <v>6.98</v>
      </c>
      <c r="E351" s="37" t="s">
        <v>1895</v>
      </c>
      <c r="F351" s="37">
        <v>40</v>
      </c>
      <c r="G351" s="37" t="s">
        <v>536</v>
      </c>
      <c r="H351" s="37" t="s">
        <v>1320</v>
      </c>
      <c r="I351" s="42">
        <f t="shared" si="15"/>
        <v>6980</v>
      </c>
      <c r="J351" s="38">
        <f t="shared" si="16"/>
        <v>2.3025850929940459</v>
      </c>
      <c r="K351" s="38">
        <f t="shared" si="17"/>
        <v>8.8508041957564174</v>
      </c>
      <c r="L351" s="40" t="b">
        <f>IF(B351=B350,C351&gt;C350,COUNTIF(B$1:B350,B351)=0)</f>
        <v>1</v>
      </c>
      <c r="M351" s="1"/>
    </row>
    <row r="352" spans="1:13" x14ac:dyDescent="0.25">
      <c r="A352" s="37" t="s">
        <v>2237</v>
      </c>
      <c r="B352" s="37" t="s">
        <v>531</v>
      </c>
      <c r="C352" s="37">
        <v>20</v>
      </c>
      <c r="D352" s="37">
        <v>4.91</v>
      </c>
      <c r="E352" s="37" t="s">
        <v>1895</v>
      </c>
      <c r="F352" s="37">
        <v>40</v>
      </c>
      <c r="G352" s="37" t="s">
        <v>536</v>
      </c>
      <c r="H352" s="37" t="s">
        <v>1320</v>
      </c>
      <c r="I352" s="42">
        <f t="shared" si="15"/>
        <v>4910</v>
      </c>
      <c r="J352" s="38">
        <f t="shared" si="16"/>
        <v>2.9957322735539909</v>
      </c>
      <c r="K352" s="38">
        <f t="shared" si="17"/>
        <v>8.4990292207885663</v>
      </c>
      <c r="L352" s="40" t="b">
        <f>IF(B352=B351,C352&gt;C351,COUNTIF(B$1:B351,B352)=0)</f>
        <v>1</v>
      </c>
      <c r="M352" s="1"/>
    </row>
    <row r="353" spans="1:13" x14ac:dyDescent="0.25">
      <c r="A353" s="37" t="s">
        <v>2238</v>
      </c>
      <c r="B353" s="37" t="s">
        <v>531</v>
      </c>
      <c r="C353" s="37">
        <v>30</v>
      </c>
      <c r="D353" s="37">
        <v>4</v>
      </c>
      <c r="E353" s="37" t="s">
        <v>1895</v>
      </c>
      <c r="F353" s="37">
        <v>40</v>
      </c>
      <c r="G353" s="37" t="s">
        <v>536</v>
      </c>
      <c r="H353" s="37" t="s">
        <v>1320</v>
      </c>
      <c r="I353" s="42">
        <f t="shared" si="15"/>
        <v>4000</v>
      </c>
      <c r="J353" s="38">
        <f t="shared" si="16"/>
        <v>3.4011973816621555</v>
      </c>
      <c r="K353" s="38">
        <f t="shared" si="17"/>
        <v>8.2940496401020276</v>
      </c>
      <c r="L353" s="40" t="b">
        <f>IF(B353=B352,C353&gt;C352,COUNTIF(B$1:B352,B353)=0)</f>
        <v>1</v>
      </c>
      <c r="M353" s="1"/>
    </row>
    <row r="354" spans="1:13" x14ac:dyDescent="0.25">
      <c r="A354" s="37" t="s">
        <v>2239</v>
      </c>
      <c r="B354" s="37" t="s">
        <v>531</v>
      </c>
      <c r="C354" s="37">
        <v>50</v>
      </c>
      <c r="D354" s="37">
        <v>3.08</v>
      </c>
      <c r="E354" s="37" t="s">
        <v>1895</v>
      </c>
      <c r="F354" s="37">
        <v>40</v>
      </c>
      <c r="G354" s="37" t="s">
        <v>536</v>
      </c>
      <c r="H354" s="37" t="s">
        <v>1320</v>
      </c>
      <c r="I354" s="42">
        <f t="shared" si="15"/>
        <v>3080</v>
      </c>
      <c r="J354" s="38">
        <f t="shared" si="16"/>
        <v>3.912023005428146</v>
      </c>
      <c r="K354" s="38">
        <f t="shared" si="17"/>
        <v>8.0326848759676199</v>
      </c>
      <c r="L354" s="40" t="b">
        <f>IF(B354=B353,C354&gt;C353,COUNTIF(B$1:B353,B354)=0)</f>
        <v>1</v>
      </c>
      <c r="M354" s="1"/>
    </row>
    <row r="355" spans="1:13" x14ac:dyDescent="0.25">
      <c r="A355" s="37" t="s">
        <v>2240</v>
      </c>
      <c r="B355" s="37" t="s">
        <v>531</v>
      </c>
      <c r="C355" s="37">
        <v>88</v>
      </c>
      <c r="D355" s="37">
        <v>2.2999999999999998</v>
      </c>
      <c r="E355" s="37" t="s">
        <v>1895</v>
      </c>
      <c r="F355" s="37">
        <v>40</v>
      </c>
      <c r="G355" s="37" t="s">
        <v>536</v>
      </c>
      <c r="H355" s="37" t="s">
        <v>1320</v>
      </c>
      <c r="I355" s="42">
        <f t="shared" si="15"/>
        <v>2300</v>
      </c>
      <c r="J355" s="38">
        <f t="shared" si="16"/>
        <v>4.4773368144782069</v>
      </c>
      <c r="K355" s="38">
        <f t="shared" si="17"/>
        <v>7.7406644019172415</v>
      </c>
      <c r="L355" s="40" t="b">
        <f>IF(B355=B354,C355&gt;C354,COUNTIF(B$1:B354,B355)=0)</f>
        <v>1</v>
      </c>
      <c r="M355" s="1"/>
    </row>
    <row r="356" spans="1:13" x14ac:dyDescent="0.25">
      <c r="A356" s="37" t="s">
        <v>2241</v>
      </c>
      <c r="B356" s="37" t="s">
        <v>531</v>
      </c>
      <c r="C356" s="37">
        <v>100</v>
      </c>
      <c r="D356" s="37">
        <v>2.16</v>
      </c>
      <c r="E356" s="37" t="s">
        <v>1895</v>
      </c>
      <c r="F356" s="37">
        <v>40</v>
      </c>
      <c r="G356" s="37" t="s">
        <v>536</v>
      </c>
      <c r="H356" s="37" t="s">
        <v>1320</v>
      </c>
      <c r="I356" s="42">
        <f t="shared" si="15"/>
        <v>2160</v>
      </c>
      <c r="J356" s="38">
        <f t="shared" si="16"/>
        <v>4.6051701859880918</v>
      </c>
      <c r="K356" s="38">
        <f t="shared" si="17"/>
        <v>7.6778635006782103</v>
      </c>
      <c r="L356" s="40" t="b">
        <f>IF(B356=B355,C356&gt;C355,COUNTIF(B$1:B355,B356)=0)</f>
        <v>1</v>
      </c>
      <c r="M356" s="1"/>
    </row>
    <row r="357" spans="1:13" x14ac:dyDescent="0.25">
      <c r="A357" s="37" t="s">
        <v>2242</v>
      </c>
      <c r="B357" s="37" t="s">
        <v>531</v>
      </c>
      <c r="C357" s="37">
        <v>108</v>
      </c>
      <c r="D357" s="37">
        <v>2.0699999999999998</v>
      </c>
      <c r="E357" s="37" t="s">
        <v>1895</v>
      </c>
      <c r="F357" s="37">
        <v>40</v>
      </c>
      <c r="G357" s="37" t="s">
        <v>536</v>
      </c>
      <c r="H357" s="37" t="s">
        <v>1320</v>
      </c>
      <c r="I357" s="42">
        <f t="shared" si="15"/>
        <v>2070</v>
      </c>
      <c r="J357" s="38">
        <f t="shared" si="16"/>
        <v>4.6821312271242199</v>
      </c>
      <c r="K357" s="38">
        <f t="shared" si="17"/>
        <v>7.6353038862594147</v>
      </c>
      <c r="L357" s="40" t="b">
        <f>IF(B357=B356,C357&gt;C356,COUNTIF(B$1:B356,B357)=0)</f>
        <v>1</v>
      </c>
      <c r="M357" s="1"/>
    </row>
    <row r="358" spans="1:13" x14ac:dyDescent="0.25">
      <c r="A358" s="37" t="s">
        <v>2243</v>
      </c>
      <c r="B358" s="37" t="s">
        <v>531</v>
      </c>
      <c r="C358" s="37">
        <v>150</v>
      </c>
      <c r="D358" s="37">
        <v>1.75</v>
      </c>
      <c r="E358" s="37" t="s">
        <v>1895</v>
      </c>
      <c r="F358" s="37">
        <v>40</v>
      </c>
      <c r="G358" s="37" t="s">
        <v>536</v>
      </c>
      <c r="H358" s="37" t="s">
        <v>1320</v>
      </c>
      <c r="I358" s="42">
        <f t="shared" si="15"/>
        <v>1750</v>
      </c>
      <c r="J358" s="38">
        <f t="shared" si="16"/>
        <v>5.0106352940962555</v>
      </c>
      <c r="K358" s="38">
        <f t="shared" si="17"/>
        <v>7.4673710669175595</v>
      </c>
      <c r="L358" s="40" t="b">
        <f>IF(B358=B357,C358&gt;C357,COUNTIF(B$1:B357,B358)=0)</f>
        <v>1</v>
      </c>
      <c r="M358" s="1"/>
    </row>
    <row r="359" spans="1:13" x14ac:dyDescent="0.25">
      <c r="A359" s="37" t="s">
        <v>2244</v>
      </c>
      <c r="B359" s="37" t="s">
        <v>531</v>
      </c>
      <c r="C359" s="37">
        <v>174</v>
      </c>
      <c r="D359" s="37">
        <v>1.62</v>
      </c>
      <c r="E359" s="37" t="s">
        <v>1895</v>
      </c>
      <c r="F359" s="37">
        <v>40</v>
      </c>
      <c r="G359" s="37" t="s">
        <v>536</v>
      </c>
      <c r="H359" s="37" t="s">
        <v>1320</v>
      </c>
      <c r="I359" s="42">
        <f t="shared" si="15"/>
        <v>1620</v>
      </c>
      <c r="J359" s="38">
        <f t="shared" si="16"/>
        <v>5.1590552992145291</v>
      </c>
      <c r="K359" s="38">
        <f t="shared" si="17"/>
        <v>7.3901814282264295</v>
      </c>
      <c r="L359" s="40" t="b">
        <f>IF(B359=B358,C359&gt;C358,COUNTIF(B$1:B358,B359)=0)</f>
        <v>1</v>
      </c>
      <c r="M359" s="1"/>
    </row>
    <row r="360" spans="1:13" x14ac:dyDescent="0.25">
      <c r="A360" s="37" t="s">
        <v>2245</v>
      </c>
      <c r="B360" s="37" t="s">
        <v>531</v>
      </c>
      <c r="C360" s="37">
        <v>200</v>
      </c>
      <c r="D360" s="37">
        <v>1.51</v>
      </c>
      <c r="E360" s="37" t="s">
        <v>1895</v>
      </c>
      <c r="F360" s="37">
        <v>40</v>
      </c>
      <c r="G360" s="37" t="s">
        <v>536</v>
      </c>
      <c r="H360" s="37" t="s">
        <v>1320</v>
      </c>
      <c r="I360" s="42">
        <f t="shared" si="15"/>
        <v>1510</v>
      </c>
      <c r="J360" s="38">
        <f t="shared" si="16"/>
        <v>5.2983173665480363</v>
      </c>
      <c r="K360" s="38">
        <f t="shared" si="17"/>
        <v>7.3198649298089702</v>
      </c>
      <c r="L360" s="40" t="b">
        <f>IF(B360=B359,C360&gt;C359,COUNTIF(B$1:B359,B360)=0)</f>
        <v>1</v>
      </c>
      <c r="M360" s="1"/>
    </row>
    <row r="361" spans="1:13" x14ac:dyDescent="0.25">
      <c r="A361" s="37" t="s">
        <v>2246</v>
      </c>
      <c r="B361" s="37" t="s">
        <v>531</v>
      </c>
      <c r="C361" s="37">
        <v>300</v>
      </c>
      <c r="D361" s="37">
        <v>1.22</v>
      </c>
      <c r="E361" s="37" t="s">
        <v>1895</v>
      </c>
      <c r="F361" s="37">
        <v>40</v>
      </c>
      <c r="G361" s="37" t="s">
        <v>536</v>
      </c>
      <c r="H361" s="37" t="s">
        <v>1320</v>
      </c>
      <c r="I361" s="42">
        <f t="shared" si="15"/>
        <v>1220</v>
      </c>
      <c r="J361" s="38">
        <f t="shared" si="16"/>
        <v>5.7037824746562009</v>
      </c>
      <c r="K361" s="38">
        <f t="shared" si="17"/>
        <v>7.1066061377273027</v>
      </c>
      <c r="L361" s="40" t="b">
        <f>IF(B361=B360,C361&gt;C360,COUNTIF(B$1:B360,B361)=0)</f>
        <v>1</v>
      </c>
      <c r="M361" s="1"/>
    </row>
    <row r="362" spans="1:13" x14ac:dyDescent="0.25">
      <c r="A362" s="37" t="s">
        <v>2247</v>
      </c>
      <c r="B362" s="37" t="s">
        <v>531</v>
      </c>
      <c r="C362" s="37">
        <v>400</v>
      </c>
      <c r="D362" s="37">
        <v>1.05</v>
      </c>
      <c r="E362" s="37" t="s">
        <v>1895</v>
      </c>
      <c r="F362" s="37">
        <v>40</v>
      </c>
      <c r="G362" s="37" t="s">
        <v>536</v>
      </c>
      <c r="H362" s="37" t="s">
        <v>1320</v>
      </c>
      <c r="I362" s="42">
        <f t="shared" si="15"/>
        <v>1050</v>
      </c>
      <c r="J362" s="38">
        <f t="shared" si="16"/>
        <v>5.9914645471079817</v>
      </c>
      <c r="K362" s="38">
        <f t="shared" si="17"/>
        <v>6.956545443151569</v>
      </c>
      <c r="L362" s="40" t="b">
        <f>IF(B362=B361,C362&gt;C361,COUNTIF(B$1:B361,B362)=0)</f>
        <v>1</v>
      </c>
      <c r="M362" s="1"/>
    </row>
    <row r="363" spans="1:13" x14ac:dyDescent="0.25">
      <c r="A363" s="37" t="s">
        <v>2248</v>
      </c>
      <c r="B363" s="37" t="s">
        <v>531</v>
      </c>
      <c r="C363" s="37">
        <v>450</v>
      </c>
      <c r="D363" s="37">
        <v>0.98</v>
      </c>
      <c r="E363" s="37" t="s">
        <v>1895</v>
      </c>
      <c r="F363" s="37">
        <v>40</v>
      </c>
      <c r="G363" s="37" t="s">
        <v>536</v>
      </c>
      <c r="H363" s="37" t="s">
        <v>1320</v>
      </c>
      <c r="I363" s="42">
        <f t="shared" si="15"/>
        <v>980</v>
      </c>
      <c r="J363" s="38">
        <f t="shared" si="16"/>
        <v>6.1092475827643655</v>
      </c>
      <c r="K363" s="38">
        <f t="shared" si="17"/>
        <v>6.8875525716646173</v>
      </c>
      <c r="L363" s="40" t="b">
        <f>IF(B363=B362,C363&gt;C362,COUNTIF(B$1:B362,B363)=0)</f>
        <v>1</v>
      </c>
      <c r="M363" s="1"/>
    </row>
    <row r="364" spans="1:13" x14ac:dyDescent="0.25">
      <c r="A364" s="37" t="s">
        <v>2249</v>
      </c>
      <c r="B364" s="37" t="s">
        <v>531</v>
      </c>
      <c r="C364" s="37">
        <v>500</v>
      </c>
      <c r="D364" s="37">
        <v>0.93</v>
      </c>
      <c r="E364" s="37" t="s">
        <v>1895</v>
      </c>
      <c r="F364" s="37">
        <v>40</v>
      </c>
      <c r="G364" s="37" t="s">
        <v>536</v>
      </c>
      <c r="H364" s="37" t="s">
        <v>1320</v>
      </c>
      <c r="I364" s="42">
        <f t="shared" si="15"/>
        <v>930</v>
      </c>
      <c r="J364" s="38">
        <f t="shared" si="16"/>
        <v>6.2146080984221914</v>
      </c>
      <c r="K364" s="38">
        <f t="shared" si="17"/>
        <v>6.8351845861473013</v>
      </c>
      <c r="L364" s="40" t="b">
        <f>IF(B364=B363,C364&gt;C363,COUNTIF(B$1:B363,B364)=0)</f>
        <v>1</v>
      </c>
      <c r="M364" s="1"/>
    </row>
    <row r="365" spans="1:13" x14ac:dyDescent="0.25">
      <c r="A365" s="37" t="s">
        <v>2250</v>
      </c>
      <c r="B365" s="37" t="s">
        <v>531</v>
      </c>
      <c r="C365" s="37">
        <v>512</v>
      </c>
      <c r="D365" s="37">
        <v>0.92</v>
      </c>
      <c r="E365" s="37" t="s">
        <v>1895</v>
      </c>
      <c r="F365" s="37">
        <v>40</v>
      </c>
      <c r="G365" s="37" t="s">
        <v>536</v>
      </c>
      <c r="H365" s="37" t="s">
        <v>1320</v>
      </c>
      <c r="I365" s="42">
        <f t="shared" si="15"/>
        <v>920</v>
      </c>
      <c r="J365" s="38">
        <f t="shared" si="16"/>
        <v>6.2383246250395077</v>
      </c>
      <c r="K365" s="38">
        <f t="shared" si="17"/>
        <v>6.8243736700430864</v>
      </c>
      <c r="L365" s="40" t="b">
        <f>IF(B365=B364,C365&gt;C364,COUNTIF(B$1:B364,B365)=0)</f>
        <v>1</v>
      </c>
      <c r="M365" s="1"/>
    </row>
    <row r="366" spans="1:13" x14ac:dyDescent="0.25">
      <c r="A366" s="37" t="s">
        <v>2251</v>
      </c>
      <c r="B366" s="37" t="s">
        <v>531</v>
      </c>
      <c r="C366" s="37">
        <v>600</v>
      </c>
      <c r="D366" s="37">
        <v>0.84</v>
      </c>
      <c r="E366" s="37" t="s">
        <v>1895</v>
      </c>
      <c r="F366" s="37">
        <v>40</v>
      </c>
      <c r="G366" s="37" t="s">
        <v>536</v>
      </c>
      <c r="H366" s="37" t="s">
        <v>1320</v>
      </c>
      <c r="I366" s="42">
        <f t="shared" si="15"/>
        <v>840</v>
      </c>
      <c r="J366" s="38">
        <f t="shared" si="16"/>
        <v>6.3969296552161463</v>
      </c>
      <c r="K366" s="38">
        <f t="shared" si="17"/>
        <v>6.7334018918373593</v>
      </c>
      <c r="L366" s="40" t="b">
        <f>IF(B366=B365,C366&gt;C365,COUNTIF(B$1:B365,B366)=0)</f>
        <v>1</v>
      </c>
      <c r="M366" s="1"/>
    </row>
    <row r="367" spans="1:13" x14ac:dyDescent="0.25">
      <c r="A367" s="37" t="s">
        <v>2252</v>
      </c>
      <c r="B367" s="37" t="s">
        <v>531</v>
      </c>
      <c r="C367" s="37">
        <v>700</v>
      </c>
      <c r="D367" s="37">
        <v>0.77</v>
      </c>
      <c r="E367" s="37" t="s">
        <v>1895</v>
      </c>
      <c r="F367" s="37">
        <v>40</v>
      </c>
      <c r="G367" s="37" t="s">
        <v>536</v>
      </c>
      <c r="H367" s="37" t="s">
        <v>1320</v>
      </c>
      <c r="I367" s="42">
        <f t="shared" si="15"/>
        <v>770</v>
      </c>
      <c r="J367" s="38">
        <f t="shared" si="16"/>
        <v>6.5510803350434044</v>
      </c>
      <c r="K367" s="38">
        <f t="shared" si="17"/>
        <v>6.6463905148477291</v>
      </c>
      <c r="L367" s="40" t="b">
        <f>IF(B367=B366,C367&gt;C366,COUNTIF(B$1:B366,B367)=0)</f>
        <v>1</v>
      </c>
      <c r="M367" s="1"/>
    </row>
    <row r="368" spans="1:13" x14ac:dyDescent="0.25">
      <c r="A368" s="37" t="s">
        <v>2253</v>
      </c>
      <c r="B368" s="37" t="s">
        <v>531</v>
      </c>
      <c r="C368" s="37">
        <v>800</v>
      </c>
      <c r="D368" s="37">
        <v>0.72</v>
      </c>
      <c r="E368" s="37" t="s">
        <v>1895</v>
      </c>
      <c r="F368" s="37">
        <v>40</v>
      </c>
      <c r="G368" s="37" t="s">
        <v>536</v>
      </c>
      <c r="H368" s="37" t="s">
        <v>1320</v>
      </c>
      <c r="I368" s="42">
        <f t="shared" si="15"/>
        <v>720</v>
      </c>
      <c r="J368" s="38">
        <f t="shared" si="16"/>
        <v>6.6846117276679271</v>
      </c>
      <c r="K368" s="38">
        <f t="shared" si="17"/>
        <v>6.5792512120101012</v>
      </c>
      <c r="L368" s="40" t="b">
        <f>IF(B368=B367,C368&gt;C367,COUNTIF(B$1:B367,B368)=0)</f>
        <v>1</v>
      </c>
      <c r="M368" s="1"/>
    </row>
    <row r="369" spans="1:13" x14ac:dyDescent="0.25">
      <c r="A369" s="37" t="s">
        <v>2254</v>
      </c>
      <c r="B369" s="37" t="s">
        <v>531</v>
      </c>
      <c r="C369" s="37">
        <v>824</v>
      </c>
      <c r="D369" s="37">
        <v>0.71</v>
      </c>
      <c r="E369" s="37" t="s">
        <v>1895</v>
      </c>
      <c r="F369" s="37">
        <v>40</v>
      </c>
      <c r="G369" s="37" t="s">
        <v>536</v>
      </c>
      <c r="H369" s="37" t="s">
        <v>1320</v>
      </c>
      <c r="I369" s="42">
        <f t="shared" si="15"/>
        <v>710</v>
      </c>
      <c r="J369" s="38">
        <f t="shared" si="16"/>
        <v>6.7141705299094721</v>
      </c>
      <c r="K369" s="38">
        <f t="shared" si="17"/>
        <v>6.5652649700353614</v>
      </c>
      <c r="L369" s="40" t="b">
        <f>IF(B369=B368,C369&gt;C368,COUNTIF(B$1:B368,B369)=0)</f>
        <v>1</v>
      </c>
      <c r="M369" s="1"/>
    </row>
    <row r="370" spans="1:13" x14ac:dyDescent="0.25">
      <c r="A370" s="37" t="s">
        <v>2255</v>
      </c>
      <c r="B370" s="37" t="s">
        <v>531</v>
      </c>
      <c r="C370" s="37">
        <v>860</v>
      </c>
      <c r="D370" s="37">
        <v>0.69</v>
      </c>
      <c r="E370" s="37" t="s">
        <v>1895</v>
      </c>
      <c r="F370" s="37">
        <v>40</v>
      </c>
      <c r="G370" s="37" t="s">
        <v>536</v>
      </c>
      <c r="H370" s="37" t="s">
        <v>1320</v>
      </c>
      <c r="I370" s="42">
        <f t="shared" si="15"/>
        <v>690</v>
      </c>
      <c r="J370" s="38">
        <f t="shared" si="16"/>
        <v>6.7569323892475532</v>
      </c>
      <c r="K370" s="38">
        <f t="shared" si="17"/>
        <v>6.5366915975913047</v>
      </c>
      <c r="L370" s="40" t="b">
        <f>IF(B370=B369,C370&gt;C369,COUNTIF(B$1:B369,B370)=0)</f>
        <v>1</v>
      </c>
      <c r="M370" s="1"/>
    </row>
    <row r="371" spans="1:13" x14ac:dyDescent="0.25">
      <c r="A371" s="37" t="s">
        <v>2256</v>
      </c>
      <c r="B371" s="37" t="s">
        <v>531</v>
      </c>
      <c r="C371" s="37">
        <v>894</v>
      </c>
      <c r="D371" s="37">
        <v>0.68</v>
      </c>
      <c r="E371" s="37" t="s">
        <v>1895</v>
      </c>
      <c r="F371" s="37">
        <v>40</v>
      </c>
      <c r="G371" s="37" t="s">
        <v>536</v>
      </c>
      <c r="H371" s="37" t="s">
        <v>1320</v>
      </c>
      <c r="I371" s="42">
        <f t="shared" si="15"/>
        <v>680</v>
      </c>
      <c r="J371" s="38">
        <f t="shared" si="16"/>
        <v>6.7957057751735137</v>
      </c>
      <c r="K371" s="38">
        <f t="shared" si="17"/>
        <v>6.522092798170152</v>
      </c>
      <c r="L371" s="40" t="b">
        <f>IF(B371=B370,C371&gt;C370,COUNTIF(B$1:B370,B371)=0)</f>
        <v>1</v>
      </c>
      <c r="M371" s="1"/>
    </row>
    <row r="372" spans="1:13" x14ac:dyDescent="0.25">
      <c r="A372" s="37" t="s">
        <v>2257</v>
      </c>
      <c r="B372" s="37" t="s">
        <v>531</v>
      </c>
      <c r="C372" s="37">
        <v>960</v>
      </c>
      <c r="D372" s="37">
        <v>0.65</v>
      </c>
      <c r="E372" s="37" t="s">
        <v>1895</v>
      </c>
      <c r="F372" s="37">
        <v>40</v>
      </c>
      <c r="G372" s="37" t="s">
        <v>536</v>
      </c>
      <c r="H372" s="37" t="s">
        <v>1320</v>
      </c>
      <c r="I372" s="42">
        <f t="shared" si="15"/>
        <v>650</v>
      </c>
      <c r="J372" s="38">
        <f t="shared" si="16"/>
        <v>6.866933284461882</v>
      </c>
      <c r="K372" s="38">
        <f t="shared" si="17"/>
        <v>6.4769723628896827</v>
      </c>
      <c r="L372" s="40" t="b">
        <f>IF(B372=B371,C372&gt;C371,COUNTIF(B$1:B371,B372)=0)</f>
        <v>1</v>
      </c>
      <c r="M372" s="1"/>
    </row>
    <row r="373" spans="1:13" x14ac:dyDescent="0.25">
      <c r="A373" s="37" t="s">
        <v>2258</v>
      </c>
      <c r="B373" s="37" t="s">
        <v>531</v>
      </c>
      <c r="C373" s="37">
        <v>1000</v>
      </c>
      <c r="D373" s="37">
        <v>0.64</v>
      </c>
      <c r="E373" s="37" t="s">
        <v>1895</v>
      </c>
      <c r="F373" s="37">
        <v>40</v>
      </c>
      <c r="G373" s="37" t="s">
        <v>536</v>
      </c>
      <c r="H373" s="37" t="s">
        <v>1320</v>
      </c>
      <c r="I373" s="42">
        <f t="shared" si="15"/>
        <v>640</v>
      </c>
      <c r="J373" s="38">
        <f t="shared" si="16"/>
        <v>6.9077552789821368</v>
      </c>
      <c r="K373" s="38">
        <f t="shared" si="17"/>
        <v>6.4614681763537174</v>
      </c>
      <c r="L373" s="40" t="b">
        <f>IF(B373=B372,C373&gt;C372,COUNTIF(B$1:B372,B373)=0)</f>
        <v>1</v>
      </c>
      <c r="M373" s="1"/>
    </row>
    <row r="374" spans="1:13" x14ac:dyDescent="0.25">
      <c r="A374" s="37" t="s">
        <v>2259</v>
      </c>
      <c r="B374" s="37" t="s">
        <v>531</v>
      </c>
      <c r="C374" s="37">
        <v>1250</v>
      </c>
      <c r="D374" s="37">
        <v>0.56000000000000005</v>
      </c>
      <c r="E374" s="37" t="s">
        <v>1895</v>
      </c>
      <c r="F374" s="37">
        <v>40</v>
      </c>
      <c r="G374" s="37" t="s">
        <v>536</v>
      </c>
      <c r="H374" s="37" t="s">
        <v>1320</v>
      </c>
      <c r="I374" s="42">
        <f t="shared" si="15"/>
        <v>560</v>
      </c>
      <c r="J374" s="38">
        <f t="shared" si="16"/>
        <v>7.1308988302963465</v>
      </c>
      <c r="K374" s="38">
        <f t="shared" si="17"/>
        <v>6.3279367837291947</v>
      </c>
      <c r="L374" s="40" t="b">
        <f>IF(B374=B373,C374&gt;C373,COUNTIF(B$1:B373,B374)=0)</f>
        <v>1</v>
      </c>
      <c r="M374" s="1"/>
    </row>
    <row r="375" spans="1:13" x14ac:dyDescent="0.25">
      <c r="A375" s="37" t="s">
        <v>2260</v>
      </c>
      <c r="B375" s="37" t="s">
        <v>531</v>
      </c>
      <c r="C375" s="37">
        <v>1500</v>
      </c>
      <c r="D375" s="37">
        <v>0.51</v>
      </c>
      <c r="E375" s="37" t="s">
        <v>1895</v>
      </c>
      <c r="F375" s="37">
        <v>40</v>
      </c>
      <c r="G375" s="37" t="s">
        <v>536</v>
      </c>
      <c r="H375" s="37" t="s">
        <v>1320</v>
      </c>
      <c r="I375" s="42">
        <f t="shared" si="15"/>
        <v>510</v>
      </c>
      <c r="J375" s="38">
        <f t="shared" si="16"/>
        <v>7.3132203870903014</v>
      </c>
      <c r="K375" s="38">
        <f t="shared" si="17"/>
        <v>6.2344107257183712</v>
      </c>
      <c r="L375" s="40" t="b">
        <f>IF(B375=B374,C375&gt;C374,COUNTIF(B$1:B374,B375)=0)</f>
        <v>1</v>
      </c>
      <c r="M375" s="1"/>
    </row>
    <row r="376" spans="1:13" x14ac:dyDescent="0.25">
      <c r="A376" s="37" t="s">
        <v>2261</v>
      </c>
      <c r="B376" s="37" t="s">
        <v>531</v>
      </c>
      <c r="C376" s="37">
        <v>1640</v>
      </c>
      <c r="D376" s="37">
        <v>0.49</v>
      </c>
      <c r="E376" s="37" t="s">
        <v>1895</v>
      </c>
      <c r="F376" s="37">
        <v>40</v>
      </c>
      <c r="G376" s="37" t="s">
        <v>536</v>
      </c>
      <c r="H376" s="37" t="s">
        <v>1320</v>
      </c>
      <c r="I376" s="42">
        <f t="shared" si="15"/>
        <v>490</v>
      </c>
      <c r="J376" s="38">
        <f t="shared" si="16"/>
        <v>7.4024515208182438</v>
      </c>
      <c r="K376" s="38">
        <f t="shared" si="17"/>
        <v>6.1944053911046719</v>
      </c>
      <c r="L376" s="40" t="b">
        <f>IF(B376=B375,C376&gt;C375,COUNTIF(B$1:B375,B376)=0)</f>
        <v>1</v>
      </c>
      <c r="M376" s="1"/>
    </row>
    <row r="377" spans="1:13" x14ac:dyDescent="0.25">
      <c r="A377" s="37" t="s">
        <v>2262</v>
      </c>
      <c r="B377" s="37" t="s">
        <v>531</v>
      </c>
      <c r="C377" s="37">
        <v>1700</v>
      </c>
      <c r="D377" s="37">
        <v>0.48</v>
      </c>
      <c r="E377" s="37" t="s">
        <v>1895</v>
      </c>
      <c r="F377" s="37">
        <v>40</v>
      </c>
      <c r="G377" s="37" t="s">
        <v>536</v>
      </c>
      <c r="H377" s="37" t="s">
        <v>1320</v>
      </c>
      <c r="I377" s="42">
        <f t="shared" si="15"/>
        <v>480</v>
      </c>
      <c r="J377" s="38">
        <f t="shared" si="16"/>
        <v>7.4383835300443071</v>
      </c>
      <c r="K377" s="38">
        <f t="shared" si="17"/>
        <v>6.1737861039019366</v>
      </c>
      <c r="L377" s="40" t="b">
        <f>IF(B377=B376,C377&gt;C376,COUNTIF(B$1:B376,B377)=0)</f>
        <v>1</v>
      </c>
      <c r="M377" s="1"/>
    </row>
    <row r="378" spans="1:13" x14ac:dyDescent="0.25">
      <c r="A378" s="37" t="s">
        <v>2263</v>
      </c>
      <c r="B378" s="37" t="s">
        <v>531</v>
      </c>
      <c r="C378" s="37">
        <v>1800</v>
      </c>
      <c r="D378" s="37">
        <v>0.46</v>
      </c>
      <c r="E378" s="37" t="s">
        <v>1895</v>
      </c>
      <c r="F378" s="37">
        <v>40</v>
      </c>
      <c r="G378" s="37" t="s">
        <v>536</v>
      </c>
      <c r="H378" s="37" t="s">
        <v>1320</v>
      </c>
      <c r="I378" s="42">
        <f t="shared" si="15"/>
        <v>460</v>
      </c>
      <c r="J378" s="38">
        <f t="shared" si="16"/>
        <v>7.4955419438842563</v>
      </c>
      <c r="K378" s="38">
        <f t="shared" si="17"/>
        <v>6.131226489483141</v>
      </c>
      <c r="L378" s="40" t="b">
        <f>IF(B378=B377,C378&gt;C377,COUNTIF(B$1:B377,B378)=0)</f>
        <v>1</v>
      </c>
      <c r="M378" s="1"/>
    </row>
    <row r="379" spans="1:13" x14ac:dyDescent="0.25">
      <c r="A379" s="37" t="s">
        <v>2264</v>
      </c>
      <c r="B379" s="37" t="s">
        <v>531</v>
      </c>
      <c r="C379" s="37">
        <v>2000</v>
      </c>
      <c r="D379" s="37">
        <v>0.43</v>
      </c>
      <c r="E379" s="37" t="s">
        <v>1895</v>
      </c>
      <c r="F379" s="37">
        <v>40</v>
      </c>
      <c r="G379" s="37" t="s">
        <v>536</v>
      </c>
      <c r="H379" s="37" t="s">
        <v>1320</v>
      </c>
      <c r="I379" s="42">
        <f t="shared" si="15"/>
        <v>430</v>
      </c>
      <c r="J379" s="38">
        <f t="shared" si="16"/>
        <v>7.6009024595420822</v>
      </c>
      <c r="K379" s="38">
        <f t="shared" si="17"/>
        <v>6.0637852086876078</v>
      </c>
      <c r="L379" s="40" t="b">
        <f>IF(B379=B378,C379&gt;C378,COUNTIF(B$1:B378,B379)=0)</f>
        <v>1</v>
      </c>
      <c r="M379" s="1"/>
    </row>
    <row r="380" spans="1:13" x14ac:dyDescent="0.25">
      <c r="A380" s="37" t="s">
        <v>2265</v>
      </c>
      <c r="B380" s="37" t="s">
        <v>531</v>
      </c>
      <c r="C380" s="37">
        <v>2100</v>
      </c>
      <c r="D380" s="37">
        <v>0.42</v>
      </c>
      <c r="E380" s="37" t="s">
        <v>1895</v>
      </c>
      <c r="F380" s="37">
        <v>40</v>
      </c>
      <c r="G380" s="37" t="s">
        <v>536</v>
      </c>
      <c r="H380" s="37" t="s">
        <v>1320</v>
      </c>
      <c r="I380" s="42">
        <f t="shared" si="15"/>
        <v>420</v>
      </c>
      <c r="J380" s="38">
        <f t="shared" si="16"/>
        <v>7.6496926237115144</v>
      </c>
      <c r="K380" s="38">
        <f t="shared" si="17"/>
        <v>6.0402547112774139</v>
      </c>
      <c r="L380" s="40" t="b">
        <f>IF(B380=B379,C380&gt;C379,COUNTIF(B$1:B379,B380)=0)</f>
        <v>1</v>
      </c>
      <c r="M380" s="1"/>
    </row>
    <row r="381" spans="1:13" x14ac:dyDescent="0.25">
      <c r="A381" s="37" t="s">
        <v>2266</v>
      </c>
      <c r="B381" s="37" t="s">
        <v>531</v>
      </c>
      <c r="C381" s="37">
        <v>2200</v>
      </c>
      <c r="D381" s="37">
        <v>0.41</v>
      </c>
      <c r="E381" s="37" t="s">
        <v>1895</v>
      </c>
      <c r="F381" s="37">
        <v>40</v>
      </c>
      <c r="G381" s="37" t="s">
        <v>536</v>
      </c>
      <c r="H381" s="37" t="s">
        <v>1320</v>
      </c>
      <c r="I381" s="42">
        <f t="shared" si="15"/>
        <v>410</v>
      </c>
      <c r="J381" s="38">
        <f t="shared" si="16"/>
        <v>7.696212639346407</v>
      </c>
      <c r="K381" s="38">
        <f t="shared" si="17"/>
        <v>6.0161571596983539</v>
      </c>
      <c r="L381" s="40" t="b">
        <f>IF(B381=B380,C381&gt;C380,COUNTIF(B$1:B380,B381)=0)</f>
        <v>1</v>
      </c>
      <c r="M381" s="1"/>
    </row>
    <row r="382" spans="1:13" x14ac:dyDescent="0.25">
      <c r="A382" s="37" t="s">
        <v>2267</v>
      </c>
      <c r="B382" s="37" t="s">
        <v>531</v>
      </c>
      <c r="C382" s="37">
        <v>2300</v>
      </c>
      <c r="D382" s="37">
        <v>0.4</v>
      </c>
      <c r="E382" s="37" t="s">
        <v>1895</v>
      </c>
      <c r="F382" s="37">
        <v>40</v>
      </c>
      <c r="G382" s="37" t="s">
        <v>536</v>
      </c>
      <c r="H382" s="37" t="s">
        <v>1320</v>
      </c>
      <c r="I382" s="42">
        <f t="shared" si="15"/>
        <v>400</v>
      </c>
      <c r="J382" s="38">
        <f t="shared" si="16"/>
        <v>7.7406644019172415</v>
      </c>
      <c r="K382" s="38">
        <f t="shared" si="17"/>
        <v>5.9914645471079817</v>
      </c>
      <c r="L382" s="40" t="b">
        <f>IF(B382=B381,C382&gt;C381,COUNTIF(B$1:B381,B382)=0)</f>
        <v>1</v>
      </c>
      <c r="M382" s="1"/>
    </row>
    <row r="383" spans="1:13" x14ac:dyDescent="0.25">
      <c r="A383" s="37" t="s">
        <v>2268</v>
      </c>
      <c r="B383" s="37" t="s">
        <v>531</v>
      </c>
      <c r="C383" s="37">
        <v>2500</v>
      </c>
      <c r="D383" s="37">
        <v>0.38</v>
      </c>
      <c r="E383" s="37" t="s">
        <v>1895</v>
      </c>
      <c r="F383" s="37">
        <v>40</v>
      </c>
      <c r="G383" s="37" t="s">
        <v>536</v>
      </c>
      <c r="H383" s="37" t="s">
        <v>1320</v>
      </c>
      <c r="I383" s="42">
        <f t="shared" si="15"/>
        <v>380</v>
      </c>
      <c r="J383" s="38">
        <f t="shared" si="16"/>
        <v>7.8240460108562919</v>
      </c>
      <c r="K383" s="38">
        <f t="shared" si="17"/>
        <v>5.9401712527204316</v>
      </c>
      <c r="L383" s="40" t="b">
        <f>IF(B383=B382,C383&gt;C382,COUNTIF(B$1:B382,B383)=0)</f>
        <v>1</v>
      </c>
      <c r="M383" s="1"/>
    </row>
    <row r="384" spans="1:13" x14ac:dyDescent="0.25">
      <c r="A384" s="37" t="s">
        <v>2269</v>
      </c>
      <c r="B384" s="37" t="s">
        <v>531</v>
      </c>
      <c r="C384" s="37">
        <v>2700</v>
      </c>
      <c r="D384" s="37">
        <v>0.37</v>
      </c>
      <c r="E384" s="37" t="s">
        <v>1895</v>
      </c>
      <c r="F384" s="37">
        <v>40</v>
      </c>
      <c r="G384" s="37" t="s">
        <v>536</v>
      </c>
      <c r="H384" s="37" t="s">
        <v>1320</v>
      </c>
      <c r="I384" s="42">
        <f t="shared" si="15"/>
        <v>370</v>
      </c>
      <c r="J384" s="38">
        <f t="shared" si="16"/>
        <v>7.90100705199242</v>
      </c>
      <c r="K384" s="38">
        <f t="shared" si="17"/>
        <v>5.9135030056382698</v>
      </c>
      <c r="L384" s="40" t="b">
        <f>IF(B384=B383,C384&gt;C383,COUNTIF(B$1:B383,B384)=0)</f>
        <v>1</v>
      </c>
      <c r="M384" s="1"/>
    </row>
    <row r="385" spans="1:13" x14ac:dyDescent="0.25">
      <c r="A385" s="37" t="s">
        <v>2270</v>
      </c>
      <c r="B385" s="37" t="s">
        <v>531</v>
      </c>
      <c r="C385" s="37">
        <v>3000</v>
      </c>
      <c r="D385" s="37">
        <v>0.34</v>
      </c>
      <c r="E385" s="37" t="s">
        <v>1895</v>
      </c>
      <c r="F385" s="37">
        <v>40</v>
      </c>
      <c r="G385" s="37" t="s">
        <v>536</v>
      </c>
      <c r="H385" s="37" t="s">
        <v>1320</v>
      </c>
      <c r="I385" s="42">
        <f t="shared" si="15"/>
        <v>340</v>
      </c>
      <c r="J385" s="38">
        <f t="shared" si="16"/>
        <v>8.0063675676502459</v>
      </c>
      <c r="K385" s="38">
        <f t="shared" si="17"/>
        <v>5.8289456176102075</v>
      </c>
      <c r="L385" s="40" t="b">
        <f>IF(B385=B384,C385&gt;C384,COUNTIF(B$1:B384,B385)=0)</f>
        <v>1</v>
      </c>
      <c r="M385" s="1"/>
    </row>
    <row r="386" spans="1:13" x14ac:dyDescent="0.25">
      <c r="A386" s="37" t="s">
        <v>2271</v>
      </c>
      <c r="B386" s="37" t="s">
        <v>531</v>
      </c>
      <c r="C386" s="37">
        <v>3300</v>
      </c>
      <c r="D386" s="37">
        <v>0.33</v>
      </c>
      <c r="E386" s="37" t="s">
        <v>1895</v>
      </c>
      <c r="F386" s="37">
        <v>40</v>
      </c>
      <c r="G386" s="37" t="s">
        <v>536</v>
      </c>
      <c r="H386" s="37" t="s">
        <v>1320</v>
      </c>
      <c r="I386" s="42">
        <f t="shared" ref="I386:I449" si="18">IF(E386="kW",D386*1000,D386)</f>
        <v>330</v>
      </c>
      <c r="J386" s="38">
        <f t="shared" ref="J386:J449" si="19">LN(C386)</f>
        <v>8.1016777474545716</v>
      </c>
      <c r="K386" s="38">
        <f t="shared" ref="K386:K449" si="20">LN(I386)</f>
        <v>5.7990926544605257</v>
      </c>
      <c r="L386" s="40" t="b">
        <f>IF(B386=B385,C386&gt;C385,COUNTIF(B$1:B385,B386)=0)</f>
        <v>1</v>
      </c>
      <c r="M386" s="1"/>
    </row>
    <row r="387" spans="1:13" x14ac:dyDescent="0.25">
      <c r="A387" s="37" t="s">
        <v>2272</v>
      </c>
      <c r="B387" s="37" t="s">
        <v>531</v>
      </c>
      <c r="C387" s="37">
        <v>3400</v>
      </c>
      <c r="D387" s="37">
        <v>0.32</v>
      </c>
      <c r="E387" s="37" t="s">
        <v>1895</v>
      </c>
      <c r="F387" s="37">
        <v>40</v>
      </c>
      <c r="G387" s="37" t="s">
        <v>536</v>
      </c>
      <c r="H387" s="37" t="s">
        <v>1320</v>
      </c>
      <c r="I387" s="42">
        <f t="shared" si="18"/>
        <v>320</v>
      </c>
      <c r="J387" s="38">
        <f t="shared" si="19"/>
        <v>8.1315307106042525</v>
      </c>
      <c r="K387" s="38">
        <f t="shared" si="20"/>
        <v>5.768320995793772</v>
      </c>
      <c r="L387" s="40" t="b">
        <f>IF(B387=B386,C387&gt;C386,COUNTIF(B$1:B386,B387)=0)</f>
        <v>1</v>
      </c>
      <c r="M387" s="1"/>
    </row>
    <row r="388" spans="1:13" x14ac:dyDescent="0.25">
      <c r="A388" s="37" t="s">
        <v>2273</v>
      </c>
      <c r="B388" s="37" t="s">
        <v>531</v>
      </c>
      <c r="C388" s="37">
        <v>4000</v>
      </c>
      <c r="D388" s="37">
        <v>0.28999999999999998</v>
      </c>
      <c r="E388" s="37" t="s">
        <v>1895</v>
      </c>
      <c r="F388" s="37">
        <v>40</v>
      </c>
      <c r="G388" s="37" t="s">
        <v>536</v>
      </c>
      <c r="H388" s="37" t="s">
        <v>1320</v>
      </c>
      <c r="I388" s="42">
        <f t="shared" si="18"/>
        <v>290</v>
      </c>
      <c r="J388" s="38">
        <f t="shared" si="19"/>
        <v>8.2940496401020276</v>
      </c>
      <c r="K388" s="38">
        <f t="shared" si="20"/>
        <v>5.6698809229805196</v>
      </c>
      <c r="L388" s="40" t="b">
        <f>IF(B388=B387,C388&gt;C387,COUNTIF(B$1:B387,B388)=0)</f>
        <v>1</v>
      </c>
      <c r="M388" s="1"/>
    </row>
    <row r="389" spans="1:13" x14ac:dyDescent="0.25">
      <c r="A389" s="37" t="s">
        <v>2274</v>
      </c>
      <c r="B389" s="37" t="s">
        <v>531</v>
      </c>
      <c r="C389" s="37">
        <v>4900</v>
      </c>
      <c r="D389" s="37">
        <v>0.26</v>
      </c>
      <c r="E389" s="37" t="s">
        <v>1895</v>
      </c>
      <c r="F389" s="37">
        <v>40</v>
      </c>
      <c r="G389" s="37" t="s">
        <v>536</v>
      </c>
      <c r="H389" s="37" t="s">
        <v>1320</v>
      </c>
      <c r="I389" s="42">
        <f t="shared" si="18"/>
        <v>260</v>
      </c>
      <c r="J389" s="38">
        <f t="shared" si="19"/>
        <v>8.4969904840987187</v>
      </c>
      <c r="K389" s="38">
        <f t="shared" si="20"/>
        <v>5.5606816310155276</v>
      </c>
      <c r="L389" s="40" t="b">
        <f>IF(B389=B388,C389&gt;C388,COUNTIF(B$1:B388,B389)=0)</f>
        <v>1</v>
      </c>
      <c r="M389" s="1"/>
    </row>
    <row r="390" spans="1:13" x14ac:dyDescent="0.25">
      <c r="A390" s="37" t="s">
        <v>2275</v>
      </c>
      <c r="B390" s="37" t="s">
        <v>531</v>
      </c>
      <c r="C390" s="37">
        <v>5000</v>
      </c>
      <c r="D390" s="37">
        <v>0.26</v>
      </c>
      <c r="E390" s="37" t="s">
        <v>1895</v>
      </c>
      <c r="F390" s="37">
        <v>40</v>
      </c>
      <c r="G390" s="37" t="s">
        <v>536</v>
      </c>
      <c r="H390" s="37" t="s">
        <v>1320</v>
      </c>
      <c r="I390" s="42">
        <f t="shared" si="18"/>
        <v>260</v>
      </c>
      <c r="J390" s="38">
        <f t="shared" si="19"/>
        <v>8.5171931914162382</v>
      </c>
      <c r="K390" s="38">
        <f t="shared" si="20"/>
        <v>5.5606816310155276</v>
      </c>
      <c r="L390" s="40" t="b">
        <f>IF(B390=B389,C390&gt;C389,COUNTIF(B$1:B389,B390)=0)</f>
        <v>1</v>
      </c>
      <c r="M390" s="1"/>
    </row>
    <row r="391" spans="1:13" x14ac:dyDescent="0.25">
      <c r="A391" s="37" t="s">
        <v>2276</v>
      </c>
      <c r="B391" s="37" t="s">
        <v>531</v>
      </c>
      <c r="C391" s="37">
        <v>5200</v>
      </c>
      <c r="D391" s="37">
        <v>0.25</v>
      </c>
      <c r="E391" s="37" t="s">
        <v>1895</v>
      </c>
      <c r="F391" s="37">
        <v>40</v>
      </c>
      <c r="G391" s="37" t="s">
        <v>536</v>
      </c>
      <c r="H391" s="37" t="s">
        <v>1320</v>
      </c>
      <c r="I391" s="42">
        <f t="shared" si="18"/>
        <v>250</v>
      </c>
      <c r="J391" s="38">
        <f t="shared" si="19"/>
        <v>8.5564139045695189</v>
      </c>
      <c r="K391" s="38">
        <f t="shared" si="20"/>
        <v>5.521460917862246</v>
      </c>
      <c r="L391" s="40" t="b">
        <f>IF(B391=B390,C391&gt;C390,COUNTIF(B$1:B390,B391)=0)</f>
        <v>1</v>
      </c>
      <c r="M391" s="1"/>
    </row>
    <row r="392" spans="1:13" x14ac:dyDescent="0.25">
      <c r="A392" s="37" t="s">
        <v>2277</v>
      </c>
      <c r="B392" s="37" t="s">
        <v>531</v>
      </c>
      <c r="C392" s="37">
        <v>5300</v>
      </c>
      <c r="D392" s="37">
        <v>0.25</v>
      </c>
      <c r="E392" s="37" t="s">
        <v>1895</v>
      </c>
      <c r="F392" s="37">
        <v>40</v>
      </c>
      <c r="G392" s="37" t="s">
        <v>536</v>
      </c>
      <c r="H392" s="37" t="s">
        <v>1320</v>
      </c>
      <c r="I392" s="42">
        <f t="shared" si="18"/>
        <v>250</v>
      </c>
      <c r="J392" s="38">
        <f t="shared" si="19"/>
        <v>8.5754620995402124</v>
      </c>
      <c r="K392" s="38">
        <f t="shared" si="20"/>
        <v>5.521460917862246</v>
      </c>
      <c r="L392" s="40" t="b">
        <f>IF(B392=B391,C392&gt;C391,COUNTIF(B$1:B391,B392)=0)</f>
        <v>1</v>
      </c>
      <c r="M392" s="1"/>
    </row>
    <row r="393" spans="1:13" x14ac:dyDescent="0.25">
      <c r="A393" s="37" t="s">
        <v>2278</v>
      </c>
      <c r="B393" s="37" t="s">
        <v>531</v>
      </c>
      <c r="C393" s="37">
        <v>5600</v>
      </c>
      <c r="D393" s="37">
        <v>0.24</v>
      </c>
      <c r="E393" s="37" t="s">
        <v>1895</v>
      </c>
      <c r="F393" s="37">
        <v>40</v>
      </c>
      <c r="G393" s="37" t="s">
        <v>536</v>
      </c>
      <c r="H393" s="37" t="s">
        <v>1320</v>
      </c>
      <c r="I393" s="42">
        <f t="shared" si="18"/>
        <v>240</v>
      </c>
      <c r="J393" s="38">
        <f t="shared" si="19"/>
        <v>8.6305218767232414</v>
      </c>
      <c r="K393" s="38">
        <f t="shared" si="20"/>
        <v>5.4806389233419912</v>
      </c>
      <c r="L393" s="40" t="b">
        <f>IF(B393=B392,C393&gt;C392,COUNTIF(B$1:B392,B393)=0)</f>
        <v>1</v>
      </c>
      <c r="M393" s="1"/>
    </row>
    <row r="394" spans="1:13" x14ac:dyDescent="0.25">
      <c r="A394" s="37" t="s">
        <v>2279</v>
      </c>
      <c r="B394" s="37" t="s">
        <v>531</v>
      </c>
      <c r="C394" s="37">
        <v>6000</v>
      </c>
      <c r="D394" s="37">
        <v>0.23</v>
      </c>
      <c r="E394" s="37" t="s">
        <v>1895</v>
      </c>
      <c r="F394" s="37">
        <v>40</v>
      </c>
      <c r="G394" s="37" t="s">
        <v>536</v>
      </c>
      <c r="H394" s="37" t="s">
        <v>1320</v>
      </c>
      <c r="I394" s="42">
        <f t="shared" si="18"/>
        <v>230</v>
      </c>
      <c r="J394" s="38">
        <f t="shared" si="19"/>
        <v>8.6995147482101913</v>
      </c>
      <c r="K394" s="38">
        <f t="shared" si="20"/>
        <v>5.4380793089231956</v>
      </c>
      <c r="L394" s="40" t="b">
        <f>IF(B394=B393,C394&gt;C393,COUNTIF(B$1:B393,B394)=0)</f>
        <v>1</v>
      </c>
      <c r="M394" s="1"/>
    </row>
    <row r="395" spans="1:13" x14ac:dyDescent="0.25">
      <c r="A395" s="37" t="s">
        <v>2280</v>
      </c>
      <c r="B395" s="37" t="s">
        <v>531</v>
      </c>
      <c r="C395" s="37">
        <v>6100</v>
      </c>
      <c r="D395" s="37">
        <v>0.23</v>
      </c>
      <c r="E395" s="37" t="s">
        <v>1895</v>
      </c>
      <c r="F395" s="37">
        <v>40</v>
      </c>
      <c r="G395" s="37" t="s">
        <v>536</v>
      </c>
      <c r="H395" s="37" t="s">
        <v>1320</v>
      </c>
      <c r="I395" s="42">
        <f t="shared" si="18"/>
        <v>230</v>
      </c>
      <c r="J395" s="38">
        <f t="shared" si="19"/>
        <v>8.7160440501614023</v>
      </c>
      <c r="K395" s="38">
        <f t="shared" si="20"/>
        <v>5.4380793089231956</v>
      </c>
      <c r="L395" s="40" t="b">
        <f>IF(B395=B394,C395&gt;C394,COUNTIF(B$1:B394,B395)=0)</f>
        <v>1</v>
      </c>
      <c r="M395" s="1"/>
    </row>
    <row r="396" spans="1:13" x14ac:dyDescent="0.25">
      <c r="A396" s="37" t="s">
        <v>2281</v>
      </c>
      <c r="B396" s="37" t="s">
        <v>531</v>
      </c>
      <c r="C396" s="37">
        <v>6600</v>
      </c>
      <c r="D396" s="37">
        <v>0.22</v>
      </c>
      <c r="E396" s="37" t="s">
        <v>1895</v>
      </c>
      <c r="F396" s="37">
        <v>40</v>
      </c>
      <c r="G396" s="37" t="s">
        <v>536</v>
      </c>
      <c r="H396" s="37" t="s">
        <v>1320</v>
      </c>
      <c r="I396" s="42">
        <f t="shared" si="18"/>
        <v>220</v>
      </c>
      <c r="J396" s="38">
        <f t="shared" si="19"/>
        <v>8.794824928014517</v>
      </c>
      <c r="K396" s="38">
        <f t="shared" si="20"/>
        <v>5.393627546352362</v>
      </c>
      <c r="L396" s="40" t="b">
        <f>IF(B396=B395,C396&gt;C395,COUNTIF(B$1:B395,B396)=0)</f>
        <v>1</v>
      </c>
      <c r="M396" s="1"/>
    </row>
    <row r="397" spans="1:13" x14ac:dyDescent="0.25">
      <c r="A397" s="37" t="s">
        <v>2282</v>
      </c>
      <c r="B397" s="37" t="s">
        <v>531</v>
      </c>
      <c r="C397" s="37">
        <v>8000</v>
      </c>
      <c r="D397" s="37">
        <v>0.19</v>
      </c>
      <c r="E397" s="37" t="s">
        <v>1895</v>
      </c>
      <c r="F397" s="37">
        <v>40</v>
      </c>
      <c r="G397" s="37" t="s">
        <v>536</v>
      </c>
      <c r="H397" s="37" t="s">
        <v>1320</v>
      </c>
      <c r="I397" s="42">
        <f t="shared" si="18"/>
        <v>190</v>
      </c>
      <c r="J397" s="38">
        <f t="shared" si="19"/>
        <v>8.987196820661973</v>
      </c>
      <c r="K397" s="38">
        <f t="shared" si="20"/>
        <v>5.2470240721604862</v>
      </c>
      <c r="L397" s="40" t="b">
        <f>IF(B397=B396,C397&gt;C396,COUNTIF(B$1:B396,B397)=0)</f>
        <v>1</v>
      </c>
      <c r="M397" s="1"/>
    </row>
    <row r="398" spans="1:13" x14ac:dyDescent="0.25">
      <c r="A398" s="37" t="s">
        <v>2283</v>
      </c>
      <c r="B398" s="37" t="s">
        <v>531</v>
      </c>
      <c r="C398" s="37">
        <v>8800</v>
      </c>
      <c r="D398" s="37">
        <v>0.18</v>
      </c>
      <c r="E398" s="37" t="s">
        <v>1895</v>
      </c>
      <c r="F398" s="37">
        <v>40</v>
      </c>
      <c r="G398" s="37" t="s">
        <v>536</v>
      </c>
      <c r="H398" s="37" t="s">
        <v>1320</v>
      </c>
      <c r="I398" s="42">
        <f t="shared" si="18"/>
        <v>180</v>
      </c>
      <c r="J398" s="38">
        <f t="shared" si="19"/>
        <v>9.0825070004662987</v>
      </c>
      <c r="K398" s="38">
        <f t="shared" si="20"/>
        <v>5.1929568508902104</v>
      </c>
      <c r="L398" s="40" t="b">
        <f>IF(B398=B397,C398&gt;C397,COUNTIF(B$1:B397,B398)=0)</f>
        <v>1</v>
      </c>
      <c r="M398" s="1"/>
    </row>
    <row r="399" spans="1:13" x14ac:dyDescent="0.25">
      <c r="A399" s="37" t="s">
        <v>2284</v>
      </c>
      <c r="B399" s="37" t="s">
        <v>531</v>
      </c>
      <c r="C399" s="37">
        <v>10000</v>
      </c>
      <c r="D399" s="37">
        <v>0.17</v>
      </c>
      <c r="E399" s="37" t="s">
        <v>1895</v>
      </c>
      <c r="F399" s="37">
        <v>40</v>
      </c>
      <c r="G399" s="37" t="s">
        <v>536</v>
      </c>
      <c r="H399" s="37" t="s">
        <v>1320</v>
      </c>
      <c r="I399" s="42">
        <f t="shared" si="18"/>
        <v>170</v>
      </c>
      <c r="J399" s="38">
        <f t="shared" si="19"/>
        <v>9.2103403719761836</v>
      </c>
      <c r="K399" s="38">
        <f t="shared" si="20"/>
        <v>5.1357984370502621</v>
      </c>
      <c r="L399" s="40" t="b">
        <f>IF(B399=B398,C399&gt;C398,COUNTIF(B$1:B398,B399)=0)</f>
        <v>1</v>
      </c>
      <c r="M399" s="1"/>
    </row>
    <row r="400" spans="1:13" x14ac:dyDescent="0.25">
      <c r="A400" s="37" t="s">
        <v>2285</v>
      </c>
      <c r="B400" s="37" t="s">
        <v>531</v>
      </c>
      <c r="C400" s="37">
        <v>10900</v>
      </c>
      <c r="D400" s="37">
        <v>0.16</v>
      </c>
      <c r="E400" s="37" t="s">
        <v>1895</v>
      </c>
      <c r="F400" s="37">
        <v>40</v>
      </c>
      <c r="G400" s="37" t="s">
        <v>536</v>
      </c>
      <c r="H400" s="37" t="s">
        <v>1320</v>
      </c>
      <c r="I400" s="42">
        <f t="shared" si="18"/>
        <v>160</v>
      </c>
      <c r="J400" s="38">
        <f t="shared" si="19"/>
        <v>9.2965180682172353</v>
      </c>
      <c r="K400" s="38">
        <f t="shared" si="20"/>
        <v>5.0751738152338266</v>
      </c>
      <c r="L400" s="40" t="b">
        <f>IF(B400=B399,C400&gt;C399,COUNTIF(B$1:B399,B400)=0)</f>
        <v>1</v>
      </c>
      <c r="M400" s="1"/>
    </row>
    <row r="401" spans="1:13" x14ac:dyDescent="0.25">
      <c r="A401" s="37" t="s">
        <v>2286</v>
      </c>
      <c r="B401" s="37" t="s">
        <v>531</v>
      </c>
      <c r="C401" s="37">
        <v>11500</v>
      </c>
      <c r="D401" s="37">
        <v>0.15</v>
      </c>
      <c r="E401" s="37" t="s">
        <v>1895</v>
      </c>
      <c r="F401" s="37">
        <v>40</v>
      </c>
      <c r="G401" s="37" t="s">
        <v>536</v>
      </c>
      <c r="H401" s="37" t="s">
        <v>1320</v>
      </c>
      <c r="I401" s="42">
        <f t="shared" si="18"/>
        <v>150</v>
      </c>
      <c r="J401" s="38">
        <f t="shared" si="19"/>
        <v>9.3501023143513411</v>
      </c>
      <c r="K401" s="38">
        <f t="shared" si="20"/>
        <v>5.0106352940962555</v>
      </c>
      <c r="L401" s="40" t="b">
        <f>IF(B401=B400,C401&gt;C400,COUNTIF(B$1:B400,B401)=0)</f>
        <v>1</v>
      </c>
      <c r="M401" s="1"/>
    </row>
    <row r="402" spans="1:13" x14ac:dyDescent="0.25">
      <c r="A402" s="37" t="s">
        <v>2287</v>
      </c>
      <c r="B402" s="37" t="s">
        <v>531</v>
      </c>
      <c r="C402" s="37">
        <v>12000</v>
      </c>
      <c r="D402" s="37">
        <v>0.15</v>
      </c>
      <c r="E402" s="37" t="s">
        <v>1895</v>
      </c>
      <c r="F402" s="37">
        <v>40</v>
      </c>
      <c r="G402" s="37" t="s">
        <v>536</v>
      </c>
      <c r="H402" s="37" t="s">
        <v>1320</v>
      </c>
      <c r="I402" s="42">
        <f t="shared" si="18"/>
        <v>150</v>
      </c>
      <c r="J402" s="38">
        <f t="shared" si="19"/>
        <v>9.3926619287701367</v>
      </c>
      <c r="K402" s="38">
        <f t="shared" si="20"/>
        <v>5.0106352940962555</v>
      </c>
      <c r="L402" s="40" t="b">
        <f>IF(B402=B401,C402&gt;C401,COUNTIF(B$1:B401,B402)=0)</f>
        <v>1</v>
      </c>
      <c r="M402" s="1"/>
    </row>
    <row r="403" spans="1:13" x14ac:dyDescent="0.25">
      <c r="A403" s="37" t="s">
        <v>2288</v>
      </c>
      <c r="B403" s="37" t="s">
        <v>531</v>
      </c>
      <c r="C403" s="37">
        <v>13400</v>
      </c>
      <c r="D403" s="37">
        <v>0.14000000000000001</v>
      </c>
      <c r="E403" s="37" t="s">
        <v>1895</v>
      </c>
      <c r="F403" s="37">
        <v>40</v>
      </c>
      <c r="G403" s="37" t="s">
        <v>536</v>
      </c>
      <c r="H403" s="37" t="s">
        <v>1320</v>
      </c>
      <c r="I403" s="42">
        <f t="shared" si="18"/>
        <v>140</v>
      </c>
      <c r="J403" s="38">
        <f t="shared" si="19"/>
        <v>9.503009985939002</v>
      </c>
      <c r="K403" s="38">
        <f t="shared" si="20"/>
        <v>4.9416424226093039</v>
      </c>
      <c r="L403" s="40" t="b">
        <f>IF(B403=B402,C403&gt;C402,COUNTIF(B$1:B402,B403)=0)</f>
        <v>1</v>
      </c>
      <c r="M403" s="1"/>
    </row>
    <row r="404" spans="1:13" x14ac:dyDescent="0.25">
      <c r="A404" s="37" t="s">
        <v>2289</v>
      </c>
      <c r="B404" s="37" t="s">
        <v>537</v>
      </c>
      <c r="C404" s="37">
        <v>1.8</v>
      </c>
      <c r="D404" s="37">
        <v>10831</v>
      </c>
      <c r="E404" s="37" t="s">
        <v>1877</v>
      </c>
      <c r="F404" s="37">
        <v>40</v>
      </c>
      <c r="G404" s="37" t="s">
        <v>542</v>
      </c>
      <c r="H404" s="37" t="s">
        <v>928</v>
      </c>
      <c r="I404" s="42">
        <f t="shared" si="18"/>
        <v>10831</v>
      </c>
      <c r="J404" s="38">
        <f t="shared" si="19"/>
        <v>0.58778666490211906</v>
      </c>
      <c r="K404" s="38">
        <f t="shared" si="20"/>
        <v>9.2901676718357376</v>
      </c>
      <c r="L404" s="40" t="b">
        <f>IF(B404=B403,C404&gt;C403,COUNTIF(B$1:B403,B404)=0)</f>
        <v>1</v>
      </c>
      <c r="M404" s="1"/>
    </row>
    <row r="405" spans="1:13" x14ac:dyDescent="0.25">
      <c r="A405" s="37" t="s">
        <v>2290</v>
      </c>
      <c r="B405" s="37" t="s">
        <v>537</v>
      </c>
      <c r="C405" s="37">
        <v>3.5</v>
      </c>
      <c r="D405" s="37">
        <v>8471</v>
      </c>
      <c r="E405" s="37" t="s">
        <v>1877</v>
      </c>
      <c r="F405" s="37">
        <v>40</v>
      </c>
      <c r="G405" s="37" t="s">
        <v>542</v>
      </c>
      <c r="H405" s="37" t="s">
        <v>928</v>
      </c>
      <c r="I405" s="42">
        <f t="shared" si="18"/>
        <v>8471</v>
      </c>
      <c r="J405" s="38">
        <f t="shared" si="19"/>
        <v>1.2527629684953681</v>
      </c>
      <c r="K405" s="38">
        <f t="shared" si="20"/>
        <v>9.0444038444315513</v>
      </c>
      <c r="L405" s="40" t="b">
        <f>IF(B405=B404,C405&gt;C404,COUNTIF(B$1:B404,B405)=0)</f>
        <v>1</v>
      </c>
      <c r="M405" s="1"/>
    </row>
    <row r="406" spans="1:13" x14ac:dyDescent="0.25">
      <c r="A406" s="37" t="s">
        <v>2291</v>
      </c>
      <c r="B406" s="37" t="s">
        <v>537</v>
      </c>
      <c r="C406" s="37">
        <v>7</v>
      </c>
      <c r="D406" s="37">
        <v>6667</v>
      </c>
      <c r="E406" s="37" t="s">
        <v>1877</v>
      </c>
      <c r="F406" s="37">
        <v>40</v>
      </c>
      <c r="G406" s="37" t="s">
        <v>542</v>
      </c>
      <c r="H406" s="37" t="s">
        <v>928</v>
      </c>
      <c r="I406" s="42">
        <f t="shared" si="18"/>
        <v>6667</v>
      </c>
      <c r="J406" s="38">
        <f t="shared" si="19"/>
        <v>1.9459101490553132</v>
      </c>
      <c r="K406" s="38">
        <f t="shared" si="20"/>
        <v>8.8049252626180596</v>
      </c>
      <c r="L406" s="40" t="b">
        <f>IF(B406=B405,C406&gt;C405,COUNTIF(B$1:B405,B406)=0)</f>
        <v>1</v>
      </c>
      <c r="M406" s="1"/>
    </row>
    <row r="407" spans="1:13" x14ac:dyDescent="0.25">
      <c r="A407" s="37" t="s">
        <v>2292</v>
      </c>
      <c r="B407" s="37" t="s">
        <v>537</v>
      </c>
      <c r="C407" s="37">
        <v>10</v>
      </c>
      <c r="D407" s="37">
        <v>6000</v>
      </c>
      <c r="E407" s="37" t="s">
        <v>1877</v>
      </c>
      <c r="F407" s="37">
        <v>40</v>
      </c>
      <c r="G407" s="37" t="s">
        <v>542</v>
      </c>
      <c r="H407" s="37" t="s">
        <v>928</v>
      </c>
      <c r="I407" s="42">
        <f t="shared" si="18"/>
        <v>6000</v>
      </c>
      <c r="J407" s="38">
        <f t="shared" si="19"/>
        <v>2.3025850929940459</v>
      </c>
      <c r="K407" s="38">
        <f t="shared" si="20"/>
        <v>8.6995147482101913</v>
      </c>
      <c r="L407" s="40" t="b">
        <f>IF(B407=B406,C407&gt;C406,COUNTIF(B$1:B406,B407)=0)</f>
        <v>1</v>
      </c>
      <c r="M407" s="1"/>
    </row>
    <row r="408" spans="1:13" x14ac:dyDescent="0.25">
      <c r="A408" s="37" t="s">
        <v>2293</v>
      </c>
      <c r="B408" s="37" t="s">
        <v>537</v>
      </c>
      <c r="C408" s="37">
        <v>14</v>
      </c>
      <c r="D408" s="37">
        <v>5180</v>
      </c>
      <c r="E408" s="37" t="s">
        <v>1877</v>
      </c>
      <c r="F408" s="37">
        <v>40</v>
      </c>
      <c r="G408" s="37" t="s">
        <v>542</v>
      </c>
      <c r="H408" s="37" t="s">
        <v>928</v>
      </c>
      <c r="I408" s="42">
        <f t="shared" si="18"/>
        <v>5180</v>
      </c>
      <c r="J408" s="38">
        <f t="shared" si="19"/>
        <v>2.6390573296152584</v>
      </c>
      <c r="K408" s="38">
        <f t="shared" si="20"/>
        <v>8.5525603352535295</v>
      </c>
      <c r="L408" s="40" t="b">
        <f>IF(B408=B407,C408&gt;C407,COUNTIF(B$1:B407,B408)=0)</f>
        <v>1</v>
      </c>
      <c r="M408" s="1"/>
    </row>
    <row r="409" spans="1:13" x14ac:dyDescent="0.25">
      <c r="A409" s="37" t="s">
        <v>2294</v>
      </c>
      <c r="B409" s="37" t="s">
        <v>537</v>
      </c>
      <c r="C409" s="37">
        <v>21</v>
      </c>
      <c r="D409" s="37">
        <v>4114</v>
      </c>
      <c r="E409" s="37" t="s">
        <v>1877</v>
      </c>
      <c r="F409" s="37">
        <v>40</v>
      </c>
      <c r="G409" s="37" t="s">
        <v>542</v>
      </c>
      <c r="H409" s="37" t="s">
        <v>928</v>
      </c>
      <c r="I409" s="42">
        <f t="shared" si="18"/>
        <v>4114</v>
      </c>
      <c r="J409" s="38">
        <f t="shared" si="19"/>
        <v>3.044522437723423</v>
      </c>
      <c r="K409" s="38">
        <f t="shared" si="20"/>
        <v>8.322151070212902</v>
      </c>
      <c r="L409" s="40" t="b">
        <f>IF(B409=B408,C409&gt;C408,COUNTIF(B$1:B408,B409)=0)</f>
        <v>1</v>
      </c>
      <c r="M409" s="1"/>
    </row>
    <row r="410" spans="1:13" x14ac:dyDescent="0.25">
      <c r="A410" s="37" t="s">
        <v>2295</v>
      </c>
      <c r="B410" s="37" t="s">
        <v>537</v>
      </c>
      <c r="C410" s="37">
        <v>28</v>
      </c>
      <c r="D410" s="37">
        <v>3731</v>
      </c>
      <c r="E410" s="37" t="s">
        <v>1877</v>
      </c>
      <c r="F410" s="37">
        <v>40</v>
      </c>
      <c r="G410" s="37" t="s">
        <v>542</v>
      </c>
      <c r="H410" s="37" t="s">
        <v>928</v>
      </c>
      <c r="I410" s="42">
        <f t="shared" si="18"/>
        <v>3731</v>
      </c>
      <c r="J410" s="38">
        <f t="shared" si="19"/>
        <v>3.3322045101752038</v>
      </c>
      <c r="K410" s="38">
        <f t="shared" si="20"/>
        <v>8.2244315732211586</v>
      </c>
      <c r="L410" s="40" t="b">
        <f>IF(B410=B409,C410&gt;C409,COUNTIF(B$1:B409,B410)=0)</f>
        <v>1</v>
      </c>
      <c r="M410" s="1"/>
    </row>
    <row r="411" spans="1:13" x14ac:dyDescent="0.25">
      <c r="A411" s="37" t="s">
        <v>2296</v>
      </c>
      <c r="B411" s="37" t="s">
        <v>537</v>
      </c>
      <c r="C411" s="37">
        <v>50</v>
      </c>
      <c r="D411" s="37">
        <v>2939</v>
      </c>
      <c r="E411" s="37" t="s">
        <v>1877</v>
      </c>
      <c r="F411" s="37">
        <v>40</v>
      </c>
      <c r="G411" s="37" t="s">
        <v>542</v>
      </c>
      <c r="H411" s="37" t="s">
        <v>928</v>
      </c>
      <c r="I411" s="42">
        <f t="shared" si="18"/>
        <v>2939</v>
      </c>
      <c r="J411" s="38">
        <f t="shared" si="19"/>
        <v>3.912023005428146</v>
      </c>
      <c r="K411" s="38">
        <f t="shared" si="20"/>
        <v>7.9858246664189174</v>
      </c>
      <c r="L411" s="40" t="b">
        <f>IF(B411=B410,C411&gt;C410,COUNTIF(B$1:B410,B411)=0)</f>
        <v>1</v>
      </c>
      <c r="M411" s="1"/>
    </row>
    <row r="412" spans="1:13" x14ac:dyDescent="0.25">
      <c r="A412" s="37" t="s">
        <v>2297</v>
      </c>
      <c r="B412" s="37" t="s">
        <v>537</v>
      </c>
      <c r="C412" s="37">
        <v>100</v>
      </c>
      <c r="D412" s="37">
        <v>2045</v>
      </c>
      <c r="E412" s="37" t="s">
        <v>1877</v>
      </c>
      <c r="F412" s="37">
        <v>40</v>
      </c>
      <c r="G412" s="37" t="s">
        <v>542</v>
      </c>
      <c r="H412" s="37" t="s">
        <v>928</v>
      </c>
      <c r="I412" s="42">
        <f t="shared" si="18"/>
        <v>2045</v>
      </c>
      <c r="J412" s="38">
        <f t="shared" si="19"/>
        <v>4.6051701859880918</v>
      </c>
      <c r="K412" s="38">
        <f t="shared" si="20"/>
        <v>7.6231530684769018</v>
      </c>
      <c r="L412" s="40" t="b">
        <f>IF(B412=B411,C412&gt;C411,COUNTIF(B$1:B411,B412)=0)</f>
        <v>1</v>
      </c>
      <c r="M412" s="1"/>
    </row>
    <row r="413" spans="1:13" x14ac:dyDescent="0.25">
      <c r="A413" s="37" t="s">
        <v>2298</v>
      </c>
      <c r="B413" s="37" t="s">
        <v>537</v>
      </c>
      <c r="C413" s="37">
        <v>144</v>
      </c>
      <c r="D413" s="37">
        <v>1710</v>
      </c>
      <c r="E413" s="37" t="s">
        <v>1877</v>
      </c>
      <c r="F413" s="37">
        <v>40</v>
      </c>
      <c r="G413" s="37" t="s">
        <v>542</v>
      </c>
      <c r="H413" s="37" t="s">
        <v>928</v>
      </c>
      <c r="I413" s="42">
        <f t="shared" si="18"/>
        <v>1710</v>
      </c>
      <c r="J413" s="38">
        <f t="shared" si="19"/>
        <v>4.9698132995760007</v>
      </c>
      <c r="K413" s="38">
        <f t="shared" si="20"/>
        <v>7.4442486494967053</v>
      </c>
      <c r="L413" s="40" t="b">
        <f>IF(B413=B412,C413&gt;C412,COUNTIF(B$1:B412,B413)=0)</f>
        <v>1</v>
      </c>
      <c r="M413" s="1"/>
    </row>
    <row r="414" spans="1:13" x14ac:dyDescent="0.25">
      <c r="A414" s="37" t="s">
        <v>2299</v>
      </c>
      <c r="B414" s="37" t="s">
        <v>537</v>
      </c>
      <c r="C414" s="37">
        <v>200</v>
      </c>
      <c r="D414" s="37">
        <v>1440</v>
      </c>
      <c r="E414" s="37" t="s">
        <v>1877</v>
      </c>
      <c r="F414" s="37">
        <v>40</v>
      </c>
      <c r="G414" s="37" t="s">
        <v>542</v>
      </c>
      <c r="H414" s="37" t="s">
        <v>928</v>
      </c>
      <c r="I414" s="42">
        <f t="shared" si="18"/>
        <v>1440</v>
      </c>
      <c r="J414" s="38">
        <f t="shared" si="19"/>
        <v>5.2983173665480363</v>
      </c>
      <c r="K414" s="38">
        <f t="shared" si="20"/>
        <v>7.2723983925700466</v>
      </c>
      <c r="L414" s="40" t="b">
        <f>IF(B414=B413,C414&gt;C413,COUNTIF(B$1:B413,B414)=0)</f>
        <v>1</v>
      </c>
      <c r="M414" s="1"/>
    </row>
    <row r="415" spans="1:13" x14ac:dyDescent="0.25">
      <c r="A415" s="37" t="s">
        <v>2300</v>
      </c>
      <c r="B415" s="37" t="s">
        <v>537</v>
      </c>
      <c r="C415" s="37">
        <v>400</v>
      </c>
      <c r="D415" s="37">
        <v>992</v>
      </c>
      <c r="E415" s="37" t="s">
        <v>1877</v>
      </c>
      <c r="F415" s="37">
        <v>40</v>
      </c>
      <c r="G415" s="37" t="s">
        <v>542</v>
      </c>
      <c r="H415" s="37" t="s">
        <v>928</v>
      </c>
      <c r="I415" s="42">
        <f t="shared" si="18"/>
        <v>992</v>
      </c>
      <c r="J415" s="38">
        <f t="shared" si="19"/>
        <v>5.9914645471079817</v>
      </c>
      <c r="K415" s="38">
        <f t="shared" si="20"/>
        <v>6.8997231072848724</v>
      </c>
      <c r="L415" s="40" t="b">
        <f>IF(B415=B414,C415&gt;C414,COUNTIF(B$1:B414,B415)=0)</f>
        <v>1</v>
      </c>
      <c r="M415" s="1"/>
    </row>
    <row r="416" spans="1:13" x14ac:dyDescent="0.25">
      <c r="A416" s="37" t="s">
        <v>2301</v>
      </c>
      <c r="B416" s="37" t="s">
        <v>537</v>
      </c>
      <c r="C416" s="37">
        <v>430</v>
      </c>
      <c r="D416" s="37">
        <v>944</v>
      </c>
      <c r="E416" s="37" t="s">
        <v>1877</v>
      </c>
      <c r="F416" s="37">
        <v>40</v>
      </c>
      <c r="G416" s="37" t="s">
        <v>542</v>
      </c>
      <c r="H416" s="37" t="s">
        <v>928</v>
      </c>
      <c r="I416" s="42">
        <f t="shared" si="18"/>
        <v>944</v>
      </c>
      <c r="J416" s="38">
        <f t="shared" si="19"/>
        <v>6.0637852086876078</v>
      </c>
      <c r="K416" s="38">
        <f t="shared" si="20"/>
        <v>6.8501261661455004</v>
      </c>
      <c r="L416" s="40" t="b">
        <f>IF(B416=B415,C416&gt;C415,COUNTIF(B$1:B415,B416)=0)</f>
        <v>1</v>
      </c>
      <c r="M416" s="1"/>
    </row>
    <row r="417" spans="1:13" x14ac:dyDescent="0.25">
      <c r="A417" s="37" t="s">
        <v>2302</v>
      </c>
      <c r="B417" s="37" t="s">
        <v>537</v>
      </c>
      <c r="C417" s="37">
        <v>800</v>
      </c>
      <c r="D417" s="37">
        <v>692</v>
      </c>
      <c r="E417" s="37" t="s">
        <v>1877</v>
      </c>
      <c r="F417" s="37">
        <v>40</v>
      </c>
      <c r="G417" s="37" t="s">
        <v>542</v>
      </c>
      <c r="H417" s="37" t="s">
        <v>928</v>
      </c>
      <c r="I417" s="42">
        <f t="shared" si="18"/>
        <v>692</v>
      </c>
      <c r="J417" s="38">
        <f t="shared" si="19"/>
        <v>6.6846117276679271</v>
      </c>
      <c r="K417" s="38">
        <f t="shared" si="20"/>
        <v>6.5395859556176692</v>
      </c>
      <c r="L417" s="40" t="b">
        <f>IF(B417=B416,C417&gt;C416,COUNTIF(B$1:B416,B417)=0)</f>
        <v>1</v>
      </c>
      <c r="M417" s="1"/>
    </row>
    <row r="418" spans="1:13" x14ac:dyDescent="0.25">
      <c r="A418" s="37" t="s">
        <v>2303</v>
      </c>
      <c r="B418" s="37" t="s">
        <v>537</v>
      </c>
      <c r="C418" s="37">
        <v>1000</v>
      </c>
      <c r="D418" s="37">
        <v>610</v>
      </c>
      <c r="E418" s="37" t="s">
        <v>1877</v>
      </c>
      <c r="F418" s="37">
        <v>40</v>
      </c>
      <c r="G418" s="37" t="s">
        <v>542</v>
      </c>
      <c r="H418" s="37" t="s">
        <v>928</v>
      </c>
      <c r="I418" s="42">
        <f t="shared" si="18"/>
        <v>610</v>
      </c>
      <c r="J418" s="38">
        <f t="shared" si="19"/>
        <v>6.9077552789821368</v>
      </c>
      <c r="K418" s="38">
        <f t="shared" si="20"/>
        <v>6.4134589571673573</v>
      </c>
      <c r="L418" s="40" t="b">
        <f>IF(B418=B417,C418&gt;C417,COUNTIF(B$1:B417,B418)=0)</f>
        <v>1</v>
      </c>
      <c r="M418" s="1"/>
    </row>
    <row r="419" spans="1:13" x14ac:dyDescent="0.25">
      <c r="A419" s="37" t="s">
        <v>2304</v>
      </c>
      <c r="B419" s="37" t="s">
        <v>537</v>
      </c>
      <c r="C419" s="37">
        <v>1296</v>
      </c>
      <c r="D419" s="37">
        <v>529</v>
      </c>
      <c r="E419" s="37" t="s">
        <v>1877</v>
      </c>
      <c r="F419" s="37">
        <v>40</v>
      </c>
      <c r="G419" s="37" t="s">
        <v>542</v>
      </c>
      <c r="H419" s="37" t="s">
        <v>928</v>
      </c>
      <c r="I419" s="42">
        <f t="shared" si="18"/>
        <v>529</v>
      </c>
      <c r="J419" s="38">
        <f t="shared" si="19"/>
        <v>7.1670378769122198</v>
      </c>
      <c r="K419" s="38">
        <f t="shared" si="20"/>
        <v>6.2709884318582994</v>
      </c>
      <c r="L419" s="40" t="b">
        <f>IF(B419=B418,C419&gt;C418,COUNTIF(B$1:B418,B419)=0)</f>
        <v>1</v>
      </c>
      <c r="M419" s="1"/>
    </row>
    <row r="420" spans="1:13" x14ac:dyDescent="0.25">
      <c r="A420" s="37" t="s">
        <v>2305</v>
      </c>
      <c r="B420" s="37" t="s">
        <v>537</v>
      </c>
      <c r="C420" s="37">
        <v>2400</v>
      </c>
      <c r="D420" s="37">
        <v>375</v>
      </c>
      <c r="E420" s="37" t="s">
        <v>1877</v>
      </c>
      <c r="F420" s="37">
        <v>40</v>
      </c>
      <c r="G420" s="37" t="s">
        <v>542</v>
      </c>
      <c r="H420" s="37" t="s">
        <v>928</v>
      </c>
      <c r="I420" s="42">
        <f t="shared" si="18"/>
        <v>375</v>
      </c>
      <c r="J420" s="38">
        <f t="shared" si="19"/>
        <v>7.7832240163360371</v>
      </c>
      <c r="K420" s="38">
        <f t="shared" si="20"/>
        <v>5.9269260259704106</v>
      </c>
      <c r="L420" s="40" t="b">
        <f>IF(B420=B419,C420&gt;C419,COUNTIF(B$1:B419,B420)=0)</f>
        <v>1</v>
      </c>
      <c r="M420" s="1"/>
    </row>
    <row r="421" spans="1:13" x14ac:dyDescent="0.25">
      <c r="A421" s="37" t="s">
        <v>2306</v>
      </c>
      <c r="B421" s="37" t="s">
        <v>537</v>
      </c>
      <c r="C421" s="37">
        <v>3000</v>
      </c>
      <c r="D421" s="37">
        <v>333</v>
      </c>
      <c r="E421" s="37" t="s">
        <v>1877</v>
      </c>
      <c r="F421" s="37">
        <v>40</v>
      </c>
      <c r="G421" s="37" t="s">
        <v>542</v>
      </c>
      <c r="H421" s="37" t="s">
        <v>928</v>
      </c>
      <c r="I421" s="42">
        <f t="shared" si="18"/>
        <v>333</v>
      </c>
      <c r="J421" s="38">
        <f t="shared" si="19"/>
        <v>8.0063675676502459</v>
      </c>
      <c r="K421" s="38">
        <f t="shared" si="20"/>
        <v>5.8081424899804439</v>
      </c>
      <c r="L421" s="40" t="b">
        <f>IF(B421=B420,C421&gt;C420,COUNTIF(B$1:B420,B421)=0)</f>
        <v>1</v>
      </c>
      <c r="M421" s="1"/>
    </row>
    <row r="422" spans="1:13" x14ac:dyDescent="0.25">
      <c r="A422" s="37" t="s">
        <v>2307</v>
      </c>
      <c r="B422" s="37" t="s">
        <v>537</v>
      </c>
      <c r="C422" s="37">
        <v>4000</v>
      </c>
      <c r="D422" s="37">
        <v>281</v>
      </c>
      <c r="E422" s="37" t="s">
        <v>1877</v>
      </c>
      <c r="F422" s="37">
        <v>40</v>
      </c>
      <c r="G422" s="37" t="s">
        <v>542</v>
      </c>
      <c r="H422" s="37" t="s">
        <v>928</v>
      </c>
      <c r="I422" s="42">
        <f t="shared" si="18"/>
        <v>281</v>
      </c>
      <c r="J422" s="38">
        <f t="shared" si="19"/>
        <v>8.2940496401020276</v>
      </c>
      <c r="K422" s="38">
        <f t="shared" si="20"/>
        <v>5.6383546693337454</v>
      </c>
      <c r="L422" s="40" t="b">
        <f>IF(B422=B421,C422&gt;C421,COUNTIF(B$1:B421,B422)=0)</f>
        <v>1</v>
      </c>
      <c r="M422" s="1"/>
    </row>
    <row r="423" spans="1:13" x14ac:dyDescent="0.25">
      <c r="A423" s="37" t="s">
        <v>2308</v>
      </c>
      <c r="B423" s="37" t="s">
        <v>537</v>
      </c>
      <c r="C423" s="37">
        <v>5000</v>
      </c>
      <c r="D423" s="37">
        <v>247</v>
      </c>
      <c r="E423" s="37" t="s">
        <v>1877</v>
      </c>
      <c r="F423" s="37">
        <v>40</v>
      </c>
      <c r="G423" s="37" t="s">
        <v>542</v>
      </c>
      <c r="H423" s="37" t="s">
        <v>928</v>
      </c>
      <c r="I423" s="42">
        <f t="shared" si="18"/>
        <v>247</v>
      </c>
      <c r="J423" s="38">
        <f t="shared" si="19"/>
        <v>8.5171931914162382</v>
      </c>
      <c r="K423" s="38">
        <f t="shared" si="20"/>
        <v>5.5093883366279774</v>
      </c>
      <c r="L423" s="40" t="b">
        <f>IF(B423=B422,C423&gt;C422,COUNTIF(B$1:B422,B423)=0)</f>
        <v>1</v>
      </c>
      <c r="M423" s="1"/>
    </row>
    <row r="424" spans="1:13" x14ac:dyDescent="0.25">
      <c r="A424" s="37" t="s">
        <v>2309</v>
      </c>
      <c r="B424" s="37" t="s">
        <v>537</v>
      </c>
      <c r="C424" s="37">
        <v>6000</v>
      </c>
      <c r="D424" s="37">
        <v>220</v>
      </c>
      <c r="E424" s="37" t="s">
        <v>1877</v>
      </c>
      <c r="F424" s="37">
        <v>40</v>
      </c>
      <c r="G424" s="37" t="s">
        <v>542</v>
      </c>
      <c r="H424" s="37" t="s">
        <v>928</v>
      </c>
      <c r="I424" s="42">
        <f t="shared" si="18"/>
        <v>220</v>
      </c>
      <c r="J424" s="38">
        <f t="shared" si="19"/>
        <v>8.6995147482101913</v>
      </c>
      <c r="K424" s="38">
        <f t="shared" si="20"/>
        <v>5.393627546352362</v>
      </c>
      <c r="L424" s="40" t="b">
        <f>IF(B424=B423,C424&gt;C423,COUNTIF(B$1:B423,B424)=0)</f>
        <v>1</v>
      </c>
      <c r="M424" s="1"/>
    </row>
    <row r="425" spans="1:13" x14ac:dyDescent="0.25">
      <c r="A425" s="37" t="s">
        <v>2310</v>
      </c>
      <c r="B425" s="37" t="s">
        <v>537</v>
      </c>
      <c r="C425" s="37">
        <v>7000</v>
      </c>
      <c r="D425" s="37">
        <v>202</v>
      </c>
      <c r="E425" s="37" t="s">
        <v>1877</v>
      </c>
      <c r="F425" s="37">
        <v>40</v>
      </c>
      <c r="G425" s="37" t="s">
        <v>542</v>
      </c>
      <c r="H425" s="37" t="s">
        <v>928</v>
      </c>
      <c r="I425" s="42">
        <f t="shared" si="18"/>
        <v>202</v>
      </c>
      <c r="J425" s="38">
        <f t="shared" si="19"/>
        <v>8.8536654280374503</v>
      </c>
      <c r="K425" s="38">
        <f t="shared" si="20"/>
        <v>5.3082676974012051</v>
      </c>
      <c r="L425" s="40" t="b">
        <f>IF(B425=B424,C425&gt;C424,COUNTIF(B$1:B424,B425)=0)</f>
        <v>1</v>
      </c>
      <c r="M425" s="1"/>
    </row>
    <row r="426" spans="1:13" x14ac:dyDescent="0.25">
      <c r="A426" s="37" t="s">
        <v>2311</v>
      </c>
      <c r="B426" s="37" t="s">
        <v>537</v>
      </c>
      <c r="C426" s="37">
        <v>8000</v>
      </c>
      <c r="D426" s="37">
        <v>187</v>
      </c>
      <c r="E426" s="37" t="s">
        <v>1877</v>
      </c>
      <c r="F426" s="37">
        <v>40</v>
      </c>
      <c r="G426" s="37" t="s">
        <v>542</v>
      </c>
      <c r="H426" s="37" t="s">
        <v>928</v>
      </c>
      <c r="I426" s="42">
        <f t="shared" si="18"/>
        <v>187</v>
      </c>
      <c r="J426" s="38">
        <f t="shared" si="19"/>
        <v>8.987196820661973</v>
      </c>
      <c r="K426" s="38">
        <f t="shared" si="20"/>
        <v>5.2311086168545868</v>
      </c>
      <c r="L426" s="40" t="b">
        <f>IF(B426=B425,C426&gt;C425,COUNTIF(B$1:B425,B426)=0)</f>
        <v>1</v>
      </c>
      <c r="M426" s="1"/>
    </row>
    <row r="427" spans="1:13" x14ac:dyDescent="0.25">
      <c r="A427" s="37" t="s">
        <v>2312</v>
      </c>
      <c r="B427" s="37" t="s">
        <v>537</v>
      </c>
      <c r="C427" s="37">
        <v>10000</v>
      </c>
      <c r="D427" s="37">
        <v>161</v>
      </c>
      <c r="E427" s="37" t="s">
        <v>1877</v>
      </c>
      <c r="F427" s="37">
        <v>40</v>
      </c>
      <c r="G427" s="37" t="s">
        <v>542</v>
      </c>
      <c r="H427" s="37" t="s">
        <v>928</v>
      </c>
      <c r="I427" s="42">
        <f t="shared" si="18"/>
        <v>161</v>
      </c>
      <c r="J427" s="38">
        <f t="shared" si="19"/>
        <v>9.2103403719761836</v>
      </c>
      <c r="K427" s="38">
        <f t="shared" si="20"/>
        <v>5.0814043649844631</v>
      </c>
      <c r="L427" s="40" t="b">
        <f>IF(B427=B426,C427&gt;C426,COUNTIF(B$1:B426,B427)=0)</f>
        <v>1</v>
      </c>
      <c r="M427" s="1"/>
    </row>
    <row r="428" spans="1:13" x14ac:dyDescent="0.25">
      <c r="A428" s="37" t="s">
        <v>2313</v>
      </c>
      <c r="B428" s="37" t="s">
        <v>552</v>
      </c>
      <c r="C428" s="37">
        <v>0.5</v>
      </c>
      <c r="D428" s="37">
        <v>15.6</v>
      </c>
      <c r="E428" s="37" t="s">
        <v>1895</v>
      </c>
      <c r="F428" s="37">
        <v>40</v>
      </c>
      <c r="G428" s="37" t="s">
        <v>557</v>
      </c>
      <c r="H428" s="37" t="s">
        <v>1320</v>
      </c>
      <c r="I428" s="42">
        <f t="shared" si="18"/>
        <v>15600</v>
      </c>
      <c r="J428" s="38">
        <f t="shared" si="19"/>
        <v>-0.69314718055994529</v>
      </c>
      <c r="K428" s="38">
        <f t="shared" si="20"/>
        <v>9.655026193237628</v>
      </c>
      <c r="L428" s="40" t="b">
        <f>IF(B428=B427,C428&gt;C427,COUNTIF(B$1:B427,B428)=0)</f>
        <v>1</v>
      </c>
      <c r="M428" s="1"/>
    </row>
    <row r="429" spans="1:13" x14ac:dyDescent="0.25">
      <c r="A429" s="37" t="s">
        <v>2314</v>
      </c>
      <c r="B429" s="37" t="s">
        <v>552</v>
      </c>
      <c r="C429" s="37">
        <v>1</v>
      </c>
      <c r="D429" s="37">
        <v>15.6</v>
      </c>
      <c r="E429" s="37" t="s">
        <v>1895</v>
      </c>
      <c r="F429" s="37">
        <v>40</v>
      </c>
      <c r="G429" s="37" t="s">
        <v>557</v>
      </c>
      <c r="H429" s="37" t="s">
        <v>1320</v>
      </c>
      <c r="I429" s="42">
        <f t="shared" si="18"/>
        <v>15600</v>
      </c>
      <c r="J429" s="38">
        <f t="shared" si="19"/>
        <v>0</v>
      </c>
      <c r="K429" s="38">
        <f t="shared" si="20"/>
        <v>9.655026193237628</v>
      </c>
      <c r="L429" s="40" t="b">
        <f>IF(B429=B428,C429&gt;C428,COUNTIF(B$1:B428,B429)=0)</f>
        <v>1</v>
      </c>
      <c r="M429" s="1"/>
    </row>
    <row r="430" spans="1:13" x14ac:dyDescent="0.25">
      <c r="A430" s="37" t="s">
        <v>2315</v>
      </c>
      <c r="B430" s="37" t="s">
        <v>552</v>
      </c>
      <c r="C430" s="37">
        <v>1.5</v>
      </c>
      <c r="D430" s="37">
        <v>15.6</v>
      </c>
      <c r="E430" s="37" t="s">
        <v>1895</v>
      </c>
      <c r="F430" s="37">
        <v>40</v>
      </c>
      <c r="G430" s="37" t="s">
        <v>557</v>
      </c>
      <c r="H430" s="37" t="s">
        <v>1320</v>
      </c>
      <c r="I430" s="42">
        <f t="shared" si="18"/>
        <v>15600</v>
      </c>
      <c r="J430" s="38">
        <f t="shared" si="19"/>
        <v>0.40546510810816438</v>
      </c>
      <c r="K430" s="38">
        <f t="shared" si="20"/>
        <v>9.655026193237628</v>
      </c>
      <c r="L430" s="40" t="b">
        <f>IF(B430=B429,C430&gt;C429,COUNTIF(B$1:B429,B430)=0)</f>
        <v>1</v>
      </c>
      <c r="M430" s="1"/>
    </row>
    <row r="431" spans="1:13" x14ac:dyDescent="0.25">
      <c r="A431" s="37" t="s">
        <v>2316</v>
      </c>
      <c r="B431" s="37" t="s">
        <v>552</v>
      </c>
      <c r="C431" s="37">
        <v>2</v>
      </c>
      <c r="D431" s="37">
        <v>15.6</v>
      </c>
      <c r="E431" s="37" t="s">
        <v>1895</v>
      </c>
      <c r="F431" s="37">
        <v>40</v>
      </c>
      <c r="G431" s="37" t="s">
        <v>557</v>
      </c>
      <c r="H431" s="37" t="s">
        <v>1320</v>
      </c>
      <c r="I431" s="42">
        <f t="shared" si="18"/>
        <v>15600</v>
      </c>
      <c r="J431" s="38">
        <f t="shared" si="19"/>
        <v>0.69314718055994529</v>
      </c>
      <c r="K431" s="38">
        <f t="shared" si="20"/>
        <v>9.655026193237628</v>
      </c>
      <c r="L431" s="40" t="b">
        <f>IF(B431=B430,C431&gt;C430,COUNTIF(B$1:B430,B431)=0)</f>
        <v>1</v>
      </c>
      <c r="M431" s="1"/>
    </row>
    <row r="432" spans="1:13" x14ac:dyDescent="0.25">
      <c r="A432" s="37" t="s">
        <v>2317</v>
      </c>
      <c r="B432" s="37" t="s">
        <v>552</v>
      </c>
      <c r="C432" s="37">
        <v>10</v>
      </c>
      <c r="D432" s="37">
        <v>10.1</v>
      </c>
      <c r="E432" s="37" t="s">
        <v>1895</v>
      </c>
      <c r="F432" s="37">
        <v>40</v>
      </c>
      <c r="G432" s="37" t="s">
        <v>557</v>
      </c>
      <c r="H432" s="37" t="s">
        <v>1320</v>
      </c>
      <c r="I432" s="42">
        <f t="shared" si="18"/>
        <v>10100</v>
      </c>
      <c r="J432" s="38">
        <f t="shared" si="19"/>
        <v>2.3025850929940459</v>
      </c>
      <c r="K432" s="38">
        <f t="shared" si="20"/>
        <v>9.2202907028293506</v>
      </c>
      <c r="L432" s="40" t="b">
        <f>IF(B432=B431,C432&gt;C431,COUNTIF(B$1:B431,B432)=0)</f>
        <v>1</v>
      </c>
      <c r="M432" s="1"/>
    </row>
    <row r="433" spans="1:13" x14ac:dyDescent="0.25">
      <c r="A433" s="37" t="s">
        <v>2318</v>
      </c>
      <c r="B433" s="37" t="s">
        <v>552</v>
      </c>
      <c r="C433" s="37">
        <v>20</v>
      </c>
      <c r="D433" s="37">
        <v>7.07</v>
      </c>
      <c r="E433" s="37" t="s">
        <v>1895</v>
      </c>
      <c r="F433" s="37">
        <v>40</v>
      </c>
      <c r="G433" s="37" t="s">
        <v>557</v>
      </c>
      <c r="H433" s="37" t="s">
        <v>1320</v>
      </c>
      <c r="I433" s="42">
        <f t="shared" si="18"/>
        <v>7070</v>
      </c>
      <c r="J433" s="38">
        <f t="shared" si="19"/>
        <v>2.9957322735539909</v>
      </c>
      <c r="K433" s="38">
        <f t="shared" si="20"/>
        <v>8.863615758890619</v>
      </c>
      <c r="L433" s="40" t="b">
        <f>IF(B433=B432,C433&gt;C432,COUNTIF(B$1:B432,B433)=0)</f>
        <v>1</v>
      </c>
      <c r="M433" s="1"/>
    </row>
    <row r="434" spans="1:13" x14ac:dyDescent="0.25">
      <c r="A434" s="37" t="s">
        <v>2319</v>
      </c>
      <c r="B434" s="37" t="s">
        <v>552</v>
      </c>
      <c r="C434" s="37">
        <v>30</v>
      </c>
      <c r="D434" s="37">
        <v>5.75</v>
      </c>
      <c r="E434" s="37" t="s">
        <v>1895</v>
      </c>
      <c r="F434" s="37">
        <v>40</v>
      </c>
      <c r="G434" s="37" t="s">
        <v>557</v>
      </c>
      <c r="H434" s="37" t="s">
        <v>1320</v>
      </c>
      <c r="I434" s="42">
        <f t="shared" si="18"/>
        <v>5750</v>
      </c>
      <c r="J434" s="38">
        <f t="shared" si="19"/>
        <v>3.4011973816621555</v>
      </c>
      <c r="K434" s="38">
        <f t="shared" si="20"/>
        <v>8.6569551337913957</v>
      </c>
      <c r="L434" s="40" t="b">
        <f>IF(B434=B433,C434&gt;C433,COUNTIF(B$1:B433,B434)=0)</f>
        <v>1</v>
      </c>
      <c r="M434" s="1"/>
    </row>
    <row r="435" spans="1:13" x14ac:dyDescent="0.25">
      <c r="A435" s="37" t="s">
        <v>2320</v>
      </c>
      <c r="B435" s="37" t="s">
        <v>552</v>
      </c>
      <c r="C435" s="37">
        <v>50</v>
      </c>
      <c r="D435" s="37">
        <v>4.42</v>
      </c>
      <c r="E435" s="37" t="s">
        <v>1895</v>
      </c>
      <c r="F435" s="37">
        <v>40</v>
      </c>
      <c r="G435" s="37" t="s">
        <v>557</v>
      </c>
      <c r="H435" s="37" t="s">
        <v>1320</v>
      </c>
      <c r="I435" s="42">
        <f t="shared" si="18"/>
        <v>4420</v>
      </c>
      <c r="J435" s="38">
        <f t="shared" si="19"/>
        <v>3.912023005428146</v>
      </c>
      <c r="K435" s="38">
        <f t="shared" si="20"/>
        <v>8.3938949750717438</v>
      </c>
      <c r="L435" s="40" t="b">
        <f>IF(B435=B434,C435&gt;C434,COUNTIF(B$1:B434,B435)=0)</f>
        <v>1</v>
      </c>
      <c r="M435" s="1"/>
    </row>
    <row r="436" spans="1:13" x14ac:dyDescent="0.25">
      <c r="A436" s="37" t="s">
        <v>2321</v>
      </c>
      <c r="B436" s="37" t="s">
        <v>552</v>
      </c>
      <c r="C436" s="37">
        <v>88</v>
      </c>
      <c r="D436" s="37">
        <v>3.3</v>
      </c>
      <c r="E436" s="37" t="s">
        <v>1895</v>
      </c>
      <c r="F436" s="37">
        <v>40</v>
      </c>
      <c r="G436" s="37" t="s">
        <v>557</v>
      </c>
      <c r="H436" s="37" t="s">
        <v>1320</v>
      </c>
      <c r="I436" s="42">
        <f t="shared" si="18"/>
        <v>3300</v>
      </c>
      <c r="J436" s="38">
        <f t="shared" si="19"/>
        <v>4.4773368144782069</v>
      </c>
      <c r="K436" s="38">
        <f t="shared" si="20"/>
        <v>8.1016777474545716</v>
      </c>
      <c r="L436" s="40" t="b">
        <f>IF(B436=B435,C436&gt;C435,COUNTIF(B$1:B435,B436)=0)</f>
        <v>1</v>
      </c>
      <c r="M436" s="1"/>
    </row>
    <row r="437" spans="1:13" x14ac:dyDescent="0.25">
      <c r="A437" s="37" t="s">
        <v>2322</v>
      </c>
      <c r="B437" s="37" t="s">
        <v>552</v>
      </c>
      <c r="C437" s="37">
        <v>100</v>
      </c>
      <c r="D437" s="37">
        <v>3.08</v>
      </c>
      <c r="E437" s="37" t="s">
        <v>1895</v>
      </c>
      <c r="F437" s="37">
        <v>40</v>
      </c>
      <c r="G437" s="37" t="s">
        <v>557</v>
      </c>
      <c r="H437" s="37" t="s">
        <v>1320</v>
      </c>
      <c r="I437" s="42">
        <f t="shared" si="18"/>
        <v>3080</v>
      </c>
      <c r="J437" s="38">
        <f t="shared" si="19"/>
        <v>4.6051701859880918</v>
      </c>
      <c r="K437" s="38">
        <f t="shared" si="20"/>
        <v>8.0326848759676199</v>
      </c>
      <c r="L437" s="40" t="b">
        <f>IF(B437=B436,C437&gt;C436,COUNTIF(B$1:B436,B437)=0)</f>
        <v>1</v>
      </c>
      <c r="M437" s="1"/>
    </row>
    <row r="438" spans="1:13" x14ac:dyDescent="0.25">
      <c r="A438" s="37" t="s">
        <v>2323</v>
      </c>
      <c r="B438" s="37" t="s">
        <v>552</v>
      </c>
      <c r="C438" s="37">
        <v>108</v>
      </c>
      <c r="D438" s="37">
        <v>2.96</v>
      </c>
      <c r="E438" s="37" t="s">
        <v>1895</v>
      </c>
      <c r="F438" s="37">
        <v>40</v>
      </c>
      <c r="G438" s="37" t="s">
        <v>557</v>
      </c>
      <c r="H438" s="37" t="s">
        <v>1320</v>
      </c>
      <c r="I438" s="42">
        <f t="shared" si="18"/>
        <v>2960</v>
      </c>
      <c r="J438" s="38">
        <f t="shared" si="19"/>
        <v>4.6821312271242199</v>
      </c>
      <c r="K438" s="38">
        <f t="shared" si="20"/>
        <v>7.992944547318106</v>
      </c>
      <c r="L438" s="40" t="b">
        <f>IF(B438=B437,C438&gt;C437,COUNTIF(B$1:B437,B438)=0)</f>
        <v>1</v>
      </c>
      <c r="M438" s="1"/>
    </row>
    <row r="439" spans="1:13" x14ac:dyDescent="0.25">
      <c r="A439" s="37" t="s">
        <v>2324</v>
      </c>
      <c r="B439" s="37" t="s">
        <v>552</v>
      </c>
      <c r="C439" s="37">
        <v>150</v>
      </c>
      <c r="D439" s="37">
        <v>2.4900000000000002</v>
      </c>
      <c r="E439" s="37" t="s">
        <v>1895</v>
      </c>
      <c r="F439" s="37">
        <v>40</v>
      </c>
      <c r="G439" s="37" t="s">
        <v>557</v>
      </c>
      <c r="H439" s="37" t="s">
        <v>1320</v>
      </c>
      <c r="I439" s="42">
        <f t="shared" si="18"/>
        <v>2490</v>
      </c>
      <c r="J439" s="38">
        <f t="shared" si="19"/>
        <v>5.0106352940962555</v>
      </c>
      <c r="K439" s="38">
        <f t="shared" si="20"/>
        <v>7.8200379894587533</v>
      </c>
      <c r="L439" s="40" t="b">
        <f>IF(B439=B438,C439&gt;C438,COUNTIF(B$1:B438,B439)=0)</f>
        <v>1</v>
      </c>
      <c r="M439" s="1"/>
    </row>
    <row r="440" spans="1:13" x14ac:dyDescent="0.25">
      <c r="A440" s="37" t="s">
        <v>2325</v>
      </c>
      <c r="B440" s="37" t="s">
        <v>552</v>
      </c>
      <c r="C440" s="37">
        <v>174</v>
      </c>
      <c r="D440" s="37">
        <v>2.2999999999999998</v>
      </c>
      <c r="E440" s="37" t="s">
        <v>1895</v>
      </c>
      <c r="F440" s="37">
        <v>40</v>
      </c>
      <c r="G440" s="37" t="s">
        <v>557</v>
      </c>
      <c r="H440" s="37" t="s">
        <v>1320</v>
      </c>
      <c r="I440" s="42">
        <f t="shared" si="18"/>
        <v>2300</v>
      </c>
      <c r="J440" s="38">
        <f t="shared" si="19"/>
        <v>5.1590552992145291</v>
      </c>
      <c r="K440" s="38">
        <f t="shared" si="20"/>
        <v>7.7406644019172415</v>
      </c>
      <c r="L440" s="40" t="b">
        <f>IF(B440=B439,C440&gt;C439,COUNTIF(B$1:B439,B440)=0)</f>
        <v>1</v>
      </c>
      <c r="M440" s="1"/>
    </row>
    <row r="441" spans="1:13" x14ac:dyDescent="0.25">
      <c r="A441" s="37" t="s">
        <v>2326</v>
      </c>
      <c r="B441" s="37" t="s">
        <v>552</v>
      </c>
      <c r="C441" s="37">
        <v>200</v>
      </c>
      <c r="D441" s="37">
        <v>2.14</v>
      </c>
      <c r="E441" s="37" t="s">
        <v>1895</v>
      </c>
      <c r="F441" s="37">
        <v>40</v>
      </c>
      <c r="G441" s="37" t="s">
        <v>557</v>
      </c>
      <c r="H441" s="37" t="s">
        <v>1320</v>
      </c>
      <c r="I441" s="42">
        <f t="shared" si="18"/>
        <v>2140</v>
      </c>
      <c r="J441" s="38">
        <f t="shared" si="19"/>
        <v>5.2983173665480363</v>
      </c>
      <c r="K441" s="38">
        <f t="shared" si="20"/>
        <v>7.6685611080158971</v>
      </c>
      <c r="L441" s="40" t="b">
        <f>IF(B441=B440,C441&gt;C440,COUNTIF(B$1:B440,B441)=0)</f>
        <v>1</v>
      </c>
      <c r="M441" s="1"/>
    </row>
    <row r="442" spans="1:13" x14ac:dyDescent="0.25">
      <c r="A442" s="37" t="s">
        <v>2327</v>
      </c>
      <c r="B442" s="37" t="s">
        <v>552</v>
      </c>
      <c r="C442" s="37">
        <v>300</v>
      </c>
      <c r="D442" s="37">
        <v>1.72</v>
      </c>
      <c r="E442" s="37" t="s">
        <v>1895</v>
      </c>
      <c r="F442" s="37">
        <v>40</v>
      </c>
      <c r="G442" s="37" t="s">
        <v>557</v>
      </c>
      <c r="H442" s="37" t="s">
        <v>1320</v>
      </c>
      <c r="I442" s="42">
        <f t="shared" si="18"/>
        <v>1720</v>
      </c>
      <c r="J442" s="38">
        <f t="shared" si="19"/>
        <v>5.7037824746562009</v>
      </c>
      <c r="K442" s="38">
        <f t="shared" si="20"/>
        <v>7.4500795698074986</v>
      </c>
      <c r="L442" s="40" t="b">
        <f>IF(B442=B441,C442&gt;C441,COUNTIF(B$1:B441,B442)=0)</f>
        <v>1</v>
      </c>
      <c r="M442" s="1"/>
    </row>
    <row r="443" spans="1:13" x14ac:dyDescent="0.25">
      <c r="A443" s="37" t="s">
        <v>2328</v>
      </c>
      <c r="B443" s="37" t="s">
        <v>552</v>
      </c>
      <c r="C443" s="37">
        <v>400</v>
      </c>
      <c r="D443" s="37">
        <v>1.48</v>
      </c>
      <c r="E443" s="37" t="s">
        <v>1895</v>
      </c>
      <c r="F443" s="37">
        <v>40</v>
      </c>
      <c r="G443" s="37" t="s">
        <v>557</v>
      </c>
      <c r="H443" s="37" t="s">
        <v>1320</v>
      </c>
      <c r="I443" s="42">
        <f t="shared" si="18"/>
        <v>1480</v>
      </c>
      <c r="J443" s="38">
        <f t="shared" si="19"/>
        <v>5.9914645471079817</v>
      </c>
      <c r="K443" s="38">
        <f t="shared" si="20"/>
        <v>7.2997973667581606</v>
      </c>
      <c r="L443" s="40" t="b">
        <f>IF(B443=B442,C443&gt;C442,COUNTIF(B$1:B442,B443)=0)</f>
        <v>1</v>
      </c>
      <c r="M443" s="1"/>
    </row>
    <row r="444" spans="1:13" x14ac:dyDescent="0.25">
      <c r="A444" s="37" t="s">
        <v>2329</v>
      </c>
      <c r="B444" s="37" t="s">
        <v>552</v>
      </c>
      <c r="C444" s="37">
        <v>450</v>
      </c>
      <c r="D444" s="37">
        <v>1.38</v>
      </c>
      <c r="E444" s="37" t="s">
        <v>1895</v>
      </c>
      <c r="F444" s="37">
        <v>40</v>
      </c>
      <c r="G444" s="37" t="s">
        <v>557</v>
      </c>
      <c r="H444" s="37" t="s">
        <v>1320</v>
      </c>
      <c r="I444" s="42">
        <f t="shared" si="18"/>
        <v>1380</v>
      </c>
      <c r="J444" s="38">
        <f t="shared" si="19"/>
        <v>6.1092475827643655</v>
      </c>
      <c r="K444" s="38">
        <f t="shared" si="20"/>
        <v>7.2298387781512501</v>
      </c>
      <c r="L444" s="40" t="b">
        <f>IF(B444=B443,C444&gt;C443,COUNTIF(B$1:B443,B444)=0)</f>
        <v>1</v>
      </c>
      <c r="M444" s="1"/>
    </row>
    <row r="445" spans="1:13" x14ac:dyDescent="0.25">
      <c r="A445" s="37" t="s">
        <v>2330</v>
      </c>
      <c r="B445" s="37" t="s">
        <v>552</v>
      </c>
      <c r="C445" s="37">
        <v>500</v>
      </c>
      <c r="D445" s="37">
        <v>1.31</v>
      </c>
      <c r="E445" s="37" t="s">
        <v>1895</v>
      </c>
      <c r="F445" s="37">
        <v>40</v>
      </c>
      <c r="G445" s="37" t="s">
        <v>557</v>
      </c>
      <c r="H445" s="37" t="s">
        <v>1320</v>
      </c>
      <c r="I445" s="42">
        <f t="shared" si="18"/>
        <v>1310</v>
      </c>
      <c r="J445" s="38">
        <f t="shared" si="19"/>
        <v>6.2146080984221914</v>
      </c>
      <c r="K445" s="38">
        <f t="shared" si="20"/>
        <v>7.1777824161951971</v>
      </c>
      <c r="L445" s="40" t="b">
        <f>IF(B445=B444,C445&gt;C444,COUNTIF(B$1:B444,B445)=0)</f>
        <v>1</v>
      </c>
      <c r="M445" s="1"/>
    </row>
    <row r="446" spans="1:13" x14ac:dyDescent="0.25">
      <c r="A446" s="37" t="s">
        <v>2331</v>
      </c>
      <c r="B446" s="37" t="s">
        <v>552</v>
      </c>
      <c r="C446" s="37">
        <v>512</v>
      </c>
      <c r="D446" s="37">
        <v>1.29</v>
      </c>
      <c r="E446" s="37" t="s">
        <v>1895</v>
      </c>
      <c r="F446" s="37">
        <v>40</v>
      </c>
      <c r="G446" s="37" t="s">
        <v>557</v>
      </c>
      <c r="H446" s="37" t="s">
        <v>1320</v>
      </c>
      <c r="I446" s="42">
        <f t="shared" si="18"/>
        <v>1290</v>
      </c>
      <c r="J446" s="38">
        <f t="shared" si="19"/>
        <v>6.2383246250395077</v>
      </c>
      <c r="K446" s="38">
        <f t="shared" si="20"/>
        <v>7.1623974973557178</v>
      </c>
      <c r="L446" s="40" t="b">
        <f>IF(B446=B445,C446&gt;C445,COUNTIF(B$1:B445,B446)=0)</f>
        <v>1</v>
      </c>
      <c r="M446" s="1"/>
    </row>
    <row r="447" spans="1:13" x14ac:dyDescent="0.25">
      <c r="A447" s="37" t="s">
        <v>2332</v>
      </c>
      <c r="B447" s="37" t="s">
        <v>552</v>
      </c>
      <c r="C447" s="37">
        <v>600</v>
      </c>
      <c r="D447" s="37">
        <v>1.18</v>
      </c>
      <c r="E447" s="37" t="s">
        <v>1895</v>
      </c>
      <c r="F447" s="37">
        <v>40</v>
      </c>
      <c r="G447" s="37" t="s">
        <v>557</v>
      </c>
      <c r="H447" s="37" t="s">
        <v>1320</v>
      </c>
      <c r="I447" s="42">
        <f t="shared" si="18"/>
        <v>1180</v>
      </c>
      <c r="J447" s="38">
        <f t="shared" si="19"/>
        <v>6.3969296552161463</v>
      </c>
      <c r="K447" s="38">
        <f t="shared" si="20"/>
        <v>7.0732697174597101</v>
      </c>
      <c r="L447" s="40" t="b">
        <f>IF(B447=B446,C447&gt;C446,COUNTIF(B$1:B446,B447)=0)</f>
        <v>1</v>
      </c>
      <c r="M447" s="1"/>
    </row>
    <row r="448" spans="1:13" x14ac:dyDescent="0.25">
      <c r="A448" s="37" t="s">
        <v>2333</v>
      </c>
      <c r="B448" s="37" t="s">
        <v>552</v>
      </c>
      <c r="C448" s="37">
        <v>700</v>
      </c>
      <c r="D448" s="37">
        <v>1.0900000000000001</v>
      </c>
      <c r="E448" s="37" t="s">
        <v>1895</v>
      </c>
      <c r="F448" s="37">
        <v>40</v>
      </c>
      <c r="G448" s="37" t="s">
        <v>557</v>
      </c>
      <c r="H448" s="37" t="s">
        <v>1320</v>
      </c>
      <c r="I448" s="42">
        <f t="shared" si="18"/>
        <v>1090</v>
      </c>
      <c r="J448" s="38">
        <f t="shared" si="19"/>
        <v>6.5510803350434044</v>
      </c>
      <c r="K448" s="38">
        <f t="shared" si="20"/>
        <v>6.9939329752231894</v>
      </c>
      <c r="L448" s="40" t="b">
        <f>IF(B448=B447,C448&gt;C447,COUNTIF(B$1:B447,B448)=0)</f>
        <v>1</v>
      </c>
      <c r="M448" s="1"/>
    </row>
    <row r="449" spans="1:13" x14ac:dyDescent="0.25">
      <c r="A449" s="37" t="s">
        <v>2334</v>
      </c>
      <c r="B449" s="37" t="s">
        <v>552</v>
      </c>
      <c r="C449" s="37">
        <v>800</v>
      </c>
      <c r="D449" s="37">
        <v>1.01</v>
      </c>
      <c r="E449" s="37" t="s">
        <v>1895</v>
      </c>
      <c r="F449" s="37">
        <v>40</v>
      </c>
      <c r="G449" s="37" t="s">
        <v>557</v>
      </c>
      <c r="H449" s="37" t="s">
        <v>1320</v>
      </c>
      <c r="I449" s="42">
        <f t="shared" si="18"/>
        <v>1010</v>
      </c>
      <c r="J449" s="38">
        <f t="shared" si="19"/>
        <v>6.6846117276679271</v>
      </c>
      <c r="K449" s="38">
        <f t="shared" si="20"/>
        <v>6.9177056098353047</v>
      </c>
      <c r="L449" s="40" t="b">
        <f>IF(B449=B448,C449&gt;C448,COUNTIF(B$1:B448,B449)=0)</f>
        <v>1</v>
      </c>
      <c r="M449" s="1"/>
    </row>
    <row r="450" spans="1:13" x14ac:dyDescent="0.25">
      <c r="A450" s="37" t="s">
        <v>2335</v>
      </c>
      <c r="B450" s="37" t="s">
        <v>552</v>
      </c>
      <c r="C450" s="37">
        <v>824</v>
      </c>
      <c r="D450" s="37">
        <v>0.99099999999999999</v>
      </c>
      <c r="E450" s="37" t="s">
        <v>1895</v>
      </c>
      <c r="F450" s="37">
        <v>40</v>
      </c>
      <c r="G450" s="37" t="s">
        <v>557</v>
      </c>
      <c r="H450" s="37" t="s">
        <v>1320</v>
      </c>
      <c r="I450" s="42">
        <f t="shared" ref="I450:I513" si="21">IF(E450="kW",D450*1000,D450)</f>
        <v>991</v>
      </c>
      <c r="J450" s="38">
        <f t="shared" ref="J450:J513" si="22">LN(C450)</f>
        <v>6.7141705299094721</v>
      </c>
      <c r="K450" s="38">
        <f t="shared" ref="K450:K513" si="23">LN(I450)</f>
        <v>6.8987145343299883</v>
      </c>
      <c r="L450" s="40" t="b">
        <f>IF(B450=B449,C450&gt;C449,COUNTIF(B$1:B449,B450)=0)</f>
        <v>1</v>
      </c>
      <c r="M450" s="1"/>
    </row>
    <row r="451" spans="1:13" x14ac:dyDescent="0.25">
      <c r="A451" s="37" t="s">
        <v>2336</v>
      </c>
      <c r="B451" s="37" t="s">
        <v>552</v>
      </c>
      <c r="C451" s="37">
        <v>894</v>
      </c>
      <c r="D451" s="37">
        <v>0.94699999999999995</v>
      </c>
      <c r="E451" s="37" t="s">
        <v>1895</v>
      </c>
      <c r="F451" s="37">
        <v>40</v>
      </c>
      <c r="G451" s="37" t="s">
        <v>557</v>
      </c>
      <c r="H451" s="37" t="s">
        <v>1320</v>
      </c>
      <c r="I451" s="42">
        <f t="shared" si="21"/>
        <v>947</v>
      </c>
      <c r="J451" s="38">
        <f t="shared" si="22"/>
        <v>6.7957057751735137</v>
      </c>
      <c r="K451" s="38">
        <f t="shared" si="23"/>
        <v>6.8532990931860782</v>
      </c>
      <c r="L451" s="40" t="b">
        <f>IF(B451=B450,C451&gt;C450,COUNTIF(B$1:B450,B451)=0)</f>
        <v>1</v>
      </c>
      <c r="M451" s="1"/>
    </row>
    <row r="452" spans="1:13" x14ac:dyDescent="0.25">
      <c r="A452" s="37" t="s">
        <v>2337</v>
      </c>
      <c r="B452" s="37" t="s">
        <v>552</v>
      </c>
      <c r="C452" s="37">
        <v>960</v>
      </c>
      <c r="D452" s="37">
        <v>0.90900000000000003</v>
      </c>
      <c r="E452" s="37" t="s">
        <v>1895</v>
      </c>
      <c r="F452" s="37">
        <v>40</v>
      </c>
      <c r="G452" s="37" t="s">
        <v>557</v>
      </c>
      <c r="H452" s="37" t="s">
        <v>1320</v>
      </c>
      <c r="I452" s="42">
        <f t="shared" si="21"/>
        <v>909</v>
      </c>
      <c r="J452" s="38">
        <f t="shared" si="22"/>
        <v>6.866933284461882</v>
      </c>
      <c r="K452" s="38">
        <f t="shared" si="23"/>
        <v>6.8123450941774788</v>
      </c>
      <c r="L452" s="40" t="b">
        <f>IF(B452=B451,C452&gt;C451,COUNTIF(B$1:B451,B452)=0)</f>
        <v>1</v>
      </c>
      <c r="M452" s="1"/>
    </row>
    <row r="453" spans="1:13" x14ac:dyDescent="0.25">
      <c r="A453" s="37" t="s">
        <v>2338</v>
      </c>
      <c r="B453" s="37" t="s">
        <v>552</v>
      </c>
      <c r="C453" s="37">
        <v>1000</v>
      </c>
      <c r="D453" s="37">
        <v>0.88900000000000001</v>
      </c>
      <c r="E453" s="37" t="s">
        <v>1895</v>
      </c>
      <c r="F453" s="37">
        <v>40</v>
      </c>
      <c r="G453" s="37" t="s">
        <v>557</v>
      </c>
      <c r="H453" s="37" t="s">
        <v>1320</v>
      </c>
      <c r="I453" s="42">
        <f t="shared" si="21"/>
        <v>889</v>
      </c>
      <c r="J453" s="38">
        <f t="shared" si="22"/>
        <v>6.9077552789821368</v>
      </c>
      <c r="K453" s="38">
        <f t="shared" si="23"/>
        <v>6.7900972355139046</v>
      </c>
      <c r="L453" s="40" t="b">
        <f>IF(B453=B452,C453&gt;C452,COUNTIF(B$1:B452,B453)=0)</f>
        <v>1</v>
      </c>
      <c r="M453" s="1"/>
    </row>
    <row r="454" spans="1:13" x14ac:dyDescent="0.25">
      <c r="A454" s="37" t="s">
        <v>2339</v>
      </c>
      <c r="B454" s="37" t="s">
        <v>552</v>
      </c>
      <c r="C454" s="37">
        <v>1250</v>
      </c>
      <c r="D454" s="37">
        <v>0.78300000000000003</v>
      </c>
      <c r="E454" s="37" t="s">
        <v>1895</v>
      </c>
      <c r="F454" s="37">
        <v>40</v>
      </c>
      <c r="G454" s="37" t="s">
        <v>557</v>
      </c>
      <c r="H454" s="37" t="s">
        <v>1320</v>
      </c>
      <c r="I454" s="42">
        <f t="shared" si="21"/>
        <v>783</v>
      </c>
      <c r="J454" s="38">
        <f t="shared" si="22"/>
        <v>7.1308988302963465</v>
      </c>
      <c r="K454" s="38">
        <f t="shared" si="23"/>
        <v>6.6631326959908028</v>
      </c>
      <c r="L454" s="40" t="b">
        <f>IF(B454=B453,C454&gt;C453,COUNTIF(B$1:B453,B454)=0)</f>
        <v>1</v>
      </c>
      <c r="M454" s="1"/>
    </row>
    <row r="455" spans="1:13" x14ac:dyDescent="0.25">
      <c r="A455" s="37" t="s">
        <v>2340</v>
      </c>
      <c r="B455" s="37" t="s">
        <v>552</v>
      </c>
      <c r="C455" s="37">
        <v>1500</v>
      </c>
      <c r="D455" s="37">
        <v>0.70499999999999996</v>
      </c>
      <c r="E455" s="37" t="s">
        <v>1895</v>
      </c>
      <c r="F455" s="37">
        <v>40</v>
      </c>
      <c r="G455" s="37" t="s">
        <v>557</v>
      </c>
      <c r="H455" s="37" t="s">
        <v>1320</v>
      </c>
      <c r="I455" s="42">
        <f t="shared" si="21"/>
        <v>705</v>
      </c>
      <c r="J455" s="38">
        <f t="shared" si="22"/>
        <v>7.3132203870903014</v>
      </c>
      <c r="K455" s="38">
        <f t="shared" si="23"/>
        <v>6.5581978028122689</v>
      </c>
      <c r="L455" s="40" t="b">
        <f>IF(B455=B454,C455&gt;C454,COUNTIF(B$1:B454,B455)=0)</f>
        <v>1</v>
      </c>
      <c r="M455" s="1"/>
    </row>
    <row r="456" spans="1:13" x14ac:dyDescent="0.25">
      <c r="A456" s="37" t="s">
        <v>2341</v>
      </c>
      <c r="B456" s="37" t="s">
        <v>552</v>
      </c>
      <c r="C456" s="37">
        <v>1700</v>
      </c>
      <c r="D456" s="37">
        <v>0.65600000000000003</v>
      </c>
      <c r="E456" s="37" t="s">
        <v>1895</v>
      </c>
      <c r="F456" s="37">
        <v>40</v>
      </c>
      <c r="G456" s="37" t="s">
        <v>557</v>
      </c>
      <c r="H456" s="37" t="s">
        <v>1320</v>
      </c>
      <c r="I456" s="42">
        <f t="shared" si="21"/>
        <v>656</v>
      </c>
      <c r="J456" s="38">
        <f t="shared" si="22"/>
        <v>7.4383835300443071</v>
      </c>
      <c r="K456" s="38">
        <f t="shared" si="23"/>
        <v>6.4861607889440887</v>
      </c>
      <c r="L456" s="40" t="b">
        <f>IF(B456=B455,C456&gt;C455,COUNTIF(B$1:B455,B456)=0)</f>
        <v>1</v>
      </c>
      <c r="M456" s="1"/>
    </row>
    <row r="457" spans="1:13" x14ac:dyDescent="0.25">
      <c r="A457" s="37" t="s">
        <v>2342</v>
      </c>
      <c r="B457" s="37" t="s">
        <v>552</v>
      </c>
      <c r="C457" s="37">
        <v>1800</v>
      </c>
      <c r="D457" s="37">
        <v>0.63400000000000001</v>
      </c>
      <c r="E457" s="37" t="s">
        <v>1895</v>
      </c>
      <c r="F457" s="37">
        <v>40</v>
      </c>
      <c r="G457" s="37" t="s">
        <v>557</v>
      </c>
      <c r="H457" s="37" t="s">
        <v>1320</v>
      </c>
      <c r="I457" s="42">
        <f t="shared" si="21"/>
        <v>634</v>
      </c>
      <c r="J457" s="38">
        <f t="shared" si="22"/>
        <v>7.4955419438842563</v>
      </c>
      <c r="K457" s="38">
        <f t="shared" si="23"/>
        <v>6.4520489544372257</v>
      </c>
      <c r="L457" s="40" t="b">
        <f>IF(B457=B456,C457&gt;C456,COUNTIF(B$1:B456,B457)=0)</f>
        <v>1</v>
      </c>
      <c r="M457" s="1"/>
    </row>
    <row r="458" spans="1:13" x14ac:dyDescent="0.25">
      <c r="A458" s="37" t="s">
        <v>2343</v>
      </c>
      <c r="B458" s="37" t="s">
        <v>552</v>
      </c>
      <c r="C458" s="37">
        <v>2000</v>
      </c>
      <c r="D458" s="37">
        <v>0.59699999999999998</v>
      </c>
      <c r="E458" s="37" t="s">
        <v>1895</v>
      </c>
      <c r="F458" s="37">
        <v>40</v>
      </c>
      <c r="G458" s="37" t="s">
        <v>557</v>
      </c>
      <c r="H458" s="37" t="s">
        <v>1320</v>
      </c>
      <c r="I458" s="42">
        <f t="shared" si="21"/>
        <v>597</v>
      </c>
      <c r="J458" s="38">
        <f t="shared" si="22"/>
        <v>7.6009024595420822</v>
      </c>
      <c r="K458" s="38">
        <f t="shared" si="23"/>
        <v>6.3919171133926023</v>
      </c>
      <c r="L458" s="40" t="b">
        <f>IF(B458=B457,C458&gt;C457,COUNTIF(B$1:B457,B458)=0)</f>
        <v>1</v>
      </c>
      <c r="M458" s="1"/>
    </row>
    <row r="459" spans="1:13" x14ac:dyDescent="0.25">
      <c r="A459" s="37" t="s">
        <v>2344</v>
      </c>
      <c r="B459" s="37" t="s">
        <v>552</v>
      </c>
      <c r="C459" s="37">
        <v>2100</v>
      </c>
      <c r="D459" s="37">
        <v>0.57999999999999996</v>
      </c>
      <c r="E459" s="37" t="s">
        <v>1895</v>
      </c>
      <c r="F459" s="37">
        <v>40</v>
      </c>
      <c r="G459" s="37" t="s">
        <v>557</v>
      </c>
      <c r="H459" s="37" t="s">
        <v>1320</v>
      </c>
      <c r="I459" s="42">
        <f t="shared" si="21"/>
        <v>580</v>
      </c>
      <c r="J459" s="38">
        <f t="shared" si="22"/>
        <v>7.6496926237115144</v>
      </c>
      <c r="K459" s="38">
        <f t="shared" si="23"/>
        <v>6.363028103540465</v>
      </c>
      <c r="L459" s="40" t="b">
        <f>IF(B459=B458,C459&gt;C458,COUNTIF(B$1:B458,B459)=0)</f>
        <v>1</v>
      </c>
      <c r="M459" s="1"/>
    </row>
    <row r="460" spans="1:13" x14ac:dyDescent="0.25">
      <c r="A460" s="37" t="s">
        <v>2345</v>
      </c>
      <c r="B460" s="37" t="s">
        <v>552</v>
      </c>
      <c r="C460" s="37">
        <v>2200</v>
      </c>
      <c r="D460" s="37">
        <v>0.56399999999999995</v>
      </c>
      <c r="E460" s="37" t="s">
        <v>1895</v>
      </c>
      <c r="F460" s="37">
        <v>40</v>
      </c>
      <c r="G460" s="37" t="s">
        <v>557</v>
      </c>
      <c r="H460" s="37" t="s">
        <v>1320</v>
      </c>
      <c r="I460" s="42">
        <f t="shared" si="21"/>
        <v>564</v>
      </c>
      <c r="J460" s="38">
        <f t="shared" si="22"/>
        <v>7.696212639346407</v>
      </c>
      <c r="K460" s="38">
        <f t="shared" si="23"/>
        <v>6.3350542514980592</v>
      </c>
      <c r="L460" s="40" t="b">
        <f>IF(B460=B459,C460&gt;C459,COUNTIF(B$1:B459,B460)=0)</f>
        <v>1</v>
      </c>
      <c r="M460" s="1"/>
    </row>
    <row r="461" spans="1:13" x14ac:dyDescent="0.25">
      <c r="A461" s="37" t="s">
        <v>2346</v>
      </c>
      <c r="B461" s="37" t="s">
        <v>552</v>
      </c>
      <c r="C461" s="37">
        <v>2300</v>
      </c>
      <c r="D461" s="37">
        <v>0.54900000000000004</v>
      </c>
      <c r="E461" s="37" t="s">
        <v>1895</v>
      </c>
      <c r="F461" s="37">
        <v>40</v>
      </c>
      <c r="G461" s="37" t="s">
        <v>557</v>
      </c>
      <c r="H461" s="37" t="s">
        <v>1320</v>
      </c>
      <c r="I461" s="42">
        <f t="shared" si="21"/>
        <v>549</v>
      </c>
      <c r="J461" s="38">
        <f t="shared" si="22"/>
        <v>7.7406644019172415</v>
      </c>
      <c r="K461" s="38">
        <f t="shared" si="23"/>
        <v>6.3080984415095305</v>
      </c>
      <c r="L461" s="40" t="b">
        <f>IF(B461=B460,C461&gt;C460,COUNTIF(B$1:B460,B461)=0)</f>
        <v>1</v>
      </c>
      <c r="M461" s="1"/>
    </row>
    <row r="462" spans="1:13" x14ac:dyDescent="0.25">
      <c r="A462" s="37" t="s">
        <v>2347</v>
      </c>
      <c r="B462" s="37" t="s">
        <v>552</v>
      </c>
      <c r="C462" s="37">
        <v>3000</v>
      </c>
      <c r="D462" s="37">
        <v>0.46899999999999997</v>
      </c>
      <c r="E462" s="37" t="s">
        <v>1895</v>
      </c>
      <c r="F462" s="37">
        <v>40</v>
      </c>
      <c r="G462" s="37" t="s">
        <v>557</v>
      </c>
      <c r="H462" s="37" t="s">
        <v>1320</v>
      </c>
      <c r="I462" s="42">
        <f t="shared" si="21"/>
        <v>469</v>
      </c>
      <c r="J462" s="38">
        <f t="shared" si="22"/>
        <v>8.0063675676502459</v>
      </c>
      <c r="K462" s="38">
        <f t="shared" si="23"/>
        <v>6.1506027684462792</v>
      </c>
      <c r="L462" s="40" t="b">
        <f>IF(B462=B461,C462&gt;C461,COUNTIF(B$1:B461,B462)=0)</f>
        <v>1</v>
      </c>
      <c r="M462" s="1"/>
    </row>
    <row r="463" spans="1:13" x14ac:dyDescent="0.25">
      <c r="A463" s="37" t="s">
        <v>2348</v>
      </c>
      <c r="B463" s="37" t="s">
        <v>552</v>
      </c>
      <c r="C463" s="37">
        <v>3400</v>
      </c>
      <c r="D463" s="37">
        <v>0.435</v>
      </c>
      <c r="E463" s="37" t="s">
        <v>1895</v>
      </c>
      <c r="F463" s="37">
        <v>40</v>
      </c>
      <c r="G463" s="37" t="s">
        <v>557</v>
      </c>
      <c r="H463" s="37" t="s">
        <v>1320</v>
      </c>
      <c r="I463" s="42">
        <f t="shared" si="21"/>
        <v>435</v>
      </c>
      <c r="J463" s="38">
        <f t="shared" si="22"/>
        <v>8.1315307106042525</v>
      </c>
      <c r="K463" s="38">
        <f t="shared" si="23"/>
        <v>6.0753460310886842</v>
      </c>
      <c r="L463" s="40" t="b">
        <f>IF(B463=B462,C463&gt;C462,COUNTIF(B$1:B462,B463)=0)</f>
        <v>1</v>
      </c>
      <c r="M463" s="1"/>
    </row>
    <row r="464" spans="1:13" x14ac:dyDescent="0.25">
      <c r="A464" s="37" t="s">
        <v>2349</v>
      </c>
      <c r="B464" s="37" t="s">
        <v>552</v>
      </c>
      <c r="C464" s="37">
        <v>4000</v>
      </c>
      <c r="D464" s="37">
        <v>0.39400000000000002</v>
      </c>
      <c r="E464" s="37" t="s">
        <v>1895</v>
      </c>
      <c r="F464" s="37">
        <v>40</v>
      </c>
      <c r="G464" s="37" t="s">
        <v>557</v>
      </c>
      <c r="H464" s="37" t="s">
        <v>1320</v>
      </c>
      <c r="I464" s="42">
        <f t="shared" si="21"/>
        <v>394</v>
      </c>
      <c r="J464" s="38">
        <f t="shared" si="22"/>
        <v>8.2940496401020276</v>
      </c>
      <c r="K464" s="38">
        <f t="shared" si="23"/>
        <v>5.9763509092979339</v>
      </c>
      <c r="L464" s="40" t="b">
        <f>IF(B464=B463,C464&gt;C463,COUNTIF(B$1:B463,B464)=0)</f>
        <v>1</v>
      </c>
      <c r="M464" s="1"/>
    </row>
    <row r="465" spans="1:13" x14ac:dyDescent="0.25">
      <c r="A465" s="37" t="s">
        <v>2350</v>
      </c>
      <c r="B465" s="37" t="s">
        <v>552</v>
      </c>
      <c r="C465" s="37">
        <v>5000</v>
      </c>
      <c r="D465" s="37">
        <v>0.34300000000000003</v>
      </c>
      <c r="E465" s="37" t="s">
        <v>1895</v>
      </c>
      <c r="F465" s="37">
        <v>40</v>
      </c>
      <c r="G465" s="37" t="s">
        <v>557</v>
      </c>
      <c r="H465" s="37" t="s">
        <v>1320</v>
      </c>
      <c r="I465" s="42">
        <f t="shared" si="21"/>
        <v>343</v>
      </c>
      <c r="J465" s="38">
        <f t="shared" si="22"/>
        <v>8.5171931914162382</v>
      </c>
      <c r="K465" s="38">
        <f t="shared" si="23"/>
        <v>5.8377304471659395</v>
      </c>
      <c r="L465" s="40" t="b">
        <f>IF(B465=B464,C465&gt;C464,COUNTIF(B$1:B464,B465)=0)</f>
        <v>1</v>
      </c>
      <c r="M465" s="1"/>
    </row>
    <row r="466" spans="1:13" x14ac:dyDescent="0.25">
      <c r="A466" s="37" t="s">
        <v>2351</v>
      </c>
      <c r="B466" s="37" t="s">
        <v>552</v>
      </c>
      <c r="C466" s="37">
        <v>6000</v>
      </c>
      <c r="D466" s="37">
        <v>0.30599999999999999</v>
      </c>
      <c r="E466" s="37" t="s">
        <v>1895</v>
      </c>
      <c r="F466" s="37">
        <v>40</v>
      </c>
      <c r="G466" s="37" t="s">
        <v>557</v>
      </c>
      <c r="H466" s="37" t="s">
        <v>1320</v>
      </c>
      <c r="I466" s="42">
        <f t="shared" si="21"/>
        <v>306</v>
      </c>
      <c r="J466" s="38">
        <f t="shared" si="22"/>
        <v>8.6995147482101913</v>
      </c>
      <c r="K466" s="38">
        <f t="shared" si="23"/>
        <v>5.7235851019523807</v>
      </c>
      <c r="L466" s="40" t="b">
        <f>IF(B466=B465,C466&gt;C465,COUNTIF(B$1:B465,B466)=0)</f>
        <v>1</v>
      </c>
      <c r="M466" s="1"/>
    </row>
    <row r="467" spans="1:13" x14ac:dyDescent="0.25">
      <c r="A467" s="37" t="s">
        <v>2352</v>
      </c>
      <c r="B467" s="37" t="s">
        <v>552</v>
      </c>
      <c r="C467" s="37">
        <v>8000</v>
      </c>
      <c r="D467" s="37">
        <v>0.254</v>
      </c>
      <c r="E467" s="37" t="s">
        <v>1895</v>
      </c>
      <c r="F467" s="37">
        <v>40</v>
      </c>
      <c r="G467" s="37" t="s">
        <v>557</v>
      </c>
      <c r="H467" s="37" t="s">
        <v>1320</v>
      </c>
      <c r="I467" s="42">
        <f t="shared" si="21"/>
        <v>254</v>
      </c>
      <c r="J467" s="38">
        <f t="shared" si="22"/>
        <v>8.987196820661973</v>
      </c>
      <c r="K467" s="38">
        <f t="shared" si="23"/>
        <v>5.5373342670185366</v>
      </c>
      <c r="L467" s="40" t="b">
        <f>IF(B467=B466,C467&gt;C466,COUNTIF(B$1:B466,B467)=0)</f>
        <v>1</v>
      </c>
      <c r="M467" s="1"/>
    </row>
    <row r="468" spans="1:13" x14ac:dyDescent="0.25">
      <c r="A468" s="37" t="s">
        <v>2353</v>
      </c>
      <c r="B468" s="37" t="s">
        <v>552</v>
      </c>
      <c r="C468" s="37">
        <v>10000</v>
      </c>
      <c r="D468" s="37">
        <v>0.22</v>
      </c>
      <c r="E468" s="37" t="s">
        <v>1895</v>
      </c>
      <c r="F468" s="37">
        <v>40</v>
      </c>
      <c r="G468" s="37" t="s">
        <v>557</v>
      </c>
      <c r="H468" s="37" t="s">
        <v>1320</v>
      </c>
      <c r="I468" s="42">
        <f t="shared" si="21"/>
        <v>220</v>
      </c>
      <c r="J468" s="38">
        <f t="shared" si="22"/>
        <v>9.2103403719761836</v>
      </c>
      <c r="K468" s="38">
        <f t="shared" si="23"/>
        <v>5.393627546352362</v>
      </c>
      <c r="L468" s="40" t="b">
        <f>IF(B468=B467,C468&gt;C467,COUNTIF(B$1:B467,B468)=0)</f>
        <v>1</v>
      </c>
      <c r="M468" s="1"/>
    </row>
    <row r="469" spans="1:13" x14ac:dyDescent="0.25">
      <c r="A469" s="37" t="s">
        <v>2354</v>
      </c>
      <c r="B469" s="37" t="s">
        <v>552</v>
      </c>
      <c r="C469" s="37">
        <v>10200</v>
      </c>
      <c r="D469" s="37">
        <v>0.217</v>
      </c>
      <c r="E469" s="37" t="s">
        <v>1895</v>
      </c>
      <c r="F469" s="37">
        <v>40</v>
      </c>
      <c r="G469" s="37" t="s">
        <v>557</v>
      </c>
      <c r="H469" s="37" t="s">
        <v>1320</v>
      </c>
      <c r="I469" s="42">
        <f t="shared" si="21"/>
        <v>217</v>
      </c>
      <c r="J469" s="38">
        <f t="shared" si="22"/>
        <v>9.2301429992723616</v>
      </c>
      <c r="K469" s="38">
        <f t="shared" si="23"/>
        <v>5.3798973535404597</v>
      </c>
      <c r="L469" s="40" t="b">
        <f>IF(B469=B468,C469&gt;C468,COUNTIF(B$1:B468,B469)=0)</f>
        <v>1</v>
      </c>
      <c r="M469" s="1"/>
    </row>
    <row r="470" spans="1:13" x14ac:dyDescent="0.25">
      <c r="A470" s="37" t="s">
        <v>2355</v>
      </c>
      <c r="B470" s="37" t="s">
        <v>558</v>
      </c>
      <c r="C470" s="37">
        <v>0.5</v>
      </c>
      <c r="D470" s="37">
        <v>15.6</v>
      </c>
      <c r="E470" s="37" t="s">
        <v>1895</v>
      </c>
      <c r="F470" s="37">
        <v>40</v>
      </c>
      <c r="G470" s="37" t="s">
        <v>563</v>
      </c>
      <c r="H470" s="37" t="s">
        <v>1047</v>
      </c>
      <c r="I470" s="42">
        <f t="shared" si="21"/>
        <v>15600</v>
      </c>
      <c r="J470" s="38">
        <f t="shared" si="22"/>
        <v>-0.69314718055994529</v>
      </c>
      <c r="K470" s="38">
        <f t="shared" si="23"/>
        <v>9.655026193237628</v>
      </c>
      <c r="L470" s="40" t="b">
        <f>IF(B470=B469,C470&gt;C469,COUNTIF(B$1:B469,B470)=0)</f>
        <v>1</v>
      </c>
      <c r="M470" s="1"/>
    </row>
    <row r="471" spans="1:13" x14ac:dyDescent="0.25">
      <c r="A471" s="37" t="s">
        <v>2356</v>
      </c>
      <c r="B471" s="37" t="s">
        <v>558</v>
      </c>
      <c r="C471" s="37">
        <v>1</v>
      </c>
      <c r="D471" s="37">
        <v>15.6</v>
      </c>
      <c r="E471" s="37" t="s">
        <v>1895</v>
      </c>
      <c r="F471" s="37">
        <v>40</v>
      </c>
      <c r="G471" s="37" t="s">
        <v>563</v>
      </c>
      <c r="H471" s="37" t="s">
        <v>1047</v>
      </c>
      <c r="I471" s="42">
        <f t="shared" si="21"/>
        <v>15600</v>
      </c>
      <c r="J471" s="38">
        <f t="shared" si="22"/>
        <v>0</v>
      </c>
      <c r="K471" s="38">
        <f t="shared" si="23"/>
        <v>9.655026193237628</v>
      </c>
      <c r="L471" s="40" t="b">
        <f>IF(B471=B470,C471&gt;C470,COUNTIF(B$1:B470,B471)=0)</f>
        <v>1</v>
      </c>
      <c r="M471" s="1"/>
    </row>
    <row r="472" spans="1:13" x14ac:dyDescent="0.25">
      <c r="A472" s="37" t="s">
        <v>2357</v>
      </c>
      <c r="B472" s="37" t="s">
        <v>558</v>
      </c>
      <c r="C472" s="37">
        <v>1.5</v>
      </c>
      <c r="D472" s="37">
        <v>15.6</v>
      </c>
      <c r="E472" s="37" t="s">
        <v>1895</v>
      </c>
      <c r="F472" s="37">
        <v>40</v>
      </c>
      <c r="G472" s="37" t="s">
        <v>563</v>
      </c>
      <c r="H472" s="37" t="s">
        <v>1047</v>
      </c>
      <c r="I472" s="42">
        <f t="shared" si="21"/>
        <v>15600</v>
      </c>
      <c r="J472" s="38">
        <f t="shared" si="22"/>
        <v>0.40546510810816438</v>
      </c>
      <c r="K472" s="38">
        <f t="shared" si="23"/>
        <v>9.655026193237628</v>
      </c>
      <c r="L472" s="40" t="b">
        <f>IF(B472=B471,C472&gt;C471,COUNTIF(B$1:B471,B472)=0)</f>
        <v>1</v>
      </c>
      <c r="M472" s="1"/>
    </row>
    <row r="473" spans="1:13" x14ac:dyDescent="0.25">
      <c r="A473" s="37" t="s">
        <v>2358</v>
      </c>
      <c r="B473" s="37" t="s">
        <v>558</v>
      </c>
      <c r="C473" s="37">
        <v>2</v>
      </c>
      <c r="D473" s="37">
        <v>15.6</v>
      </c>
      <c r="E473" s="37" t="s">
        <v>1895</v>
      </c>
      <c r="F473" s="37">
        <v>40</v>
      </c>
      <c r="G473" s="37" t="s">
        <v>563</v>
      </c>
      <c r="H473" s="37" t="s">
        <v>1047</v>
      </c>
      <c r="I473" s="42">
        <f t="shared" si="21"/>
        <v>15600</v>
      </c>
      <c r="J473" s="38">
        <f t="shared" si="22"/>
        <v>0.69314718055994529</v>
      </c>
      <c r="K473" s="38">
        <f t="shared" si="23"/>
        <v>9.655026193237628</v>
      </c>
      <c r="L473" s="40" t="b">
        <f>IF(B473=B472,C473&gt;C472,COUNTIF(B$1:B472,B473)=0)</f>
        <v>1</v>
      </c>
      <c r="M473" s="1"/>
    </row>
    <row r="474" spans="1:13" x14ac:dyDescent="0.25">
      <c r="A474" s="37" t="s">
        <v>2359</v>
      </c>
      <c r="B474" s="37" t="s">
        <v>558</v>
      </c>
      <c r="C474" s="37">
        <v>10</v>
      </c>
      <c r="D474" s="37">
        <v>7.28</v>
      </c>
      <c r="E474" s="37" t="s">
        <v>1895</v>
      </c>
      <c r="F474" s="37">
        <v>40</v>
      </c>
      <c r="G474" s="37" t="s">
        <v>563</v>
      </c>
      <c r="H474" s="37" t="s">
        <v>1047</v>
      </c>
      <c r="I474" s="42">
        <f t="shared" si="21"/>
        <v>7280</v>
      </c>
      <c r="J474" s="38">
        <f t="shared" si="22"/>
        <v>2.3025850929940459</v>
      </c>
      <c r="K474" s="38">
        <f t="shared" si="23"/>
        <v>8.892886141190731</v>
      </c>
      <c r="L474" s="40" t="b">
        <f>IF(B474=B473,C474&gt;C473,COUNTIF(B$1:B473,B474)=0)</f>
        <v>1</v>
      </c>
      <c r="M474" s="1"/>
    </row>
    <row r="475" spans="1:13" x14ac:dyDescent="0.25">
      <c r="A475" s="37" t="s">
        <v>2360</v>
      </c>
      <c r="B475" s="37" t="s">
        <v>558</v>
      </c>
      <c r="C475" s="37">
        <v>20</v>
      </c>
      <c r="D475" s="37">
        <v>5.13</v>
      </c>
      <c r="E475" s="37" t="s">
        <v>1895</v>
      </c>
      <c r="F475" s="37">
        <v>40</v>
      </c>
      <c r="G475" s="37" t="s">
        <v>563</v>
      </c>
      <c r="H475" s="37" t="s">
        <v>1047</v>
      </c>
      <c r="I475" s="42">
        <f t="shared" si="21"/>
        <v>5130</v>
      </c>
      <c r="J475" s="38">
        <f t="shared" si="22"/>
        <v>2.9957322735539909</v>
      </c>
      <c r="K475" s="38">
        <f t="shared" si="23"/>
        <v>8.5428609381648144</v>
      </c>
      <c r="L475" s="40" t="b">
        <f>IF(B475=B474,C475&gt;C474,COUNTIF(B$1:B474,B475)=0)</f>
        <v>1</v>
      </c>
      <c r="M475" s="1"/>
    </row>
    <row r="476" spans="1:13" x14ac:dyDescent="0.25">
      <c r="A476" s="37" t="s">
        <v>2361</v>
      </c>
      <c r="B476" s="37" t="s">
        <v>558</v>
      </c>
      <c r="C476" s="37">
        <v>30</v>
      </c>
      <c r="D476" s="37">
        <v>4.17</v>
      </c>
      <c r="E476" s="37" t="s">
        <v>1895</v>
      </c>
      <c r="F476" s="37">
        <v>40</v>
      </c>
      <c r="G476" s="37" t="s">
        <v>563</v>
      </c>
      <c r="H476" s="37" t="s">
        <v>1047</v>
      </c>
      <c r="I476" s="42">
        <f t="shared" si="21"/>
        <v>4170</v>
      </c>
      <c r="J476" s="38">
        <f t="shared" si="22"/>
        <v>3.4011973816621555</v>
      </c>
      <c r="K476" s="38">
        <f t="shared" si="23"/>
        <v>8.3356713147928474</v>
      </c>
      <c r="L476" s="40" t="b">
        <f>IF(B476=B475,C476&gt;C475,COUNTIF(B$1:B475,B476)=0)</f>
        <v>1</v>
      </c>
      <c r="M476" s="1"/>
    </row>
    <row r="477" spans="1:13" x14ac:dyDescent="0.25">
      <c r="A477" s="37" t="s">
        <v>2362</v>
      </c>
      <c r="B477" s="37" t="s">
        <v>558</v>
      </c>
      <c r="C477" s="37">
        <v>50</v>
      </c>
      <c r="D477" s="37">
        <v>3.22</v>
      </c>
      <c r="E477" s="37" t="s">
        <v>1895</v>
      </c>
      <c r="F477" s="37">
        <v>40</v>
      </c>
      <c r="G477" s="37" t="s">
        <v>563</v>
      </c>
      <c r="H477" s="37" t="s">
        <v>1047</v>
      </c>
      <c r="I477" s="42">
        <f t="shared" si="21"/>
        <v>3220</v>
      </c>
      <c r="J477" s="38">
        <f t="shared" si="22"/>
        <v>3.912023005428146</v>
      </c>
      <c r="K477" s="38">
        <f t="shared" si="23"/>
        <v>8.0771366385384535</v>
      </c>
      <c r="L477" s="40" t="b">
        <f>IF(B477=B476,C477&gt;C476,COUNTIF(B$1:B476,B477)=0)</f>
        <v>1</v>
      </c>
      <c r="M477" s="1"/>
    </row>
    <row r="478" spans="1:13" x14ac:dyDescent="0.25">
      <c r="A478" s="37" t="s">
        <v>2363</v>
      </c>
      <c r="B478" s="37" t="s">
        <v>558</v>
      </c>
      <c r="C478" s="37">
        <v>88</v>
      </c>
      <c r="D478" s="37">
        <v>2.41</v>
      </c>
      <c r="E478" s="37" t="s">
        <v>1895</v>
      </c>
      <c r="F478" s="37">
        <v>40</v>
      </c>
      <c r="G478" s="37" t="s">
        <v>563</v>
      </c>
      <c r="H478" s="37" t="s">
        <v>1047</v>
      </c>
      <c r="I478" s="42">
        <f t="shared" si="21"/>
        <v>2410</v>
      </c>
      <c r="J478" s="38">
        <f t="shared" si="22"/>
        <v>4.4773368144782069</v>
      </c>
      <c r="K478" s="38">
        <f t="shared" si="23"/>
        <v>7.7873820264847007</v>
      </c>
      <c r="L478" s="40" t="b">
        <f>IF(B478=B477,C478&gt;C477,COUNTIF(B$1:B477,B478)=0)</f>
        <v>1</v>
      </c>
      <c r="M478" s="1"/>
    </row>
    <row r="479" spans="1:13" x14ac:dyDescent="0.25">
      <c r="A479" s="37" t="s">
        <v>2364</v>
      </c>
      <c r="B479" s="37" t="s">
        <v>558</v>
      </c>
      <c r="C479" s="37">
        <v>100</v>
      </c>
      <c r="D479" s="37">
        <v>2.25</v>
      </c>
      <c r="E479" s="37" t="s">
        <v>1895</v>
      </c>
      <c r="F479" s="37">
        <v>40</v>
      </c>
      <c r="G479" s="37" t="s">
        <v>563</v>
      </c>
      <c r="H479" s="37" t="s">
        <v>1047</v>
      </c>
      <c r="I479" s="42">
        <f t="shared" si="21"/>
        <v>2250</v>
      </c>
      <c r="J479" s="38">
        <f t="shared" si="22"/>
        <v>4.6051701859880918</v>
      </c>
      <c r="K479" s="38">
        <f t="shared" si="23"/>
        <v>7.718685495198466</v>
      </c>
      <c r="L479" s="40" t="b">
        <f>IF(B479=B478,C479&gt;C478,COUNTIF(B$1:B478,B479)=0)</f>
        <v>1</v>
      </c>
      <c r="M479" s="1"/>
    </row>
    <row r="480" spans="1:13" x14ac:dyDescent="0.25">
      <c r="A480" s="37" t="s">
        <v>2365</v>
      </c>
      <c r="B480" s="37" t="s">
        <v>558</v>
      </c>
      <c r="C480" s="37">
        <v>108</v>
      </c>
      <c r="D480" s="37">
        <v>2.17</v>
      </c>
      <c r="E480" s="37" t="s">
        <v>1895</v>
      </c>
      <c r="F480" s="37">
        <v>40</v>
      </c>
      <c r="G480" s="37" t="s">
        <v>563</v>
      </c>
      <c r="H480" s="37" t="s">
        <v>1047</v>
      </c>
      <c r="I480" s="42">
        <f t="shared" si="21"/>
        <v>2170</v>
      </c>
      <c r="J480" s="38">
        <f t="shared" si="22"/>
        <v>4.6821312271242199</v>
      </c>
      <c r="K480" s="38">
        <f t="shared" si="23"/>
        <v>7.6824824465345056</v>
      </c>
      <c r="L480" s="40" t="b">
        <f>IF(B480=B479,C480&gt;C479,COUNTIF(B$1:B479,B480)=0)</f>
        <v>1</v>
      </c>
      <c r="M480" s="1"/>
    </row>
    <row r="481" spans="1:13" x14ac:dyDescent="0.25">
      <c r="A481" s="37" t="s">
        <v>2366</v>
      </c>
      <c r="B481" s="37" t="s">
        <v>558</v>
      </c>
      <c r="C481" s="37">
        <v>150</v>
      </c>
      <c r="D481" s="37">
        <v>1.83</v>
      </c>
      <c r="E481" s="37" t="s">
        <v>1895</v>
      </c>
      <c r="F481" s="37">
        <v>40</v>
      </c>
      <c r="G481" s="37" t="s">
        <v>563</v>
      </c>
      <c r="H481" s="37" t="s">
        <v>1047</v>
      </c>
      <c r="I481" s="42">
        <f t="shared" si="21"/>
        <v>1830</v>
      </c>
      <c r="J481" s="38">
        <f t="shared" si="22"/>
        <v>5.0106352940962555</v>
      </c>
      <c r="K481" s="38">
        <f t="shared" si="23"/>
        <v>7.5120712458354664</v>
      </c>
      <c r="L481" s="40" t="b">
        <f>IF(B481=B480,C481&gt;C480,COUNTIF(B$1:B480,B481)=0)</f>
        <v>1</v>
      </c>
      <c r="M481" s="1"/>
    </row>
    <row r="482" spans="1:13" x14ac:dyDescent="0.25">
      <c r="A482" s="37" t="s">
        <v>2367</v>
      </c>
      <c r="B482" s="37" t="s">
        <v>558</v>
      </c>
      <c r="C482" s="37">
        <v>174</v>
      </c>
      <c r="D482" s="37">
        <v>1.69</v>
      </c>
      <c r="E482" s="37" t="s">
        <v>1895</v>
      </c>
      <c r="F482" s="37">
        <v>40</v>
      </c>
      <c r="G482" s="37" t="s">
        <v>563</v>
      </c>
      <c r="H482" s="37" t="s">
        <v>1047</v>
      </c>
      <c r="I482" s="42">
        <f t="shared" si="21"/>
        <v>1690</v>
      </c>
      <c r="J482" s="38">
        <f t="shared" si="22"/>
        <v>5.1590552992145291</v>
      </c>
      <c r="K482" s="38">
        <f t="shared" si="23"/>
        <v>7.4324838079171194</v>
      </c>
      <c r="L482" s="40" t="b">
        <f>IF(B482=B481,C482&gt;C481,COUNTIF(B$1:B481,B482)=0)</f>
        <v>1</v>
      </c>
      <c r="M482" s="1"/>
    </row>
    <row r="483" spans="1:13" x14ac:dyDescent="0.25">
      <c r="A483" s="37" t="s">
        <v>2368</v>
      </c>
      <c r="B483" s="37" t="s">
        <v>558</v>
      </c>
      <c r="C483" s="37">
        <v>200</v>
      </c>
      <c r="D483" s="37">
        <v>1.57</v>
      </c>
      <c r="E483" s="37" t="s">
        <v>1895</v>
      </c>
      <c r="F483" s="37">
        <v>40</v>
      </c>
      <c r="G483" s="37" t="s">
        <v>563</v>
      </c>
      <c r="H483" s="37" t="s">
        <v>1047</v>
      </c>
      <c r="I483" s="42">
        <f t="shared" si="21"/>
        <v>1570</v>
      </c>
      <c r="J483" s="38">
        <f t="shared" si="22"/>
        <v>5.2983173665480363</v>
      </c>
      <c r="K483" s="38">
        <f t="shared" si="23"/>
        <v>7.3588308983423536</v>
      </c>
      <c r="L483" s="40" t="b">
        <f>IF(B483=B482,C483&gt;C482,COUNTIF(B$1:B482,B483)=0)</f>
        <v>1</v>
      </c>
      <c r="M483" s="1"/>
    </row>
    <row r="484" spans="1:13" x14ac:dyDescent="0.25">
      <c r="A484" s="37" t="s">
        <v>2369</v>
      </c>
      <c r="B484" s="37" t="s">
        <v>558</v>
      </c>
      <c r="C484" s="37">
        <v>300</v>
      </c>
      <c r="D484" s="37">
        <v>1.27</v>
      </c>
      <c r="E484" s="37" t="s">
        <v>1895</v>
      </c>
      <c r="F484" s="37">
        <v>40</v>
      </c>
      <c r="G484" s="37" t="s">
        <v>563</v>
      </c>
      <c r="H484" s="37" t="s">
        <v>1047</v>
      </c>
      <c r="I484" s="42">
        <f t="shared" si="21"/>
        <v>1270</v>
      </c>
      <c r="J484" s="38">
        <f t="shared" si="22"/>
        <v>5.7037824746562009</v>
      </c>
      <c r="K484" s="38">
        <f t="shared" si="23"/>
        <v>7.1467721794526371</v>
      </c>
      <c r="L484" s="40" t="b">
        <f>IF(B484=B483,C484&gt;C483,COUNTIF(B$1:B483,B484)=0)</f>
        <v>1</v>
      </c>
      <c r="M484" s="1"/>
    </row>
    <row r="485" spans="1:13" x14ac:dyDescent="0.25">
      <c r="A485" s="37" t="s">
        <v>2370</v>
      </c>
      <c r="B485" s="37" t="s">
        <v>558</v>
      </c>
      <c r="C485" s="37">
        <v>400</v>
      </c>
      <c r="D485" s="37">
        <v>1.0900000000000001</v>
      </c>
      <c r="E485" s="37" t="s">
        <v>1895</v>
      </c>
      <c r="F485" s="37">
        <v>40</v>
      </c>
      <c r="G485" s="37" t="s">
        <v>563</v>
      </c>
      <c r="H485" s="37" t="s">
        <v>1047</v>
      </c>
      <c r="I485" s="42">
        <f t="shared" si="21"/>
        <v>1090</v>
      </c>
      <c r="J485" s="38">
        <f t="shared" si="22"/>
        <v>5.9914645471079817</v>
      </c>
      <c r="K485" s="38">
        <f t="shared" si="23"/>
        <v>6.9939329752231894</v>
      </c>
      <c r="L485" s="40" t="b">
        <f>IF(B485=B484,C485&gt;C484,COUNTIF(B$1:B484,B485)=0)</f>
        <v>1</v>
      </c>
      <c r="M485" s="1"/>
    </row>
    <row r="486" spans="1:13" x14ac:dyDescent="0.25">
      <c r="A486" s="37" t="s">
        <v>2371</v>
      </c>
      <c r="B486" s="37" t="s">
        <v>558</v>
      </c>
      <c r="C486" s="37">
        <v>450</v>
      </c>
      <c r="D486" s="37">
        <v>1.03</v>
      </c>
      <c r="E486" s="37" t="s">
        <v>1895</v>
      </c>
      <c r="F486" s="37">
        <v>40</v>
      </c>
      <c r="G486" s="37" t="s">
        <v>563</v>
      </c>
      <c r="H486" s="37" t="s">
        <v>1047</v>
      </c>
      <c r="I486" s="42">
        <f t="shared" si="21"/>
        <v>1030</v>
      </c>
      <c r="J486" s="38">
        <f t="shared" si="22"/>
        <v>6.1092475827643655</v>
      </c>
      <c r="K486" s="38">
        <f t="shared" si="23"/>
        <v>6.9373140812236818</v>
      </c>
      <c r="L486" s="40" t="b">
        <f>IF(B486=B485,C486&gt;C485,COUNTIF(B$1:B485,B486)=0)</f>
        <v>1</v>
      </c>
      <c r="M486" s="1"/>
    </row>
    <row r="487" spans="1:13" x14ac:dyDescent="0.25">
      <c r="A487" s="37" t="s">
        <v>2372</v>
      </c>
      <c r="B487" s="37" t="s">
        <v>558</v>
      </c>
      <c r="C487" s="37">
        <v>500</v>
      </c>
      <c r="D487" s="37">
        <v>0.97</v>
      </c>
      <c r="E487" s="37" t="s">
        <v>1895</v>
      </c>
      <c r="F487" s="37">
        <v>40</v>
      </c>
      <c r="G487" s="37" t="s">
        <v>563</v>
      </c>
      <c r="H487" s="37" t="s">
        <v>1047</v>
      </c>
      <c r="I487" s="42">
        <f t="shared" si="21"/>
        <v>970</v>
      </c>
      <c r="J487" s="38">
        <f t="shared" si="22"/>
        <v>6.2146080984221914</v>
      </c>
      <c r="K487" s="38">
        <f t="shared" si="23"/>
        <v>6.8772960714974287</v>
      </c>
      <c r="L487" s="40" t="b">
        <f>IF(B487=B486,C487&gt;C486,COUNTIF(B$1:B486,B487)=0)</f>
        <v>1</v>
      </c>
      <c r="M487" s="1"/>
    </row>
    <row r="488" spans="1:13" x14ac:dyDescent="0.25">
      <c r="A488" s="37" t="s">
        <v>2373</v>
      </c>
      <c r="B488" s="37" t="s">
        <v>558</v>
      </c>
      <c r="C488" s="37">
        <v>512</v>
      </c>
      <c r="D488" s="37">
        <v>0.96</v>
      </c>
      <c r="E488" s="37" t="s">
        <v>1895</v>
      </c>
      <c r="F488" s="37">
        <v>40</v>
      </c>
      <c r="G488" s="37" t="s">
        <v>563</v>
      </c>
      <c r="H488" s="37" t="s">
        <v>1047</v>
      </c>
      <c r="I488" s="42">
        <f t="shared" si="21"/>
        <v>960</v>
      </c>
      <c r="J488" s="38">
        <f t="shared" si="22"/>
        <v>6.2383246250395077</v>
      </c>
      <c r="K488" s="38">
        <f t="shared" si="23"/>
        <v>6.866933284461882</v>
      </c>
      <c r="L488" s="40" t="b">
        <f>IF(B488=B487,C488&gt;C487,COUNTIF(B$1:B487,B488)=0)</f>
        <v>1</v>
      </c>
      <c r="M488" s="1"/>
    </row>
    <row r="489" spans="1:13" x14ac:dyDescent="0.25">
      <c r="A489" s="37" t="s">
        <v>2374</v>
      </c>
      <c r="B489" s="37" t="s">
        <v>558</v>
      </c>
      <c r="C489" s="37">
        <v>600</v>
      </c>
      <c r="D489" s="37">
        <v>0.88</v>
      </c>
      <c r="E489" s="37" t="s">
        <v>1895</v>
      </c>
      <c r="F489" s="37">
        <v>40</v>
      </c>
      <c r="G489" s="37" t="s">
        <v>563</v>
      </c>
      <c r="H489" s="37" t="s">
        <v>1047</v>
      </c>
      <c r="I489" s="42">
        <f t="shared" si="21"/>
        <v>880</v>
      </c>
      <c r="J489" s="38">
        <f t="shared" si="22"/>
        <v>6.3969296552161463</v>
      </c>
      <c r="K489" s="38">
        <f t="shared" si="23"/>
        <v>6.7799219074722519</v>
      </c>
      <c r="L489" s="40" t="b">
        <f>IF(B489=B488,C489&gt;C488,COUNTIF(B$1:B488,B489)=0)</f>
        <v>1</v>
      </c>
      <c r="M489" s="1"/>
    </row>
    <row r="490" spans="1:13" x14ac:dyDescent="0.25">
      <c r="A490" s="37" t="s">
        <v>2375</v>
      </c>
      <c r="B490" s="37" t="s">
        <v>558</v>
      </c>
      <c r="C490" s="37">
        <v>700</v>
      </c>
      <c r="D490" s="37">
        <v>0.81</v>
      </c>
      <c r="E490" s="37" t="s">
        <v>1895</v>
      </c>
      <c r="F490" s="37">
        <v>40</v>
      </c>
      <c r="G490" s="37" t="s">
        <v>563</v>
      </c>
      <c r="H490" s="37" t="s">
        <v>1047</v>
      </c>
      <c r="I490" s="42">
        <f t="shared" si="21"/>
        <v>810</v>
      </c>
      <c r="J490" s="38">
        <f t="shared" si="22"/>
        <v>6.5510803350434044</v>
      </c>
      <c r="K490" s="38">
        <f t="shared" si="23"/>
        <v>6.6970342476664841</v>
      </c>
      <c r="L490" s="40" t="b">
        <f>IF(B490=B489,C490&gt;C489,COUNTIF(B$1:B489,B490)=0)</f>
        <v>1</v>
      </c>
      <c r="M490" s="1"/>
    </row>
    <row r="491" spans="1:13" x14ac:dyDescent="0.25">
      <c r="A491" s="37" t="s">
        <v>2376</v>
      </c>
      <c r="B491" s="37" t="s">
        <v>558</v>
      </c>
      <c r="C491" s="37">
        <v>800</v>
      </c>
      <c r="D491" s="37">
        <v>0.75</v>
      </c>
      <c r="E491" s="37" t="s">
        <v>1895</v>
      </c>
      <c r="F491" s="37">
        <v>40</v>
      </c>
      <c r="G491" s="37" t="s">
        <v>563</v>
      </c>
      <c r="H491" s="37" t="s">
        <v>1047</v>
      </c>
      <c r="I491" s="42">
        <f t="shared" si="21"/>
        <v>750</v>
      </c>
      <c r="J491" s="38">
        <f t="shared" si="22"/>
        <v>6.6846117276679271</v>
      </c>
      <c r="K491" s="38">
        <f t="shared" si="23"/>
        <v>6.620073206530356</v>
      </c>
      <c r="L491" s="40" t="b">
        <f>IF(B491=B490,C491&gt;C490,COUNTIF(B$1:B490,B491)=0)</f>
        <v>1</v>
      </c>
      <c r="M491" s="1"/>
    </row>
    <row r="492" spans="1:13" x14ac:dyDescent="0.25">
      <c r="A492" s="37" t="s">
        <v>2377</v>
      </c>
      <c r="B492" s="37" t="s">
        <v>558</v>
      </c>
      <c r="C492" s="37">
        <v>824</v>
      </c>
      <c r="D492" s="37">
        <v>0.74</v>
      </c>
      <c r="E492" s="37" t="s">
        <v>1895</v>
      </c>
      <c r="F492" s="37">
        <v>40</v>
      </c>
      <c r="G492" s="37" t="s">
        <v>563</v>
      </c>
      <c r="H492" s="37" t="s">
        <v>1047</v>
      </c>
      <c r="I492" s="42">
        <f t="shared" si="21"/>
        <v>740</v>
      </c>
      <c r="J492" s="38">
        <f t="shared" si="22"/>
        <v>6.7141705299094721</v>
      </c>
      <c r="K492" s="38">
        <f t="shared" si="23"/>
        <v>6.6066501861982152</v>
      </c>
      <c r="L492" s="40" t="b">
        <f>IF(B492=B491,C492&gt;C491,COUNTIF(B$1:B491,B492)=0)</f>
        <v>1</v>
      </c>
      <c r="M492" s="1"/>
    </row>
    <row r="493" spans="1:13" x14ac:dyDescent="0.25">
      <c r="A493" s="37" t="s">
        <v>2378</v>
      </c>
      <c r="B493" s="37" t="s">
        <v>558</v>
      </c>
      <c r="C493" s="37">
        <v>894</v>
      </c>
      <c r="D493" s="37">
        <v>0.71</v>
      </c>
      <c r="E493" s="37" t="s">
        <v>1895</v>
      </c>
      <c r="F493" s="37">
        <v>40</v>
      </c>
      <c r="G493" s="37" t="s">
        <v>563</v>
      </c>
      <c r="H493" s="37" t="s">
        <v>1047</v>
      </c>
      <c r="I493" s="42">
        <f t="shared" si="21"/>
        <v>710</v>
      </c>
      <c r="J493" s="38">
        <f t="shared" si="22"/>
        <v>6.7957057751735137</v>
      </c>
      <c r="K493" s="38">
        <f t="shared" si="23"/>
        <v>6.5652649700353614</v>
      </c>
      <c r="L493" s="40" t="b">
        <f>IF(B493=B492,C493&gt;C492,COUNTIF(B$1:B492,B493)=0)</f>
        <v>1</v>
      </c>
      <c r="M493" s="1"/>
    </row>
    <row r="494" spans="1:13" x14ac:dyDescent="0.25">
      <c r="A494" s="37" t="s">
        <v>2379</v>
      </c>
      <c r="B494" s="37" t="s">
        <v>558</v>
      </c>
      <c r="C494" s="37">
        <v>960</v>
      </c>
      <c r="D494" s="37">
        <v>0.68</v>
      </c>
      <c r="E494" s="37" t="s">
        <v>1895</v>
      </c>
      <c r="F494" s="37">
        <v>40</v>
      </c>
      <c r="G494" s="37" t="s">
        <v>563</v>
      </c>
      <c r="H494" s="37" t="s">
        <v>1047</v>
      </c>
      <c r="I494" s="42">
        <f t="shared" si="21"/>
        <v>680</v>
      </c>
      <c r="J494" s="38">
        <f t="shared" si="22"/>
        <v>6.866933284461882</v>
      </c>
      <c r="K494" s="38">
        <f t="shared" si="23"/>
        <v>6.522092798170152</v>
      </c>
      <c r="L494" s="40" t="b">
        <f>IF(B494=B493,C494&gt;C493,COUNTIF(B$1:B493,B494)=0)</f>
        <v>1</v>
      </c>
      <c r="M494" s="1"/>
    </row>
    <row r="495" spans="1:13" x14ac:dyDescent="0.25">
      <c r="A495" s="37" t="s">
        <v>2380</v>
      </c>
      <c r="B495" s="37" t="s">
        <v>558</v>
      </c>
      <c r="C495" s="37">
        <v>1000</v>
      </c>
      <c r="D495" s="37">
        <v>0.67</v>
      </c>
      <c r="E495" s="37" t="s">
        <v>1895</v>
      </c>
      <c r="F495" s="37">
        <v>40</v>
      </c>
      <c r="G495" s="37" t="s">
        <v>563</v>
      </c>
      <c r="H495" s="37" t="s">
        <v>1047</v>
      </c>
      <c r="I495" s="42">
        <f t="shared" si="21"/>
        <v>670</v>
      </c>
      <c r="J495" s="38">
        <f t="shared" si="22"/>
        <v>6.9077552789821368</v>
      </c>
      <c r="K495" s="38">
        <f t="shared" si="23"/>
        <v>6.5072777123850116</v>
      </c>
      <c r="L495" s="40" t="b">
        <f>IF(B495=B494,C495&gt;C494,COUNTIF(B$1:B494,B495)=0)</f>
        <v>1</v>
      </c>
      <c r="M495" s="1"/>
    </row>
    <row r="496" spans="1:13" x14ac:dyDescent="0.25">
      <c r="A496" s="37" t="s">
        <v>2381</v>
      </c>
      <c r="B496" s="37" t="s">
        <v>558</v>
      </c>
      <c r="C496" s="37">
        <v>1250</v>
      </c>
      <c r="D496" s="37">
        <v>0.59</v>
      </c>
      <c r="E496" s="37" t="s">
        <v>1895</v>
      </c>
      <c r="F496" s="37">
        <v>40</v>
      </c>
      <c r="G496" s="37" t="s">
        <v>563</v>
      </c>
      <c r="H496" s="37" t="s">
        <v>1047</v>
      </c>
      <c r="I496" s="42">
        <f t="shared" si="21"/>
        <v>590</v>
      </c>
      <c r="J496" s="38">
        <f t="shared" si="22"/>
        <v>7.1308988302963465</v>
      </c>
      <c r="K496" s="38">
        <f t="shared" si="23"/>
        <v>6.3801225368997647</v>
      </c>
      <c r="L496" s="40" t="b">
        <f>IF(B496=B495,C496&gt;C495,COUNTIF(B$1:B495,B496)=0)</f>
        <v>1</v>
      </c>
      <c r="M496" s="1"/>
    </row>
    <row r="497" spans="1:13" x14ac:dyDescent="0.25">
      <c r="A497" s="37" t="s">
        <v>2382</v>
      </c>
      <c r="B497" s="37" t="s">
        <v>558</v>
      </c>
      <c r="C497" s="37">
        <v>1500</v>
      </c>
      <c r="D497" s="37">
        <v>0.53</v>
      </c>
      <c r="E497" s="37" t="s">
        <v>1895</v>
      </c>
      <c r="F497" s="37">
        <v>40</v>
      </c>
      <c r="G497" s="37" t="s">
        <v>563</v>
      </c>
      <c r="H497" s="37" t="s">
        <v>1047</v>
      </c>
      <c r="I497" s="42">
        <f t="shared" si="21"/>
        <v>530</v>
      </c>
      <c r="J497" s="38">
        <f t="shared" si="22"/>
        <v>7.3132203870903014</v>
      </c>
      <c r="K497" s="38">
        <f t="shared" si="23"/>
        <v>6.2728770065461674</v>
      </c>
      <c r="L497" s="40" t="b">
        <f>IF(B497=B496,C497&gt;C496,COUNTIF(B$1:B496,B497)=0)</f>
        <v>1</v>
      </c>
      <c r="M497" s="1"/>
    </row>
    <row r="498" spans="1:13" x14ac:dyDescent="0.25">
      <c r="A498" s="37" t="s">
        <v>2383</v>
      </c>
      <c r="B498" s="37" t="s">
        <v>558</v>
      </c>
      <c r="C498" s="37">
        <v>1700</v>
      </c>
      <c r="D498" s="37">
        <v>0.5</v>
      </c>
      <c r="E498" s="37" t="s">
        <v>1895</v>
      </c>
      <c r="F498" s="37">
        <v>40</v>
      </c>
      <c r="G498" s="37" t="s">
        <v>563</v>
      </c>
      <c r="H498" s="37" t="s">
        <v>1047</v>
      </c>
      <c r="I498" s="42">
        <f t="shared" si="21"/>
        <v>500</v>
      </c>
      <c r="J498" s="38">
        <f t="shared" si="22"/>
        <v>7.4383835300443071</v>
      </c>
      <c r="K498" s="38">
        <f t="shared" si="23"/>
        <v>6.2146080984221914</v>
      </c>
      <c r="L498" s="40" t="b">
        <f>IF(B498=B497,C498&gt;C497,COUNTIF(B$1:B497,B498)=0)</f>
        <v>1</v>
      </c>
      <c r="M498" s="1"/>
    </row>
    <row r="499" spans="1:13" x14ac:dyDescent="0.25">
      <c r="A499" s="37" t="s">
        <v>2384</v>
      </c>
      <c r="B499" s="37" t="s">
        <v>558</v>
      </c>
      <c r="C499" s="37">
        <v>1800</v>
      </c>
      <c r="D499" s="37">
        <v>0.48</v>
      </c>
      <c r="E499" s="37" t="s">
        <v>1895</v>
      </c>
      <c r="F499" s="37">
        <v>40</v>
      </c>
      <c r="G499" s="37" t="s">
        <v>563</v>
      </c>
      <c r="H499" s="37" t="s">
        <v>1047</v>
      </c>
      <c r="I499" s="42">
        <f t="shared" si="21"/>
        <v>480</v>
      </c>
      <c r="J499" s="38">
        <f t="shared" si="22"/>
        <v>7.4955419438842563</v>
      </c>
      <c r="K499" s="38">
        <f t="shared" si="23"/>
        <v>6.1737861039019366</v>
      </c>
      <c r="L499" s="40" t="b">
        <f>IF(B499=B498,C499&gt;C498,COUNTIF(B$1:B498,B499)=0)</f>
        <v>1</v>
      </c>
      <c r="M499" s="1"/>
    </row>
    <row r="500" spans="1:13" x14ac:dyDescent="0.25">
      <c r="A500" s="37" t="s">
        <v>2385</v>
      </c>
      <c r="B500" s="37" t="s">
        <v>558</v>
      </c>
      <c r="C500" s="37">
        <v>2000</v>
      </c>
      <c r="D500" s="37">
        <v>0.45</v>
      </c>
      <c r="E500" s="37" t="s">
        <v>1895</v>
      </c>
      <c r="F500" s="37">
        <v>40</v>
      </c>
      <c r="G500" s="37" t="s">
        <v>563</v>
      </c>
      <c r="H500" s="37" t="s">
        <v>1047</v>
      </c>
      <c r="I500" s="42">
        <f t="shared" si="21"/>
        <v>450</v>
      </c>
      <c r="J500" s="38">
        <f t="shared" si="22"/>
        <v>7.6009024595420822</v>
      </c>
      <c r="K500" s="38">
        <f t="shared" si="23"/>
        <v>6.1092475827643655</v>
      </c>
      <c r="L500" s="40" t="b">
        <f>IF(B500=B499,C500&gt;C499,COUNTIF(B$1:B499,B500)=0)</f>
        <v>1</v>
      </c>
      <c r="M500" s="1"/>
    </row>
    <row r="501" spans="1:13" x14ac:dyDescent="0.25">
      <c r="A501" s="37" t="s">
        <v>2386</v>
      </c>
      <c r="B501" s="37" t="s">
        <v>558</v>
      </c>
      <c r="C501" s="37">
        <v>2100</v>
      </c>
      <c r="D501" s="37">
        <v>0.44</v>
      </c>
      <c r="E501" s="37" t="s">
        <v>1895</v>
      </c>
      <c r="F501" s="37">
        <v>40</v>
      </c>
      <c r="G501" s="37" t="s">
        <v>563</v>
      </c>
      <c r="H501" s="37" t="s">
        <v>1047</v>
      </c>
      <c r="I501" s="42">
        <f t="shared" si="21"/>
        <v>440</v>
      </c>
      <c r="J501" s="38">
        <f t="shared" si="22"/>
        <v>7.6496926237115144</v>
      </c>
      <c r="K501" s="38">
        <f t="shared" si="23"/>
        <v>6.0867747269123065</v>
      </c>
      <c r="L501" s="40" t="b">
        <f>IF(B501=B500,C501&gt;C500,COUNTIF(B$1:B500,B501)=0)</f>
        <v>1</v>
      </c>
      <c r="M501" s="1"/>
    </row>
    <row r="502" spans="1:13" x14ac:dyDescent="0.25">
      <c r="A502" s="37" t="s">
        <v>2387</v>
      </c>
      <c r="B502" s="37" t="s">
        <v>558</v>
      </c>
      <c r="C502" s="37">
        <v>2200</v>
      </c>
      <c r="D502" s="37">
        <v>0.43</v>
      </c>
      <c r="E502" s="37" t="s">
        <v>1895</v>
      </c>
      <c r="F502" s="37">
        <v>40</v>
      </c>
      <c r="G502" s="37" t="s">
        <v>563</v>
      </c>
      <c r="H502" s="37" t="s">
        <v>1047</v>
      </c>
      <c r="I502" s="42">
        <f t="shared" si="21"/>
        <v>430</v>
      </c>
      <c r="J502" s="38">
        <f t="shared" si="22"/>
        <v>7.696212639346407</v>
      </c>
      <c r="K502" s="38">
        <f t="shared" si="23"/>
        <v>6.0637852086876078</v>
      </c>
      <c r="L502" s="40" t="b">
        <f>IF(B502=B501,C502&gt;C501,COUNTIF(B$1:B501,B502)=0)</f>
        <v>1</v>
      </c>
      <c r="M502" s="1"/>
    </row>
    <row r="503" spans="1:13" x14ac:dyDescent="0.25">
      <c r="A503" s="37" t="s">
        <v>2388</v>
      </c>
      <c r="B503" s="37" t="s">
        <v>558</v>
      </c>
      <c r="C503" s="37">
        <v>2300</v>
      </c>
      <c r="D503" s="37">
        <v>0.42</v>
      </c>
      <c r="E503" s="37" t="s">
        <v>1895</v>
      </c>
      <c r="F503" s="37">
        <v>40</v>
      </c>
      <c r="G503" s="37" t="s">
        <v>563</v>
      </c>
      <c r="H503" s="37" t="s">
        <v>1047</v>
      </c>
      <c r="I503" s="42">
        <f t="shared" si="21"/>
        <v>420</v>
      </c>
      <c r="J503" s="38">
        <f t="shared" si="22"/>
        <v>7.7406644019172415</v>
      </c>
      <c r="K503" s="38">
        <f t="shared" si="23"/>
        <v>6.0402547112774139</v>
      </c>
      <c r="L503" s="40" t="b">
        <f>IF(B503=B502,C503&gt;C502,COUNTIF(B$1:B502,B503)=0)</f>
        <v>1</v>
      </c>
      <c r="M503" s="1"/>
    </row>
    <row r="504" spans="1:13" x14ac:dyDescent="0.25">
      <c r="A504" s="37" t="s">
        <v>2389</v>
      </c>
      <c r="B504" s="37" t="s">
        <v>558</v>
      </c>
      <c r="C504" s="37">
        <v>2500</v>
      </c>
      <c r="D504" s="37">
        <v>0.4</v>
      </c>
      <c r="E504" s="37" t="s">
        <v>1895</v>
      </c>
      <c r="F504" s="37">
        <v>40</v>
      </c>
      <c r="G504" s="37" t="s">
        <v>563</v>
      </c>
      <c r="H504" s="37" t="s">
        <v>1047</v>
      </c>
      <c r="I504" s="42">
        <f t="shared" si="21"/>
        <v>400</v>
      </c>
      <c r="J504" s="38">
        <f t="shared" si="22"/>
        <v>7.8240460108562919</v>
      </c>
      <c r="K504" s="38">
        <f t="shared" si="23"/>
        <v>5.9914645471079817</v>
      </c>
      <c r="L504" s="40" t="b">
        <f>IF(B504=B503,C504&gt;C503,COUNTIF(B$1:B503,B504)=0)</f>
        <v>1</v>
      </c>
      <c r="M504" s="1"/>
    </row>
    <row r="505" spans="1:13" x14ac:dyDescent="0.25">
      <c r="A505" s="37" t="s">
        <v>2390</v>
      </c>
      <c r="B505" s="37" t="s">
        <v>558</v>
      </c>
      <c r="C505" s="37">
        <v>2700</v>
      </c>
      <c r="D505" s="37">
        <v>0.38</v>
      </c>
      <c r="E505" s="37" t="s">
        <v>1895</v>
      </c>
      <c r="F505" s="37">
        <v>40</v>
      </c>
      <c r="G505" s="37" t="s">
        <v>563</v>
      </c>
      <c r="H505" s="37" t="s">
        <v>1047</v>
      </c>
      <c r="I505" s="42">
        <f t="shared" si="21"/>
        <v>380</v>
      </c>
      <c r="J505" s="38">
        <f t="shared" si="22"/>
        <v>7.90100705199242</v>
      </c>
      <c r="K505" s="38">
        <f t="shared" si="23"/>
        <v>5.9401712527204316</v>
      </c>
      <c r="L505" s="40" t="b">
        <f>IF(B505=B504,C505&gt;C504,COUNTIF(B$1:B504,B505)=0)</f>
        <v>1</v>
      </c>
      <c r="M505" s="1"/>
    </row>
    <row r="506" spans="1:13" x14ac:dyDescent="0.25">
      <c r="A506" s="37" t="s">
        <v>2391</v>
      </c>
      <c r="B506" s="37" t="s">
        <v>558</v>
      </c>
      <c r="C506" s="37">
        <v>3000</v>
      </c>
      <c r="D506" s="37">
        <v>0.36</v>
      </c>
      <c r="E506" s="37" t="s">
        <v>1895</v>
      </c>
      <c r="F506" s="37">
        <v>40</v>
      </c>
      <c r="G506" s="37" t="s">
        <v>563</v>
      </c>
      <c r="H506" s="37" t="s">
        <v>1047</v>
      </c>
      <c r="I506" s="42">
        <f t="shared" si="21"/>
        <v>360</v>
      </c>
      <c r="J506" s="38">
        <f t="shared" si="22"/>
        <v>8.0063675676502459</v>
      </c>
      <c r="K506" s="38">
        <f t="shared" si="23"/>
        <v>5.8861040314501558</v>
      </c>
      <c r="L506" s="40" t="b">
        <f>IF(B506=B505,C506&gt;C505,COUNTIF(B$1:B505,B506)=0)</f>
        <v>1</v>
      </c>
      <c r="M506" s="1"/>
    </row>
    <row r="507" spans="1:13" x14ac:dyDescent="0.25">
      <c r="A507" s="37" t="s">
        <v>2392</v>
      </c>
      <c r="B507" s="37" t="s">
        <v>558</v>
      </c>
      <c r="C507" s="37">
        <v>3400</v>
      </c>
      <c r="D507" s="37">
        <v>0.34</v>
      </c>
      <c r="E507" s="37" t="s">
        <v>1895</v>
      </c>
      <c r="F507" s="37">
        <v>40</v>
      </c>
      <c r="G507" s="37" t="s">
        <v>563</v>
      </c>
      <c r="H507" s="37" t="s">
        <v>1047</v>
      </c>
      <c r="I507" s="42">
        <f t="shared" si="21"/>
        <v>340</v>
      </c>
      <c r="J507" s="38">
        <f t="shared" si="22"/>
        <v>8.1315307106042525</v>
      </c>
      <c r="K507" s="38">
        <f t="shared" si="23"/>
        <v>5.8289456176102075</v>
      </c>
      <c r="L507" s="40" t="b">
        <f>IF(B507=B506,C507&gt;C506,COUNTIF(B$1:B506,B507)=0)</f>
        <v>1</v>
      </c>
      <c r="M507" s="1"/>
    </row>
    <row r="508" spans="1:13" x14ac:dyDescent="0.25">
      <c r="A508" s="37" t="s">
        <v>2393</v>
      </c>
      <c r="B508" s="37" t="s">
        <v>558</v>
      </c>
      <c r="C508" s="37">
        <v>4000</v>
      </c>
      <c r="D508" s="37">
        <v>0.31</v>
      </c>
      <c r="E508" s="37" t="s">
        <v>1895</v>
      </c>
      <c r="F508" s="37">
        <v>40</v>
      </c>
      <c r="G508" s="37" t="s">
        <v>563</v>
      </c>
      <c r="H508" s="37" t="s">
        <v>1047</v>
      </c>
      <c r="I508" s="42">
        <f t="shared" si="21"/>
        <v>310</v>
      </c>
      <c r="J508" s="38">
        <f t="shared" si="22"/>
        <v>8.2940496401020276</v>
      </c>
      <c r="K508" s="38">
        <f t="shared" si="23"/>
        <v>5.7365722974791922</v>
      </c>
      <c r="L508" s="40" t="b">
        <f>IF(B508=B507,C508&gt;C507,COUNTIF(B$1:B507,B508)=0)</f>
        <v>1</v>
      </c>
      <c r="M508" s="1"/>
    </row>
    <row r="509" spans="1:13" x14ac:dyDescent="0.25">
      <c r="A509" s="37" t="s">
        <v>2394</v>
      </c>
      <c r="B509" s="37" t="s">
        <v>558</v>
      </c>
      <c r="C509" s="37">
        <v>5000</v>
      </c>
      <c r="D509" s="37">
        <v>0.27</v>
      </c>
      <c r="E509" s="37" t="s">
        <v>1895</v>
      </c>
      <c r="F509" s="37">
        <v>40</v>
      </c>
      <c r="G509" s="37" t="s">
        <v>563</v>
      </c>
      <c r="H509" s="37" t="s">
        <v>1047</v>
      </c>
      <c r="I509" s="42">
        <f t="shared" si="21"/>
        <v>270</v>
      </c>
      <c r="J509" s="38">
        <f t="shared" si="22"/>
        <v>8.5171931914162382</v>
      </c>
      <c r="K509" s="38">
        <f t="shared" si="23"/>
        <v>5.598421958998375</v>
      </c>
      <c r="L509" s="40" t="b">
        <f>IF(B509=B508,C509&gt;C508,COUNTIF(B$1:B508,B509)=0)</f>
        <v>1</v>
      </c>
      <c r="M509" s="1"/>
    </row>
    <row r="510" spans="1:13" x14ac:dyDescent="0.25">
      <c r="A510" s="37" t="s">
        <v>2395</v>
      </c>
      <c r="B510" s="37" t="s">
        <v>558</v>
      </c>
      <c r="C510" s="37">
        <v>6000</v>
      </c>
      <c r="D510" s="37">
        <v>0.24</v>
      </c>
      <c r="E510" s="37" t="s">
        <v>1895</v>
      </c>
      <c r="F510" s="37">
        <v>40</v>
      </c>
      <c r="G510" s="37" t="s">
        <v>563</v>
      </c>
      <c r="H510" s="37" t="s">
        <v>1047</v>
      </c>
      <c r="I510" s="42">
        <f t="shared" si="21"/>
        <v>240</v>
      </c>
      <c r="J510" s="38">
        <f t="shared" si="22"/>
        <v>8.6995147482101913</v>
      </c>
      <c r="K510" s="38">
        <f t="shared" si="23"/>
        <v>5.4806389233419912</v>
      </c>
      <c r="L510" s="40" t="b">
        <f>IF(B510=B509,C510&gt;C509,COUNTIF(B$1:B509,B510)=0)</f>
        <v>1</v>
      </c>
      <c r="M510" s="1"/>
    </row>
    <row r="511" spans="1:13" x14ac:dyDescent="0.25">
      <c r="A511" s="37" t="s">
        <v>2396</v>
      </c>
      <c r="B511" s="37" t="s">
        <v>558</v>
      </c>
      <c r="C511" s="37">
        <v>8000</v>
      </c>
      <c r="D511" s="37">
        <v>0.2</v>
      </c>
      <c r="E511" s="37" t="s">
        <v>1895</v>
      </c>
      <c r="F511" s="37">
        <v>40</v>
      </c>
      <c r="G511" s="37" t="s">
        <v>563</v>
      </c>
      <c r="H511" s="37" t="s">
        <v>1047</v>
      </c>
      <c r="I511" s="42">
        <f t="shared" si="21"/>
        <v>200</v>
      </c>
      <c r="J511" s="38">
        <f t="shared" si="22"/>
        <v>8.987196820661973</v>
      </c>
      <c r="K511" s="38">
        <f t="shared" si="23"/>
        <v>5.2983173665480363</v>
      </c>
      <c r="L511" s="40" t="b">
        <f>IF(B511=B510,C511&gt;C510,COUNTIF(B$1:B510,B511)=0)</f>
        <v>1</v>
      </c>
      <c r="M511" s="1"/>
    </row>
    <row r="512" spans="1:13" x14ac:dyDescent="0.25">
      <c r="A512" s="37" t="s">
        <v>2397</v>
      </c>
      <c r="B512" s="37" t="s">
        <v>558</v>
      </c>
      <c r="C512" s="37">
        <v>10000</v>
      </c>
      <c r="D512" s="37">
        <v>0.18</v>
      </c>
      <c r="E512" s="37" t="s">
        <v>1895</v>
      </c>
      <c r="F512" s="37">
        <v>40</v>
      </c>
      <c r="G512" s="37" t="s">
        <v>563</v>
      </c>
      <c r="H512" s="37" t="s">
        <v>1047</v>
      </c>
      <c r="I512" s="42">
        <f t="shared" si="21"/>
        <v>180</v>
      </c>
      <c r="J512" s="38">
        <f t="shared" si="22"/>
        <v>9.2103403719761836</v>
      </c>
      <c r="K512" s="38">
        <f t="shared" si="23"/>
        <v>5.1929568508902104</v>
      </c>
      <c r="L512" s="40" t="b">
        <f>IF(B512=B511,C512&gt;C511,COUNTIF(B$1:B511,B512)=0)</f>
        <v>1</v>
      </c>
      <c r="M512" s="1"/>
    </row>
    <row r="513" spans="1:13" x14ac:dyDescent="0.25">
      <c r="A513" s="37" t="s">
        <v>2398</v>
      </c>
      <c r="B513" s="37" t="s">
        <v>558</v>
      </c>
      <c r="C513" s="37">
        <v>12000</v>
      </c>
      <c r="D513" s="37">
        <v>0.16</v>
      </c>
      <c r="E513" s="37" t="s">
        <v>1895</v>
      </c>
      <c r="F513" s="37">
        <v>40</v>
      </c>
      <c r="G513" s="37" t="s">
        <v>563</v>
      </c>
      <c r="H513" s="37" t="s">
        <v>1047</v>
      </c>
      <c r="I513" s="42">
        <f t="shared" si="21"/>
        <v>160</v>
      </c>
      <c r="J513" s="38">
        <f t="shared" si="22"/>
        <v>9.3926619287701367</v>
      </c>
      <c r="K513" s="38">
        <f t="shared" si="23"/>
        <v>5.0751738152338266</v>
      </c>
      <c r="L513" s="40" t="b">
        <f>IF(B513=B512,C513&gt;C512,COUNTIF(B$1:B512,B513)=0)</f>
        <v>1</v>
      </c>
      <c r="M513" s="1"/>
    </row>
    <row r="514" spans="1:13" x14ac:dyDescent="0.25">
      <c r="A514" s="37" t="s">
        <v>2399</v>
      </c>
      <c r="B514" s="37" t="s">
        <v>564</v>
      </c>
      <c r="C514" s="37">
        <v>30</v>
      </c>
      <c r="D514" s="37">
        <v>4.4000000000000004</v>
      </c>
      <c r="E514" s="37" t="s">
        <v>1895</v>
      </c>
      <c r="F514" s="37">
        <v>40</v>
      </c>
      <c r="G514" s="37" t="s">
        <v>207</v>
      </c>
      <c r="H514" s="37" t="s">
        <v>1896</v>
      </c>
      <c r="I514" s="42">
        <f t="shared" ref="I514:I577" si="24">IF(E514="kW",D514*1000,D514)</f>
        <v>4400</v>
      </c>
      <c r="J514" s="38">
        <f t="shared" ref="J514:J577" si="25">LN(C514)</f>
        <v>3.4011973816621555</v>
      </c>
      <c r="K514" s="38">
        <f t="shared" ref="K514:K577" si="26">LN(I514)</f>
        <v>8.3893598199063533</v>
      </c>
      <c r="L514" s="40" t="b">
        <f>IF(B514=B513,C514&gt;C513,COUNTIF(B$1:B513,B514)=0)</f>
        <v>1</v>
      </c>
      <c r="M514" s="1"/>
    </row>
    <row r="515" spans="1:13" x14ac:dyDescent="0.25">
      <c r="A515" s="37" t="s">
        <v>2400</v>
      </c>
      <c r="B515" s="37" t="s">
        <v>564</v>
      </c>
      <c r="C515" s="37">
        <v>50</v>
      </c>
      <c r="D515" s="37">
        <v>3.4</v>
      </c>
      <c r="E515" s="37" t="s">
        <v>1895</v>
      </c>
      <c r="F515" s="37">
        <v>40</v>
      </c>
      <c r="G515" s="37" t="s">
        <v>207</v>
      </c>
      <c r="H515" s="37" t="s">
        <v>1896</v>
      </c>
      <c r="I515" s="42">
        <f t="shared" si="24"/>
        <v>3400</v>
      </c>
      <c r="J515" s="38">
        <f t="shared" si="25"/>
        <v>3.912023005428146</v>
      </c>
      <c r="K515" s="38">
        <f t="shared" si="26"/>
        <v>8.1315307106042525</v>
      </c>
      <c r="L515" s="40" t="b">
        <f>IF(B515=B514,C515&gt;C514,COUNTIF(B$1:B514,B515)=0)</f>
        <v>1</v>
      </c>
      <c r="M515" s="1"/>
    </row>
    <row r="516" spans="1:13" x14ac:dyDescent="0.25">
      <c r="A516" s="37" t="s">
        <v>2401</v>
      </c>
      <c r="B516" s="37" t="s">
        <v>564</v>
      </c>
      <c r="C516" s="37">
        <v>150</v>
      </c>
      <c r="D516" s="37">
        <v>1.9</v>
      </c>
      <c r="E516" s="37" t="s">
        <v>1895</v>
      </c>
      <c r="F516" s="37">
        <v>40</v>
      </c>
      <c r="G516" s="37" t="s">
        <v>207</v>
      </c>
      <c r="H516" s="37" t="s">
        <v>1896</v>
      </c>
      <c r="I516" s="42">
        <f t="shared" si="24"/>
        <v>1900</v>
      </c>
      <c r="J516" s="38">
        <f t="shared" si="25"/>
        <v>5.0106352940962555</v>
      </c>
      <c r="K516" s="38">
        <f t="shared" si="26"/>
        <v>7.5496091651545321</v>
      </c>
      <c r="L516" s="40" t="b">
        <f>IF(B516=B515,C516&gt;C515,COUNTIF(B$1:B515,B516)=0)</f>
        <v>1</v>
      </c>
      <c r="M516" s="1"/>
    </row>
    <row r="517" spans="1:13" x14ac:dyDescent="0.25">
      <c r="A517" s="37" t="s">
        <v>2402</v>
      </c>
      <c r="B517" s="37" t="s">
        <v>564</v>
      </c>
      <c r="C517" s="37">
        <v>220</v>
      </c>
      <c r="D517" s="37">
        <v>1.6</v>
      </c>
      <c r="E517" s="37" t="s">
        <v>1895</v>
      </c>
      <c r="F517" s="37">
        <v>40</v>
      </c>
      <c r="G517" s="37" t="s">
        <v>207</v>
      </c>
      <c r="H517" s="37" t="s">
        <v>1896</v>
      </c>
      <c r="I517" s="42">
        <f t="shared" si="24"/>
        <v>1600</v>
      </c>
      <c r="J517" s="38">
        <f t="shared" si="25"/>
        <v>5.393627546352362</v>
      </c>
      <c r="K517" s="38">
        <f t="shared" si="26"/>
        <v>7.3777589082278725</v>
      </c>
      <c r="L517" s="40" t="b">
        <f>IF(B517=B516,C517&gt;C516,COUNTIF(B$1:B516,B517)=0)</f>
        <v>1</v>
      </c>
      <c r="M517" s="1"/>
    </row>
    <row r="518" spans="1:13" x14ac:dyDescent="0.25">
      <c r="A518" s="37" t="s">
        <v>2403</v>
      </c>
      <c r="B518" s="37" t="s">
        <v>564</v>
      </c>
      <c r="C518" s="37">
        <v>450</v>
      </c>
      <c r="D518" s="37">
        <v>1.1000000000000001</v>
      </c>
      <c r="E518" s="37" t="s">
        <v>1895</v>
      </c>
      <c r="F518" s="37">
        <v>40</v>
      </c>
      <c r="G518" s="37" t="s">
        <v>207</v>
      </c>
      <c r="H518" s="37" t="s">
        <v>1896</v>
      </c>
      <c r="I518" s="42">
        <f t="shared" si="24"/>
        <v>1100</v>
      </c>
      <c r="J518" s="38">
        <f t="shared" si="25"/>
        <v>6.1092475827643655</v>
      </c>
      <c r="K518" s="38">
        <f t="shared" si="26"/>
        <v>7.0030654587864616</v>
      </c>
      <c r="L518" s="40" t="b">
        <f>IF(B518=B517,C518&gt;C517,COUNTIF(B$1:B517,B518)=0)</f>
        <v>1</v>
      </c>
      <c r="M518" s="1"/>
    </row>
    <row r="519" spans="1:13" x14ac:dyDescent="0.25">
      <c r="A519" s="37" t="s">
        <v>2404</v>
      </c>
      <c r="B519" s="37" t="s">
        <v>564</v>
      </c>
      <c r="C519" s="37">
        <v>700</v>
      </c>
      <c r="D519" s="37">
        <v>0.85</v>
      </c>
      <c r="E519" s="37" t="s">
        <v>1895</v>
      </c>
      <c r="F519" s="37">
        <v>40</v>
      </c>
      <c r="G519" s="37" t="s">
        <v>207</v>
      </c>
      <c r="H519" s="37" t="s">
        <v>1896</v>
      </c>
      <c r="I519" s="42">
        <f t="shared" si="24"/>
        <v>850</v>
      </c>
      <c r="J519" s="38">
        <f t="shared" si="25"/>
        <v>6.5510803350434044</v>
      </c>
      <c r="K519" s="38">
        <f t="shared" si="26"/>
        <v>6.7452363494843626</v>
      </c>
      <c r="L519" s="40" t="b">
        <f>IF(B519=B518,C519&gt;C518,COUNTIF(B$1:B518,B519)=0)</f>
        <v>1</v>
      </c>
      <c r="M519" s="1"/>
    </row>
    <row r="520" spans="1:13" x14ac:dyDescent="0.25">
      <c r="A520" s="37" t="s">
        <v>2405</v>
      </c>
      <c r="B520" s="37" t="s">
        <v>564</v>
      </c>
      <c r="C520" s="37">
        <v>900</v>
      </c>
      <c r="D520" s="37">
        <v>0.75</v>
      </c>
      <c r="E520" s="37" t="s">
        <v>1895</v>
      </c>
      <c r="F520" s="37">
        <v>40</v>
      </c>
      <c r="G520" s="37" t="s">
        <v>207</v>
      </c>
      <c r="H520" s="37" t="s">
        <v>1896</v>
      </c>
      <c r="I520" s="42">
        <f t="shared" si="24"/>
        <v>750</v>
      </c>
      <c r="J520" s="38">
        <f t="shared" si="25"/>
        <v>6.8023947633243109</v>
      </c>
      <c r="K520" s="38">
        <f t="shared" si="26"/>
        <v>6.620073206530356</v>
      </c>
      <c r="L520" s="40" t="b">
        <f>IF(B520=B519,C520&gt;C519,COUNTIF(B$1:B519,B520)=0)</f>
        <v>1</v>
      </c>
      <c r="M520" s="1"/>
    </row>
    <row r="521" spans="1:13" x14ac:dyDescent="0.25">
      <c r="A521" s="37" t="s">
        <v>2406</v>
      </c>
      <c r="B521" s="37" t="s">
        <v>564</v>
      </c>
      <c r="C521" s="37">
        <v>1500</v>
      </c>
      <c r="D521" s="37">
        <v>0.56999999999999995</v>
      </c>
      <c r="E521" s="37" t="s">
        <v>1895</v>
      </c>
      <c r="F521" s="37">
        <v>40</v>
      </c>
      <c r="G521" s="37" t="s">
        <v>207</v>
      </c>
      <c r="H521" s="37" t="s">
        <v>1896</v>
      </c>
      <c r="I521" s="42">
        <f t="shared" si="24"/>
        <v>570</v>
      </c>
      <c r="J521" s="38">
        <f t="shared" si="25"/>
        <v>7.3132203870903014</v>
      </c>
      <c r="K521" s="38">
        <f t="shared" si="26"/>
        <v>6.3456363608285962</v>
      </c>
      <c r="L521" s="40" t="b">
        <f>IF(B521=B520,C521&gt;C520,COUNTIF(B$1:B520,B521)=0)</f>
        <v>1</v>
      </c>
      <c r="M521" s="1"/>
    </row>
    <row r="522" spans="1:13" x14ac:dyDescent="0.25">
      <c r="A522" s="37" t="s">
        <v>2407</v>
      </c>
      <c r="B522" s="37" t="s">
        <v>564</v>
      </c>
      <c r="C522" s="37">
        <v>2000</v>
      </c>
      <c r="D522" s="37">
        <v>0.49</v>
      </c>
      <c r="E522" s="37" t="s">
        <v>1895</v>
      </c>
      <c r="F522" s="37">
        <v>40</v>
      </c>
      <c r="G522" s="37" t="s">
        <v>207</v>
      </c>
      <c r="H522" s="37" t="s">
        <v>1896</v>
      </c>
      <c r="I522" s="42">
        <f t="shared" si="24"/>
        <v>490</v>
      </c>
      <c r="J522" s="38">
        <f t="shared" si="25"/>
        <v>7.6009024595420822</v>
      </c>
      <c r="K522" s="38">
        <f t="shared" si="26"/>
        <v>6.1944053911046719</v>
      </c>
      <c r="L522" s="40" t="b">
        <f>IF(B522=B521,C522&gt;C521,COUNTIF(B$1:B521,B522)=0)</f>
        <v>1</v>
      </c>
      <c r="M522" s="1"/>
    </row>
    <row r="523" spans="1:13" x14ac:dyDescent="0.25">
      <c r="A523" s="37" t="s">
        <v>2408</v>
      </c>
      <c r="B523" s="37" t="s">
        <v>564</v>
      </c>
      <c r="C523" s="37">
        <v>2500</v>
      </c>
      <c r="D523" s="37">
        <v>0.43</v>
      </c>
      <c r="E523" s="37" t="s">
        <v>1895</v>
      </c>
      <c r="F523" s="37">
        <v>40</v>
      </c>
      <c r="G523" s="37" t="s">
        <v>207</v>
      </c>
      <c r="H523" s="37" t="s">
        <v>1896</v>
      </c>
      <c r="I523" s="42">
        <f t="shared" si="24"/>
        <v>430</v>
      </c>
      <c r="J523" s="38">
        <f t="shared" si="25"/>
        <v>7.8240460108562919</v>
      </c>
      <c r="K523" s="38">
        <f t="shared" si="26"/>
        <v>6.0637852086876078</v>
      </c>
      <c r="L523" s="40" t="b">
        <f>IF(B523=B522,C523&gt;C522,COUNTIF(B$1:B522,B523)=0)</f>
        <v>1</v>
      </c>
      <c r="M523" s="1"/>
    </row>
    <row r="524" spans="1:13" x14ac:dyDescent="0.25">
      <c r="A524" s="37" t="s">
        <v>2409</v>
      </c>
      <c r="B524" s="37" t="s">
        <v>582</v>
      </c>
      <c r="C524" s="37">
        <v>1.8</v>
      </c>
      <c r="D524" s="37">
        <v>14681</v>
      </c>
      <c r="E524" s="37" t="s">
        <v>1877</v>
      </c>
      <c r="F524" s="37">
        <v>40</v>
      </c>
      <c r="G524" s="37" t="s">
        <v>587</v>
      </c>
      <c r="H524" s="37" t="s">
        <v>928</v>
      </c>
      <c r="I524" s="42">
        <f t="shared" si="24"/>
        <v>14681</v>
      </c>
      <c r="J524" s="38">
        <f t="shared" si="25"/>
        <v>0.58778666490211906</v>
      </c>
      <c r="K524" s="38">
        <f t="shared" si="26"/>
        <v>9.5943094197394601</v>
      </c>
      <c r="L524" s="40" t="b">
        <f>IF(B524=B523,C524&gt;C523,COUNTIF(B$1:B523,B524)=0)</f>
        <v>1</v>
      </c>
      <c r="M524" s="1"/>
    </row>
    <row r="525" spans="1:13" x14ac:dyDescent="0.25">
      <c r="A525" s="37" t="s">
        <v>2410</v>
      </c>
      <c r="B525" s="37" t="s">
        <v>582</v>
      </c>
      <c r="C525" s="37">
        <v>3.5</v>
      </c>
      <c r="D525" s="37">
        <v>12650</v>
      </c>
      <c r="E525" s="37" t="s">
        <v>1877</v>
      </c>
      <c r="F525" s="37">
        <v>40</v>
      </c>
      <c r="G525" s="37" t="s">
        <v>587</v>
      </c>
      <c r="H525" s="37" t="s">
        <v>928</v>
      </c>
      <c r="I525" s="42">
        <f t="shared" si="24"/>
        <v>12650</v>
      </c>
      <c r="J525" s="38">
        <f t="shared" si="25"/>
        <v>1.2527629684953681</v>
      </c>
      <c r="K525" s="38">
        <f t="shared" si="26"/>
        <v>9.4454124941556667</v>
      </c>
      <c r="L525" s="40" t="b">
        <f>IF(B525=B524,C525&gt;C524,COUNTIF(B$1:B524,B525)=0)</f>
        <v>1</v>
      </c>
      <c r="M525" s="1"/>
    </row>
    <row r="526" spans="1:13" x14ac:dyDescent="0.25">
      <c r="A526" s="37" t="s">
        <v>2411</v>
      </c>
      <c r="B526" s="37" t="s">
        <v>582</v>
      </c>
      <c r="C526" s="37">
        <v>7</v>
      </c>
      <c r="D526" s="37">
        <v>9880</v>
      </c>
      <c r="E526" s="37" t="s">
        <v>1877</v>
      </c>
      <c r="F526" s="37">
        <v>40</v>
      </c>
      <c r="G526" s="37" t="s">
        <v>587</v>
      </c>
      <c r="H526" s="37" t="s">
        <v>928</v>
      </c>
      <c r="I526" s="42">
        <f t="shared" si="24"/>
        <v>9880</v>
      </c>
      <c r="J526" s="38">
        <f t="shared" si="25"/>
        <v>1.9459101490553132</v>
      </c>
      <c r="K526" s="38">
        <f t="shared" si="26"/>
        <v>9.1982677907419141</v>
      </c>
      <c r="L526" s="40" t="b">
        <f>IF(B526=B525,C526&gt;C525,COUNTIF(B$1:B525,B526)=0)</f>
        <v>1</v>
      </c>
      <c r="M526" s="1"/>
    </row>
    <row r="527" spans="1:13" x14ac:dyDescent="0.25">
      <c r="A527" s="37" t="s">
        <v>2412</v>
      </c>
      <c r="B527" s="37" t="s">
        <v>582</v>
      </c>
      <c r="C527" s="37">
        <v>10</v>
      </c>
      <c r="D527" s="37">
        <v>8321</v>
      </c>
      <c r="E527" s="37" t="s">
        <v>1877</v>
      </c>
      <c r="F527" s="37">
        <v>40</v>
      </c>
      <c r="G527" s="37" t="s">
        <v>587</v>
      </c>
      <c r="H527" s="37" t="s">
        <v>928</v>
      </c>
      <c r="I527" s="42">
        <f t="shared" si="24"/>
        <v>8321</v>
      </c>
      <c r="J527" s="38">
        <f t="shared" si="25"/>
        <v>2.3025850929940459</v>
      </c>
      <c r="K527" s="38">
        <f t="shared" si="26"/>
        <v>9.0265377189004301</v>
      </c>
      <c r="L527" s="40" t="b">
        <f>IF(B527=B526,C527&gt;C526,COUNTIF(B$1:B526,B527)=0)</f>
        <v>1</v>
      </c>
      <c r="M527" s="1"/>
    </row>
    <row r="528" spans="1:13" x14ac:dyDescent="0.25">
      <c r="A528" s="37" t="s">
        <v>2413</v>
      </c>
      <c r="B528" s="37" t="s">
        <v>582</v>
      </c>
      <c r="C528" s="37">
        <v>14</v>
      </c>
      <c r="D528" s="37">
        <v>7130</v>
      </c>
      <c r="E528" s="37" t="s">
        <v>1877</v>
      </c>
      <c r="F528" s="37">
        <v>40</v>
      </c>
      <c r="G528" s="37" t="s">
        <v>587</v>
      </c>
      <c r="H528" s="37" t="s">
        <v>928</v>
      </c>
      <c r="I528" s="42">
        <f t="shared" si="24"/>
        <v>7130</v>
      </c>
      <c r="J528" s="38">
        <f t="shared" si="25"/>
        <v>2.6390573296152584</v>
      </c>
      <c r="K528" s="38">
        <f t="shared" si="26"/>
        <v>8.8720665134083418</v>
      </c>
      <c r="L528" s="40" t="b">
        <f>IF(B528=B527,C528&gt;C527,COUNTIF(B$1:B527,B528)=0)</f>
        <v>1</v>
      </c>
      <c r="M528" s="1"/>
    </row>
    <row r="529" spans="1:13" x14ac:dyDescent="0.25">
      <c r="A529" s="37" t="s">
        <v>2414</v>
      </c>
      <c r="B529" s="37" t="s">
        <v>582</v>
      </c>
      <c r="C529" s="37">
        <v>21</v>
      </c>
      <c r="D529" s="37">
        <v>5732</v>
      </c>
      <c r="E529" s="37" t="s">
        <v>1877</v>
      </c>
      <c r="F529" s="37">
        <v>40</v>
      </c>
      <c r="G529" s="37" t="s">
        <v>587</v>
      </c>
      <c r="H529" s="37" t="s">
        <v>928</v>
      </c>
      <c r="I529" s="42">
        <f t="shared" si="24"/>
        <v>5732</v>
      </c>
      <c r="J529" s="38">
        <f t="shared" si="25"/>
        <v>3.044522437723423</v>
      </c>
      <c r="K529" s="38">
        <f t="shared" si="26"/>
        <v>8.6538197889480628</v>
      </c>
      <c r="L529" s="40" t="b">
        <f>IF(B529=B528,C529&gt;C528,COUNTIF(B$1:B528,B529)=0)</f>
        <v>1</v>
      </c>
      <c r="M529" s="1"/>
    </row>
    <row r="530" spans="1:13" x14ac:dyDescent="0.25">
      <c r="A530" s="37" t="s">
        <v>2415</v>
      </c>
      <c r="B530" s="37" t="s">
        <v>582</v>
      </c>
      <c r="C530" s="37">
        <v>28</v>
      </c>
      <c r="D530" s="37">
        <v>4962</v>
      </c>
      <c r="E530" s="37" t="s">
        <v>1877</v>
      </c>
      <c r="F530" s="37">
        <v>40</v>
      </c>
      <c r="G530" s="37" t="s">
        <v>587</v>
      </c>
      <c r="H530" s="37" t="s">
        <v>928</v>
      </c>
      <c r="I530" s="42">
        <f t="shared" si="24"/>
        <v>4962</v>
      </c>
      <c r="J530" s="38">
        <f t="shared" si="25"/>
        <v>3.3322045101752038</v>
      </c>
      <c r="K530" s="38">
        <f t="shared" si="26"/>
        <v>8.5095641642517457</v>
      </c>
      <c r="L530" s="40" t="b">
        <f>IF(B530=B529,C530&gt;C529,COUNTIF(B$1:B529,B530)=0)</f>
        <v>1</v>
      </c>
      <c r="M530" s="1"/>
    </row>
    <row r="531" spans="1:13" x14ac:dyDescent="0.25">
      <c r="A531" s="37" t="s">
        <v>2416</v>
      </c>
      <c r="B531" s="37" t="s">
        <v>582</v>
      </c>
      <c r="C531" s="37">
        <v>50</v>
      </c>
      <c r="D531" s="37">
        <v>3873</v>
      </c>
      <c r="E531" s="37" t="s">
        <v>1877</v>
      </c>
      <c r="F531" s="37">
        <v>40</v>
      </c>
      <c r="G531" s="37" t="s">
        <v>587</v>
      </c>
      <c r="H531" s="37" t="s">
        <v>928</v>
      </c>
      <c r="I531" s="42">
        <f t="shared" si="24"/>
        <v>3873</v>
      </c>
      <c r="J531" s="38">
        <f t="shared" si="25"/>
        <v>3.912023005428146</v>
      </c>
      <c r="K531" s="38">
        <f t="shared" si="26"/>
        <v>8.2617846795147525</v>
      </c>
      <c r="L531" s="40" t="b">
        <f>IF(B531=B530,C531&gt;C530,COUNTIF(B$1:B530,B531)=0)</f>
        <v>1</v>
      </c>
      <c r="M531" s="1"/>
    </row>
    <row r="532" spans="1:13" x14ac:dyDescent="0.25">
      <c r="A532" s="37" t="s">
        <v>2417</v>
      </c>
      <c r="B532" s="37" t="s">
        <v>582</v>
      </c>
      <c r="C532" s="37">
        <v>100</v>
      </c>
      <c r="D532" s="37">
        <v>2795</v>
      </c>
      <c r="E532" s="37" t="s">
        <v>1877</v>
      </c>
      <c r="F532" s="37">
        <v>40</v>
      </c>
      <c r="G532" s="37" t="s">
        <v>587</v>
      </c>
      <c r="H532" s="37" t="s">
        <v>928</v>
      </c>
      <c r="I532" s="42">
        <f t="shared" si="24"/>
        <v>2795</v>
      </c>
      <c r="J532" s="38">
        <f t="shared" si="25"/>
        <v>4.6051701859880918</v>
      </c>
      <c r="K532" s="38">
        <f t="shared" si="26"/>
        <v>7.9355873855891996</v>
      </c>
      <c r="L532" s="40" t="b">
        <f>IF(B532=B531,C532&gt;C531,COUNTIF(B$1:B531,B532)=0)</f>
        <v>1</v>
      </c>
      <c r="M532" s="1"/>
    </row>
    <row r="533" spans="1:13" x14ac:dyDescent="0.25">
      <c r="A533" s="37" t="s">
        <v>2418</v>
      </c>
      <c r="B533" s="37" t="s">
        <v>582</v>
      </c>
      <c r="C533" s="37">
        <v>144</v>
      </c>
      <c r="D533" s="37">
        <v>2396</v>
      </c>
      <c r="E533" s="37" t="s">
        <v>1877</v>
      </c>
      <c r="F533" s="37">
        <v>40</v>
      </c>
      <c r="G533" s="37" t="s">
        <v>587</v>
      </c>
      <c r="H533" s="37" t="s">
        <v>928</v>
      </c>
      <c r="I533" s="42">
        <f t="shared" si="24"/>
        <v>2396</v>
      </c>
      <c r="J533" s="38">
        <f t="shared" si="25"/>
        <v>4.9698132995760007</v>
      </c>
      <c r="K533" s="38">
        <f t="shared" si="26"/>
        <v>7.78155595923534</v>
      </c>
      <c r="L533" s="40" t="b">
        <f>IF(B533=B532,C533&gt;C532,COUNTIF(B$1:B532,B533)=0)</f>
        <v>1</v>
      </c>
      <c r="M533" s="1"/>
    </row>
    <row r="534" spans="1:13" x14ac:dyDescent="0.25">
      <c r="A534" s="37" t="s">
        <v>2419</v>
      </c>
      <c r="B534" s="37" t="s">
        <v>582</v>
      </c>
      <c r="C534" s="37">
        <v>200</v>
      </c>
      <c r="D534" s="37">
        <v>2150</v>
      </c>
      <c r="E534" s="37" t="s">
        <v>1877</v>
      </c>
      <c r="F534" s="37">
        <v>40</v>
      </c>
      <c r="G534" s="37" t="s">
        <v>587</v>
      </c>
      <c r="H534" s="37" t="s">
        <v>928</v>
      </c>
      <c r="I534" s="42">
        <f t="shared" si="24"/>
        <v>2150</v>
      </c>
      <c r="J534" s="38">
        <f t="shared" si="25"/>
        <v>5.2983173665480363</v>
      </c>
      <c r="K534" s="38">
        <f t="shared" si="26"/>
        <v>7.6732231211217083</v>
      </c>
      <c r="L534" s="40" t="b">
        <f>IF(B534=B533,C534&gt;C533,COUNTIF(B$1:B533,B534)=0)</f>
        <v>1</v>
      </c>
      <c r="M534" s="1"/>
    </row>
    <row r="535" spans="1:13" x14ac:dyDescent="0.25">
      <c r="A535" s="37" t="s">
        <v>2420</v>
      </c>
      <c r="B535" s="37" t="s">
        <v>582</v>
      </c>
      <c r="C535" s="37">
        <v>400</v>
      </c>
      <c r="D535" s="37">
        <v>1486</v>
      </c>
      <c r="E535" s="37" t="s">
        <v>1877</v>
      </c>
      <c r="F535" s="37">
        <v>40</v>
      </c>
      <c r="G535" s="37" t="s">
        <v>587</v>
      </c>
      <c r="H535" s="37" t="s">
        <v>928</v>
      </c>
      <c r="I535" s="42">
        <f t="shared" si="24"/>
        <v>1486</v>
      </c>
      <c r="J535" s="38">
        <f t="shared" si="25"/>
        <v>5.9914645471079817</v>
      </c>
      <c r="K535" s="38">
        <f t="shared" si="26"/>
        <v>7.3038432252777046</v>
      </c>
      <c r="L535" s="40" t="b">
        <f>IF(B535=B534,C535&gt;C534,COUNTIF(B$1:B534,B535)=0)</f>
        <v>1</v>
      </c>
      <c r="M535" s="1"/>
    </row>
    <row r="536" spans="1:13" x14ac:dyDescent="0.25">
      <c r="A536" s="37" t="s">
        <v>2421</v>
      </c>
      <c r="B536" s="37" t="s">
        <v>582</v>
      </c>
      <c r="C536" s="37">
        <v>430</v>
      </c>
      <c r="D536" s="37">
        <v>1435</v>
      </c>
      <c r="E536" s="37" t="s">
        <v>1877</v>
      </c>
      <c r="F536" s="37">
        <v>40</v>
      </c>
      <c r="G536" s="37" t="s">
        <v>587</v>
      </c>
      <c r="H536" s="37" t="s">
        <v>928</v>
      </c>
      <c r="I536" s="42">
        <f t="shared" si="24"/>
        <v>1435</v>
      </c>
      <c r="J536" s="38">
        <f t="shared" si="25"/>
        <v>6.0637852086876078</v>
      </c>
      <c r="K536" s="38">
        <f t="shared" si="26"/>
        <v>7.2689201281937219</v>
      </c>
      <c r="L536" s="40" t="b">
        <f>IF(B536=B535,C536&gt;C535,COUNTIF(B$1:B535,B536)=0)</f>
        <v>1</v>
      </c>
      <c r="M536" s="1"/>
    </row>
    <row r="537" spans="1:13" x14ac:dyDescent="0.25">
      <c r="A537" s="37" t="s">
        <v>2422</v>
      </c>
      <c r="B537" s="37" t="s">
        <v>582</v>
      </c>
      <c r="C537" s="37">
        <v>800</v>
      </c>
      <c r="D537" s="37">
        <v>1022</v>
      </c>
      <c r="E537" s="37" t="s">
        <v>1877</v>
      </c>
      <c r="F537" s="37">
        <v>40</v>
      </c>
      <c r="G537" s="37" t="s">
        <v>587</v>
      </c>
      <c r="H537" s="37" t="s">
        <v>928</v>
      </c>
      <c r="I537" s="42">
        <f t="shared" si="24"/>
        <v>1022</v>
      </c>
      <c r="J537" s="38">
        <f t="shared" si="25"/>
        <v>6.6846117276679271</v>
      </c>
      <c r="K537" s="38">
        <f t="shared" si="26"/>
        <v>6.9295167707636498</v>
      </c>
      <c r="L537" s="40" t="b">
        <f>IF(B537=B536,C537&gt;C536,COUNTIF(B$1:B536,B537)=0)</f>
        <v>1</v>
      </c>
      <c r="M537" s="1"/>
    </row>
    <row r="538" spans="1:13" x14ac:dyDescent="0.25">
      <c r="A538" s="37" t="s">
        <v>2423</v>
      </c>
      <c r="B538" s="37" t="s">
        <v>582</v>
      </c>
      <c r="C538" s="37">
        <v>1000</v>
      </c>
      <c r="D538" s="37">
        <v>907</v>
      </c>
      <c r="E538" s="37" t="s">
        <v>1877</v>
      </c>
      <c r="F538" s="37">
        <v>40</v>
      </c>
      <c r="G538" s="37" t="s">
        <v>587</v>
      </c>
      <c r="H538" s="37" t="s">
        <v>928</v>
      </c>
      <c r="I538" s="42">
        <f t="shared" si="24"/>
        <v>907</v>
      </c>
      <c r="J538" s="38">
        <f t="shared" si="25"/>
        <v>6.9077552789821368</v>
      </c>
      <c r="K538" s="38">
        <f t="shared" si="26"/>
        <v>6.8101424501151362</v>
      </c>
      <c r="L538" s="40" t="b">
        <f>IF(B538=B537,C538&gt;C537,COUNTIF(B$1:B537,B538)=0)</f>
        <v>1</v>
      </c>
      <c r="M538" s="1"/>
    </row>
    <row r="539" spans="1:13" x14ac:dyDescent="0.25">
      <c r="A539" s="37" t="s">
        <v>2424</v>
      </c>
      <c r="B539" s="37" t="s">
        <v>582</v>
      </c>
      <c r="C539" s="37">
        <v>1296</v>
      </c>
      <c r="D539" s="37">
        <v>786</v>
      </c>
      <c r="E539" s="37" t="s">
        <v>1877</v>
      </c>
      <c r="F539" s="37">
        <v>40</v>
      </c>
      <c r="G539" s="37" t="s">
        <v>587</v>
      </c>
      <c r="H539" s="37" t="s">
        <v>928</v>
      </c>
      <c r="I539" s="42">
        <f t="shared" si="24"/>
        <v>786</v>
      </c>
      <c r="J539" s="38">
        <f t="shared" si="25"/>
        <v>7.1670378769122198</v>
      </c>
      <c r="K539" s="38">
        <f t="shared" si="26"/>
        <v>6.6669567924292066</v>
      </c>
      <c r="L539" s="40" t="b">
        <f>IF(B539=B538,C539&gt;C538,COUNTIF(B$1:B538,B539)=0)</f>
        <v>1</v>
      </c>
      <c r="M539" s="1"/>
    </row>
    <row r="540" spans="1:13" x14ac:dyDescent="0.25">
      <c r="A540" s="37" t="s">
        <v>2425</v>
      </c>
      <c r="B540" s="37" t="s">
        <v>582</v>
      </c>
      <c r="C540" s="37">
        <v>2400</v>
      </c>
      <c r="D540" s="37">
        <v>552</v>
      </c>
      <c r="E540" s="37" t="s">
        <v>1877</v>
      </c>
      <c r="F540" s="37">
        <v>40</v>
      </c>
      <c r="G540" s="37" t="s">
        <v>587</v>
      </c>
      <c r="H540" s="37" t="s">
        <v>928</v>
      </c>
      <c r="I540" s="42">
        <f t="shared" si="24"/>
        <v>552</v>
      </c>
      <c r="J540" s="38">
        <f t="shared" si="25"/>
        <v>7.7832240163360371</v>
      </c>
      <c r="K540" s="38">
        <f t="shared" si="26"/>
        <v>6.313548046277095</v>
      </c>
      <c r="L540" s="40" t="b">
        <f>IF(B540=B539,C540&gt;C539,COUNTIF(B$1:B539,B540)=0)</f>
        <v>1</v>
      </c>
      <c r="M540" s="1"/>
    </row>
    <row r="541" spans="1:13" x14ac:dyDescent="0.25">
      <c r="A541" s="37" t="s">
        <v>2426</v>
      </c>
      <c r="B541" s="37" t="s">
        <v>582</v>
      </c>
      <c r="C541" s="37">
        <v>3000</v>
      </c>
      <c r="D541" s="37">
        <v>487</v>
      </c>
      <c r="E541" s="37" t="s">
        <v>1877</v>
      </c>
      <c r="F541" s="37">
        <v>40</v>
      </c>
      <c r="G541" s="37" t="s">
        <v>587</v>
      </c>
      <c r="H541" s="37" t="s">
        <v>928</v>
      </c>
      <c r="I541" s="42">
        <f t="shared" si="24"/>
        <v>487</v>
      </c>
      <c r="J541" s="38">
        <f t="shared" si="25"/>
        <v>8.0063675676502459</v>
      </c>
      <c r="K541" s="38">
        <f t="shared" si="26"/>
        <v>6.1882641230825897</v>
      </c>
      <c r="L541" s="40" t="b">
        <f>IF(B541=B540,C541&gt;C540,COUNTIF(B$1:B540,B541)=0)</f>
        <v>1</v>
      </c>
      <c r="M541" s="1"/>
    </row>
    <row r="542" spans="1:13" x14ac:dyDescent="0.25">
      <c r="A542" s="37" t="s">
        <v>2427</v>
      </c>
      <c r="B542" s="37" t="s">
        <v>582</v>
      </c>
      <c r="C542" s="37">
        <v>4000</v>
      </c>
      <c r="D542" s="37">
        <v>410</v>
      </c>
      <c r="E542" s="37" t="s">
        <v>1877</v>
      </c>
      <c r="F542" s="37">
        <v>40</v>
      </c>
      <c r="G542" s="37" t="s">
        <v>587</v>
      </c>
      <c r="H542" s="37" t="s">
        <v>928</v>
      </c>
      <c r="I542" s="42">
        <f t="shared" si="24"/>
        <v>410</v>
      </c>
      <c r="J542" s="38">
        <f t="shared" si="25"/>
        <v>8.2940496401020276</v>
      </c>
      <c r="K542" s="38">
        <f t="shared" si="26"/>
        <v>6.0161571596983539</v>
      </c>
      <c r="L542" s="40" t="b">
        <f>IF(B542=B541,C542&gt;C541,COUNTIF(B$1:B541,B542)=0)</f>
        <v>1</v>
      </c>
      <c r="M542" s="1"/>
    </row>
    <row r="543" spans="1:13" x14ac:dyDescent="0.25">
      <c r="A543" s="37" t="s">
        <v>2428</v>
      </c>
      <c r="B543" s="37" t="s">
        <v>582</v>
      </c>
      <c r="C543" s="37">
        <v>5000</v>
      </c>
      <c r="D543" s="37">
        <v>358</v>
      </c>
      <c r="E543" s="37" t="s">
        <v>1877</v>
      </c>
      <c r="F543" s="37">
        <v>40</v>
      </c>
      <c r="G543" s="37" t="s">
        <v>587</v>
      </c>
      <c r="H543" s="37" t="s">
        <v>928</v>
      </c>
      <c r="I543" s="42">
        <f t="shared" si="24"/>
        <v>358</v>
      </c>
      <c r="J543" s="38">
        <f t="shared" si="25"/>
        <v>8.5171931914162382</v>
      </c>
      <c r="K543" s="38">
        <f t="shared" si="26"/>
        <v>5.8805329864007003</v>
      </c>
      <c r="L543" s="40" t="b">
        <f>IF(B543=B542,C543&gt;C542,COUNTIF(B$1:B542,B543)=0)</f>
        <v>1</v>
      </c>
      <c r="M543" s="1"/>
    </row>
    <row r="544" spans="1:13" x14ac:dyDescent="0.25">
      <c r="A544" s="37" t="s">
        <v>2429</v>
      </c>
      <c r="B544" s="37" t="s">
        <v>582</v>
      </c>
      <c r="C544" s="37">
        <v>6000</v>
      </c>
      <c r="D544" s="37">
        <v>320</v>
      </c>
      <c r="E544" s="37" t="s">
        <v>1877</v>
      </c>
      <c r="F544" s="37">
        <v>40</v>
      </c>
      <c r="G544" s="37" t="s">
        <v>587</v>
      </c>
      <c r="H544" s="37" t="s">
        <v>928</v>
      </c>
      <c r="I544" s="42">
        <f t="shared" si="24"/>
        <v>320</v>
      </c>
      <c r="J544" s="38">
        <f t="shared" si="25"/>
        <v>8.6995147482101913</v>
      </c>
      <c r="K544" s="38">
        <f t="shared" si="26"/>
        <v>5.768320995793772</v>
      </c>
      <c r="L544" s="40" t="b">
        <f>IF(B544=B543,C544&gt;C543,COUNTIF(B$1:B543,B544)=0)</f>
        <v>1</v>
      </c>
      <c r="M544" s="1"/>
    </row>
    <row r="545" spans="1:13" x14ac:dyDescent="0.25">
      <c r="A545" s="37" t="s">
        <v>2430</v>
      </c>
      <c r="B545" s="37" t="s">
        <v>582</v>
      </c>
      <c r="C545" s="37">
        <v>8000</v>
      </c>
      <c r="D545" s="37">
        <v>266</v>
      </c>
      <c r="E545" s="37" t="s">
        <v>1877</v>
      </c>
      <c r="F545" s="37">
        <v>40</v>
      </c>
      <c r="G545" s="37" t="s">
        <v>587</v>
      </c>
      <c r="H545" s="37" t="s">
        <v>928</v>
      </c>
      <c r="I545" s="42">
        <f t="shared" si="24"/>
        <v>266</v>
      </c>
      <c r="J545" s="38">
        <f t="shared" si="25"/>
        <v>8.987196820661973</v>
      </c>
      <c r="K545" s="38">
        <f t="shared" si="26"/>
        <v>5.5834963087816991</v>
      </c>
      <c r="L545" s="40" t="b">
        <f>IF(B545=B544,C545&gt;C544,COUNTIF(B$1:B544,B545)=0)</f>
        <v>1</v>
      </c>
      <c r="M545" s="1"/>
    </row>
    <row r="546" spans="1:13" x14ac:dyDescent="0.25">
      <c r="A546" s="37" t="s">
        <v>2431</v>
      </c>
      <c r="B546" s="37" t="s">
        <v>582</v>
      </c>
      <c r="C546" s="37">
        <v>10000</v>
      </c>
      <c r="D546" s="37">
        <v>227</v>
      </c>
      <c r="E546" s="37" t="s">
        <v>1877</v>
      </c>
      <c r="F546" s="37">
        <v>40</v>
      </c>
      <c r="G546" s="37" t="s">
        <v>587</v>
      </c>
      <c r="H546" s="37" t="s">
        <v>928</v>
      </c>
      <c r="I546" s="42">
        <f t="shared" si="24"/>
        <v>227</v>
      </c>
      <c r="J546" s="38">
        <f t="shared" si="25"/>
        <v>9.2103403719761836</v>
      </c>
      <c r="K546" s="38">
        <f t="shared" si="26"/>
        <v>5.4249500174814029</v>
      </c>
      <c r="L546" s="40" t="b">
        <f>IF(B546=B545,C546&gt;C545,COUNTIF(B$1:B545,B546)=0)</f>
        <v>1</v>
      </c>
      <c r="M546" s="1"/>
    </row>
    <row r="547" spans="1:13" x14ac:dyDescent="0.25">
      <c r="A547" s="37" t="s">
        <v>2432</v>
      </c>
      <c r="B547" s="37" t="s">
        <v>582</v>
      </c>
      <c r="C547" s="37">
        <v>12000</v>
      </c>
      <c r="D547" s="37">
        <v>200</v>
      </c>
      <c r="E547" s="37" t="s">
        <v>1877</v>
      </c>
      <c r="F547" s="37">
        <v>40</v>
      </c>
      <c r="G547" s="37" t="s">
        <v>587</v>
      </c>
      <c r="H547" s="37" t="s">
        <v>928</v>
      </c>
      <c r="I547" s="42">
        <f t="shared" si="24"/>
        <v>200</v>
      </c>
      <c r="J547" s="38">
        <f t="shared" si="25"/>
        <v>9.3926619287701367</v>
      </c>
      <c r="K547" s="38">
        <f t="shared" si="26"/>
        <v>5.2983173665480363</v>
      </c>
      <c r="L547" s="40" t="b">
        <f>IF(B547=B546,C547&gt;C546,COUNTIF(B$1:B546,B547)=0)</f>
        <v>1</v>
      </c>
      <c r="M547" s="1"/>
    </row>
    <row r="548" spans="1:13" x14ac:dyDescent="0.25">
      <c r="A548" s="37" t="s">
        <v>2433</v>
      </c>
      <c r="B548" s="37" t="s">
        <v>588</v>
      </c>
      <c r="C548" s="37">
        <v>10</v>
      </c>
      <c r="D548" s="37">
        <v>6450</v>
      </c>
      <c r="E548" s="37" t="s">
        <v>1877</v>
      </c>
      <c r="F548" s="37">
        <v>40</v>
      </c>
      <c r="G548" s="37" t="s">
        <v>593</v>
      </c>
      <c r="H548" s="37" t="s">
        <v>2020</v>
      </c>
      <c r="I548" s="42">
        <f t="shared" si="24"/>
        <v>6450</v>
      </c>
      <c r="J548" s="38">
        <f t="shared" si="25"/>
        <v>2.3025850929940459</v>
      </c>
      <c r="K548" s="38">
        <f t="shared" si="26"/>
        <v>8.7718354097898175</v>
      </c>
      <c r="L548" s="40" t="b">
        <f>IF(B548=B547,C548&gt;C547,COUNTIF(B$1:B547,B548)=0)</f>
        <v>1</v>
      </c>
      <c r="M548" s="1"/>
    </row>
    <row r="549" spans="1:13" x14ac:dyDescent="0.25">
      <c r="A549" s="37" t="s">
        <v>2434</v>
      </c>
      <c r="B549" s="37" t="s">
        <v>588</v>
      </c>
      <c r="C549" s="37">
        <v>100</v>
      </c>
      <c r="D549" s="37">
        <v>1970</v>
      </c>
      <c r="E549" s="37" t="s">
        <v>1877</v>
      </c>
      <c r="F549" s="37">
        <v>40</v>
      </c>
      <c r="G549" s="37" t="s">
        <v>593</v>
      </c>
      <c r="H549" s="37" t="s">
        <v>2020</v>
      </c>
      <c r="I549" s="42">
        <f t="shared" si="24"/>
        <v>1970</v>
      </c>
      <c r="J549" s="38">
        <f t="shared" si="25"/>
        <v>4.6051701859880918</v>
      </c>
      <c r="K549" s="38">
        <f t="shared" si="26"/>
        <v>7.5857888217320344</v>
      </c>
      <c r="L549" s="40" t="b">
        <f>IF(B549=B548,C549&gt;C548,COUNTIF(B$1:B548,B549)=0)</f>
        <v>1</v>
      </c>
      <c r="M549" s="1"/>
    </row>
    <row r="550" spans="1:13" x14ac:dyDescent="0.25">
      <c r="A550" s="37" t="s">
        <v>2435</v>
      </c>
      <c r="B550" s="37" t="s">
        <v>588</v>
      </c>
      <c r="C550" s="37">
        <v>500</v>
      </c>
      <c r="D550" s="37">
        <v>830</v>
      </c>
      <c r="E550" s="37" t="s">
        <v>1877</v>
      </c>
      <c r="F550" s="37">
        <v>40</v>
      </c>
      <c r="G550" s="37" t="s">
        <v>593</v>
      </c>
      <c r="H550" s="37" t="s">
        <v>2020</v>
      </c>
      <c r="I550" s="42">
        <f t="shared" si="24"/>
        <v>830</v>
      </c>
      <c r="J550" s="38">
        <f t="shared" si="25"/>
        <v>6.2146080984221914</v>
      </c>
      <c r="K550" s="38">
        <f t="shared" si="26"/>
        <v>6.7214257007906433</v>
      </c>
      <c r="L550" s="40" t="b">
        <f>IF(B550=B549,C550&gt;C549,COUNTIF(B$1:B549,B550)=0)</f>
        <v>1</v>
      </c>
      <c r="M550" s="1"/>
    </row>
    <row r="551" spans="1:13" x14ac:dyDescent="0.25">
      <c r="A551" s="37" t="s">
        <v>2436</v>
      </c>
      <c r="B551" s="37" t="s">
        <v>588</v>
      </c>
      <c r="C551" s="37">
        <v>1000</v>
      </c>
      <c r="D551" s="37">
        <v>560</v>
      </c>
      <c r="E551" s="37" t="s">
        <v>1877</v>
      </c>
      <c r="F551" s="37">
        <v>40</v>
      </c>
      <c r="G551" s="37" t="s">
        <v>593</v>
      </c>
      <c r="H551" s="37" t="s">
        <v>2020</v>
      </c>
      <c r="I551" s="42">
        <f t="shared" si="24"/>
        <v>560</v>
      </c>
      <c r="J551" s="38">
        <f t="shared" si="25"/>
        <v>6.9077552789821368</v>
      </c>
      <c r="K551" s="38">
        <f t="shared" si="26"/>
        <v>6.3279367837291947</v>
      </c>
      <c r="L551" s="40" t="b">
        <f>IF(B551=B550,C551&gt;C550,COUNTIF(B$1:B550,B551)=0)</f>
        <v>1</v>
      </c>
      <c r="M551" s="1"/>
    </row>
    <row r="552" spans="1:13" x14ac:dyDescent="0.25">
      <c r="A552" s="37" t="s">
        <v>2437</v>
      </c>
      <c r="B552" s="37" t="s">
        <v>588</v>
      </c>
      <c r="C552" s="37">
        <v>2000</v>
      </c>
      <c r="D552" s="37">
        <v>380</v>
      </c>
      <c r="E552" s="37" t="s">
        <v>1877</v>
      </c>
      <c r="F552" s="37">
        <v>40</v>
      </c>
      <c r="G552" s="37" t="s">
        <v>593</v>
      </c>
      <c r="H552" s="37" t="s">
        <v>2020</v>
      </c>
      <c r="I552" s="42">
        <f t="shared" si="24"/>
        <v>380</v>
      </c>
      <c r="J552" s="38">
        <f t="shared" si="25"/>
        <v>7.6009024595420822</v>
      </c>
      <c r="K552" s="38">
        <f t="shared" si="26"/>
        <v>5.9401712527204316</v>
      </c>
      <c r="L552" s="40" t="b">
        <f>IF(B552=B551,C552&gt;C551,COUNTIF(B$1:B551,B552)=0)</f>
        <v>1</v>
      </c>
      <c r="M552" s="1"/>
    </row>
    <row r="553" spans="1:13" x14ac:dyDescent="0.25">
      <c r="A553" s="37" t="s">
        <v>2438</v>
      </c>
      <c r="B553" s="37" t="s">
        <v>588</v>
      </c>
      <c r="C553" s="37">
        <v>3000</v>
      </c>
      <c r="D553" s="37">
        <v>300</v>
      </c>
      <c r="E553" s="37" t="s">
        <v>1877</v>
      </c>
      <c r="F553" s="37">
        <v>40</v>
      </c>
      <c r="G553" s="37" t="s">
        <v>593</v>
      </c>
      <c r="H553" s="37" t="s">
        <v>2020</v>
      </c>
      <c r="I553" s="42">
        <f t="shared" si="24"/>
        <v>300</v>
      </c>
      <c r="J553" s="38">
        <f t="shared" si="25"/>
        <v>8.0063675676502459</v>
      </c>
      <c r="K553" s="38">
        <f t="shared" si="26"/>
        <v>5.7037824746562009</v>
      </c>
      <c r="L553" s="40" t="b">
        <f>IF(B553=B552,C553&gt;C552,COUNTIF(B$1:B552,B553)=0)</f>
        <v>1</v>
      </c>
      <c r="M553" s="1"/>
    </row>
    <row r="554" spans="1:13" x14ac:dyDescent="0.25">
      <c r="A554" s="37" t="s">
        <v>2439</v>
      </c>
      <c r="B554" s="37" t="s">
        <v>588</v>
      </c>
      <c r="C554" s="37">
        <v>4000</v>
      </c>
      <c r="D554" s="37">
        <v>250</v>
      </c>
      <c r="E554" s="37" t="s">
        <v>1877</v>
      </c>
      <c r="F554" s="37">
        <v>40</v>
      </c>
      <c r="G554" s="37" t="s">
        <v>593</v>
      </c>
      <c r="H554" s="37" t="s">
        <v>2020</v>
      </c>
      <c r="I554" s="42">
        <f t="shared" si="24"/>
        <v>250</v>
      </c>
      <c r="J554" s="38">
        <f t="shared" si="25"/>
        <v>8.2940496401020276</v>
      </c>
      <c r="K554" s="38">
        <f t="shared" si="26"/>
        <v>5.521460917862246</v>
      </c>
      <c r="L554" s="40" t="b">
        <f>IF(B554=B553,C554&gt;C553,COUNTIF(B$1:B553,B554)=0)</f>
        <v>1</v>
      </c>
      <c r="M554" s="1"/>
    </row>
    <row r="555" spans="1:13" x14ac:dyDescent="0.25">
      <c r="A555" s="37" t="s">
        <v>2440</v>
      </c>
      <c r="B555" s="37" t="s">
        <v>588</v>
      </c>
      <c r="C555" s="37">
        <v>6000</v>
      </c>
      <c r="D555" s="37">
        <v>190</v>
      </c>
      <c r="E555" s="37" t="s">
        <v>1877</v>
      </c>
      <c r="F555" s="37">
        <v>40</v>
      </c>
      <c r="G555" s="37" t="s">
        <v>593</v>
      </c>
      <c r="H555" s="37" t="s">
        <v>2020</v>
      </c>
      <c r="I555" s="42">
        <f t="shared" si="24"/>
        <v>190</v>
      </c>
      <c r="J555" s="38">
        <f t="shared" si="25"/>
        <v>8.6995147482101913</v>
      </c>
      <c r="K555" s="38">
        <f t="shared" si="26"/>
        <v>5.2470240721604862</v>
      </c>
      <c r="L555" s="40" t="b">
        <f>IF(B555=B554,C555&gt;C554,COUNTIF(B$1:B554,B555)=0)</f>
        <v>1</v>
      </c>
      <c r="M555" s="1"/>
    </row>
    <row r="556" spans="1:13" x14ac:dyDescent="0.25">
      <c r="A556" s="37" t="s">
        <v>2441</v>
      </c>
      <c r="B556" s="37" t="s">
        <v>595</v>
      </c>
      <c r="C556" s="37">
        <v>30</v>
      </c>
      <c r="D556" s="37">
        <v>5.5</v>
      </c>
      <c r="E556" s="37" t="s">
        <v>1895</v>
      </c>
      <c r="F556" s="37">
        <v>40</v>
      </c>
      <c r="G556" s="37" t="s">
        <v>207</v>
      </c>
      <c r="H556" s="37" t="s">
        <v>1896</v>
      </c>
      <c r="I556" s="42">
        <f t="shared" si="24"/>
        <v>5500</v>
      </c>
      <c r="J556" s="38">
        <f t="shared" si="25"/>
        <v>3.4011973816621555</v>
      </c>
      <c r="K556" s="38">
        <f t="shared" si="26"/>
        <v>8.6125033712205621</v>
      </c>
      <c r="L556" s="40" t="b">
        <f>IF(B556=B555,C556&gt;C555,COUNTIF(B$1:B555,B556)=0)</f>
        <v>1</v>
      </c>
      <c r="M556" s="1"/>
    </row>
    <row r="557" spans="1:13" x14ac:dyDescent="0.25">
      <c r="A557" s="37" t="s">
        <v>2442</v>
      </c>
      <c r="B557" s="37" t="s">
        <v>595</v>
      </c>
      <c r="C557" s="37">
        <v>50</v>
      </c>
      <c r="D557" s="37">
        <v>4.3</v>
      </c>
      <c r="E557" s="37" t="s">
        <v>1895</v>
      </c>
      <c r="F557" s="37">
        <v>40</v>
      </c>
      <c r="G557" s="37" t="s">
        <v>207</v>
      </c>
      <c r="H557" s="37" t="s">
        <v>1896</v>
      </c>
      <c r="I557" s="42">
        <f t="shared" si="24"/>
        <v>4300</v>
      </c>
      <c r="J557" s="38">
        <f t="shared" si="25"/>
        <v>3.912023005428146</v>
      </c>
      <c r="K557" s="38">
        <f t="shared" si="26"/>
        <v>8.3663703016816537</v>
      </c>
      <c r="L557" s="40" t="b">
        <f>IF(B557=B556,C557&gt;C556,COUNTIF(B$1:B556,B557)=0)</f>
        <v>1</v>
      </c>
      <c r="M557" s="1"/>
    </row>
    <row r="558" spans="1:13" x14ac:dyDescent="0.25">
      <c r="A558" s="37" t="s">
        <v>2443</v>
      </c>
      <c r="B558" s="37" t="s">
        <v>595</v>
      </c>
      <c r="C558" s="37">
        <v>150</v>
      </c>
      <c r="D558" s="37">
        <v>2.4</v>
      </c>
      <c r="E558" s="37" t="s">
        <v>1895</v>
      </c>
      <c r="F558" s="37">
        <v>40</v>
      </c>
      <c r="G558" s="37" t="s">
        <v>207</v>
      </c>
      <c r="H558" s="37" t="s">
        <v>1896</v>
      </c>
      <c r="I558" s="42">
        <f t="shared" si="24"/>
        <v>2400</v>
      </c>
      <c r="J558" s="38">
        <f t="shared" si="25"/>
        <v>5.0106352940962555</v>
      </c>
      <c r="K558" s="38">
        <f t="shared" si="26"/>
        <v>7.7832240163360371</v>
      </c>
      <c r="L558" s="40" t="b">
        <f>IF(B558=B557,C558&gt;C557,COUNTIF(B$1:B557,B558)=0)</f>
        <v>1</v>
      </c>
      <c r="M558" s="1"/>
    </row>
    <row r="559" spans="1:13" x14ac:dyDescent="0.25">
      <c r="A559" s="37" t="s">
        <v>2444</v>
      </c>
      <c r="B559" s="37" t="s">
        <v>595</v>
      </c>
      <c r="C559" s="37">
        <v>220</v>
      </c>
      <c r="D559" s="37">
        <v>1.9</v>
      </c>
      <c r="E559" s="37" t="s">
        <v>1895</v>
      </c>
      <c r="F559" s="37">
        <v>40</v>
      </c>
      <c r="G559" s="37" t="s">
        <v>207</v>
      </c>
      <c r="H559" s="37" t="s">
        <v>1896</v>
      </c>
      <c r="I559" s="42">
        <f t="shared" si="24"/>
        <v>1900</v>
      </c>
      <c r="J559" s="38">
        <f t="shared" si="25"/>
        <v>5.393627546352362</v>
      </c>
      <c r="K559" s="38">
        <f t="shared" si="26"/>
        <v>7.5496091651545321</v>
      </c>
      <c r="L559" s="40" t="b">
        <f>IF(B559=B558,C559&gt;C558,COUNTIF(B$1:B558,B559)=0)</f>
        <v>1</v>
      </c>
      <c r="M559" s="1"/>
    </row>
    <row r="560" spans="1:13" x14ac:dyDescent="0.25">
      <c r="A560" s="37" t="s">
        <v>2445</v>
      </c>
      <c r="B560" s="37" t="s">
        <v>595</v>
      </c>
      <c r="C560" s="37">
        <v>450</v>
      </c>
      <c r="D560" s="37">
        <v>1.3</v>
      </c>
      <c r="E560" s="37" t="s">
        <v>1895</v>
      </c>
      <c r="F560" s="37">
        <v>40</v>
      </c>
      <c r="G560" s="37" t="s">
        <v>207</v>
      </c>
      <c r="H560" s="37" t="s">
        <v>1896</v>
      </c>
      <c r="I560" s="42">
        <f t="shared" si="24"/>
        <v>1300</v>
      </c>
      <c r="J560" s="38">
        <f t="shared" si="25"/>
        <v>6.1092475827643655</v>
      </c>
      <c r="K560" s="38">
        <f t="shared" si="26"/>
        <v>7.1701195434496281</v>
      </c>
      <c r="L560" s="40" t="b">
        <f>IF(B560=B559,C560&gt;C559,COUNTIF(B$1:B559,B560)=0)</f>
        <v>1</v>
      </c>
      <c r="M560" s="1"/>
    </row>
    <row r="561" spans="1:13" x14ac:dyDescent="0.25">
      <c r="A561" s="37" t="s">
        <v>2446</v>
      </c>
      <c r="B561" s="37" t="s">
        <v>595</v>
      </c>
      <c r="C561" s="37">
        <v>700</v>
      </c>
      <c r="D561" s="37">
        <v>1.1000000000000001</v>
      </c>
      <c r="E561" s="37" t="s">
        <v>1895</v>
      </c>
      <c r="F561" s="37">
        <v>40</v>
      </c>
      <c r="G561" s="37" t="s">
        <v>207</v>
      </c>
      <c r="H561" s="37" t="s">
        <v>1896</v>
      </c>
      <c r="I561" s="42">
        <f t="shared" si="24"/>
        <v>1100</v>
      </c>
      <c r="J561" s="38">
        <f t="shared" si="25"/>
        <v>6.5510803350434044</v>
      </c>
      <c r="K561" s="38">
        <f t="shared" si="26"/>
        <v>7.0030654587864616</v>
      </c>
      <c r="L561" s="40" t="b">
        <f>IF(B561=B560,C561&gt;C560,COUNTIF(B$1:B560,B561)=0)</f>
        <v>1</v>
      </c>
      <c r="M561" s="1"/>
    </row>
    <row r="562" spans="1:13" x14ac:dyDescent="0.25">
      <c r="A562" s="37" t="s">
        <v>2447</v>
      </c>
      <c r="B562" s="37" t="s">
        <v>595</v>
      </c>
      <c r="C562" s="37">
        <v>900</v>
      </c>
      <c r="D562" s="37">
        <v>0.93</v>
      </c>
      <c r="E562" s="37" t="s">
        <v>1895</v>
      </c>
      <c r="F562" s="37">
        <v>40</v>
      </c>
      <c r="G562" s="37" t="s">
        <v>207</v>
      </c>
      <c r="H562" s="37" t="s">
        <v>1896</v>
      </c>
      <c r="I562" s="42">
        <f t="shared" si="24"/>
        <v>930</v>
      </c>
      <c r="J562" s="38">
        <f t="shared" si="25"/>
        <v>6.8023947633243109</v>
      </c>
      <c r="K562" s="38">
        <f t="shared" si="26"/>
        <v>6.8351845861473013</v>
      </c>
      <c r="L562" s="40" t="b">
        <f>IF(B562=B561,C562&gt;C561,COUNTIF(B$1:B561,B562)=0)</f>
        <v>1</v>
      </c>
      <c r="M562" s="1"/>
    </row>
    <row r="563" spans="1:13" x14ac:dyDescent="0.25">
      <c r="A563" s="37" t="s">
        <v>2448</v>
      </c>
      <c r="B563" s="37" t="s">
        <v>595</v>
      </c>
      <c r="C563" s="37">
        <v>1500</v>
      </c>
      <c r="D563" s="37">
        <v>0.7</v>
      </c>
      <c r="E563" s="37" t="s">
        <v>1895</v>
      </c>
      <c r="F563" s="37">
        <v>40</v>
      </c>
      <c r="G563" s="37" t="s">
        <v>207</v>
      </c>
      <c r="H563" s="37" t="s">
        <v>1896</v>
      </c>
      <c r="I563" s="42">
        <f t="shared" si="24"/>
        <v>700</v>
      </c>
      <c r="J563" s="38">
        <f t="shared" si="25"/>
        <v>7.3132203870903014</v>
      </c>
      <c r="K563" s="38">
        <f t="shared" si="26"/>
        <v>6.5510803350434044</v>
      </c>
      <c r="L563" s="40" t="b">
        <f>IF(B563=B562,C563&gt;C562,COUNTIF(B$1:B562,B563)=0)</f>
        <v>1</v>
      </c>
      <c r="M563" s="1"/>
    </row>
    <row r="564" spans="1:13" x14ac:dyDescent="0.25">
      <c r="A564" s="37" t="s">
        <v>2449</v>
      </c>
      <c r="B564" s="37" t="s">
        <v>595</v>
      </c>
      <c r="C564" s="37">
        <v>2000</v>
      </c>
      <c r="D564" s="37">
        <v>0.59</v>
      </c>
      <c r="E564" s="37" t="s">
        <v>1895</v>
      </c>
      <c r="F564" s="37">
        <v>40</v>
      </c>
      <c r="G564" s="37" t="s">
        <v>207</v>
      </c>
      <c r="H564" s="37" t="s">
        <v>1896</v>
      </c>
      <c r="I564" s="42">
        <f t="shared" si="24"/>
        <v>590</v>
      </c>
      <c r="J564" s="38">
        <f t="shared" si="25"/>
        <v>7.6009024595420822</v>
      </c>
      <c r="K564" s="38">
        <f t="shared" si="26"/>
        <v>6.3801225368997647</v>
      </c>
      <c r="L564" s="40" t="b">
        <f>IF(B564=B563,C564&gt;C563,COUNTIF(B$1:B563,B564)=0)</f>
        <v>1</v>
      </c>
      <c r="M564" s="1"/>
    </row>
    <row r="565" spans="1:13" x14ac:dyDescent="0.25">
      <c r="A565" s="37" t="s">
        <v>2450</v>
      </c>
      <c r="B565" s="37" t="s">
        <v>595</v>
      </c>
      <c r="C565" s="37">
        <v>2500</v>
      </c>
      <c r="D565" s="37">
        <v>0.52</v>
      </c>
      <c r="E565" s="37" t="s">
        <v>1895</v>
      </c>
      <c r="F565" s="37">
        <v>40</v>
      </c>
      <c r="G565" s="37" t="s">
        <v>207</v>
      </c>
      <c r="H565" s="37" t="s">
        <v>1896</v>
      </c>
      <c r="I565" s="42">
        <f t="shared" si="24"/>
        <v>520</v>
      </c>
      <c r="J565" s="38">
        <f t="shared" si="25"/>
        <v>7.8240460108562919</v>
      </c>
      <c r="K565" s="38">
        <f t="shared" si="26"/>
        <v>6.253828811575473</v>
      </c>
      <c r="L565" s="40" t="b">
        <f>IF(B565=B564,C565&gt;C564,COUNTIF(B$1:B564,B565)=0)</f>
        <v>1</v>
      </c>
      <c r="M565" s="1"/>
    </row>
    <row r="566" spans="1:13" x14ac:dyDescent="0.25">
      <c r="A566" s="37" t="s">
        <v>2451</v>
      </c>
      <c r="B566" s="37" t="s">
        <v>598</v>
      </c>
      <c r="C566" s="37">
        <v>1</v>
      </c>
      <c r="D566" s="37">
        <v>36.11</v>
      </c>
      <c r="E566" s="37" t="s">
        <v>1895</v>
      </c>
      <c r="F566" s="37">
        <v>40</v>
      </c>
      <c r="G566" s="37" t="s">
        <v>605</v>
      </c>
      <c r="H566" s="37" t="s">
        <v>2452</v>
      </c>
      <c r="I566" s="42">
        <f t="shared" si="24"/>
        <v>36110</v>
      </c>
      <c r="J566" s="38">
        <f t="shared" si="25"/>
        <v>0</v>
      </c>
      <c r="K566" s="38">
        <f t="shared" si="26"/>
        <v>10.494325114271504</v>
      </c>
      <c r="L566" s="40" t="b">
        <f>IF(B566=B565,C566&gt;C565,COUNTIF(B$1:B565,B566)=0)</f>
        <v>1</v>
      </c>
      <c r="M566" s="1"/>
    </row>
    <row r="567" spans="1:13" x14ac:dyDescent="0.25">
      <c r="A567" s="37" t="s">
        <v>2453</v>
      </c>
      <c r="B567" s="37" t="s">
        <v>598</v>
      </c>
      <c r="C567" s="37">
        <v>1.5</v>
      </c>
      <c r="D567" s="37">
        <v>29.46</v>
      </c>
      <c r="E567" s="37" t="s">
        <v>1895</v>
      </c>
      <c r="F567" s="37">
        <v>40</v>
      </c>
      <c r="G567" s="37" t="s">
        <v>605</v>
      </c>
      <c r="H567" s="37" t="s">
        <v>2452</v>
      </c>
      <c r="I567" s="42">
        <f t="shared" si="24"/>
        <v>29460</v>
      </c>
      <c r="J567" s="38">
        <f t="shared" si="25"/>
        <v>0.40546510810816438</v>
      </c>
      <c r="K567" s="38">
        <f t="shared" si="26"/>
        <v>10.290788690016621</v>
      </c>
      <c r="L567" s="40" t="b">
        <f>IF(B567=B566,C567&gt;C566,COUNTIF(B$1:B566,B567)=0)</f>
        <v>1</v>
      </c>
      <c r="M567" s="1"/>
    </row>
    <row r="568" spans="1:13" x14ac:dyDescent="0.25">
      <c r="A568" s="37" t="s">
        <v>2454</v>
      </c>
      <c r="B568" s="37" t="s">
        <v>598</v>
      </c>
      <c r="C568" s="37">
        <v>2</v>
      </c>
      <c r="D568" s="37">
        <v>25.5</v>
      </c>
      <c r="E568" s="37" t="s">
        <v>1895</v>
      </c>
      <c r="F568" s="37">
        <v>40</v>
      </c>
      <c r="G568" s="37" t="s">
        <v>605</v>
      </c>
      <c r="H568" s="37" t="s">
        <v>2452</v>
      </c>
      <c r="I568" s="42">
        <f t="shared" si="24"/>
        <v>25500</v>
      </c>
      <c r="J568" s="38">
        <f t="shared" si="25"/>
        <v>0.69314718055994529</v>
      </c>
      <c r="K568" s="38">
        <f t="shared" si="26"/>
        <v>10.146433731146518</v>
      </c>
      <c r="L568" s="40" t="b">
        <f>IF(B568=B567,C568&gt;C567,COUNTIF(B$1:B567,B568)=0)</f>
        <v>1</v>
      </c>
      <c r="M568" s="1"/>
    </row>
    <row r="569" spans="1:13" x14ac:dyDescent="0.25">
      <c r="A569" s="37" t="s">
        <v>2455</v>
      </c>
      <c r="B569" s="37" t="s">
        <v>598</v>
      </c>
      <c r="C569" s="37">
        <v>10</v>
      </c>
      <c r="D569" s="37">
        <v>11.35</v>
      </c>
      <c r="E569" s="37" t="s">
        <v>1895</v>
      </c>
      <c r="F569" s="37">
        <v>40</v>
      </c>
      <c r="G569" s="37" t="s">
        <v>605</v>
      </c>
      <c r="H569" s="37" t="s">
        <v>2452</v>
      </c>
      <c r="I569" s="42">
        <f t="shared" si="24"/>
        <v>11350</v>
      </c>
      <c r="J569" s="38">
        <f t="shared" si="25"/>
        <v>2.3025850929940459</v>
      </c>
      <c r="K569" s="38">
        <f t="shared" si="26"/>
        <v>9.3369730229095484</v>
      </c>
      <c r="L569" s="40" t="b">
        <f>IF(B569=B568,C569&gt;C568,COUNTIF(B$1:B568,B569)=0)</f>
        <v>1</v>
      </c>
      <c r="M569" s="1"/>
    </row>
    <row r="570" spans="1:13" x14ac:dyDescent="0.25">
      <c r="A570" s="37" t="s">
        <v>2456</v>
      </c>
      <c r="B570" s="37" t="s">
        <v>598</v>
      </c>
      <c r="C570" s="37">
        <v>20</v>
      </c>
      <c r="D570" s="37">
        <v>7.99</v>
      </c>
      <c r="E570" s="37" t="s">
        <v>1895</v>
      </c>
      <c r="F570" s="37">
        <v>40</v>
      </c>
      <c r="G570" s="37" t="s">
        <v>605</v>
      </c>
      <c r="H570" s="37" t="s">
        <v>2452</v>
      </c>
      <c r="I570" s="42">
        <f t="shared" si="24"/>
        <v>7990</v>
      </c>
      <c r="J570" s="38">
        <f t="shared" si="25"/>
        <v>2.9957322735539909</v>
      </c>
      <c r="K570" s="38">
        <f t="shared" si="26"/>
        <v>8.9859460387603196</v>
      </c>
      <c r="L570" s="40" t="b">
        <f>IF(B570=B569,C570&gt;C569,COUNTIF(B$1:B569,B570)=0)</f>
        <v>1</v>
      </c>
      <c r="M570" s="1"/>
    </row>
    <row r="571" spans="1:13" x14ac:dyDescent="0.25">
      <c r="A571" s="37" t="s">
        <v>2457</v>
      </c>
      <c r="B571" s="37" t="s">
        <v>598</v>
      </c>
      <c r="C571" s="37">
        <v>30</v>
      </c>
      <c r="D571" s="37">
        <v>6.51</v>
      </c>
      <c r="E571" s="37" t="s">
        <v>1895</v>
      </c>
      <c r="F571" s="37">
        <v>40</v>
      </c>
      <c r="G571" s="37" t="s">
        <v>605</v>
      </c>
      <c r="H571" s="37" t="s">
        <v>2452</v>
      </c>
      <c r="I571" s="42">
        <f t="shared" si="24"/>
        <v>6510</v>
      </c>
      <c r="J571" s="38">
        <f t="shared" si="25"/>
        <v>3.4011973816621555</v>
      </c>
      <c r="K571" s="38">
        <f t="shared" si="26"/>
        <v>8.7810947352026147</v>
      </c>
      <c r="L571" s="40" t="b">
        <f>IF(B571=B570,C571&gt;C570,COUNTIF(B$1:B570,B571)=0)</f>
        <v>1</v>
      </c>
      <c r="M571" s="1"/>
    </row>
    <row r="572" spans="1:13" x14ac:dyDescent="0.25">
      <c r="A572" s="37" t="s">
        <v>2458</v>
      </c>
      <c r="B572" s="37" t="s">
        <v>598</v>
      </c>
      <c r="C572" s="37">
        <v>50</v>
      </c>
      <c r="D572" s="37">
        <v>5.0199999999999996</v>
      </c>
      <c r="E572" s="37" t="s">
        <v>1895</v>
      </c>
      <c r="F572" s="37">
        <v>40</v>
      </c>
      <c r="G572" s="37" t="s">
        <v>605</v>
      </c>
      <c r="H572" s="37" t="s">
        <v>2452</v>
      </c>
      <c r="I572" s="42">
        <f t="shared" si="24"/>
        <v>5020</v>
      </c>
      <c r="J572" s="38">
        <f t="shared" si="25"/>
        <v>3.912023005428146</v>
      </c>
      <c r="K572" s="38">
        <f t="shared" si="26"/>
        <v>8.5211852126857757</v>
      </c>
      <c r="L572" s="40" t="b">
        <f>IF(B572=B571,C572&gt;C571,COUNTIF(B$1:B571,B572)=0)</f>
        <v>1</v>
      </c>
      <c r="M572" s="1"/>
    </row>
    <row r="573" spans="1:13" x14ac:dyDescent="0.25">
      <c r="A573" s="37" t="s">
        <v>2459</v>
      </c>
      <c r="B573" s="37" t="s">
        <v>598</v>
      </c>
      <c r="C573" s="37">
        <v>85</v>
      </c>
      <c r="D573" s="37">
        <v>3.82</v>
      </c>
      <c r="E573" s="37" t="s">
        <v>1895</v>
      </c>
      <c r="F573" s="37">
        <v>40</v>
      </c>
      <c r="G573" s="37" t="s">
        <v>605</v>
      </c>
      <c r="H573" s="37" t="s">
        <v>2452</v>
      </c>
      <c r="I573" s="42">
        <f t="shared" si="24"/>
        <v>3820</v>
      </c>
      <c r="J573" s="38">
        <f t="shared" si="25"/>
        <v>4.4426512564903167</v>
      </c>
      <c r="K573" s="38">
        <f t="shared" si="26"/>
        <v>8.2480057016006203</v>
      </c>
      <c r="L573" s="40" t="b">
        <f>IF(B573=B572,C573&gt;C572,COUNTIF(B$1:B572,B573)=0)</f>
        <v>1</v>
      </c>
      <c r="M573" s="1"/>
    </row>
    <row r="574" spans="1:13" x14ac:dyDescent="0.25">
      <c r="A574" s="37" t="s">
        <v>2460</v>
      </c>
      <c r="B574" s="37" t="s">
        <v>598</v>
      </c>
      <c r="C574" s="37">
        <v>88</v>
      </c>
      <c r="D574" s="37">
        <v>3.76</v>
      </c>
      <c r="E574" s="37" t="s">
        <v>1895</v>
      </c>
      <c r="F574" s="37">
        <v>40</v>
      </c>
      <c r="G574" s="37" t="s">
        <v>605</v>
      </c>
      <c r="H574" s="37" t="s">
        <v>2452</v>
      </c>
      <c r="I574" s="42">
        <f t="shared" si="24"/>
        <v>3760</v>
      </c>
      <c r="J574" s="38">
        <f t="shared" si="25"/>
        <v>4.4773368144782069</v>
      </c>
      <c r="K574" s="38">
        <f t="shared" si="26"/>
        <v>8.2321742363839405</v>
      </c>
      <c r="L574" s="40" t="b">
        <f>IF(B574=B573,C574&gt;C573,COUNTIF(B$1:B573,B574)=0)</f>
        <v>1</v>
      </c>
      <c r="M574" s="1"/>
    </row>
    <row r="575" spans="1:13" x14ac:dyDescent="0.25">
      <c r="A575" s="37" t="s">
        <v>2461</v>
      </c>
      <c r="B575" s="37" t="s">
        <v>598</v>
      </c>
      <c r="C575" s="37">
        <v>100</v>
      </c>
      <c r="D575" s="37">
        <v>3.52</v>
      </c>
      <c r="E575" s="37" t="s">
        <v>1895</v>
      </c>
      <c r="F575" s="37">
        <v>40</v>
      </c>
      <c r="G575" s="37" t="s">
        <v>605</v>
      </c>
      <c r="H575" s="37" t="s">
        <v>2452</v>
      </c>
      <c r="I575" s="42">
        <f t="shared" si="24"/>
        <v>3520</v>
      </c>
      <c r="J575" s="38">
        <f t="shared" si="25"/>
        <v>4.6051701859880918</v>
      </c>
      <c r="K575" s="38">
        <f t="shared" si="26"/>
        <v>8.1662162685921427</v>
      </c>
      <c r="L575" s="40" t="b">
        <f>IF(B575=B574,C575&gt;C574,COUNTIF(B$1:B574,B575)=0)</f>
        <v>1</v>
      </c>
      <c r="M575" s="1"/>
    </row>
    <row r="576" spans="1:13" x14ac:dyDescent="0.25">
      <c r="A576" s="37" t="s">
        <v>2462</v>
      </c>
      <c r="B576" s="37" t="s">
        <v>598</v>
      </c>
      <c r="C576" s="37">
        <v>108</v>
      </c>
      <c r="D576" s="37">
        <v>3.38</v>
      </c>
      <c r="E576" s="37" t="s">
        <v>1895</v>
      </c>
      <c r="F576" s="37">
        <v>40</v>
      </c>
      <c r="G576" s="37" t="s">
        <v>605</v>
      </c>
      <c r="H576" s="37" t="s">
        <v>2452</v>
      </c>
      <c r="I576" s="42">
        <f t="shared" si="24"/>
        <v>3380</v>
      </c>
      <c r="J576" s="38">
        <f t="shared" si="25"/>
        <v>4.6821312271242199</v>
      </c>
      <c r="K576" s="38">
        <f t="shared" si="26"/>
        <v>8.1256309884770648</v>
      </c>
      <c r="L576" s="40" t="b">
        <f>IF(B576=B575,C576&gt;C575,COUNTIF(B$1:B575,B576)=0)</f>
        <v>1</v>
      </c>
      <c r="M576" s="1"/>
    </row>
    <row r="577" spans="1:13" x14ac:dyDescent="0.25">
      <c r="A577" s="37" t="s">
        <v>2463</v>
      </c>
      <c r="B577" s="37" t="s">
        <v>598</v>
      </c>
      <c r="C577" s="37">
        <v>150</v>
      </c>
      <c r="D577" s="37">
        <v>2.85</v>
      </c>
      <c r="E577" s="37" t="s">
        <v>1895</v>
      </c>
      <c r="F577" s="37">
        <v>40</v>
      </c>
      <c r="G577" s="37" t="s">
        <v>605</v>
      </c>
      <c r="H577" s="37" t="s">
        <v>2452</v>
      </c>
      <c r="I577" s="42">
        <f t="shared" si="24"/>
        <v>2850</v>
      </c>
      <c r="J577" s="38">
        <f t="shared" si="25"/>
        <v>5.0106352940962555</v>
      </c>
      <c r="K577" s="38">
        <f t="shared" si="26"/>
        <v>7.9550742732626958</v>
      </c>
      <c r="L577" s="40" t="b">
        <f>IF(B577=B576,C577&gt;C576,COUNTIF(B$1:B576,B577)=0)</f>
        <v>1</v>
      </c>
      <c r="M577" s="1"/>
    </row>
    <row r="578" spans="1:13" x14ac:dyDescent="0.25">
      <c r="A578" s="37" t="s">
        <v>2464</v>
      </c>
      <c r="B578" s="37" t="s">
        <v>598</v>
      </c>
      <c r="C578" s="37">
        <v>174</v>
      </c>
      <c r="D578" s="37">
        <v>2.64</v>
      </c>
      <c r="E578" s="37" t="s">
        <v>1895</v>
      </c>
      <c r="F578" s="37">
        <v>40</v>
      </c>
      <c r="G578" s="37" t="s">
        <v>605</v>
      </c>
      <c r="H578" s="37" t="s">
        <v>2452</v>
      </c>
      <c r="I578" s="42">
        <f t="shared" ref="I578:I641" si="27">IF(E578="kW",D578*1000,D578)</f>
        <v>2640</v>
      </c>
      <c r="J578" s="38">
        <f t="shared" ref="J578:J641" si="28">LN(C578)</f>
        <v>5.1590552992145291</v>
      </c>
      <c r="K578" s="38">
        <f t="shared" ref="K578:K641" si="29">LN(I578)</f>
        <v>7.8785341961403619</v>
      </c>
      <c r="L578" s="40" t="b">
        <f>IF(B578=B577,C578&gt;C577,COUNTIF(B$1:B577,B578)=0)</f>
        <v>1</v>
      </c>
      <c r="M578" s="1"/>
    </row>
    <row r="579" spans="1:13" x14ac:dyDescent="0.25">
      <c r="A579" s="37" t="s">
        <v>2465</v>
      </c>
      <c r="B579" s="37" t="s">
        <v>598</v>
      </c>
      <c r="C579" s="37">
        <v>200</v>
      </c>
      <c r="D579" s="37">
        <v>2.46</v>
      </c>
      <c r="E579" s="37" t="s">
        <v>1895</v>
      </c>
      <c r="F579" s="37">
        <v>40</v>
      </c>
      <c r="G579" s="37" t="s">
        <v>605</v>
      </c>
      <c r="H579" s="37" t="s">
        <v>2452</v>
      </c>
      <c r="I579" s="42">
        <f t="shared" si="27"/>
        <v>2460</v>
      </c>
      <c r="J579" s="38">
        <f t="shared" si="28"/>
        <v>5.2983173665480363</v>
      </c>
      <c r="K579" s="38">
        <f t="shared" si="29"/>
        <v>7.8079166289264084</v>
      </c>
      <c r="L579" s="40" t="b">
        <f>IF(B579=B578,C579&gt;C578,COUNTIF(B$1:B578,B579)=0)</f>
        <v>1</v>
      </c>
      <c r="M579" s="1"/>
    </row>
    <row r="580" spans="1:13" x14ac:dyDescent="0.25">
      <c r="A580" s="37" t="s">
        <v>2466</v>
      </c>
      <c r="B580" s="37" t="s">
        <v>598</v>
      </c>
      <c r="C580" s="37">
        <v>204</v>
      </c>
      <c r="D580" s="37">
        <v>2.4300000000000002</v>
      </c>
      <c r="E580" s="37" t="s">
        <v>1895</v>
      </c>
      <c r="F580" s="37">
        <v>40</v>
      </c>
      <c r="G580" s="37" t="s">
        <v>605</v>
      </c>
      <c r="H580" s="37" t="s">
        <v>2452</v>
      </c>
      <c r="I580" s="42">
        <f t="shared" si="27"/>
        <v>2430</v>
      </c>
      <c r="J580" s="38">
        <f t="shared" si="28"/>
        <v>5.3181199938442161</v>
      </c>
      <c r="K580" s="38">
        <f t="shared" si="29"/>
        <v>7.7956465363345941</v>
      </c>
      <c r="L580" s="40" t="b">
        <f>IF(B580=B579,C580&gt;C579,COUNTIF(B$1:B579,B580)=0)</f>
        <v>1</v>
      </c>
      <c r="M580" s="1"/>
    </row>
    <row r="581" spans="1:13" x14ac:dyDescent="0.25">
      <c r="A581" s="37" t="s">
        <v>2467</v>
      </c>
      <c r="B581" s="37" t="s">
        <v>598</v>
      </c>
      <c r="C581" s="37">
        <v>300</v>
      </c>
      <c r="D581" s="37">
        <v>1.99</v>
      </c>
      <c r="E581" s="37" t="s">
        <v>1895</v>
      </c>
      <c r="F581" s="37">
        <v>40</v>
      </c>
      <c r="G581" s="37" t="s">
        <v>605</v>
      </c>
      <c r="H581" s="37" t="s">
        <v>2452</v>
      </c>
      <c r="I581" s="42">
        <f t="shared" si="27"/>
        <v>1990</v>
      </c>
      <c r="J581" s="38">
        <f t="shared" si="28"/>
        <v>5.7037824746562009</v>
      </c>
      <c r="K581" s="38">
        <f t="shared" si="29"/>
        <v>7.5958899177185382</v>
      </c>
      <c r="L581" s="40" t="b">
        <f>IF(B581=B580,C581&gt;C580,COUNTIF(B$1:B580,B581)=0)</f>
        <v>1</v>
      </c>
      <c r="M581" s="1"/>
    </row>
    <row r="582" spans="1:13" x14ac:dyDescent="0.25">
      <c r="A582" s="37" t="s">
        <v>2468</v>
      </c>
      <c r="B582" s="37" t="s">
        <v>598</v>
      </c>
      <c r="C582" s="37">
        <v>400</v>
      </c>
      <c r="D582" s="37">
        <v>1.71</v>
      </c>
      <c r="E582" s="37" t="s">
        <v>1895</v>
      </c>
      <c r="F582" s="37">
        <v>40</v>
      </c>
      <c r="G582" s="37" t="s">
        <v>605</v>
      </c>
      <c r="H582" s="37" t="s">
        <v>2452</v>
      </c>
      <c r="I582" s="42">
        <f t="shared" si="27"/>
        <v>1710</v>
      </c>
      <c r="J582" s="38">
        <f t="shared" si="28"/>
        <v>5.9914645471079817</v>
      </c>
      <c r="K582" s="38">
        <f t="shared" si="29"/>
        <v>7.4442486494967053</v>
      </c>
      <c r="L582" s="40" t="b">
        <f>IF(B582=B581,C582&gt;C581,COUNTIF(B$1:B581,B582)=0)</f>
        <v>1</v>
      </c>
      <c r="M582" s="1"/>
    </row>
    <row r="583" spans="1:13" x14ac:dyDescent="0.25">
      <c r="A583" s="37" t="s">
        <v>2469</v>
      </c>
      <c r="B583" s="37" t="s">
        <v>598</v>
      </c>
      <c r="C583" s="37">
        <v>450</v>
      </c>
      <c r="D583" s="37">
        <v>1.61</v>
      </c>
      <c r="E583" s="37" t="s">
        <v>1895</v>
      </c>
      <c r="F583" s="37">
        <v>40</v>
      </c>
      <c r="G583" s="37" t="s">
        <v>605</v>
      </c>
      <c r="H583" s="37" t="s">
        <v>2452</v>
      </c>
      <c r="I583" s="42">
        <f t="shared" si="27"/>
        <v>1610</v>
      </c>
      <c r="J583" s="38">
        <f t="shared" si="28"/>
        <v>6.1092475827643655</v>
      </c>
      <c r="K583" s="38">
        <f t="shared" si="29"/>
        <v>7.383989457978509</v>
      </c>
      <c r="L583" s="40" t="b">
        <f>IF(B583=B582,C583&gt;C582,COUNTIF(B$1:B582,B583)=0)</f>
        <v>1</v>
      </c>
      <c r="M583" s="1"/>
    </row>
    <row r="584" spans="1:13" x14ac:dyDescent="0.25">
      <c r="A584" s="37" t="s">
        <v>2470</v>
      </c>
      <c r="B584" s="37" t="s">
        <v>598</v>
      </c>
      <c r="C584" s="37">
        <v>460</v>
      </c>
      <c r="D584" s="37">
        <v>1.59</v>
      </c>
      <c r="E584" s="37" t="s">
        <v>1895</v>
      </c>
      <c r="F584" s="37">
        <v>40</v>
      </c>
      <c r="G584" s="37" t="s">
        <v>605</v>
      </c>
      <c r="H584" s="37" t="s">
        <v>2452</v>
      </c>
      <c r="I584" s="42">
        <f t="shared" si="27"/>
        <v>1590</v>
      </c>
      <c r="J584" s="38">
        <f t="shared" si="28"/>
        <v>6.131226489483141</v>
      </c>
      <c r="K584" s="38">
        <f t="shared" si="29"/>
        <v>7.3714892952142774</v>
      </c>
      <c r="L584" s="40" t="b">
        <f>IF(B584=B583,C584&gt;C583,COUNTIF(B$1:B583,B584)=0)</f>
        <v>1</v>
      </c>
      <c r="M584" s="1"/>
    </row>
    <row r="585" spans="1:13" x14ac:dyDescent="0.25">
      <c r="A585" s="37" t="s">
        <v>2471</v>
      </c>
      <c r="B585" s="37" t="s">
        <v>598</v>
      </c>
      <c r="C585" s="37">
        <v>500</v>
      </c>
      <c r="D585" s="37">
        <v>1.52</v>
      </c>
      <c r="E585" s="37" t="s">
        <v>1895</v>
      </c>
      <c r="F585" s="37">
        <v>40</v>
      </c>
      <c r="G585" s="37" t="s">
        <v>605</v>
      </c>
      <c r="H585" s="37" t="s">
        <v>2452</v>
      </c>
      <c r="I585" s="42">
        <f t="shared" si="27"/>
        <v>1520</v>
      </c>
      <c r="J585" s="38">
        <f t="shared" si="28"/>
        <v>6.2146080984221914</v>
      </c>
      <c r="K585" s="38">
        <f t="shared" si="29"/>
        <v>7.3264656138403224</v>
      </c>
      <c r="L585" s="40" t="b">
        <f>IF(B585=B584,C585&gt;C584,COUNTIF(B$1:B584,B585)=0)</f>
        <v>1</v>
      </c>
      <c r="M585" s="1"/>
    </row>
    <row r="586" spans="1:13" x14ac:dyDescent="0.25">
      <c r="A586" s="37" t="s">
        <v>2472</v>
      </c>
      <c r="B586" s="37" t="s">
        <v>598</v>
      </c>
      <c r="C586" s="37">
        <v>512</v>
      </c>
      <c r="D586" s="37">
        <v>1.5</v>
      </c>
      <c r="E586" s="37" t="s">
        <v>1895</v>
      </c>
      <c r="F586" s="37">
        <v>40</v>
      </c>
      <c r="G586" s="37" t="s">
        <v>605</v>
      </c>
      <c r="H586" s="37" t="s">
        <v>2452</v>
      </c>
      <c r="I586" s="42">
        <f t="shared" si="27"/>
        <v>1500</v>
      </c>
      <c r="J586" s="38">
        <f t="shared" si="28"/>
        <v>6.2383246250395077</v>
      </c>
      <c r="K586" s="38">
        <f t="shared" si="29"/>
        <v>7.3132203870903014</v>
      </c>
      <c r="L586" s="40" t="b">
        <f>IF(B586=B585,C586&gt;C585,COUNTIF(B$1:B585,B586)=0)</f>
        <v>1</v>
      </c>
      <c r="M586" s="1"/>
    </row>
    <row r="587" spans="1:13" x14ac:dyDescent="0.25">
      <c r="A587" s="37" t="s">
        <v>2473</v>
      </c>
      <c r="B587" s="37" t="s">
        <v>598</v>
      </c>
      <c r="C587" s="37">
        <v>600</v>
      </c>
      <c r="D587" s="37">
        <v>1.38</v>
      </c>
      <c r="E587" s="37" t="s">
        <v>1895</v>
      </c>
      <c r="F587" s="37">
        <v>40</v>
      </c>
      <c r="G587" s="37" t="s">
        <v>605</v>
      </c>
      <c r="H587" s="37" t="s">
        <v>2452</v>
      </c>
      <c r="I587" s="42">
        <f t="shared" si="27"/>
        <v>1380</v>
      </c>
      <c r="J587" s="38">
        <f t="shared" si="28"/>
        <v>6.3969296552161463</v>
      </c>
      <c r="K587" s="38">
        <f t="shared" si="29"/>
        <v>7.2298387781512501</v>
      </c>
      <c r="L587" s="40" t="b">
        <f>IF(B587=B586,C587&gt;C586,COUNTIF(B$1:B586,B587)=0)</f>
        <v>1</v>
      </c>
      <c r="M587" s="1"/>
    </row>
    <row r="588" spans="1:13" x14ac:dyDescent="0.25">
      <c r="A588" s="37" t="s">
        <v>2474</v>
      </c>
      <c r="B588" s="37" t="s">
        <v>598</v>
      </c>
      <c r="C588" s="37">
        <v>700</v>
      </c>
      <c r="D588" s="37">
        <v>1.27</v>
      </c>
      <c r="E588" s="37" t="s">
        <v>1895</v>
      </c>
      <c r="F588" s="37">
        <v>40</v>
      </c>
      <c r="G588" s="37" t="s">
        <v>605</v>
      </c>
      <c r="H588" s="37" t="s">
        <v>2452</v>
      </c>
      <c r="I588" s="42">
        <f t="shared" si="27"/>
        <v>1270</v>
      </c>
      <c r="J588" s="38">
        <f t="shared" si="28"/>
        <v>6.5510803350434044</v>
      </c>
      <c r="K588" s="38">
        <f t="shared" si="29"/>
        <v>7.1467721794526371</v>
      </c>
      <c r="L588" s="40" t="b">
        <f>IF(B588=B587,C588&gt;C587,COUNTIF(B$1:B587,B588)=0)</f>
        <v>1</v>
      </c>
      <c r="M588" s="1"/>
    </row>
    <row r="589" spans="1:13" x14ac:dyDescent="0.25">
      <c r="A589" s="37" t="s">
        <v>2475</v>
      </c>
      <c r="B589" s="37" t="s">
        <v>598</v>
      </c>
      <c r="C589" s="37">
        <v>800</v>
      </c>
      <c r="D589" s="37">
        <v>1.18</v>
      </c>
      <c r="E589" s="37" t="s">
        <v>1895</v>
      </c>
      <c r="F589" s="37">
        <v>40</v>
      </c>
      <c r="G589" s="37" t="s">
        <v>605</v>
      </c>
      <c r="H589" s="37" t="s">
        <v>2452</v>
      </c>
      <c r="I589" s="42">
        <f t="shared" si="27"/>
        <v>1180</v>
      </c>
      <c r="J589" s="38">
        <f t="shared" si="28"/>
        <v>6.6846117276679271</v>
      </c>
      <c r="K589" s="38">
        <f t="shared" si="29"/>
        <v>7.0732697174597101</v>
      </c>
      <c r="L589" s="40" t="b">
        <f>IF(B589=B588,C589&gt;C588,COUNTIF(B$1:B588,B589)=0)</f>
        <v>1</v>
      </c>
      <c r="M589" s="1"/>
    </row>
    <row r="590" spans="1:13" x14ac:dyDescent="0.25">
      <c r="A590" s="37" t="s">
        <v>2476</v>
      </c>
      <c r="B590" s="37" t="s">
        <v>598</v>
      </c>
      <c r="C590" s="37">
        <v>824</v>
      </c>
      <c r="D590" s="37">
        <v>1.1599999999999999</v>
      </c>
      <c r="E590" s="37" t="s">
        <v>1895</v>
      </c>
      <c r="F590" s="37">
        <v>40</v>
      </c>
      <c r="G590" s="37" t="s">
        <v>605</v>
      </c>
      <c r="H590" s="37" t="s">
        <v>2452</v>
      </c>
      <c r="I590" s="42">
        <f t="shared" si="27"/>
        <v>1160</v>
      </c>
      <c r="J590" s="38">
        <f t="shared" si="28"/>
        <v>6.7141705299094721</v>
      </c>
      <c r="K590" s="38">
        <f t="shared" si="29"/>
        <v>7.0561752841004104</v>
      </c>
      <c r="L590" s="40" t="b">
        <f>IF(B590=B589,C590&gt;C589,COUNTIF(B$1:B589,B590)=0)</f>
        <v>1</v>
      </c>
      <c r="M590" s="1"/>
    </row>
    <row r="591" spans="1:13" x14ac:dyDescent="0.25">
      <c r="A591" s="37" t="s">
        <v>2477</v>
      </c>
      <c r="B591" s="37" t="s">
        <v>598</v>
      </c>
      <c r="C591" s="37">
        <v>894</v>
      </c>
      <c r="D591" s="37">
        <v>1.1100000000000001</v>
      </c>
      <c r="E591" s="37" t="s">
        <v>1895</v>
      </c>
      <c r="F591" s="37">
        <v>40</v>
      </c>
      <c r="G591" s="37" t="s">
        <v>605</v>
      </c>
      <c r="H591" s="37" t="s">
        <v>2452</v>
      </c>
      <c r="I591" s="42">
        <f t="shared" si="27"/>
        <v>1110</v>
      </c>
      <c r="J591" s="38">
        <f t="shared" si="28"/>
        <v>6.7957057751735137</v>
      </c>
      <c r="K591" s="38">
        <f t="shared" si="29"/>
        <v>7.0121152943063798</v>
      </c>
      <c r="L591" s="40" t="b">
        <f>IF(B591=B590,C591&gt;C590,COUNTIF(B$1:B590,B591)=0)</f>
        <v>1</v>
      </c>
      <c r="M591" s="1"/>
    </row>
    <row r="592" spans="1:13" x14ac:dyDescent="0.25">
      <c r="A592" s="37" t="s">
        <v>2478</v>
      </c>
      <c r="B592" s="37" t="s">
        <v>598</v>
      </c>
      <c r="C592" s="37">
        <v>960</v>
      </c>
      <c r="D592" s="37">
        <v>1.07</v>
      </c>
      <c r="E592" s="37" t="s">
        <v>1895</v>
      </c>
      <c r="F592" s="37">
        <v>40</v>
      </c>
      <c r="G592" s="37" t="s">
        <v>605</v>
      </c>
      <c r="H592" s="37" t="s">
        <v>2452</v>
      </c>
      <c r="I592" s="42">
        <f t="shared" si="27"/>
        <v>1070</v>
      </c>
      <c r="J592" s="38">
        <f t="shared" si="28"/>
        <v>6.866933284461882</v>
      </c>
      <c r="K592" s="38">
        <f t="shared" si="29"/>
        <v>6.9754139274559517</v>
      </c>
      <c r="L592" s="40" t="b">
        <f>IF(B592=B591,C592&gt;C591,COUNTIF(B$1:B591,B592)=0)</f>
        <v>1</v>
      </c>
      <c r="M592" s="1"/>
    </row>
    <row r="593" spans="1:13" x14ac:dyDescent="0.25">
      <c r="A593" s="37" t="s">
        <v>2479</v>
      </c>
      <c r="B593" s="37" t="s">
        <v>598</v>
      </c>
      <c r="C593" s="37">
        <v>1000</v>
      </c>
      <c r="D593" s="37">
        <v>1.05</v>
      </c>
      <c r="E593" s="37" t="s">
        <v>1895</v>
      </c>
      <c r="F593" s="37">
        <v>40</v>
      </c>
      <c r="G593" s="37" t="s">
        <v>605</v>
      </c>
      <c r="H593" s="37" t="s">
        <v>2452</v>
      </c>
      <c r="I593" s="42">
        <f t="shared" si="27"/>
        <v>1050</v>
      </c>
      <c r="J593" s="38">
        <f t="shared" si="28"/>
        <v>6.9077552789821368</v>
      </c>
      <c r="K593" s="38">
        <f t="shared" si="29"/>
        <v>6.956545443151569</v>
      </c>
      <c r="L593" s="40" t="b">
        <f>IF(B593=B592,C593&gt;C592,COUNTIF(B$1:B592,B593)=0)</f>
        <v>1</v>
      </c>
      <c r="M593" s="1"/>
    </row>
    <row r="594" spans="1:13" x14ac:dyDescent="0.25">
      <c r="A594" s="37" t="s">
        <v>2480</v>
      </c>
      <c r="B594" s="37" t="s">
        <v>598</v>
      </c>
      <c r="C594" s="37">
        <v>1218</v>
      </c>
      <c r="D594" s="37">
        <v>0.94</v>
      </c>
      <c r="E594" s="37" t="s">
        <v>1895</v>
      </c>
      <c r="F594" s="37">
        <v>40</v>
      </c>
      <c r="G594" s="37" t="s">
        <v>605</v>
      </c>
      <c r="H594" s="37" t="s">
        <v>2452</v>
      </c>
      <c r="I594" s="42">
        <f t="shared" si="27"/>
        <v>940</v>
      </c>
      <c r="J594" s="38">
        <f t="shared" si="28"/>
        <v>7.1049654482698426</v>
      </c>
      <c r="K594" s="38">
        <f t="shared" si="29"/>
        <v>6.8458798752640497</v>
      </c>
      <c r="L594" s="40" t="b">
        <f>IF(B594=B593,C594&gt;C593,COUNTIF(B$1:B593,B594)=0)</f>
        <v>1</v>
      </c>
      <c r="M594" s="1"/>
    </row>
    <row r="595" spans="1:13" x14ac:dyDescent="0.25">
      <c r="A595" s="37" t="s">
        <v>2481</v>
      </c>
      <c r="B595" s="37" t="s">
        <v>598</v>
      </c>
      <c r="C595" s="37">
        <v>1250</v>
      </c>
      <c r="D595" s="37">
        <v>0.93</v>
      </c>
      <c r="E595" s="37" t="s">
        <v>1895</v>
      </c>
      <c r="F595" s="37">
        <v>40</v>
      </c>
      <c r="G595" s="37" t="s">
        <v>605</v>
      </c>
      <c r="H595" s="37" t="s">
        <v>2452</v>
      </c>
      <c r="I595" s="42">
        <f t="shared" si="27"/>
        <v>930</v>
      </c>
      <c r="J595" s="38">
        <f t="shared" si="28"/>
        <v>7.1308988302963465</v>
      </c>
      <c r="K595" s="38">
        <f t="shared" si="29"/>
        <v>6.8351845861473013</v>
      </c>
      <c r="L595" s="40" t="b">
        <f>IF(B595=B594,C595&gt;C594,COUNTIF(B$1:B594,B595)=0)</f>
        <v>1</v>
      </c>
      <c r="M595" s="1"/>
    </row>
    <row r="596" spans="1:13" x14ac:dyDescent="0.25">
      <c r="A596" s="37" t="s">
        <v>2482</v>
      </c>
      <c r="B596" s="37" t="s">
        <v>598</v>
      </c>
      <c r="C596" s="37">
        <v>1500</v>
      </c>
      <c r="D596" s="37">
        <v>0.84</v>
      </c>
      <c r="E596" s="37" t="s">
        <v>1895</v>
      </c>
      <c r="F596" s="37">
        <v>40</v>
      </c>
      <c r="G596" s="37" t="s">
        <v>605</v>
      </c>
      <c r="H596" s="37" t="s">
        <v>2452</v>
      </c>
      <c r="I596" s="42">
        <f t="shared" si="27"/>
        <v>840</v>
      </c>
      <c r="J596" s="38">
        <f t="shared" si="28"/>
        <v>7.3132203870903014</v>
      </c>
      <c r="K596" s="38">
        <f t="shared" si="29"/>
        <v>6.7334018918373593</v>
      </c>
      <c r="L596" s="40" t="b">
        <f>IF(B596=B595,C596&gt;C595,COUNTIF(B$1:B595,B596)=0)</f>
        <v>1</v>
      </c>
      <c r="M596" s="1"/>
    </row>
    <row r="597" spans="1:13" x14ac:dyDescent="0.25">
      <c r="A597" s="37" t="s">
        <v>2483</v>
      </c>
      <c r="B597" s="37" t="s">
        <v>598</v>
      </c>
      <c r="C597" s="37">
        <v>1700</v>
      </c>
      <c r="D597" s="37">
        <v>0.78</v>
      </c>
      <c r="E597" s="37" t="s">
        <v>1895</v>
      </c>
      <c r="F597" s="37">
        <v>40</v>
      </c>
      <c r="G597" s="37" t="s">
        <v>605</v>
      </c>
      <c r="H597" s="37" t="s">
        <v>2452</v>
      </c>
      <c r="I597" s="42">
        <f t="shared" si="27"/>
        <v>780</v>
      </c>
      <c r="J597" s="38">
        <f t="shared" si="28"/>
        <v>7.4383835300443071</v>
      </c>
      <c r="K597" s="38">
        <f t="shared" si="29"/>
        <v>6.6592939196836376</v>
      </c>
      <c r="L597" s="40" t="b">
        <f>IF(B597=B596,C597&gt;C596,COUNTIF(B$1:B596,B597)=0)</f>
        <v>1</v>
      </c>
      <c r="M597" s="1"/>
    </row>
    <row r="598" spans="1:13" x14ac:dyDescent="0.25">
      <c r="A598" s="37" t="s">
        <v>2484</v>
      </c>
      <c r="B598" s="37" t="s">
        <v>598</v>
      </c>
      <c r="C598" s="37">
        <v>1794</v>
      </c>
      <c r="D598" s="37">
        <v>0.76</v>
      </c>
      <c r="E598" s="37" t="s">
        <v>1895</v>
      </c>
      <c r="F598" s="37">
        <v>40</v>
      </c>
      <c r="G598" s="37" t="s">
        <v>605</v>
      </c>
      <c r="H598" s="37" t="s">
        <v>2452</v>
      </c>
      <c r="I598" s="42">
        <f t="shared" si="27"/>
        <v>760</v>
      </c>
      <c r="J598" s="38">
        <f t="shared" si="28"/>
        <v>7.4922030426187414</v>
      </c>
      <c r="K598" s="38">
        <f t="shared" si="29"/>
        <v>6.633318433280377</v>
      </c>
      <c r="L598" s="40" t="b">
        <f>IF(B598=B597,C598&gt;C597,COUNTIF(B$1:B597,B598)=0)</f>
        <v>1</v>
      </c>
      <c r="M598" s="1"/>
    </row>
    <row r="599" spans="1:13" x14ac:dyDescent="0.25">
      <c r="A599" s="37" t="s">
        <v>2485</v>
      </c>
      <c r="B599" s="37" t="s">
        <v>598</v>
      </c>
      <c r="C599" s="37">
        <v>1800</v>
      </c>
      <c r="D599" s="37">
        <v>0.76</v>
      </c>
      <c r="E599" s="37" t="s">
        <v>1895</v>
      </c>
      <c r="F599" s="37">
        <v>40</v>
      </c>
      <c r="G599" s="37" t="s">
        <v>605</v>
      </c>
      <c r="H599" s="37" t="s">
        <v>2452</v>
      </c>
      <c r="I599" s="42">
        <f t="shared" si="27"/>
        <v>760</v>
      </c>
      <c r="J599" s="38">
        <f t="shared" si="28"/>
        <v>7.4955419438842563</v>
      </c>
      <c r="K599" s="38">
        <f t="shared" si="29"/>
        <v>6.633318433280377</v>
      </c>
      <c r="L599" s="40" t="b">
        <f>IF(B599=B598,C599&gt;C598,COUNTIF(B$1:B598,B599)=0)</f>
        <v>1</v>
      </c>
      <c r="M599" s="1"/>
    </row>
    <row r="600" spans="1:13" x14ac:dyDescent="0.25">
      <c r="A600" s="37" t="s">
        <v>2486</v>
      </c>
      <c r="B600" s="37" t="s">
        <v>598</v>
      </c>
      <c r="C600" s="37">
        <v>2000</v>
      </c>
      <c r="D600" s="37">
        <v>0.72</v>
      </c>
      <c r="E600" s="37" t="s">
        <v>1895</v>
      </c>
      <c r="F600" s="37">
        <v>40</v>
      </c>
      <c r="G600" s="37" t="s">
        <v>605</v>
      </c>
      <c r="H600" s="37" t="s">
        <v>2452</v>
      </c>
      <c r="I600" s="42">
        <f t="shared" si="27"/>
        <v>720</v>
      </c>
      <c r="J600" s="38">
        <f t="shared" si="28"/>
        <v>7.6009024595420822</v>
      </c>
      <c r="K600" s="38">
        <f t="shared" si="29"/>
        <v>6.5792512120101012</v>
      </c>
      <c r="L600" s="40" t="b">
        <f>IF(B600=B599,C600&gt;C599,COUNTIF(B$1:B599,B600)=0)</f>
        <v>1</v>
      </c>
      <c r="M600" s="1"/>
    </row>
    <row r="601" spans="1:13" x14ac:dyDescent="0.25">
      <c r="A601" s="37" t="s">
        <v>2487</v>
      </c>
      <c r="B601" s="37" t="s">
        <v>598</v>
      </c>
      <c r="C601" s="37">
        <v>2100</v>
      </c>
      <c r="D601" s="37">
        <v>0.7</v>
      </c>
      <c r="E601" s="37" t="s">
        <v>1895</v>
      </c>
      <c r="F601" s="37">
        <v>40</v>
      </c>
      <c r="G601" s="37" t="s">
        <v>605</v>
      </c>
      <c r="H601" s="37" t="s">
        <v>2452</v>
      </c>
      <c r="I601" s="42">
        <f t="shared" si="27"/>
        <v>700</v>
      </c>
      <c r="J601" s="38">
        <f t="shared" si="28"/>
        <v>7.6496926237115144</v>
      </c>
      <c r="K601" s="38">
        <f t="shared" si="29"/>
        <v>6.5510803350434044</v>
      </c>
      <c r="L601" s="40" t="b">
        <f>IF(B601=B600,C601&gt;C600,COUNTIF(B$1:B600,B601)=0)</f>
        <v>1</v>
      </c>
      <c r="M601" s="1"/>
    </row>
    <row r="602" spans="1:13" x14ac:dyDescent="0.25">
      <c r="A602" s="37" t="s">
        <v>2488</v>
      </c>
      <c r="B602" s="37" t="s">
        <v>598</v>
      </c>
      <c r="C602" s="37">
        <v>2200</v>
      </c>
      <c r="D602" s="37">
        <v>0.68</v>
      </c>
      <c r="E602" s="37" t="s">
        <v>1895</v>
      </c>
      <c r="F602" s="37">
        <v>40</v>
      </c>
      <c r="G602" s="37" t="s">
        <v>605</v>
      </c>
      <c r="H602" s="37" t="s">
        <v>2452</v>
      </c>
      <c r="I602" s="42">
        <f t="shared" si="27"/>
        <v>680</v>
      </c>
      <c r="J602" s="38">
        <f t="shared" si="28"/>
        <v>7.696212639346407</v>
      </c>
      <c r="K602" s="38">
        <f t="shared" si="29"/>
        <v>6.522092798170152</v>
      </c>
      <c r="L602" s="40" t="b">
        <f>IF(B602=B601,C602&gt;C601,COUNTIF(B$1:B601,B602)=0)</f>
        <v>1</v>
      </c>
      <c r="M602" s="1"/>
    </row>
    <row r="603" spans="1:13" x14ac:dyDescent="0.25">
      <c r="A603" s="37" t="s">
        <v>2489</v>
      </c>
      <c r="B603" s="37" t="s">
        <v>598</v>
      </c>
      <c r="C603" s="37">
        <v>2300</v>
      </c>
      <c r="D603" s="37">
        <v>0.66</v>
      </c>
      <c r="E603" s="37" t="s">
        <v>1895</v>
      </c>
      <c r="F603" s="37">
        <v>40</v>
      </c>
      <c r="G603" s="37" t="s">
        <v>605</v>
      </c>
      <c r="H603" s="37" t="s">
        <v>2452</v>
      </c>
      <c r="I603" s="42">
        <f t="shared" si="27"/>
        <v>660</v>
      </c>
      <c r="J603" s="38">
        <f t="shared" si="28"/>
        <v>7.7406644019172415</v>
      </c>
      <c r="K603" s="38">
        <f t="shared" si="29"/>
        <v>6.4922398350204711</v>
      </c>
      <c r="L603" s="40" t="b">
        <f>IF(B603=B602,C603&gt;C602,COUNTIF(B$1:B602,B603)=0)</f>
        <v>1</v>
      </c>
      <c r="M603" s="1"/>
    </row>
    <row r="604" spans="1:13" x14ac:dyDescent="0.25">
      <c r="A604" s="37" t="s">
        <v>2490</v>
      </c>
      <c r="B604" s="37" t="s">
        <v>598</v>
      </c>
      <c r="C604" s="37">
        <v>2500</v>
      </c>
      <c r="D604" s="37">
        <v>0.63</v>
      </c>
      <c r="E604" s="37" t="s">
        <v>1895</v>
      </c>
      <c r="F604" s="37">
        <v>40</v>
      </c>
      <c r="G604" s="37" t="s">
        <v>605</v>
      </c>
      <c r="H604" s="37" t="s">
        <v>2452</v>
      </c>
      <c r="I604" s="42">
        <f t="shared" si="27"/>
        <v>630</v>
      </c>
      <c r="J604" s="38">
        <f t="shared" si="28"/>
        <v>7.8240460108562919</v>
      </c>
      <c r="K604" s="38">
        <f t="shared" si="29"/>
        <v>6.4457198193855785</v>
      </c>
      <c r="L604" s="40" t="b">
        <f>IF(B604=B603,C604&gt;C603,COUNTIF(B$1:B603,B604)=0)</f>
        <v>1</v>
      </c>
      <c r="M604" s="1"/>
    </row>
    <row r="605" spans="1:13" x14ac:dyDescent="0.25">
      <c r="A605" s="37" t="s">
        <v>2491</v>
      </c>
      <c r="B605" s="37" t="s">
        <v>598</v>
      </c>
      <c r="C605" s="37">
        <v>2700</v>
      </c>
      <c r="D605" s="37">
        <v>0.6</v>
      </c>
      <c r="E605" s="37" t="s">
        <v>1895</v>
      </c>
      <c r="F605" s="37">
        <v>40</v>
      </c>
      <c r="G605" s="37" t="s">
        <v>605</v>
      </c>
      <c r="H605" s="37" t="s">
        <v>2452</v>
      </c>
      <c r="I605" s="42">
        <f t="shared" si="27"/>
        <v>600</v>
      </c>
      <c r="J605" s="38">
        <f t="shared" si="28"/>
        <v>7.90100705199242</v>
      </c>
      <c r="K605" s="38">
        <f t="shared" si="29"/>
        <v>6.3969296552161463</v>
      </c>
      <c r="L605" s="40" t="b">
        <f>IF(B605=B604,C605&gt;C604,COUNTIF(B$1:B604,B605)=0)</f>
        <v>1</v>
      </c>
      <c r="M605" s="1"/>
    </row>
    <row r="606" spans="1:13" x14ac:dyDescent="0.25">
      <c r="A606" s="37" t="s">
        <v>2492</v>
      </c>
      <c r="B606" s="37" t="s">
        <v>598</v>
      </c>
      <c r="C606" s="37">
        <v>3000</v>
      </c>
      <c r="D606" s="37">
        <v>0.56999999999999995</v>
      </c>
      <c r="E606" s="37" t="s">
        <v>1895</v>
      </c>
      <c r="F606" s="37">
        <v>40</v>
      </c>
      <c r="G606" s="37" t="s">
        <v>605</v>
      </c>
      <c r="H606" s="37" t="s">
        <v>2452</v>
      </c>
      <c r="I606" s="42">
        <f t="shared" si="27"/>
        <v>570</v>
      </c>
      <c r="J606" s="38">
        <f t="shared" si="28"/>
        <v>8.0063675676502459</v>
      </c>
      <c r="K606" s="38">
        <f t="shared" si="29"/>
        <v>6.3456363608285962</v>
      </c>
      <c r="L606" s="40" t="b">
        <f>IF(B606=B605,C606&gt;C605,COUNTIF(B$1:B605,B606)=0)</f>
        <v>1</v>
      </c>
      <c r="M606" s="1"/>
    </row>
    <row r="607" spans="1:13" x14ac:dyDescent="0.25">
      <c r="A607" s="37" t="s">
        <v>2493</v>
      </c>
      <c r="B607" s="37" t="s">
        <v>598</v>
      </c>
      <c r="C607" s="37">
        <v>3400</v>
      </c>
      <c r="D607" s="37">
        <v>0.53</v>
      </c>
      <c r="E607" s="37" t="s">
        <v>1895</v>
      </c>
      <c r="F607" s="37">
        <v>40</v>
      </c>
      <c r="G607" s="37" t="s">
        <v>605</v>
      </c>
      <c r="H607" s="37" t="s">
        <v>2452</v>
      </c>
      <c r="I607" s="42">
        <f t="shared" si="27"/>
        <v>530</v>
      </c>
      <c r="J607" s="38">
        <f t="shared" si="28"/>
        <v>8.1315307106042525</v>
      </c>
      <c r="K607" s="38">
        <f t="shared" si="29"/>
        <v>6.2728770065461674</v>
      </c>
      <c r="L607" s="40" t="b">
        <f>IF(B607=B606,C607&gt;C606,COUNTIF(B$1:B606,B607)=0)</f>
        <v>1</v>
      </c>
      <c r="M607" s="1"/>
    </row>
    <row r="608" spans="1:13" x14ac:dyDescent="0.25">
      <c r="A608" s="37" t="s">
        <v>2494</v>
      </c>
      <c r="B608" s="37" t="s">
        <v>598</v>
      </c>
      <c r="C608" s="37">
        <v>3600</v>
      </c>
      <c r="D608" s="37">
        <v>0.51</v>
      </c>
      <c r="E608" s="37" t="s">
        <v>1895</v>
      </c>
      <c r="F608" s="37">
        <v>40</v>
      </c>
      <c r="G608" s="37" t="s">
        <v>605</v>
      </c>
      <c r="H608" s="37" t="s">
        <v>2452</v>
      </c>
      <c r="I608" s="42">
        <f t="shared" si="27"/>
        <v>510</v>
      </c>
      <c r="J608" s="38">
        <f t="shared" si="28"/>
        <v>8.1886891244442008</v>
      </c>
      <c r="K608" s="38">
        <f t="shared" si="29"/>
        <v>6.2344107257183712</v>
      </c>
      <c r="L608" s="40" t="b">
        <f>IF(B608=B607,C608&gt;C607,COUNTIF(B$1:B607,B608)=0)</f>
        <v>1</v>
      </c>
      <c r="M608" s="1"/>
    </row>
    <row r="609" spans="1:13" x14ac:dyDescent="0.25">
      <c r="A609" s="37" t="s">
        <v>2495</v>
      </c>
      <c r="B609" s="37" t="s">
        <v>598</v>
      </c>
      <c r="C609" s="37">
        <v>3700</v>
      </c>
      <c r="D609" s="37">
        <v>0.5</v>
      </c>
      <c r="E609" s="37" t="s">
        <v>1895</v>
      </c>
      <c r="F609" s="37">
        <v>40</v>
      </c>
      <c r="G609" s="37" t="s">
        <v>605</v>
      </c>
      <c r="H609" s="37" t="s">
        <v>2452</v>
      </c>
      <c r="I609" s="42">
        <f t="shared" si="27"/>
        <v>500</v>
      </c>
      <c r="J609" s="38">
        <f t="shared" si="28"/>
        <v>8.2160880986323157</v>
      </c>
      <c r="K609" s="38">
        <f t="shared" si="29"/>
        <v>6.2146080984221914</v>
      </c>
      <c r="L609" s="40" t="b">
        <f>IF(B609=B608,C609&gt;C608,COUNTIF(B$1:B608,B609)=0)</f>
        <v>1</v>
      </c>
      <c r="M609" s="1"/>
    </row>
    <row r="610" spans="1:13" x14ac:dyDescent="0.25">
      <c r="A610" s="37" t="s">
        <v>2496</v>
      </c>
      <c r="B610" s="37" t="s">
        <v>598</v>
      </c>
      <c r="C610" s="37">
        <v>3800</v>
      </c>
      <c r="D610" s="37">
        <v>0.5</v>
      </c>
      <c r="E610" s="37" t="s">
        <v>1895</v>
      </c>
      <c r="F610" s="37">
        <v>40</v>
      </c>
      <c r="G610" s="37" t="s">
        <v>605</v>
      </c>
      <c r="H610" s="37" t="s">
        <v>2452</v>
      </c>
      <c r="I610" s="42">
        <f t="shared" si="27"/>
        <v>500</v>
      </c>
      <c r="J610" s="38">
        <f t="shared" si="28"/>
        <v>8.2427563457144775</v>
      </c>
      <c r="K610" s="38">
        <f t="shared" si="29"/>
        <v>6.2146080984221914</v>
      </c>
      <c r="L610" s="40" t="b">
        <f>IF(B610=B609,C610&gt;C609,COUNTIF(B$1:B609,B610)=0)</f>
        <v>1</v>
      </c>
      <c r="M610" s="1"/>
    </row>
    <row r="611" spans="1:13" x14ac:dyDescent="0.25">
      <c r="A611" s="37" t="s">
        <v>2497</v>
      </c>
      <c r="B611" s="37" t="s">
        <v>598</v>
      </c>
      <c r="C611" s="37">
        <v>3900</v>
      </c>
      <c r="D611" s="37">
        <v>0.49</v>
      </c>
      <c r="E611" s="37" t="s">
        <v>1895</v>
      </c>
      <c r="F611" s="37">
        <v>40</v>
      </c>
      <c r="G611" s="37" t="s">
        <v>605</v>
      </c>
      <c r="H611" s="37" t="s">
        <v>2452</v>
      </c>
      <c r="I611" s="42">
        <f t="shared" si="27"/>
        <v>490</v>
      </c>
      <c r="J611" s="38">
        <f t="shared" si="28"/>
        <v>8.2687318321177372</v>
      </c>
      <c r="K611" s="38">
        <f t="shared" si="29"/>
        <v>6.1944053911046719</v>
      </c>
      <c r="L611" s="40" t="b">
        <f>IF(B611=B610,C611&gt;C610,COUNTIF(B$1:B610,B611)=0)</f>
        <v>1</v>
      </c>
      <c r="M611" s="1"/>
    </row>
    <row r="612" spans="1:13" x14ac:dyDescent="0.25">
      <c r="A612" s="37" t="s">
        <v>2498</v>
      </c>
      <c r="B612" s="37" t="s">
        <v>598</v>
      </c>
      <c r="C612" s="37">
        <v>4000</v>
      </c>
      <c r="D612" s="37">
        <v>0.48</v>
      </c>
      <c r="E612" s="37" t="s">
        <v>1895</v>
      </c>
      <c r="F612" s="37">
        <v>40</v>
      </c>
      <c r="G612" s="37" t="s">
        <v>605</v>
      </c>
      <c r="H612" s="37" t="s">
        <v>2452</v>
      </c>
      <c r="I612" s="42">
        <f t="shared" si="27"/>
        <v>480</v>
      </c>
      <c r="J612" s="38">
        <f t="shared" si="28"/>
        <v>8.2940496401020276</v>
      </c>
      <c r="K612" s="38">
        <f t="shared" si="29"/>
        <v>6.1737861039019366</v>
      </c>
      <c r="L612" s="40" t="b">
        <f>IF(B612=B611,C612&gt;C611,COUNTIF(B$1:B611,B612)=0)</f>
        <v>1</v>
      </c>
      <c r="M612" s="1"/>
    </row>
    <row r="613" spans="1:13" x14ac:dyDescent="0.25">
      <c r="A613" s="37" t="s">
        <v>2499</v>
      </c>
      <c r="B613" s="37" t="s">
        <v>598</v>
      </c>
      <c r="C613" s="37">
        <v>4100</v>
      </c>
      <c r="D613" s="37">
        <v>0.48</v>
      </c>
      <c r="E613" s="37" t="s">
        <v>1895</v>
      </c>
      <c r="F613" s="37">
        <v>40</v>
      </c>
      <c r="G613" s="37" t="s">
        <v>605</v>
      </c>
      <c r="H613" s="37" t="s">
        <v>2452</v>
      </c>
      <c r="I613" s="42">
        <f t="shared" si="27"/>
        <v>480</v>
      </c>
      <c r="J613" s="38">
        <f t="shared" si="28"/>
        <v>8.3187422526923989</v>
      </c>
      <c r="K613" s="38">
        <f t="shared" si="29"/>
        <v>6.1737861039019366</v>
      </c>
      <c r="L613" s="40" t="b">
        <f>IF(B613=B612,C613&gt;C612,COUNTIF(B$1:B612,B613)=0)</f>
        <v>1</v>
      </c>
      <c r="M613" s="1"/>
    </row>
    <row r="614" spans="1:13" x14ac:dyDescent="0.25">
      <c r="A614" s="37" t="s">
        <v>2500</v>
      </c>
      <c r="B614" s="37" t="s">
        <v>598</v>
      </c>
      <c r="C614" s="37">
        <v>4200</v>
      </c>
      <c r="D614" s="37">
        <v>0.47</v>
      </c>
      <c r="E614" s="37" t="s">
        <v>1895</v>
      </c>
      <c r="F614" s="37">
        <v>40</v>
      </c>
      <c r="G614" s="37" t="s">
        <v>605</v>
      </c>
      <c r="H614" s="37" t="s">
        <v>2452</v>
      </c>
      <c r="I614" s="42">
        <f t="shared" si="27"/>
        <v>470</v>
      </c>
      <c r="J614" s="38">
        <f t="shared" si="28"/>
        <v>8.3428398042714598</v>
      </c>
      <c r="K614" s="38">
        <f t="shared" si="29"/>
        <v>6.1527326947041043</v>
      </c>
      <c r="L614" s="40" t="b">
        <f>IF(B614=B613,C614&gt;C613,COUNTIF(B$1:B613,B614)=0)</f>
        <v>1</v>
      </c>
      <c r="M614" s="1"/>
    </row>
    <row r="615" spans="1:13" x14ac:dyDescent="0.25">
      <c r="A615" s="37" t="s">
        <v>2501</v>
      </c>
      <c r="B615" s="37" t="s">
        <v>598</v>
      </c>
      <c r="C615" s="37">
        <v>4300</v>
      </c>
      <c r="D615" s="37">
        <v>0.46</v>
      </c>
      <c r="E615" s="37" t="s">
        <v>1895</v>
      </c>
      <c r="F615" s="37">
        <v>40</v>
      </c>
      <c r="G615" s="37" t="s">
        <v>605</v>
      </c>
      <c r="H615" s="37" t="s">
        <v>2452</v>
      </c>
      <c r="I615" s="42">
        <f t="shared" si="27"/>
        <v>460</v>
      </c>
      <c r="J615" s="38">
        <f t="shared" si="28"/>
        <v>8.3663703016816537</v>
      </c>
      <c r="K615" s="38">
        <f t="shared" si="29"/>
        <v>6.131226489483141</v>
      </c>
      <c r="L615" s="40" t="b">
        <f>IF(B615=B614,C615&gt;C614,COUNTIF(B$1:B614,B615)=0)</f>
        <v>1</v>
      </c>
      <c r="M615" s="1"/>
    </row>
    <row r="616" spans="1:13" x14ac:dyDescent="0.25">
      <c r="A616" s="37" t="s">
        <v>2502</v>
      </c>
      <c r="B616" s="37" t="s">
        <v>598</v>
      </c>
      <c r="C616" s="37">
        <v>4400</v>
      </c>
      <c r="D616" s="37">
        <v>0.46</v>
      </c>
      <c r="E616" s="37" t="s">
        <v>1895</v>
      </c>
      <c r="F616" s="37">
        <v>40</v>
      </c>
      <c r="G616" s="37" t="s">
        <v>605</v>
      </c>
      <c r="H616" s="37" t="s">
        <v>2452</v>
      </c>
      <c r="I616" s="42">
        <f t="shared" si="27"/>
        <v>460</v>
      </c>
      <c r="J616" s="38">
        <f t="shared" si="28"/>
        <v>8.3893598199063533</v>
      </c>
      <c r="K616" s="38">
        <f t="shared" si="29"/>
        <v>6.131226489483141</v>
      </c>
      <c r="L616" s="40" t="b">
        <f>IF(B616=B615,C616&gt;C615,COUNTIF(B$1:B615,B616)=0)</f>
        <v>1</v>
      </c>
      <c r="M616" s="1"/>
    </row>
    <row r="617" spans="1:13" x14ac:dyDescent="0.25">
      <c r="A617" s="37" t="s">
        <v>2503</v>
      </c>
      <c r="B617" s="37" t="s">
        <v>598</v>
      </c>
      <c r="C617" s="37">
        <v>4500</v>
      </c>
      <c r="D617" s="37">
        <v>0.45</v>
      </c>
      <c r="E617" s="37" t="s">
        <v>1895</v>
      </c>
      <c r="F617" s="37">
        <v>40</v>
      </c>
      <c r="G617" s="37" t="s">
        <v>605</v>
      </c>
      <c r="H617" s="37" t="s">
        <v>2452</v>
      </c>
      <c r="I617" s="42">
        <f t="shared" si="27"/>
        <v>450</v>
      </c>
      <c r="J617" s="38">
        <f t="shared" si="28"/>
        <v>8.4118326757584114</v>
      </c>
      <c r="K617" s="38">
        <f t="shared" si="29"/>
        <v>6.1092475827643655</v>
      </c>
      <c r="L617" s="40" t="b">
        <f>IF(B617=B616,C617&gt;C616,COUNTIF(B$1:B616,B617)=0)</f>
        <v>1</v>
      </c>
      <c r="M617" s="1"/>
    </row>
    <row r="618" spans="1:13" x14ac:dyDescent="0.25">
      <c r="A618" s="37" t="s">
        <v>2504</v>
      </c>
      <c r="B618" s="37" t="s">
        <v>598</v>
      </c>
      <c r="C618" s="37">
        <v>4600</v>
      </c>
      <c r="D618" s="37">
        <v>0.44</v>
      </c>
      <c r="E618" s="37" t="s">
        <v>1895</v>
      </c>
      <c r="F618" s="37">
        <v>40</v>
      </c>
      <c r="G618" s="37" t="s">
        <v>605</v>
      </c>
      <c r="H618" s="37" t="s">
        <v>2452</v>
      </c>
      <c r="I618" s="42">
        <f t="shared" si="27"/>
        <v>440</v>
      </c>
      <c r="J618" s="38">
        <f t="shared" si="28"/>
        <v>8.4338115824771869</v>
      </c>
      <c r="K618" s="38">
        <f t="shared" si="29"/>
        <v>6.0867747269123065</v>
      </c>
      <c r="L618" s="40" t="b">
        <f>IF(B618=B617,C618&gt;C617,COUNTIF(B$1:B617,B618)=0)</f>
        <v>1</v>
      </c>
      <c r="M618" s="1"/>
    </row>
    <row r="619" spans="1:13" x14ac:dyDescent="0.25">
      <c r="A619" s="37" t="s">
        <v>2505</v>
      </c>
      <c r="B619" s="37" t="s">
        <v>598</v>
      </c>
      <c r="C619" s="37">
        <v>4700</v>
      </c>
      <c r="D619" s="37">
        <v>0.44</v>
      </c>
      <c r="E619" s="37" t="s">
        <v>1895</v>
      </c>
      <c r="F619" s="37">
        <v>40</v>
      </c>
      <c r="G619" s="37" t="s">
        <v>605</v>
      </c>
      <c r="H619" s="37" t="s">
        <v>2452</v>
      </c>
      <c r="I619" s="42">
        <f t="shared" si="27"/>
        <v>440</v>
      </c>
      <c r="J619" s="38">
        <f t="shared" si="28"/>
        <v>8.4553177876981493</v>
      </c>
      <c r="K619" s="38">
        <f t="shared" si="29"/>
        <v>6.0867747269123065</v>
      </c>
      <c r="L619" s="40" t="b">
        <f>IF(B619=B618,C619&gt;C618,COUNTIF(B$1:B618,B619)=0)</f>
        <v>1</v>
      </c>
      <c r="M619" s="1"/>
    </row>
    <row r="620" spans="1:13" x14ac:dyDescent="0.25">
      <c r="A620" s="37" t="s">
        <v>2506</v>
      </c>
      <c r="B620" s="37" t="s">
        <v>598</v>
      </c>
      <c r="C620" s="37">
        <v>4800</v>
      </c>
      <c r="D620" s="37">
        <v>0.43</v>
      </c>
      <c r="E620" s="37" t="s">
        <v>1895</v>
      </c>
      <c r="F620" s="37">
        <v>40</v>
      </c>
      <c r="G620" s="37" t="s">
        <v>605</v>
      </c>
      <c r="H620" s="37" t="s">
        <v>2452</v>
      </c>
      <c r="I620" s="42">
        <f t="shared" si="27"/>
        <v>430</v>
      </c>
      <c r="J620" s="38">
        <f t="shared" si="28"/>
        <v>8.4763711968959825</v>
      </c>
      <c r="K620" s="38">
        <f t="shared" si="29"/>
        <v>6.0637852086876078</v>
      </c>
      <c r="L620" s="40" t="b">
        <f>IF(B620=B619,C620&gt;C619,COUNTIF(B$1:B619,B620)=0)</f>
        <v>1</v>
      </c>
      <c r="M620" s="1"/>
    </row>
    <row r="621" spans="1:13" x14ac:dyDescent="0.25">
      <c r="A621" s="37" t="s">
        <v>2507</v>
      </c>
      <c r="B621" s="37" t="s">
        <v>598</v>
      </c>
      <c r="C621" s="37">
        <v>4900</v>
      </c>
      <c r="D621" s="37">
        <v>0.43</v>
      </c>
      <c r="E621" s="37" t="s">
        <v>1895</v>
      </c>
      <c r="F621" s="37">
        <v>40</v>
      </c>
      <c r="G621" s="37" t="s">
        <v>605</v>
      </c>
      <c r="H621" s="37" t="s">
        <v>2452</v>
      </c>
      <c r="I621" s="42">
        <f t="shared" si="27"/>
        <v>430</v>
      </c>
      <c r="J621" s="38">
        <f t="shared" si="28"/>
        <v>8.4969904840987187</v>
      </c>
      <c r="K621" s="38">
        <f t="shared" si="29"/>
        <v>6.0637852086876078</v>
      </c>
      <c r="L621" s="40" t="b">
        <f>IF(B621=B620,C621&gt;C620,COUNTIF(B$1:B620,B621)=0)</f>
        <v>1</v>
      </c>
      <c r="M621" s="1"/>
    </row>
    <row r="622" spans="1:13" x14ac:dyDescent="0.25">
      <c r="A622" s="37" t="s">
        <v>2508</v>
      </c>
      <c r="B622" s="37" t="s">
        <v>598</v>
      </c>
      <c r="C622" s="37">
        <v>5000</v>
      </c>
      <c r="D622" s="37">
        <v>0.42</v>
      </c>
      <c r="E622" s="37" t="s">
        <v>1895</v>
      </c>
      <c r="F622" s="37">
        <v>40</v>
      </c>
      <c r="G622" s="37" t="s">
        <v>605</v>
      </c>
      <c r="H622" s="37" t="s">
        <v>2452</v>
      </c>
      <c r="I622" s="42">
        <f t="shared" si="27"/>
        <v>420</v>
      </c>
      <c r="J622" s="38">
        <f t="shared" si="28"/>
        <v>8.5171931914162382</v>
      </c>
      <c r="K622" s="38">
        <f t="shared" si="29"/>
        <v>6.0402547112774139</v>
      </c>
      <c r="L622" s="40" t="b">
        <f>IF(B622=B621,C622&gt;C621,COUNTIF(B$1:B621,B622)=0)</f>
        <v>1</v>
      </c>
      <c r="M622" s="1"/>
    </row>
    <row r="623" spans="1:13" x14ac:dyDescent="0.25">
      <c r="A623" s="37" t="s">
        <v>2509</v>
      </c>
      <c r="B623" s="37" t="s">
        <v>598</v>
      </c>
      <c r="C623" s="37">
        <v>6000</v>
      </c>
      <c r="D623" s="37">
        <v>0.38</v>
      </c>
      <c r="E623" s="37" t="s">
        <v>1895</v>
      </c>
      <c r="F623" s="37">
        <v>40</v>
      </c>
      <c r="G623" s="37" t="s">
        <v>605</v>
      </c>
      <c r="H623" s="37" t="s">
        <v>2452</v>
      </c>
      <c r="I623" s="42">
        <f t="shared" si="27"/>
        <v>380</v>
      </c>
      <c r="J623" s="38">
        <f t="shared" si="28"/>
        <v>8.6995147482101913</v>
      </c>
      <c r="K623" s="38">
        <f t="shared" si="29"/>
        <v>5.9401712527204316</v>
      </c>
      <c r="L623" s="40" t="b">
        <f>IF(B623=B622,C623&gt;C622,COUNTIF(B$1:B622,B623)=0)</f>
        <v>1</v>
      </c>
      <c r="M623" s="1"/>
    </row>
    <row r="624" spans="1:13" x14ac:dyDescent="0.25">
      <c r="A624" s="37" t="s">
        <v>2510</v>
      </c>
      <c r="B624" s="37" t="s">
        <v>598</v>
      </c>
      <c r="C624" s="37">
        <v>8000</v>
      </c>
      <c r="D624" s="37">
        <v>0.32</v>
      </c>
      <c r="E624" s="37" t="s">
        <v>1895</v>
      </c>
      <c r="F624" s="37">
        <v>40</v>
      </c>
      <c r="G624" s="37" t="s">
        <v>605</v>
      </c>
      <c r="H624" s="37" t="s">
        <v>2452</v>
      </c>
      <c r="I624" s="42">
        <f t="shared" si="27"/>
        <v>320</v>
      </c>
      <c r="J624" s="38">
        <f t="shared" si="28"/>
        <v>8.987196820661973</v>
      </c>
      <c r="K624" s="38">
        <f t="shared" si="29"/>
        <v>5.768320995793772</v>
      </c>
      <c r="L624" s="40" t="b">
        <f>IF(B624=B623,C624&gt;C623,COUNTIF(B$1:B623,B624)=0)</f>
        <v>1</v>
      </c>
      <c r="M624" s="1"/>
    </row>
    <row r="625" spans="1:13" x14ac:dyDescent="0.25">
      <c r="A625" s="37" t="s">
        <v>2511</v>
      </c>
      <c r="B625" s="37" t="s">
        <v>598</v>
      </c>
      <c r="C625" s="37">
        <v>8800</v>
      </c>
      <c r="D625" s="37">
        <v>0.3</v>
      </c>
      <c r="E625" s="37" t="s">
        <v>1895</v>
      </c>
      <c r="F625" s="37">
        <v>40</v>
      </c>
      <c r="G625" s="37" t="s">
        <v>605</v>
      </c>
      <c r="H625" s="37" t="s">
        <v>2452</v>
      </c>
      <c r="I625" s="42">
        <f t="shared" si="27"/>
        <v>300</v>
      </c>
      <c r="J625" s="38">
        <f t="shared" si="28"/>
        <v>9.0825070004662987</v>
      </c>
      <c r="K625" s="38">
        <f t="shared" si="29"/>
        <v>5.7037824746562009</v>
      </c>
      <c r="L625" s="40" t="b">
        <f>IF(B625=B624,C625&gt;C624,COUNTIF(B$1:B624,B625)=0)</f>
        <v>1</v>
      </c>
      <c r="M625" s="1"/>
    </row>
    <row r="626" spans="1:13" x14ac:dyDescent="0.25">
      <c r="A626" s="37" t="s">
        <v>2512</v>
      </c>
      <c r="B626" s="37" t="s">
        <v>607</v>
      </c>
      <c r="C626" s="37">
        <v>30</v>
      </c>
      <c r="D626" s="37">
        <v>8.9</v>
      </c>
      <c r="E626" s="37" t="s">
        <v>1895</v>
      </c>
      <c r="F626" s="37">
        <v>40</v>
      </c>
      <c r="G626" s="37" t="s">
        <v>207</v>
      </c>
      <c r="H626" s="37" t="s">
        <v>1896</v>
      </c>
      <c r="I626" s="42">
        <f t="shared" si="27"/>
        <v>8900</v>
      </c>
      <c r="J626" s="38">
        <f t="shared" si="28"/>
        <v>3.4011973816621555</v>
      </c>
      <c r="K626" s="38">
        <f t="shared" si="29"/>
        <v>9.0938065557202314</v>
      </c>
      <c r="L626" s="40" t="b">
        <f>IF(B626=B625,C626&gt;C625,COUNTIF(B$1:B625,B626)=0)</f>
        <v>1</v>
      </c>
      <c r="M626" s="1"/>
    </row>
    <row r="627" spans="1:13" x14ac:dyDescent="0.25">
      <c r="A627" s="37" t="s">
        <v>2513</v>
      </c>
      <c r="B627" s="37" t="s">
        <v>607</v>
      </c>
      <c r="C627" s="37">
        <v>50</v>
      </c>
      <c r="D627" s="37">
        <v>6.8</v>
      </c>
      <c r="E627" s="37" t="s">
        <v>1895</v>
      </c>
      <c r="F627" s="37">
        <v>40</v>
      </c>
      <c r="G627" s="37" t="s">
        <v>207</v>
      </c>
      <c r="H627" s="37" t="s">
        <v>1896</v>
      </c>
      <c r="I627" s="42">
        <f t="shared" si="27"/>
        <v>6800</v>
      </c>
      <c r="J627" s="38">
        <f t="shared" si="28"/>
        <v>3.912023005428146</v>
      </c>
      <c r="K627" s="38">
        <f t="shared" si="29"/>
        <v>8.8246778911641979</v>
      </c>
      <c r="L627" s="40" t="b">
        <f>IF(B627=B626,C627&gt;C626,COUNTIF(B$1:B626,B627)=0)</f>
        <v>1</v>
      </c>
      <c r="M627" s="1"/>
    </row>
    <row r="628" spans="1:13" x14ac:dyDescent="0.25">
      <c r="A628" s="37" t="s">
        <v>2514</v>
      </c>
      <c r="B628" s="37" t="s">
        <v>607</v>
      </c>
      <c r="C628" s="37">
        <v>150</v>
      </c>
      <c r="D628" s="37">
        <v>3.9</v>
      </c>
      <c r="E628" s="37" t="s">
        <v>1895</v>
      </c>
      <c r="F628" s="37">
        <v>40</v>
      </c>
      <c r="G628" s="37" t="s">
        <v>207</v>
      </c>
      <c r="H628" s="37" t="s">
        <v>1896</v>
      </c>
      <c r="I628" s="42">
        <f t="shared" si="27"/>
        <v>3900</v>
      </c>
      <c r="J628" s="38">
        <f t="shared" si="28"/>
        <v>5.0106352940962555</v>
      </c>
      <c r="K628" s="38">
        <f t="shared" si="29"/>
        <v>8.2687318321177372</v>
      </c>
      <c r="L628" s="40" t="b">
        <f>IF(B628=B627,C628&gt;C627,COUNTIF(B$1:B627,B628)=0)</f>
        <v>1</v>
      </c>
      <c r="M628" s="1"/>
    </row>
    <row r="629" spans="1:13" x14ac:dyDescent="0.25">
      <c r="A629" s="37" t="s">
        <v>2515</v>
      </c>
      <c r="B629" s="37" t="s">
        <v>607</v>
      </c>
      <c r="C629" s="37">
        <v>220</v>
      </c>
      <c r="D629" s="37">
        <v>3.2</v>
      </c>
      <c r="E629" s="37" t="s">
        <v>1895</v>
      </c>
      <c r="F629" s="37">
        <v>40</v>
      </c>
      <c r="G629" s="37" t="s">
        <v>207</v>
      </c>
      <c r="H629" s="37" t="s">
        <v>1896</v>
      </c>
      <c r="I629" s="42">
        <f t="shared" si="27"/>
        <v>3200</v>
      </c>
      <c r="J629" s="38">
        <f t="shared" si="28"/>
        <v>5.393627546352362</v>
      </c>
      <c r="K629" s="38">
        <f t="shared" si="29"/>
        <v>8.0709060887878188</v>
      </c>
      <c r="L629" s="40" t="b">
        <f>IF(B629=B628,C629&gt;C628,COUNTIF(B$1:B628,B629)=0)</f>
        <v>1</v>
      </c>
      <c r="M629" s="1"/>
    </row>
    <row r="630" spans="1:13" x14ac:dyDescent="0.25">
      <c r="A630" s="37" t="s">
        <v>2516</v>
      </c>
      <c r="B630" s="37" t="s">
        <v>607</v>
      </c>
      <c r="C630" s="37">
        <v>450</v>
      </c>
      <c r="D630" s="37">
        <v>2.2000000000000002</v>
      </c>
      <c r="E630" s="37" t="s">
        <v>1895</v>
      </c>
      <c r="F630" s="37">
        <v>40</v>
      </c>
      <c r="G630" s="37" t="s">
        <v>207</v>
      </c>
      <c r="H630" s="37" t="s">
        <v>1896</v>
      </c>
      <c r="I630" s="42">
        <f t="shared" si="27"/>
        <v>2200</v>
      </c>
      <c r="J630" s="38">
        <f t="shared" si="28"/>
        <v>6.1092475827643655</v>
      </c>
      <c r="K630" s="38">
        <f t="shared" si="29"/>
        <v>7.696212639346407</v>
      </c>
      <c r="L630" s="40" t="b">
        <f>IF(B630=B629,C630&gt;C629,COUNTIF(B$1:B629,B630)=0)</f>
        <v>1</v>
      </c>
      <c r="M630" s="1"/>
    </row>
    <row r="631" spans="1:13" x14ac:dyDescent="0.25">
      <c r="A631" s="37" t="s">
        <v>2517</v>
      </c>
      <c r="B631" s="37" t="s">
        <v>607</v>
      </c>
      <c r="C631" s="37">
        <v>700</v>
      </c>
      <c r="D631" s="37">
        <v>1.7</v>
      </c>
      <c r="E631" s="37" t="s">
        <v>1895</v>
      </c>
      <c r="F631" s="37">
        <v>40</v>
      </c>
      <c r="G631" s="37" t="s">
        <v>207</v>
      </c>
      <c r="H631" s="37" t="s">
        <v>1896</v>
      </c>
      <c r="I631" s="42">
        <f t="shared" si="27"/>
        <v>1700</v>
      </c>
      <c r="J631" s="38">
        <f t="shared" si="28"/>
        <v>6.5510803350434044</v>
      </c>
      <c r="K631" s="38">
        <f t="shared" si="29"/>
        <v>7.4383835300443071</v>
      </c>
      <c r="L631" s="40" t="b">
        <f>IF(B631=B630,C631&gt;C630,COUNTIF(B$1:B630,B631)=0)</f>
        <v>1</v>
      </c>
      <c r="M631" s="1"/>
    </row>
    <row r="632" spans="1:13" x14ac:dyDescent="0.25">
      <c r="A632" s="37" t="s">
        <v>2518</v>
      </c>
      <c r="B632" s="37" t="s">
        <v>607</v>
      </c>
      <c r="C632" s="37">
        <v>900</v>
      </c>
      <c r="D632" s="37">
        <v>1.5</v>
      </c>
      <c r="E632" s="37" t="s">
        <v>1895</v>
      </c>
      <c r="F632" s="37">
        <v>40</v>
      </c>
      <c r="G632" s="37" t="s">
        <v>207</v>
      </c>
      <c r="H632" s="37" t="s">
        <v>1896</v>
      </c>
      <c r="I632" s="42">
        <f t="shared" si="27"/>
        <v>1500</v>
      </c>
      <c r="J632" s="38">
        <f t="shared" si="28"/>
        <v>6.8023947633243109</v>
      </c>
      <c r="K632" s="38">
        <f t="shared" si="29"/>
        <v>7.3132203870903014</v>
      </c>
      <c r="L632" s="40" t="b">
        <f>IF(B632=B631,C632&gt;C631,COUNTIF(B$1:B631,B632)=0)</f>
        <v>1</v>
      </c>
      <c r="M632" s="1"/>
    </row>
    <row r="633" spans="1:13" x14ac:dyDescent="0.25">
      <c r="A633" s="37" t="s">
        <v>2519</v>
      </c>
      <c r="B633" s="37" t="s">
        <v>607</v>
      </c>
      <c r="C633" s="37">
        <v>1500</v>
      </c>
      <c r="D633" s="37">
        <v>1.1000000000000001</v>
      </c>
      <c r="E633" s="37" t="s">
        <v>1895</v>
      </c>
      <c r="F633" s="37">
        <v>40</v>
      </c>
      <c r="G633" s="37" t="s">
        <v>207</v>
      </c>
      <c r="H633" s="37" t="s">
        <v>1896</v>
      </c>
      <c r="I633" s="42">
        <f t="shared" si="27"/>
        <v>1100</v>
      </c>
      <c r="J633" s="38">
        <f t="shared" si="28"/>
        <v>7.3132203870903014</v>
      </c>
      <c r="K633" s="38">
        <f t="shared" si="29"/>
        <v>7.0030654587864616</v>
      </c>
      <c r="L633" s="40" t="b">
        <f>IF(B633=B632,C633&gt;C632,COUNTIF(B$1:B632,B633)=0)</f>
        <v>1</v>
      </c>
      <c r="M633" s="1"/>
    </row>
    <row r="634" spans="1:13" x14ac:dyDescent="0.25">
      <c r="A634" s="37" t="s">
        <v>2520</v>
      </c>
      <c r="B634" s="37" t="s">
        <v>607</v>
      </c>
      <c r="C634" s="37">
        <v>2000</v>
      </c>
      <c r="D634" s="37">
        <v>1</v>
      </c>
      <c r="E634" s="37" t="s">
        <v>1895</v>
      </c>
      <c r="F634" s="37">
        <v>40</v>
      </c>
      <c r="G634" s="37" t="s">
        <v>207</v>
      </c>
      <c r="H634" s="37" t="s">
        <v>1896</v>
      </c>
      <c r="I634" s="42">
        <f t="shared" si="27"/>
        <v>1000</v>
      </c>
      <c r="J634" s="38">
        <f t="shared" si="28"/>
        <v>7.6009024595420822</v>
      </c>
      <c r="K634" s="38">
        <f t="shared" si="29"/>
        <v>6.9077552789821368</v>
      </c>
      <c r="L634" s="40" t="b">
        <f>IF(B634=B633,C634&gt;C633,COUNTIF(B$1:B633,B634)=0)</f>
        <v>1</v>
      </c>
      <c r="M634" s="1"/>
    </row>
    <row r="635" spans="1:13" x14ac:dyDescent="0.25">
      <c r="A635" s="37" t="s">
        <v>2521</v>
      </c>
      <c r="B635" s="37" t="s">
        <v>607</v>
      </c>
      <c r="C635" s="37">
        <v>2500</v>
      </c>
      <c r="D635" s="37">
        <v>0.9</v>
      </c>
      <c r="E635" s="37" t="s">
        <v>1895</v>
      </c>
      <c r="F635" s="37">
        <v>40</v>
      </c>
      <c r="G635" s="37" t="s">
        <v>207</v>
      </c>
      <c r="H635" s="37" t="s">
        <v>1896</v>
      </c>
      <c r="I635" s="42">
        <f t="shared" si="27"/>
        <v>900</v>
      </c>
      <c r="J635" s="38">
        <f t="shared" si="28"/>
        <v>7.8240460108562919</v>
      </c>
      <c r="K635" s="38">
        <f t="shared" si="29"/>
        <v>6.8023947633243109</v>
      </c>
      <c r="L635" s="40" t="b">
        <f>IF(B635=B634,C635&gt;C634,COUNTIF(B$1:B634,B635)=0)</f>
        <v>1</v>
      </c>
      <c r="M635" s="1"/>
    </row>
    <row r="636" spans="1:13" x14ac:dyDescent="0.25">
      <c r="A636" s="37" t="s">
        <v>2522</v>
      </c>
      <c r="B636" s="37" t="s">
        <v>612</v>
      </c>
      <c r="C636" s="37">
        <v>30</v>
      </c>
      <c r="D636" s="37">
        <v>12.6</v>
      </c>
      <c r="E636" s="37" t="s">
        <v>1895</v>
      </c>
      <c r="F636" s="37">
        <v>40</v>
      </c>
      <c r="G636" s="37" t="s">
        <v>207</v>
      </c>
      <c r="H636" s="37" t="s">
        <v>1896</v>
      </c>
      <c r="I636" s="42">
        <f t="shared" si="27"/>
        <v>12600</v>
      </c>
      <c r="J636" s="38">
        <f t="shared" si="28"/>
        <v>3.4011973816621555</v>
      </c>
      <c r="K636" s="38">
        <f t="shared" si="29"/>
        <v>9.4414520929395689</v>
      </c>
      <c r="L636" s="40" t="b">
        <f>IF(B636=B635,C636&gt;C635,COUNTIF(B$1:B635,B636)=0)</f>
        <v>1</v>
      </c>
      <c r="M636" s="1"/>
    </row>
    <row r="637" spans="1:13" x14ac:dyDescent="0.25">
      <c r="A637" s="37" t="s">
        <v>2523</v>
      </c>
      <c r="B637" s="37" t="s">
        <v>612</v>
      </c>
      <c r="C637" s="37">
        <v>50</v>
      </c>
      <c r="D637" s="37">
        <v>9.6999999999999993</v>
      </c>
      <c r="E637" s="37" t="s">
        <v>1895</v>
      </c>
      <c r="F637" s="37">
        <v>40</v>
      </c>
      <c r="G637" s="37" t="s">
        <v>207</v>
      </c>
      <c r="H637" s="37" t="s">
        <v>1896</v>
      </c>
      <c r="I637" s="42">
        <f t="shared" si="27"/>
        <v>9700</v>
      </c>
      <c r="J637" s="38">
        <f t="shared" si="28"/>
        <v>3.912023005428146</v>
      </c>
      <c r="K637" s="38">
        <f t="shared" si="29"/>
        <v>9.1798811644914746</v>
      </c>
      <c r="L637" s="40" t="b">
        <f>IF(B637=B636,C637&gt;C636,COUNTIF(B$1:B636,B637)=0)</f>
        <v>1</v>
      </c>
      <c r="M637" s="1"/>
    </row>
    <row r="638" spans="1:13" x14ac:dyDescent="0.25">
      <c r="A638" s="37" t="s">
        <v>2524</v>
      </c>
      <c r="B638" s="37" t="s">
        <v>612</v>
      </c>
      <c r="C638" s="37">
        <v>150</v>
      </c>
      <c r="D638" s="37">
        <v>5.5</v>
      </c>
      <c r="E638" s="37" t="s">
        <v>1895</v>
      </c>
      <c r="F638" s="37">
        <v>40</v>
      </c>
      <c r="G638" s="37" t="s">
        <v>207</v>
      </c>
      <c r="H638" s="37" t="s">
        <v>1896</v>
      </c>
      <c r="I638" s="42">
        <f t="shared" si="27"/>
        <v>5500</v>
      </c>
      <c r="J638" s="38">
        <f t="shared" si="28"/>
        <v>5.0106352940962555</v>
      </c>
      <c r="K638" s="38">
        <f t="shared" si="29"/>
        <v>8.6125033712205621</v>
      </c>
      <c r="L638" s="40" t="b">
        <f>IF(B638=B637,C638&gt;C637,COUNTIF(B$1:B637,B638)=0)</f>
        <v>1</v>
      </c>
      <c r="M638" s="1"/>
    </row>
    <row r="639" spans="1:13" x14ac:dyDescent="0.25">
      <c r="A639" s="37" t="s">
        <v>2525</v>
      </c>
      <c r="B639" s="37" t="s">
        <v>612</v>
      </c>
      <c r="C639" s="37">
        <v>220</v>
      </c>
      <c r="D639" s="37">
        <v>4.5</v>
      </c>
      <c r="E639" s="37" t="s">
        <v>1895</v>
      </c>
      <c r="F639" s="37">
        <v>40</v>
      </c>
      <c r="G639" s="37" t="s">
        <v>207</v>
      </c>
      <c r="H639" s="37" t="s">
        <v>1896</v>
      </c>
      <c r="I639" s="42">
        <f t="shared" si="27"/>
        <v>4500</v>
      </c>
      <c r="J639" s="38">
        <f t="shared" si="28"/>
        <v>5.393627546352362</v>
      </c>
      <c r="K639" s="38">
        <f t="shared" si="29"/>
        <v>8.4118326757584114</v>
      </c>
      <c r="L639" s="40" t="b">
        <f>IF(B639=B638,C639&gt;C638,COUNTIF(B$1:B638,B639)=0)</f>
        <v>1</v>
      </c>
      <c r="M639" s="1"/>
    </row>
    <row r="640" spans="1:13" x14ac:dyDescent="0.25">
      <c r="A640" s="37" t="s">
        <v>2526</v>
      </c>
      <c r="B640" s="37" t="s">
        <v>612</v>
      </c>
      <c r="C640" s="37">
        <v>450</v>
      </c>
      <c r="D640" s="37">
        <v>3.1</v>
      </c>
      <c r="E640" s="37" t="s">
        <v>1895</v>
      </c>
      <c r="F640" s="37">
        <v>40</v>
      </c>
      <c r="G640" s="37" t="s">
        <v>207</v>
      </c>
      <c r="H640" s="37" t="s">
        <v>1896</v>
      </c>
      <c r="I640" s="42">
        <f t="shared" si="27"/>
        <v>3100</v>
      </c>
      <c r="J640" s="38">
        <f t="shared" si="28"/>
        <v>6.1092475827643655</v>
      </c>
      <c r="K640" s="38">
        <f t="shared" si="29"/>
        <v>8.0391573904732372</v>
      </c>
      <c r="L640" s="40" t="b">
        <f>IF(B640=B639,C640&gt;C639,COUNTIF(B$1:B639,B640)=0)</f>
        <v>1</v>
      </c>
      <c r="M640" s="1"/>
    </row>
    <row r="641" spans="1:13" x14ac:dyDescent="0.25">
      <c r="A641" s="37" t="s">
        <v>2527</v>
      </c>
      <c r="B641" s="37" t="s">
        <v>612</v>
      </c>
      <c r="C641" s="37">
        <v>700</v>
      </c>
      <c r="D641" s="37">
        <v>2.4</v>
      </c>
      <c r="E641" s="37" t="s">
        <v>1895</v>
      </c>
      <c r="F641" s="37">
        <v>40</v>
      </c>
      <c r="G641" s="37" t="s">
        <v>207</v>
      </c>
      <c r="H641" s="37" t="s">
        <v>1896</v>
      </c>
      <c r="I641" s="42">
        <f t="shared" si="27"/>
        <v>2400</v>
      </c>
      <c r="J641" s="38">
        <f t="shared" si="28"/>
        <v>6.5510803350434044</v>
      </c>
      <c r="K641" s="38">
        <f t="shared" si="29"/>
        <v>7.7832240163360371</v>
      </c>
      <c r="L641" s="40" t="b">
        <f>IF(B641=B640,C641&gt;C640,COUNTIF(B$1:B640,B641)=0)</f>
        <v>1</v>
      </c>
      <c r="M641" s="1"/>
    </row>
    <row r="642" spans="1:13" x14ac:dyDescent="0.25">
      <c r="A642" s="37" t="s">
        <v>2528</v>
      </c>
      <c r="B642" s="37" t="s">
        <v>612</v>
      </c>
      <c r="C642" s="37">
        <v>900</v>
      </c>
      <c r="D642" s="37">
        <v>2.1</v>
      </c>
      <c r="E642" s="37" t="s">
        <v>1895</v>
      </c>
      <c r="F642" s="37">
        <v>40</v>
      </c>
      <c r="G642" s="37" t="s">
        <v>207</v>
      </c>
      <c r="H642" s="37" t="s">
        <v>1896</v>
      </c>
      <c r="I642" s="42">
        <f t="shared" ref="I642:I705" si="30">IF(E642="kW",D642*1000,D642)</f>
        <v>2100</v>
      </c>
      <c r="J642" s="38">
        <f t="shared" ref="J642:J705" si="31">LN(C642)</f>
        <v>6.8023947633243109</v>
      </c>
      <c r="K642" s="38">
        <f t="shared" ref="K642:K705" si="32">LN(I642)</f>
        <v>7.6496926237115144</v>
      </c>
      <c r="L642" s="40" t="b">
        <f>IF(B642=B641,C642&gt;C641,COUNTIF(B$1:B641,B642)=0)</f>
        <v>1</v>
      </c>
      <c r="M642" s="1"/>
    </row>
    <row r="643" spans="1:13" x14ac:dyDescent="0.25">
      <c r="A643" s="37" t="s">
        <v>2529</v>
      </c>
      <c r="B643" s="37" t="s">
        <v>612</v>
      </c>
      <c r="C643" s="37">
        <v>1500</v>
      </c>
      <c r="D643" s="37">
        <v>1.6</v>
      </c>
      <c r="E643" s="37" t="s">
        <v>1895</v>
      </c>
      <c r="F643" s="37">
        <v>40</v>
      </c>
      <c r="G643" s="37" t="s">
        <v>207</v>
      </c>
      <c r="H643" s="37" t="s">
        <v>1896</v>
      </c>
      <c r="I643" s="42">
        <f t="shared" si="30"/>
        <v>1600</v>
      </c>
      <c r="J643" s="38">
        <f t="shared" si="31"/>
        <v>7.3132203870903014</v>
      </c>
      <c r="K643" s="38">
        <f t="shared" si="32"/>
        <v>7.3777589082278725</v>
      </c>
      <c r="L643" s="40" t="b">
        <f>IF(B643=B642,C643&gt;C642,COUNTIF(B$1:B642,B643)=0)</f>
        <v>1</v>
      </c>
      <c r="M643" s="1"/>
    </row>
    <row r="644" spans="1:13" x14ac:dyDescent="0.25">
      <c r="A644" s="37" t="s">
        <v>2530</v>
      </c>
      <c r="B644" s="37" t="s">
        <v>612</v>
      </c>
      <c r="C644" s="37">
        <v>2000</v>
      </c>
      <c r="D644" s="37">
        <v>1.3</v>
      </c>
      <c r="E644" s="37" t="s">
        <v>1895</v>
      </c>
      <c r="F644" s="37">
        <v>40</v>
      </c>
      <c r="G644" s="37" t="s">
        <v>207</v>
      </c>
      <c r="H644" s="37" t="s">
        <v>1896</v>
      </c>
      <c r="I644" s="42">
        <f t="shared" si="30"/>
        <v>1300</v>
      </c>
      <c r="J644" s="38">
        <f t="shared" si="31"/>
        <v>7.6009024595420822</v>
      </c>
      <c r="K644" s="38">
        <f t="shared" si="32"/>
        <v>7.1701195434496281</v>
      </c>
      <c r="L644" s="40" t="b">
        <f>IF(B644=B643,C644&gt;C643,COUNTIF(B$1:B643,B644)=0)</f>
        <v>1</v>
      </c>
      <c r="M644" s="1"/>
    </row>
    <row r="645" spans="1:13" x14ac:dyDescent="0.25">
      <c r="A645" s="37" t="s">
        <v>2531</v>
      </c>
      <c r="B645" s="37" t="s">
        <v>612</v>
      </c>
      <c r="C645" s="37">
        <v>2500</v>
      </c>
      <c r="D645" s="37">
        <v>1.2</v>
      </c>
      <c r="E645" s="37" t="s">
        <v>1895</v>
      </c>
      <c r="F645" s="37">
        <v>40</v>
      </c>
      <c r="G645" s="37" t="s">
        <v>207</v>
      </c>
      <c r="H645" s="37" t="s">
        <v>1896</v>
      </c>
      <c r="I645" s="42">
        <f t="shared" si="30"/>
        <v>1200</v>
      </c>
      <c r="J645" s="38">
        <f t="shared" si="31"/>
        <v>7.8240460108562919</v>
      </c>
      <c r="K645" s="38">
        <f t="shared" si="32"/>
        <v>7.0900768357760917</v>
      </c>
      <c r="L645" s="40" t="b">
        <f>IF(B645=B644,C645&gt;C644,COUNTIF(B$1:B644,B645)=0)</f>
        <v>1</v>
      </c>
      <c r="M645" s="1"/>
    </row>
    <row r="646" spans="1:13" x14ac:dyDescent="0.25">
      <c r="A646" s="37" t="s">
        <v>2532</v>
      </c>
      <c r="B646" s="37" t="s">
        <v>615</v>
      </c>
      <c r="C646" s="37">
        <v>0.5</v>
      </c>
      <c r="D646" s="37">
        <v>91</v>
      </c>
      <c r="E646" s="37" t="s">
        <v>1895</v>
      </c>
      <c r="F646" s="37">
        <v>40</v>
      </c>
      <c r="G646" s="37" t="s">
        <v>619</v>
      </c>
      <c r="H646" s="37" t="s">
        <v>1320</v>
      </c>
      <c r="I646" s="42">
        <f t="shared" si="30"/>
        <v>91000</v>
      </c>
      <c r="J646" s="38">
        <f t="shared" si="31"/>
        <v>-0.69314718055994529</v>
      </c>
      <c r="K646" s="38">
        <f t="shared" si="32"/>
        <v>11.418614785498987</v>
      </c>
      <c r="L646" s="40" t="b">
        <f>IF(B646=B645,C646&gt;C645,COUNTIF(B$1:B645,B646)=0)</f>
        <v>1</v>
      </c>
      <c r="M646" s="1"/>
    </row>
    <row r="647" spans="1:13" x14ac:dyDescent="0.25">
      <c r="A647" s="37" t="s">
        <v>2533</v>
      </c>
      <c r="B647" s="37" t="s">
        <v>615</v>
      </c>
      <c r="C647" s="37">
        <v>1</v>
      </c>
      <c r="D647" s="37">
        <v>79.19</v>
      </c>
      <c r="E647" s="37" t="s">
        <v>1895</v>
      </c>
      <c r="F647" s="37">
        <v>40</v>
      </c>
      <c r="G647" s="37" t="s">
        <v>619</v>
      </c>
      <c r="H647" s="37" t="s">
        <v>1320</v>
      </c>
      <c r="I647" s="42">
        <f t="shared" si="30"/>
        <v>79190</v>
      </c>
      <c r="J647" s="38">
        <f t="shared" si="31"/>
        <v>0</v>
      </c>
      <c r="K647" s="38">
        <f t="shared" si="32"/>
        <v>11.279605307204458</v>
      </c>
      <c r="L647" s="40" t="b">
        <f>IF(B647=B646,C647&gt;C646,COUNTIF(B$1:B646,B647)=0)</f>
        <v>1</v>
      </c>
      <c r="M647" s="1"/>
    </row>
    <row r="648" spans="1:13" x14ac:dyDescent="0.25">
      <c r="A648" s="37" t="s">
        <v>2534</v>
      </c>
      <c r="B648" s="37" t="s">
        <v>615</v>
      </c>
      <c r="C648" s="37">
        <v>1.5</v>
      </c>
      <c r="D648" s="37">
        <v>64.599999999999994</v>
      </c>
      <c r="E648" s="37" t="s">
        <v>1895</v>
      </c>
      <c r="F648" s="37">
        <v>40</v>
      </c>
      <c r="G648" s="37" t="s">
        <v>619</v>
      </c>
      <c r="H648" s="37" t="s">
        <v>1320</v>
      </c>
      <c r="I648" s="42">
        <f t="shared" si="30"/>
        <v>64599.999999999993</v>
      </c>
      <c r="J648" s="38">
        <f t="shared" si="31"/>
        <v>0.40546510810816438</v>
      </c>
      <c r="K648" s="38">
        <f t="shared" si="32"/>
        <v>11.075969689770693</v>
      </c>
      <c r="L648" s="40" t="b">
        <f>IF(B648=B647,C648&gt;C647,COUNTIF(B$1:B647,B648)=0)</f>
        <v>1</v>
      </c>
      <c r="M648" s="1"/>
    </row>
    <row r="649" spans="1:13" x14ac:dyDescent="0.25">
      <c r="A649" s="37" t="s">
        <v>2535</v>
      </c>
      <c r="B649" s="37" t="s">
        <v>615</v>
      </c>
      <c r="C649" s="37">
        <v>2</v>
      </c>
      <c r="D649" s="37">
        <v>55.89</v>
      </c>
      <c r="E649" s="37" t="s">
        <v>1895</v>
      </c>
      <c r="F649" s="37">
        <v>40</v>
      </c>
      <c r="G649" s="37" t="s">
        <v>619</v>
      </c>
      <c r="H649" s="37" t="s">
        <v>1320</v>
      </c>
      <c r="I649" s="42">
        <f t="shared" si="30"/>
        <v>55890</v>
      </c>
      <c r="J649" s="38">
        <f t="shared" si="31"/>
        <v>0.69314718055994529</v>
      </c>
      <c r="K649" s="38">
        <f t="shared" si="32"/>
        <v>10.931140752263744</v>
      </c>
      <c r="L649" s="40" t="b">
        <f>IF(B649=B648,C649&gt;C648,COUNTIF(B$1:B648,B649)=0)</f>
        <v>1</v>
      </c>
      <c r="M649" s="1"/>
    </row>
    <row r="650" spans="1:13" x14ac:dyDescent="0.25">
      <c r="A650" s="37" t="s">
        <v>2536</v>
      </c>
      <c r="B650" s="37" t="s">
        <v>615</v>
      </c>
      <c r="C650" s="37">
        <v>10</v>
      </c>
      <c r="D650" s="37">
        <v>24.81</v>
      </c>
      <c r="E650" s="37" t="s">
        <v>1895</v>
      </c>
      <c r="F650" s="37">
        <v>40</v>
      </c>
      <c r="G650" s="37" t="s">
        <v>619</v>
      </c>
      <c r="H650" s="37" t="s">
        <v>1320</v>
      </c>
      <c r="I650" s="42">
        <f t="shared" si="30"/>
        <v>24810</v>
      </c>
      <c r="J650" s="38">
        <f t="shared" si="31"/>
        <v>2.3025850929940459</v>
      </c>
      <c r="K650" s="38">
        <f t="shared" si="32"/>
        <v>10.119002076685847</v>
      </c>
      <c r="L650" s="40" t="b">
        <f>IF(B650=B649,C650&gt;C649,COUNTIF(B$1:B649,B650)=0)</f>
        <v>1</v>
      </c>
      <c r="M650" s="1"/>
    </row>
    <row r="651" spans="1:13" x14ac:dyDescent="0.25">
      <c r="A651" s="37" t="s">
        <v>2537</v>
      </c>
      <c r="B651" s="37" t="s">
        <v>615</v>
      </c>
      <c r="C651" s="37">
        <v>20</v>
      </c>
      <c r="D651" s="37">
        <v>17.440000000000001</v>
      </c>
      <c r="E651" s="37" t="s">
        <v>1895</v>
      </c>
      <c r="F651" s="37">
        <v>40</v>
      </c>
      <c r="G651" s="37" t="s">
        <v>619</v>
      </c>
      <c r="H651" s="37" t="s">
        <v>1320</v>
      </c>
      <c r="I651" s="42">
        <f t="shared" si="30"/>
        <v>17440</v>
      </c>
      <c r="J651" s="38">
        <f t="shared" si="31"/>
        <v>2.9957322735539909</v>
      </c>
      <c r="K651" s="38">
        <f t="shared" si="32"/>
        <v>9.7665216974629701</v>
      </c>
      <c r="L651" s="40" t="b">
        <f>IF(B651=B650,C651&gt;C650,COUNTIF(B$1:B650,B651)=0)</f>
        <v>1</v>
      </c>
      <c r="M651" s="1"/>
    </row>
    <row r="652" spans="1:13" x14ac:dyDescent="0.25">
      <c r="A652" s="37" t="s">
        <v>2538</v>
      </c>
      <c r="B652" s="37" t="s">
        <v>615</v>
      </c>
      <c r="C652" s="37">
        <v>30</v>
      </c>
      <c r="D652" s="37">
        <v>14.18</v>
      </c>
      <c r="E652" s="37" t="s">
        <v>1895</v>
      </c>
      <c r="F652" s="37">
        <v>40</v>
      </c>
      <c r="G652" s="37" t="s">
        <v>619</v>
      </c>
      <c r="H652" s="37" t="s">
        <v>1320</v>
      </c>
      <c r="I652" s="42">
        <f t="shared" si="30"/>
        <v>14180</v>
      </c>
      <c r="J652" s="38">
        <f t="shared" si="31"/>
        <v>3.4011973816621555</v>
      </c>
      <c r="K652" s="38">
        <f t="shared" si="32"/>
        <v>9.5595878000861187</v>
      </c>
      <c r="L652" s="40" t="b">
        <f>IF(B652=B651,C652&gt;C651,COUNTIF(B$1:B651,B652)=0)</f>
        <v>1</v>
      </c>
      <c r="M652" s="1"/>
    </row>
    <row r="653" spans="1:13" x14ac:dyDescent="0.25">
      <c r="A653" s="37" t="s">
        <v>2539</v>
      </c>
      <c r="B653" s="37" t="s">
        <v>615</v>
      </c>
      <c r="C653" s="37">
        <v>50</v>
      </c>
      <c r="D653" s="37">
        <v>10.91</v>
      </c>
      <c r="E653" s="37" t="s">
        <v>1895</v>
      </c>
      <c r="F653" s="37">
        <v>40</v>
      </c>
      <c r="G653" s="37" t="s">
        <v>619</v>
      </c>
      <c r="H653" s="37" t="s">
        <v>1320</v>
      </c>
      <c r="I653" s="42">
        <f t="shared" si="30"/>
        <v>10910</v>
      </c>
      <c r="J653" s="38">
        <f t="shared" si="31"/>
        <v>3.912023005428146</v>
      </c>
      <c r="K653" s="38">
        <f t="shared" si="32"/>
        <v>9.2974350788271156</v>
      </c>
      <c r="L653" s="40" t="b">
        <f>IF(B653=B652,C653&gt;C652,COUNTIF(B$1:B652,B653)=0)</f>
        <v>1</v>
      </c>
      <c r="M653" s="1"/>
    </row>
    <row r="654" spans="1:13" x14ac:dyDescent="0.25">
      <c r="A654" s="37" t="s">
        <v>2540</v>
      </c>
      <c r="B654" s="37" t="s">
        <v>615</v>
      </c>
      <c r="C654" s="37">
        <v>88</v>
      </c>
      <c r="D654" s="37">
        <v>8.14</v>
      </c>
      <c r="E654" s="37" t="s">
        <v>1895</v>
      </c>
      <c r="F654" s="37">
        <v>40</v>
      </c>
      <c r="G654" s="37" t="s">
        <v>619</v>
      </c>
      <c r="H654" s="37" t="s">
        <v>1320</v>
      </c>
      <c r="I654" s="42">
        <f t="shared" si="30"/>
        <v>8140.0000000000009</v>
      </c>
      <c r="J654" s="38">
        <f t="shared" si="31"/>
        <v>4.4773368144782069</v>
      </c>
      <c r="K654" s="38">
        <f t="shared" si="32"/>
        <v>9.0045454589965868</v>
      </c>
      <c r="L654" s="40" t="b">
        <f>IF(B654=B653,C654&gt;C653,COUNTIF(B$1:B653,B654)=0)</f>
        <v>1</v>
      </c>
      <c r="M654" s="1"/>
    </row>
    <row r="655" spans="1:13" x14ac:dyDescent="0.25">
      <c r="A655" s="37" t="s">
        <v>2541</v>
      </c>
      <c r="B655" s="37" t="s">
        <v>615</v>
      </c>
      <c r="C655" s="37">
        <v>100</v>
      </c>
      <c r="D655" s="37">
        <v>7.62</v>
      </c>
      <c r="E655" s="37" t="s">
        <v>1895</v>
      </c>
      <c r="F655" s="37">
        <v>40</v>
      </c>
      <c r="G655" s="37" t="s">
        <v>619</v>
      </c>
      <c r="H655" s="37" t="s">
        <v>1320</v>
      </c>
      <c r="I655" s="42">
        <f t="shared" si="30"/>
        <v>7620</v>
      </c>
      <c r="J655" s="38">
        <f t="shared" si="31"/>
        <v>4.6051701859880918</v>
      </c>
      <c r="K655" s="38">
        <f t="shared" si="32"/>
        <v>8.9385316486806925</v>
      </c>
      <c r="L655" s="40" t="b">
        <f>IF(B655=B654,C655&gt;C654,COUNTIF(B$1:B654,B655)=0)</f>
        <v>1</v>
      </c>
      <c r="M655" s="1"/>
    </row>
    <row r="656" spans="1:13" x14ac:dyDescent="0.25">
      <c r="A656" s="37" t="s">
        <v>2542</v>
      </c>
      <c r="B656" s="37" t="s">
        <v>615</v>
      </c>
      <c r="C656" s="37">
        <v>108</v>
      </c>
      <c r="D656" s="37">
        <v>7.32</v>
      </c>
      <c r="E656" s="37" t="s">
        <v>1895</v>
      </c>
      <c r="F656" s="37">
        <v>40</v>
      </c>
      <c r="G656" s="37" t="s">
        <v>619</v>
      </c>
      <c r="H656" s="37" t="s">
        <v>1320</v>
      </c>
      <c r="I656" s="42">
        <f t="shared" si="30"/>
        <v>7320</v>
      </c>
      <c r="J656" s="38">
        <f t="shared" si="31"/>
        <v>4.6821312271242199</v>
      </c>
      <c r="K656" s="38">
        <f t="shared" si="32"/>
        <v>8.8983656069553572</v>
      </c>
      <c r="L656" s="40" t="b">
        <f>IF(B656=B655,C656&gt;C655,COUNTIF(B$1:B655,B656)=0)</f>
        <v>1</v>
      </c>
      <c r="M656" s="1"/>
    </row>
    <row r="657" spans="1:13" x14ac:dyDescent="0.25">
      <c r="A657" s="37" t="s">
        <v>2543</v>
      </c>
      <c r="B657" s="37" t="s">
        <v>615</v>
      </c>
      <c r="C657" s="37">
        <v>150</v>
      </c>
      <c r="D657" s="37">
        <v>6.16</v>
      </c>
      <c r="E657" s="37" t="s">
        <v>1895</v>
      </c>
      <c r="F657" s="37">
        <v>40</v>
      </c>
      <c r="G657" s="37" t="s">
        <v>619</v>
      </c>
      <c r="H657" s="37" t="s">
        <v>1320</v>
      </c>
      <c r="I657" s="42">
        <f t="shared" si="30"/>
        <v>6160</v>
      </c>
      <c r="J657" s="38">
        <f t="shared" si="31"/>
        <v>5.0106352940962555</v>
      </c>
      <c r="K657" s="38">
        <f t="shared" si="32"/>
        <v>8.7258320565275653</v>
      </c>
      <c r="L657" s="40" t="b">
        <f>IF(B657=B656,C657&gt;C656,COUNTIF(B$1:B656,B657)=0)</f>
        <v>1</v>
      </c>
      <c r="M657" s="1"/>
    </row>
    <row r="658" spans="1:13" x14ac:dyDescent="0.25">
      <c r="A658" s="37" t="s">
        <v>2544</v>
      </c>
      <c r="B658" s="37" t="s">
        <v>615</v>
      </c>
      <c r="C658" s="37">
        <v>174</v>
      </c>
      <c r="D658" s="37">
        <v>5.7</v>
      </c>
      <c r="E658" s="37" t="s">
        <v>1895</v>
      </c>
      <c r="F658" s="37">
        <v>40</v>
      </c>
      <c r="G658" s="37" t="s">
        <v>619</v>
      </c>
      <c r="H658" s="37" t="s">
        <v>1320</v>
      </c>
      <c r="I658" s="42">
        <f t="shared" si="30"/>
        <v>5700</v>
      </c>
      <c r="J658" s="38">
        <f t="shared" si="31"/>
        <v>5.1590552992145291</v>
      </c>
      <c r="K658" s="38">
        <f t="shared" si="32"/>
        <v>8.6482214538226412</v>
      </c>
      <c r="L658" s="40" t="b">
        <f>IF(B658=B657,C658&gt;C657,COUNTIF(B$1:B657,B658)=0)</f>
        <v>1</v>
      </c>
      <c r="M658" s="1"/>
    </row>
    <row r="659" spans="1:13" x14ac:dyDescent="0.25">
      <c r="A659" s="37" t="s">
        <v>2545</v>
      </c>
      <c r="B659" s="37" t="s">
        <v>615</v>
      </c>
      <c r="C659" s="37">
        <v>200</v>
      </c>
      <c r="D659" s="37">
        <v>5.3</v>
      </c>
      <c r="E659" s="37" t="s">
        <v>1895</v>
      </c>
      <c r="F659" s="37">
        <v>40</v>
      </c>
      <c r="G659" s="37" t="s">
        <v>619</v>
      </c>
      <c r="H659" s="37" t="s">
        <v>1320</v>
      </c>
      <c r="I659" s="42">
        <f t="shared" si="30"/>
        <v>5300</v>
      </c>
      <c r="J659" s="38">
        <f t="shared" si="31"/>
        <v>5.2983173665480363</v>
      </c>
      <c r="K659" s="38">
        <f t="shared" si="32"/>
        <v>8.5754620995402124</v>
      </c>
      <c r="L659" s="40" t="b">
        <f>IF(B659=B658,C659&gt;C658,COUNTIF(B$1:B658,B659)=0)</f>
        <v>1</v>
      </c>
      <c r="M659" s="1"/>
    </row>
    <row r="660" spans="1:13" x14ac:dyDescent="0.25">
      <c r="A660" s="37" t="s">
        <v>2546</v>
      </c>
      <c r="B660" s="37" t="s">
        <v>615</v>
      </c>
      <c r="C660" s="37">
        <v>300</v>
      </c>
      <c r="D660" s="37">
        <v>4.2699999999999996</v>
      </c>
      <c r="E660" s="37" t="s">
        <v>1895</v>
      </c>
      <c r="F660" s="37">
        <v>40</v>
      </c>
      <c r="G660" s="37" t="s">
        <v>619</v>
      </c>
      <c r="H660" s="37" t="s">
        <v>1320</v>
      </c>
      <c r="I660" s="42">
        <f t="shared" si="30"/>
        <v>4270</v>
      </c>
      <c r="J660" s="38">
        <f t="shared" si="31"/>
        <v>5.7037824746562009</v>
      </c>
      <c r="K660" s="38">
        <f t="shared" si="32"/>
        <v>8.3593691062226707</v>
      </c>
      <c r="L660" s="40" t="b">
        <f>IF(B660=B659,C660&gt;C659,COUNTIF(B$1:B659,B660)=0)</f>
        <v>1</v>
      </c>
      <c r="M660" s="1"/>
    </row>
    <row r="661" spans="1:13" x14ac:dyDescent="0.25">
      <c r="A661" s="37" t="s">
        <v>2547</v>
      </c>
      <c r="B661" s="37" t="s">
        <v>615</v>
      </c>
      <c r="C661" s="37">
        <v>400</v>
      </c>
      <c r="D661" s="37">
        <v>3.66</v>
      </c>
      <c r="E661" s="37" t="s">
        <v>1895</v>
      </c>
      <c r="F661" s="37">
        <v>40</v>
      </c>
      <c r="G661" s="37" t="s">
        <v>619</v>
      </c>
      <c r="H661" s="37" t="s">
        <v>1320</v>
      </c>
      <c r="I661" s="42">
        <f t="shared" si="30"/>
        <v>3660</v>
      </c>
      <c r="J661" s="38">
        <f t="shared" si="31"/>
        <v>5.9914645471079817</v>
      </c>
      <c r="K661" s="38">
        <f t="shared" si="32"/>
        <v>8.2052184263954118</v>
      </c>
      <c r="L661" s="40" t="b">
        <f>IF(B661=B660,C661&gt;C660,COUNTIF(B$1:B660,B661)=0)</f>
        <v>1</v>
      </c>
      <c r="M661" s="1"/>
    </row>
    <row r="662" spans="1:13" x14ac:dyDescent="0.25">
      <c r="A662" s="37" t="s">
        <v>2548</v>
      </c>
      <c r="B662" s="37" t="s">
        <v>615</v>
      </c>
      <c r="C662" s="37">
        <v>450</v>
      </c>
      <c r="D662" s="37">
        <v>3.43</v>
      </c>
      <c r="E662" s="37" t="s">
        <v>1895</v>
      </c>
      <c r="F662" s="37">
        <v>40</v>
      </c>
      <c r="G662" s="37" t="s">
        <v>619</v>
      </c>
      <c r="H662" s="37" t="s">
        <v>1320</v>
      </c>
      <c r="I662" s="42">
        <f t="shared" si="30"/>
        <v>3430</v>
      </c>
      <c r="J662" s="38">
        <f t="shared" si="31"/>
        <v>6.1092475827643655</v>
      </c>
      <c r="K662" s="38">
        <f t="shared" si="32"/>
        <v>8.1403155401599854</v>
      </c>
      <c r="L662" s="40" t="b">
        <f>IF(B662=B661,C662&gt;C661,COUNTIF(B$1:B661,B662)=0)</f>
        <v>1</v>
      </c>
      <c r="M662" s="1"/>
    </row>
    <row r="663" spans="1:13" x14ac:dyDescent="0.25">
      <c r="A663" s="37" t="s">
        <v>2549</v>
      </c>
      <c r="B663" s="37" t="s">
        <v>615</v>
      </c>
      <c r="C663" s="37">
        <v>500</v>
      </c>
      <c r="D663" s="37">
        <v>3.24</v>
      </c>
      <c r="E663" s="37" t="s">
        <v>1895</v>
      </c>
      <c r="F663" s="37">
        <v>40</v>
      </c>
      <c r="G663" s="37" t="s">
        <v>619</v>
      </c>
      <c r="H663" s="37" t="s">
        <v>1320</v>
      </c>
      <c r="I663" s="42">
        <f t="shared" si="30"/>
        <v>3240</v>
      </c>
      <c r="J663" s="38">
        <f t="shared" si="31"/>
        <v>6.2146080984221914</v>
      </c>
      <c r="K663" s="38">
        <f t="shared" si="32"/>
        <v>8.0833286087863758</v>
      </c>
      <c r="L663" s="40" t="b">
        <f>IF(B663=B662,C663&gt;C662,COUNTIF(B$1:B662,B663)=0)</f>
        <v>1</v>
      </c>
      <c r="M663" s="1"/>
    </row>
    <row r="664" spans="1:13" x14ac:dyDescent="0.25">
      <c r="A664" s="37" t="s">
        <v>2550</v>
      </c>
      <c r="B664" s="37" t="s">
        <v>615</v>
      </c>
      <c r="C664" s="37">
        <v>512</v>
      </c>
      <c r="D664" s="37">
        <v>3.2</v>
      </c>
      <c r="E664" s="37" t="s">
        <v>1895</v>
      </c>
      <c r="F664" s="37">
        <v>40</v>
      </c>
      <c r="G664" s="37" t="s">
        <v>619</v>
      </c>
      <c r="H664" s="37" t="s">
        <v>1320</v>
      </c>
      <c r="I664" s="42">
        <f t="shared" si="30"/>
        <v>3200</v>
      </c>
      <c r="J664" s="38">
        <f t="shared" si="31"/>
        <v>6.2383246250395077</v>
      </c>
      <c r="K664" s="38">
        <f t="shared" si="32"/>
        <v>8.0709060887878188</v>
      </c>
      <c r="L664" s="40" t="b">
        <f>IF(B664=B663,C664&gt;C663,COUNTIF(B$1:B663,B664)=0)</f>
        <v>1</v>
      </c>
      <c r="M664" s="1"/>
    </row>
    <row r="665" spans="1:13" x14ac:dyDescent="0.25">
      <c r="A665" s="37" t="s">
        <v>2551</v>
      </c>
      <c r="B665" s="37" t="s">
        <v>615</v>
      </c>
      <c r="C665" s="37">
        <v>600</v>
      </c>
      <c r="D665" s="37">
        <v>2.93</v>
      </c>
      <c r="E665" s="37" t="s">
        <v>1895</v>
      </c>
      <c r="F665" s="37">
        <v>40</v>
      </c>
      <c r="G665" s="37" t="s">
        <v>619</v>
      </c>
      <c r="H665" s="37" t="s">
        <v>1320</v>
      </c>
      <c r="I665" s="42">
        <f t="shared" si="30"/>
        <v>2930</v>
      </c>
      <c r="J665" s="38">
        <f t="shared" si="31"/>
        <v>6.3969296552161463</v>
      </c>
      <c r="K665" s="38">
        <f t="shared" si="32"/>
        <v>7.9827577020111127</v>
      </c>
      <c r="L665" s="40" t="b">
        <f>IF(B665=B664,C665&gt;C664,COUNTIF(B$1:B664,B665)=0)</f>
        <v>1</v>
      </c>
      <c r="M665" s="1"/>
    </row>
    <row r="666" spans="1:13" x14ac:dyDescent="0.25">
      <c r="A666" s="37" t="s">
        <v>2552</v>
      </c>
      <c r="B666" s="37" t="s">
        <v>615</v>
      </c>
      <c r="C666" s="37">
        <v>700</v>
      </c>
      <c r="D666" s="37">
        <v>2.69</v>
      </c>
      <c r="E666" s="37" t="s">
        <v>1895</v>
      </c>
      <c r="F666" s="37">
        <v>40</v>
      </c>
      <c r="G666" s="37" t="s">
        <v>619</v>
      </c>
      <c r="H666" s="37" t="s">
        <v>1320</v>
      </c>
      <c r="I666" s="42">
        <f t="shared" si="30"/>
        <v>2690</v>
      </c>
      <c r="J666" s="38">
        <f t="shared" si="31"/>
        <v>6.5510803350434044</v>
      </c>
      <c r="K666" s="38">
        <f t="shared" si="32"/>
        <v>7.897296472595885</v>
      </c>
      <c r="L666" s="40" t="b">
        <f>IF(B666=B665,C666&gt;C665,COUNTIF(B$1:B665,B666)=0)</f>
        <v>1</v>
      </c>
      <c r="M666" s="1"/>
    </row>
    <row r="667" spans="1:13" x14ac:dyDescent="0.25">
      <c r="A667" s="37" t="s">
        <v>2553</v>
      </c>
      <c r="B667" s="37" t="s">
        <v>615</v>
      </c>
      <c r="C667" s="37">
        <v>800</v>
      </c>
      <c r="D667" s="37">
        <v>2.5</v>
      </c>
      <c r="E667" s="37" t="s">
        <v>1895</v>
      </c>
      <c r="F667" s="37">
        <v>40</v>
      </c>
      <c r="G667" s="37" t="s">
        <v>619</v>
      </c>
      <c r="H667" s="37" t="s">
        <v>1320</v>
      </c>
      <c r="I667" s="42">
        <f t="shared" si="30"/>
        <v>2500</v>
      </c>
      <c r="J667" s="38">
        <f t="shared" si="31"/>
        <v>6.6846117276679271</v>
      </c>
      <c r="K667" s="38">
        <f t="shared" si="32"/>
        <v>7.8240460108562919</v>
      </c>
      <c r="L667" s="40" t="b">
        <f>IF(B667=B666,C667&gt;C666,COUNTIF(B$1:B666,B667)=0)</f>
        <v>1</v>
      </c>
      <c r="M667" s="1"/>
    </row>
    <row r="668" spans="1:13" x14ac:dyDescent="0.25">
      <c r="A668" s="37" t="s">
        <v>2554</v>
      </c>
      <c r="B668" s="37" t="s">
        <v>615</v>
      </c>
      <c r="C668" s="37">
        <v>824</v>
      </c>
      <c r="D668" s="37">
        <v>2.46</v>
      </c>
      <c r="E668" s="37" t="s">
        <v>1895</v>
      </c>
      <c r="F668" s="37">
        <v>40</v>
      </c>
      <c r="G668" s="37" t="s">
        <v>619</v>
      </c>
      <c r="H668" s="37" t="s">
        <v>1320</v>
      </c>
      <c r="I668" s="42">
        <f t="shared" si="30"/>
        <v>2460</v>
      </c>
      <c r="J668" s="38">
        <f t="shared" si="31"/>
        <v>6.7141705299094721</v>
      </c>
      <c r="K668" s="38">
        <f t="shared" si="32"/>
        <v>7.8079166289264084</v>
      </c>
      <c r="L668" s="40" t="b">
        <f>IF(B668=B667,C668&gt;C667,COUNTIF(B$1:B667,B668)=0)</f>
        <v>1</v>
      </c>
      <c r="M668" s="1"/>
    </row>
    <row r="669" spans="1:13" x14ac:dyDescent="0.25">
      <c r="A669" s="37" t="s">
        <v>2555</v>
      </c>
      <c r="B669" s="37" t="s">
        <v>615</v>
      </c>
      <c r="C669" s="37">
        <v>860</v>
      </c>
      <c r="D669" s="37">
        <v>2.4</v>
      </c>
      <c r="E669" s="37" t="s">
        <v>1895</v>
      </c>
      <c r="F669" s="37">
        <v>40</v>
      </c>
      <c r="G669" s="37" t="s">
        <v>619</v>
      </c>
      <c r="H669" s="37" t="s">
        <v>1320</v>
      </c>
      <c r="I669" s="42">
        <f t="shared" si="30"/>
        <v>2400</v>
      </c>
      <c r="J669" s="38">
        <f t="shared" si="31"/>
        <v>6.7569323892475532</v>
      </c>
      <c r="K669" s="38">
        <f t="shared" si="32"/>
        <v>7.7832240163360371</v>
      </c>
      <c r="L669" s="40" t="b">
        <f>IF(B669=B668,C669&gt;C668,COUNTIF(B$1:B668,B669)=0)</f>
        <v>1</v>
      </c>
      <c r="M669" s="1"/>
    </row>
    <row r="670" spans="1:13" x14ac:dyDescent="0.25">
      <c r="A670" s="37" t="s">
        <v>2556</v>
      </c>
      <c r="B670" s="37" t="s">
        <v>615</v>
      </c>
      <c r="C670" s="37">
        <v>894</v>
      </c>
      <c r="D670" s="37">
        <v>2.35</v>
      </c>
      <c r="E670" s="37" t="s">
        <v>1895</v>
      </c>
      <c r="F670" s="37">
        <v>40</v>
      </c>
      <c r="G670" s="37" t="s">
        <v>619</v>
      </c>
      <c r="H670" s="37" t="s">
        <v>1320</v>
      </c>
      <c r="I670" s="42">
        <f t="shared" si="30"/>
        <v>2350</v>
      </c>
      <c r="J670" s="38">
        <f t="shared" si="31"/>
        <v>6.7957057751735137</v>
      </c>
      <c r="K670" s="38">
        <f t="shared" si="32"/>
        <v>7.7621706071382048</v>
      </c>
      <c r="L670" s="40" t="b">
        <f>IF(B670=B669,C670&gt;C669,COUNTIF(B$1:B669,B670)=0)</f>
        <v>1</v>
      </c>
      <c r="M670" s="1"/>
    </row>
    <row r="671" spans="1:13" x14ac:dyDescent="0.25">
      <c r="A671" s="37" t="s">
        <v>2557</v>
      </c>
      <c r="B671" s="37" t="s">
        <v>615</v>
      </c>
      <c r="C671" s="37">
        <v>960</v>
      </c>
      <c r="D671" s="37">
        <v>2.2599999999999998</v>
      </c>
      <c r="E671" s="37" t="s">
        <v>1895</v>
      </c>
      <c r="F671" s="37">
        <v>40</v>
      </c>
      <c r="G671" s="37" t="s">
        <v>619</v>
      </c>
      <c r="H671" s="37" t="s">
        <v>1320</v>
      </c>
      <c r="I671" s="42">
        <f t="shared" si="30"/>
        <v>2260</v>
      </c>
      <c r="J671" s="38">
        <f t="shared" si="31"/>
        <v>6.866933284461882</v>
      </c>
      <c r="K671" s="38">
        <f t="shared" si="32"/>
        <v>7.7231200922663312</v>
      </c>
      <c r="L671" s="40" t="b">
        <f>IF(B671=B670,C671&gt;C670,COUNTIF(B$1:B670,B671)=0)</f>
        <v>1</v>
      </c>
      <c r="M671" s="1"/>
    </row>
    <row r="672" spans="1:13" x14ac:dyDescent="0.25">
      <c r="A672" s="37" t="s">
        <v>2558</v>
      </c>
      <c r="B672" s="37" t="s">
        <v>615</v>
      </c>
      <c r="C672" s="37">
        <v>1000</v>
      </c>
      <c r="D672" s="37">
        <v>2.21</v>
      </c>
      <c r="E672" s="37" t="s">
        <v>1895</v>
      </c>
      <c r="F672" s="37">
        <v>40</v>
      </c>
      <c r="G672" s="37" t="s">
        <v>619</v>
      </c>
      <c r="H672" s="37" t="s">
        <v>1320</v>
      </c>
      <c r="I672" s="42">
        <f t="shared" si="30"/>
        <v>2210</v>
      </c>
      <c r="J672" s="38">
        <f t="shared" si="31"/>
        <v>6.9077552789821368</v>
      </c>
      <c r="K672" s="38">
        <f t="shared" si="32"/>
        <v>7.7007477945117984</v>
      </c>
      <c r="L672" s="40" t="b">
        <f>IF(B672=B671,C672&gt;C671,COUNTIF(B$1:B671,B672)=0)</f>
        <v>1</v>
      </c>
      <c r="M672" s="1"/>
    </row>
    <row r="673" spans="1:13" x14ac:dyDescent="0.25">
      <c r="A673" s="37" t="s">
        <v>2559</v>
      </c>
      <c r="B673" s="37" t="s">
        <v>615</v>
      </c>
      <c r="C673" s="37">
        <v>1250</v>
      </c>
      <c r="D673" s="37">
        <v>1.95</v>
      </c>
      <c r="E673" s="37" t="s">
        <v>1895</v>
      </c>
      <c r="F673" s="37">
        <v>40</v>
      </c>
      <c r="G673" s="37" t="s">
        <v>619</v>
      </c>
      <c r="H673" s="37" t="s">
        <v>1320</v>
      </c>
      <c r="I673" s="42">
        <f t="shared" si="30"/>
        <v>1950</v>
      </c>
      <c r="J673" s="38">
        <f t="shared" si="31"/>
        <v>7.1308988302963465</v>
      </c>
      <c r="K673" s="38">
        <f t="shared" si="32"/>
        <v>7.5755846515577927</v>
      </c>
      <c r="L673" s="40" t="b">
        <f>IF(B673=B672,C673&gt;C672,COUNTIF(B$1:B672,B673)=0)</f>
        <v>1</v>
      </c>
      <c r="M673" s="1"/>
    </row>
    <row r="674" spans="1:13" x14ac:dyDescent="0.25">
      <c r="A674" s="37" t="s">
        <v>2560</v>
      </c>
      <c r="B674" s="37" t="s">
        <v>615</v>
      </c>
      <c r="C674" s="37">
        <v>1500</v>
      </c>
      <c r="D674" s="37">
        <v>1.76</v>
      </c>
      <c r="E674" s="37" t="s">
        <v>1895</v>
      </c>
      <c r="F674" s="37">
        <v>40</v>
      </c>
      <c r="G674" s="37" t="s">
        <v>619</v>
      </c>
      <c r="H674" s="37" t="s">
        <v>1320</v>
      </c>
      <c r="I674" s="42">
        <f t="shared" si="30"/>
        <v>1760</v>
      </c>
      <c r="J674" s="38">
        <f t="shared" si="31"/>
        <v>7.3132203870903014</v>
      </c>
      <c r="K674" s="38">
        <f t="shared" si="32"/>
        <v>7.4730690880321973</v>
      </c>
      <c r="L674" s="40" t="b">
        <f>IF(B674=B673,C674&gt;C673,COUNTIF(B$1:B673,B674)=0)</f>
        <v>1</v>
      </c>
      <c r="M674" s="1"/>
    </row>
    <row r="675" spans="1:13" x14ac:dyDescent="0.25">
      <c r="A675" s="37" t="s">
        <v>2561</v>
      </c>
      <c r="B675" s="37" t="s">
        <v>615</v>
      </c>
      <c r="C675" s="37">
        <v>1640</v>
      </c>
      <c r="D675" s="37">
        <v>1.67</v>
      </c>
      <c r="E675" s="37" t="s">
        <v>1895</v>
      </c>
      <c r="F675" s="37">
        <v>40</v>
      </c>
      <c r="G675" s="37" t="s">
        <v>619</v>
      </c>
      <c r="H675" s="37" t="s">
        <v>1320</v>
      </c>
      <c r="I675" s="42">
        <f t="shared" si="30"/>
        <v>1670</v>
      </c>
      <c r="J675" s="38">
        <f t="shared" si="31"/>
        <v>7.4024515208182438</v>
      </c>
      <c r="K675" s="38">
        <f t="shared" si="32"/>
        <v>7.4205789054108005</v>
      </c>
      <c r="L675" s="40" t="b">
        <f>IF(B675=B674,C675&gt;C674,COUNTIF(B$1:B674,B675)=0)</f>
        <v>1</v>
      </c>
      <c r="M675" s="1"/>
    </row>
    <row r="676" spans="1:13" x14ac:dyDescent="0.25">
      <c r="A676" s="37" t="s">
        <v>2562</v>
      </c>
      <c r="B676" s="37" t="s">
        <v>615</v>
      </c>
      <c r="C676" s="37">
        <v>1700</v>
      </c>
      <c r="D676" s="37">
        <v>1.63</v>
      </c>
      <c r="E676" s="37" t="s">
        <v>1895</v>
      </c>
      <c r="F676" s="37">
        <v>40</v>
      </c>
      <c r="G676" s="37" t="s">
        <v>619</v>
      </c>
      <c r="H676" s="37" t="s">
        <v>1320</v>
      </c>
      <c r="I676" s="42">
        <f t="shared" si="30"/>
        <v>1630</v>
      </c>
      <c r="J676" s="38">
        <f t="shared" si="31"/>
        <v>7.4383835300443071</v>
      </c>
      <c r="K676" s="38">
        <f t="shared" si="32"/>
        <v>7.3963352938008082</v>
      </c>
      <c r="L676" s="40" t="b">
        <f>IF(B676=B675,C676&gt;C675,COUNTIF(B$1:B675,B676)=0)</f>
        <v>1</v>
      </c>
      <c r="M676" s="1"/>
    </row>
    <row r="677" spans="1:13" x14ac:dyDescent="0.25">
      <c r="A677" s="37" t="s">
        <v>2563</v>
      </c>
      <c r="B677" s="37" t="s">
        <v>615</v>
      </c>
      <c r="C677" s="37">
        <v>1800</v>
      </c>
      <c r="D677" s="37">
        <v>1.58</v>
      </c>
      <c r="E677" s="37" t="s">
        <v>1895</v>
      </c>
      <c r="F677" s="37">
        <v>40</v>
      </c>
      <c r="G677" s="37" t="s">
        <v>619</v>
      </c>
      <c r="H677" s="37" t="s">
        <v>1320</v>
      </c>
      <c r="I677" s="42">
        <f t="shared" si="30"/>
        <v>1580</v>
      </c>
      <c r="J677" s="38">
        <f t="shared" si="31"/>
        <v>7.4955419438842563</v>
      </c>
      <c r="K677" s="38">
        <f t="shared" si="32"/>
        <v>7.3651801260210128</v>
      </c>
      <c r="L677" s="40" t="b">
        <f>IF(B677=B676,C677&gt;C676,COUNTIF(B$1:B676,B677)=0)</f>
        <v>1</v>
      </c>
      <c r="M677" s="1"/>
    </row>
    <row r="678" spans="1:13" x14ac:dyDescent="0.25">
      <c r="A678" s="37" t="s">
        <v>2564</v>
      </c>
      <c r="B678" s="37" t="s">
        <v>615</v>
      </c>
      <c r="C678" s="37">
        <v>2000</v>
      </c>
      <c r="D678" s="37">
        <v>1.49</v>
      </c>
      <c r="E678" s="37" t="s">
        <v>1895</v>
      </c>
      <c r="F678" s="37">
        <v>40</v>
      </c>
      <c r="G678" s="37" t="s">
        <v>619</v>
      </c>
      <c r="H678" s="37" t="s">
        <v>1320</v>
      </c>
      <c r="I678" s="42">
        <f t="shared" si="30"/>
        <v>1490</v>
      </c>
      <c r="J678" s="38">
        <f t="shared" si="31"/>
        <v>7.6009024595420822</v>
      </c>
      <c r="K678" s="38">
        <f t="shared" si="32"/>
        <v>7.3065313989395051</v>
      </c>
      <c r="L678" s="40" t="b">
        <f>IF(B678=B677,C678&gt;C677,COUNTIF(B$1:B677,B678)=0)</f>
        <v>1</v>
      </c>
      <c r="M678" s="1"/>
    </row>
    <row r="679" spans="1:13" x14ac:dyDescent="0.25">
      <c r="A679" s="37" t="s">
        <v>2565</v>
      </c>
      <c r="B679" s="37" t="s">
        <v>615</v>
      </c>
      <c r="C679" s="37">
        <v>2100</v>
      </c>
      <c r="D679" s="37">
        <v>1.44</v>
      </c>
      <c r="E679" s="37" t="s">
        <v>1895</v>
      </c>
      <c r="F679" s="37">
        <v>40</v>
      </c>
      <c r="G679" s="37" t="s">
        <v>619</v>
      </c>
      <c r="H679" s="37" t="s">
        <v>1320</v>
      </c>
      <c r="I679" s="42">
        <f t="shared" si="30"/>
        <v>1440</v>
      </c>
      <c r="J679" s="38">
        <f t="shared" si="31"/>
        <v>7.6496926237115144</v>
      </c>
      <c r="K679" s="38">
        <f t="shared" si="32"/>
        <v>7.2723983925700466</v>
      </c>
      <c r="L679" s="40" t="b">
        <f>IF(B679=B678,C679&gt;C678,COUNTIF(B$1:B678,B679)=0)</f>
        <v>1</v>
      </c>
      <c r="M679" s="1"/>
    </row>
    <row r="680" spans="1:13" x14ac:dyDescent="0.25">
      <c r="A680" s="37" t="s">
        <v>2566</v>
      </c>
      <c r="B680" s="37" t="s">
        <v>615</v>
      </c>
      <c r="C680" s="37">
        <v>2200</v>
      </c>
      <c r="D680" s="37">
        <v>1.41</v>
      </c>
      <c r="E680" s="37" t="s">
        <v>1895</v>
      </c>
      <c r="F680" s="37">
        <v>40</v>
      </c>
      <c r="G680" s="37" t="s">
        <v>619</v>
      </c>
      <c r="H680" s="37" t="s">
        <v>1320</v>
      </c>
      <c r="I680" s="42">
        <f t="shared" si="30"/>
        <v>1410</v>
      </c>
      <c r="J680" s="38">
        <f t="shared" si="31"/>
        <v>7.696212639346407</v>
      </c>
      <c r="K680" s="38">
        <f t="shared" si="32"/>
        <v>7.2513449833722143</v>
      </c>
      <c r="L680" s="40" t="b">
        <f>IF(B680=B679,C680&gt;C679,COUNTIF(B$1:B679,B680)=0)</f>
        <v>1</v>
      </c>
      <c r="M680" s="1"/>
    </row>
    <row r="681" spans="1:13" x14ac:dyDescent="0.25">
      <c r="A681" s="37" t="s">
        <v>2567</v>
      </c>
      <c r="B681" s="37" t="s">
        <v>615</v>
      </c>
      <c r="C681" s="37">
        <v>2300</v>
      </c>
      <c r="D681" s="37">
        <v>1.37</v>
      </c>
      <c r="E681" s="37" t="s">
        <v>1895</v>
      </c>
      <c r="F681" s="37">
        <v>40</v>
      </c>
      <c r="G681" s="37" t="s">
        <v>619</v>
      </c>
      <c r="H681" s="37" t="s">
        <v>1320</v>
      </c>
      <c r="I681" s="42">
        <f t="shared" si="30"/>
        <v>1370</v>
      </c>
      <c r="J681" s="38">
        <f t="shared" si="31"/>
        <v>7.7406644019172415</v>
      </c>
      <c r="K681" s="38">
        <f t="shared" si="32"/>
        <v>7.222566018822171</v>
      </c>
      <c r="L681" s="40" t="b">
        <f>IF(B681=B680,C681&gt;C680,COUNTIF(B$1:B680,B681)=0)</f>
        <v>1</v>
      </c>
      <c r="M681" s="1"/>
    </row>
    <row r="682" spans="1:13" x14ac:dyDescent="0.25">
      <c r="A682" s="37" t="s">
        <v>2568</v>
      </c>
      <c r="B682" s="37" t="s">
        <v>615</v>
      </c>
      <c r="C682" s="37">
        <v>2500</v>
      </c>
      <c r="D682" s="37">
        <v>1.3</v>
      </c>
      <c r="E682" s="37" t="s">
        <v>1895</v>
      </c>
      <c r="F682" s="37">
        <v>40</v>
      </c>
      <c r="G682" s="37" t="s">
        <v>619</v>
      </c>
      <c r="H682" s="37" t="s">
        <v>1320</v>
      </c>
      <c r="I682" s="42">
        <f t="shared" si="30"/>
        <v>1300</v>
      </c>
      <c r="J682" s="38">
        <f t="shared" si="31"/>
        <v>7.8240460108562919</v>
      </c>
      <c r="K682" s="38">
        <f t="shared" si="32"/>
        <v>7.1701195434496281</v>
      </c>
      <c r="L682" s="40" t="b">
        <f>IF(B682=B681,C682&gt;C681,COUNTIF(B$1:B681,B682)=0)</f>
        <v>1</v>
      </c>
      <c r="M682" s="1"/>
    </row>
    <row r="683" spans="1:13" x14ac:dyDescent="0.25">
      <c r="A683" s="37" t="s">
        <v>2569</v>
      </c>
      <c r="B683" s="37" t="s">
        <v>615</v>
      </c>
      <c r="C683" s="37">
        <v>2700</v>
      </c>
      <c r="D683" s="37">
        <v>1.25</v>
      </c>
      <c r="E683" s="37" t="s">
        <v>1895</v>
      </c>
      <c r="F683" s="37">
        <v>40</v>
      </c>
      <c r="G683" s="37" t="s">
        <v>619</v>
      </c>
      <c r="H683" s="37" t="s">
        <v>1320</v>
      </c>
      <c r="I683" s="42">
        <f t="shared" si="30"/>
        <v>1250</v>
      </c>
      <c r="J683" s="38">
        <f t="shared" si="31"/>
        <v>7.90100705199242</v>
      </c>
      <c r="K683" s="38">
        <f t="shared" si="32"/>
        <v>7.1308988302963465</v>
      </c>
      <c r="L683" s="40" t="b">
        <f>IF(B683=B682,C683&gt;C682,COUNTIF(B$1:B682,B683)=0)</f>
        <v>1</v>
      </c>
      <c r="M683" s="1"/>
    </row>
    <row r="684" spans="1:13" x14ac:dyDescent="0.25">
      <c r="A684" s="37" t="s">
        <v>2570</v>
      </c>
      <c r="B684" s="37" t="s">
        <v>615</v>
      </c>
      <c r="C684" s="37">
        <v>3000</v>
      </c>
      <c r="D684" s="37">
        <v>1.17</v>
      </c>
      <c r="E684" s="37" t="s">
        <v>1895</v>
      </c>
      <c r="F684" s="37">
        <v>40</v>
      </c>
      <c r="G684" s="37" t="s">
        <v>619</v>
      </c>
      <c r="H684" s="37" t="s">
        <v>1320</v>
      </c>
      <c r="I684" s="42">
        <f t="shared" si="30"/>
        <v>1170</v>
      </c>
      <c r="J684" s="38">
        <f t="shared" si="31"/>
        <v>8.0063675676502459</v>
      </c>
      <c r="K684" s="38">
        <f t="shared" si="32"/>
        <v>7.0647590277918022</v>
      </c>
      <c r="L684" s="40" t="b">
        <f>IF(B684=B683,C684&gt;C683,COUNTIF(B$1:B683,B684)=0)</f>
        <v>1</v>
      </c>
      <c r="M684" s="1"/>
    </row>
    <row r="685" spans="1:13" x14ac:dyDescent="0.25">
      <c r="A685" s="37" t="s">
        <v>2571</v>
      </c>
      <c r="B685" s="37" t="s">
        <v>615</v>
      </c>
      <c r="C685" s="37">
        <v>3300</v>
      </c>
      <c r="D685" s="37">
        <v>1.1100000000000001</v>
      </c>
      <c r="E685" s="37" t="s">
        <v>1895</v>
      </c>
      <c r="F685" s="37">
        <v>40</v>
      </c>
      <c r="G685" s="37" t="s">
        <v>619</v>
      </c>
      <c r="H685" s="37" t="s">
        <v>1320</v>
      </c>
      <c r="I685" s="42">
        <f t="shared" si="30"/>
        <v>1110</v>
      </c>
      <c r="J685" s="38">
        <f t="shared" si="31"/>
        <v>8.1016777474545716</v>
      </c>
      <c r="K685" s="38">
        <f t="shared" si="32"/>
        <v>7.0121152943063798</v>
      </c>
      <c r="L685" s="40" t="b">
        <f>IF(B685=B684,C685&gt;C684,COUNTIF(B$1:B684,B685)=0)</f>
        <v>1</v>
      </c>
      <c r="M685" s="1"/>
    </row>
    <row r="686" spans="1:13" x14ac:dyDescent="0.25">
      <c r="A686" s="37" t="s">
        <v>2572</v>
      </c>
      <c r="B686" s="37" t="s">
        <v>615</v>
      </c>
      <c r="C686" s="37">
        <v>3400</v>
      </c>
      <c r="D686" s="37">
        <v>1.0900000000000001</v>
      </c>
      <c r="E686" s="37" t="s">
        <v>1895</v>
      </c>
      <c r="F686" s="37">
        <v>40</v>
      </c>
      <c r="G686" s="37" t="s">
        <v>619</v>
      </c>
      <c r="H686" s="37" t="s">
        <v>1320</v>
      </c>
      <c r="I686" s="42">
        <f t="shared" si="30"/>
        <v>1090</v>
      </c>
      <c r="J686" s="38">
        <f t="shared" si="31"/>
        <v>8.1315307106042525</v>
      </c>
      <c r="K686" s="38">
        <f t="shared" si="32"/>
        <v>6.9939329752231894</v>
      </c>
      <c r="L686" s="40" t="b">
        <f>IF(B686=B685,C686&gt;C685,COUNTIF(B$1:B685,B686)=0)</f>
        <v>1</v>
      </c>
      <c r="M686" s="1"/>
    </row>
    <row r="687" spans="1:13" x14ac:dyDescent="0.25">
      <c r="A687" s="37" t="s">
        <v>2573</v>
      </c>
      <c r="B687" s="37" t="s">
        <v>615</v>
      </c>
      <c r="C687" s="37">
        <v>4000</v>
      </c>
      <c r="D687" s="37">
        <v>0.98</v>
      </c>
      <c r="E687" s="37" t="s">
        <v>1895</v>
      </c>
      <c r="F687" s="37">
        <v>40</v>
      </c>
      <c r="G687" s="37" t="s">
        <v>619</v>
      </c>
      <c r="H687" s="37" t="s">
        <v>1320</v>
      </c>
      <c r="I687" s="42">
        <f t="shared" si="30"/>
        <v>980</v>
      </c>
      <c r="J687" s="38">
        <f t="shared" si="31"/>
        <v>8.2940496401020276</v>
      </c>
      <c r="K687" s="38">
        <f t="shared" si="32"/>
        <v>6.8875525716646173</v>
      </c>
      <c r="L687" s="40" t="b">
        <f>IF(B687=B686,C687&gt;C686,COUNTIF(B$1:B686,B687)=0)</f>
        <v>1</v>
      </c>
      <c r="M687" s="1"/>
    </row>
    <row r="688" spans="1:13" x14ac:dyDescent="0.25">
      <c r="A688" s="37" t="s">
        <v>2574</v>
      </c>
      <c r="B688" s="37" t="s">
        <v>615</v>
      </c>
      <c r="C688" s="37">
        <v>4900</v>
      </c>
      <c r="D688" s="37">
        <v>0.87</v>
      </c>
      <c r="E688" s="37" t="s">
        <v>1895</v>
      </c>
      <c r="F688" s="37">
        <v>40</v>
      </c>
      <c r="G688" s="37" t="s">
        <v>619</v>
      </c>
      <c r="H688" s="37" t="s">
        <v>1320</v>
      </c>
      <c r="I688" s="42">
        <f t="shared" si="30"/>
        <v>870</v>
      </c>
      <c r="J688" s="38">
        <f t="shared" si="31"/>
        <v>8.4969904840987187</v>
      </c>
      <c r="K688" s="38">
        <f t="shared" si="32"/>
        <v>6.7684932116486296</v>
      </c>
      <c r="L688" s="40" t="b">
        <f>IF(B688=B687,C688&gt;C687,COUNTIF(B$1:B687,B688)=0)</f>
        <v>1</v>
      </c>
      <c r="M688" s="1"/>
    </row>
    <row r="689" spans="1:13" x14ac:dyDescent="0.25">
      <c r="A689" s="37" t="s">
        <v>2575</v>
      </c>
      <c r="B689" s="37" t="s">
        <v>615</v>
      </c>
      <c r="C689" s="37">
        <v>5000</v>
      </c>
      <c r="D689" s="37">
        <v>0.86</v>
      </c>
      <c r="E689" s="37" t="s">
        <v>1895</v>
      </c>
      <c r="F689" s="37">
        <v>40</v>
      </c>
      <c r="G689" s="37" t="s">
        <v>619</v>
      </c>
      <c r="H689" s="37" t="s">
        <v>1320</v>
      </c>
      <c r="I689" s="42">
        <f t="shared" si="30"/>
        <v>860</v>
      </c>
      <c r="J689" s="38">
        <f t="shared" si="31"/>
        <v>8.5171931914162382</v>
      </c>
      <c r="K689" s="38">
        <f t="shared" si="32"/>
        <v>6.7569323892475532</v>
      </c>
      <c r="L689" s="40" t="b">
        <f>IF(B689=B688,C689&gt;C688,COUNTIF(B$1:B688,B689)=0)</f>
        <v>1</v>
      </c>
      <c r="M689" s="1"/>
    </row>
    <row r="690" spans="1:13" x14ac:dyDescent="0.25">
      <c r="A690" s="37" t="s">
        <v>2576</v>
      </c>
      <c r="B690" s="37" t="s">
        <v>621</v>
      </c>
      <c r="C690" s="37">
        <v>30</v>
      </c>
      <c r="D690" s="37">
        <v>20.3</v>
      </c>
      <c r="E690" s="37" t="s">
        <v>1895</v>
      </c>
      <c r="F690" s="37">
        <v>40</v>
      </c>
      <c r="G690" s="37" t="s">
        <v>207</v>
      </c>
      <c r="H690" s="37" t="s">
        <v>1896</v>
      </c>
      <c r="I690" s="42">
        <f t="shared" si="30"/>
        <v>20300</v>
      </c>
      <c r="J690" s="38">
        <f t="shared" si="31"/>
        <v>3.4011973816621555</v>
      </c>
      <c r="K690" s="38">
        <f t="shared" si="32"/>
        <v>9.9183761650298781</v>
      </c>
      <c r="L690" s="40" t="b">
        <f>IF(B690=B689,C690&gt;C689,COUNTIF(B$1:B689,B690)=0)</f>
        <v>1</v>
      </c>
      <c r="M690" s="1"/>
    </row>
    <row r="691" spans="1:13" x14ac:dyDescent="0.25">
      <c r="A691" s="37" t="s">
        <v>2577</v>
      </c>
      <c r="B691" s="37" t="s">
        <v>621</v>
      </c>
      <c r="C691" s="37">
        <v>50</v>
      </c>
      <c r="D691" s="37">
        <v>15.6</v>
      </c>
      <c r="E691" s="37" t="s">
        <v>1895</v>
      </c>
      <c r="F691" s="37">
        <v>40</v>
      </c>
      <c r="G691" s="37" t="s">
        <v>207</v>
      </c>
      <c r="H691" s="37" t="s">
        <v>1896</v>
      </c>
      <c r="I691" s="42">
        <f t="shared" si="30"/>
        <v>15600</v>
      </c>
      <c r="J691" s="38">
        <f t="shared" si="31"/>
        <v>3.912023005428146</v>
      </c>
      <c r="K691" s="38">
        <f t="shared" si="32"/>
        <v>9.655026193237628</v>
      </c>
      <c r="L691" s="40" t="b">
        <f>IF(B691=B690,C691&gt;C690,COUNTIF(B$1:B690,B691)=0)</f>
        <v>1</v>
      </c>
      <c r="M691" s="1"/>
    </row>
    <row r="692" spans="1:13" x14ac:dyDescent="0.25">
      <c r="A692" s="37" t="s">
        <v>2578</v>
      </c>
      <c r="B692" s="37" t="s">
        <v>621</v>
      </c>
      <c r="C692" s="37">
        <v>150</v>
      </c>
      <c r="D692" s="37">
        <v>8.6999999999999993</v>
      </c>
      <c r="E692" s="37" t="s">
        <v>1895</v>
      </c>
      <c r="F692" s="37">
        <v>40</v>
      </c>
      <c r="G692" s="37" t="s">
        <v>207</v>
      </c>
      <c r="H692" s="37" t="s">
        <v>1896</v>
      </c>
      <c r="I692" s="42">
        <f t="shared" si="30"/>
        <v>8700</v>
      </c>
      <c r="J692" s="38">
        <f t="shared" si="31"/>
        <v>5.0106352940962555</v>
      </c>
      <c r="K692" s="38">
        <f t="shared" si="32"/>
        <v>9.0710783046426755</v>
      </c>
      <c r="L692" s="40" t="b">
        <f>IF(B692=B691,C692&gt;C691,COUNTIF(B$1:B691,B692)=0)</f>
        <v>1</v>
      </c>
      <c r="M692" s="1"/>
    </row>
    <row r="693" spans="1:13" x14ac:dyDescent="0.25">
      <c r="A693" s="37" t="s">
        <v>2579</v>
      </c>
      <c r="B693" s="37" t="s">
        <v>621</v>
      </c>
      <c r="C693" s="37">
        <v>220</v>
      </c>
      <c r="D693" s="37">
        <v>7.1</v>
      </c>
      <c r="E693" s="37" t="s">
        <v>1895</v>
      </c>
      <c r="F693" s="37">
        <v>40</v>
      </c>
      <c r="G693" s="37" t="s">
        <v>207</v>
      </c>
      <c r="H693" s="37" t="s">
        <v>1896</v>
      </c>
      <c r="I693" s="42">
        <f t="shared" si="30"/>
        <v>7100</v>
      </c>
      <c r="J693" s="38">
        <f t="shared" si="31"/>
        <v>5.393627546352362</v>
      </c>
      <c r="K693" s="38">
        <f t="shared" si="32"/>
        <v>8.8678500630294064</v>
      </c>
      <c r="L693" s="40" t="b">
        <f>IF(B693=B692,C693&gt;C692,COUNTIF(B$1:B692,B693)=0)</f>
        <v>1</v>
      </c>
      <c r="M693" s="1"/>
    </row>
    <row r="694" spans="1:13" x14ac:dyDescent="0.25">
      <c r="A694" s="37" t="s">
        <v>2580</v>
      </c>
      <c r="B694" s="37" t="s">
        <v>621</v>
      </c>
      <c r="C694" s="37">
        <v>450</v>
      </c>
      <c r="D694" s="37">
        <v>4.8</v>
      </c>
      <c r="E694" s="37" t="s">
        <v>1895</v>
      </c>
      <c r="F694" s="37">
        <v>40</v>
      </c>
      <c r="G694" s="37" t="s">
        <v>207</v>
      </c>
      <c r="H694" s="37" t="s">
        <v>1896</v>
      </c>
      <c r="I694" s="42">
        <f t="shared" si="30"/>
        <v>4800</v>
      </c>
      <c r="J694" s="38">
        <f t="shared" si="31"/>
        <v>6.1092475827643655</v>
      </c>
      <c r="K694" s="38">
        <f t="shared" si="32"/>
        <v>8.4763711968959825</v>
      </c>
      <c r="L694" s="40" t="b">
        <f>IF(B694=B693,C694&gt;C693,COUNTIF(B$1:B693,B694)=0)</f>
        <v>1</v>
      </c>
      <c r="M694" s="1"/>
    </row>
    <row r="695" spans="1:13" x14ac:dyDescent="0.25">
      <c r="A695" s="37" t="s">
        <v>2581</v>
      </c>
      <c r="B695" s="37" t="s">
        <v>621</v>
      </c>
      <c r="C695" s="37">
        <v>700</v>
      </c>
      <c r="D695" s="37">
        <v>3.8</v>
      </c>
      <c r="E695" s="37" t="s">
        <v>1895</v>
      </c>
      <c r="F695" s="37">
        <v>40</v>
      </c>
      <c r="G695" s="37" t="s">
        <v>207</v>
      </c>
      <c r="H695" s="37" t="s">
        <v>1896</v>
      </c>
      <c r="I695" s="42">
        <f t="shared" si="30"/>
        <v>3800</v>
      </c>
      <c r="J695" s="38">
        <f t="shared" si="31"/>
        <v>6.5510803350434044</v>
      </c>
      <c r="K695" s="38">
        <f t="shared" si="32"/>
        <v>8.2427563457144775</v>
      </c>
      <c r="L695" s="40" t="b">
        <f>IF(B695=B694,C695&gt;C694,COUNTIF(B$1:B694,B695)=0)</f>
        <v>1</v>
      </c>
      <c r="M695" s="1"/>
    </row>
    <row r="696" spans="1:13" x14ac:dyDescent="0.25">
      <c r="A696" s="37" t="s">
        <v>2582</v>
      </c>
      <c r="B696" s="37" t="s">
        <v>621</v>
      </c>
      <c r="C696" s="37">
        <v>900</v>
      </c>
      <c r="D696" s="37">
        <v>3.3</v>
      </c>
      <c r="E696" s="37" t="s">
        <v>1895</v>
      </c>
      <c r="F696" s="37">
        <v>40</v>
      </c>
      <c r="G696" s="37" t="s">
        <v>207</v>
      </c>
      <c r="H696" s="37" t="s">
        <v>1896</v>
      </c>
      <c r="I696" s="42">
        <f t="shared" si="30"/>
        <v>3300</v>
      </c>
      <c r="J696" s="38">
        <f t="shared" si="31"/>
        <v>6.8023947633243109</v>
      </c>
      <c r="K696" s="38">
        <f t="shared" si="32"/>
        <v>8.1016777474545716</v>
      </c>
      <c r="L696" s="40" t="b">
        <f>IF(B696=B695,C696&gt;C695,COUNTIF(B$1:B695,B696)=0)</f>
        <v>1</v>
      </c>
      <c r="M696" s="1"/>
    </row>
    <row r="697" spans="1:13" x14ac:dyDescent="0.25">
      <c r="A697" s="37" t="s">
        <v>2583</v>
      </c>
      <c r="B697" s="37" t="s">
        <v>621</v>
      </c>
      <c r="C697" s="37">
        <v>1500</v>
      </c>
      <c r="D697" s="37">
        <v>2.4</v>
      </c>
      <c r="E697" s="37" t="s">
        <v>1895</v>
      </c>
      <c r="F697" s="37">
        <v>40</v>
      </c>
      <c r="G697" s="37" t="s">
        <v>207</v>
      </c>
      <c r="H697" s="37" t="s">
        <v>1896</v>
      </c>
      <c r="I697" s="42">
        <f t="shared" si="30"/>
        <v>2400</v>
      </c>
      <c r="J697" s="38">
        <f t="shared" si="31"/>
        <v>7.3132203870903014</v>
      </c>
      <c r="K697" s="38">
        <f t="shared" si="32"/>
        <v>7.7832240163360371</v>
      </c>
      <c r="L697" s="40" t="b">
        <f>IF(B697=B696,C697&gt;C696,COUNTIF(B$1:B696,B697)=0)</f>
        <v>1</v>
      </c>
      <c r="M697" s="1"/>
    </row>
    <row r="698" spans="1:13" x14ac:dyDescent="0.25">
      <c r="A698" s="37" t="s">
        <v>2584</v>
      </c>
      <c r="B698" s="37" t="s">
        <v>621</v>
      </c>
      <c r="C698" s="37">
        <v>2000</v>
      </c>
      <c r="D698" s="37">
        <v>2</v>
      </c>
      <c r="E698" s="37" t="s">
        <v>1895</v>
      </c>
      <c r="F698" s="37">
        <v>40</v>
      </c>
      <c r="G698" s="37" t="s">
        <v>207</v>
      </c>
      <c r="H698" s="37" t="s">
        <v>1896</v>
      </c>
      <c r="I698" s="42">
        <f t="shared" si="30"/>
        <v>2000</v>
      </c>
      <c r="J698" s="38">
        <f t="shared" si="31"/>
        <v>7.6009024595420822</v>
      </c>
      <c r="K698" s="38">
        <f t="shared" si="32"/>
        <v>7.6009024595420822</v>
      </c>
      <c r="L698" s="40" t="b">
        <f>IF(B698=B697,C698&gt;C697,COUNTIF(B$1:B697,B698)=0)</f>
        <v>1</v>
      </c>
      <c r="M698" s="1"/>
    </row>
    <row r="699" spans="1:13" x14ac:dyDescent="0.25">
      <c r="A699" s="37" t="s">
        <v>2585</v>
      </c>
      <c r="B699" s="37" t="s">
        <v>621</v>
      </c>
      <c r="C699" s="37">
        <v>2500</v>
      </c>
      <c r="D699" s="37">
        <v>1.8</v>
      </c>
      <c r="E699" s="37" t="s">
        <v>1895</v>
      </c>
      <c r="F699" s="37">
        <v>40</v>
      </c>
      <c r="G699" s="37" t="s">
        <v>207</v>
      </c>
      <c r="H699" s="37" t="s">
        <v>1896</v>
      </c>
      <c r="I699" s="42">
        <f t="shared" si="30"/>
        <v>1800</v>
      </c>
      <c r="J699" s="38">
        <f t="shared" si="31"/>
        <v>7.8240460108562919</v>
      </c>
      <c r="K699" s="38">
        <f t="shared" si="32"/>
        <v>7.4955419438842563</v>
      </c>
      <c r="L699" s="40" t="b">
        <f>IF(B699=B698,C699&gt;C698,COUNTIF(B$1:B698,B699)=0)</f>
        <v>1</v>
      </c>
      <c r="M699" s="1"/>
    </row>
    <row r="700" spans="1:13" x14ac:dyDescent="0.25">
      <c r="A700" s="37" t="s">
        <v>2586</v>
      </c>
      <c r="B700" s="37" t="s">
        <v>624</v>
      </c>
      <c r="C700" s="37">
        <v>0.5</v>
      </c>
      <c r="D700" s="37">
        <v>180.6</v>
      </c>
      <c r="E700" s="37" t="s">
        <v>1895</v>
      </c>
      <c r="F700" s="37">
        <v>40</v>
      </c>
      <c r="G700" s="37" t="s">
        <v>629</v>
      </c>
      <c r="H700" s="37" t="s">
        <v>1320</v>
      </c>
      <c r="I700" s="42">
        <f t="shared" si="30"/>
        <v>180600</v>
      </c>
      <c r="J700" s="38">
        <f t="shared" si="31"/>
        <v>-0.69314718055994529</v>
      </c>
      <c r="K700" s="38">
        <f t="shared" si="32"/>
        <v>12.104039919965022</v>
      </c>
      <c r="L700" s="40" t="b">
        <f>IF(B700=B699,C700&gt;C699,COUNTIF(B$1:B699,B700)=0)</f>
        <v>1</v>
      </c>
      <c r="M700" s="1"/>
    </row>
    <row r="701" spans="1:13" x14ac:dyDescent="0.25">
      <c r="A701" s="37" t="s">
        <v>2587</v>
      </c>
      <c r="B701" s="37" t="s">
        <v>624</v>
      </c>
      <c r="C701" s="37">
        <v>1</v>
      </c>
      <c r="D701" s="37">
        <v>127.5</v>
      </c>
      <c r="E701" s="37" t="s">
        <v>1895</v>
      </c>
      <c r="F701" s="37">
        <v>40</v>
      </c>
      <c r="G701" s="37" t="s">
        <v>629</v>
      </c>
      <c r="H701" s="37" t="s">
        <v>1320</v>
      </c>
      <c r="I701" s="42">
        <f t="shared" si="30"/>
        <v>127500</v>
      </c>
      <c r="J701" s="38">
        <f t="shared" si="31"/>
        <v>0</v>
      </c>
      <c r="K701" s="38">
        <f t="shared" si="32"/>
        <v>11.755871643580617</v>
      </c>
      <c r="L701" s="40" t="b">
        <f>IF(B701=B700,C701&gt;C700,COUNTIF(B$1:B700,B701)=0)</f>
        <v>1</v>
      </c>
      <c r="M701" s="1"/>
    </row>
    <row r="702" spans="1:13" x14ac:dyDescent="0.25">
      <c r="A702" s="37" t="s">
        <v>2588</v>
      </c>
      <c r="B702" s="37" t="s">
        <v>624</v>
      </c>
      <c r="C702" s="37">
        <v>1.5</v>
      </c>
      <c r="D702" s="37">
        <v>103.9</v>
      </c>
      <c r="E702" s="37" t="s">
        <v>1895</v>
      </c>
      <c r="F702" s="37">
        <v>40</v>
      </c>
      <c r="G702" s="37" t="s">
        <v>629</v>
      </c>
      <c r="H702" s="37" t="s">
        <v>1320</v>
      </c>
      <c r="I702" s="42">
        <f t="shared" si="30"/>
        <v>103900</v>
      </c>
      <c r="J702" s="38">
        <f t="shared" si="31"/>
        <v>0.40546510810816438</v>
      </c>
      <c r="K702" s="38">
        <f t="shared" si="32"/>
        <v>11.551184177087318</v>
      </c>
      <c r="L702" s="40" t="b">
        <f>IF(B702=B701,C702&gt;C701,COUNTIF(B$1:B701,B702)=0)</f>
        <v>1</v>
      </c>
      <c r="M702" s="1"/>
    </row>
    <row r="703" spans="1:13" x14ac:dyDescent="0.25">
      <c r="A703" s="37" t="s">
        <v>2589</v>
      </c>
      <c r="B703" s="37" t="s">
        <v>624</v>
      </c>
      <c r="C703" s="37">
        <v>2</v>
      </c>
      <c r="D703" s="37">
        <v>89.9</v>
      </c>
      <c r="E703" s="37" t="s">
        <v>1895</v>
      </c>
      <c r="F703" s="37">
        <v>40</v>
      </c>
      <c r="G703" s="37" t="s">
        <v>629</v>
      </c>
      <c r="H703" s="37" t="s">
        <v>1320</v>
      </c>
      <c r="I703" s="42">
        <f t="shared" si="30"/>
        <v>89900</v>
      </c>
      <c r="J703" s="38">
        <f t="shared" si="31"/>
        <v>0.69314718055994529</v>
      </c>
      <c r="K703" s="38">
        <f t="shared" si="32"/>
        <v>11.406453220459712</v>
      </c>
      <c r="L703" s="40" t="b">
        <f>IF(B703=B702,C703&gt;C702,COUNTIF(B$1:B702,B703)=0)</f>
        <v>1</v>
      </c>
      <c r="M703" s="1"/>
    </row>
    <row r="704" spans="1:13" x14ac:dyDescent="0.25">
      <c r="A704" s="37" t="s">
        <v>2590</v>
      </c>
      <c r="B704" s="37" t="s">
        <v>624</v>
      </c>
      <c r="C704" s="37">
        <v>10</v>
      </c>
      <c r="D704" s="37">
        <v>39.799999999999997</v>
      </c>
      <c r="E704" s="37" t="s">
        <v>1895</v>
      </c>
      <c r="F704" s="37">
        <v>40</v>
      </c>
      <c r="G704" s="37" t="s">
        <v>629</v>
      </c>
      <c r="H704" s="37" t="s">
        <v>1320</v>
      </c>
      <c r="I704" s="42">
        <f t="shared" si="30"/>
        <v>39800</v>
      </c>
      <c r="J704" s="38">
        <f t="shared" si="31"/>
        <v>2.3025850929940459</v>
      </c>
      <c r="K704" s="38">
        <f t="shared" si="32"/>
        <v>10.591622191272529</v>
      </c>
      <c r="L704" s="40" t="b">
        <f>IF(B704=B703,C704&gt;C703,COUNTIF(B$1:B703,B704)=0)</f>
        <v>1</v>
      </c>
      <c r="M704" s="1"/>
    </row>
    <row r="705" spans="1:13" x14ac:dyDescent="0.25">
      <c r="A705" s="37" t="s">
        <v>2591</v>
      </c>
      <c r="B705" s="37" t="s">
        <v>624</v>
      </c>
      <c r="C705" s="37">
        <v>20</v>
      </c>
      <c r="D705" s="37">
        <v>27.9</v>
      </c>
      <c r="E705" s="37" t="s">
        <v>1895</v>
      </c>
      <c r="F705" s="37">
        <v>40</v>
      </c>
      <c r="G705" s="37" t="s">
        <v>629</v>
      </c>
      <c r="H705" s="37" t="s">
        <v>1320</v>
      </c>
      <c r="I705" s="42">
        <f t="shared" si="30"/>
        <v>27900</v>
      </c>
      <c r="J705" s="38">
        <f t="shared" si="31"/>
        <v>2.9957322735539909</v>
      </c>
      <c r="K705" s="38">
        <f t="shared" si="32"/>
        <v>10.236381967809457</v>
      </c>
      <c r="L705" s="40" t="b">
        <f>IF(B705=B704,C705&gt;C704,COUNTIF(B$1:B704,B705)=0)</f>
        <v>1</v>
      </c>
      <c r="M705" s="1"/>
    </row>
    <row r="706" spans="1:13" x14ac:dyDescent="0.25">
      <c r="A706" s="37" t="s">
        <v>2592</v>
      </c>
      <c r="B706" s="37" t="s">
        <v>624</v>
      </c>
      <c r="C706" s="37">
        <v>30</v>
      </c>
      <c r="D706" s="37">
        <v>22.7</v>
      </c>
      <c r="E706" s="37" t="s">
        <v>1895</v>
      </c>
      <c r="F706" s="37">
        <v>40</v>
      </c>
      <c r="G706" s="37" t="s">
        <v>629</v>
      </c>
      <c r="H706" s="37" t="s">
        <v>1320</v>
      </c>
      <c r="I706" s="42">
        <f t="shared" ref="I706:I769" si="33">IF(E706="kW",D706*1000,D706)</f>
        <v>22700</v>
      </c>
      <c r="J706" s="38">
        <f t="shared" ref="J706:J769" si="34">LN(C706)</f>
        <v>3.4011973816621555</v>
      </c>
      <c r="K706" s="38">
        <f t="shared" ref="K706:K769" si="35">LN(I706)</f>
        <v>10.030120203469494</v>
      </c>
      <c r="L706" s="40" t="b">
        <f>IF(B706=B705,C706&gt;C705,COUNTIF(B$1:B705,B706)=0)</f>
        <v>1</v>
      </c>
      <c r="M706" s="1"/>
    </row>
    <row r="707" spans="1:13" x14ac:dyDescent="0.25">
      <c r="A707" s="37" t="s">
        <v>2593</v>
      </c>
      <c r="B707" s="37" t="s">
        <v>624</v>
      </c>
      <c r="C707" s="37">
        <v>50</v>
      </c>
      <c r="D707" s="37">
        <v>17.399999999999999</v>
      </c>
      <c r="E707" s="37" t="s">
        <v>1895</v>
      </c>
      <c r="F707" s="37">
        <v>40</v>
      </c>
      <c r="G707" s="37" t="s">
        <v>629</v>
      </c>
      <c r="H707" s="37" t="s">
        <v>1320</v>
      </c>
      <c r="I707" s="42">
        <f t="shared" si="33"/>
        <v>17400</v>
      </c>
      <c r="J707" s="38">
        <f t="shared" si="34"/>
        <v>3.912023005428146</v>
      </c>
      <c r="K707" s="38">
        <f t="shared" si="35"/>
        <v>9.7642254852026209</v>
      </c>
      <c r="L707" s="40" t="b">
        <f>IF(B707=B706,C707&gt;C706,COUNTIF(B$1:B706,B707)=0)</f>
        <v>1</v>
      </c>
      <c r="M707" s="1"/>
    </row>
    <row r="708" spans="1:13" x14ac:dyDescent="0.25">
      <c r="A708" s="37" t="s">
        <v>2594</v>
      </c>
      <c r="B708" s="37" t="s">
        <v>624</v>
      </c>
      <c r="C708" s="37">
        <v>88</v>
      </c>
      <c r="D708" s="37">
        <v>13</v>
      </c>
      <c r="E708" s="37" t="s">
        <v>1895</v>
      </c>
      <c r="F708" s="37">
        <v>40</v>
      </c>
      <c r="G708" s="37" t="s">
        <v>629</v>
      </c>
      <c r="H708" s="37" t="s">
        <v>1320</v>
      </c>
      <c r="I708" s="42">
        <f t="shared" si="33"/>
        <v>13000</v>
      </c>
      <c r="J708" s="38">
        <f t="shared" si="34"/>
        <v>4.4773368144782069</v>
      </c>
      <c r="K708" s="38">
        <f t="shared" si="35"/>
        <v>9.4727046364436731</v>
      </c>
      <c r="L708" s="40" t="b">
        <f>IF(B708=B707,C708&gt;C707,COUNTIF(B$1:B707,B708)=0)</f>
        <v>1</v>
      </c>
      <c r="M708" s="1"/>
    </row>
    <row r="709" spans="1:13" x14ac:dyDescent="0.25">
      <c r="A709" s="37" t="s">
        <v>2595</v>
      </c>
      <c r="B709" s="37" t="s">
        <v>624</v>
      </c>
      <c r="C709" s="37">
        <v>100</v>
      </c>
      <c r="D709" s="37">
        <v>12.1</v>
      </c>
      <c r="E709" s="37" t="s">
        <v>1895</v>
      </c>
      <c r="F709" s="37">
        <v>40</v>
      </c>
      <c r="G709" s="37" t="s">
        <v>629</v>
      </c>
      <c r="H709" s="37" t="s">
        <v>1320</v>
      </c>
      <c r="I709" s="42">
        <f t="shared" si="33"/>
        <v>12100</v>
      </c>
      <c r="J709" s="38">
        <f t="shared" si="34"/>
        <v>4.6051701859880918</v>
      </c>
      <c r="K709" s="38">
        <f t="shared" si="35"/>
        <v>9.4009607315848331</v>
      </c>
      <c r="L709" s="40" t="b">
        <f>IF(B709=B708,C709&gt;C708,COUNTIF(B$1:B708,B709)=0)</f>
        <v>1</v>
      </c>
      <c r="M709" s="1"/>
    </row>
    <row r="710" spans="1:13" x14ac:dyDescent="0.25">
      <c r="A710" s="37" t="s">
        <v>2596</v>
      </c>
      <c r="B710" s="37" t="s">
        <v>624</v>
      </c>
      <c r="C710" s="37">
        <v>108</v>
      </c>
      <c r="D710" s="37">
        <v>11.6</v>
      </c>
      <c r="E710" s="37" t="s">
        <v>1895</v>
      </c>
      <c r="F710" s="37">
        <v>40</v>
      </c>
      <c r="G710" s="37" t="s">
        <v>629</v>
      </c>
      <c r="H710" s="37" t="s">
        <v>1320</v>
      </c>
      <c r="I710" s="42">
        <f t="shared" si="33"/>
        <v>11600</v>
      </c>
      <c r="J710" s="38">
        <f t="shared" si="34"/>
        <v>4.6821312271242199</v>
      </c>
      <c r="K710" s="38">
        <f t="shared" si="35"/>
        <v>9.3587603770944554</v>
      </c>
      <c r="L710" s="40" t="b">
        <f>IF(B710=B709,C710&gt;C709,COUNTIF(B$1:B709,B710)=0)</f>
        <v>1</v>
      </c>
      <c r="M710" s="1"/>
    </row>
    <row r="711" spans="1:13" x14ac:dyDescent="0.25">
      <c r="A711" s="37" t="s">
        <v>2597</v>
      </c>
      <c r="B711" s="37" t="s">
        <v>624</v>
      </c>
      <c r="C711" s="37">
        <v>150</v>
      </c>
      <c r="D711" s="37">
        <v>9.77</v>
      </c>
      <c r="E711" s="37" t="s">
        <v>1895</v>
      </c>
      <c r="F711" s="37">
        <v>40</v>
      </c>
      <c r="G711" s="37" t="s">
        <v>629</v>
      </c>
      <c r="H711" s="37" t="s">
        <v>1320</v>
      </c>
      <c r="I711" s="42">
        <f t="shared" si="33"/>
        <v>9770</v>
      </c>
      <c r="J711" s="38">
        <f t="shared" si="34"/>
        <v>5.0106352940962555</v>
      </c>
      <c r="K711" s="38">
        <f t="shared" si="35"/>
        <v>9.1870717450368282</v>
      </c>
      <c r="L711" s="40" t="b">
        <f>IF(B711=B710,C711&gt;C710,COUNTIF(B$1:B710,B711)=0)</f>
        <v>1</v>
      </c>
      <c r="M711" s="1"/>
    </row>
    <row r="712" spans="1:13" x14ac:dyDescent="0.25">
      <c r="A712" s="37" t="s">
        <v>2598</v>
      </c>
      <c r="B712" s="37" t="s">
        <v>624</v>
      </c>
      <c r="C712" s="37">
        <v>174</v>
      </c>
      <c r="D712" s="37">
        <v>9.0299999999999994</v>
      </c>
      <c r="E712" s="37" t="s">
        <v>1895</v>
      </c>
      <c r="F712" s="37">
        <v>40</v>
      </c>
      <c r="G712" s="37" t="s">
        <v>629</v>
      </c>
      <c r="H712" s="37" t="s">
        <v>1320</v>
      </c>
      <c r="I712" s="42">
        <f t="shared" si="33"/>
        <v>9030</v>
      </c>
      <c r="J712" s="38">
        <f t="shared" si="34"/>
        <v>5.1590552992145291</v>
      </c>
      <c r="K712" s="38">
        <f t="shared" si="35"/>
        <v>9.1083076464110313</v>
      </c>
      <c r="L712" s="40" t="b">
        <f>IF(B712=B711,C712&gt;C711,COUNTIF(B$1:B711,B712)=0)</f>
        <v>1</v>
      </c>
      <c r="M712" s="1"/>
    </row>
    <row r="713" spans="1:13" x14ac:dyDescent="0.25">
      <c r="A713" s="37" t="s">
        <v>2599</v>
      </c>
      <c r="B713" s="37" t="s">
        <v>624</v>
      </c>
      <c r="C713" s="37">
        <v>200</v>
      </c>
      <c r="D713" s="37">
        <v>8.3800000000000008</v>
      </c>
      <c r="E713" s="37" t="s">
        <v>1895</v>
      </c>
      <c r="F713" s="37">
        <v>40</v>
      </c>
      <c r="G713" s="37" t="s">
        <v>629</v>
      </c>
      <c r="H713" s="37" t="s">
        <v>1320</v>
      </c>
      <c r="I713" s="42">
        <f t="shared" si="33"/>
        <v>8380</v>
      </c>
      <c r="J713" s="38">
        <f t="shared" si="34"/>
        <v>5.2983173665480363</v>
      </c>
      <c r="K713" s="38">
        <f t="shared" si="35"/>
        <v>9.0336031934761287</v>
      </c>
      <c r="L713" s="40" t="b">
        <f>IF(B713=B712,C713&gt;C712,COUNTIF(B$1:B712,B713)=0)</f>
        <v>1</v>
      </c>
      <c r="M713" s="1"/>
    </row>
    <row r="714" spans="1:13" x14ac:dyDescent="0.25">
      <c r="A714" s="37" t="s">
        <v>2600</v>
      </c>
      <c r="B714" s="37" t="s">
        <v>624</v>
      </c>
      <c r="C714" s="37">
        <v>300</v>
      </c>
      <c r="D714" s="37">
        <v>6.73</v>
      </c>
      <c r="E714" s="37" t="s">
        <v>1895</v>
      </c>
      <c r="F714" s="37">
        <v>40</v>
      </c>
      <c r="G714" s="37" t="s">
        <v>629</v>
      </c>
      <c r="H714" s="37" t="s">
        <v>1320</v>
      </c>
      <c r="I714" s="42">
        <f t="shared" si="33"/>
        <v>6730</v>
      </c>
      <c r="J714" s="38">
        <f t="shared" si="34"/>
        <v>5.7037824746562009</v>
      </c>
      <c r="K714" s="38">
        <f t="shared" si="35"/>
        <v>8.8143304226387738</v>
      </c>
      <c r="L714" s="40" t="b">
        <f>IF(B714=B713,C714&gt;C713,COUNTIF(B$1:B713,B714)=0)</f>
        <v>1</v>
      </c>
      <c r="M714" s="1"/>
    </row>
    <row r="715" spans="1:13" x14ac:dyDescent="0.25">
      <c r="A715" s="37" t="s">
        <v>2601</v>
      </c>
      <c r="B715" s="37" t="s">
        <v>624</v>
      </c>
      <c r="C715" s="37">
        <v>400</v>
      </c>
      <c r="D715" s="37">
        <v>5.74</v>
      </c>
      <c r="E715" s="37" t="s">
        <v>1895</v>
      </c>
      <c r="F715" s="37">
        <v>40</v>
      </c>
      <c r="G715" s="37" t="s">
        <v>629</v>
      </c>
      <c r="H715" s="37" t="s">
        <v>1320</v>
      </c>
      <c r="I715" s="42">
        <f t="shared" si="33"/>
        <v>5740</v>
      </c>
      <c r="J715" s="38">
        <f t="shared" si="34"/>
        <v>5.9914645471079817</v>
      </c>
      <c r="K715" s="38">
        <f t="shared" si="35"/>
        <v>8.6552144893136127</v>
      </c>
      <c r="L715" s="40" t="b">
        <f>IF(B715=B714,C715&gt;C714,COUNTIF(B$1:B714,B715)=0)</f>
        <v>1</v>
      </c>
      <c r="M715" s="1"/>
    </row>
    <row r="716" spans="1:13" x14ac:dyDescent="0.25">
      <c r="A716" s="37" t="s">
        <v>2602</v>
      </c>
      <c r="B716" s="37" t="s">
        <v>624</v>
      </c>
      <c r="C716" s="37">
        <v>450</v>
      </c>
      <c r="D716" s="37">
        <v>5.38</v>
      </c>
      <c r="E716" s="37" t="s">
        <v>1895</v>
      </c>
      <c r="F716" s="37">
        <v>40</v>
      </c>
      <c r="G716" s="37" t="s">
        <v>629</v>
      </c>
      <c r="H716" s="37" t="s">
        <v>1320</v>
      </c>
      <c r="I716" s="42">
        <f t="shared" si="33"/>
        <v>5380</v>
      </c>
      <c r="J716" s="38">
        <f t="shared" si="34"/>
        <v>6.1092475827643655</v>
      </c>
      <c r="K716" s="38">
        <f t="shared" si="35"/>
        <v>8.5904436531558304</v>
      </c>
      <c r="L716" s="40" t="b">
        <f>IF(B716=B715,C716&gt;C715,COUNTIF(B$1:B715,B716)=0)</f>
        <v>1</v>
      </c>
      <c r="M716" s="1"/>
    </row>
    <row r="717" spans="1:13" x14ac:dyDescent="0.25">
      <c r="A717" s="37" t="s">
        <v>2603</v>
      </c>
      <c r="B717" s="37" t="s">
        <v>624</v>
      </c>
      <c r="C717" s="37">
        <v>500</v>
      </c>
      <c r="D717" s="37">
        <v>5.08</v>
      </c>
      <c r="E717" s="37" t="s">
        <v>1895</v>
      </c>
      <c r="F717" s="37">
        <v>40</v>
      </c>
      <c r="G717" s="37" t="s">
        <v>629</v>
      </c>
      <c r="H717" s="37" t="s">
        <v>1320</v>
      </c>
      <c r="I717" s="42">
        <f t="shared" si="33"/>
        <v>5080</v>
      </c>
      <c r="J717" s="38">
        <f t="shared" si="34"/>
        <v>6.2146080984221914</v>
      </c>
      <c r="K717" s="38">
        <f t="shared" si="35"/>
        <v>8.533066540572527</v>
      </c>
      <c r="L717" s="40" t="b">
        <f>IF(B717=B716,C717&gt;C716,COUNTIF(B$1:B716,B717)=0)</f>
        <v>1</v>
      </c>
      <c r="M717" s="1"/>
    </row>
    <row r="718" spans="1:13" x14ac:dyDescent="0.25">
      <c r="A718" s="37" t="s">
        <v>2604</v>
      </c>
      <c r="B718" s="37" t="s">
        <v>624</v>
      </c>
      <c r="C718" s="37">
        <v>512</v>
      </c>
      <c r="D718" s="37">
        <v>5.01</v>
      </c>
      <c r="E718" s="37" t="s">
        <v>1895</v>
      </c>
      <c r="F718" s="37">
        <v>40</v>
      </c>
      <c r="G718" s="37" t="s">
        <v>629</v>
      </c>
      <c r="H718" s="37" t="s">
        <v>1320</v>
      </c>
      <c r="I718" s="42">
        <f t="shared" si="33"/>
        <v>5010</v>
      </c>
      <c r="J718" s="38">
        <f t="shared" si="34"/>
        <v>6.2383246250395077</v>
      </c>
      <c r="K718" s="38">
        <f t="shared" si="35"/>
        <v>8.5191911940789105</v>
      </c>
      <c r="L718" s="40" t="b">
        <f>IF(B718=B717,C718&gt;C717,COUNTIF(B$1:B717,B718)=0)</f>
        <v>1</v>
      </c>
      <c r="M718" s="1"/>
    </row>
    <row r="719" spans="1:13" x14ac:dyDescent="0.25">
      <c r="A719" s="37" t="s">
        <v>2605</v>
      </c>
      <c r="B719" s="37" t="s">
        <v>624</v>
      </c>
      <c r="C719" s="37">
        <v>600</v>
      </c>
      <c r="D719" s="37">
        <v>4.58</v>
      </c>
      <c r="E719" s="37" t="s">
        <v>1895</v>
      </c>
      <c r="F719" s="37">
        <v>40</v>
      </c>
      <c r="G719" s="37" t="s">
        <v>629</v>
      </c>
      <c r="H719" s="37" t="s">
        <v>1320</v>
      </c>
      <c r="I719" s="42">
        <f t="shared" si="33"/>
        <v>4580</v>
      </c>
      <c r="J719" s="38">
        <f t="shared" si="34"/>
        <v>6.3969296552161463</v>
      </c>
      <c r="K719" s="38">
        <f t="shared" si="35"/>
        <v>8.4294542771082313</v>
      </c>
      <c r="L719" s="40" t="b">
        <f>IF(B719=B718,C719&gt;C718,COUNTIF(B$1:B718,B719)=0)</f>
        <v>1</v>
      </c>
      <c r="M719" s="1"/>
    </row>
    <row r="720" spans="1:13" x14ac:dyDescent="0.25">
      <c r="A720" s="37" t="s">
        <v>2606</v>
      </c>
      <c r="B720" s="37" t="s">
        <v>624</v>
      </c>
      <c r="C720" s="37">
        <v>700</v>
      </c>
      <c r="D720" s="37">
        <v>4.2</v>
      </c>
      <c r="E720" s="37" t="s">
        <v>1895</v>
      </c>
      <c r="F720" s="37">
        <v>40</v>
      </c>
      <c r="G720" s="37" t="s">
        <v>629</v>
      </c>
      <c r="H720" s="37" t="s">
        <v>1320</v>
      </c>
      <c r="I720" s="42">
        <f t="shared" si="33"/>
        <v>4200</v>
      </c>
      <c r="J720" s="38">
        <f t="shared" si="34"/>
        <v>6.5510803350434044</v>
      </c>
      <c r="K720" s="38">
        <f t="shared" si="35"/>
        <v>8.3428398042714598</v>
      </c>
      <c r="L720" s="40" t="b">
        <f>IF(B720=B719,C720&gt;C719,COUNTIF(B$1:B719,B720)=0)</f>
        <v>1</v>
      </c>
      <c r="M720" s="1"/>
    </row>
    <row r="721" spans="1:13" x14ac:dyDescent="0.25">
      <c r="A721" s="37" t="s">
        <v>2607</v>
      </c>
      <c r="B721" s="37" t="s">
        <v>624</v>
      </c>
      <c r="C721" s="37">
        <v>800</v>
      </c>
      <c r="D721" s="37">
        <v>3.89</v>
      </c>
      <c r="E721" s="37" t="s">
        <v>1895</v>
      </c>
      <c r="F721" s="37">
        <v>40</v>
      </c>
      <c r="G721" s="37" t="s">
        <v>629</v>
      </c>
      <c r="H721" s="37" t="s">
        <v>1320</v>
      </c>
      <c r="I721" s="42">
        <f t="shared" si="33"/>
        <v>3890</v>
      </c>
      <c r="J721" s="38">
        <f t="shared" si="34"/>
        <v>6.6846117276679271</v>
      </c>
      <c r="K721" s="38">
        <f t="shared" si="35"/>
        <v>8.2661644366124918</v>
      </c>
      <c r="L721" s="40" t="b">
        <f>IF(B721=B720,C721&gt;C720,COUNTIF(B$1:B720,B721)=0)</f>
        <v>1</v>
      </c>
      <c r="M721" s="1"/>
    </row>
    <row r="722" spans="1:13" x14ac:dyDescent="0.25">
      <c r="A722" s="37" t="s">
        <v>2608</v>
      </c>
      <c r="B722" s="37" t="s">
        <v>624</v>
      </c>
      <c r="C722" s="37">
        <v>824</v>
      </c>
      <c r="D722" s="37">
        <v>3.83</v>
      </c>
      <c r="E722" s="37" t="s">
        <v>1895</v>
      </c>
      <c r="F722" s="37">
        <v>40</v>
      </c>
      <c r="G722" s="37" t="s">
        <v>629</v>
      </c>
      <c r="H722" s="37" t="s">
        <v>1320</v>
      </c>
      <c r="I722" s="42">
        <f t="shared" si="33"/>
        <v>3830</v>
      </c>
      <c r="J722" s="38">
        <f t="shared" si="34"/>
        <v>6.7141705299094721</v>
      </c>
      <c r="K722" s="38">
        <f t="shared" si="35"/>
        <v>8.2506200821746916</v>
      </c>
      <c r="L722" s="40" t="b">
        <f>IF(B722=B721,C722&gt;C721,COUNTIF(B$1:B721,B722)=0)</f>
        <v>1</v>
      </c>
      <c r="M722" s="1"/>
    </row>
    <row r="723" spans="1:13" x14ac:dyDescent="0.25">
      <c r="A723" s="37" t="s">
        <v>2609</v>
      </c>
      <c r="B723" s="37" t="s">
        <v>624</v>
      </c>
      <c r="C723" s="37">
        <v>894</v>
      </c>
      <c r="D723" s="37">
        <v>3.65</v>
      </c>
      <c r="E723" s="37" t="s">
        <v>1895</v>
      </c>
      <c r="F723" s="37">
        <v>40</v>
      </c>
      <c r="G723" s="37" t="s">
        <v>629</v>
      </c>
      <c r="H723" s="37" t="s">
        <v>1320</v>
      </c>
      <c r="I723" s="42">
        <f t="shared" si="33"/>
        <v>3650</v>
      </c>
      <c r="J723" s="38">
        <f t="shared" si="34"/>
        <v>6.7957057751735137</v>
      </c>
      <c r="K723" s="38">
        <f t="shared" si="35"/>
        <v>8.2024824465765374</v>
      </c>
      <c r="L723" s="40" t="b">
        <f>IF(B723=B722,C723&gt;C722,COUNTIF(B$1:B722,B723)=0)</f>
        <v>1</v>
      </c>
      <c r="M723" s="1"/>
    </row>
    <row r="724" spans="1:13" x14ac:dyDescent="0.25">
      <c r="A724" s="37" t="s">
        <v>2610</v>
      </c>
      <c r="B724" s="37" t="s">
        <v>624</v>
      </c>
      <c r="C724" s="37">
        <v>960</v>
      </c>
      <c r="D724" s="37">
        <v>3.51</v>
      </c>
      <c r="E724" s="37" t="s">
        <v>1895</v>
      </c>
      <c r="F724" s="37">
        <v>40</v>
      </c>
      <c r="G724" s="37" t="s">
        <v>629</v>
      </c>
      <c r="H724" s="37" t="s">
        <v>1320</v>
      </c>
      <c r="I724" s="42">
        <f t="shared" si="33"/>
        <v>3510</v>
      </c>
      <c r="J724" s="38">
        <f t="shared" si="34"/>
        <v>6.866933284461882</v>
      </c>
      <c r="K724" s="38">
        <f t="shared" si="35"/>
        <v>8.1633713164599122</v>
      </c>
      <c r="L724" s="40" t="b">
        <f>IF(B724=B723,C724&gt;C723,COUNTIF(B$1:B723,B724)=0)</f>
        <v>1</v>
      </c>
      <c r="M724" s="1"/>
    </row>
    <row r="725" spans="1:13" x14ac:dyDescent="0.25">
      <c r="A725" s="37" t="s">
        <v>2611</v>
      </c>
      <c r="B725" s="37" t="s">
        <v>624</v>
      </c>
      <c r="C725" s="37">
        <v>1000</v>
      </c>
      <c r="D725" s="37">
        <v>3.43</v>
      </c>
      <c r="E725" s="37" t="s">
        <v>1895</v>
      </c>
      <c r="F725" s="37">
        <v>40</v>
      </c>
      <c r="G725" s="37" t="s">
        <v>629</v>
      </c>
      <c r="H725" s="37" t="s">
        <v>1320</v>
      </c>
      <c r="I725" s="42">
        <f t="shared" si="33"/>
        <v>3430</v>
      </c>
      <c r="J725" s="38">
        <f t="shared" si="34"/>
        <v>6.9077552789821368</v>
      </c>
      <c r="K725" s="38">
        <f t="shared" si="35"/>
        <v>8.1403155401599854</v>
      </c>
      <c r="L725" s="40" t="b">
        <f>IF(B725=B724,C725&gt;C724,COUNTIF(B$1:B724,B725)=0)</f>
        <v>1</v>
      </c>
      <c r="M725" s="1"/>
    </row>
    <row r="726" spans="1:13" x14ac:dyDescent="0.25">
      <c r="A726" s="37" t="s">
        <v>2612</v>
      </c>
      <c r="B726" s="37" t="s">
        <v>624</v>
      </c>
      <c r="C726" s="37">
        <v>1250</v>
      </c>
      <c r="D726" s="37">
        <v>3.01</v>
      </c>
      <c r="E726" s="37" t="s">
        <v>1895</v>
      </c>
      <c r="F726" s="37">
        <v>40</v>
      </c>
      <c r="G726" s="37" t="s">
        <v>629</v>
      </c>
      <c r="H726" s="37" t="s">
        <v>1320</v>
      </c>
      <c r="I726" s="42">
        <f t="shared" si="33"/>
        <v>3010</v>
      </c>
      <c r="J726" s="38">
        <f t="shared" si="34"/>
        <v>7.1308988302963465</v>
      </c>
      <c r="K726" s="38">
        <f t="shared" si="35"/>
        <v>8.0096953577429222</v>
      </c>
      <c r="L726" s="40" t="b">
        <f>IF(B726=B725,C726&gt;C725,COUNTIF(B$1:B725,B726)=0)</f>
        <v>1</v>
      </c>
      <c r="M726" s="1"/>
    </row>
    <row r="727" spans="1:13" x14ac:dyDescent="0.25">
      <c r="A727" s="37" t="s">
        <v>2613</v>
      </c>
      <c r="B727" s="37" t="s">
        <v>624</v>
      </c>
      <c r="C727" s="37">
        <v>1500</v>
      </c>
      <c r="D727" s="37">
        <v>2.7</v>
      </c>
      <c r="E727" s="37" t="s">
        <v>1895</v>
      </c>
      <c r="F727" s="37">
        <v>40</v>
      </c>
      <c r="G727" s="37" t="s">
        <v>629</v>
      </c>
      <c r="H727" s="37" t="s">
        <v>1320</v>
      </c>
      <c r="I727" s="42">
        <f t="shared" si="33"/>
        <v>2700</v>
      </c>
      <c r="J727" s="38">
        <f t="shared" si="34"/>
        <v>7.3132203870903014</v>
      </c>
      <c r="K727" s="38">
        <f t="shared" si="35"/>
        <v>7.90100705199242</v>
      </c>
      <c r="L727" s="40" t="b">
        <f>IF(B727=B726,C727&gt;C726,COUNTIF(B$1:B726,B727)=0)</f>
        <v>1</v>
      </c>
      <c r="M727" s="1"/>
    </row>
    <row r="728" spans="1:13" x14ac:dyDescent="0.25">
      <c r="A728" s="37" t="s">
        <v>2614</v>
      </c>
      <c r="B728" s="37" t="s">
        <v>624</v>
      </c>
      <c r="C728" s="37">
        <v>1700</v>
      </c>
      <c r="D728" s="37">
        <v>2.5099999999999998</v>
      </c>
      <c r="E728" s="37" t="s">
        <v>1895</v>
      </c>
      <c r="F728" s="37">
        <v>40</v>
      </c>
      <c r="G728" s="37" t="s">
        <v>629</v>
      </c>
      <c r="H728" s="37" t="s">
        <v>1320</v>
      </c>
      <c r="I728" s="42">
        <f t="shared" si="33"/>
        <v>2510</v>
      </c>
      <c r="J728" s="38">
        <f t="shared" si="34"/>
        <v>7.4383835300443071</v>
      </c>
      <c r="K728" s="38">
        <f t="shared" si="35"/>
        <v>7.8280380321258294</v>
      </c>
      <c r="L728" s="40" t="b">
        <f>IF(B728=B727,C728&gt;C727,COUNTIF(B$1:B727,B728)=0)</f>
        <v>1</v>
      </c>
      <c r="M728" s="1"/>
    </row>
    <row r="729" spans="1:13" x14ac:dyDescent="0.25">
      <c r="A729" s="37" t="s">
        <v>2615</v>
      </c>
      <c r="B729" s="37" t="s">
        <v>624</v>
      </c>
      <c r="C729" s="37">
        <v>2000</v>
      </c>
      <c r="D729" s="37">
        <v>2.2799999999999998</v>
      </c>
      <c r="E729" s="37" t="s">
        <v>1895</v>
      </c>
      <c r="F729" s="37">
        <v>40</v>
      </c>
      <c r="G729" s="37" t="s">
        <v>629</v>
      </c>
      <c r="H729" s="37" t="s">
        <v>1320</v>
      </c>
      <c r="I729" s="42">
        <f t="shared" si="33"/>
        <v>2280</v>
      </c>
      <c r="J729" s="38">
        <f t="shared" si="34"/>
        <v>7.6009024595420822</v>
      </c>
      <c r="K729" s="38">
        <f t="shared" si="35"/>
        <v>7.7319307219484861</v>
      </c>
      <c r="L729" s="40" t="b">
        <f>IF(B729=B728,C729&gt;C728,COUNTIF(B$1:B728,B729)=0)</f>
        <v>1</v>
      </c>
      <c r="M729" s="1"/>
    </row>
    <row r="730" spans="1:13" x14ac:dyDescent="0.25">
      <c r="A730" s="37" t="s">
        <v>2616</v>
      </c>
      <c r="B730" s="37" t="s">
        <v>624</v>
      </c>
      <c r="C730" s="37">
        <v>2300</v>
      </c>
      <c r="D730" s="37">
        <v>2.09</v>
      </c>
      <c r="E730" s="37" t="s">
        <v>1895</v>
      </c>
      <c r="F730" s="37">
        <v>40</v>
      </c>
      <c r="G730" s="37" t="s">
        <v>629</v>
      </c>
      <c r="H730" s="37" t="s">
        <v>1320</v>
      </c>
      <c r="I730" s="42">
        <f t="shared" si="33"/>
        <v>2090</v>
      </c>
      <c r="J730" s="38">
        <f t="shared" si="34"/>
        <v>7.7406644019172415</v>
      </c>
      <c r="K730" s="38">
        <f t="shared" si="35"/>
        <v>7.6449193449588568</v>
      </c>
      <c r="L730" s="40" t="b">
        <f>IF(B730=B729,C730&gt;C729,COUNTIF(B$1:B729,B730)=0)</f>
        <v>1</v>
      </c>
      <c r="M730" s="1"/>
    </row>
    <row r="731" spans="1:13" x14ac:dyDescent="0.25">
      <c r="A731" s="37" t="s">
        <v>2617</v>
      </c>
      <c r="B731" s="37" t="s">
        <v>624</v>
      </c>
      <c r="C731" s="37">
        <v>3000</v>
      </c>
      <c r="D731" s="37">
        <v>1.78</v>
      </c>
      <c r="E731" s="37" t="s">
        <v>1895</v>
      </c>
      <c r="F731" s="37">
        <v>40</v>
      </c>
      <c r="G731" s="37" t="s">
        <v>629</v>
      </c>
      <c r="H731" s="37" t="s">
        <v>1320</v>
      </c>
      <c r="I731" s="42">
        <f t="shared" si="33"/>
        <v>1780</v>
      </c>
      <c r="J731" s="38">
        <f t="shared" si="34"/>
        <v>8.0063675676502459</v>
      </c>
      <c r="K731" s="38">
        <f t="shared" si="35"/>
        <v>7.4843686432861309</v>
      </c>
      <c r="L731" s="40" t="b">
        <f>IF(B731=B730,C731&gt;C730,COUNTIF(B$1:B730,B731)=0)</f>
        <v>1</v>
      </c>
      <c r="M731" s="1"/>
    </row>
    <row r="732" spans="1:13" x14ac:dyDescent="0.25">
      <c r="A732" s="37" t="s">
        <v>2618</v>
      </c>
      <c r="B732" s="37" t="s">
        <v>624</v>
      </c>
      <c r="C732" s="37">
        <v>3300</v>
      </c>
      <c r="D732" s="37">
        <v>1.67</v>
      </c>
      <c r="E732" s="37" t="s">
        <v>1895</v>
      </c>
      <c r="F732" s="37">
        <v>40</v>
      </c>
      <c r="G732" s="37" t="s">
        <v>629</v>
      </c>
      <c r="H732" s="37" t="s">
        <v>1320</v>
      </c>
      <c r="I732" s="42">
        <f t="shared" si="33"/>
        <v>1670</v>
      </c>
      <c r="J732" s="38">
        <f t="shared" si="34"/>
        <v>8.1016777474545716</v>
      </c>
      <c r="K732" s="38">
        <f t="shared" si="35"/>
        <v>7.4205789054108005</v>
      </c>
      <c r="L732" s="40" t="b">
        <f>IF(B732=B731,C732&gt;C731,COUNTIF(B$1:B731,B732)=0)</f>
        <v>1</v>
      </c>
      <c r="M732" s="1"/>
    </row>
    <row r="733" spans="1:13" x14ac:dyDescent="0.25">
      <c r="A733" s="37" t="s">
        <v>2619</v>
      </c>
      <c r="B733" s="37" t="s">
        <v>631</v>
      </c>
      <c r="C733" s="37">
        <v>0.5</v>
      </c>
      <c r="D733" s="37">
        <v>247.32</v>
      </c>
      <c r="E733" s="37" t="s">
        <v>1895</v>
      </c>
      <c r="F733" s="37">
        <v>40</v>
      </c>
      <c r="G733" s="37" t="s">
        <v>637</v>
      </c>
      <c r="H733" s="37" t="s">
        <v>1320</v>
      </c>
      <c r="I733" s="42">
        <f t="shared" si="33"/>
        <v>247320</v>
      </c>
      <c r="J733" s="38">
        <f t="shared" si="34"/>
        <v>-0.69314718055994529</v>
      </c>
      <c r="K733" s="38">
        <f t="shared" si="35"/>
        <v>12.418438323672506</v>
      </c>
      <c r="L733" s="40" t="b">
        <f>IF(B733=B732,C733&gt;C732,COUNTIF(B$1:B732,B733)=0)</f>
        <v>1</v>
      </c>
      <c r="M733" s="1"/>
    </row>
    <row r="734" spans="1:13" x14ac:dyDescent="0.25">
      <c r="A734" s="37" t="s">
        <v>2620</v>
      </c>
      <c r="B734" s="37" t="s">
        <v>631</v>
      </c>
      <c r="C734" s="37">
        <v>1</v>
      </c>
      <c r="D734" s="37">
        <v>174.51</v>
      </c>
      <c r="E734" s="37" t="s">
        <v>1895</v>
      </c>
      <c r="F734" s="37">
        <v>40</v>
      </c>
      <c r="G734" s="37" t="s">
        <v>637</v>
      </c>
      <c r="H734" s="37" t="s">
        <v>1320</v>
      </c>
      <c r="I734" s="42">
        <f t="shared" si="33"/>
        <v>174510</v>
      </c>
      <c r="J734" s="38">
        <f t="shared" si="34"/>
        <v>0</v>
      </c>
      <c r="K734" s="38">
        <f t="shared" si="35"/>
        <v>12.069737325572916</v>
      </c>
      <c r="L734" s="40" t="b">
        <f>IF(B734=B733,C734&gt;C733,COUNTIF(B$1:B733,B734)=0)</f>
        <v>1</v>
      </c>
      <c r="M734" s="1"/>
    </row>
    <row r="735" spans="1:13" x14ac:dyDescent="0.25">
      <c r="A735" s="37" t="s">
        <v>2621</v>
      </c>
      <c r="B735" s="37" t="s">
        <v>631</v>
      </c>
      <c r="C735" s="37">
        <v>1.5</v>
      </c>
      <c r="D735" s="37">
        <v>142.26</v>
      </c>
      <c r="E735" s="37" t="s">
        <v>1895</v>
      </c>
      <c r="F735" s="37">
        <v>40</v>
      </c>
      <c r="G735" s="37" t="s">
        <v>637</v>
      </c>
      <c r="H735" s="37" t="s">
        <v>1320</v>
      </c>
      <c r="I735" s="42">
        <f t="shared" si="33"/>
        <v>142260</v>
      </c>
      <c r="J735" s="38">
        <f t="shared" si="34"/>
        <v>0.40546510810816438</v>
      </c>
      <c r="K735" s="38">
        <f t="shared" si="35"/>
        <v>11.865411648287505</v>
      </c>
      <c r="L735" s="40" t="b">
        <f>IF(B735=B734,C735&gt;C734,COUNTIF(B$1:B734,B735)=0)</f>
        <v>1</v>
      </c>
      <c r="M735" s="1"/>
    </row>
    <row r="736" spans="1:13" x14ac:dyDescent="0.25">
      <c r="A736" s="37" t="s">
        <v>2622</v>
      </c>
      <c r="B736" s="37" t="s">
        <v>631</v>
      </c>
      <c r="C736" s="37">
        <v>2</v>
      </c>
      <c r="D736" s="37">
        <v>123.03</v>
      </c>
      <c r="E736" s="37" t="s">
        <v>1895</v>
      </c>
      <c r="F736" s="37">
        <v>40</v>
      </c>
      <c r="G736" s="37" t="s">
        <v>637</v>
      </c>
      <c r="H736" s="37" t="s">
        <v>1320</v>
      </c>
      <c r="I736" s="42">
        <f t="shared" si="33"/>
        <v>123030</v>
      </c>
      <c r="J736" s="38">
        <f t="shared" si="34"/>
        <v>0.69314718055994529</v>
      </c>
      <c r="K736" s="38">
        <f t="shared" si="35"/>
        <v>11.720183507054214</v>
      </c>
      <c r="L736" s="40" t="b">
        <f>IF(B736=B735,C736&gt;C735,COUNTIF(B$1:B735,B736)=0)</f>
        <v>1</v>
      </c>
      <c r="M736" s="1"/>
    </row>
    <row r="737" spans="1:13" x14ac:dyDescent="0.25">
      <c r="A737" s="37" t="s">
        <v>2623</v>
      </c>
      <c r="B737" s="37" t="s">
        <v>631</v>
      </c>
      <c r="C737" s="37">
        <v>10</v>
      </c>
      <c r="D737" s="37">
        <v>54.34</v>
      </c>
      <c r="E737" s="37" t="s">
        <v>1895</v>
      </c>
      <c r="F737" s="37">
        <v>40</v>
      </c>
      <c r="G737" s="37" t="s">
        <v>637</v>
      </c>
      <c r="H737" s="37" t="s">
        <v>1320</v>
      </c>
      <c r="I737" s="42">
        <f t="shared" si="33"/>
        <v>54340</v>
      </c>
      <c r="J737" s="38">
        <f t="shared" si="34"/>
        <v>2.3025850929940459</v>
      </c>
      <c r="K737" s="38">
        <f t="shared" si="35"/>
        <v>10.903015882980339</v>
      </c>
      <c r="L737" s="40" t="b">
        <f>IF(B737=B736,C737&gt;C736,COUNTIF(B$1:B736,B737)=0)</f>
        <v>1</v>
      </c>
      <c r="M737" s="1"/>
    </row>
    <row r="738" spans="1:13" x14ac:dyDescent="0.25">
      <c r="A738" s="37" t="s">
        <v>2624</v>
      </c>
      <c r="B738" s="37" t="s">
        <v>631</v>
      </c>
      <c r="C738" s="37">
        <v>20</v>
      </c>
      <c r="D738" s="37">
        <v>38.07</v>
      </c>
      <c r="E738" s="37" t="s">
        <v>1895</v>
      </c>
      <c r="F738" s="37">
        <v>40</v>
      </c>
      <c r="G738" s="37" t="s">
        <v>637</v>
      </c>
      <c r="H738" s="37" t="s">
        <v>1320</v>
      </c>
      <c r="I738" s="42">
        <f t="shared" si="33"/>
        <v>38070</v>
      </c>
      <c r="J738" s="38">
        <f t="shared" si="34"/>
        <v>2.9957322735539909</v>
      </c>
      <c r="K738" s="38">
        <f t="shared" si="35"/>
        <v>10.547181849376543</v>
      </c>
      <c r="L738" s="40" t="b">
        <f>IF(B738=B737,C738&gt;C737,COUNTIF(B$1:B737,B738)=0)</f>
        <v>1</v>
      </c>
      <c r="M738" s="1"/>
    </row>
    <row r="739" spans="1:13" x14ac:dyDescent="0.25">
      <c r="A739" s="37" t="s">
        <v>2625</v>
      </c>
      <c r="B739" s="37" t="s">
        <v>631</v>
      </c>
      <c r="C739" s="37">
        <v>30</v>
      </c>
      <c r="D739" s="37">
        <v>30.86</v>
      </c>
      <c r="E739" s="37" t="s">
        <v>1895</v>
      </c>
      <c r="F739" s="37">
        <v>40</v>
      </c>
      <c r="G739" s="37" t="s">
        <v>637</v>
      </c>
      <c r="H739" s="37" t="s">
        <v>1320</v>
      </c>
      <c r="I739" s="42">
        <f t="shared" si="33"/>
        <v>30860</v>
      </c>
      <c r="J739" s="38">
        <f t="shared" si="34"/>
        <v>3.4011973816621555</v>
      </c>
      <c r="K739" s="38">
        <f t="shared" si="35"/>
        <v>10.337216125917152</v>
      </c>
      <c r="L739" s="40" t="b">
        <f>IF(B739=B738,C739&gt;C738,COUNTIF(B$1:B738,B739)=0)</f>
        <v>1</v>
      </c>
      <c r="M739" s="1"/>
    </row>
    <row r="740" spans="1:13" x14ac:dyDescent="0.25">
      <c r="A740" s="37" t="s">
        <v>2626</v>
      </c>
      <c r="B740" s="37" t="s">
        <v>631</v>
      </c>
      <c r="C740" s="37">
        <v>50</v>
      </c>
      <c r="D740" s="37">
        <v>23.64</v>
      </c>
      <c r="E740" s="37" t="s">
        <v>1895</v>
      </c>
      <c r="F740" s="37">
        <v>40</v>
      </c>
      <c r="G740" s="37" t="s">
        <v>637</v>
      </c>
      <c r="H740" s="37" t="s">
        <v>1320</v>
      </c>
      <c r="I740" s="42">
        <f t="shared" si="33"/>
        <v>23640</v>
      </c>
      <c r="J740" s="38">
        <f t="shared" si="34"/>
        <v>3.912023005428146</v>
      </c>
      <c r="K740" s="38">
        <f t="shared" si="35"/>
        <v>10.070695471520034</v>
      </c>
      <c r="L740" s="40" t="b">
        <f>IF(B740=B739,C740&gt;C739,COUNTIF(B$1:B739,B740)=0)</f>
        <v>1</v>
      </c>
      <c r="M740" s="1"/>
    </row>
    <row r="741" spans="1:13" x14ac:dyDescent="0.25">
      <c r="A741" s="37" t="s">
        <v>2627</v>
      </c>
      <c r="B741" s="37" t="s">
        <v>631</v>
      </c>
      <c r="C741" s="37">
        <v>88</v>
      </c>
      <c r="D741" s="37">
        <v>17.54</v>
      </c>
      <c r="E741" s="37" t="s">
        <v>1895</v>
      </c>
      <c r="F741" s="37">
        <v>40</v>
      </c>
      <c r="G741" s="37" t="s">
        <v>637</v>
      </c>
      <c r="H741" s="37" t="s">
        <v>1320</v>
      </c>
      <c r="I741" s="42">
        <f t="shared" si="33"/>
        <v>17540</v>
      </c>
      <c r="J741" s="38">
        <f t="shared" si="34"/>
        <v>4.4773368144782069</v>
      </c>
      <c r="K741" s="38">
        <f t="shared" si="35"/>
        <v>9.7722392659261743</v>
      </c>
      <c r="L741" s="40" t="b">
        <f>IF(B741=B740,C741&gt;C740,COUNTIF(B$1:B740,B741)=0)</f>
        <v>1</v>
      </c>
      <c r="M741" s="1"/>
    </row>
    <row r="742" spans="1:13" x14ac:dyDescent="0.25">
      <c r="A742" s="37" t="s">
        <v>2628</v>
      </c>
      <c r="B742" s="37" t="s">
        <v>631</v>
      </c>
      <c r="C742" s="37">
        <v>100</v>
      </c>
      <c r="D742" s="37">
        <v>16.38</v>
      </c>
      <c r="E742" s="37" t="s">
        <v>1895</v>
      </c>
      <c r="F742" s="37">
        <v>40</v>
      </c>
      <c r="G742" s="37" t="s">
        <v>637</v>
      </c>
      <c r="H742" s="37" t="s">
        <v>1320</v>
      </c>
      <c r="I742" s="42">
        <f t="shared" si="33"/>
        <v>16379.999999999998</v>
      </c>
      <c r="J742" s="38">
        <f t="shared" si="34"/>
        <v>4.6051701859880918</v>
      </c>
      <c r="K742" s="38">
        <f t="shared" si="35"/>
        <v>9.7038163574070602</v>
      </c>
      <c r="L742" s="40" t="b">
        <f>IF(B742=B741,C742&gt;C741,COUNTIF(B$1:B741,B742)=0)</f>
        <v>1</v>
      </c>
      <c r="M742" s="1"/>
    </row>
    <row r="743" spans="1:13" x14ac:dyDescent="0.25">
      <c r="A743" s="37" t="s">
        <v>2629</v>
      </c>
      <c r="B743" s="37" t="s">
        <v>631</v>
      </c>
      <c r="C743" s="37">
        <v>108</v>
      </c>
      <c r="D743" s="37">
        <v>15.72</v>
      </c>
      <c r="E743" s="37" t="s">
        <v>1895</v>
      </c>
      <c r="F743" s="37">
        <v>40</v>
      </c>
      <c r="G743" s="37" t="s">
        <v>637</v>
      </c>
      <c r="H743" s="37" t="s">
        <v>1320</v>
      </c>
      <c r="I743" s="42">
        <f t="shared" si="33"/>
        <v>15720</v>
      </c>
      <c r="J743" s="38">
        <f t="shared" si="34"/>
        <v>4.6821312271242199</v>
      </c>
      <c r="K743" s="38">
        <f t="shared" si="35"/>
        <v>9.6626890659831979</v>
      </c>
      <c r="L743" s="40" t="b">
        <f>IF(B743=B742,C743&gt;C742,COUNTIF(B$1:B742,B743)=0)</f>
        <v>1</v>
      </c>
      <c r="M743" s="1"/>
    </row>
    <row r="744" spans="1:13" x14ac:dyDescent="0.25">
      <c r="A744" s="37" t="s">
        <v>2630</v>
      </c>
      <c r="B744" s="37" t="s">
        <v>631</v>
      </c>
      <c r="C744" s="37">
        <v>150</v>
      </c>
      <c r="D744" s="37">
        <v>13.18</v>
      </c>
      <c r="E744" s="37" t="s">
        <v>1895</v>
      </c>
      <c r="F744" s="37">
        <v>40</v>
      </c>
      <c r="G744" s="37" t="s">
        <v>637</v>
      </c>
      <c r="H744" s="37" t="s">
        <v>1320</v>
      </c>
      <c r="I744" s="42">
        <f t="shared" si="33"/>
        <v>13180</v>
      </c>
      <c r="J744" s="38">
        <f t="shared" si="34"/>
        <v>5.0106352940962555</v>
      </c>
      <c r="K744" s="38">
        <f t="shared" si="35"/>
        <v>9.4864558080564976</v>
      </c>
      <c r="L744" s="40" t="b">
        <f>IF(B744=B743,C744&gt;C743,COUNTIF(B$1:B743,B744)=0)</f>
        <v>1</v>
      </c>
      <c r="M744" s="1"/>
    </row>
    <row r="745" spans="1:13" x14ac:dyDescent="0.25">
      <c r="A745" s="37" t="s">
        <v>2631</v>
      </c>
      <c r="B745" s="37" t="s">
        <v>631</v>
      </c>
      <c r="C745" s="37">
        <v>174</v>
      </c>
      <c r="D745" s="37">
        <v>12.16</v>
      </c>
      <c r="E745" s="37" t="s">
        <v>1895</v>
      </c>
      <c r="F745" s="37">
        <v>40</v>
      </c>
      <c r="G745" s="37" t="s">
        <v>637</v>
      </c>
      <c r="H745" s="37" t="s">
        <v>1320</v>
      </c>
      <c r="I745" s="42">
        <f t="shared" si="33"/>
        <v>12160</v>
      </c>
      <c r="J745" s="38">
        <f t="shared" si="34"/>
        <v>5.1590552992145291</v>
      </c>
      <c r="K745" s="38">
        <f t="shared" si="35"/>
        <v>9.4059071555201577</v>
      </c>
      <c r="L745" s="40" t="b">
        <f>IF(B745=B744,C745&gt;C744,COUNTIF(B$1:B744,B745)=0)</f>
        <v>1</v>
      </c>
      <c r="M745" s="1"/>
    </row>
    <row r="746" spans="1:13" x14ac:dyDescent="0.25">
      <c r="A746" s="37" t="s">
        <v>2632</v>
      </c>
      <c r="B746" s="37" t="s">
        <v>631</v>
      </c>
      <c r="C746" s="37">
        <v>200</v>
      </c>
      <c r="D746" s="37">
        <v>11.27</v>
      </c>
      <c r="E746" s="37" t="s">
        <v>1895</v>
      </c>
      <c r="F746" s="37">
        <v>40</v>
      </c>
      <c r="G746" s="37" t="s">
        <v>637</v>
      </c>
      <c r="H746" s="37" t="s">
        <v>1320</v>
      </c>
      <c r="I746" s="42">
        <f t="shared" si="33"/>
        <v>11270</v>
      </c>
      <c r="J746" s="38">
        <f t="shared" si="34"/>
        <v>5.2983173665480363</v>
      </c>
      <c r="K746" s="38">
        <f t="shared" si="35"/>
        <v>9.3298996070338216</v>
      </c>
      <c r="L746" s="40" t="b">
        <f>IF(B746=B745,C746&gt;C745,COUNTIF(B$1:B745,B746)=0)</f>
        <v>1</v>
      </c>
      <c r="M746" s="1"/>
    </row>
    <row r="747" spans="1:13" x14ac:dyDescent="0.25">
      <c r="A747" s="37" t="s">
        <v>2633</v>
      </c>
      <c r="B747" s="37" t="s">
        <v>631</v>
      </c>
      <c r="C747" s="37">
        <v>300</v>
      </c>
      <c r="D747" s="37">
        <v>9.01</v>
      </c>
      <c r="E747" s="37" t="s">
        <v>1895</v>
      </c>
      <c r="F747" s="37">
        <v>40</v>
      </c>
      <c r="G747" s="37" t="s">
        <v>637</v>
      </c>
      <c r="H747" s="37" t="s">
        <v>1320</v>
      </c>
      <c r="I747" s="42">
        <f t="shared" si="33"/>
        <v>9010</v>
      </c>
      <c r="J747" s="38">
        <f t="shared" si="34"/>
        <v>5.7037824746562009</v>
      </c>
      <c r="K747" s="38">
        <f t="shared" si="35"/>
        <v>9.1060903506023845</v>
      </c>
      <c r="L747" s="40" t="b">
        <f>IF(B747=B746,C747&gt;C746,COUNTIF(B$1:B746,B747)=0)</f>
        <v>1</v>
      </c>
      <c r="M747" s="1"/>
    </row>
    <row r="748" spans="1:13" x14ac:dyDescent="0.25">
      <c r="A748" s="37" t="s">
        <v>2634</v>
      </c>
      <c r="B748" s="37" t="s">
        <v>631</v>
      </c>
      <c r="C748" s="37">
        <v>400</v>
      </c>
      <c r="D748" s="37">
        <v>7.67</v>
      </c>
      <c r="E748" s="37" t="s">
        <v>1895</v>
      </c>
      <c r="F748" s="37">
        <v>40</v>
      </c>
      <c r="G748" s="37" t="s">
        <v>637</v>
      </c>
      <c r="H748" s="37" t="s">
        <v>1320</v>
      </c>
      <c r="I748" s="42">
        <f t="shared" si="33"/>
        <v>7670</v>
      </c>
      <c r="J748" s="38">
        <f t="shared" si="34"/>
        <v>5.9914645471079817</v>
      </c>
      <c r="K748" s="38">
        <f t="shared" si="35"/>
        <v>8.9450718943613019</v>
      </c>
      <c r="L748" s="40" t="b">
        <f>IF(B748=B747,C748&gt;C747,COUNTIF(B$1:B747,B748)=0)</f>
        <v>1</v>
      </c>
      <c r="M748" s="1"/>
    </row>
    <row r="749" spans="1:13" x14ac:dyDescent="0.25">
      <c r="A749" s="37" t="s">
        <v>2635</v>
      </c>
      <c r="B749" s="37" t="s">
        <v>631</v>
      </c>
      <c r="C749" s="37">
        <v>450</v>
      </c>
      <c r="D749" s="37">
        <v>7.18</v>
      </c>
      <c r="E749" s="37" t="s">
        <v>1895</v>
      </c>
      <c r="F749" s="37">
        <v>40</v>
      </c>
      <c r="G749" s="37" t="s">
        <v>637</v>
      </c>
      <c r="H749" s="37" t="s">
        <v>1320</v>
      </c>
      <c r="I749" s="42">
        <f t="shared" si="33"/>
        <v>7180</v>
      </c>
      <c r="J749" s="38">
        <f t="shared" si="34"/>
        <v>6.1092475827643655</v>
      </c>
      <c r="K749" s="38">
        <f t="shared" si="35"/>
        <v>8.8790546620422699</v>
      </c>
      <c r="L749" s="40" t="b">
        <f>IF(B749=B748,C749&gt;C748,COUNTIF(B$1:B748,B749)=0)</f>
        <v>1</v>
      </c>
      <c r="M749" s="1"/>
    </row>
    <row r="750" spans="1:13" x14ac:dyDescent="0.25">
      <c r="A750" s="37" t="s">
        <v>2636</v>
      </c>
      <c r="B750" s="37" t="s">
        <v>631</v>
      </c>
      <c r="C750" s="37">
        <v>500</v>
      </c>
      <c r="D750" s="37">
        <v>6.76</v>
      </c>
      <c r="E750" s="37" t="s">
        <v>1895</v>
      </c>
      <c r="F750" s="37">
        <v>40</v>
      </c>
      <c r="G750" s="37" t="s">
        <v>637</v>
      </c>
      <c r="H750" s="37" t="s">
        <v>1320</v>
      </c>
      <c r="I750" s="42">
        <f t="shared" si="33"/>
        <v>6760</v>
      </c>
      <c r="J750" s="38">
        <f t="shared" si="34"/>
        <v>6.2146080984221914</v>
      </c>
      <c r="K750" s="38">
        <f t="shared" si="35"/>
        <v>8.8187781690370102</v>
      </c>
      <c r="L750" s="40" t="b">
        <f>IF(B750=B749,C750&gt;C749,COUNTIF(B$1:B749,B750)=0)</f>
        <v>1</v>
      </c>
      <c r="M750" s="1"/>
    </row>
    <row r="751" spans="1:13" x14ac:dyDescent="0.25">
      <c r="A751" s="37" t="s">
        <v>2637</v>
      </c>
      <c r="B751" s="37" t="s">
        <v>631</v>
      </c>
      <c r="C751" s="37">
        <v>512</v>
      </c>
      <c r="D751" s="37">
        <v>6.67</v>
      </c>
      <c r="E751" s="37" t="s">
        <v>1895</v>
      </c>
      <c r="F751" s="37">
        <v>40</v>
      </c>
      <c r="G751" s="37" t="s">
        <v>637</v>
      </c>
      <c r="H751" s="37" t="s">
        <v>1320</v>
      </c>
      <c r="I751" s="42">
        <f t="shared" si="33"/>
        <v>6670</v>
      </c>
      <c r="J751" s="38">
        <f t="shared" si="34"/>
        <v>6.2383246250395077</v>
      </c>
      <c r="K751" s="38">
        <f t="shared" si="35"/>
        <v>8.8053751389096693</v>
      </c>
      <c r="L751" s="40" t="b">
        <f>IF(B751=B750,C751&gt;C750,COUNTIF(B$1:B750,B751)=0)</f>
        <v>1</v>
      </c>
      <c r="M751" s="1"/>
    </row>
    <row r="752" spans="1:13" x14ac:dyDescent="0.25">
      <c r="A752" s="37" t="s">
        <v>2638</v>
      </c>
      <c r="B752" s="37" t="s">
        <v>631</v>
      </c>
      <c r="C752" s="37">
        <v>600</v>
      </c>
      <c r="D752" s="37">
        <v>6.09</v>
      </c>
      <c r="E752" s="37" t="s">
        <v>1895</v>
      </c>
      <c r="F752" s="37">
        <v>40</v>
      </c>
      <c r="G752" s="37" t="s">
        <v>637</v>
      </c>
      <c r="H752" s="37" t="s">
        <v>1320</v>
      </c>
      <c r="I752" s="42">
        <f t="shared" si="33"/>
        <v>6090</v>
      </c>
      <c r="J752" s="38">
        <f t="shared" si="34"/>
        <v>6.3969296552161463</v>
      </c>
      <c r="K752" s="38">
        <f t="shared" si="35"/>
        <v>8.7144033607039422</v>
      </c>
      <c r="L752" s="40" t="b">
        <f>IF(B752=B751,C752&gt;C751,COUNTIF(B$1:B751,B752)=0)</f>
        <v>1</v>
      </c>
      <c r="M752" s="1"/>
    </row>
    <row r="753" spans="1:13" x14ac:dyDescent="0.25">
      <c r="A753" s="37" t="s">
        <v>2639</v>
      </c>
      <c r="B753" s="37" t="s">
        <v>631</v>
      </c>
      <c r="C753" s="37">
        <v>700</v>
      </c>
      <c r="D753" s="37">
        <v>5.57</v>
      </c>
      <c r="E753" s="37" t="s">
        <v>1895</v>
      </c>
      <c r="F753" s="37">
        <v>40</v>
      </c>
      <c r="G753" s="37" t="s">
        <v>637</v>
      </c>
      <c r="H753" s="37" t="s">
        <v>1320</v>
      </c>
      <c r="I753" s="42">
        <f t="shared" si="33"/>
        <v>5570</v>
      </c>
      <c r="J753" s="38">
        <f t="shared" si="34"/>
        <v>6.5510803350434044</v>
      </c>
      <c r="K753" s="38">
        <f t="shared" si="35"/>
        <v>8.6251503329213293</v>
      </c>
      <c r="L753" s="40" t="b">
        <f>IF(B753=B752,C753&gt;C752,COUNTIF(B$1:B752,B753)=0)</f>
        <v>1</v>
      </c>
      <c r="M753" s="1"/>
    </row>
    <row r="754" spans="1:13" x14ac:dyDescent="0.25">
      <c r="A754" s="37" t="s">
        <v>2640</v>
      </c>
      <c r="B754" s="37" t="s">
        <v>631</v>
      </c>
      <c r="C754" s="37">
        <v>800</v>
      </c>
      <c r="D754" s="37">
        <v>5.15</v>
      </c>
      <c r="E754" s="37" t="s">
        <v>1895</v>
      </c>
      <c r="F754" s="37">
        <v>40</v>
      </c>
      <c r="G754" s="37" t="s">
        <v>637</v>
      </c>
      <c r="H754" s="37" t="s">
        <v>1320</v>
      </c>
      <c r="I754" s="42">
        <f t="shared" si="33"/>
        <v>5150</v>
      </c>
      <c r="J754" s="38">
        <f t="shared" si="34"/>
        <v>6.6846117276679271</v>
      </c>
      <c r="K754" s="38">
        <f t="shared" si="35"/>
        <v>8.5467519936577823</v>
      </c>
      <c r="L754" s="40" t="b">
        <f>IF(B754=B753,C754&gt;C753,COUNTIF(B$1:B753,B754)=0)</f>
        <v>1</v>
      </c>
      <c r="M754" s="1"/>
    </row>
    <row r="755" spans="1:13" x14ac:dyDescent="0.25">
      <c r="A755" s="37" t="s">
        <v>2641</v>
      </c>
      <c r="B755" s="37" t="s">
        <v>631</v>
      </c>
      <c r="C755" s="37">
        <v>824</v>
      </c>
      <c r="D755" s="37">
        <v>5.0599999999999996</v>
      </c>
      <c r="E755" s="37" t="s">
        <v>1895</v>
      </c>
      <c r="F755" s="37">
        <v>40</v>
      </c>
      <c r="G755" s="37" t="s">
        <v>637</v>
      </c>
      <c r="H755" s="37" t="s">
        <v>1320</v>
      </c>
      <c r="I755" s="42">
        <f t="shared" si="33"/>
        <v>5060</v>
      </c>
      <c r="J755" s="38">
        <f t="shared" si="34"/>
        <v>6.7141705299094721</v>
      </c>
      <c r="K755" s="38">
        <f t="shared" si="35"/>
        <v>8.5291217622815108</v>
      </c>
      <c r="L755" s="40" t="b">
        <f>IF(B755=B754,C755&gt;C754,COUNTIF(B$1:B754,B755)=0)</f>
        <v>1</v>
      </c>
      <c r="M755" s="1"/>
    </row>
    <row r="756" spans="1:13" x14ac:dyDescent="0.25">
      <c r="A756" s="37" t="s">
        <v>2642</v>
      </c>
      <c r="B756" s="37" t="s">
        <v>631</v>
      </c>
      <c r="C756" s="37">
        <v>860</v>
      </c>
      <c r="D756" s="37">
        <v>4.9400000000000004</v>
      </c>
      <c r="E756" s="37" t="s">
        <v>1895</v>
      </c>
      <c r="F756" s="37">
        <v>40</v>
      </c>
      <c r="G756" s="37" t="s">
        <v>637</v>
      </c>
      <c r="H756" s="37" t="s">
        <v>1320</v>
      </c>
      <c r="I756" s="42">
        <f t="shared" si="33"/>
        <v>4940</v>
      </c>
      <c r="J756" s="38">
        <f t="shared" si="34"/>
        <v>6.7569323892475532</v>
      </c>
      <c r="K756" s="38">
        <f t="shared" si="35"/>
        <v>8.5051206101819687</v>
      </c>
      <c r="L756" s="40" t="b">
        <f>IF(B756=B755,C756&gt;C755,COUNTIF(B$1:B755,B756)=0)</f>
        <v>1</v>
      </c>
      <c r="M756" s="1"/>
    </row>
    <row r="757" spans="1:13" x14ac:dyDescent="0.25">
      <c r="A757" s="37" t="s">
        <v>2643</v>
      </c>
      <c r="B757" s="37" t="s">
        <v>631</v>
      </c>
      <c r="C757" s="37">
        <v>894</v>
      </c>
      <c r="D757" s="37">
        <v>4.83</v>
      </c>
      <c r="E757" s="37" t="s">
        <v>1895</v>
      </c>
      <c r="F757" s="37">
        <v>40</v>
      </c>
      <c r="G757" s="37" t="s">
        <v>637</v>
      </c>
      <c r="H757" s="37" t="s">
        <v>1320</v>
      </c>
      <c r="I757" s="42">
        <f t="shared" si="33"/>
        <v>4830</v>
      </c>
      <c r="J757" s="38">
        <f t="shared" si="34"/>
        <v>6.7957057751735137</v>
      </c>
      <c r="K757" s="38">
        <f t="shared" si="35"/>
        <v>8.482601746646619</v>
      </c>
      <c r="L757" s="40" t="b">
        <f>IF(B757=B756,C757&gt;C756,COUNTIF(B$1:B756,B757)=0)</f>
        <v>1</v>
      </c>
      <c r="M757" s="1"/>
    </row>
    <row r="758" spans="1:13" x14ac:dyDescent="0.25">
      <c r="A758" s="37" t="s">
        <v>2644</v>
      </c>
      <c r="B758" s="37" t="s">
        <v>631</v>
      </c>
      <c r="C758" s="37">
        <v>960</v>
      </c>
      <c r="D758" s="37">
        <v>4.63</v>
      </c>
      <c r="E758" s="37" t="s">
        <v>1895</v>
      </c>
      <c r="F758" s="37">
        <v>40</v>
      </c>
      <c r="G758" s="37" t="s">
        <v>637</v>
      </c>
      <c r="H758" s="37" t="s">
        <v>1320</v>
      </c>
      <c r="I758" s="42">
        <f t="shared" si="33"/>
        <v>4630</v>
      </c>
      <c r="J758" s="38">
        <f t="shared" si="34"/>
        <v>6.866933284461882</v>
      </c>
      <c r="K758" s="38">
        <f t="shared" si="35"/>
        <v>8.4403121470802791</v>
      </c>
      <c r="L758" s="40" t="b">
        <f>IF(B758=B757,C758&gt;C757,COUNTIF(B$1:B757,B758)=0)</f>
        <v>1</v>
      </c>
      <c r="M758" s="1"/>
    </row>
    <row r="759" spans="1:13" x14ac:dyDescent="0.25">
      <c r="A759" s="37" t="s">
        <v>2645</v>
      </c>
      <c r="B759" s="37" t="s">
        <v>631</v>
      </c>
      <c r="C759" s="37">
        <v>1000</v>
      </c>
      <c r="D759" s="37">
        <v>4.5199999999999996</v>
      </c>
      <c r="E759" s="37" t="s">
        <v>1895</v>
      </c>
      <c r="F759" s="37">
        <v>40</v>
      </c>
      <c r="G759" s="37" t="s">
        <v>637</v>
      </c>
      <c r="H759" s="37" t="s">
        <v>1320</v>
      </c>
      <c r="I759" s="42">
        <f t="shared" si="33"/>
        <v>4520</v>
      </c>
      <c r="J759" s="38">
        <f t="shared" si="34"/>
        <v>6.9077552789821368</v>
      </c>
      <c r="K759" s="38">
        <f t="shared" si="35"/>
        <v>8.4162672728262766</v>
      </c>
      <c r="L759" s="40" t="b">
        <f>IF(B759=B758,C759&gt;C758,COUNTIF(B$1:B758,B759)=0)</f>
        <v>1</v>
      </c>
      <c r="M759" s="1"/>
    </row>
    <row r="760" spans="1:13" x14ac:dyDescent="0.25">
      <c r="A760" s="37" t="s">
        <v>2646</v>
      </c>
      <c r="B760" s="37" t="s">
        <v>631</v>
      </c>
      <c r="C760" s="37">
        <v>1250</v>
      </c>
      <c r="D760" s="37">
        <v>3.95</v>
      </c>
      <c r="E760" s="37" t="s">
        <v>1895</v>
      </c>
      <c r="F760" s="37">
        <v>40</v>
      </c>
      <c r="G760" s="37" t="s">
        <v>637</v>
      </c>
      <c r="H760" s="37" t="s">
        <v>1320</v>
      </c>
      <c r="I760" s="42">
        <f t="shared" si="33"/>
        <v>3950</v>
      </c>
      <c r="J760" s="38">
        <f t="shared" si="34"/>
        <v>7.1308988302963465</v>
      </c>
      <c r="K760" s="38">
        <f t="shared" si="35"/>
        <v>8.281470857895167</v>
      </c>
      <c r="L760" s="40" t="b">
        <f>IF(B760=B759,C760&gt;C759,COUNTIF(B$1:B759,B760)=0)</f>
        <v>1</v>
      </c>
      <c r="M760" s="1"/>
    </row>
    <row r="761" spans="1:13" x14ac:dyDescent="0.25">
      <c r="A761" s="37" t="s">
        <v>2647</v>
      </c>
      <c r="B761" s="37" t="s">
        <v>631</v>
      </c>
      <c r="C761" s="37">
        <v>1500</v>
      </c>
      <c r="D761" s="37">
        <v>3.54</v>
      </c>
      <c r="E761" s="37" t="s">
        <v>1895</v>
      </c>
      <c r="F761" s="37">
        <v>40</v>
      </c>
      <c r="G761" s="37" t="s">
        <v>637</v>
      </c>
      <c r="H761" s="37" t="s">
        <v>1320</v>
      </c>
      <c r="I761" s="42">
        <f t="shared" si="33"/>
        <v>3540</v>
      </c>
      <c r="J761" s="38">
        <f t="shared" si="34"/>
        <v>7.3132203870903014</v>
      </c>
      <c r="K761" s="38">
        <f t="shared" si="35"/>
        <v>8.1718820061278201</v>
      </c>
      <c r="L761" s="40" t="b">
        <f>IF(B761=B760,C761&gt;C760,COUNTIF(B$1:B760,B761)=0)</f>
        <v>1</v>
      </c>
      <c r="M761" s="1"/>
    </row>
    <row r="762" spans="1:13" x14ac:dyDescent="0.25">
      <c r="A762" s="37" t="s">
        <v>2648</v>
      </c>
      <c r="B762" s="37" t="s">
        <v>631</v>
      </c>
      <c r="C762" s="37">
        <v>1640</v>
      </c>
      <c r="D762" s="37">
        <v>3.35</v>
      </c>
      <c r="E762" s="37" t="s">
        <v>1895</v>
      </c>
      <c r="F762" s="37">
        <v>40</v>
      </c>
      <c r="G762" s="37" t="s">
        <v>637</v>
      </c>
      <c r="H762" s="37" t="s">
        <v>1320</v>
      </c>
      <c r="I762" s="42">
        <f t="shared" si="33"/>
        <v>3350</v>
      </c>
      <c r="J762" s="38">
        <f t="shared" si="34"/>
        <v>7.4024515208182438</v>
      </c>
      <c r="K762" s="38">
        <f t="shared" si="35"/>
        <v>8.1167156248191112</v>
      </c>
      <c r="L762" s="40" t="b">
        <f>IF(B762=B761,C762&gt;C761,COUNTIF(B$1:B761,B762)=0)</f>
        <v>1</v>
      </c>
      <c r="M762" s="1"/>
    </row>
    <row r="763" spans="1:13" x14ac:dyDescent="0.25">
      <c r="A763" s="37" t="s">
        <v>2649</v>
      </c>
      <c r="B763" s="37" t="s">
        <v>631</v>
      </c>
      <c r="C763" s="37">
        <v>1700</v>
      </c>
      <c r="D763" s="37">
        <v>3.28</v>
      </c>
      <c r="E763" s="37" t="s">
        <v>1895</v>
      </c>
      <c r="F763" s="37">
        <v>40</v>
      </c>
      <c r="G763" s="37" t="s">
        <v>637</v>
      </c>
      <c r="H763" s="37" t="s">
        <v>1320</v>
      </c>
      <c r="I763" s="42">
        <f t="shared" si="33"/>
        <v>3280</v>
      </c>
      <c r="J763" s="38">
        <f t="shared" si="34"/>
        <v>7.4383835300443071</v>
      </c>
      <c r="K763" s="38">
        <f t="shared" si="35"/>
        <v>8.09559870137819</v>
      </c>
      <c r="L763" s="40" t="b">
        <f>IF(B763=B762,C763&gt;C762,COUNTIF(B$1:B762,B763)=0)</f>
        <v>1</v>
      </c>
      <c r="M763" s="1"/>
    </row>
    <row r="764" spans="1:13" x14ac:dyDescent="0.25">
      <c r="A764" s="37" t="s">
        <v>2650</v>
      </c>
      <c r="B764" s="37" t="s">
        <v>631</v>
      </c>
      <c r="C764" s="37">
        <v>1800</v>
      </c>
      <c r="D764" s="37">
        <v>3.16</v>
      </c>
      <c r="E764" s="37" t="s">
        <v>1895</v>
      </c>
      <c r="F764" s="37">
        <v>40</v>
      </c>
      <c r="G764" s="37" t="s">
        <v>637</v>
      </c>
      <c r="H764" s="37" t="s">
        <v>1320</v>
      </c>
      <c r="I764" s="42">
        <f t="shared" si="33"/>
        <v>3160</v>
      </c>
      <c r="J764" s="38">
        <f t="shared" si="34"/>
        <v>7.4955419438842563</v>
      </c>
      <c r="K764" s="38">
        <f t="shared" si="35"/>
        <v>8.0583273065809582</v>
      </c>
      <c r="L764" s="40" t="b">
        <f>IF(B764=B763,C764&gt;C763,COUNTIF(B$1:B763,B764)=0)</f>
        <v>1</v>
      </c>
      <c r="M764" s="1"/>
    </row>
    <row r="765" spans="1:13" x14ac:dyDescent="0.25">
      <c r="A765" s="37" t="s">
        <v>2651</v>
      </c>
      <c r="B765" s="37" t="s">
        <v>631</v>
      </c>
      <c r="C765" s="37">
        <v>2000</v>
      </c>
      <c r="D765" s="37">
        <v>2.96</v>
      </c>
      <c r="E765" s="37" t="s">
        <v>1895</v>
      </c>
      <c r="F765" s="37">
        <v>40</v>
      </c>
      <c r="G765" s="37" t="s">
        <v>637</v>
      </c>
      <c r="H765" s="37" t="s">
        <v>1320</v>
      </c>
      <c r="I765" s="42">
        <f t="shared" si="33"/>
        <v>2960</v>
      </c>
      <c r="J765" s="38">
        <f t="shared" si="34"/>
        <v>7.6009024595420822</v>
      </c>
      <c r="K765" s="38">
        <f t="shared" si="35"/>
        <v>7.992944547318106</v>
      </c>
      <c r="L765" s="40" t="b">
        <f>IF(B765=B764,C765&gt;C764,COUNTIF(B$1:B764,B765)=0)</f>
        <v>1</v>
      </c>
      <c r="M765" s="1"/>
    </row>
    <row r="766" spans="1:13" x14ac:dyDescent="0.25">
      <c r="A766" s="37" t="s">
        <v>2652</v>
      </c>
      <c r="B766" s="37" t="s">
        <v>631</v>
      </c>
      <c r="C766" s="37">
        <v>2100</v>
      </c>
      <c r="D766" s="37">
        <v>2.88</v>
      </c>
      <c r="E766" s="37" t="s">
        <v>1895</v>
      </c>
      <c r="F766" s="37">
        <v>40</v>
      </c>
      <c r="G766" s="37" t="s">
        <v>637</v>
      </c>
      <c r="H766" s="37" t="s">
        <v>1320</v>
      </c>
      <c r="I766" s="42">
        <f t="shared" si="33"/>
        <v>2880</v>
      </c>
      <c r="J766" s="38">
        <f t="shared" si="34"/>
        <v>7.6496926237115144</v>
      </c>
      <c r="K766" s="38">
        <f t="shared" si="35"/>
        <v>7.965545573129992</v>
      </c>
      <c r="L766" s="40" t="b">
        <f>IF(B766=B765,C766&gt;C765,COUNTIF(B$1:B765,B766)=0)</f>
        <v>1</v>
      </c>
      <c r="M766" s="1"/>
    </row>
    <row r="767" spans="1:13" x14ac:dyDescent="0.25">
      <c r="A767" s="37" t="s">
        <v>2653</v>
      </c>
      <c r="B767" s="37" t="s">
        <v>631</v>
      </c>
      <c r="C767" s="37">
        <v>2200</v>
      </c>
      <c r="D767" s="37">
        <v>2.79</v>
      </c>
      <c r="E767" s="37" t="s">
        <v>1895</v>
      </c>
      <c r="F767" s="37">
        <v>40</v>
      </c>
      <c r="G767" s="37" t="s">
        <v>637</v>
      </c>
      <c r="H767" s="37" t="s">
        <v>1320</v>
      </c>
      <c r="I767" s="42">
        <f t="shared" si="33"/>
        <v>2790</v>
      </c>
      <c r="J767" s="38">
        <f t="shared" si="34"/>
        <v>7.696212639346407</v>
      </c>
      <c r="K767" s="38">
        <f t="shared" si="35"/>
        <v>7.9337968748154113</v>
      </c>
      <c r="L767" s="40" t="b">
        <f>IF(B767=B766,C767&gt;C766,COUNTIF(B$1:B766,B767)=0)</f>
        <v>1</v>
      </c>
      <c r="M767" s="1"/>
    </row>
    <row r="768" spans="1:13" x14ac:dyDescent="0.25">
      <c r="A768" s="37" t="s">
        <v>2654</v>
      </c>
      <c r="B768" s="37" t="s">
        <v>631</v>
      </c>
      <c r="C768" s="37">
        <v>2300</v>
      </c>
      <c r="D768" s="37">
        <v>2.72</v>
      </c>
      <c r="E768" s="37" t="s">
        <v>1895</v>
      </c>
      <c r="F768" s="37">
        <v>40</v>
      </c>
      <c r="G768" s="37" t="s">
        <v>637</v>
      </c>
      <c r="H768" s="37" t="s">
        <v>1320</v>
      </c>
      <c r="I768" s="42">
        <f t="shared" si="33"/>
        <v>2720</v>
      </c>
      <c r="J768" s="38">
        <f t="shared" si="34"/>
        <v>7.7406644019172415</v>
      </c>
      <c r="K768" s="38">
        <f t="shared" si="35"/>
        <v>7.9083871592900428</v>
      </c>
      <c r="L768" s="40" t="b">
        <f>IF(B768=B767,C768&gt;C767,COUNTIF(B$1:B767,B768)=0)</f>
        <v>1</v>
      </c>
      <c r="M768" s="1"/>
    </row>
    <row r="769" spans="1:13" x14ac:dyDescent="0.25">
      <c r="A769" s="37" t="s">
        <v>2655</v>
      </c>
      <c r="B769" s="37" t="s">
        <v>631</v>
      </c>
      <c r="C769" s="37">
        <v>2500</v>
      </c>
      <c r="D769" s="37">
        <v>2.58</v>
      </c>
      <c r="E769" s="37" t="s">
        <v>1895</v>
      </c>
      <c r="F769" s="37">
        <v>40</v>
      </c>
      <c r="G769" s="37" t="s">
        <v>637</v>
      </c>
      <c r="H769" s="37" t="s">
        <v>1320</v>
      </c>
      <c r="I769" s="42">
        <f t="shared" si="33"/>
        <v>2580</v>
      </c>
      <c r="J769" s="38">
        <f t="shared" si="34"/>
        <v>7.8240460108562919</v>
      </c>
      <c r="K769" s="38">
        <f t="shared" si="35"/>
        <v>7.8555446779156632</v>
      </c>
      <c r="L769" s="40" t="b">
        <f>IF(B769=B768,C769&gt;C768,COUNTIF(B$1:B768,B769)=0)</f>
        <v>1</v>
      </c>
      <c r="M769" s="1"/>
    </row>
    <row r="770" spans="1:13" x14ac:dyDescent="0.25">
      <c r="A770" s="37" t="s">
        <v>2656</v>
      </c>
      <c r="B770" s="37" t="s">
        <v>639</v>
      </c>
      <c r="C770" s="37">
        <v>50</v>
      </c>
      <c r="D770" s="37">
        <v>1250</v>
      </c>
      <c r="E770" s="37" t="s">
        <v>1877</v>
      </c>
      <c r="F770" s="37"/>
      <c r="G770" s="37" t="s">
        <v>643</v>
      </c>
      <c r="H770" s="37" t="s">
        <v>708</v>
      </c>
      <c r="I770" s="42">
        <f t="shared" ref="I770:I776" si="36">IF(E770="kW",D770*1000,D770)</f>
        <v>1250</v>
      </c>
      <c r="J770" s="38">
        <f t="shared" ref="J770:J776" si="37">LN(C770)</f>
        <v>3.912023005428146</v>
      </c>
      <c r="K770" s="38">
        <f t="shared" ref="K770:K776" si="38">LN(I770)</f>
        <v>7.1308988302963465</v>
      </c>
      <c r="L770" s="40" t="b">
        <f>IF(B770=B769,C770&gt;C769,COUNTIF(B$1:B769,B770)=0)</f>
        <v>1</v>
      </c>
      <c r="M770" s="1"/>
    </row>
    <row r="771" spans="1:13" x14ac:dyDescent="0.25">
      <c r="A771" s="37" t="s">
        <v>2657</v>
      </c>
      <c r="B771" s="37" t="s">
        <v>639</v>
      </c>
      <c r="C771" s="37">
        <v>100</v>
      </c>
      <c r="D771" s="37">
        <v>865</v>
      </c>
      <c r="E771" s="37" t="s">
        <v>1877</v>
      </c>
      <c r="F771" s="37"/>
      <c r="G771" s="37" t="s">
        <v>643</v>
      </c>
      <c r="H771" s="37" t="s">
        <v>708</v>
      </c>
      <c r="I771" s="42">
        <f t="shared" si="36"/>
        <v>865</v>
      </c>
      <c r="J771" s="38">
        <f t="shared" si="37"/>
        <v>4.6051701859880918</v>
      </c>
      <c r="K771" s="38">
        <f t="shared" si="38"/>
        <v>6.7627295069318789</v>
      </c>
      <c r="L771" s="40" t="b">
        <f>IF(B771=B770,C771&gt;C770,COUNTIF(B$1:B770,B771)=0)</f>
        <v>1</v>
      </c>
      <c r="M771" s="1"/>
    </row>
    <row r="772" spans="1:13" x14ac:dyDescent="0.25">
      <c r="A772" s="37" t="s">
        <v>2658</v>
      </c>
      <c r="B772" s="37" t="s">
        <v>639</v>
      </c>
      <c r="C772" s="37">
        <v>200</v>
      </c>
      <c r="D772" s="37">
        <v>599</v>
      </c>
      <c r="E772" s="37" t="s">
        <v>1877</v>
      </c>
      <c r="F772" s="37"/>
      <c r="G772" s="37" t="s">
        <v>643</v>
      </c>
      <c r="H772" s="37" t="s">
        <v>708</v>
      </c>
      <c r="I772" s="42">
        <f t="shared" si="36"/>
        <v>599</v>
      </c>
      <c r="J772" s="38">
        <f t="shared" si="37"/>
        <v>5.2983173665480363</v>
      </c>
      <c r="K772" s="38">
        <f t="shared" si="38"/>
        <v>6.3952615981154493</v>
      </c>
      <c r="L772" s="40" t="b">
        <f>IF(B772=B771,C772&gt;C771,COUNTIF(B$1:B771,B772)=0)</f>
        <v>1</v>
      </c>
      <c r="M772" s="1"/>
    </row>
    <row r="773" spans="1:13" x14ac:dyDescent="0.25">
      <c r="A773" s="37" t="s">
        <v>2659</v>
      </c>
      <c r="B773" s="37" t="s">
        <v>639</v>
      </c>
      <c r="C773" s="37">
        <v>400</v>
      </c>
      <c r="D773" s="37">
        <v>415</v>
      </c>
      <c r="E773" s="37" t="s">
        <v>1877</v>
      </c>
      <c r="F773" s="37"/>
      <c r="G773" s="37" t="s">
        <v>643</v>
      </c>
      <c r="H773" s="37" t="s">
        <v>708</v>
      </c>
      <c r="I773" s="42">
        <f t="shared" si="36"/>
        <v>415</v>
      </c>
      <c r="J773" s="38">
        <f t="shared" si="37"/>
        <v>5.9914645471079817</v>
      </c>
      <c r="K773" s="38">
        <f t="shared" si="38"/>
        <v>6.0282785202306979</v>
      </c>
      <c r="L773" s="40" t="b">
        <f>IF(B773=B772,C773&gt;C772,COUNTIF(B$1:B772,B773)=0)</f>
        <v>1</v>
      </c>
      <c r="M773" s="1"/>
    </row>
    <row r="774" spans="1:13" x14ac:dyDescent="0.25">
      <c r="A774" s="37" t="s">
        <v>2660</v>
      </c>
      <c r="B774" s="37" t="s">
        <v>639</v>
      </c>
      <c r="C774" s="37">
        <v>700</v>
      </c>
      <c r="D774" s="37">
        <v>308</v>
      </c>
      <c r="E774" s="37" t="s">
        <v>1877</v>
      </c>
      <c r="F774" s="37"/>
      <c r="G774" s="37" t="s">
        <v>643</v>
      </c>
      <c r="H774" s="37" t="s">
        <v>708</v>
      </c>
      <c r="I774" s="42">
        <f t="shared" si="36"/>
        <v>308</v>
      </c>
      <c r="J774" s="38">
        <f t="shared" si="37"/>
        <v>6.5510803350434044</v>
      </c>
      <c r="K774" s="38">
        <f t="shared" si="38"/>
        <v>5.730099782973574</v>
      </c>
      <c r="L774" s="40" t="b">
        <f>IF(B774=B773,C774&gt;C773,COUNTIF(B$1:B773,B774)=0)</f>
        <v>1</v>
      </c>
      <c r="M774" s="1"/>
    </row>
    <row r="775" spans="1:13" x14ac:dyDescent="0.25">
      <c r="A775" s="37" t="s">
        <v>2661</v>
      </c>
      <c r="B775" s="37" t="s">
        <v>639</v>
      </c>
      <c r="C775" s="37">
        <v>900</v>
      </c>
      <c r="D775" s="37">
        <v>270</v>
      </c>
      <c r="E775" s="37" t="s">
        <v>1877</v>
      </c>
      <c r="F775" s="37"/>
      <c r="G775" s="37" t="s">
        <v>643</v>
      </c>
      <c r="H775" s="37" t="s">
        <v>708</v>
      </c>
      <c r="I775" s="42">
        <f t="shared" si="36"/>
        <v>270</v>
      </c>
      <c r="J775" s="38">
        <f t="shared" si="37"/>
        <v>6.8023947633243109</v>
      </c>
      <c r="K775" s="38">
        <f t="shared" si="38"/>
        <v>5.598421958998375</v>
      </c>
      <c r="L775" s="40" t="b">
        <f>IF(B775=B774,C775&gt;C774,COUNTIF(B$1:B774,B775)=0)</f>
        <v>1</v>
      </c>
      <c r="M775" s="1"/>
    </row>
    <row r="776" spans="1:13" x14ac:dyDescent="0.25">
      <c r="A776" s="37" t="s">
        <v>2662</v>
      </c>
      <c r="B776" s="37" t="s">
        <v>639</v>
      </c>
      <c r="C776" s="37">
        <v>1000</v>
      </c>
      <c r="D776" s="37">
        <v>255</v>
      </c>
      <c r="E776" s="37" t="s">
        <v>1877</v>
      </c>
      <c r="F776" s="37"/>
      <c r="G776" s="37" t="s">
        <v>643</v>
      </c>
      <c r="H776" s="37" t="s">
        <v>708</v>
      </c>
      <c r="I776" s="42">
        <f t="shared" si="36"/>
        <v>255</v>
      </c>
      <c r="J776" s="38">
        <f t="shared" si="37"/>
        <v>6.9077552789821368</v>
      </c>
      <c r="K776" s="38">
        <f t="shared" si="38"/>
        <v>5.5412635451584258</v>
      </c>
      <c r="L776" s="40" t="b">
        <f>IF(B776=B775,C776&gt;C775,COUNTIF(B$1:B775,B776)=0)</f>
        <v>1</v>
      </c>
      <c r="M776" s="1"/>
    </row>
  </sheetData>
  <conditionalFormatting sqref="L2:L776">
    <cfRule type="expression" dxfId="5" priority="1">
      <formula>L2=FALSE</formula>
    </cfRule>
  </conditionalFormatting>
  <dataValidations count="1">
    <dataValidation type="list" sqref="E2:E1275" xr:uid="{00000000-0002-0000-0600-000000000000}">
      <formula1>"W,kW"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42" customWidth="1"/>
    <col min="4" max="5" width="14" customWidth="1"/>
    <col min="6" max="6" width="18" customWidth="1"/>
    <col min="7" max="7" width="24" customWidth="1"/>
    <col min="8" max="8" width="50" customWidth="1"/>
    <col min="9" max="9" width="11" customWidth="1"/>
    <col min="10" max="10" width="40" customWidth="1"/>
    <col min="11" max="11" width="70" customWidth="1"/>
  </cols>
  <sheetData>
    <row r="1" spans="1:11" x14ac:dyDescent="0.25">
      <c r="A1" s="27" t="s">
        <v>692</v>
      </c>
      <c r="B1" s="27" t="s">
        <v>2663</v>
      </c>
      <c r="C1" s="27" t="s">
        <v>2664</v>
      </c>
      <c r="D1" s="27" t="s">
        <v>114</v>
      </c>
      <c r="E1" s="27" t="s">
        <v>2665</v>
      </c>
      <c r="F1" s="27" t="s">
        <v>2666</v>
      </c>
      <c r="G1" s="27" t="s">
        <v>2667</v>
      </c>
      <c r="H1" s="27" t="s">
        <v>2668</v>
      </c>
      <c r="I1" s="27" t="s">
        <v>2669</v>
      </c>
      <c r="J1" s="27" t="s">
        <v>2670</v>
      </c>
      <c r="K1" s="27" t="s">
        <v>149</v>
      </c>
    </row>
    <row r="2" spans="1:11" ht="25.5" x14ac:dyDescent="0.25">
      <c r="A2" s="29" t="s">
        <v>2671</v>
      </c>
      <c r="B2" s="29" t="s">
        <v>2672</v>
      </c>
      <c r="C2" s="29" t="s">
        <v>2673</v>
      </c>
      <c r="D2" s="29" t="s">
        <v>2674</v>
      </c>
      <c r="E2" s="29" t="s">
        <v>2674</v>
      </c>
      <c r="F2" s="29" t="s">
        <v>2674</v>
      </c>
      <c r="G2" s="29" t="s">
        <v>2675</v>
      </c>
      <c r="H2" s="29"/>
      <c r="I2" s="29" t="s">
        <v>2676</v>
      </c>
      <c r="J2" s="29" t="s">
        <v>2677</v>
      </c>
      <c r="K2" s="29" t="s">
        <v>2678</v>
      </c>
    </row>
    <row r="3" spans="1:11" ht="25.5" x14ac:dyDescent="0.25">
      <c r="A3" s="29" t="s">
        <v>207</v>
      </c>
      <c r="B3" s="29" t="s">
        <v>201</v>
      </c>
      <c r="C3" s="29" t="s">
        <v>2679</v>
      </c>
      <c r="D3" s="29" t="s">
        <v>2680</v>
      </c>
      <c r="E3" s="29" t="s">
        <v>2674</v>
      </c>
      <c r="F3" s="29" t="s">
        <v>2681</v>
      </c>
      <c r="G3" s="29" t="s">
        <v>2682</v>
      </c>
      <c r="H3" s="29" t="s">
        <v>2683</v>
      </c>
      <c r="I3" s="29" t="s">
        <v>2676</v>
      </c>
      <c r="J3" s="29" t="s">
        <v>2684</v>
      </c>
      <c r="K3" s="29" t="s">
        <v>2685</v>
      </c>
    </row>
    <row r="4" spans="1:11" ht="25.5" x14ac:dyDescent="0.25">
      <c r="A4" s="29" t="s">
        <v>504</v>
      </c>
      <c r="B4" s="29" t="s">
        <v>201</v>
      </c>
      <c r="C4" s="29" t="s">
        <v>2686</v>
      </c>
      <c r="D4" s="29" t="s">
        <v>502</v>
      </c>
      <c r="E4" s="29" t="s">
        <v>2687</v>
      </c>
      <c r="F4" s="29" t="s">
        <v>2688</v>
      </c>
      <c r="G4" s="29" t="s">
        <v>2689</v>
      </c>
      <c r="H4" s="29" t="s">
        <v>2690</v>
      </c>
      <c r="I4" s="29" t="s">
        <v>2676</v>
      </c>
      <c r="J4" s="29" t="s">
        <v>2691</v>
      </c>
      <c r="K4" s="29" t="s">
        <v>2692</v>
      </c>
    </row>
    <row r="5" spans="1:11" ht="25.5" x14ac:dyDescent="0.25">
      <c r="A5" s="29" t="s">
        <v>352</v>
      </c>
      <c r="B5" s="29" t="s">
        <v>201</v>
      </c>
      <c r="C5" s="29" t="s">
        <v>2693</v>
      </c>
      <c r="D5" s="29" t="s">
        <v>348</v>
      </c>
      <c r="E5" s="29" t="s">
        <v>2674</v>
      </c>
      <c r="F5" s="29" t="s">
        <v>2694</v>
      </c>
      <c r="G5" s="29" t="s">
        <v>2689</v>
      </c>
      <c r="H5" s="29" t="s">
        <v>2695</v>
      </c>
      <c r="I5" s="29" t="s">
        <v>2676</v>
      </c>
      <c r="J5" s="29" t="s">
        <v>2696</v>
      </c>
      <c r="K5" s="29"/>
    </row>
    <row r="6" spans="1:11" ht="25.5" x14ac:dyDescent="0.25">
      <c r="A6" s="29" t="s">
        <v>216</v>
      </c>
      <c r="B6" s="29" t="s">
        <v>156</v>
      </c>
      <c r="C6" s="29" t="s">
        <v>2697</v>
      </c>
      <c r="D6" s="29" t="s">
        <v>210</v>
      </c>
      <c r="E6" s="29" t="s">
        <v>2698</v>
      </c>
      <c r="F6" s="29" t="s">
        <v>2699</v>
      </c>
      <c r="G6" s="29" t="s">
        <v>2700</v>
      </c>
      <c r="H6" s="29" t="s">
        <v>2701</v>
      </c>
      <c r="I6" s="29" t="s">
        <v>2676</v>
      </c>
      <c r="J6" s="29" t="s">
        <v>2702</v>
      </c>
      <c r="K6" s="29"/>
    </row>
    <row r="7" spans="1:11" ht="25.5" x14ac:dyDescent="0.25">
      <c r="A7" s="29" t="s">
        <v>376</v>
      </c>
      <c r="B7" s="29" t="s">
        <v>156</v>
      </c>
      <c r="C7" s="29" t="s">
        <v>2703</v>
      </c>
      <c r="D7" s="29" t="s">
        <v>372</v>
      </c>
      <c r="E7" s="29" t="s">
        <v>2704</v>
      </c>
      <c r="F7" s="29" t="s">
        <v>2699</v>
      </c>
      <c r="G7" s="29" t="s">
        <v>2700</v>
      </c>
      <c r="H7" s="29" t="s">
        <v>2705</v>
      </c>
      <c r="I7" s="29" t="s">
        <v>2676</v>
      </c>
      <c r="J7" s="29" t="s">
        <v>2706</v>
      </c>
      <c r="K7" s="29"/>
    </row>
    <row r="8" spans="1:11" ht="25.5" x14ac:dyDescent="0.25">
      <c r="A8" s="29" t="s">
        <v>181</v>
      </c>
      <c r="B8" s="29" t="s">
        <v>156</v>
      </c>
      <c r="C8" s="29" t="s">
        <v>2707</v>
      </c>
      <c r="D8" s="29" t="s">
        <v>171</v>
      </c>
      <c r="E8" s="29" t="s">
        <v>2708</v>
      </c>
      <c r="F8" s="29" t="s">
        <v>2699</v>
      </c>
      <c r="G8" s="29" t="s">
        <v>2700</v>
      </c>
      <c r="H8" s="29" t="s">
        <v>2709</v>
      </c>
      <c r="I8" s="29" t="s">
        <v>2676</v>
      </c>
      <c r="J8" s="29" t="s">
        <v>2710</v>
      </c>
      <c r="K8" s="29"/>
    </row>
    <row r="9" spans="1:11" ht="25.5" x14ac:dyDescent="0.25">
      <c r="A9" s="29" t="s">
        <v>281</v>
      </c>
      <c r="B9" s="29" t="s">
        <v>156</v>
      </c>
      <c r="C9" s="29" t="s">
        <v>2711</v>
      </c>
      <c r="D9" s="29" t="s">
        <v>275</v>
      </c>
      <c r="E9" s="29" t="s">
        <v>2712</v>
      </c>
      <c r="F9" s="29" t="s">
        <v>2699</v>
      </c>
      <c r="G9" s="29" t="s">
        <v>2700</v>
      </c>
      <c r="H9" s="29" t="s">
        <v>2713</v>
      </c>
      <c r="I9" s="29" t="s">
        <v>2676</v>
      </c>
      <c r="J9" s="29" t="s">
        <v>2714</v>
      </c>
      <c r="K9" s="29"/>
    </row>
    <row r="10" spans="1:11" ht="25.5" x14ac:dyDescent="0.25">
      <c r="A10" s="29" t="s">
        <v>331</v>
      </c>
      <c r="B10" s="29" t="s">
        <v>156</v>
      </c>
      <c r="C10" s="29" t="s">
        <v>2715</v>
      </c>
      <c r="D10" s="29" t="s">
        <v>324</v>
      </c>
      <c r="E10" s="29" t="s">
        <v>2716</v>
      </c>
      <c r="F10" s="29" t="s">
        <v>2699</v>
      </c>
      <c r="G10" s="29" t="s">
        <v>2700</v>
      </c>
      <c r="H10" s="29" t="s">
        <v>2717</v>
      </c>
      <c r="I10" s="29" t="s">
        <v>2676</v>
      </c>
      <c r="J10" s="29" t="s">
        <v>2718</v>
      </c>
      <c r="K10" s="29" t="s">
        <v>2719</v>
      </c>
    </row>
    <row r="11" spans="1:11" ht="38.25" x14ac:dyDescent="0.25">
      <c r="A11" s="29" t="s">
        <v>522</v>
      </c>
      <c r="B11" s="29" t="s">
        <v>220</v>
      </c>
      <c r="C11" s="29" t="s">
        <v>2720</v>
      </c>
      <c r="D11" s="29" t="s">
        <v>516</v>
      </c>
      <c r="E11" s="29" t="s">
        <v>2674</v>
      </c>
      <c r="F11" s="29" t="s">
        <v>2721</v>
      </c>
      <c r="G11" s="29" t="s">
        <v>2700</v>
      </c>
      <c r="H11" s="29" t="s">
        <v>2722</v>
      </c>
      <c r="I11" s="29" t="s">
        <v>2676</v>
      </c>
      <c r="J11" s="29" t="s">
        <v>2723</v>
      </c>
      <c r="K11" s="29" t="s">
        <v>2724</v>
      </c>
    </row>
    <row r="12" spans="1:11" ht="25.5" x14ac:dyDescent="0.25">
      <c r="A12" s="29" t="s">
        <v>320</v>
      </c>
      <c r="B12" s="29" t="s">
        <v>220</v>
      </c>
      <c r="C12" s="29" t="s">
        <v>2725</v>
      </c>
      <c r="D12" s="29" t="s">
        <v>315</v>
      </c>
      <c r="E12" s="29" t="s">
        <v>2674</v>
      </c>
      <c r="F12" s="29" t="s">
        <v>2726</v>
      </c>
      <c r="G12" s="29" t="s">
        <v>2700</v>
      </c>
      <c r="H12" s="29" t="s">
        <v>2727</v>
      </c>
      <c r="I12" s="29" t="s">
        <v>2676</v>
      </c>
      <c r="J12" s="29" t="s">
        <v>2728</v>
      </c>
      <c r="K12" s="29" t="s">
        <v>2729</v>
      </c>
    </row>
    <row r="13" spans="1:11" ht="25.5" x14ac:dyDescent="0.25">
      <c r="A13" s="29" t="s">
        <v>605</v>
      </c>
      <c r="B13" s="29" t="s">
        <v>599</v>
      </c>
      <c r="C13" s="29" t="s">
        <v>2730</v>
      </c>
      <c r="D13" s="29" t="s">
        <v>600</v>
      </c>
      <c r="E13" s="29" t="s">
        <v>2731</v>
      </c>
      <c r="F13" s="29" t="s">
        <v>2732</v>
      </c>
      <c r="G13" s="29" t="s">
        <v>2733</v>
      </c>
      <c r="H13" s="29" t="s">
        <v>2734</v>
      </c>
      <c r="I13" s="29" t="s">
        <v>2676</v>
      </c>
      <c r="J13" s="29" t="s">
        <v>2735</v>
      </c>
      <c r="K13" s="29" t="s">
        <v>2736</v>
      </c>
    </row>
    <row r="14" spans="1:11" ht="51" x14ac:dyDescent="0.25">
      <c r="A14" s="29" t="s">
        <v>2737</v>
      </c>
      <c r="B14" s="29" t="s">
        <v>2738</v>
      </c>
      <c r="C14" s="29" t="s">
        <v>2739</v>
      </c>
      <c r="D14" s="29" t="s">
        <v>2740</v>
      </c>
      <c r="E14" s="29" t="s">
        <v>2674</v>
      </c>
      <c r="F14" s="29" t="s">
        <v>2674</v>
      </c>
      <c r="G14" s="29" t="s">
        <v>2741</v>
      </c>
      <c r="H14" s="29" t="s">
        <v>2742</v>
      </c>
      <c r="I14" s="29" t="s">
        <v>2743</v>
      </c>
      <c r="J14" s="29" t="s">
        <v>2744</v>
      </c>
      <c r="K14" s="29" t="s">
        <v>2745</v>
      </c>
    </row>
    <row r="15" spans="1:11" ht="38.25" x14ac:dyDescent="0.25">
      <c r="A15" s="29" t="s">
        <v>298</v>
      </c>
      <c r="B15" s="29" t="s">
        <v>287</v>
      </c>
      <c r="C15" s="29" t="s">
        <v>2746</v>
      </c>
      <c r="D15" s="29" t="s">
        <v>2747</v>
      </c>
      <c r="E15" s="29" t="s">
        <v>2674</v>
      </c>
      <c r="F15" s="29" t="s">
        <v>2748</v>
      </c>
      <c r="G15" s="29" t="s">
        <v>2749</v>
      </c>
      <c r="H15" s="29" t="s">
        <v>2750</v>
      </c>
      <c r="I15" s="29" t="s">
        <v>2743</v>
      </c>
      <c r="J15" s="29" t="s">
        <v>2751</v>
      </c>
      <c r="K15" s="29" t="s">
        <v>2752</v>
      </c>
    </row>
    <row r="16" spans="1:11" ht="25.5" x14ac:dyDescent="0.25">
      <c r="A16" s="29" t="s">
        <v>167</v>
      </c>
      <c r="B16" s="29" t="s">
        <v>156</v>
      </c>
      <c r="C16" s="29" t="s">
        <v>2753</v>
      </c>
      <c r="D16" s="29" t="s">
        <v>157</v>
      </c>
      <c r="E16" s="29" t="s">
        <v>2754</v>
      </c>
      <c r="F16" s="29" t="s">
        <v>2699</v>
      </c>
      <c r="G16" s="29" t="s">
        <v>2700</v>
      </c>
      <c r="H16" s="29" t="s">
        <v>2755</v>
      </c>
      <c r="I16" s="29" t="s">
        <v>2743</v>
      </c>
      <c r="J16" s="29" t="s">
        <v>2756</v>
      </c>
      <c r="K16" s="29"/>
    </row>
    <row r="17" spans="1:11" ht="25.5" x14ac:dyDescent="0.25">
      <c r="A17" s="29" t="s">
        <v>189</v>
      </c>
      <c r="B17" s="29" t="s">
        <v>156</v>
      </c>
      <c r="C17" s="29" t="s">
        <v>2757</v>
      </c>
      <c r="D17" s="29" t="s">
        <v>185</v>
      </c>
      <c r="E17" s="29" t="s">
        <v>2758</v>
      </c>
      <c r="F17" s="29" t="s">
        <v>2699</v>
      </c>
      <c r="G17" s="29" t="s">
        <v>2700</v>
      </c>
      <c r="H17" s="29" t="s">
        <v>2759</v>
      </c>
      <c r="I17" s="29" t="s">
        <v>2743</v>
      </c>
      <c r="J17" s="29" t="s">
        <v>2760</v>
      </c>
      <c r="K17" s="29"/>
    </row>
    <row r="18" spans="1:11" ht="25.5" x14ac:dyDescent="0.25">
      <c r="A18" s="29" t="s">
        <v>197</v>
      </c>
      <c r="B18" s="29" t="s">
        <v>156</v>
      </c>
      <c r="C18" s="29" t="s">
        <v>2761</v>
      </c>
      <c r="D18" s="29" t="s">
        <v>193</v>
      </c>
      <c r="E18" s="29" t="s">
        <v>2762</v>
      </c>
      <c r="F18" s="29" t="s">
        <v>2699</v>
      </c>
      <c r="G18" s="29" t="s">
        <v>2700</v>
      </c>
      <c r="H18" s="29" t="s">
        <v>2763</v>
      </c>
      <c r="I18" s="29" t="s">
        <v>2743</v>
      </c>
      <c r="J18" s="29" t="s">
        <v>2764</v>
      </c>
      <c r="K18" s="29"/>
    </row>
    <row r="19" spans="1:11" ht="25.5" x14ac:dyDescent="0.25">
      <c r="A19" s="29" t="s">
        <v>244</v>
      </c>
      <c r="B19" s="29" t="s">
        <v>156</v>
      </c>
      <c r="C19" s="29" t="s">
        <v>2765</v>
      </c>
      <c r="D19" s="29" t="s">
        <v>237</v>
      </c>
      <c r="E19" s="29" t="s">
        <v>2766</v>
      </c>
      <c r="F19" s="29" t="s">
        <v>2699</v>
      </c>
      <c r="G19" s="29" t="s">
        <v>2700</v>
      </c>
      <c r="H19" s="29" t="s">
        <v>2767</v>
      </c>
      <c r="I19" s="29" t="s">
        <v>2743</v>
      </c>
      <c r="J19" s="29" t="s">
        <v>2768</v>
      </c>
      <c r="K19" s="29"/>
    </row>
    <row r="20" spans="1:11" ht="25.5" x14ac:dyDescent="0.25">
      <c r="A20" s="29" t="s">
        <v>272</v>
      </c>
      <c r="B20" s="29" t="s">
        <v>156</v>
      </c>
      <c r="C20" s="29" t="s">
        <v>2769</v>
      </c>
      <c r="D20" s="29" t="s">
        <v>267</v>
      </c>
      <c r="E20" s="29" t="s">
        <v>2770</v>
      </c>
      <c r="F20" s="29" t="s">
        <v>2699</v>
      </c>
      <c r="G20" s="29" t="s">
        <v>2700</v>
      </c>
      <c r="H20" s="29" t="s">
        <v>2771</v>
      </c>
      <c r="I20" s="29" t="s">
        <v>2743</v>
      </c>
      <c r="J20" s="29" t="s">
        <v>2772</v>
      </c>
      <c r="K20" s="29" t="s">
        <v>2773</v>
      </c>
    </row>
    <row r="21" spans="1:11" ht="25.5" x14ac:dyDescent="0.25">
      <c r="A21" s="29" t="s">
        <v>255</v>
      </c>
      <c r="B21" s="29" t="s">
        <v>2774</v>
      </c>
      <c r="C21" s="29" t="s">
        <v>2775</v>
      </c>
      <c r="D21" s="29" t="s">
        <v>249</v>
      </c>
      <c r="E21" s="29" t="s">
        <v>2674</v>
      </c>
      <c r="F21" s="29" t="s">
        <v>2674</v>
      </c>
      <c r="G21" s="29" t="s">
        <v>2776</v>
      </c>
      <c r="H21" s="29" t="s">
        <v>2777</v>
      </c>
      <c r="I21" s="29" t="s">
        <v>2743</v>
      </c>
      <c r="J21" s="29" t="s">
        <v>2778</v>
      </c>
      <c r="K21" s="29" t="s">
        <v>2779</v>
      </c>
    </row>
    <row r="22" spans="1:11" ht="25.5" x14ac:dyDescent="0.25">
      <c r="A22" s="29" t="s">
        <v>233</v>
      </c>
      <c r="B22" s="29" t="s">
        <v>156</v>
      </c>
      <c r="C22" s="29" t="s">
        <v>2780</v>
      </c>
      <c r="D22" s="29" t="s">
        <v>227</v>
      </c>
      <c r="E22" s="29" t="s">
        <v>2781</v>
      </c>
      <c r="F22" s="29" t="s">
        <v>2699</v>
      </c>
      <c r="G22" s="29" t="s">
        <v>2700</v>
      </c>
      <c r="H22" s="29" t="s">
        <v>2782</v>
      </c>
      <c r="I22" s="29" t="s">
        <v>2743</v>
      </c>
      <c r="J22" s="29" t="s">
        <v>2783</v>
      </c>
      <c r="K22" s="29" t="s">
        <v>2784</v>
      </c>
    </row>
    <row r="23" spans="1:11" ht="25.5" x14ac:dyDescent="0.25">
      <c r="A23" s="29" t="s">
        <v>685</v>
      </c>
      <c r="B23" s="29" t="s">
        <v>156</v>
      </c>
      <c r="C23" s="29" t="s">
        <v>2785</v>
      </c>
      <c r="D23" s="29" t="s">
        <v>680</v>
      </c>
      <c r="E23" s="29" t="s">
        <v>2786</v>
      </c>
      <c r="F23" s="29" t="s">
        <v>2699</v>
      </c>
      <c r="G23" s="29" t="s">
        <v>2700</v>
      </c>
      <c r="H23" s="29" t="s">
        <v>2787</v>
      </c>
      <c r="I23" s="29" t="s">
        <v>2743</v>
      </c>
      <c r="J23" s="29" t="s">
        <v>2788</v>
      </c>
      <c r="K23" s="29"/>
    </row>
    <row r="24" spans="1:11" ht="25.5" x14ac:dyDescent="0.25">
      <c r="A24" s="29" t="s">
        <v>382</v>
      </c>
      <c r="B24" s="29" t="s">
        <v>156</v>
      </c>
      <c r="C24" s="29" t="s">
        <v>2789</v>
      </c>
      <c r="D24" s="29" t="s">
        <v>380</v>
      </c>
      <c r="E24" s="29" t="s">
        <v>2790</v>
      </c>
      <c r="F24" s="29" t="s">
        <v>2699</v>
      </c>
      <c r="G24" s="29" t="s">
        <v>2700</v>
      </c>
      <c r="H24" s="29" t="s">
        <v>2791</v>
      </c>
      <c r="I24" s="29" t="s">
        <v>2743</v>
      </c>
      <c r="J24" s="29" t="s">
        <v>2792</v>
      </c>
      <c r="K24" s="29"/>
    </row>
    <row r="25" spans="1:11" ht="25.5" x14ac:dyDescent="0.25">
      <c r="A25" s="29" t="s">
        <v>344</v>
      </c>
      <c r="B25" s="29" t="s">
        <v>220</v>
      </c>
      <c r="C25" s="29" t="s">
        <v>2793</v>
      </c>
      <c r="D25" s="29" t="s">
        <v>335</v>
      </c>
      <c r="E25" s="29" t="s">
        <v>2674</v>
      </c>
      <c r="F25" s="29" t="s">
        <v>2794</v>
      </c>
      <c r="G25" s="29" t="s">
        <v>2700</v>
      </c>
      <c r="H25" s="29" t="s">
        <v>2795</v>
      </c>
      <c r="I25" s="29" t="s">
        <v>2743</v>
      </c>
      <c r="J25" s="29" t="s">
        <v>2796</v>
      </c>
      <c r="K25" s="29"/>
    </row>
    <row r="26" spans="1:11" ht="25.5" x14ac:dyDescent="0.25">
      <c r="A26" s="29" t="s">
        <v>429</v>
      </c>
      <c r="B26" s="29" t="s">
        <v>220</v>
      </c>
      <c r="C26" s="29" t="s">
        <v>2797</v>
      </c>
      <c r="D26" s="29" t="s">
        <v>423</v>
      </c>
      <c r="E26" s="29" t="s">
        <v>2674</v>
      </c>
      <c r="F26" s="29" t="s">
        <v>2726</v>
      </c>
      <c r="G26" s="29" t="s">
        <v>2700</v>
      </c>
      <c r="H26" s="29" t="s">
        <v>2798</v>
      </c>
      <c r="I26" s="29" t="s">
        <v>2743</v>
      </c>
      <c r="J26" s="29" t="s">
        <v>2799</v>
      </c>
      <c r="K26" s="29"/>
    </row>
    <row r="27" spans="1:11" ht="25.5" x14ac:dyDescent="0.25">
      <c r="A27" s="29" t="s">
        <v>513</v>
      </c>
      <c r="B27" s="29" t="s">
        <v>220</v>
      </c>
      <c r="C27" s="29" t="s">
        <v>2800</v>
      </c>
      <c r="D27" s="29" t="s">
        <v>508</v>
      </c>
      <c r="E27" s="29" t="s">
        <v>2674</v>
      </c>
      <c r="F27" s="29" t="s">
        <v>2721</v>
      </c>
      <c r="G27" s="29" t="s">
        <v>2700</v>
      </c>
      <c r="H27" s="29" t="s">
        <v>2801</v>
      </c>
      <c r="I27" s="29" t="s">
        <v>2743</v>
      </c>
      <c r="J27" s="29" t="s">
        <v>2802</v>
      </c>
      <c r="K27" s="29" t="s">
        <v>2803</v>
      </c>
    </row>
    <row r="28" spans="1:11" ht="25.5" x14ac:dyDescent="0.25">
      <c r="A28" s="29" t="s">
        <v>542</v>
      </c>
      <c r="B28" s="29" t="s">
        <v>220</v>
      </c>
      <c r="C28" s="29" t="s">
        <v>2804</v>
      </c>
      <c r="D28" s="29" t="s">
        <v>538</v>
      </c>
      <c r="E28" s="29" t="s">
        <v>2674</v>
      </c>
      <c r="F28" s="29" t="s">
        <v>2721</v>
      </c>
      <c r="G28" s="29" t="s">
        <v>2700</v>
      </c>
      <c r="H28" s="29" t="s">
        <v>2805</v>
      </c>
      <c r="I28" s="29" t="s">
        <v>2743</v>
      </c>
      <c r="J28" s="29" t="s">
        <v>2806</v>
      </c>
      <c r="K28" s="29"/>
    </row>
    <row r="29" spans="1:11" ht="25.5" x14ac:dyDescent="0.25">
      <c r="A29" s="29" t="s">
        <v>587</v>
      </c>
      <c r="B29" s="29" t="s">
        <v>220</v>
      </c>
      <c r="C29" s="29" t="s">
        <v>2807</v>
      </c>
      <c r="D29" s="29" t="s">
        <v>584</v>
      </c>
      <c r="E29" s="29" t="s">
        <v>2674</v>
      </c>
      <c r="F29" s="29" t="s">
        <v>2808</v>
      </c>
      <c r="G29" s="29" t="s">
        <v>2700</v>
      </c>
      <c r="H29" s="29" t="s">
        <v>2809</v>
      </c>
      <c r="I29" s="29" t="s">
        <v>2743</v>
      </c>
      <c r="J29" s="29" t="s">
        <v>2810</v>
      </c>
      <c r="K29" s="29"/>
    </row>
    <row r="30" spans="1:11" ht="38.25" x14ac:dyDescent="0.25">
      <c r="A30" s="29" t="s">
        <v>223</v>
      </c>
      <c r="B30" s="29" t="s">
        <v>220</v>
      </c>
      <c r="C30" s="29" t="s">
        <v>2811</v>
      </c>
      <c r="D30" s="29" t="s">
        <v>2812</v>
      </c>
      <c r="E30" s="29" t="s">
        <v>2813</v>
      </c>
      <c r="F30" s="29" t="s">
        <v>2813</v>
      </c>
      <c r="G30" s="29" t="s">
        <v>2700</v>
      </c>
      <c r="H30" s="29" t="s">
        <v>2814</v>
      </c>
      <c r="I30" s="29" t="s">
        <v>2743</v>
      </c>
      <c r="J30" s="29" t="s">
        <v>2815</v>
      </c>
      <c r="K30" s="29" t="s">
        <v>2816</v>
      </c>
    </row>
    <row r="31" spans="1:11" ht="25.5" x14ac:dyDescent="0.25">
      <c r="A31" s="29" t="s">
        <v>419</v>
      </c>
      <c r="B31" s="29" t="s">
        <v>413</v>
      </c>
      <c r="C31" s="29" t="s">
        <v>2817</v>
      </c>
      <c r="D31" s="29" t="s">
        <v>414</v>
      </c>
      <c r="E31" s="29" t="s">
        <v>2818</v>
      </c>
      <c r="F31" s="29" t="s">
        <v>2819</v>
      </c>
      <c r="G31" s="29" t="s">
        <v>2820</v>
      </c>
      <c r="H31" s="29" t="s">
        <v>2821</v>
      </c>
      <c r="I31" s="29" t="s">
        <v>2743</v>
      </c>
      <c r="J31" s="29" t="s">
        <v>2822</v>
      </c>
      <c r="K31" s="29"/>
    </row>
    <row r="32" spans="1:11" ht="25.5" x14ac:dyDescent="0.25">
      <c r="A32" s="29" t="s">
        <v>460</v>
      </c>
      <c r="B32" s="29" t="s">
        <v>413</v>
      </c>
      <c r="C32" s="29" t="s">
        <v>2823</v>
      </c>
      <c r="D32" s="29" t="s">
        <v>456</v>
      </c>
      <c r="E32" s="29" t="s">
        <v>2824</v>
      </c>
      <c r="F32" s="29" t="s">
        <v>2825</v>
      </c>
      <c r="G32" s="29" t="s">
        <v>2700</v>
      </c>
      <c r="H32" s="29" t="s">
        <v>2826</v>
      </c>
      <c r="I32" s="29" t="s">
        <v>2743</v>
      </c>
      <c r="J32" s="29" t="s">
        <v>2827</v>
      </c>
      <c r="K32" s="29" t="s">
        <v>2828</v>
      </c>
    </row>
    <row r="33" spans="1:11" ht="25.5" x14ac:dyDescent="0.25">
      <c r="A33" s="29" t="s">
        <v>410</v>
      </c>
      <c r="B33" s="29" t="s">
        <v>2829</v>
      </c>
      <c r="C33" s="29" t="s">
        <v>2830</v>
      </c>
      <c r="D33" s="29" t="s">
        <v>404</v>
      </c>
      <c r="E33" s="29" t="s">
        <v>2674</v>
      </c>
      <c r="F33" s="29" t="s">
        <v>2831</v>
      </c>
      <c r="G33" s="29" t="s">
        <v>2682</v>
      </c>
      <c r="H33" s="29" t="s">
        <v>2832</v>
      </c>
      <c r="I33" s="29" t="s">
        <v>2743</v>
      </c>
      <c r="J33" s="29" t="s">
        <v>2833</v>
      </c>
      <c r="K33" s="29" t="s">
        <v>2834</v>
      </c>
    </row>
    <row r="34" spans="1:11" ht="25.5" x14ac:dyDescent="0.25">
      <c r="A34" s="29" t="s">
        <v>536</v>
      </c>
      <c r="B34" s="29" t="s">
        <v>2829</v>
      </c>
      <c r="C34" s="29" t="s">
        <v>2835</v>
      </c>
      <c r="D34" s="29" t="s">
        <v>533</v>
      </c>
      <c r="E34" s="29" t="s">
        <v>2674</v>
      </c>
      <c r="F34" s="29" t="s">
        <v>2836</v>
      </c>
      <c r="G34" s="29" t="s">
        <v>2682</v>
      </c>
      <c r="H34" s="29" t="s">
        <v>2837</v>
      </c>
      <c r="I34" s="29" t="s">
        <v>2743</v>
      </c>
      <c r="J34" s="29" t="s">
        <v>2838</v>
      </c>
      <c r="K34" s="29"/>
    </row>
    <row r="35" spans="1:11" ht="25.5" x14ac:dyDescent="0.25">
      <c r="A35" s="29" t="s">
        <v>557</v>
      </c>
      <c r="B35" s="29" t="s">
        <v>2829</v>
      </c>
      <c r="C35" s="29" t="s">
        <v>2839</v>
      </c>
      <c r="D35" s="29" t="s">
        <v>554</v>
      </c>
      <c r="E35" s="29" t="s">
        <v>2674</v>
      </c>
      <c r="F35" s="29" t="s">
        <v>2840</v>
      </c>
      <c r="G35" s="29" t="s">
        <v>2682</v>
      </c>
      <c r="H35" s="29" t="s">
        <v>2841</v>
      </c>
      <c r="I35" s="29" t="s">
        <v>2743</v>
      </c>
      <c r="J35" s="29" t="s">
        <v>2842</v>
      </c>
      <c r="K35" s="29"/>
    </row>
    <row r="36" spans="1:11" ht="25.5" x14ac:dyDescent="0.25">
      <c r="A36" s="29" t="s">
        <v>563</v>
      </c>
      <c r="B36" s="29" t="s">
        <v>2829</v>
      </c>
      <c r="C36" s="29" t="s">
        <v>2843</v>
      </c>
      <c r="D36" s="29" t="s">
        <v>560</v>
      </c>
      <c r="E36" s="29" t="s">
        <v>2674</v>
      </c>
      <c r="F36" s="29" t="s">
        <v>2844</v>
      </c>
      <c r="G36" s="29" t="s">
        <v>2682</v>
      </c>
      <c r="H36" s="29" t="s">
        <v>2845</v>
      </c>
      <c r="I36" s="29" t="s">
        <v>2743</v>
      </c>
      <c r="J36" s="29" t="s">
        <v>2846</v>
      </c>
      <c r="K36" s="29" t="s">
        <v>2847</v>
      </c>
    </row>
    <row r="37" spans="1:11" ht="25.5" x14ac:dyDescent="0.25">
      <c r="A37" s="29" t="s">
        <v>619</v>
      </c>
      <c r="B37" s="29" t="s">
        <v>2829</v>
      </c>
      <c r="C37" s="29" t="s">
        <v>2848</v>
      </c>
      <c r="D37" s="29" t="s">
        <v>616</v>
      </c>
      <c r="E37" s="29" t="s">
        <v>2674</v>
      </c>
      <c r="F37" s="29" t="s">
        <v>2836</v>
      </c>
      <c r="G37" s="29" t="s">
        <v>2849</v>
      </c>
      <c r="H37" s="29" t="s">
        <v>2850</v>
      </c>
      <c r="I37" s="29" t="s">
        <v>2743</v>
      </c>
      <c r="J37" s="29" t="s">
        <v>2851</v>
      </c>
      <c r="K37" s="29" t="s">
        <v>2852</v>
      </c>
    </row>
    <row r="38" spans="1:11" ht="25.5" x14ac:dyDescent="0.25">
      <c r="A38" s="29" t="s">
        <v>629</v>
      </c>
      <c r="B38" s="29" t="s">
        <v>2829</v>
      </c>
      <c r="C38" s="29" t="s">
        <v>2853</v>
      </c>
      <c r="D38" s="29" t="s">
        <v>626</v>
      </c>
      <c r="E38" s="29" t="s">
        <v>2674</v>
      </c>
      <c r="F38" s="29" t="s">
        <v>2854</v>
      </c>
      <c r="G38" s="29" t="s">
        <v>2682</v>
      </c>
      <c r="H38" s="29" t="s">
        <v>2855</v>
      </c>
      <c r="I38" s="29" t="s">
        <v>2743</v>
      </c>
      <c r="J38" s="29" t="s">
        <v>2856</v>
      </c>
      <c r="K38" s="29"/>
    </row>
    <row r="39" spans="1:11" ht="25.5" x14ac:dyDescent="0.25">
      <c r="A39" s="29" t="s">
        <v>637</v>
      </c>
      <c r="B39" s="29" t="s">
        <v>2829</v>
      </c>
      <c r="C39" s="29" t="s">
        <v>2857</v>
      </c>
      <c r="D39" s="29" t="s">
        <v>633</v>
      </c>
      <c r="E39" s="29" t="s">
        <v>2674</v>
      </c>
      <c r="F39" s="29" t="s">
        <v>2858</v>
      </c>
      <c r="G39" s="29" t="s">
        <v>2849</v>
      </c>
      <c r="H39" s="29" t="s">
        <v>2859</v>
      </c>
      <c r="I39" s="29" t="s">
        <v>2743</v>
      </c>
      <c r="J39" s="29" t="s">
        <v>2860</v>
      </c>
      <c r="K39" s="29"/>
    </row>
    <row r="40" spans="1:11" ht="25.5" x14ac:dyDescent="0.25">
      <c r="A40" s="29" t="s">
        <v>471</v>
      </c>
      <c r="B40" s="29" t="s">
        <v>156</v>
      </c>
      <c r="C40" s="29" t="s">
        <v>2861</v>
      </c>
      <c r="D40" s="29" t="s">
        <v>463</v>
      </c>
      <c r="E40" s="29" t="s">
        <v>2862</v>
      </c>
      <c r="F40" s="29" t="s">
        <v>2699</v>
      </c>
      <c r="G40" s="29" t="s">
        <v>2700</v>
      </c>
      <c r="H40" s="29" t="s">
        <v>2863</v>
      </c>
      <c r="I40" s="29" t="s">
        <v>2743</v>
      </c>
      <c r="J40" s="29" t="s">
        <v>2864</v>
      </c>
      <c r="K40" s="29"/>
    </row>
    <row r="41" spans="1:11" ht="25.5" x14ac:dyDescent="0.25">
      <c r="A41" s="29" t="s">
        <v>487</v>
      </c>
      <c r="B41" s="29" t="s">
        <v>156</v>
      </c>
      <c r="C41" s="29" t="s">
        <v>2865</v>
      </c>
      <c r="D41" s="29" t="s">
        <v>483</v>
      </c>
      <c r="E41" s="29" t="s">
        <v>2866</v>
      </c>
      <c r="F41" s="29" t="s">
        <v>2699</v>
      </c>
      <c r="G41" s="29" t="s">
        <v>2700</v>
      </c>
      <c r="H41" s="29" t="s">
        <v>2867</v>
      </c>
      <c r="I41" s="29" t="s">
        <v>2743</v>
      </c>
      <c r="J41" s="29" t="s">
        <v>2868</v>
      </c>
      <c r="K41" s="29" t="s">
        <v>2869</v>
      </c>
    </row>
    <row r="42" spans="1:11" ht="25.5" x14ac:dyDescent="0.25">
      <c r="A42" s="29" t="s">
        <v>452</v>
      </c>
      <c r="B42" s="29" t="s">
        <v>446</v>
      </c>
      <c r="C42" s="29" t="s">
        <v>2870</v>
      </c>
      <c r="D42" s="29" t="s">
        <v>447</v>
      </c>
      <c r="E42" s="29" t="s">
        <v>2674</v>
      </c>
      <c r="F42" s="29" t="s">
        <v>2674</v>
      </c>
      <c r="G42" s="29" t="s">
        <v>2871</v>
      </c>
      <c r="H42" s="29" t="s">
        <v>2872</v>
      </c>
      <c r="I42" s="29" t="s">
        <v>2743</v>
      </c>
      <c r="J42" s="29" t="s">
        <v>2873</v>
      </c>
      <c r="K42" s="29" t="s">
        <v>2874</v>
      </c>
    </row>
    <row r="43" spans="1:11" ht="25.5" x14ac:dyDescent="0.25">
      <c r="A43" s="29" t="s">
        <v>442</v>
      </c>
      <c r="B43" s="29" t="s">
        <v>432</v>
      </c>
      <c r="C43" s="29" t="s">
        <v>2875</v>
      </c>
      <c r="D43" s="29" t="s">
        <v>433</v>
      </c>
      <c r="E43" s="29" t="s">
        <v>2876</v>
      </c>
      <c r="F43" s="29" t="s">
        <v>2877</v>
      </c>
      <c r="G43" s="29" t="s">
        <v>2878</v>
      </c>
      <c r="H43" s="29" t="s">
        <v>2879</v>
      </c>
      <c r="I43" s="29" t="s">
        <v>2743</v>
      </c>
      <c r="J43" s="29" t="s">
        <v>2880</v>
      </c>
      <c r="K43" s="29" t="s">
        <v>2881</v>
      </c>
    </row>
    <row r="44" spans="1:11" ht="38.25" x14ac:dyDescent="0.25">
      <c r="A44" s="29" t="s">
        <v>574</v>
      </c>
      <c r="B44" s="29" t="s">
        <v>2882</v>
      </c>
      <c r="C44" s="29" t="s">
        <v>2883</v>
      </c>
      <c r="D44" s="29" t="s">
        <v>570</v>
      </c>
      <c r="E44" s="29" t="s">
        <v>2674</v>
      </c>
      <c r="F44" s="29" t="s">
        <v>2884</v>
      </c>
      <c r="G44" s="29" t="s">
        <v>2885</v>
      </c>
      <c r="H44" s="29" t="s">
        <v>2886</v>
      </c>
      <c r="I44" s="29" t="s">
        <v>2743</v>
      </c>
      <c r="J44" s="29" t="s">
        <v>2887</v>
      </c>
      <c r="K44" s="29" t="s">
        <v>2888</v>
      </c>
    </row>
    <row r="45" spans="1:11" ht="25.5" x14ac:dyDescent="0.25">
      <c r="A45" s="29" t="s">
        <v>643</v>
      </c>
      <c r="B45" s="29" t="s">
        <v>156</v>
      </c>
      <c r="C45" s="29" t="s">
        <v>2889</v>
      </c>
      <c r="D45" s="29" t="s">
        <v>641</v>
      </c>
      <c r="E45" s="29" t="s">
        <v>2754</v>
      </c>
      <c r="F45" s="29" t="s">
        <v>2699</v>
      </c>
      <c r="G45" s="29" t="s">
        <v>2700</v>
      </c>
      <c r="H45" s="29" t="s">
        <v>2890</v>
      </c>
      <c r="I45" s="29" t="s">
        <v>2743</v>
      </c>
      <c r="J45" s="29" t="s">
        <v>2891</v>
      </c>
      <c r="K45" s="29"/>
    </row>
    <row r="46" spans="1:11" ht="25.5" x14ac:dyDescent="0.25">
      <c r="A46" s="29" t="s">
        <v>652</v>
      </c>
      <c r="B46" s="29" t="s">
        <v>156</v>
      </c>
      <c r="C46" s="29" t="s">
        <v>2892</v>
      </c>
      <c r="D46" s="29" t="s">
        <v>647</v>
      </c>
      <c r="E46" s="29" t="s">
        <v>2674</v>
      </c>
      <c r="F46" s="29" t="s">
        <v>2674</v>
      </c>
      <c r="G46" s="29" t="s">
        <v>2700</v>
      </c>
      <c r="H46" s="29" t="s">
        <v>2893</v>
      </c>
      <c r="I46" s="29" t="s">
        <v>2743</v>
      </c>
      <c r="J46" s="29" t="s">
        <v>2894</v>
      </c>
      <c r="K46" s="29" t="s">
        <v>2895</v>
      </c>
    </row>
    <row r="47" spans="1:11" ht="25.5" x14ac:dyDescent="0.25">
      <c r="A47" s="29" t="s">
        <v>670</v>
      </c>
      <c r="B47" s="29" t="s">
        <v>156</v>
      </c>
      <c r="C47" s="29" t="s">
        <v>2896</v>
      </c>
      <c r="D47" s="29" t="s">
        <v>663</v>
      </c>
      <c r="E47" s="29" t="s">
        <v>2897</v>
      </c>
      <c r="F47" s="29" t="s">
        <v>2898</v>
      </c>
      <c r="G47" s="29" t="s">
        <v>2700</v>
      </c>
      <c r="H47" s="29" t="s">
        <v>2899</v>
      </c>
      <c r="I47" s="29" t="s">
        <v>2743</v>
      </c>
      <c r="J47" s="29" t="s">
        <v>2900</v>
      </c>
      <c r="K47" s="29"/>
    </row>
    <row r="48" spans="1:11" ht="25.5" x14ac:dyDescent="0.25">
      <c r="A48" s="29" t="s">
        <v>677</v>
      </c>
      <c r="B48" s="29" t="s">
        <v>156</v>
      </c>
      <c r="C48" s="29" t="s">
        <v>2901</v>
      </c>
      <c r="D48" s="29" t="s">
        <v>674</v>
      </c>
      <c r="E48" s="29" t="s">
        <v>2902</v>
      </c>
      <c r="F48" s="29" t="s">
        <v>2699</v>
      </c>
      <c r="G48" s="29" t="s">
        <v>2700</v>
      </c>
      <c r="H48" s="29" t="s">
        <v>2903</v>
      </c>
      <c r="I48" s="29" t="s">
        <v>2743</v>
      </c>
      <c r="J48" s="29" t="s">
        <v>2904</v>
      </c>
      <c r="K48" s="29"/>
    </row>
    <row r="49" spans="1:11" ht="25.5" x14ac:dyDescent="0.25">
      <c r="A49" s="29" t="s">
        <v>660</v>
      </c>
      <c r="B49" s="29" t="s">
        <v>156</v>
      </c>
      <c r="C49" s="29" t="s">
        <v>2905</v>
      </c>
      <c r="D49" s="29" t="s">
        <v>655</v>
      </c>
      <c r="E49" s="29" t="s">
        <v>2906</v>
      </c>
      <c r="F49" s="29" t="s">
        <v>2699</v>
      </c>
      <c r="G49" s="29" t="s">
        <v>2700</v>
      </c>
      <c r="H49" s="29" t="s">
        <v>2907</v>
      </c>
      <c r="I49" s="29" t="s">
        <v>2743</v>
      </c>
      <c r="J49" s="29" t="s">
        <v>2908</v>
      </c>
      <c r="K49" s="29"/>
    </row>
    <row r="50" spans="1:11" ht="51" x14ac:dyDescent="0.25">
      <c r="A50" s="29" t="s">
        <v>479</v>
      </c>
      <c r="B50" s="29" t="s">
        <v>302</v>
      </c>
      <c r="C50" s="29" t="s">
        <v>2909</v>
      </c>
      <c r="D50" s="29" t="s">
        <v>474</v>
      </c>
      <c r="E50" s="29" t="s">
        <v>2674</v>
      </c>
      <c r="F50" s="29" t="s">
        <v>2910</v>
      </c>
      <c r="G50" s="29" t="s">
        <v>2911</v>
      </c>
      <c r="H50" s="29" t="s">
        <v>2912</v>
      </c>
      <c r="I50" s="29" t="s">
        <v>2743</v>
      </c>
      <c r="J50" s="29" t="s">
        <v>2913</v>
      </c>
      <c r="K50" s="29" t="s">
        <v>2914</v>
      </c>
    </row>
    <row r="51" spans="1:11" ht="38.25" x14ac:dyDescent="0.25">
      <c r="A51" s="29" t="s">
        <v>395</v>
      </c>
      <c r="B51" s="29" t="s">
        <v>302</v>
      </c>
      <c r="C51" s="29" t="s">
        <v>2915</v>
      </c>
      <c r="D51" s="29" t="s">
        <v>390</v>
      </c>
      <c r="E51" s="29" t="s">
        <v>2674</v>
      </c>
      <c r="F51" s="29" t="s">
        <v>2916</v>
      </c>
      <c r="G51" s="29" t="s">
        <v>2917</v>
      </c>
      <c r="H51" s="29" t="s">
        <v>2918</v>
      </c>
      <c r="I51" s="29" t="s">
        <v>2743</v>
      </c>
      <c r="J51" s="29" t="s">
        <v>2919</v>
      </c>
      <c r="K51" s="29" t="s">
        <v>2920</v>
      </c>
    </row>
    <row r="52" spans="1:11" ht="25.5" x14ac:dyDescent="0.25">
      <c r="A52" s="29" t="s">
        <v>593</v>
      </c>
      <c r="B52" s="29" t="s">
        <v>302</v>
      </c>
      <c r="C52" s="29" t="s">
        <v>2921</v>
      </c>
      <c r="D52" s="29" t="s">
        <v>590</v>
      </c>
      <c r="E52" s="29" t="s">
        <v>2674</v>
      </c>
      <c r="F52" s="29" t="s">
        <v>2916</v>
      </c>
      <c r="G52" s="29" t="s">
        <v>2917</v>
      </c>
      <c r="H52" s="29" t="s">
        <v>2922</v>
      </c>
      <c r="I52" s="29" t="s">
        <v>2743</v>
      </c>
      <c r="J52" s="29" t="s">
        <v>2923</v>
      </c>
      <c r="K52" s="29" t="s">
        <v>2924</v>
      </c>
    </row>
    <row r="53" spans="1:11" ht="38.25" x14ac:dyDescent="0.25">
      <c r="A53" s="29" t="s">
        <v>311</v>
      </c>
      <c r="B53" s="29" t="s">
        <v>302</v>
      </c>
      <c r="C53" s="29" t="s">
        <v>2925</v>
      </c>
      <c r="D53" s="29" t="s">
        <v>303</v>
      </c>
      <c r="E53" s="29" t="s">
        <v>2674</v>
      </c>
      <c r="F53" s="29" t="s">
        <v>2916</v>
      </c>
      <c r="G53" s="29" t="s">
        <v>2917</v>
      </c>
      <c r="H53" s="29" t="s">
        <v>2926</v>
      </c>
      <c r="I53" s="29" t="s">
        <v>2743</v>
      </c>
      <c r="J53" s="29" t="s">
        <v>2927</v>
      </c>
      <c r="K53" s="29" t="s">
        <v>2928</v>
      </c>
    </row>
    <row r="54" spans="1:11" ht="51" x14ac:dyDescent="0.25">
      <c r="A54" s="29" t="s">
        <v>550</v>
      </c>
      <c r="B54" s="29" t="s">
        <v>2929</v>
      </c>
      <c r="C54" s="29" t="s">
        <v>2930</v>
      </c>
      <c r="D54" s="29" t="s">
        <v>544</v>
      </c>
      <c r="E54" s="29" t="s">
        <v>2674</v>
      </c>
      <c r="F54" s="29" t="s">
        <v>2931</v>
      </c>
      <c r="G54" s="29" t="s">
        <v>2932</v>
      </c>
      <c r="H54" s="29" t="s">
        <v>2933</v>
      </c>
      <c r="I54" s="29" t="s">
        <v>2743</v>
      </c>
      <c r="J54" s="29" t="s">
        <v>2934</v>
      </c>
      <c r="K54" s="29" t="s">
        <v>2935</v>
      </c>
    </row>
    <row r="55" spans="1:11" ht="38.25" x14ac:dyDescent="0.25">
      <c r="A55" s="29" t="s">
        <v>529</v>
      </c>
      <c r="B55" s="29" t="s">
        <v>2936</v>
      </c>
      <c r="C55" s="29" t="s">
        <v>2937</v>
      </c>
      <c r="D55" s="29" t="s">
        <v>526</v>
      </c>
      <c r="E55" s="29" t="s">
        <v>2674</v>
      </c>
      <c r="F55" s="29" t="s">
        <v>2938</v>
      </c>
      <c r="G55" s="29" t="s">
        <v>2939</v>
      </c>
      <c r="H55" s="29" t="s">
        <v>2940</v>
      </c>
      <c r="I55" s="29" t="s">
        <v>2743</v>
      </c>
      <c r="J55" s="29" t="s">
        <v>2941</v>
      </c>
      <c r="K55" s="29" t="s">
        <v>2942</v>
      </c>
    </row>
  </sheetData>
  <hyperlinks>
    <hyperlink ref="J2" r:id="rId1" xr:uid="{00000000-0004-0000-0700-000000000000}"/>
    <hyperlink ref="H3" r:id="rId2" xr:uid="{00000000-0004-0000-0700-000001000000}"/>
    <hyperlink ref="J3" r:id="rId3" xr:uid="{00000000-0004-0000-0700-000002000000}"/>
    <hyperlink ref="H4" r:id="rId4" xr:uid="{00000000-0004-0000-0700-000003000000}"/>
    <hyperlink ref="J4" r:id="rId5" xr:uid="{00000000-0004-0000-0700-000004000000}"/>
    <hyperlink ref="H5" r:id="rId6" xr:uid="{00000000-0004-0000-0700-000005000000}"/>
    <hyperlink ref="J5" r:id="rId7" xr:uid="{00000000-0004-0000-0700-000006000000}"/>
    <hyperlink ref="H6" r:id="rId8" xr:uid="{00000000-0004-0000-0700-000007000000}"/>
    <hyperlink ref="J6" r:id="rId9" xr:uid="{00000000-0004-0000-0700-000008000000}"/>
    <hyperlink ref="H7" r:id="rId10" xr:uid="{00000000-0004-0000-0700-000009000000}"/>
    <hyperlink ref="J7" r:id="rId11" xr:uid="{00000000-0004-0000-0700-00000A000000}"/>
    <hyperlink ref="H8" r:id="rId12" xr:uid="{00000000-0004-0000-0700-00000B000000}"/>
    <hyperlink ref="J8" r:id="rId13" xr:uid="{00000000-0004-0000-0700-00000C000000}"/>
    <hyperlink ref="H9" r:id="rId14" xr:uid="{00000000-0004-0000-0700-00000D000000}"/>
    <hyperlink ref="J9" r:id="rId15" xr:uid="{00000000-0004-0000-0700-00000E000000}"/>
    <hyperlink ref="H10" r:id="rId16" xr:uid="{00000000-0004-0000-0700-00000F000000}"/>
    <hyperlink ref="J10" r:id="rId17" xr:uid="{00000000-0004-0000-0700-000010000000}"/>
    <hyperlink ref="H11" r:id="rId18" xr:uid="{00000000-0004-0000-0700-000011000000}"/>
    <hyperlink ref="J11" r:id="rId19" xr:uid="{00000000-0004-0000-0700-000012000000}"/>
    <hyperlink ref="H12" r:id="rId20" xr:uid="{00000000-0004-0000-0700-000013000000}"/>
    <hyperlink ref="J12" r:id="rId21" xr:uid="{00000000-0004-0000-0700-000014000000}"/>
    <hyperlink ref="H13" r:id="rId22" xr:uid="{00000000-0004-0000-0700-000015000000}"/>
    <hyperlink ref="J13" r:id="rId23" xr:uid="{00000000-0004-0000-0700-000016000000}"/>
    <hyperlink ref="H14" r:id="rId24" xr:uid="{00000000-0004-0000-0700-000017000000}"/>
    <hyperlink ref="J14" r:id="rId25" xr:uid="{00000000-0004-0000-0700-000018000000}"/>
    <hyperlink ref="H15" r:id="rId26" xr:uid="{00000000-0004-0000-0700-000019000000}"/>
    <hyperlink ref="J15" r:id="rId27" xr:uid="{00000000-0004-0000-0700-00001A000000}"/>
    <hyperlink ref="H16" r:id="rId28" xr:uid="{00000000-0004-0000-0700-00001B000000}"/>
    <hyperlink ref="J16" r:id="rId29" xr:uid="{00000000-0004-0000-0700-00001C000000}"/>
    <hyperlink ref="H17" r:id="rId30" xr:uid="{00000000-0004-0000-0700-00001D000000}"/>
    <hyperlink ref="J17" r:id="rId31" xr:uid="{00000000-0004-0000-0700-00001E000000}"/>
    <hyperlink ref="H18" r:id="rId32" xr:uid="{00000000-0004-0000-0700-00001F000000}"/>
    <hyperlink ref="J18" r:id="rId33" xr:uid="{00000000-0004-0000-0700-000020000000}"/>
    <hyperlink ref="H19" r:id="rId34" xr:uid="{00000000-0004-0000-0700-000021000000}"/>
    <hyperlink ref="J19" r:id="rId35" xr:uid="{00000000-0004-0000-0700-000022000000}"/>
    <hyperlink ref="H20" r:id="rId36" xr:uid="{00000000-0004-0000-0700-000023000000}"/>
    <hyperlink ref="J20" r:id="rId37" xr:uid="{00000000-0004-0000-0700-000024000000}"/>
    <hyperlink ref="H21" r:id="rId38" xr:uid="{00000000-0004-0000-0700-000025000000}"/>
    <hyperlink ref="J21" r:id="rId39" xr:uid="{00000000-0004-0000-0700-000026000000}"/>
    <hyperlink ref="H22" r:id="rId40" xr:uid="{00000000-0004-0000-0700-000027000000}"/>
    <hyperlink ref="J22" r:id="rId41" xr:uid="{00000000-0004-0000-0700-000028000000}"/>
    <hyperlink ref="H23" r:id="rId42" xr:uid="{00000000-0004-0000-0700-000029000000}"/>
    <hyperlink ref="J23" r:id="rId43" xr:uid="{00000000-0004-0000-0700-00002A000000}"/>
    <hyperlink ref="H24" r:id="rId44" xr:uid="{00000000-0004-0000-0700-00002B000000}"/>
    <hyperlink ref="J24" r:id="rId45" xr:uid="{00000000-0004-0000-0700-00002C000000}"/>
    <hyperlink ref="H25" r:id="rId46" xr:uid="{00000000-0004-0000-0700-00002D000000}"/>
    <hyperlink ref="J25" r:id="rId47" xr:uid="{00000000-0004-0000-0700-00002E000000}"/>
    <hyperlink ref="H26" r:id="rId48" xr:uid="{00000000-0004-0000-0700-00002F000000}"/>
    <hyperlink ref="J26" r:id="rId49" xr:uid="{00000000-0004-0000-0700-000030000000}"/>
    <hyperlink ref="H27" r:id="rId50" xr:uid="{00000000-0004-0000-0700-000031000000}"/>
    <hyperlink ref="J27" r:id="rId51" xr:uid="{00000000-0004-0000-0700-000032000000}"/>
    <hyperlink ref="H28" r:id="rId52" xr:uid="{00000000-0004-0000-0700-000033000000}"/>
    <hyperlink ref="J28" r:id="rId53" xr:uid="{00000000-0004-0000-0700-000034000000}"/>
    <hyperlink ref="H29" r:id="rId54" xr:uid="{00000000-0004-0000-0700-000035000000}"/>
    <hyperlink ref="J29" r:id="rId55" xr:uid="{00000000-0004-0000-0700-000036000000}"/>
    <hyperlink ref="H30" r:id="rId56" xr:uid="{00000000-0004-0000-0700-000037000000}"/>
    <hyperlink ref="J30" r:id="rId57" xr:uid="{00000000-0004-0000-0700-000038000000}"/>
    <hyperlink ref="H31" r:id="rId58" xr:uid="{00000000-0004-0000-0700-000039000000}"/>
    <hyperlink ref="J31" r:id="rId59" xr:uid="{00000000-0004-0000-0700-00003A000000}"/>
    <hyperlink ref="H32" r:id="rId60" xr:uid="{00000000-0004-0000-0700-00003B000000}"/>
    <hyperlink ref="J32" r:id="rId61" xr:uid="{00000000-0004-0000-0700-00003C000000}"/>
    <hyperlink ref="H33" r:id="rId62" xr:uid="{00000000-0004-0000-0700-00003D000000}"/>
    <hyperlink ref="J33" r:id="rId63" xr:uid="{00000000-0004-0000-0700-00003E000000}"/>
    <hyperlink ref="H34" r:id="rId64" xr:uid="{00000000-0004-0000-0700-00003F000000}"/>
    <hyperlink ref="J34" r:id="rId65" xr:uid="{00000000-0004-0000-0700-000040000000}"/>
    <hyperlink ref="H35" r:id="rId66" xr:uid="{00000000-0004-0000-0700-000041000000}"/>
    <hyperlink ref="J35" r:id="rId67" xr:uid="{00000000-0004-0000-0700-000042000000}"/>
    <hyperlink ref="H36" r:id="rId68" xr:uid="{00000000-0004-0000-0700-000043000000}"/>
    <hyperlink ref="J36" r:id="rId69" xr:uid="{00000000-0004-0000-0700-000044000000}"/>
    <hyperlink ref="H37" r:id="rId70" xr:uid="{00000000-0004-0000-0700-000045000000}"/>
    <hyperlink ref="J37" r:id="rId71" xr:uid="{00000000-0004-0000-0700-000046000000}"/>
    <hyperlink ref="H38" r:id="rId72" xr:uid="{00000000-0004-0000-0700-000047000000}"/>
    <hyperlink ref="J38" r:id="rId73" xr:uid="{00000000-0004-0000-0700-000048000000}"/>
    <hyperlink ref="H39" r:id="rId74" xr:uid="{00000000-0004-0000-0700-000049000000}"/>
    <hyperlink ref="J39" r:id="rId75" xr:uid="{00000000-0004-0000-0700-00004A000000}"/>
    <hyperlink ref="H40" r:id="rId76" xr:uid="{00000000-0004-0000-0700-00004B000000}"/>
    <hyperlink ref="J40" r:id="rId77" xr:uid="{00000000-0004-0000-0700-00004C000000}"/>
    <hyperlink ref="H41" r:id="rId78" xr:uid="{00000000-0004-0000-0700-00004D000000}"/>
    <hyperlink ref="J41" r:id="rId79" xr:uid="{00000000-0004-0000-0700-00004E000000}"/>
    <hyperlink ref="H42" r:id="rId80" xr:uid="{00000000-0004-0000-0700-00004F000000}"/>
    <hyperlink ref="J42" r:id="rId81" xr:uid="{00000000-0004-0000-0700-000050000000}"/>
    <hyperlink ref="H43" r:id="rId82" xr:uid="{00000000-0004-0000-0700-000051000000}"/>
    <hyperlink ref="J43" r:id="rId83" xr:uid="{00000000-0004-0000-0700-000052000000}"/>
    <hyperlink ref="H44" r:id="rId84" xr:uid="{00000000-0004-0000-0700-000053000000}"/>
    <hyperlink ref="J44" r:id="rId85" xr:uid="{00000000-0004-0000-0700-000054000000}"/>
    <hyperlink ref="H45" r:id="rId86" xr:uid="{00000000-0004-0000-0700-000055000000}"/>
    <hyperlink ref="J45" r:id="rId87" xr:uid="{00000000-0004-0000-0700-000056000000}"/>
    <hyperlink ref="H46" r:id="rId88" xr:uid="{00000000-0004-0000-0700-000057000000}"/>
    <hyperlink ref="J46" r:id="rId89" xr:uid="{00000000-0004-0000-0700-000058000000}"/>
    <hyperlink ref="H47" r:id="rId90" xr:uid="{00000000-0004-0000-0700-000059000000}"/>
    <hyperlink ref="J47" r:id="rId91" xr:uid="{00000000-0004-0000-0700-00005A000000}"/>
    <hyperlink ref="H48" r:id="rId92" xr:uid="{00000000-0004-0000-0700-00005B000000}"/>
    <hyperlink ref="J48" r:id="rId93" xr:uid="{00000000-0004-0000-0700-00005C000000}"/>
    <hyperlink ref="H49" r:id="rId94" xr:uid="{00000000-0004-0000-0700-00005D000000}"/>
    <hyperlink ref="J49" r:id="rId95" xr:uid="{00000000-0004-0000-0700-00005E000000}"/>
    <hyperlink ref="H50" r:id="rId96" xr:uid="{00000000-0004-0000-0700-00005F000000}"/>
    <hyperlink ref="J50" r:id="rId97" xr:uid="{00000000-0004-0000-0700-000060000000}"/>
    <hyperlink ref="H51" r:id="rId98" xr:uid="{00000000-0004-0000-0700-000061000000}"/>
    <hyperlink ref="J51" r:id="rId99" xr:uid="{00000000-0004-0000-0700-000062000000}"/>
    <hyperlink ref="H52" r:id="rId100" xr:uid="{00000000-0004-0000-0700-000063000000}"/>
    <hyperlink ref="J52" r:id="rId101" xr:uid="{00000000-0004-0000-0700-000064000000}"/>
    <hyperlink ref="H53" r:id="rId102" xr:uid="{00000000-0004-0000-0700-000065000000}"/>
    <hyperlink ref="J53" r:id="rId103" xr:uid="{00000000-0004-0000-0700-000066000000}"/>
    <hyperlink ref="H54" r:id="rId104" xr:uid="{00000000-0004-0000-0700-000067000000}"/>
    <hyperlink ref="J54" r:id="rId105" xr:uid="{00000000-0004-0000-0700-000068000000}"/>
    <hyperlink ref="H55" r:id="rId106" xr:uid="{00000000-0004-0000-0700-000069000000}"/>
    <hyperlink ref="J55" r:id="rId107" xr:uid="{00000000-0004-0000-0700-00006A000000}"/>
  </hyperlinks>
  <pageMargins left="0.75" right="0.75" top="1" bottom="1" header="0.5" footer="0.5"/>
  <tableParts count="1">
    <tablePart r:id="rId10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8" customWidth="1"/>
    <col min="4" max="4" width="42" customWidth="1"/>
    <col min="5" max="5" width="8" customWidth="1"/>
    <col min="6" max="6" width="9" customWidth="1"/>
    <col min="7" max="7" width="17" customWidth="1"/>
    <col min="8" max="8" width="12" customWidth="1"/>
    <col min="9" max="9" width="18" customWidth="1"/>
    <col min="10" max="10" width="70" customWidth="1"/>
    <col min="11" max="11" width="8" customWidth="1"/>
    <col min="12" max="12" width="10" customWidth="1"/>
  </cols>
  <sheetData>
    <row r="1" spans="1:12" ht="25.5" x14ac:dyDescent="0.25">
      <c r="A1" s="27" t="s">
        <v>2943</v>
      </c>
      <c r="B1" s="27" t="s">
        <v>2944</v>
      </c>
      <c r="C1" s="27" t="s">
        <v>2945</v>
      </c>
      <c r="D1" s="27" t="s">
        <v>2946</v>
      </c>
      <c r="E1" s="27" t="s">
        <v>2947</v>
      </c>
      <c r="F1" s="27" t="s">
        <v>2948</v>
      </c>
      <c r="G1" s="27" t="s">
        <v>52</v>
      </c>
      <c r="H1" s="27" t="s">
        <v>2949</v>
      </c>
      <c r="I1" s="27" t="s">
        <v>2950</v>
      </c>
      <c r="J1" s="27" t="s">
        <v>705</v>
      </c>
      <c r="K1" s="28" t="s">
        <v>2951</v>
      </c>
      <c r="L1" s="28" t="s">
        <v>2952</v>
      </c>
    </row>
    <row r="2" spans="1:12" x14ac:dyDescent="0.25">
      <c r="A2" s="37" t="s">
        <v>2953</v>
      </c>
      <c r="B2" s="37" t="s">
        <v>2954</v>
      </c>
      <c r="C2" s="37">
        <v>5</v>
      </c>
      <c r="D2" s="37" t="s">
        <v>2955</v>
      </c>
      <c r="E2" s="37">
        <v>50</v>
      </c>
      <c r="F2" s="37">
        <v>1.8</v>
      </c>
      <c r="G2" s="37" t="s">
        <v>154</v>
      </c>
      <c r="H2" s="37" t="s">
        <v>2956</v>
      </c>
      <c r="I2" s="37" t="s">
        <v>2957</v>
      </c>
      <c r="J2" s="29"/>
      <c r="K2" s="40">
        <f>IF(G2="","",INDEX(Cables!$F:$F,MATCH(G2,Cables!$A:$A,0)))</f>
        <v>50</v>
      </c>
      <c r="L2" s="40">
        <f>IF(G2="","",INDEX(Cables!$H:$H,MATCH(G2,Cables!$A:$A,0)))</f>
        <v>1.8</v>
      </c>
    </row>
    <row r="3" spans="1:12" x14ac:dyDescent="0.25">
      <c r="A3" s="37" t="s">
        <v>2958</v>
      </c>
      <c r="B3" s="37" t="s">
        <v>2954</v>
      </c>
      <c r="C3" s="37">
        <v>6</v>
      </c>
      <c r="D3" s="37" t="s">
        <v>2959</v>
      </c>
      <c r="E3" s="37">
        <v>50</v>
      </c>
      <c r="F3" s="37">
        <v>2.6</v>
      </c>
      <c r="G3" s="37" t="s">
        <v>169</v>
      </c>
      <c r="H3" s="37" t="s">
        <v>2956</v>
      </c>
      <c r="I3" s="37" t="s">
        <v>2957</v>
      </c>
      <c r="J3" s="29" t="s">
        <v>2960</v>
      </c>
      <c r="K3" s="40">
        <f>IF(G3="","",INDEX(Cables!$F:$F,MATCH(G3,Cables!$A:$A,0)))</f>
        <v>50</v>
      </c>
      <c r="L3" s="40">
        <f>IF(G3="","",INDEX(Cables!$H:$H,MATCH(G3,Cables!$A:$A,0)))</f>
        <v>2.79</v>
      </c>
    </row>
    <row r="4" spans="1:12" x14ac:dyDescent="0.25">
      <c r="A4" s="37" t="s">
        <v>2961</v>
      </c>
      <c r="B4" s="37" t="s">
        <v>2954</v>
      </c>
      <c r="C4" s="37">
        <v>7</v>
      </c>
      <c r="D4" s="37" t="s">
        <v>2962</v>
      </c>
      <c r="E4" s="37">
        <v>50</v>
      </c>
      <c r="F4" s="37">
        <v>2.6</v>
      </c>
      <c r="G4" s="37" t="s">
        <v>183</v>
      </c>
      <c r="H4" s="37" t="s">
        <v>2956</v>
      </c>
      <c r="I4" s="37" t="s">
        <v>2957</v>
      </c>
      <c r="J4" s="29"/>
      <c r="K4" s="40">
        <f>IF(G4="","",INDEX(Cables!$F:$F,MATCH(G4,Cables!$A:$A,0)))</f>
        <v>50</v>
      </c>
      <c r="L4" s="40">
        <f>IF(G4="","",INDEX(Cables!$H:$H,MATCH(G4,Cables!$A:$A,0)))</f>
        <v>2.5</v>
      </c>
    </row>
    <row r="5" spans="1:12" x14ac:dyDescent="0.25">
      <c r="A5" s="37" t="s">
        <v>2963</v>
      </c>
      <c r="B5" s="37" t="s">
        <v>2954</v>
      </c>
      <c r="C5" s="37">
        <v>8</v>
      </c>
      <c r="D5" s="37" t="s">
        <v>2964</v>
      </c>
      <c r="E5" s="37">
        <v>50</v>
      </c>
      <c r="F5" s="37"/>
      <c r="G5" s="37" t="s">
        <v>191</v>
      </c>
      <c r="H5" s="37" t="s">
        <v>2956</v>
      </c>
      <c r="I5" s="37" t="s">
        <v>2957</v>
      </c>
      <c r="J5" s="29"/>
      <c r="K5" s="40">
        <f>IF(G5="","",INDEX(Cables!$F:$F,MATCH(G5,Cables!$A:$A,0)))</f>
        <v>50</v>
      </c>
      <c r="L5" s="40">
        <f>IF(G5="","",INDEX(Cables!$H:$H,MATCH(G5,Cables!$A:$A,0)))</f>
        <v>2.54</v>
      </c>
    </row>
    <row r="6" spans="1:12" x14ac:dyDescent="0.25">
      <c r="A6" s="37" t="s">
        <v>2965</v>
      </c>
      <c r="B6" s="37" t="s">
        <v>2954</v>
      </c>
      <c r="C6" s="37">
        <v>9</v>
      </c>
      <c r="D6" s="37" t="s">
        <v>2966</v>
      </c>
      <c r="E6" s="37">
        <v>50</v>
      </c>
      <c r="F6" s="37">
        <v>5.8</v>
      </c>
      <c r="G6" s="37" t="s">
        <v>209</v>
      </c>
      <c r="H6" s="37" t="s">
        <v>2956</v>
      </c>
      <c r="I6" s="37" t="s">
        <v>2957</v>
      </c>
      <c r="J6" s="29" t="s">
        <v>2967</v>
      </c>
      <c r="K6" s="40">
        <f>IF(G6="","",INDEX(Cables!$F:$F,MATCH(G6,Cables!$A:$A,0)))</f>
        <v>50</v>
      </c>
      <c r="L6" s="40">
        <f>IF(G6="","",INDEX(Cables!$H:$H,MATCH(G6,Cables!$A:$A,0)))</f>
        <v>4.9000000000000004</v>
      </c>
    </row>
    <row r="7" spans="1:12" x14ac:dyDescent="0.25">
      <c r="A7" s="37" t="s">
        <v>2968</v>
      </c>
      <c r="B7" s="37" t="s">
        <v>2954</v>
      </c>
      <c r="C7" s="37">
        <v>10</v>
      </c>
      <c r="D7" s="37" t="s">
        <v>2969</v>
      </c>
      <c r="E7" s="37">
        <v>50</v>
      </c>
      <c r="F7" s="37">
        <v>5</v>
      </c>
      <c r="G7" s="37" t="s">
        <v>218</v>
      </c>
      <c r="H7" s="37" t="s">
        <v>2970</v>
      </c>
      <c r="I7" s="37" t="s">
        <v>2957</v>
      </c>
      <c r="J7" s="29"/>
      <c r="K7" s="40">
        <f>IF(G7="","",INDEX(Cables!$F:$F,MATCH(G7,Cables!$A:$A,0)))</f>
        <v>50</v>
      </c>
      <c r="L7" s="40">
        <f>IF(G7="","",INDEX(Cables!$H:$H,MATCH(G7,Cables!$A:$A,0)))</f>
        <v>5</v>
      </c>
    </row>
    <row r="8" spans="1:12" x14ac:dyDescent="0.25">
      <c r="A8" s="37" t="s">
        <v>2971</v>
      </c>
      <c r="B8" s="37" t="s">
        <v>2954</v>
      </c>
      <c r="C8" s="37">
        <v>11</v>
      </c>
      <c r="D8" s="37" t="s">
        <v>2972</v>
      </c>
      <c r="E8" s="37">
        <v>50</v>
      </c>
      <c r="F8" s="37">
        <v>5.4</v>
      </c>
      <c r="G8" s="37" t="s">
        <v>235</v>
      </c>
      <c r="H8" s="37" t="s">
        <v>2956</v>
      </c>
      <c r="I8" s="37" t="s">
        <v>2957</v>
      </c>
      <c r="J8" s="29"/>
      <c r="K8" s="40">
        <f>IF(G8="","",INDEX(Cables!$F:$F,MATCH(G8,Cables!$A:$A,0)))</f>
        <v>50</v>
      </c>
      <c r="L8" s="40">
        <f>IF(G8="","",INDEX(Cables!$H:$H,MATCH(G8,Cables!$A:$A,0)))</f>
        <v>5.38</v>
      </c>
    </row>
    <row r="9" spans="1:12" ht="25.5" x14ac:dyDescent="0.25">
      <c r="A9" s="37" t="s">
        <v>2973</v>
      </c>
      <c r="B9" s="37" t="s">
        <v>2954</v>
      </c>
      <c r="C9" s="37">
        <v>12</v>
      </c>
      <c r="D9" s="37" t="s">
        <v>2974</v>
      </c>
      <c r="E9" s="37">
        <v>50</v>
      </c>
      <c r="F9" s="37">
        <v>4</v>
      </c>
      <c r="G9" s="37" t="s">
        <v>225</v>
      </c>
      <c r="H9" s="37" t="s">
        <v>2956</v>
      </c>
      <c r="I9" s="37" t="s">
        <v>2957</v>
      </c>
      <c r="J9" s="29" t="s">
        <v>2975</v>
      </c>
      <c r="K9" s="40">
        <f>IF(G9="","",INDEX(Cables!$F:$F,MATCH(G9,Cables!$A:$A,0)))</f>
        <v>54</v>
      </c>
      <c r="L9" s="40">
        <f>IF(G9="","",INDEX(Cables!$H:$H,MATCH(G9,Cables!$A:$A,0)))</f>
        <v>4.9000000000000004</v>
      </c>
    </row>
    <row r="10" spans="1:12" x14ac:dyDescent="0.25">
      <c r="A10" s="37" t="s">
        <v>2976</v>
      </c>
      <c r="B10" s="37" t="s">
        <v>2954</v>
      </c>
      <c r="C10" s="37">
        <v>13</v>
      </c>
      <c r="D10" s="37" t="s">
        <v>2977</v>
      </c>
      <c r="E10" s="37">
        <v>50</v>
      </c>
      <c r="F10" s="37">
        <v>4.95</v>
      </c>
      <c r="G10" s="37" t="s">
        <v>246</v>
      </c>
      <c r="H10" s="37" t="s">
        <v>2956</v>
      </c>
      <c r="I10" s="37" t="s">
        <v>2957</v>
      </c>
      <c r="J10" s="29"/>
      <c r="K10" s="40">
        <f>IF(G10="","",INDEX(Cables!$F:$F,MATCH(G10,Cables!$A:$A,0)))</f>
        <v>50</v>
      </c>
      <c r="L10" s="40">
        <f>IF(G10="","",INDEX(Cables!$H:$H,MATCH(G10,Cables!$A:$A,0)))</f>
        <v>5</v>
      </c>
    </row>
    <row r="11" spans="1:12" x14ac:dyDescent="0.25">
      <c r="A11" s="37" t="s">
        <v>2978</v>
      </c>
      <c r="B11" s="37" t="s">
        <v>2954</v>
      </c>
      <c r="C11" s="37">
        <v>14</v>
      </c>
      <c r="D11" s="37" t="s">
        <v>2979</v>
      </c>
      <c r="E11" s="37">
        <v>50</v>
      </c>
      <c r="F11" s="37">
        <v>4.95</v>
      </c>
      <c r="G11" s="37" t="s">
        <v>265</v>
      </c>
      <c r="H11" s="37" t="s">
        <v>2956</v>
      </c>
      <c r="I11" s="37" t="s">
        <v>2957</v>
      </c>
      <c r="J11" s="29"/>
      <c r="K11" s="40">
        <f>IF(G11="","",INDEX(Cables!$F:$F,MATCH(G11,Cables!$A:$A,0)))</f>
        <v>50</v>
      </c>
      <c r="L11" s="40">
        <f>IF(G11="","",INDEX(Cables!$H:$H,MATCH(G11,Cables!$A:$A,0)))</f>
        <v>4.95</v>
      </c>
    </row>
    <row r="12" spans="1:12" x14ac:dyDescent="0.25">
      <c r="A12" s="37" t="s">
        <v>2980</v>
      </c>
      <c r="B12" s="37" t="s">
        <v>2954</v>
      </c>
      <c r="C12" s="37">
        <v>15</v>
      </c>
      <c r="D12" s="37" t="s">
        <v>2981</v>
      </c>
      <c r="E12" s="37">
        <v>52</v>
      </c>
      <c r="F12" s="37">
        <v>6.15</v>
      </c>
      <c r="G12" s="37" t="s">
        <v>274</v>
      </c>
      <c r="H12" s="37" t="s">
        <v>2970</v>
      </c>
      <c r="I12" s="37" t="s">
        <v>2957</v>
      </c>
      <c r="J12" s="29"/>
      <c r="K12" s="40">
        <f>IF(G12="","",INDEX(Cables!$F:$F,MATCH(G12,Cables!$A:$A,0)))</f>
        <v>50</v>
      </c>
      <c r="L12" s="40">
        <f>IF(G12="","",INDEX(Cables!$H:$H,MATCH(G12,Cables!$A:$A,0)))</f>
        <v>6.15</v>
      </c>
    </row>
    <row r="13" spans="1:12" ht="25.5" x14ac:dyDescent="0.25">
      <c r="A13" s="37" t="s">
        <v>2982</v>
      </c>
      <c r="B13" s="37" t="s">
        <v>2954</v>
      </c>
      <c r="C13" s="37">
        <v>16</v>
      </c>
      <c r="D13" s="37" t="s">
        <v>2983</v>
      </c>
      <c r="E13" s="37">
        <v>52</v>
      </c>
      <c r="F13" s="37">
        <v>6.14</v>
      </c>
      <c r="G13" s="37" t="s">
        <v>274</v>
      </c>
      <c r="H13" s="37" t="s">
        <v>2956</v>
      </c>
      <c r="I13" s="37" t="s">
        <v>2957</v>
      </c>
      <c r="J13" s="29" t="s">
        <v>2984</v>
      </c>
      <c r="K13" s="40">
        <f>IF(G13="","",INDEX(Cables!$F:$F,MATCH(G13,Cables!$A:$A,0)))</f>
        <v>50</v>
      </c>
      <c r="L13" s="40">
        <f>IF(G13="","",INDEX(Cables!$H:$H,MATCH(G13,Cables!$A:$A,0)))</f>
        <v>6.15</v>
      </c>
    </row>
    <row r="14" spans="1:12" ht="25.5" x14ac:dyDescent="0.25">
      <c r="A14" s="37" t="s">
        <v>2985</v>
      </c>
      <c r="B14" s="37" t="s">
        <v>2954</v>
      </c>
      <c r="C14" s="37">
        <v>17</v>
      </c>
      <c r="D14" s="37" t="s">
        <v>2986</v>
      </c>
      <c r="E14" s="37">
        <v>50</v>
      </c>
      <c r="F14" s="37">
        <v>5</v>
      </c>
      <c r="G14" s="37"/>
      <c r="H14" s="37"/>
      <c r="I14" s="37" t="s">
        <v>2987</v>
      </c>
      <c r="J14" s="29" t="s">
        <v>2988</v>
      </c>
      <c r="K14" s="40" t="str">
        <f>IF(G14="","",INDEX(Cables!$F:$F,MATCH(G14,Cables!$A:$A,0)))</f>
        <v/>
      </c>
      <c r="L14" s="40" t="str">
        <f>IF(G14="","",INDEX(Cables!$H:$H,MATCH(G14,Cables!$A:$A,0)))</f>
        <v/>
      </c>
    </row>
    <row r="15" spans="1:12" ht="25.5" x14ac:dyDescent="0.25">
      <c r="A15" s="37" t="s">
        <v>2989</v>
      </c>
      <c r="B15" s="37" t="s">
        <v>2954</v>
      </c>
      <c r="C15" s="37">
        <v>18</v>
      </c>
      <c r="D15" s="37" t="s">
        <v>2990</v>
      </c>
      <c r="E15" s="37">
        <v>50</v>
      </c>
      <c r="F15" s="37">
        <v>5</v>
      </c>
      <c r="G15" s="37" t="s">
        <v>257</v>
      </c>
      <c r="H15" s="37" t="s">
        <v>2956</v>
      </c>
      <c r="I15" s="37" t="s">
        <v>2957</v>
      </c>
      <c r="J15" s="29" t="s">
        <v>2991</v>
      </c>
      <c r="K15" s="40">
        <f>IF(G15="","",INDEX(Cables!$F:$F,MATCH(G15,Cables!$A:$A,0)))</f>
        <v>50</v>
      </c>
      <c r="L15" s="40">
        <f>IF(G15="","",INDEX(Cables!$H:$H,MATCH(G15,Cables!$A:$A,0)))</f>
        <v>4.95</v>
      </c>
    </row>
    <row r="16" spans="1:12" x14ac:dyDescent="0.25">
      <c r="A16" s="37" t="s">
        <v>2992</v>
      </c>
      <c r="B16" s="37" t="s">
        <v>2954</v>
      </c>
      <c r="C16" s="37">
        <v>19</v>
      </c>
      <c r="D16" s="37" t="s">
        <v>2993</v>
      </c>
      <c r="E16" s="37">
        <v>50</v>
      </c>
      <c r="F16" s="37">
        <v>5.4</v>
      </c>
      <c r="G16" s="37" t="s">
        <v>322</v>
      </c>
      <c r="H16" s="37" t="s">
        <v>2970</v>
      </c>
      <c r="I16" s="37" t="s">
        <v>2957</v>
      </c>
      <c r="J16" s="29" t="s">
        <v>2994</v>
      </c>
      <c r="K16" s="40">
        <f>IF(G16="","",INDEX(Cables!$F:$F,MATCH(G16,Cables!$A:$A,0)))</f>
        <v>50</v>
      </c>
      <c r="L16" s="40">
        <f>IF(G16="","",INDEX(Cables!$H:$H,MATCH(G16,Cables!$A:$A,0)))</f>
        <v>5.4</v>
      </c>
    </row>
    <row r="17" spans="1:12" x14ac:dyDescent="0.25">
      <c r="A17" s="37" t="s">
        <v>2995</v>
      </c>
      <c r="B17" s="37" t="s">
        <v>2954</v>
      </c>
      <c r="C17" s="37">
        <v>20</v>
      </c>
      <c r="D17" s="37" t="s">
        <v>2996</v>
      </c>
      <c r="E17" s="37">
        <v>50</v>
      </c>
      <c r="F17" s="37">
        <v>5</v>
      </c>
      <c r="G17" s="37" t="s">
        <v>313</v>
      </c>
      <c r="H17" s="37" t="s">
        <v>2970</v>
      </c>
      <c r="I17" s="37" t="s">
        <v>2957</v>
      </c>
      <c r="J17" s="29"/>
      <c r="K17" s="40">
        <f>IF(G17="","",INDEX(Cables!$F:$F,MATCH(G17,Cables!$A:$A,0)))</f>
        <v>50</v>
      </c>
      <c r="L17" s="40">
        <f>IF(G17="","",INDEX(Cables!$H:$H,MATCH(G17,Cables!$A:$A,0)))</f>
        <v>5</v>
      </c>
    </row>
    <row r="18" spans="1:12" x14ac:dyDescent="0.25">
      <c r="A18" s="37" t="s">
        <v>2997</v>
      </c>
      <c r="B18" s="37" t="s">
        <v>2954</v>
      </c>
      <c r="C18" s="37">
        <v>21</v>
      </c>
      <c r="D18" s="37" t="s">
        <v>2998</v>
      </c>
      <c r="E18" s="37">
        <v>50</v>
      </c>
      <c r="F18" s="37">
        <v>6.2</v>
      </c>
      <c r="G18" s="37" t="s">
        <v>678</v>
      </c>
      <c r="H18" s="37" t="s">
        <v>2956</v>
      </c>
      <c r="I18" s="37" t="s">
        <v>2957</v>
      </c>
      <c r="J18" s="29" t="s">
        <v>2999</v>
      </c>
      <c r="K18" s="40">
        <f>IF(G18="","",INDEX(Cables!$F:$F,MATCH(G18,Cables!$A:$A,0)))</f>
        <v>93</v>
      </c>
      <c r="L18" s="40">
        <f>IF(G18="","",INDEX(Cables!$H:$H,MATCH(G18,Cables!$A:$A,0)))</f>
        <v>6.07</v>
      </c>
    </row>
    <row r="19" spans="1:12" x14ac:dyDescent="0.25">
      <c r="A19" s="37" t="s">
        <v>3000</v>
      </c>
      <c r="B19" s="37" t="s">
        <v>2954</v>
      </c>
      <c r="C19" s="37">
        <v>22</v>
      </c>
      <c r="D19" s="37" t="s">
        <v>3001</v>
      </c>
      <c r="E19" s="37">
        <v>50</v>
      </c>
      <c r="F19" s="37">
        <v>6.1</v>
      </c>
      <c r="G19" s="37" t="s">
        <v>346</v>
      </c>
      <c r="H19" s="37" t="s">
        <v>2970</v>
      </c>
      <c r="I19" s="37" t="s">
        <v>2957</v>
      </c>
      <c r="J19" s="29"/>
      <c r="K19" s="40">
        <f>IF(G19="","",INDEX(Cables!$F:$F,MATCH(G19,Cables!$A:$A,0)))</f>
        <v>50</v>
      </c>
      <c r="L19" s="40">
        <f>IF(G19="","",INDEX(Cables!$H:$H,MATCH(G19,Cables!$A:$A,0)))</f>
        <v>6.1</v>
      </c>
    </row>
    <row r="20" spans="1:12" x14ac:dyDescent="0.25">
      <c r="A20" s="37" t="s">
        <v>3002</v>
      </c>
      <c r="B20" s="37" t="s">
        <v>2954</v>
      </c>
      <c r="C20" s="37">
        <v>23</v>
      </c>
      <c r="D20" s="37" t="s">
        <v>3003</v>
      </c>
      <c r="E20" s="37">
        <v>50</v>
      </c>
      <c r="F20" s="37">
        <v>10.3</v>
      </c>
      <c r="G20" s="37" t="s">
        <v>371</v>
      </c>
      <c r="H20" s="37" t="s">
        <v>2956</v>
      </c>
      <c r="I20" s="37" t="s">
        <v>2957</v>
      </c>
      <c r="J20" s="29" t="s">
        <v>3004</v>
      </c>
      <c r="K20" s="40">
        <f>IF(G20="","",INDEX(Cables!$F:$F,MATCH(G20,Cables!$A:$A,0)))</f>
        <v>50</v>
      </c>
      <c r="L20" s="40">
        <f>IF(G20="","",INDEX(Cables!$H:$H,MATCH(G20,Cables!$A:$A,0)))</f>
        <v>10.3</v>
      </c>
    </row>
    <row r="21" spans="1:12" x14ac:dyDescent="0.25">
      <c r="A21" s="37" t="s">
        <v>3005</v>
      </c>
      <c r="B21" s="37" t="s">
        <v>2954</v>
      </c>
      <c r="C21" s="37">
        <v>24</v>
      </c>
      <c r="D21" s="37" t="s">
        <v>3006</v>
      </c>
      <c r="E21" s="37">
        <v>50</v>
      </c>
      <c r="F21" s="37">
        <v>5.4</v>
      </c>
      <c r="G21" s="37" t="s">
        <v>333</v>
      </c>
      <c r="H21" s="37" t="s">
        <v>2970</v>
      </c>
      <c r="I21" s="37" t="s">
        <v>2957</v>
      </c>
      <c r="J21" s="29"/>
      <c r="K21" s="40">
        <f>IF(G21="","",INDEX(Cables!$F:$F,MATCH(G21,Cables!$A:$A,0)))</f>
        <v>50</v>
      </c>
      <c r="L21" s="40">
        <f>IF(G21="","",INDEX(Cables!$H:$H,MATCH(G21,Cables!$A:$A,0)))</f>
        <v>5.4</v>
      </c>
    </row>
    <row r="22" spans="1:12" x14ac:dyDescent="0.25">
      <c r="A22" s="37" t="s">
        <v>3007</v>
      </c>
      <c r="B22" s="37" t="s">
        <v>2954</v>
      </c>
      <c r="C22" s="37">
        <v>25</v>
      </c>
      <c r="D22" s="37" t="s">
        <v>3008</v>
      </c>
      <c r="E22" s="37">
        <v>50</v>
      </c>
      <c r="F22" s="37">
        <v>10.3</v>
      </c>
      <c r="G22" s="37" t="s">
        <v>371</v>
      </c>
      <c r="H22" s="37" t="s">
        <v>2956</v>
      </c>
      <c r="I22" s="37" t="s">
        <v>2957</v>
      </c>
      <c r="J22" s="29"/>
      <c r="K22" s="40">
        <f>IF(G22="","",INDEX(Cables!$F:$F,MATCH(G22,Cables!$A:$A,0)))</f>
        <v>50</v>
      </c>
      <c r="L22" s="40">
        <f>IF(G22="","",INDEX(Cables!$H:$H,MATCH(G22,Cables!$A:$A,0)))</f>
        <v>10.3</v>
      </c>
    </row>
    <row r="23" spans="1:12" x14ac:dyDescent="0.25">
      <c r="A23" s="37" t="s">
        <v>3009</v>
      </c>
      <c r="B23" s="37" t="s">
        <v>2954</v>
      </c>
      <c r="C23" s="37">
        <v>26</v>
      </c>
      <c r="D23" s="37" t="s">
        <v>3010</v>
      </c>
      <c r="E23" s="37">
        <v>50</v>
      </c>
      <c r="F23" s="37">
        <v>10.3</v>
      </c>
      <c r="G23" s="37" t="s">
        <v>378</v>
      </c>
      <c r="H23" s="37" t="s">
        <v>2956</v>
      </c>
      <c r="I23" s="37" t="s">
        <v>2957</v>
      </c>
      <c r="J23" s="29" t="s">
        <v>3011</v>
      </c>
      <c r="K23" s="40">
        <f>IF(G23="","",INDEX(Cables!$F:$F,MATCH(G23,Cables!$A:$A,0)))</f>
        <v>50</v>
      </c>
      <c r="L23" s="40">
        <f>IF(G23="","",INDEX(Cables!$H:$H,MATCH(G23,Cables!$A:$A,0)))</f>
        <v>10.8</v>
      </c>
    </row>
    <row r="24" spans="1:12" x14ac:dyDescent="0.25">
      <c r="A24" s="37" t="s">
        <v>3012</v>
      </c>
      <c r="B24" s="37" t="s">
        <v>2954</v>
      </c>
      <c r="C24" s="37">
        <v>27</v>
      </c>
      <c r="D24" s="37" t="s">
        <v>3013</v>
      </c>
      <c r="E24" s="37">
        <v>50</v>
      </c>
      <c r="F24" s="37">
        <v>10.199999999999999</v>
      </c>
      <c r="G24" s="37" t="s">
        <v>384</v>
      </c>
      <c r="H24" s="37" t="s">
        <v>2970</v>
      </c>
      <c r="I24" s="37" t="s">
        <v>2957</v>
      </c>
      <c r="J24" s="29"/>
      <c r="K24" s="40">
        <f>IF(G24="","",INDEX(Cables!$F:$F,MATCH(G24,Cables!$A:$A,0)))</f>
        <v>50</v>
      </c>
      <c r="L24" s="40">
        <f>IF(G24="","",INDEX(Cables!$H:$H,MATCH(G24,Cables!$A:$A,0)))</f>
        <v>10.3</v>
      </c>
    </row>
    <row r="25" spans="1:12" x14ac:dyDescent="0.25">
      <c r="A25" s="37" t="s">
        <v>3014</v>
      </c>
      <c r="B25" s="37" t="s">
        <v>2954</v>
      </c>
      <c r="C25" s="37">
        <v>28</v>
      </c>
      <c r="D25" s="37" t="s">
        <v>3015</v>
      </c>
      <c r="E25" s="37">
        <v>50</v>
      </c>
      <c r="F25" s="37">
        <v>7.8</v>
      </c>
      <c r="G25" s="37" t="s">
        <v>411</v>
      </c>
      <c r="H25" s="37" t="s">
        <v>2970</v>
      </c>
      <c r="I25" s="37" t="s">
        <v>2957</v>
      </c>
      <c r="J25" s="29"/>
      <c r="K25" s="40">
        <f>IF(G25="","",INDEX(Cables!$F:$F,MATCH(G25,Cables!$A:$A,0)))</f>
        <v>50</v>
      </c>
      <c r="L25" s="40">
        <f>IF(G25="","",INDEX(Cables!$H:$H,MATCH(G25,Cables!$A:$A,0)))</f>
        <v>7.8</v>
      </c>
    </row>
    <row r="26" spans="1:12" x14ac:dyDescent="0.25">
      <c r="A26" s="37" t="s">
        <v>3016</v>
      </c>
      <c r="B26" s="37" t="s">
        <v>2954</v>
      </c>
      <c r="C26" s="37">
        <v>29</v>
      </c>
      <c r="D26" s="37" t="s">
        <v>3017</v>
      </c>
      <c r="E26" s="37">
        <v>50</v>
      </c>
      <c r="F26" s="37">
        <v>7.3</v>
      </c>
      <c r="G26" s="37" t="s">
        <v>421</v>
      </c>
      <c r="H26" s="37" t="s">
        <v>2970</v>
      </c>
      <c r="I26" s="37" t="s">
        <v>2957</v>
      </c>
      <c r="J26" s="29"/>
      <c r="K26" s="40">
        <f>IF(G26="","",INDEX(Cables!$F:$F,MATCH(G26,Cables!$A:$A,0)))</f>
        <v>50</v>
      </c>
      <c r="L26" s="40">
        <f>IF(G26="","",INDEX(Cables!$H:$H,MATCH(G26,Cables!$A:$A,0)))</f>
        <v>7.3</v>
      </c>
    </row>
    <row r="27" spans="1:12" ht="25.5" x14ac:dyDescent="0.25">
      <c r="A27" s="37" t="s">
        <v>3018</v>
      </c>
      <c r="B27" s="37" t="s">
        <v>2954</v>
      </c>
      <c r="C27" s="37">
        <v>30</v>
      </c>
      <c r="D27" s="37" t="s">
        <v>3019</v>
      </c>
      <c r="E27" s="37">
        <v>50</v>
      </c>
      <c r="F27" s="37">
        <v>10</v>
      </c>
      <c r="G27" s="37" t="s">
        <v>461</v>
      </c>
      <c r="H27" s="37" t="s">
        <v>2956</v>
      </c>
      <c r="I27" s="37" t="s">
        <v>2957</v>
      </c>
      <c r="J27" s="29" t="s">
        <v>3020</v>
      </c>
      <c r="K27" s="40">
        <f>IF(G27="","",INDEX(Cables!$F:$F,MATCH(G27,Cables!$A:$A,0)))</f>
        <v>50</v>
      </c>
      <c r="L27" s="40">
        <f>IF(G27="","",INDEX(Cables!$H:$H,MATCH(G27,Cables!$A:$A,0)))</f>
        <v>10.199999999999999</v>
      </c>
    </row>
    <row r="28" spans="1:12" x14ac:dyDescent="0.25">
      <c r="A28" s="37" t="s">
        <v>3021</v>
      </c>
      <c r="B28" s="37" t="s">
        <v>2954</v>
      </c>
      <c r="C28" s="37">
        <v>31</v>
      </c>
      <c r="D28" s="37" t="s">
        <v>3022</v>
      </c>
      <c r="E28" s="37">
        <v>50</v>
      </c>
      <c r="F28" s="37">
        <v>10.3</v>
      </c>
      <c r="G28" s="37" t="s">
        <v>481</v>
      </c>
      <c r="H28" s="37" t="s">
        <v>2970</v>
      </c>
      <c r="I28" s="37" t="s">
        <v>2957</v>
      </c>
      <c r="J28" s="29" t="s">
        <v>3023</v>
      </c>
      <c r="K28" s="40">
        <f>IF(G28="","",INDEX(Cables!$F:$F,MATCH(G28,Cables!$A:$A,0)))</f>
        <v>50</v>
      </c>
      <c r="L28" s="40">
        <f>IF(G28="","",INDEX(Cables!$H:$H,MATCH(G28,Cables!$A:$A,0)))</f>
        <v>10.3</v>
      </c>
    </row>
    <row r="29" spans="1:12" x14ac:dyDescent="0.25">
      <c r="A29" s="37" t="s">
        <v>3024</v>
      </c>
      <c r="B29" s="37" t="s">
        <v>2954</v>
      </c>
      <c r="C29" s="37">
        <v>32</v>
      </c>
      <c r="D29" s="37" t="s">
        <v>3025</v>
      </c>
      <c r="E29" s="37">
        <v>52</v>
      </c>
      <c r="F29" s="37">
        <v>10.16</v>
      </c>
      <c r="G29" s="37" t="s">
        <v>430</v>
      </c>
      <c r="H29" s="37" t="s">
        <v>2956</v>
      </c>
      <c r="I29" s="37" t="s">
        <v>2957</v>
      </c>
      <c r="J29" s="29" t="s">
        <v>3026</v>
      </c>
      <c r="K29" s="40">
        <f>IF(G29="","",INDEX(Cables!$F:$F,MATCH(G29,Cables!$A:$A,0)))</f>
        <v>50</v>
      </c>
      <c r="L29" s="40">
        <f>IF(G29="","",INDEX(Cables!$H:$H,MATCH(G29,Cables!$A:$A,0)))</f>
        <v>10.16</v>
      </c>
    </row>
    <row r="30" spans="1:12" x14ac:dyDescent="0.25">
      <c r="A30" s="37" t="s">
        <v>3027</v>
      </c>
      <c r="B30" s="37" t="s">
        <v>2954</v>
      </c>
      <c r="C30" s="37">
        <v>33</v>
      </c>
      <c r="D30" s="37" t="s">
        <v>3028</v>
      </c>
      <c r="E30" s="37">
        <v>50</v>
      </c>
      <c r="F30" s="37">
        <v>9.5</v>
      </c>
      <c r="G30" s="37" t="s">
        <v>444</v>
      </c>
      <c r="H30" s="37" t="s">
        <v>2970</v>
      </c>
      <c r="I30" s="37" t="s">
        <v>2957</v>
      </c>
      <c r="J30" s="29"/>
      <c r="K30" s="40">
        <f>IF(G30="","",INDEX(Cables!$F:$F,MATCH(G30,Cables!$A:$A,0)))</f>
        <v>50</v>
      </c>
      <c r="L30" s="40">
        <f>IF(G30="","",INDEX(Cables!$H:$H,MATCH(G30,Cables!$A:$A,0)))</f>
        <v>10.3</v>
      </c>
    </row>
    <row r="31" spans="1:12" ht="25.5" x14ac:dyDescent="0.25">
      <c r="A31" s="37" t="s">
        <v>3029</v>
      </c>
      <c r="B31" s="37" t="s">
        <v>2954</v>
      </c>
      <c r="C31" s="37">
        <v>34</v>
      </c>
      <c r="D31" s="37" t="s">
        <v>3030</v>
      </c>
      <c r="E31" s="37">
        <v>50</v>
      </c>
      <c r="F31" s="37">
        <v>10.3</v>
      </c>
      <c r="G31" s="37" t="s">
        <v>461</v>
      </c>
      <c r="H31" s="37" t="s">
        <v>2956</v>
      </c>
      <c r="I31" s="37" t="s">
        <v>2957</v>
      </c>
      <c r="J31" s="29" t="s">
        <v>3031</v>
      </c>
      <c r="K31" s="40">
        <f>IF(G31="","",INDEX(Cables!$F:$F,MATCH(G31,Cables!$A:$A,0)))</f>
        <v>50</v>
      </c>
      <c r="L31" s="40">
        <f>IF(G31="","",INDEX(Cables!$H:$H,MATCH(G31,Cables!$A:$A,0)))</f>
        <v>10.199999999999999</v>
      </c>
    </row>
    <row r="32" spans="1:12" x14ac:dyDescent="0.25">
      <c r="A32" s="37" t="s">
        <v>3032</v>
      </c>
      <c r="B32" s="37" t="s">
        <v>2954</v>
      </c>
      <c r="C32" s="37">
        <v>35</v>
      </c>
      <c r="D32" s="37" t="s">
        <v>3025</v>
      </c>
      <c r="E32" s="37">
        <v>52</v>
      </c>
      <c r="F32" s="37">
        <v>10.9</v>
      </c>
      <c r="G32" s="37" t="s">
        <v>430</v>
      </c>
      <c r="H32" s="37" t="s">
        <v>2956</v>
      </c>
      <c r="I32" s="37" t="s">
        <v>2957</v>
      </c>
      <c r="J32" s="29" t="s">
        <v>3033</v>
      </c>
      <c r="K32" s="40">
        <f>IF(G32="","",INDEX(Cables!$F:$F,MATCH(G32,Cables!$A:$A,0)))</f>
        <v>50</v>
      </c>
      <c r="L32" s="40">
        <f>IF(G32="","",INDEX(Cables!$H:$H,MATCH(G32,Cables!$A:$A,0)))</f>
        <v>10.16</v>
      </c>
    </row>
    <row r="33" spans="1:12" x14ac:dyDescent="0.25">
      <c r="A33" s="37" t="s">
        <v>3034</v>
      </c>
      <c r="B33" s="37" t="s">
        <v>2954</v>
      </c>
      <c r="C33" s="37">
        <v>36</v>
      </c>
      <c r="D33" s="37" t="s">
        <v>3035</v>
      </c>
      <c r="E33" s="37">
        <v>50</v>
      </c>
      <c r="F33" s="37">
        <v>10.199999999999999</v>
      </c>
      <c r="G33" s="37" t="s">
        <v>531</v>
      </c>
      <c r="H33" s="37" t="s">
        <v>2970</v>
      </c>
      <c r="I33" s="37" t="s">
        <v>2957</v>
      </c>
      <c r="J33" s="29" t="s">
        <v>3036</v>
      </c>
      <c r="K33" s="40">
        <f>IF(G33="","",INDEX(Cables!$F:$F,MATCH(G33,Cables!$A:$A,0)))</f>
        <v>50</v>
      </c>
      <c r="L33" s="40">
        <f>IF(G33="","",INDEX(Cables!$H:$H,MATCH(G33,Cables!$A:$A,0)))</f>
        <v>10.4</v>
      </c>
    </row>
    <row r="34" spans="1:12" x14ac:dyDescent="0.25">
      <c r="A34" s="37" t="s">
        <v>3037</v>
      </c>
      <c r="B34" s="37" t="s">
        <v>2954</v>
      </c>
      <c r="C34" s="37">
        <v>37</v>
      </c>
      <c r="D34" s="37" t="s">
        <v>3038</v>
      </c>
      <c r="E34" s="37">
        <v>50</v>
      </c>
      <c r="F34" s="37">
        <v>10.3</v>
      </c>
      <c r="G34" s="37" t="s">
        <v>506</v>
      </c>
      <c r="H34" s="37" t="s">
        <v>2970</v>
      </c>
      <c r="I34" s="37" t="s">
        <v>2957</v>
      </c>
      <c r="J34" s="29"/>
      <c r="K34" s="40">
        <f>IF(G34="","",INDEX(Cables!$F:$F,MATCH(G34,Cables!$A:$A,0)))</f>
        <v>50</v>
      </c>
      <c r="L34" s="40">
        <f>IF(G34="","",INDEX(Cables!$H:$H,MATCH(G34,Cables!$A:$A,0)))</f>
        <v>10.3</v>
      </c>
    </row>
    <row r="35" spans="1:12" x14ac:dyDescent="0.25">
      <c r="A35" s="37" t="s">
        <v>3039</v>
      </c>
      <c r="B35" s="37" t="s">
        <v>2954</v>
      </c>
      <c r="C35" s="37">
        <v>38</v>
      </c>
      <c r="D35" s="37" t="s">
        <v>3040</v>
      </c>
      <c r="E35" s="37">
        <v>50</v>
      </c>
      <c r="F35" s="37">
        <v>10.3</v>
      </c>
      <c r="G35" s="37" t="s">
        <v>501</v>
      </c>
      <c r="H35" s="37" t="s">
        <v>2970</v>
      </c>
      <c r="I35" s="37" t="s">
        <v>2957</v>
      </c>
      <c r="J35" s="29"/>
      <c r="K35" s="40">
        <f>IF(G35="","",INDEX(Cables!$F:$F,MATCH(G35,Cables!$A:$A,0)))</f>
        <v>50</v>
      </c>
      <c r="L35" s="40">
        <f>IF(G35="","",INDEX(Cables!$H:$H,MATCH(G35,Cables!$A:$A,0)))</f>
        <v>10.29</v>
      </c>
    </row>
    <row r="36" spans="1:12" ht="25.5" x14ac:dyDescent="0.25">
      <c r="A36" s="37" t="s">
        <v>3041</v>
      </c>
      <c r="B36" s="37" t="s">
        <v>2954</v>
      </c>
      <c r="C36" s="37">
        <v>39</v>
      </c>
      <c r="D36" s="37" t="s">
        <v>3042</v>
      </c>
      <c r="E36" s="37">
        <v>50</v>
      </c>
      <c r="F36" s="37">
        <v>7.4</v>
      </c>
      <c r="G36" s="37" t="s">
        <v>401</v>
      </c>
      <c r="H36" s="37" t="s">
        <v>2970</v>
      </c>
      <c r="I36" s="37" t="s">
        <v>2957</v>
      </c>
      <c r="J36" s="29" t="s">
        <v>3043</v>
      </c>
      <c r="K36" s="40">
        <f>IF(G36="","",INDEX(Cables!$F:$F,MATCH(G36,Cables!$A:$A,0)))</f>
        <v>50</v>
      </c>
      <c r="L36" s="40">
        <f>IF(G36="","",INDEX(Cables!$H:$H,MATCH(G36,Cables!$A:$A,0)))</f>
        <v>7.3659999999999997</v>
      </c>
    </row>
    <row r="37" spans="1:12" x14ac:dyDescent="0.25">
      <c r="A37" s="37" t="s">
        <v>3044</v>
      </c>
      <c r="B37" s="37" t="s">
        <v>2954</v>
      </c>
      <c r="C37" s="37">
        <v>40</v>
      </c>
      <c r="D37" s="37" t="s">
        <v>3045</v>
      </c>
      <c r="E37" s="37">
        <v>50</v>
      </c>
      <c r="F37" s="37">
        <v>10.3</v>
      </c>
      <c r="G37" s="37" t="s">
        <v>515</v>
      </c>
      <c r="H37" s="37" t="s">
        <v>2970</v>
      </c>
      <c r="I37" s="37" t="s">
        <v>2957</v>
      </c>
      <c r="J37" s="29"/>
      <c r="K37" s="40">
        <f>IF(G37="","",INDEX(Cables!$F:$F,MATCH(G37,Cables!$A:$A,0)))</f>
        <v>50</v>
      </c>
      <c r="L37" s="40">
        <f>IF(G37="","",INDEX(Cables!$H:$H,MATCH(G37,Cables!$A:$A,0)))</f>
        <v>10.3</v>
      </c>
    </row>
    <row r="38" spans="1:12" x14ac:dyDescent="0.25">
      <c r="A38" s="37" t="s">
        <v>3046</v>
      </c>
      <c r="B38" s="37" t="s">
        <v>2954</v>
      </c>
      <c r="C38" s="37">
        <v>41</v>
      </c>
      <c r="D38" s="37" t="s">
        <v>3047</v>
      </c>
      <c r="E38" s="37">
        <v>50</v>
      </c>
      <c r="F38" s="37">
        <v>10.3</v>
      </c>
      <c r="G38" s="37" t="s">
        <v>537</v>
      </c>
      <c r="H38" s="37" t="s">
        <v>2970</v>
      </c>
      <c r="I38" s="37" t="s">
        <v>2957</v>
      </c>
      <c r="J38" s="29"/>
      <c r="K38" s="40">
        <f>IF(G38="","",INDEX(Cables!$F:$F,MATCH(G38,Cables!$A:$A,0)))</f>
        <v>50</v>
      </c>
      <c r="L38" s="40">
        <f>IF(G38="","",INDEX(Cables!$H:$H,MATCH(G38,Cables!$A:$A,0)))</f>
        <v>10.3</v>
      </c>
    </row>
    <row r="39" spans="1:12" x14ac:dyDescent="0.25">
      <c r="A39" s="37" t="s">
        <v>3048</v>
      </c>
      <c r="B39" s="37" t="s">
        <v>2954</v>
      </c>
      <c r="C39" s="37">
        <v>42</v>
      </c>
      <c r="D39" s="37" t="s">
        <v>3049</v>
      </c>
      <c r="E39" s="37">
        <v>50</v>
      </c>
      <c r="F39" s="37">
        <v>13.5</v>
      </c>
      <c r="G39" s="37" t="s">
        <v>552</v>
      </c>
      <c r="H39" s="37" t="s">
        <v>2970</v>
      </c>
      <c r="I39" s="37" t="s">
        <v>2957</v>
      </c>
      <c r="J39" s="29"/>
      <c r="K39" s="40">
        <f>IF(G39="","",INDEX(Cables!$F:$F,MATCH(G39,Cables!$A:$A,0)))</f>
        <v>50</v>
      </c>
      <c r="L39" s="40">
        <f>IF(G39="","",INDEX(Cables!$H:$H,MATCH(G39,Cables!$A:$A,0)))</f>
        <v>13.2</v>
      </c>
    </row>
    <row r="40" spans="1:12" x14ac:dyDescent="0.25">
      <c r="A40" s="37" t="s">
        <v>3050</v>
      </c>
      <c r="B40" s="37" t="s">
        <v>2954</v>
      </c>
      <c r="C40" s="37">
        <v>43</v>
      </c>
      <c r="D40" s="37" t="s">
        <v>3051</v>
      </c>
      <c r="E40" s="37">
        <v>50</v>
      </c>
      <c r="F40" s="37">
        <v>13</v>
      </c>
      <c r="G40" s="37" t="s">
        <v>567</v>
      </c>
      <c r="H40" s="37" t="s">
        <v>2956</v>
      </c>
      <c r="I40" s="37" t="s">
        <v>2957</v>
      </c>
      <c r="J40" s="29"/>
      <c r="K40" s="40">
        <f>IF(G40="","",INDEX(Cables!$F:$F,MATCH(G40,Cables!$A:$A,0)))</f>
        <v>50</v>
      </c>
      <c r="L40" s="40">
        <f>IF(G40="","",INDEX(Cables!$H:$H,MATCH(G40,Cables!$A:$A,0)))</f>
        <v>13.1</v>
      </c>
    </row>
    <row r="41" spans="1:12" x14ac:dyDescent="0.25">
      <c r="A41" s="37" t="s">
        <v>3052</v>
      </c>
      <c r="B41" s="37" t="s">
        <v>2954</v>
      </c>
      <c r="C41" s="37">
        <v>44</v>
      </c>
      <c r="D41" s="37" t="s">
        <v>3053</v>
      </c>
      <c r="E41" s="37">
        <v>50</v>
      </c>
      <c r="F41" s="37">
        <v>12.7</v>
      </c>
      <c r="G41" s="37" t="s">
        <v>558</v>
      </c>
      <c r="H41" s="37" t="s">
        <v>2970</v>
      </c>
      <c r="I41" s="37" t="s">
        <v>2957</v>
      </c>
      <c r="J41" s="29" t="s">
        <v>3054</v>
      </c>
      <c r="K41" s="40">
        <f>IF(G41="","",INDEX(Cables!$F:$F,MATCH(G41,Cables!$A:$A,0)))</f>
        <v>50</v>
      </c>
      <c r="L41" s="40">
        <f>IF(G41="","",INDEX(Cables!$H:$H,MATCH(G41,Cables!$A:$A,0)))</f>
        <v>11.176</v>
      </c>
    </row>
    <row r="42" spans="1:12" x14ac:dyDescent="0.25">
      <c r="A42" s="37" t="s">
        <v>3055</v>
      </c>
      <c r="B42" s="37" t="s">
        <v>2954</v>
      </c>
      <c r="C42" s="37">
        <v>45</v>
      </c>
      <c r="D42" s="37" t="s">
        <v>3056</v>
      </c>
      <c r="E42" s="37">
        <v>50</v>
      </c>
      <c r="F42" s="37">
        <v>12.7</v>
      </c>
      <c r="G42" s="37" t="s">
        <v>558</v>
      </c>
      <c r="H42" s="37" t="s">
        <v>2956</v>
      </c>
      <c r="I42" s="37" t="s">
        <v>2957</v>
      </c>
      <c r="J42" s="29" t="s">
        <v>3057</v>
      </c>
      <c r="K42" s="40">
        <f>IF(G42="","",INDEX(Cables!$F:$F,MATCH(G42,Cables!$A:$A,0)))</f>
        <v>50</v>
      </c>
      <c r="L42" s="40">
        <f>IF(G42="","",INDEX(Cables!$H:$H,MATCH(G42,Cables!$A:$A,0)))</f>
        <v>11.176</v>
      </c>
    </row>
    <row r="43" spans="1:12" x14ac:dyDescent="0.25">
      <c r="A43" s="37" t="s">
        <v>3058</v>
      </c>
      <c r="B43" s="37" t="s">
        <v>2954</v>
      </c>
      <c r="C43" s="37">
        <v>46</v>
      </c>
      <c r="D43" s="37" t="s">
        <v>3059</v>
      </c>
      <c r="E43" s="37">
        <v>50</v>
      </c>
      <c r="F43" s="37">
        <v>12.7</v>
      </c>
      <c r="G43" s="37" t="s">
        <v>576</v>
      </c>
      <c r="H43" s="37" t="s">
        <v>2970</v>
      </c>
      <c r="I43" s="37" t="s">
        <v>2957</v>
      </c>
      <c r="J43" s="29"/>
      <c r="K43" s="40">
        <f>IF(G43="","",INDEX(Cables!$F:$F,MATCH(G43,Cables!$A:$A,0)))</f>
        <v>50</v>
      </c>
      <c r="L43" s="40">
        <f>IF(G43="","",INDEX(Cables!$H:$H,MATCH(G43,Cables!$A:$A,0)))</f>
        <v>12.7</v>
      </c>
    </row>
    <row r="44" spans="1:12" x14ac:dyDescent="0.25">
      <c r="A44" s="37" t="s">
        <v>3060</v>
      </c>
      <c r="B44" s="37" t="s">
        <v>2954</v>
      </c>
      <c r="C44" s="37">
        <v>47</v>
      </c>
      <c r="D44" s="37" t="s">
        <v>3061</v>
      </c>
      <c r="E44" s="37">
        <v>50</v>
      </c>
      <c r="F44" s="37">
        <v>12.7</v>
      </c>
      <c r="G44" s="37" t="s">
        <v>564</v>
      </c>
      <c r="H44" s="37" t="s">
        <v>2970</v>
      </c>
      <c r="I44" s="37" t="s">
        <v>2957</v>
      </c>
      <c r="J44" s="29"/>
      <c r="K44" s="40">
        <f>IF(G44="","",INDEX(Cables!$F:$F,MATCH(G44,Cables!$A:$A,0)))</f>
        <v>50</v>
      </c>
      <c r="L44" s="40">
        <f>IF(G44="","",INDEX(Cables!$H:$H,MATCH(G44,Cables!$A:$A,0)))</f>
        <v>12.7</v>
      </c>
    </row>
    <row r="45" spans="1:12" x14ac:dyDescent="0.25">
      <c r="A45" s="37" t="s">
        <v>3062</v>
      </c>
      <c r="B45" s="37" t="s">
        <v>2954</v>
      </c>
      <c r="C45" s="37">
        <v>48</v>
      </c>
      <c r="D45" s="37" t="s">
        <v>3063</v>
      </c>
      <c r="E45" s="37">
        <v>50</v>
      </c>
      <c r="F45" s="37">
        <v>12.7</v>
      </c>
      <c r="G45" s="37" t="s">
        <v>582</v>
      </c>
      <c r="H45" s="37" t="s">
        <v>2970</v>
      </c>
      <c r="I45" s="37" t="s">
        <v>2957</v>
      </c>
      <c r="J45" s="29"/>
      <c r="K45" s="40">
        <f>IF(G45="","",INDEX(Cables!$F:$F,MATCH(G45,Cables!$A:$A,0)))</f>
        <v>50</v>
      </c>
      <c r="L45" s="40">
        <f>IF(G45="","",INDEX(Cables!$H:$H,MATCH(G45,Cables!$A:$A,0)))</f>
        <v>12.7</v>
      </c>
    </row>
    <row r="46" spans="1:12" x14ac:dyDescent="0.25">
      <c r="A46" s="37" t="s">
        <v>3064</v>
      </c>
      <c r="B46" s="37" t="s">
        <v>2954</v>
      </c>
      <c r="C46" s="37">
        <v>49</v>
      </c>
      <c r="D46" s="37" t="s">
        <v>3065</v>
      </c>
      <c r="E46" s="37">
        <v>50</v>
      </c>
      <c r="F46" s="37">
        <v>15</v>
      </c>
      <c r="G46" s="37" t="s">
        <v>595</v>
      </c>
      <c r="H46" s="37" t="s">
        <v>2970</v>
      </c>
      <c r="I46" s="37" t="s">
        <v>2957</v>
      </c>
      <c r="J46" s="29"/>
      <c r="K46" s="40">
        <f>IF(G46="","",INDEX(Cables!$F:$F,MATCH(G46,Cables!$A:$A,0)))</f>
        <v>50</v>
      </c>
      <c r="L46" s="40">
        <f>IF(G46="","",INDEX(Cables!$H:$H,MATCH(G46,Cables!$A:$A,0)))</f>
        <v>14.99</v>
      </c>
    </row>
    <row r="47" spans="1:12" ht="25.5" x14ac:dyDescent="0.25">
      <c r="A47" s="37" t="s">
        <v>3066</v>
      </c>
      <c r="B47" s="37" t="s">
        <v>2954</v>
      </c>
      <c r="C47" s="37">
        <v>50</v>
      </c>
      <c r="D47" s="37" t="s">
        <v>3067</v>
      </c>
      <c r="E47" s="37">
        <v>50</v>
      </c>
      <c r="F47" s="37">
        <v>16</v>
      </c>
      <c r="G47" s="37" t="s">
        <v>598</v>
      </c>
      <c r="H47" s="37" t="s">
        <v>2956</v>
      </c>
      <c r="I47" s="37" t="s">
        <v>2957</v>
      </c>
      <c r="J47" s="29" t="s">
        <v>3068</v>
      </c>
      <c r="K47" s="40">
        <f>IF(G47="","",INDEX(Cables!$F:$F,MATCH(G47,Cables!$A:$A,0)))</f>
        <v>50</v>
      </c>
      <c r="L47" s="40">
        <f>IF(G47="","",INDEX(Cables!$H:$H,MATCH(G47,Cables!$A:$A,0)))</f>
        <v>15.875</v>
      </c>
    </row>
    <row r="48" spans="1:12" ht="25.5" x14ac:dyDescent="0.25">
      <c r="A48" s="37" t="s">
        <v>3069</v>
      </c>
      <c r="B48" s="37" t="s">
        <v>2954</v>
      </c>
      <c r="C48" s="37">
        <v>51</v>
      </c>
      <c r="D48" s="37" t="s">
        <v>3070</v>
      </c>
      <c r="E48" s="37">
        <v>50</v>
      </c>
      <c r="F48" s="37">
        <v>13.6</v>
      </c>
      <c r="G48" s="37" t="s">
        <v>598</v>
      </c>
      <c r="H48" s="37" t="s">
        <v>2970</v>
      </c>
      <c r="I48" s="37" t="s">
        <v>2957</v>
      </c>
      <c r="J48" s="29" t="s">
        <v>3071</v>
      </c>
      <c r="K48" s="40">
        <f>IF(G48="","",INDEX(Cables!$F:$F,MATCH(G48,Cables!$A:$A,0)))</f>
        <v>50</v>
      </c>
      <c r="L48" s="40">
        <f>IF(G48="","",INDEX(Cables!$H:$H,MATCH(G48,Cables!$A:$A,0)))</f>
        <v>15.875</v>
      </c>
    </row>
    <row r="49" spans="1:12" x14ac:dyDescent="0.25">
      <c r="A49" s="37" t="s">
        <v>3072</v>
      </c>
      <c r="B49" s="37" t="s">
        <v>2954</v>
      </c>
      <c r="C49" s="37">
        <v>52</v>
      </c>
      <c r="D49" s="37" t="s">
        <v>3073</v>
      </c>
      <c r="E49" s="37">
        <v>50</v>
      </c>
      <c r="F49" s="37">
        <v>22</v>
      </c>
      <c r="G49" s="37" t="s">
        <v>607</v>
      </c>
      <c r="H49" s="37" t="s">
        <v>2970</v>
      </c>
      <c r="I49" s="37" t="s">
        <v>2957</v>
      </c>
      <c r="J49" s="29"/>
      <c r="K49" s="40">
        <f>IF(G49="","",INDEX(Cables!$F:$F,MATCH(G49,Cables!$A:$A,0)))</f>
        <v>50</v>
      </c>
      <c r="L49" s="40">
        <f>IF(G49="","",INDEX(Cables!$H:$H,MATCH(G49,Cables!$A:$A,0)))</f>
        <v>22.1</v>
      </c>
    </row>
    <row r="50" spans="1:12" x14ac:dyDescent="0.25">
      <c r="A50" s="37" t="s">
        <v>3074</v>
      </c>
      <c r="B50" s="37" t="s">
        <v>2954</v>
      </c>
      <c r="C50" s="37">
        <v>53</v>
      </c>
      <c r="D50" s="37" t="s">
        <v>3075</v>
      </c>
      <c r="E50" s="37">
        <v>50</v>
      </c>
      <c r="F50" s="37">
        <v>28</v>
      </c>
      <c r="G50" s="37" t="s">
        <v>615</v>
      </c>
      <c r="H50" s="37" t="s">
        <v>2956</v>
      </c>
      <c r="I50" s="37" t="s">
        <v>2957</v>
      </c>
      <c r="J50" s="29" t="s">
        <v>3076</v>
      </c>
      <c r="K50" s="40">
        <f>IF(G50="","",INDEX(Cables!$F:$F,MATCH(G50,Cables!$A:$A,0)))</f>
        <v>50</v>
      </c>
      <c r="L50" s="40">
        <f>IF(G50="","",INDEX(Cables!$H:$H,MATCH(G50,Cables!$A:$A,0)))</f>
        <v>27.4</v>
      </c>
    </row>
    <row r="51" spans="1:12" x14ac:dyDescent="0.25">
      <c r="A51" s="37" t="s">
        <v>3077</v>
      </c>
      <c r="B51" s="37" t="s">
        <v>2954</v>
      </c>
      <c r="C51" s="37">
        <v>54</v>
      </c>
      <c r="D51" s="37" t="s">
        <v>3078</v>
      </c>
      <c r="E51" s="37">
        <v>50</v>
      </c>
      <c r="F51" s="37">
        <v>28</v>
      </c>
      <c r="G51" s="37" t="s">
        <v>612</v>
      </c>
      <c r="H51" s="37" t="s">
        <v>2970</v>
      </c>
      <c r="I51" s="37" t="s">
        <v>2957</v>
      </c>
      <c r="J51" s="29"/>
      <c r="K51" s="40">
        <f>IF(G51="","",INDEX(Cables!$F:$F,MATCH(G51,Cables!$A:$A,0)))</f>
        <v>50</v>
      </c>
      <c r="L51" s="40">
        <f>IF(G51="","",INDEX(Cables!$H:$H,MATCH(G51,Cables!$A:$A,0)))</f>
        <v>30.48</v>
      </c>
    </row>
    <row r="52" spans="1:12" x14ac:dyDescent="0.25">
      <c r="A52" s="37" t="s">
        <v>3079</v>
      </c>
      <c r="B52" s="37" t="s">
        <v>2954</v>
      </c>
      <c r="C52" s="37">
        <v>55</v>
      </c>
      <c r="D52" s="37" t="s">
        <v>3080</v>
      </c>
      <c r="E52" s="37">
        <v>50</v>
      </c>
      <c r="F52" s="37">
        <v>28</v>
      </c>
      <c r="G52" s="37" t="s">
        <v>615</v>
      </c>
      <c r="H52" s="37" t="s">
        <v>2970</v>
      </c>
      <c r="I52" s="37" t="s">
        <v>2957</v>
      </c>
      <c r="J52" s="29"/>
      <c r="K52" s="40">
        <f>IF(G52="","",INDEX(Cables!$F:$F,MATCH(G52,Cables!$A:$A,0)))</f>
        <v>50</v>
      </c>
      <c r="L52" s="40">
        <f>IF(G52="","",INDEX(Cables!$H:$H,MATCH(G52,Cables!$A:$A,0)))</f>
        <v>27.4</v>
      </c>
    </row>
    <row r="53" spans="1:12" x14ac:dyDescent="0.25">
      <c r="A53" s="37" t="s">
        <v>3081</v>
      </c>
      <c r="B53" s="37" t="s">
        <v>2954</v>
      </c>
      <c r="C53" s="37">
        <v>56</v>
      </c>
      <c r="D53" s="37" t="s">
        <v>3082</v>
      </c>
      <c r="E53" s="37">
        <v>50</v>
      </c>
      <c r="F53" s="37">
        <v>40</v>
      </c>
      <c r="G53" s="37" t="s">
        <v>624</v>
      </c>
      <c r="H53" s="37" t="s">
        <v>2970</v>
      </c>
      <c r="I53" s="37" t="s">
        <v>2957</v>
      </c>
      <c r="J53" s="29"/>
      <c r="K53" s="40">
        <f>IF(G53="","",INDEX(Cables!$F:$F,MATCH(G53,Cables!$A:$A,0)))</f>
        <v>50</v>
      </c>
      <c r="L53" s="40">
        <f>IF(G53="","",INDEX(Cables!$H:$H,MATCH(G53,Cables!$A:$A,0)))</f>
        <v>39.4</v>
      </c>
    </row>
    <row r="54" spans="1:12" x14ac:dyDescent="0.25">
      <c r="A54" s="37" t="s">
        <v>3083</v>
      </c>
      <c r="B54" s="37" t="s">
        <v>2954</v>
      </c>
      <c r="C54" s="37">
        <v>57</v>
      </c>
      <c r="D54" s="37" t="s">
        <v>3084</v>
      </c>
      <c r="E54" s="37">
        <v>50</v>
      </c>
      <c r="F54" s="37">
        <v>40</v>
      </c>
      <c r="G54" s="37" t="s">
        <v>624</v>
      </c>
      <c r="H54" s="37" t="s">
        <v>2956</v>
      </c>
      <c r="I54" s="37" t="s">
        <v>2957</v>
      </c>
      <c r="J54" s="29" t="s">
        <v>3085</v>
      </c>
      <c r="K54" s="40">
        <f>IF(G54="","",INDEX(Cables!$F:$F,MATCH(G54,Cables!$A:$A,0)))</f>
        <v>50</v>
      </c>
      <c r="L54" s="40">
        <f>IF(G54="","",INDEX(Cables!$H:$H,MATCH(G54,Cables!$A:$A,0)))</f>
        <v>39.4</v>
      </c>
    </row>
    <row r="55" spans="1:12" x14ac:dyDescent="0.25">
      <c r="A55" s="37" t="s">
        <v>3086</v>
      </c>
      <c r="B55" s="37" t="s">
        <v>2954</v>
      </c>
      <c r="C55" s="37">
        <v>58</v>
      </c>
      <c r="D55" s="37" t="s">
        <v>3087</v>
      </c>
      <c r="E55" s="37">
        <v>50</v>
      </c>
      <c r="F55" s="37">
        <v>50</v>
      </c>
      <c r="G55" s="37" t="s">
        <v>631</v>
      </c>
      <c r="H55" s="37" t="s">
        <v>2970</v>
      </c>
      <c r="I55" s="37" t="s">
        <v>2957</v>
      </c>
      <c r="J55" s="29"/>
      <c r="K55" s="40">
        <f>IF(G55="","",INDEX(Cables!$F:$F,MATCH(G55,Cables!$A:$A,0)))</f>
        <v>50</v>
      </c>
      <c r="L55" s="40">
        <f>IF(G55="","",INDEX(Cables!$H:$H,MATCH(G55,Cables!$A:$A,0)))</f>
        <v>50.3</v>
      </c>
    </row>
    <row r="56" spans="1:12" x14ac:dyDescent="0.25">
      <c r="A56" s="37" t="s">
        <v>3088</v>
      </c>
      <c r="B56" s="37" t="s">
        <v>2954</v>
      </c>
      <c r="C56" s="37">
        <v>59</v>
      </c>
      <c r="D56" s="37" t="s">
        <v>3089</v>
      </c>
      <c r="E56" s="37">
        <v>50</v>
      </c>
      <c r="F56" s="37">
        <v>50</v>
      </c>
      <c r="G56" s="37" t="s">
        <v>631</v>
      </c>
      <c r="H56" s="37" t="s">
        <v>2956</v>
      </c>
      <c r="I56" s="37" t="s">
        <v>2957</v>
      </c>
      <c r="J56" s="29" t="s">
        <v>3090</v>
      </c>
      <c r="K56" s="40">
        <f>IF(G56="","",INDEX(Cables!$F:$F,MATCH(G56,Cables!$A:$A,0)))</f>
        <v>50</v>
      </c>
      <c r="L56" s="40">
        <f>IF(G56="","",INDEX(Cables!$H:$H,MATCH(G56,Cables!$A:$A,0)))</f>
        <v>50.3</v>
      </c>
    </row>
    <row r="57" spans="1:12" ht="25.5" x14ac:dyDescent="0.25">
      <c r="A57" s="37" t="s">
        <v>3091</v>
      </c>
      <c r="B57" s="37" t="s">
        <v>3092</v>
      </c>
      <c r="C57" s="37">
        <v>2</v>
      </c>
      <c r="D57" s="37" t="s">
        <v>3093</v>
      </c>
      <c r="E57" s="37">
        <v>75</v>
      </c>
      <c r="F57" s="37"/>
      <c r="G57" s="37" t="s">
        <v>639</v>
      </c>
      <c r="H57" s="37" t="s">
        <v>2956</v>
      </c>
      <c r="I57" s="37" t="s">
        <v>2957</v>
      </c>
      <c r="J57" s="29" t="s">
        <v>3094</v>
      </c>
      <c r="K57" s="40">
        <f>IF(G57="","",INDEX(Cables!$F:$F,MATCH(G57,Cables!$A:$A,0)))</f>
        <v>75</v>
      </c>
      <c r="L57" s="40">
        <f>IF(G57="","",INDEX(Cables!$H:$H,MATCH(G57,Cables!$A:$A,0)))</f>
        <v>2.54</v>
      </c>
    </row>
    <row r="58" spans="1:12" ht="25.5" x14ac:dyDescent="0.25">
      <c r="A58" s="37" t="s">
        <v>3095</v>
      </c>
      <c r="B58" s="37" t="s">
        <v>3092</v>
      </c>
      <c r="C58" s="37">
        <v>3</v>
      </c>
      <c r="D58" s="37" t="s">
        <v>3096</v>
      </c>
      <c r="E58" s="37">
        <v>75</v>
      </c>
      <c r="F58" s="37">
        <v>6.2</v>
      </c>
      <c r="G58" s="37" t="s">
        <v>645</v>
      </c>
      <c r="H58" s="37" t="s">
        <v>2956</v>
      </c>
      <c r="I58" s="37" t="s">
        <v>2957</v>
      </c>
      <c r="J58" s="29" t="s">
        <v>3094</v>
      </c>
      <c r="K58" s="40">
        <f>IF(G58="","",INDEX(Cables!$F:$F,MATCH(G58,Cables!$A:$A,0)))</f>
        <v>75</v>
      </c>
      <c r="L58" s="40">
        <f>IF(G58="","",INDEX(Cables!$H:$H,MATCH(G58,Cables!$A:$A,0)))</f>
        <v>6.12</v>
      </c>
    </row>
    <row r="59" spans="1:12" ht="38.25" x14ac:dyDescent="0.25">
      <c r="A59" s="37" t="s">
        <v>3097</v>
      </c>
      <c r="B59" s="37" t="s">
        <v>3092</v>
      </c>
      <c r="C59" s="37">
        <v>4</v>
      </c>
      <c r="D59" s="37" t="s">
        <v>3098</v>
      </c>
      <c r="E59" s="37">
        <v>75</v>
      </c>
      <c r="F59" s="37"/>
      <c r="G59" s="37" t="s">
        <v>661</v>
      </c>
      <c r="H59" s="37" t="s">
        <v>2956</v>
      </c>
      <c r="I59" s="37" t="s">
        <v>2957</v>
      </c>
      <c r="J59" s="29" t="s">
        <v>3099</v>
      </c>
      <c r="K59" s="40">
        <f>IF(G59="","",INDEX(Cables!$F:$F,MATCH(G59,Cables!$A:$A,0)))</f>
        <v>75</v>
      </c>
      <c r="L59" s="40">
        <f>IF(G59="","",INDEX(Cables!$H:$H,MATCH(G59,Cables!$A:$A,0)))</f>
        <v>6.96</v>
      </c>
    </row>
    <row r="60" spans="1:12" ht="38.25" x14ac:dyDescent="0.25">
      <c r="A60" s="37" t="s">
        <v>3100</v>
      </c>
      <c r="B60" s="37" t="s">
        <v>3092</v>
      </c>
      <c r="C60" s="37">
        <v>5</v>
      </c>
      <c r="D60" s="37" t="s">
        <v>3101</v>
      </c>
      <c r="E60" s="37">
        <v>75</v>
      </c>
      <c r="F60" s="37"/>
      <c r="G60" s="37" t="s">
        <v>653</v>
      </c>
      <c r="H60" s="37" t="s">
        <v>2956</v>
      </c>
      <c r="I60" s="37" t="s">
        <v>2957</v>
      </c>
      <c r="J60" s="29" t="s">
        <v>3102</v>
      </c>
      <c r="K60" s="40">
        <f>IF(G60="","",INDEX(Cables!$F:$F,MATCH(G60,Cables!$A:$A,0)))</f>
        <v>75</v>
      </c>
      <c r="L60" s="40">
        <f>IF(G60="","",INDEX(Cables!$H:$H,MATCH(G60,Cables!$A:$A,0)))</f>
        <v>10.3</v>
      </c>
    </row>
    <row r="61" spans="1:12" ht="25.5" x14ac:dyDescent="0.25">
      <c r="A61" s="37" t="s">
        <v>3103</v>
      </c>
      <c r="B61" s="37" t="s">
        <v>3092</v>
      </c>
      <c r="C61" s="37">
        <v>6</v>
      </c>
      <c r="D61" s="37" t="s">
        <v>3104</v>
      </c>
      <c r="E61" s="37">
        <v>53.5</v>
      </c>
      <c r="F61" s="37"/>
      <c r="G61" s="37" t="s">
        <v>209</v>
      </c>
      <c r="H61" s="37" t="s">
        <v>2956</v>
      </c>
      <c r="I61" s="37" t="s">
        <v>3105</v>
      </c>
      <c r="J61" s="29" t="s">
        <v>3106</v>
      </c>
      <c r="K61" s="40">
        <f>IF(G61="","",INDEX(Cables!$F:$F,MATCH(G61,Cables!$A:$A,0)))</f>
        <v>50</v>
      </c>
      <c r="L61" s="40">
        <f>IF(G61="","",INDEX(Cables!$H:$H,MATCH(G61,Cables!$A:$A,0)))</f>
        <v>4.9000000000000004</v>
      </c>
    </row>
  </sheetData>
  <conditionalFormatting sqref="I2:I61">
    <cfRule type="expression" dxfId="4" priority="1">
      <formula>LEFT(I2,4)="Doğr"</formula>
    </cfRule>
    <cfRule type="expression" dxfId="3" priority="2">
      <formula>I2="Kaynak bulunamadı"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  <col min="3" max="3" width="12" customWidth="1"/>
    <col min="4" max="5" width="9" customWidth="1"/>
    <col min="6" max="6" width="11" customWidth="1"/>
    <col min="7" max="7" width="17" customWidth="1"/>
    <col min="8" max="9" width="14" customWidth="1"/>
    <col min="10" max="10" width="9" customWidth="1"/>
    <col min="11" max="11" width="16" customWidth="1"/>
  </cols>
  <sheetData>
    <row r="1" spans="1:11" ht="25.5" x14ac:dyDescent="0.25">
      <c r="A1" s="27" t="s">
        <v>2943</v>
      </c>
      <c r="B1" s="28" t="s">
        <v>2946</v>
      </c>
      <c r="C1" s="27" t="s">
        <v>3107</v>
      </c>
      <c r="D1" s="27" t="s">
        <v>3108</v>
      </c>
      <c r="E1" s="27" t="s">
        <v>3109</v>
      </c>
      <c r="F1" s="27" t="s">
        <v>3110</v>
      </c>
      <c r="G1" s="28" t="s">
        <v>52</v>
      </c>
      <c r="H1" s="28" t="s">
        <v>3111</v>
      </c>
      <c r="I1" s="28" t="s">
        <v>3112</v>
      </c>
      <c r="J1" s="28" t="s">
        <v>702</v>
      </c>
      <c r="K1" s="28" t="s">
        <v>2950</v>
      </c>
    </row>
    <row r="2" spans="1:11" x14ac:dyDescent="0.25">
      <c r="A2" s="37" t="s">
        <v>2953</v>
      </c>
      <c r="B2" s="40" t="str">
        <f>INDEX(Legacy_Index!$D:$D,MATCH(A2,Legacy_Index!$A:$A,0))</f>
        <v>RG178 B/U</v>
      </c>
      <c r="C2" s="37" t="s">
        <v>3113</v>
      </c>
      <c r="D2" s="37">
        <v>70</v>
      </c>
      <c r="E2" s="37">
        <v>100</v>
      </c>
      <c r="F2" s="37">
        <v>12.4</v>
      </c>
      <c r="G2" s="40" t="str">
        <f>IF(INDEX(Legacy_Index!$G:$G,MATCH(A2,Legacy_Index!$A:$A,0))="","",INDEX(Legacy_Index!$G:$G,MATCH(A2,Legacy_Index!$A:$A,0)))</f>
        <v>BEL-83265</v>
      </c>
      <c r="H2" s="43">
        <f>IF(G2="","",EXP(FORECAST(LN(D2),INDEX(Attenuation!$K:$K,(INDEX(Cables!$AO:$AO,MATCH(G2,Cables!$A:$A,0))-1+MIN(MAX(IFERROR(MATCH(LN(D2),INDEX(Attenuation!$J:$J,INDEX(Cables!$AO:$AO,MATCH(G2,Cables!$A:$A,0))):INDEX(Attenuation!$J:$J,INDEX(Cables!$AO:$AO,MATCH(G2,Cables!$A:$A,0))+INDEX(Cables!$AP:$AP,MATCH(G2,Cables!$A:$A,0))-1),1),1),1),INDEX(Cables!$AP:$AP,MATCH(G2,Cables!$A:$A,0))-1))):INDEX(Attenuation!$K:$K,(INDEX(Cables!$AO:$AO,MATCH(G2,Cables!$A:$A,0))-1+MIN(MAX(IFERROR(MATCH(LN(D2),INDEX(Attenuation!$J:$J,INDEX(Cables!$AO:$AO,MATCH(G2,Cables!$A:$A,0))):INDEX(Attenuation!$J:$J,INDEX(Cables!$AO:$AO,MATCH(G2,Cables!$A:$A,0))+INDEX(Cables!$AP:$AP,MATCH(G2,Cables!$A:$A,0))-1),1),1),1),INDEX(Cables!$AP:$AP,MATCH(G2,Cables!$A:$A,0))-1))+1),INDEX(Attenuation!$J:$J,(INDEX(Cables!$AO:$AO,MATCH(G2,Cables!$A:$A,0))-1+MIN(MAX(IFERROR(MATCH(LN(D2),INDEX(Attenuation!$J:$J,INDEX(Cables!$AO:$AO,MATCH(G2,Cables!$A:$A,0))):INDEX(Attenuation!$J:$J,INDEX(Cables!$AO:$AO,MATCH(G2,Cables!$A:$A,0))+INDEX(Cables!$AP:$AP,MATCH(G2,Cables!$A:$A,0))-1),1),1),1),INDEX(Cables!$AP:$AP,MATCH(G2,Cables!$A:$A,0))-1))):INDEX(Attenuation!$J:$J,(INDEX(Cables!$AO:$AO,MATCH(G2,Cables!$A:$A,0))-1+MIN(MAX(IFERROR(MATCH(LN(D2),INDEX(Attenuation!$J:$J,INDEX(Cables!$AO:$AO,MATCH(G2,Cables!$A:$A,0))):INDEX(Attenuation!$J:$J,INDEX(Cables!$AO:$AO,MATCH(G2,Cables!$A:$A,0))+INDEX(Cables!$AP:$AP,MATCH(G2,Cables!$A:$A,0))-1),1),1),1),INDEX(Cables!$AP:$AP,MATCH(G2,Cables!$A:$A,0))-1))+1)))*0.3048)</f>
        <v>12.073631416026808</v>
      </c>
      <c r="I2" s="43">
        <f>IF(G2="","",EXP(FORECAST(LN(E2),INDEX(Attenuation!$K:$K,(INDEX(Cables!$AO:$AO,MATCH(G2,Cables!$A:$A,0))-1+MIN(MAX(IFERROR(MATCH(LN(E2),INDEX(Attenuation!$J:$J,INDEX(Cables!$AO:$AO,MATCH(G2,Cables!$A:$A,0))):INDEX(Attenuation!$J:$J,INDEX(Cables!$AO:$AO,MATCH(G2,Cables!$A:$A,0))+INDEX(Cables!$AP:$AP,MATCH(G2,Cables!$A:$A,0))-1),1),1),1),INDEX(Cables!$AP:$AP,MATCH(G2,Cables!$A:$A,0))-1))):INDEX(Attenuation!$K:$K,(INDEX(Cables!$AO:$AO,MATCH(G2,Cables!$A:$A,0))-1+MIN(MAX(IFERROR(MATCH(LN(E2),INDEX(Attenuation!$J:$J,INDEX(Cables!$AO:$AO,MATCH(G2,Cables!$A:$A,0))):INDEX(Attenuation!$J:$J,INDEX(Cables!$AO:$AO,MATCH(G2,Cables!$A:$A,0))+INDEX(Cables!$AP:$AP,MATCH(G2,Cables!$A:$A,0))-1),1),1),1),INDEX(Cables!$AP:$AP,MATCH(G2,Cables!$A:$A,0))-1))+1),INDEX(Attenuation!$J:$J,(INDEX(Cables!$AO:$AO,MATCH(G2,Cables!$A:$A,0))-1+MIN(MAX(IFERROR(MATCH(LN(E2),INDEX(Attenuation!$J:$J,INDEX(Cables!$AO:$AO,MATCH(G2,Cables!$A:$A,0))):INDEX(Attenuation!$J:$J,INDEX(Cables!$AO:$AO,MATCH(G2,Cables!$A:$A,0))+INDEX(Cables!$AP:$AP,MATCH(G2,Cables!$A:$A,0))-1),1),1),1),INDEX(Cables!$AP:$AP,MATCH(G2,Cables!$A:$A,0))-1))):INDEX(Attenuation!$J:$J,(INDEX(Cables!$AO:$AO,MATCH(G2,Cables!$A:$A,0))-1+MIN(MAX(IFERROR(MATCH(LN(E2),INDEX(Attenuation!$J:$J,INDEX(Cables!$AO:$AO,MATCH(G2,Cables!$A:$A,0))):INDEX(Attenuation!$J:$J,INDEX(Cables!$AO:$AO,MATCH(G2,Cables!$A:$A,0))+INDEX(Cables!$AP:$AP,MATCH(G2,Cables!$A:$A,0))-1),1),1),1),INDEX(Cables!$AP:$AP,MATCH(G2,Cables!$A:$A,0))-1))+1)))*0.3048)</f>
        <v>14.000000000000009</v>
      </c>
      <c r="J2" s="44">
        <f t="shared" ref="J2:J65" si="0">IF(G2="","",IF(F2&lt;H2,F2/H2-1,IF(F2&gt;I2,F2/I2-1,0)))</f>
        <v>0</v>
      </c>
      <c r="K2" s="40" t="str">
        <f>IF(G2="","Doğrulanmadı",IF(ABS(J2)&lt;=0.1,"Uyumlu (±%10)",IF(ABS(J2)&lt;=0.25,"Fark %10-25","Fark &gt;%25"))&amp;IF(OR(D2&lt;INDEX(Cables!$AQ:$AQ,MATCH(G2,Cables!$A:$A,0)),E2&gt;INDEX(Cables!$AR:$AR,MATCH(G2,Cables!$A:$A,0)))," · ekstrapolasyon",""))</f>
        <v>Uyumlu (±%10)</v>
      </c>
    </row>
    <row r="3" spans="1:11" x14ac:dyDescent="0.25">
      <c r="A3" s="37" t="s">
        <v>2953</v>
      </c>
      <c r="B3" s="40" t="str">
        <f>INDEX(Legacy_Index!$D:$D,MATCH(A3,Legacy_Index!$A:$A,0))</f>
        <v>RG178 B/U</v>
      </c>
      <c r="C3" s="37" t="s">
        <v>3114</v>
      </c>
      <c r="D3" s="37">
        <v>148</v>
      </c>
      <c r="E3" s="37">
        <v>174</v>
      </c>
      <c r="F3" s="37">
        <v>17</v>
      </c>
      <c r="G3" s="40" t="str">
        <f>IF(INDEX(Legacy_Index!$G:$G,MATCH(A3,Legacy_Index!$A:$A,0))="","",INDEX(Legacy_Index!$G:$G,MATCH(A3,Legacy_Index!$A:$A,0)))</f>
        <v>BEL-83265</v>
      </c>
      <c r="H3" s="43">
        <f>IF(G3="","",EXP(FORECAST(LN(D3),INDEX(Attenuation!$K:$K,(INDEX(Cables!$AO:$AO,MATCH(G3,Cables!$A:$A,0))-1+MIN(MAX(IFERROR(MATCH(LN(D3),INDEX(Attenuation!$J:$J,INDEX(Cables!$AO:$AO,MATCH(G3,Cables!$A:$A,0))):INDEX(Attenuation!$J:$J,INDEX(Cables!$AO:$AO,MATCH(G3,Cables!$A:$A,0))+INDEX(Cables!$AP:$AP,MATCH(G3,Cables!$A:$A,0))-1),1),1),1),INDEX(Cables!$AP:$AP,MATCH(G3,Cables!$A:$A,0))-1))):INDEX(Attenuation!$K:$K,(INDEX(Cables!$AO:$AO,MATCH(G3,Cables!$A:$A,0))-1+MIN(MAX(IFERROR(MATCH(LN(D3),INDEX(Attenuation!$J:$J,INDEX(Cables!$AO:$AO,MATCH(G3,Cables!$A:$A,0))):INDEX(Attenuation!$J:$J,INDEX(Cables!$AO:$AO,MATCH(G3,Cables!$A:$A,0))+INDEX(Cables!$AP:$AP,MATCH(G3,Cables!$A:$A,0))-1),1),1),1),INDEX(Cables!$AP:$AP,MATCH(G3,Cables!$A:$A,0))-1))+1),INDEX(Attenuation!$J:$J,(INDEX(Cables!$AO:$AO,MATCH(G3,Cables!$A:$A,0))-1+MIN(MAX(IFERROR(MATCH(LN(D3),INDEX(Attenuation!$J:$J,INDEX(Cables!$AO:$AO,MATCH(G3,Cables!$A:$A,0))):INDEX(Attenuation!$J:$J,INDEX(Cables!$AO:$AO,MATCH(G3,Cables!$A:$A,0))+INDEX(Cables!$AP:$AP,MATCH(G3,Cables!$A:$A,0))-1),1),1),1),INDEX(Cables!$AP:$AP,MATCH(G3,Cables!$A:$A,0))-1))):INDEX(Attenuation!$J:$J,(INDEX(Cables!$AO:$AO,MATCH(G3,Cables!$A:$A,0))-1+MIN(MAX(IFERROR(MATCH(LN(D3),INDEX(Attenuation!$J:$J,INDEX(Cables!$AO:$AO,MATCH(G3,Cables!$A:$A,0))):INDEX(Attenuation!$J:$J,INDEX(Cables!$AO:$AO,MATCH(G3,Cables!$A:$A,0))+INDEX(Cables!$AP:$AP,MATCH(G3,Cables!$A:$A,0))-1),1),1),1),INDEX(Cables!$AP:$AP,MATCH(G3,Cables!$A:$A,0))-1))+1)))*0.3048)</f>
        <v>16.639515662675965</v>
      </c>
      <c r="I3" s="43">
        <f>IF(G3="","",EXP(FORECAST(LN(E3),INDEX(Attenuation!$K:$K,(INDEX(Cables!$AO:$AO,MATCH(G3,Cables!$A:$A,0))-1+MIN(MAX(IFERROR(MATCH(LN(E3),INDEX(Attenuation!$J:$J,INDEX(Cables!$AO:$AO,MATCH(G3,Cables!$A:$A,0))):INDEX(Attenuation!$J:$J,INDEX(Cables!$AO:$AO,MATCH(G3,Cables!$A:$A,0))+INDEX(Cables!$AP:$AP,MATCH(G3,Cables!$A:$A,0))-1),1),1),1),INDEX(Cables!$AP:$AP,MATCH(G3,Cables!$A:$A,0))-1))):INDEX(Attenuation!$K:$K,(INDEX(Cables!$AO:$AO,MATCH(G3,Cables!$A:$A,0))-1+MIN(MAX(IFERROR(MATCH(LN(E3),INDEX(Attenuation!$J:$J,INDEX(Cables!$AO:$AO,MATCH(G3,Cables!$A:$A,0))):INDEX(Attenuation!$J:$J,INDEX(Cables!$AO:$AO,MATCH(G3,Cables!$A:$A,0))+INDEX(Cables!$AP:$AP,MATCH(G3,Cables!$A:$A,0))-1),1),1),1),INDEX(Cables!$AP:$AP,MATCH(G3,Cables!$A:$A,0))-1))+1),INDEX(Attenuation!$J:$J,(INDEX(Cables!$AO:$AO,MATCH(G3,Cables!$A:$A,0))-1+MIN(MAX(IFERROR(MATCH(LN(E3),INDEX(Attenuation!$J:$J,INDEX(Cables!$AO:$AO,MATCH(G3,Cables!$A:$A,0))):INDEX(Attenuation!$J:$J,INDEX(Cables!$AO:$AO,MATCH(G3,Cables!$A:$A,0))+INDEX(Cables!$AP:$AP,MATCH(G3,Cables!$A:$A,0))-1),1),1),1),INDEX(Cables!$AP:$AP,MATCH(G3,Cables!$A:$A,0))-1))):INDEX(Attenuation!$J:$J,(INDEX(Cables!$AO:$AO,MATCH(G3,Cables!$A:$A,0))-1+MIN(MAX(IFERROR(MATCH(LN(E3),INDEX(Attenuation!$J:$J,INDEX(Cables!$AO:$AO,MATCH(G3,Cables!$A:$A,0))):INDEX(Attenuation!$J:$J,INDEX(Cables!$AO:$AO,MATCH(G3,Cables!$A:$A,0))+INDEX(Cables!$AP:$AP,MATCH(G3,Cables!$A:$A,0))-1),1),1),1),INDEX(Cables!$AP:$AP,MATCH(G3,Cables!$A:$A,0))-1))+1)))*0.3048)</f>
        <v>17.86929593780383</v>
      </c>
      <c r="J3" s="44">
        <f t="shared" si="0"/>
        <v>0</v>
      </c>
      <c r="K3" s="40" t="str">
        <f>IF(G3="","Doğrulanmadı",IF(ABS(J3)&lt;=0.1,"Uyumlu (±%10)",IF(ABS(J3)&lt;=0.25,"Fark %10-25","Fark &gt;%25"))&amp;IF(OR(D3&lt;INDEX(Cables!$AQ:$AQ,MATCH(G3,Cables!$A:$A,0)),E3&gt;INDEX(Cables!$AR:$AR,MATCH(G3,Cables!$A:$A,0)))," · ekstrapolasyon",""))</f>
        <v>Uyumlu (±%10)</v>
      </c>
    </row>
    <row r="4" spans="1:11" x14ac:dyDescent="0.25">
      <c r="A4" s="37" t="s">
        <v>2953</v>
      </c>
      <c r="B4" s="40" t="str">
        <f>INDEX(Legacy_Index!$D:$D,MATCH(A4,Legacy_Index!$A:$A,0))</f>
        <v>RG178 B/U</v>
      </c>
      <c r="C4" s="37" t="s">
        <v>3115</v>
      </c>
      <c r="D4" s="37">
        <v>400</v>
      </c>
      <c r="E4" s="37">
        <v>520</v>
      </c>
      <c r="F4" s="37">
        <v>30.4</v>
      </c>
      <c r="G4" s="40" t="str">
        <f>IF(INDEX(Legacy_Index!$G:$G,MATCH(A4,Legacy_Index!$A:$A,0))="","",INDEX(Legacy_Index!$G:$G,MATCH(A4,Legacy_Index!$A:$A,0)))</f>
        <v>BEL-83265</v>
      </c>
      <c r="H4" s="43">
        <f>IF(G4="","",EXP(FORECAST(LN(D4),INDEX(Attenuation!$K:$K,(INDEX(Cables!$AO:$AO,MATCH(G4,Cables!$A:$A,0))-1+MIN(MAX(IFERROR(MATCH(LN(D4),INDEX(Attenuation!$J:$J,INDEX(Cables!$AO:$AO,MATCH(G4,Cables!$A:$A,0))):INDEX(Attenuation!$J:$J,INDEX(Cables!$AO:$AO,MATCH(G4,Cables!$A:$A,0))+INDEX(Cables!$AP:$AP,MATCH(G4,Cables!$A:$A,0))-1),1),1),1),INDEX(Cables!$AP:$AP,MATCH(G4,Cables!$A:$A,0))-1))):INDEX(Attenuation!$K:$K,(INDEX(Cables!$AO:$AO,MATCH(G4,Cables!$A:$A,0))-1+MIN(MAX(IFERROR(MATCH(LN(D4),INDEX(Attenuation!$J:$J,INDEX(Cables!$AO:$AO,MATCH(G4,Cables!$A:$A,0))):INDEX(Attenuation!$J:$J,INDEX(Cables!$AO:$AO,MATCH(G4,Cables!$A:$A,0))+INDEX(Cables!$AP:$AP,MATCH(G4,Cables!$A:$A,0))-1),1),1),1),INDEX(Cables!$AP:$AP,MATCH(G4,Cables!$A:$A,0))-1))+1),INDEX(Attenuation!$J:$J,(INDEX(Cables!$AO:$AO,MATCH(G4,Cables!$A:$A,0))-1+MIN(MAX(IFERROR(MATCH(LN(D4),INDEX(Attenuation!$J:$J,INDEX(Cables!$AO:$AO,MATCH(G4,Cables!$A:$A,0))):INDEX(Attenuation!$J:$J,INDEX(Cables!$AO:$AO,MATCH(G4,Cables!$A:$A,0))+INDEX(Cables!$AP:$AP,MATCH(G4,Cables!$A:$A,0))-1),1),1),1),INDEX(Cables!$AP:$AP,MATCH(G4,Cables!$A:$A,0))-1))):INDEX(Attenuation!$J:$J,(INDEX(Cables!$AO:$AO,MATCH(G4,Cables!$A:$A,0))-1+MIN(MAX(IFERROR(MATCH(LN(D4),INDEX(Attenuation!$J:$J,INDEX(Cables!$AO:$AO,MATCH(G4,Cables!$A:$A,0))):INDEX(Attenuation!$J:$J,INDEX(Cables!$AO:$AO,MATCH(G4,Cables!$A:$A,0))+INDEX(Cables!$AP:$AP,MATCH(G4,Cables!$A:$A,0))-1),1),1),1),INDEX(Cables!$AP:$AP,MATCH(G4,Cables!$A:$A,0))-1))+1)))*0.3048)</f>
        <v>27.999999999999996</v>
      </c>
      <c r="I4" s="43">
        <f>IF(G4="","",EXP(FORECAST(LN(E4),INDEX(Attenuation!$K:$K,(INDEX(Cables!$AO:$AO,MATCH(G4,Cables!$A:$A,0))-1+MIN(MAX(IFERROR(MATCH(LN(E4),INDEX(Attenuation!$J:$J,INDEX(Cables!$AO:$AO,MATCH(G4,Cables!$A:$A,0))):INDEX(Attenuation!$J:$J,INDEX(Cables!$AO:$AO,MATCH(G4,Cables!$A:$A,0))+INDEX(Cables!$AP:$AP,MATCH(G4,Cables!$A:$A,0))-1),1),1),1),INDEX(Cables!$AP:$AP,MATCH(G4,Cables!$A:$A,0))-1))):INDEX(Attenuation!$K:$K,(INDEX(Cables!$AO:$AO,MATCH(G4,Cables!$A:$A,0))-1+MIN(MAX(IFERROR(MATCH(LN(E4),INDEX(Attenuation!$J:$J,INDEX(Cables!$AO:$AO,MATCH(G4,Cables!$A:$A,0))):INDEX(Attenuation!$J:$J,INDEX(Cables!$AO:$AO,MATCH(G4,Cables!$A:$A,0))+INDEX(Cables!$AP:$AP,MATCH(G4,Cables!$A:$A,0))-1),1),1),1),INDEX(Cables!$AP:$AP,MATCH(G4,Cables!$A:$A,0))-1))+1),INDEX(Attenuation!$J:$J,(INDEX(Cables!$AO:$AO,MATCH(G4,Cables!$A:$A,0))-1+MIN(MAX(IFERROR(MATCH(LN(E4),INDEX(Attenuation!$J:$J,INDEX(Cables!$AO:$AO,MATCH(G4,Cables!$A:$A,0))):INDEX(Attenuation!$J:$J,INDEX(Cables!$AO:$AO,MATCH(G4,Cables!$A:$A,0))+INDEX(Cables!$AP:$AP,MATCH(G4,Cables!$A:$A,0))-1),1),1),1),INDEX(Cables!$AP:$AP,MATCH(G4,Cables!$A:$A,0))-1))):INDEX(Attenuation!$J:$J,(INDEX(Cables!$AO:$AO,MATCH(G4,Cables!$A:$A,0))-1+MIN(MAX(IFERROR(MATCH(LN(E4),INDEX(Attenuation!$J:$J,INDEX(Cables!$AO:$AO,MATCH(G4,Cables!$A:$A,0))):INDEX(Attenuation!$J:$J,INDEX(Cables!$AO:$AO,MATCH(G4,Cables!$A:$A,0))+INDEX(Cables!$AP:$AP,MATCH(G4,Cables!$A:$A,0))-1),1),1),1),INDEX(Cables!$AP:$AP,MATCH(G4,Cables!$A:$A,0))-1))+1)))*0.3048)</f>
        <v>31.908534485926754</v>
      </c>
      <c r="J4" s="44">
        <f t="shared" si="0"/>
        <v>0</v>
      </c>
      <c r="K4" s="40" t="str">
        <f>IF(G4="","Doğrulanmadı",IF(ABS(J4)&lt;=0.1,"Uyumlu (±%10)",IF(ABS(J4)&lt;=0.25,"Fark %10-25","Fark &gt;%25"))&amp;IF(OR(D4&lt;INDEX(Cables!$AQ:$AQ,MATCH(G4,Cables!$A:$A,0)),E4&gt;INDEX(Cables!$AR:$AR,MATCH(G4,Cables!$A:$A,0)))," · ekstrapolasyon",""))</f>
        <v>Uyumlu (±%10)</v>
      </c>
    </row>
    <row r="5" spans="1:11" x14ac:dyDescent="0.25">
      <c r="A5" s="37" t="s">
        <v>2953</v>
      </c>
      <c r="B5" s="40" t="str">
        <f>INDEX(Legacy_Index!$D:$D,MATCH(A5,Legacy_Index!$A:$A,0))</f>
        <v>RG178 B/U</v>
      </c>
      <c r="C5" s="37" t="s">
        <v>3116</v>
      </c>
      <c r="D5" s="37">
        <v>700</v>
      </c>
      <c r="E5" s="37">
        <v>960</v>
      </c>
      <c r="F5" s="37">
        <v>40.799999999999997</v>
      </c>
      <c r="G5" s="40" t="str">
        <f>IF(INDEX(Legacy_Index!$G:$G,MATCH(A5,Legacy_Index!$A:$A,0))="","",INDEX(Legacy_Index!$G:$G,MATCH(A5,Legacy_Index!$A:$A,0)))</f>
        <v>BEL-83265</v>
      </c>
      <c r="H5" s="43">
        <f>IF(G5="","",EXP(FORECAST(LN(D5),INDEX(Attenuation!$K:$K,(INDEX(Cables!$AO:$AO,MATCH(G5,Cables!$A:$A,0))-1+MIN(MAX(IFERROR(MATCH(LN(D5),INDEX(Attenuation!$J:$J,INDEX(Cables!$AO:$AO,MATCH(G5,Cables!$A:$A,0))):INDEX(Attenuation!$J:$J,INDEX(Cables!$AO:$AO,MATCH(G5,Cables!$A:$A,0))+INDEX(Cables!$AP:$AP,MATCH(G5,Cables!$A:$A,0))-1),1),1),1),INDEX(Cables!$AP:$AP,MATCH(G5,Cables!$A:$A,0))-1))):INDEX(Attenuation!$K:$K,(INDEX(Cables!$AO:$AO,MATCH(G5,Cables!$A:$A,0))-1+MIN(MAX(IFERROR(MATCH(LN(D5),INDEX(Attenuation!$J:$J,INDEX(Cables!$AO:$AO,MATCH(G5,Cables!$A:$A,0))):INDEX(Attenuation!$J:$J,INDEX(Cables!$AO:$AO,MATCH(G5,Cables!$A:$A,0))+INDEX(Cables!$AP:$AP,MATCH(G5,Cables!$A:$A,0))-1),1),1),1),INDEX(Cables!$AP:$AP,MATCH(G5,Cables!$A:$A,0))-1))+1),INDEX(Attenuation!$J:$J,(INDEX(Cables!$AO:$AO,MATCH(G5,Cables!$A:$A,0))-1+MIN(MAX(IFERROR(MATCH(LN(D5),INDEX(Attenuation!$J:$J,INDEX(Cables!$AO:$AO,MATCH(G5,Cables!$A:$A,0))):INDEX(Attenuation!$J:$J,INDEX(Cables!$AO:$AO,MATCH(G5,Cables!$A:$A,0))+INDEX(Cables!$AP:$AP,MATCH(G5,Cables!$A:$A,0))-1),1),1),1),INDEX(Cables!$AP:$AP,MATCH(G5,Cables!$A:$A,0))-1))):INDEX(Attenuation!$J:$J,(INDEX(Cables!$AO:$AO,MATCH(G5,Cables!$A:$A,0))-1+MIN(MAX(IFERROR(MATCH(LN(D5),INDEX(Attenuation!$J:$J,INDEX(Cables!$AO:$AO,MATCH(G5,Cables!$A:$A,0))):INDEX(Attenuation!$J:$J,INDEX(Cables!$AO:$AO,MATCH(G5,Cables!$A:$A,0))+INDEX(Cables!$AP:$AP,MATCH(G5,Cables!$A:$A,0))-1),1),1),1),INDEX(Cables!$AP:$AP,MATCH(G5,Cables!$A:$A,0))-1))+1)))*0.3048)</f>
        <v>37.000000000000028</v>
      </c>
      <c r="I5" s="43">
        <f>IF(G5="","",EXP(FORECAST(LN(E5),INDEX(Attenuation!$K:$K,(INDEX(Cables!$AO:$AO,MATCH(G5,Cables!$A:$A,0))-1+MIN(MAX(IFERROR(MATCH(LN(E5),INDEX(Attenuation!$J:$J,INDEX(Cables!$AO:$AO,MATCH(G5,Cables!$A:$A,0))):INDEX(Attenuation!$J:$J,INDEX(Cables!$AO:$AO,MATCH(G5,Cables!$A:$A,0))+INDEX(Cables!$AP:$AP,MATCH(G5,Cables!$A:$A,0))-1),1),1),1),INDEX(Cables!$AP:$AP,MATCH(G5,Cables!$A:$A,0))-1))):INDEX(Attenuation!$K:$K,(INDEX(Cables!$AO:$AO,MATCH(G5,Cables!$A:$A,0))-1+MIN(MAX(IFERROR(MATCH(LN(E5),INDEX(Attenuation!$J:$J,INDEX(Cables!$AO:$AO,MATCH(G5,Cables!$A:$A,0))):INDEX(Attenuation!$J:$J,INDEX(Cables!$AO:$AO,MATCH(G5,Cables!$A:$A,0))+INDEX(Cables!$AP:$AP,MATCH(G5,Cables!$A:$A,0))-1),1),1),1),INDEX(Cables!$AP:$AP,MATCH(G5,Cables!$A:$A,0))-1))+1),INDEX(Attenuation!$J:$J,(INDEX(Cables!$AO:$AO,MATCH(G5,Cables!$A:$A,0))-1+MIN(MAX(IFERROR(MATCH(LN(E5),INDEX(Attenuation!$J:$J,INDEX(Cables!$AO:$AO,MATCH(G5,Cables!$A:$A,0))):INDEX(Attenuation!$J:$J,INDEX(Cables!$AO:$AO,MATCH(G5,Cables!$A:$A,0))+INDEX(Cables!$AP:$AP,MATCH(G5,Cables!$A:$A,0))-1),1),1),1),INDEX(Cables!$AP:$AP,MATCH(G5,Cables!$A:$A,0))-1))):INDEX(Attenuation!$J:$J,(INDEX(Cables!$AO:$AO,MATCH(G5,Cables!$A:$A,0))-1+MIN(MAX(IFERROR(MATCH(LN(E5),INDEX(Attenuation!$J:$J,INDEX(Cables!$AO:$AO,MATCH(G5,Cables!$A:$A,0))):INDEX(Attenuation!$J:$J,INDEX(Cables!$AO:$AO,MATCH(G5,Cables!$A:$A,0))+INDEX(Cables!$AP:$AP,MATCH(G5,Cables!$A:$A,0))-1),1),1),1),INDEX(Cables!$AP:$AP,MATCH(G5,Cables!$A:$A,0))-1))+1)))*0.3048)</f>
        <v>44.61096114986082</v>
      </c>
      <c r="J5" s="44">
        <f t="shared" si="0"/>
        <v>0</v>
      </c>
      <c r="K5" s="40" t="str">
        <f>IF(G5="","Doğrulanmadı",IF(ABS(J5)&lt;=0.1,"Uyumlu (±%10)",IF(ABS(J5)&lt;=0.25,"Fark %10-25","Fark &gt;%25"))&amp;IF(OR(D5&lt;INDEX(Cables!$AQ:$AQ,MATCH(G5,Cables!$A:$A,0)),E5&gt;INDEX(Cables!$AR:$AR,MATCH(G5,Cables!$A:$A,0)))," · ekstrapolasyon",""))</f>
        <v>Uyumlu (±%10)</v>
      </c>
    </row>
    <row r="6" spans="1:11" x14ac:dyDescent="0.25">
      <c r="A6" s="37" t="s">
        <v>2958</v>
      </c>
      <c r="B6" s="40" t="str">
        <f>INDEX(Legacy_Index!$D:$D,MATCH(A6,Legacy_Index!$A:$A,0))</f>
        <v>RG174/U</v>
      </c>
      <c r="C6" s="37" t="s">
        <v>3117</v>
      </c>
      <c r="D6" s="37">
        <v>1</v>
      </c>
      <c r="E6" s="37">
        <v>10</v>
      </c>
      <c r="F6" s="37">
        <v>2.5</v>
      </c>
      <c r="G6" s="40" t="str">
        <f>IF(INDEX(Legacy_Index!$G:$G,MATCH(A6,Legacy_Index!$A:$A,0))="","",INDEX(Legacy_Index!$G:$G,MATCH(A6,Legacy_Index!$A:$A,0)))</f>
        <v>BEL-8216</v>
      </c>
      <c r="H6" s="43">
        <f>IF(G6="","",EXP(FORECAST(LN(D6),INDEX(Attenuation!$K:$K,(INDEX(Cables!$AO:$AO,MATCH(G6,Cables!$A:$A,0))-1+MIN(MAX(IFERROR(MATCH(LN(D6),INDEX(Attenuation!$J:$J,INDEX(Cables!$AO:$AO,MATCH(G6,Cables!$A:$A,0))):INDEX(Attenuation!$J:$J,INDEX(Cables!$AO:$AO,MATCH(G6,Cables!$A:$A,0))+INDEX(Cables!$AP:$AP,MATCH(G6,Cables!$A:$A,0))-1),1),1),1),INDEX(Cables!$AP:$AP,MATCH(G6,Cables!$A:$A,0))-1))):INDEX(Attenuation!$K:$K,(INDEX(Cables!$AO:$AO,MATCH(G6,Cables!$A:$A,0))-1+MIN(MAX(IFERROR(MATCH(LN(D6),INDEX(Attenuation!$J:$J,INDEX(Cables!$AO:$AO,MATCH(G6,Cables!$A:$A,0))):INDEX(Attenuation!$J:$J,INDEX(Cables!$AO:$AO,MATCH(G6,Cables!$A:$A,0))+INDEX(Cables!$AP:$AP,MATCH(G6,Cables!$A:$A,0))-1),1),1),1),INDEX(Cables!$AP:$AP,MATCH(G6,Cables!$A:$A,0))-1))+1),INDEX(Attenuation!$J:$J,(INDEX(Cables!$AO:$AO,MATCH(G6,Cables!$A:$A,0))-1+MIN(MAX(IFERROR(MATCH(LN(D6),INDEX(Attenuation!$J:$J,INDEX(Cables!$AO:$AO,MATCH(G6,Cables!$A:$A,0))):INDEX(Attenuation!$J:$J,INDEX(Cables!$AO:$AO,MATCH(G6,Cables!$A:$A,0))+INDEX(Cables!$AP:$AP,MATCH(G6,Cables!$A:$A,0))-1),1),1),1),INDEX(Cables!$AP:$AP,MATCH(G6,Cables!$A:$A,0))-1))):INDEX(Attenuation!$J:$J,(INDEX(Cables!$AO:$AO,MATCH(G6,Cables!$A:$A,0))-1+MIN(MAX(IFERROR(MATCH(LN(D6),INDEX(Attenuation!$J:$J,INDEX(Cables!$AO:$AO,MATCH(G6,Cables!$A:$A,0))):INDEX(Attenuation!$J:$J,INDEX(Cables!$AO:$AO,MATCH(G6,Cables!$A:$A,0))+INDEX(Cables!$AP:$AP,MATCH(G6,Cables!$A:$A,0))-1),1),1),1),INDEX(Cables!$AP:$AP,MATCH(G6,Cables!$A:$A,0))-1))+1)))*0.3048)</f>
        <v>1.8999999999999997</v>
      </c>
      <c r="I6" s="43">
        <f>IF(G6="","",EXP(FORECAST(LN(E6),INDEX(Attenuation!$K:$K,(INDEX(Cables!$AO:$AO,MATCH(G6,Cables!$A:$A,0))-1+MIN(MAX(IFERROR(MATCH(LN(E6),INDEX(Attenuation!$J:$J,INDEX(Cables!$AO:$AO,MATCH(G6,Cables!$A:$A,0))):INDEX(Attenuation!$J:$J,INDEX(Cables!$AO:$AO,MATCH(G6,Cables!$A:$A,0))+INDEX(Cables!$AP:$AP,MATCH(G6,Cables!$A:$A,0))-1),1),1),1),INDEX(Cables!$AP:$AP,MATCH(G6,Cables!$A:$A,0))-1))):INDEX(Attenuation!$K:$K,(INDEX(Cables!$AO:$AO,MATCH(G6,Cables!$A:$A,0))-1+MIN(MAX(IFERROR(MATCH(LN(E6),INDEX(Attenuation!$J:$J,INDEX(Cables!$AO:$AO,MATCH(G6,Cables!$A:$A,0))):INDEX(Attenuation!$J:$J,INDEX(Cables!$AO:$AO,MATCH(G6,Cables!$A:$A,0))+INDEX(Cables!$AP:$AP,MATCH(G6,Cables!$A:$A,0))-1),1),1),1),INDEX(Cables!$AP:$AP,MATCH(G6,Cables!$A:$A,0))-1))+1),INDEX(Attenuation!$J:$J,(INDEX(Cables!$AO:$AO,MATCH(G6,Cables!$A:$A,0))-1+MIN(MAX(IFERROR(MATCH(LN(E6),INDEX(Attenuation!$J:$J,INDEX(Cables!$AO:$AO,MATCH(G6,Cables!$A:$A,0))):INDEX(Attenuation!$J:$J,INDEX(Cables!$AO:$AO,MATCH(G6,Cables!$A:$A,0))+INDEX(Cables!$AP:$AP,MATCH(G6,Cables!$A:$A,0))-1),1),1),1),INDEX(Cables!$AP:$AP,MATCH(G6,Cables!$A:$A,0))-1))):INDEX(Attenuation!$J:$J,(INDEX(Cables!$AO:$AO,MATCH(G6,Cables!$A:$A,0))-1+MIN(MAX(IFERROR(MATCH(LN(E6),INDEX(Attenuation!$J:$J,INDEX(Cables!$AO:$AO,MATCH(G6,Cables!$A:$A,0))):INDEX(Attenuation!$J:$J,INDEX(Cables!$AO:$AO,MATCH(G6,Cables!$A:$A,0))+INDEX(Cables!$AP:$AP,MATCH(G6,Cables!$A:$A,0))-1),1),1),1),INDEX(Cables!$AP:$AP,MATCH(G6,Cables!$A:$A,0))-1))+1)))*0.3048)</f>
        <v>3.300000000000002</v>
      </c>
      <c r="J6" s="44">
        <f t="shared" si="0"/>
        <v>0</v>
      </c>
      <c r="K6" s="40" t="str">
        <f>IF(G6="","Doğrulanmadı",IF(ABS(J6)&lt;=0.1,"Uyumlu (±%10)",IF(ABS(J6)&lt;=0.25,"Fark %10-25","Fark &gt;%25"))&amp;IF(OR(D6&lt;INDEX(Cables!$AQ:$AQ,MATCH(G6,Cables!$A:$A,0)),E6&gt;INDEX(Cables!$AR:$AR,MATCH(G6,Cables!$A:$A,0)))," · ekstrapolasyon",""))</f>
        <v>Uyumlu (±%10)</v>
      </c>
    </row>
    <row r="7" spans="1:11" x14ac:dyDescent="0.25">
      <c r="A7" s="37" t="s">
        <v>2958</v>
      </c>
      <c r="B7" s="40" t="str">
        <f>INDEX(Legacy_Index!$D:$D,MATCH(A7,Legacy_Index!$A:$A,0))</f>
        <v>RG174/U</v>
      </c>
      <c r="C7" s="37" t="s">
        <v>3118</v>
      </c>
      <c r="D7" s="37">
        <v>30</v>
      </c>
      <c r="E7" s="37">
        <v>50</v>
      </c>
      <c r="F7" s="37">
        <v>6.5</v>
      </c>
      <c r="G7" s="40" t="str">
        <f>IF(INDEX(Legacy_Index!$G:$G,MATCH(A7,Legacy_Index!$A:$A,0))="","",INDEX(Legacy_Index!$G:$G,MATCH(A7,Legacy_Index!$A:$A,0)))</f>
        <v>BEL-8216</v>
      </c>
      <c r="H7" s="43">
        <f>IF(G7="","",EXP(FORECAST(LN(D7),INDEX(Attenuation!$K:$K,(INDEX(Cables!$AO:$AO,MATCH(G7,Cables!$A:$A,0))-1+MIN(MAX(IFERROR(MATCH(LN(D7),INDEX(Attenuation!$J:$J,INDEX(Cables!$AO:$AO,MATCH(G7,Cables!$A:$A,0))):INDEX(Attenuation!$J:$J,INDEX(Cables!$AO:$AO,MATCH(G7,Cables!$A:$A,0))+INDEX(Cables!$AP:$AP,MATCH(G7,Cables!$A:$A,0))-1),1),1),1),INDEX(Cables!$AP:$AP,MATCH(G7,Cables!$A:$A,0))-1))):INDEX(Attenuation!$K:$K,(INDEX(Cables!$AO:$AO,MATCH(G7,Cables!$A:$A,0))-1+MIN(MAX(IFERROR(MATCH(LN(D7),INDEX(Attenuation!$J:$J,INDEX(Cables!$AO:$AO,MATCH(G7,Cables!$A:$A,0))):INDEX(Attenuation!$J:$J,INDEX(Cables!$AO:$AO,MATCH(G7,Cables!$A:$A,0))+INDEX(Cables!$AP:$AP,MATCH(G7,Cables!$A:$A,0))-1),1),1),1),INDEX(Cables!$AP:$AP,MATCH(G7,Cables!$A:$A,0))-1))+1),INDEX(Attenuation!$J:$J,(INDEX(Cables!$AO:$AO,MATCH(G7,Cables!$A:$A,0))-1+MIN(MAX(IFERROR(MATCH(LN(D7),INDEX(Attenuation!$J:$J,INDEX(Cables!$AO:$AO,MATCH(G7,Cables!$A:$A,0))):INDEX(Attenuation!$J:$J,INDEX(Cables!$AO:$AO,MATCH(G7,Cables!$A:$A,0))+INDEX(Cables!$AP:$AP,MATCH(G7,Cables!$A:$A,0))-1),1),1),1),INDEX(Cables!$AP:$AP,MATCH(G7,Cables!$A:$A,0))-1))):INDEX(Attenuation!$J:$J,(INDEX(Cables!$AO:$AO,MATCH(G7,Cables!$A:$A,0))-1+MIN(MAX(IFERROR(MATCH(LN(D7),INDEX(Attenuation!$J:$J,INDEX(Cables!$AO:$AO,MATCH(G7,Cables!$A:$A,0))):INDEX(Attenuation!$J:$J,INDEX(Cables!$AO:$AO,MATCH(G7,Cables!$A:$A,0))+INDEX(Cables!$AP:$AP,MATCH(G7,Cables!$A:$A,0))-1),1),1),1),INDEX(Cables!$AP:$AP,MATCH(G7,Cables!$A:$A,0))-1))+1)))*0.3048)</f>
        <v>4.8494645621811641</v>
      </c>
      <c r="I7" s="43">
        <f>IF(G7="","",EXP(FORECAST(LN(E7),INDEX(Attenuation!$K:$K,(INDEX(Cables!$AO:$AO,MATCH(G7,Cables!$A:$A,0))-1+MIN(MAX(IFERROR(MATCH(LN(E7),INDEX(Attenuation!$J:$J,INDEX(Cables!$AO:$AO,MATCH(G7,Cables!$A:$A,0))):INDEX(Attenuation!$J:$J,INDEX(Cables!$AO:$AO,MATCH(G7,Cables!$A:$A,0))+INDEX(Cables!$AP:$AP,MATCH(G7,Cables!$A:$A,0))-1),1),1),1),INDEX(Cables!$AP:$AP,MATCH(G7,Cables!$A:$A,0))-1))):INDEX(Attenuation!$K:$K,(INDEX(Cables!$AO:$AO,MATCH(G7,Cables!$A:$A,0))-1+MIN(MAX(IFERROR(MATCH(LN(E7),INDEX(Attenuation!$J:$J,INDEX(Cables!$AO:$AO,MATCH(G7,Cables!$A:$A,0))):INDEX(Attenuation!$J:$J,INDEX(Cables!$AO:$AO,MATCH(G7,Cables!$A:$A,0))+INDEX(Cables!$AP:$AP,MATCH(G7,Cables!$A:$A,0))-1),1),1),1),INDEX(Cables!$AP:$AP,MATCH(G7,Cables!$A:$A,0))-1))+1),INDEX(Attenuation!$J:$J,(INDEX(Cables!$AO:$AO,MATCH(G7,Cables!$A:$A,0))-1+MIN(MAX(IFERROR(MATCH(LN(E7),INDEX(Attenuation!$J:$J,INDEX(Cables!$AO:$AO,MATCH(G7,Cables!$A:$A,0))):INDEX(Attenuation!$J:$J,INDEX(Cables!$AO:$AO,MATCH(G7,Cables!$A:$A,0))+INDEX(Cables!$AP:$AP,MATCH(G7,Cables!$A:$A,0))-1),1),1),1),INDEX(Cables!$AP:$AP,MATCH(G7,Cables!$A:$A,0))-1))):INDEX(Attenuation!$J:$J,(INDEX(Cables!$AO:$AO,MATCH(G7,Cables!$A:$A,0))-1+MIN(MAX(IFERROR(MATCH(LN(E7),INDEX(Attenuation!$J:$J,INDEX(Cables!$AO:$AO,MATCH(G7,Cables!$A:$A,0))):INDEX(Attenuation!$J:$J,INDEX(Cables!$AO:$AO,MATCH(G7,Cables!$A:$A,0))+INDEX(Cables!$AP:$AP,MATCH(G7,Cables!$A:$A,0))-1),1),1),1),INDEX(Cables!$AP:$AP,MATCH(G7,Cables!$A:$A,0))-1))+1)))*0.3048)</f>
        <v>5.7999999999999989</v>
      </c>
      <c r="J7" s="44">
        <f t="shared" si="0"/>
        <v>0.12068965517241392</v>
      </c>
      <c r="K7" s="40" t="str">
        <f>IF(G7="","Doğrulanmadı",IF(ABS(J7)&lt;=0.1,"Uyumlu (±%10)",IF(ABS(J7)&lt;=0.25,"Fark %10-25","Fark &gt;%25"))&amp;IF(OR(D7&lt;INDEX(Cables!$AQ:$AQ,MATCH(G7,Cables!$A:$A,0)),E7&gt;INDEX(Cables!$AR:$AR,MATCH(G7,Cables!$A:$A,0)))," · ekstrapolasyon",""))</f>
        <v>Fark %10-25</v>
      </c>
    </row>
    <row r="8" spans="1:11" x14ac:dyDescent="0.25">
      <c r="A8" s="37" t="s">
        <v>2958</v>
      </c>
      <c r="B8" s="40" t="str">
        <f>INDEX(Legacy_Index!$D:$D,MATCH(A8,Legacy_Index!$A:$A,0))</f>
        <v>RG174/U</v>
      </c>
      <c r="C8" s="37" t="s">
        <v>3113</v>
      </c>
      <c r="D8" s="37">
        <v>70</v>
      </c>
      <c r="E8" s="37">
        <v>100</v>
      </c>
      <c r="F8" s="37">
        <v>8</v>
      </c>
      <c r="G8" s="40" t="str">
        <f>IF(INDEX(Legacy_Index!$G:$G,MATCH(A8,Legacy_Index!$A:$A,0))="","",INDEX(Legacy_Index!$G:$G,MATCH(A8,Legacy_Index!$A:$A,0)))</f>
        <v>BEL-8216</v>
      </c>
      <c r="H8" s="43">
        <f>IF(G8="","",EXP(FORECAST(LN(D8),INDEX(Attenuation!$K:$K,(INDEX(Cables!$AO:$AO,MATCH(G8,Cables!$A:$A,0))-1+MIN(MAX(IFERROR(MATCH(LN(D8),INDEX(Attenuation!$J:$J,INDEX(Cables!$AO:$AO,MATCH(G8,Cables!$A:$A,0))):INDEX(Attenuation!$J:$J,INDEX(Cables!$AO:$AO,MATCH(G8,Cables!$A:$A,0))+INDEX(Cables!$AP:$AP,MATCH(G8,Cables!$A:$A,0))-1),1),1),1),INDEX(Cables!$AP:$AP,MATCH(G8,Cables!$A:$A,0))-1))):INDEX(Attenuation!$K:$K,(INDEX(Cables!$AO:$AO,MATCH(G8,Cables!$A:$A,0))-1+MIN(MAX(IFERROR(MATCH(LN(D8),INDEX(Attenuation!$J:$J,INDEX(Cables!$AO:$AO,MATCH(G8,Cables!$A:$A,0))):INDEX(Attenuation!$J:$J,INDEX(Cables!$AO:$AO,MATCH(G8,Cables!$A:$A,0))+INDEX(Cables!$AP:$AP,MATCH(G8,Cables!$A:$A,0))-1),1),1),1),INDEX(Cables!$AP:$AP,MATCH(G8,Cables!$A:$A,0))-1))+1),INDEX(Attenuation!$J:$J,(INDEX(Cables!$AO:$AO,MATCH(G8,Cables!$A:$A,0))-1+MIN(MAX(IFERROR(MATCH(LN(D8),INDEX(Attenuation!$J:$J,INDEX(Cables!$AO:$AO,MATCH(G8,Cables!$A:$A,0))):INDEX(Attenuation!$J:$J,INDEX(Cables!$AO:$AO,MATCH(G8,Cables!$A:$A,0))+INDEX(Cables!$AP:$AP,MATCH(G8,Cables!$A:$A,0))-1),1),1),1),INDEX(Cables!$AP:$AP,MATCH(G8,Cables!$A:$A,0))-1))):INDEX(Attenuation!$J:$J,(INDEX(Cables!$AO:$AO,MATCH(G8,Cables!$A:$A,0))-1+MIN(MAX(IFERROR(MATCH(LN(D8),INDEX(Attenuation!$J:$J,INDEX(Cables!$AO:$AO,MATCH(G8,Cables!$A:$A,0))):INDEX(Attenuation!$J:$J,INDEX(Cables!$AO:$AO,MATCH(G8,Cables!$A:$A,0))+INDEX(Cables!$AP:$AP,MATCH(G8,Cables!$A:$A,0))-1),1),1),1),INDEX(Cables!$AP:$AP,MATCH(G8,Cables!$A:$A,0))-1))+1)))*0.3048)</f>
        <v>6.9423982950190295</v>
      </c>
      <c r="I8" s="43">
        <f>IF(G8="","",EXP(FORECAST(LN(E8),INDEX(Attenuation!$K:$K,(INDEX(Cables!$AO:$AO,MATCH(G8,Cables!$A:$A,0))-1+MIN(MAX(IFERROR(MATCH(LN(E8),INDEX(Attenuation!$J:$J,INDEX(Cables!$AO:$AO,MATCH(G8,Cables!$A:$A,0))):INDEX(Attenuation!$J:$J,INDEX(Cables!$AO:$AO,MATCH(G8,Cables!$A:$A,0))+INDEX(Cables!$AP:$AP,MATCH(G8,Cables!$A:$A,0))-1),1),1),1),INDEX(Cables!$AP:$AP,MATCH(G8,Cables!$A:$A,0))-1))):INDEX(Attenuation!$K:$K,(INDEX(Cables!$AO:$AO,MATCH(G8,Cables!$A:$A,0))-1+MIN(MAX(IFERROR(MATCH(LN(E8),INDEX(Attenuation!$J:$J,INDEX(Cables!$AO:$AO,MATCH(G8,Cables!$A:$A,0))):INDEX(Attenuation!$J:$J,INDEX(Cables!$AO:$AO,MATCH(G8,Cables!$A:$A,0))+INDEX(Cables!$AP:$AP,MATCH(G8,Cables!$A:$A,0))-1),1),1),1),INDEX(Cables!$AP:$AP,MATCH(G8,Cables!$A:$A,0))-1))+1),INDEX(Attenuation!$J:$J,(INDEX(Cables!$AO:$AO,MATCH(G8,Cables!$A:$A,0))-1+MIN(MAX(IFERROR(MATCH(LN(E8),INDEX(Attenuation!$J:$J,INDEX(Cables!$AO:$AO,MATCH(G8,Cables!$A:$A,0))):INDEX(Attenuation!$J:$J,INDEX(Cables!$AO:$AO,MATCH(G8,Cables!$A:$A,0))+INDEX(Cables!$AP:$AP,MATCH(G8,Cables!$A:$A,0))-1),1),1),1),INDEX(Cables!$AP:$AP,MATCH(G8,Cables!$A:$A,0))-1))):INDEX(Attenuation!$J:$J,(INDEX(Cables!$AO:$AO,MATCH(G8,Cables!$A:$A,0))-1+MIN(MAX(IFERROR(MATCH(LN(E8),INDEX(Attenuation!$J:$J,INDEX(Cables!$AO:$AO,MATCH(G8,Cables!$A:$A,0))):INDEX(Attenuation!$J:$J,INDEX(Cables!$AO:$AO,MATCH(G8,Cables!$A:$A,0))+INDEX(Cables!$AP:$AP,MATCH(G8,Cables!$A:$A,0))-1),1),1),1),INDEX(Cables!$AP:$AP,MATCH(G8,Cables!$A:$A,0))-1))+1)))*0.3048)</f>
        <v>8.4</v>
      </c>
      <c r="J8" s="44">
        <f t="shared" si="0"/>
        <v>0</v>
      </c>
      <c r="K8" s="40" t="str">
        <f>IF(G8="","Doğrulanmadı",IF(ABS(J8)&lt;=0.1,"Uyumlu (±%10)",IF(ABS(J8)&lt;=0.25,"Fark %10-25","Fark &gt;%25"))&amp;IF(OR(D8&lt;INDEX(Cables!$AQ:$AQ,MATCH(G8,Cables!$A:$A,0)),E8&gt;INDEX(Cables!$AR:$AR,MATCH(G8,Cables!$A:$A,0)))," · ekstrapolasyon",""))</f>
        <v>Uyumlu (±%10)</v>
      </c>
    </row>
    <row r="9" spans="1:11" x14ac:dyDescent="0.25">
      <c r="A9" s="37" t="s">
        <v>2958</v>
      </c>
      <c r="B9" s="40" t="str">
        <f>INDEX(Legacy_Index!$D:$D,MATCH(A9,Legacy_Index!$A:$A,0))</f>
        <v>RG174/U</v>
      </c>
      <c r="C9" s="37" t="s">
        <v>3114</v>
      </c>
      <c r="D9" s="37">
        <v>148</v>
      </c>
      <c r="E9" s="37">
        <v>174</v>
      </c>
      <c r="F9" s="37">
        <v>10.6</v>
      </c>
      <c r="G9" s="40" t="str">
        <f>IF(INDEX(Legacy_Index!$G:$G,MATCH(A9,Legacy_Index!$A:$A,0))="","",INDEX(Legacy_Index!$G:$G,MATCH(A9,Legacy_Index!$A:$A,0)))</f>
        <v>BEL-8216</v>
      </c>
      <c r="H9" s="43">
        <f>IF(G9="","",EXP(FORECAST(LN(D9),INDEX(Attenuation!$K:$K,(INDEX(Cables!$AO:$AO,MATCH(G9,Cables!$A:$A,0))-1+MIN(MAX(IFERROR(MATCH(LN(D9),INDEX(Attenuation!$J:$J,INDEX(Cables!$AO:$AO,MATCH(G9,Cables!$A:$A,0))):INDEX(Attenuation!$J:$J,INDEX(Cables!$AO:$AO,MATCH(G9,Cables!$A:$A,0))+INDEX(Cables!$AP:$AP,MATCH(G9,Cables!$A:$A,0))-1),1),1),1),INDEX(Cables!$AP:$AP,MATCH(G9,Cables!$A:$A,0))-1))):INDEX(Attenuation!$K:$K,(INDEX(Cables!$AO:$AO,MATCH(G9,Cables!$A:$A,0))-1+MIN(MAX(IFERROR(MATCH(LN(D9),INDEX(Attenuation!$J:$J,INDEX(Cables!$AO:$AO,MATCH(G9,Cables!$A:$A,0))):INDEX(Attenuation!$J:$J,INDEX(Cables!$AO:$AO,MATCH(G9,Cables!$A:$A,0))+INDEX(Cables!$AP:$AP,MATCH(G9,Cables!$A:$A,0))-1),1),1),1),INDEX(Cables!$AP:$AP,MATCH(G9,Cables!$A:$A,0))-1))+1),INDEX(Attenuation!$J:$J,(INDEX(Cables!$AO:$AO,MATCH(G9,Cables!$A:$A,0))-1+MIN(MAX(IFERROR(MATCH(LN(D9),INDEX(Attenuation!$J:$J,INDEX(Cables!$AO:$AO,MATCH(G9,Cables!$A:$A,0))):INDEX(Attenuation!$J:$J,INDEX(Cables!$AO:$AO,MATCH(G9,Cables!$A:$A,0))+INDEX(Cables!$AP:$AP,MATCH(G9,Cables!$A:$A,0))-1),1),1),1),INDEX(Cables!$AP:$AP,MATCH(G9,Cables!$A:$A,0))-1))):INDEX(Attenuation!$J:$J,(INDEX(Cables!$AO:$AO,MATCH(G9,Cables!$A:$A,0))-1+MIN(MAX(IFERROR(MATCH(LN(D9),INDEX(Attenuation!$J:$J,INDEX(Cables!$AO:$AO,MATCH(G9,Cables!$A:$A,0))):INDEX(Attenuation!$J:$J,INDEX(Cables!$AO:$AO,MATCH(G9,Cables!$A:$A,0))+INDEX(Cables!$AP:$AP,MATCH(G9,Cables!$A:$A,0))-1),1),1),1),INDEX(Cables!$AP:$AP,MATCH(G9,Cables!$A:$A,0))-1))+1)))*0.3048)</f>
        <v>10.517650560876369</v>
      </c>
      <c r="I9" s="43">
        <f>IF(G9="","",EXP(FORECAST(LN(E9),INDEX(Attenuation!$K:$K,(INDEX(Cables!$AO:$AO,MATCH(G9,Cables!$A:$A,0))-1+MIN(MAX(IFERROR(MATCH(LN(E9),INDEX(Attenuation!$J:$J,INDEX(Cables!$AO:$AO,MATCH(G9,Cables!$A:$A,0))):INDEX(Attenuation!$J:$J,INDEX(Cables!$AO:$AO,MATCH(G9,Cables!$A:$A,0))+INDEX(Cables!$AP:$AP,MATCH(G9,Cables!$A:$A,0))-1),1),1),1),INDEX(Cables!$AP:$AP,MATCH(G9,Cables!$A:$A,0))-1))):INDEX(Attenuation!$K:$K,(INDEX(Cables!$AO:$AO,MATCH(G9,Cables!$A:$A,0))-1+MIN(MAX(IFERROR(MATCH(LN(E9),INDEX(Attenuation!$J:$J,INDEX(Cables!$AO:$AO,MATCH(G9,Cables!$A:$A,0))):INDEX(Attenuation!$J:$J,INDEX(Cables!$AO:$AO,MATCH(G9,Cables!$A:$A,0))+INDEX(Cables!$AP:$AP,MATCH(G9,Cables!$A:$A,0))-1),1),1),1),INDEX(Cables!$AP:$AP,MATCH(G9,Cables!$A:$A,0))-1))+1),INDEX(Attenuation!$J:$J,(INDEX(Cables!$AO:$AO,MATCH(G9,Cables!$A:$A,0))-1+MIN(MAX(IFERROR(MATCH(LN(E9),INDEX(Attenuation!$J:$J,INDEX(Cables!$AO:$AO,MATCH(G9,Cables!$A:$A,0))):INDEX(Attenuation!$J:$J,INDEX(Cables!$AO:$AO,MATCH(G9,Cables!$A:$A,0))+INDEX(Cables!$AP:$AP,MATCH(G9,Cables!$A:$A,0))-1),1),1),1),INDEX(Cables!$AP:$AP,MATCH(G9,Cables!$A:$A,0))-1))):INDEX(Attenuation!$J:$J,(INDEX(Cables!$AO:$AO,MATCH(G9,Cables!$A:$A,0))-1+MIN(MAX(IFERROR(MATCH(LN(E9),INDEX(Attenuation!$J:$J,INDEX(Cables!$AO:$AO,MATCH(G9,Cables!$A:$A,0))):INDEX(Attenuation!$J:$J,INDEX(Cables!$AO:$AO,MATCH(G9,Cables!$A:$A,0))+INDEX(Cables!$AP:$AP,MATCH(G9,Cables!$A:$A,0))-1),1),1),1),INDEX(Cables!$AP:$AP,MATCH(G9,Cables!$A:$A,0))-1))+1)))*0.3048)</f>
        <v>11.540544729650472</v>
      </c>
      <c r="J9" s="44">
        <f t="shared" si="0"/>
        <v>0</v>
      </c>
      <c r="K9" s="40" t="str">
        <f>IF(G9="","Doğrulanmadı",IF(ABS(J9)&lt;=0.1,"Uyumlu (±%10)",IF(ABS(J9)&lt;=0.25,"Fark %10-25","Fark &gt;%25"))&amp;IF(OR(D9&lt;INDEX(Cables!$AQ:$AQ,MATCH(G9,Cables!$A:$A,0)),E9&gt;INDEX(Cables!$AR:$AR,MATCH(G9,Cables!$A:$A,0)))," · ekstrapolasyon",""))</f>
        <v>Uyumlu (±%10)</v>
      </c>
    </row>
    <row r="10" spans="1:11" x14ac:dyDescent="0.25">
      <c r="A10" s="37" t="s">
        <v>2958</v>
      </c>
      <c r="B10" s="40" t="str">
        <f>INDEX(Legacy_Index!$D:$D,MATCH(A10,Legacy_Index!$A:$A,0))</f>
        <v>RG174/U</v>
      </c>
      <c r="C10" s="37" t="s">
        <v>3119</v>
      </c>
      <c r="D10" s="37">
        <v>220</v>
      </c>
      <c r="E10" s="37">
        <v>220</v>
      </c>
      <c r="F10" s="37">
        <v>12</v>
      </c>
      <c r="G10" s="40" t="str">
        <f>IF(INDEX(Legacy_Index!$G:$G,MATCH(A10,Legacy_Index!$A:$A,0))="","",INDEX(Legacy_Index!$G:$G,MATCH(A10,Legacy_Index!$A:$A,0)))</f>
        <v>BEL-8216</v>
      </c>
      <c r="H10" s="43">
        <f>IF(G10="","",EXP(FORECAST(LN(D10),INDEX(Attenuation!$K:$K,(INDEX(Cables!$AO:$AO,MATCH(G10,Cables!$A:$A,0))-1+MIN(MAX(IFERROR(MATCH(LN(D10),INDEX(Attenuation!$J:$J,INDEX(Cables!$AO:$AO,MATCH(G10,Cables!$A:$A,0))):INDEX(Attenuation!$J:$J,INDEX(Cables!$AO:$AO,MATCH(G10,Cables!$A:$A,0))+INDEX(Cables!$AP:$AP,MATCH(G10,Cables!$A:$A,0))-1),1),1),1),INDEX(Cables!$AP:$AP,MATCH(G10,Cables!$A:$A,0))-1))):INDEX(Attenuation!$K:$K,(INDEX(Cables!$AO:$AO,MATCH(G10,Cables!$A:$A,0))-1+MIN(MAX(IFERROR(MATCH(LN(D10),INDEX(Attenuation!$J:$J,INDEX(Cables!$AO:$AO,MATCH(G10,Cables!$A:$A,0))):INDEX(Attenuation!$J:$J,INDEX(Cables!$AO:$AO,MATCH(G10,Cables!$A:$A,0))+INDEX(Cables!$AP:$AP,MATCH(G10,Cables!$A:$A,0))-1),1),1),1),INDEX(Cables!$AP:$AP,MATCH(G10,Cables!$A:$A,0))-1))+1),INDEX(Attenuation!$J:$J,(INDEX(Cables!$AO:$AO,MATCH(G10,Cables!$A:$A,0))-1+MIN(MAX(IFERROR(MATCH(LN(D10),INDEX(Attenuation!$J:$J,INDEX(Cables!$AO:$AO,MATCH(G10,Cables!$A:$A,0))):INDEX(Attenuation!$J:$J,INDEX(Cables!$AO:$AO,MATCH(G10,Cables!$A:$A,0))+INDEX(Cables!$AP:$AP,MATCH(G10,Cables!$A:$A,0))-1),1),1),1),INDEX(Cables!$AP:$AP,MATCH(G10,Cables!$A:$A,0))-1))):INDEX(Attenuation!$J:$J,(INDEX(Cables!$AO:$AO,MATCH(G10,Cables!$A:$A,0))-1+MIN(MAX(IFERROR(MATCH(LN(D10),INDEX(Attenuation!$J:$J,INDEX(Cables!$AO:$AO,MATCH(G10,Cables!$A:$A,0))):INDEX(Attenuation!$J:$J,INDEX(Cables!$AO:$AO,MATCH(G10,Cables!$A:$A,0))+INDEX(Cables!$AP:$AP,MATCH(G10,Cables!$A:$A,0))-1),1),1),1),INDEX(Cables!$AP:$AP,MATCH(G10,Cables!$A:$A,0))-1))+1)))*0.3048)</f>
        <v>13.240797605237068</v>
      </c>
      <c r="I10" s="43">
        <f>IF(G10="","",EXP(FORECAST(LN(E10),INDEX(Attenuation!$K:$K,(INDEX(Cables!$AO:$AO,MATCH(G10,Cables!$A:$A,0))-1+MIN(MAX(IFERROR(MATCH(LN(E10),INDEX(Attenuation!$J:$J,INDEX(Cables!$AO:$AO,MATCH(G10,Cables!$A:$A,0))):INDEX(Attenuation!$J:$J,INDEX(Cables!$AO:$AO,MATCH(G10,Cables!$A:$A,0))+INDEX(Cables!$AP:$AP,MATCH(G10,Cables!$A:$A,0))-1),1),1),1),INDEX(Cables!$AP:$AP,MATCH(G10,Cables!$A:$A,0))-1))):INDEX(Attenuation!$K:$K,(INDEX(Cables!$AO:$AO,MATCH(G10,Cables!$A:$A,0))-1+MIN(MAX(IFERROR(MATCH(LN(E10),INDEX(Attenuation!$J:$J,INDEX(Cables!$AO:$AO,MATCH(G10,Cables!$A:$A,0))):INDEX(Attenuation!$J:$J,INDEX(Cables!$AO:$AO,MATCH(G10,Cables!$A:$A,0))+INDEX(Cables!$AP:$AP,MATCH(G10,Cables!$A:$A,0))-1),1),1),1),INDEX(Cables!$AP:$AP,MATCH(G10,Cables!$A:$A,0))-1))+1),INDEX(Attenuation!$J:$J,(INDEX(Cables!$AO:$AO,MATCH(G10,Cables!$A:$A,0))-1+MIN(MAX(IFERROR(MATCH(LN(E10),INDEX(Attenuation!$J:$J,INDEX(Cables!$AO:$AO,MATCH(G10,Cables!$A:$A,0))):INDEX(Attenuation!$J:$J,INDEX(Cables!$AO:$AO,MATCH(G10,Cables!$A:$A,0))+INDEX(Cables!$AP:$AP,MATCH(G10,Cables!$A:$A,0))-1),1),1),1),INDEX(Cables!$AP:$AP,MATCH(G10,Cables!$A:$A,0))-1))):INDEX(Attenuation!$J:$J,(INDEX(Cables!$AO:$AO,MATCH(G10,Cables!$A:$A,0))-1+MIN(MAX(IFERROR(MATCH(LN(E10),INDEX(Attenuation!$J:$J,INDEX(Cables!$AO:$AO,MATCH(G10,Cables!$A:$A,0))):INDEX(Attenuation!$J:$J,INDEX(Cables!$AO:$AO,MATCH(G10,Cables!$A:$A,0))+INDEX(Cables!$AP:$AP,MATCH(G10,Cables!$A:$A,0))-1),1),1),1),INDEX(Cables!$AP:$AP,MATCH(G10,Cables!$A:$A,0))-1))+1)))*0.3048)</f>
        <v>13.240797605237068</v>
      </c>
      <c r="J10" s="44">
        <f t="shared" si="0"/>
        <v>-9.371018591404956E-2</v>
      </c>
      <c r="K10" s="40" t="str">
        <f>IF(G10="","Doğrulanmadı",IF(ABS(J10)&lt;=0.1,"Uyumlu (±%10)",IF(ABS(J10)&lt;=0.25,"Fark %10-25","Fark &gt;%25"))&amp;IF(OR(D10&lt;INDEX(Cables!$AQ:$AQ,MATCH(G10,Cables!$A:$A,0)),E10&gt;INDEX(Cables!$AR:$AR,MATCH(G10,Cables!$A:$A,0)))," · ekstrapolasyon",""))</f>
        <v>Uyumlu (±%10)</v>
      </c>
    </row>
    <row r="11" spans="1:11" x14ac:dyDescent="0.25">
      <c r="A11" s="37" t="s">
        <v>2958</v>
      </c>
      <c r="B11" s="40" t="str">
        <f>INDEX(Legacy_Index!$D:$D,MATCH(A11,Legacy_Index!$A:$A,0))</f>
        <v>RG174/U</v>
      </c>
      <c r="C11" s="37" t="s">
        <v>3115</v>
      </c>
      <c r="D11" s="37">
        <v>400</v>
      </c>
      <c r="E11" s="37">
        <v>520</v>
      </c>
      <c r="F11" s="37">
        <v>19.2</v>
      </c>
      <c r="G11" s="40" t="str">
        <f>IF(INDEX(Legacy_Index!$G:$G,MATCH(A11,Legacy_Index!$A:$A,0))="","",INDEX(Legacy_Index!$G:$G,MATCH(A11,Legacy_Index!$A:$A,0)))</f>
        <v>BEL-8216</v>
      </c>
      <c r="H11" s="43">
        <f>IF(G11="","",EXP(FORECAST(LN(D11),INDEX(Attenuation!$K:$K,(INDEX(Cables!$AO:$AO,MATCH(G11,Cables!$A:$A,0))-1+MIN(MAX(IFERROR(MATCH(LN(D11),INDEX(Attenuation!$J:$J,INDEX(Cables!$AO:$AO,MATCH(G11,Cables!$A:$A,0))):INDEX(Attenuation!$J:$J,INDEX(Cables!$AO:$AO,MATCH(G11,Cables!$A:$A,0))+INDEX(Cables!$AP:$AP,MATCH(G11,Cables!$A:$A,0))-1),1),1),1),INDEX(Cables!$AP:$AP,MATCH(G11,Cables!$A:$A,0))-1))):INDEX(Attenuation!$K:$K,(INDEX(Cables!$AO:$AO,MATCH(G11,Cables!$A:$A,0))-1+MIN(MAX(IFERROR(MATCH(LN(D11),INDEX(Attenuation!$J:$J,INDEX(Cables!$AO:$AO,MATCH(G11,Cables!$A:$A,0))):INDEX(Attenuation!$J:$J,INDEX(Cables!$AO:$AO,MATCH(G11,Cables!$A:$A,0))+INDEX(Cables!$AP:$AP,MATCH(G11,Cables!$A:$A,0))-1),1),1),1),INDEX(Cables!$AP:$AP,MATCH(G11,Cables!$A:$A,0))-1))+1),INDEX(Attenuation!$J:$J,(INDEX(Cables!$AO:$AO,MATCH(G11,Cables!$A:$A,0))-1+MIN(MAX(IFERROR(MATCH(LN(D11),INDEX(Attenuation!$J:$J,INDEX(Cables!$AO:$AO,MATCH(G11,Cables!$A:$A,0))):INDEX(Attenuation!$J:$J,INDEX(Cables!$AO:$AO,MATCH(G11,Cables!$A:$A,0))+INDEX(Cables!$AP:$AP,MATCH(G11,Cables!$A:$A,0))-1),1),1),1),INDEX(Cables!$AP:$AP,MATCH(G11,Cables!$A:$A,0))-1))):INDEX(Attenuation!$J:$J,(INDEX(Cables!$AO:$AO,MATCH(G11,Cables!$A:$A,0))-1+MIN(MAX(IFERROR(MATCH(LN(D11),INDEX(Attenuation!$J:$J,INDEX(Cables!$AO:$AO,MATCH(G11,Cables!$A:$A,0))):INDEX(Attenuation!$J:$J,INDEX(Cables!$AO:$AO,MATCH(G11,Cables!$A:$A,0))+INDEX(Cables!$AP:$AP,MATCH(G11,Cables!$A:$A,0))-1),1),1),1),INDEX(Cables!$AP:$AP,MATCH(G11,Cables!$A:$A,0))-1))+1)))*0.3048)</f>
        <v>19.000000000000021</v>
      </c>
      <c r="I11" s="43">
        <f>IF(G11="","",EXP(FORECAST(LN(E11),INDEX(Attenuation!$K:$K,(INDEX(Cables!$AO:$AO,MATCH(G11,Cables!$A:$A,0))-1+MIN(MAX(IFERROR(MATCH(LN(E11),INDEX(Attenuation!$J:$J,INDEX(Cables!$AO:$AO,MATCH(G11,Cables!$A:$A,0))):INDEX(Attenuation!$J:$J,INDEX(Cables!$AO:$AO,MATCH(G11,Cables!$A:$A,0))+INDEX(Cables!$AP:$AP,MATCH(G11,Cables!$A:$A,0))-1),1),1),1),INDEX(Cables!$AP:$AP,MATCH(G11,Cables!$A:$A,0))-1))):INDEX(Attenuation!$K:$K,(INDEX(Cables!$AO:$AO,MATCH(G11,Cables!$A:$A,0))-1+MIN(MAX(IFERROR(MATCH(LN(E11),INDEX(Attenuation!$J:$J,INDEX(Cables!$AO:$AO,MATCH(G11,Cables!$A:$A,0))):INDEX(Attenuation!$J:$J,INDEX(Cables!$AO:$AO,MATCH(G11,Cables!$A:$A,0))+INDEX(Cables!$AP:$AP,MATCH(G11,Cables!$A:$A,0))-1),1),1),1),INDEX(Cables!$AP:$AP,MATCH(G11,Cables!$A:$A,0))-1))+1),INDEX(Attenuation!$J:$J,(INDEX(Cables!$AO:$AO,MATCH(G11,Cables!$A:$A,0))-1+MIN(MAX(IFERROR(MATCH(LN(E11),INDEX(Attenuation!$J:$J,INDEX(Cables!$AO:$AO,MATCH(G11,Cables!$A:$A,0))):INDEX(Attenuation!$J:$J,INDEX(Cables!$AO:$AO,MATCH(G11,Cables!$A:$A,0))+INDEX(Cables!$AP:$AP,MATCH(G11,Cables!$A:$A,0))-1),1),1),1),INDEX(Cables!$AP:$AP,MATCH(G11,Cables!$A:$A,0))-1))):INDEX(Attenuation!$J:$J,(INDEX(Cables!$AO:$AO,MATCH(G11,Cables!$A:$A,0))-1+MIN(MAX(IFERROR(MATCH(LN(E11),INDEX(Attenuation!$J:$J,INDEX(Cables!$AO:$AO,MATCH(G11,Cables!$A:$A,0))):INDEX(Attenuation!$J:$J,INDEX(Cables!$AO:$AO,MATCH(G11,Cables!$A:$A,0))+INDEX(Cables!$AP:$AP,MATCH(G11,Cables!$A:$A,0))-1),1),1),1),INDEX(Cables!$AP:$AP,MATCH(G11,Cables!$A:$A,0))-1))+1)))*0.3048)</f>
        <v>22.40276964082107</v>
      </c>
      <c r="J11" s="44">
        <f t="shared" si="0"/>
        <v>0</v>
      </c>
      <c r="K11" s="40" t="str">
        <f>IF(G11="","Doğrulanmadı",IF(ABS(J11)&lt;=0.1,"Uyumlu (±%10)",IF(ABS(J11)&lt;=0.25,"Fark %10-25","Fark &gt;%25"))&amp;IF(OR(D11&lt;INDEX(Cables!$AQ:$AQ,MATCH(G11,Cables!$A:$A,0)),E11&gt;INDEX(Cables!$AR:$AR,MATCH(G11,Cables!$A:$A,0)))," · ekstrapolasyon",""))</f>
        <v>Uyumlu (±%10)</v>
      </c>
    </row>
    <row r="12" spans="1:11" x14ac:dyDescent="0.25">
      <c r="A12" s="37" t="s">
        <v>2958</v>
      </c>
      <c r="B12" s="40" t="str">
        <f>INDEX(Legacy_Index!$D:$D,MATCH(A12,Legacy_Index!$A:$A,0))</f>
        <v>RG174/U</v>
      </c>
      <c r="C12" s="37" t="s">
        <v>3116</v>
      </c>
      <c r="D12" s="37">
        <v>700</v>
      </c>
      <c r="E12" s="37">
        <v>960</v>
      </c>
      <c r="F12" s="37">
        <v>26.9</v>
      </c>
      <c r="G12" s="40" t="str">
        <f>IF(INDEX(Legacy_Index!$G:$G,MATCH(A12,Legacy_Index!$A:$A,0))="","",INDEX(Legacy_Index!$G:$G,MATCH(A12,Legacy_Index!$A:$A,0)))</f>
        <v>BEL-8216</v>
      </c>
      <c r="H12" s="43">
        <f>IF(G12="","",EXP(FORECAST(LN(D12),INDEX(Attenuation!$K:$K,(INDEX(Cables!$AO:$AO,MATCH(G12,Cables!$A:$A,0))-1+MIN(MAX(IFERROR(MATCH(LN(D12),INDEX(Attenuation!$J:$J,INDEX(Cables!$AO:$AO,MATCH(G12,Cables!$A:$A,0))):INDEX(Attenuation!$J:$J,INDEX(Cables!$AO:$AO,MATCH(G12,Cables!$A:$A,0))+INDEX(Cables!$AP:$AP,MATCH(G12,Cables!$A:$A,0))-1),1),1),1),INDEX(Cables!$AP:$AP,MATCH(G12,Cables!$A:$A,0))-1))):INDEX(Attenuation!$K:$K,(INDEX(Cables!$AO:$AO,MATCH(G12,Cables!$A:$A,0))-1+MIN(MAX(IFERROR(MATCH(LN(D12),INDEX(Attenuation!$J:$J,INDEX(Cables!$AO:$AO,MATCH(G12,Cables!$A:$A,0))):INDEX(Attenuation!$J:$J,INDEX(Cables!$AO:$AO,MATCH(G12,Cables!$A:$A,0))+INDEX(Cables!$AP:$AP,MATCH(G12,Cables!$A:$A,0))-1),1),1),1),INDEX(Cables!$AP:$AP,MATCH(G12,Cables!$A:$A,0))-1))+1),INDEX(Attenuation!$J:$J,(INDEX(Cables!$AO:$AO,MATCH(G12,Cables!$A:$A,0))-1+MIN(MAX(IFERROR(MATCH(LN(D12),INDEX(Attenuation!$J:$J,INDEX(Cables!$AO:$AO,MATCH(G12,Cables!$A:$A,0))):INDEX(Attenuation!$J:$J,INDEX(Cables!$AO:$AO,MATCH(G12,Cables!$A:$A,0))+INDEX(Cables!$AP:$AP,MATCH(G12,Cables!$A:$A,0))-1),1),1),1),INDEX(Cables!$AP:$AP,MATCH(G12,Cables!$A:$A,0))-1))):INDEX(Attenuation!$J:$J,(INDEX(Cables!$AO:$AO,MATCH(G12,Cables!$A:$A,0))-1+MIN(MAX(IFERROR(MATCH(LN(D12),INDEX(Attenuation!$J:$J,INDEX(Cables!$AO:$AO,MATCH(G12,Cables!$A:$A,0))):INDEX(Attenuation!$J:$J,INDEX(Cables!$AO:$AO,MATCH(G12,Cables!$A:$A,0))+INDEX(Cables!$AP:$AP,MATCH(G12,Cables!$A:$A,0))-1),1),1),1),INDEX(Cables!$AP:$AP,MATCH(G12,Cables!$A:$A,0))-1))+1)))*0.3048)</f>
        <v>26.999999999999986</v>
      </c>
      <c r="I12" s="43">
        <f>IF(G12="","",EXP(FORECAST(LN(E12),INDEX(Attenuation!$K:$K,(INDEX(Cables!$AO:$AO,MATCH(G12,Cables!$A:$A,0))-1+MIN(MAX(IFERROR(MATCH(LN(E12),INDEX(Attenuation!$J:$J,INDEX(Cables!$AO:$AO,MATCH(G12,Cables!$A:$A,0))):INDEX(Attenuation!$J:$J,INDEX(Cables!$AO:$AO,MATCH(G12,Cables!$A:$A,0))+INDEX(Cables!$AP:$AP,MATCH(G12,Cables!$A:$A,0))-1),1),1),1),INDEX(Cables!$AP:$AP,MATCH(G12,Cables!$A:$A,0))-1))):INDEX(Attenuation!$K:$K,(INDEX(Cables!$AO:$AO,MATCH(G12,Cables!$A:$A,0))-1+MIN(MAX(IFERROR(MATCH(LN(E12),INDEX(Attenuation!$J:$J,INDEX(Cables!$AO:$AO,MATCH(G12,Cables!$A:$A,0))):INDEX(Attenuation!$J:$J,INDEX(Cables!$AO:$AO,MATCH(G12,Cables!$A:$A,0))+INDEX(Cables!$AP:$AP,MATCH(G12,Cables!$A:$A,0))-1),1),1),1),INDEX(Cables!$AP:$AP,MATCH(G12,Cables!$A:$A,0))-1))+1),INDEX(Attenuation!$J:$J,(INDEX(Cables!$AO:$AO,MATCH(G12,Cables!$A:$A,0))-1+MIN(MAX(IFERROR(MATCH(LN(E12),INDEX(Attenuation!$J:$J,INDEX(Cables!$AO:$AO,MATCH(G12,Cables!$A:$A,0))):INDEX(Attenuation!$J:$J,INDEX(Cables!$AO:$AO,MATCH(G12,Cables!$A:$A,0))+INDEX(Cables!$AP:$AP,MATCH(G12,Cables!$A:$A,0))-1),1),1),1),INDEX(Cables!$AP:$AP,MATCH(G12,Cables!$A:$A,0))-1))):INDEX(Attenuation!$J:$J,(INDEX(Cables!$AO:$AO,MATCH(G12,Cables!$A:$A,0))-1+MIN(MAX(IFERROR(MATCH(LN(E12),INDEX(Attenuation!$J:$J,INDEX(Cables!$AO:$AO,MATCH(G12,Cables!$A:$A,0))):INDEX(Attenuation!$J:$J,INDEX(Cables!$AO:$AO,MATCH(G12,Cables!$A:$A,0))+INDEX(Cables!$AP:$AP,MATCH(G12,Cables!$A:$A,0))-1),1),1),1),INDEX(Cables!$AP:$AP,MATCH(G12,Cables!$A:$A,0))-1))+1)))*0.3048)</f>
        <v>32.804655022404333</v>
      </c>
      <c r="J12" s="44">
        <f t="shared" si="0"/>
        <v>-3.7037037037032094E-3</v>
      </c>
      <c r="K12" s="40" t="str">
        <f>IF(G12="","Doğrulanmadı",IF(ABS(J12)&lt;=0.1,"Uyumlu (±%10)",IF(ABS(J12)&lt;=0.25,"Fark %10-25","Fark &gt;%25"))&amp;IF(OR(D12&lt;INDEX(Cables!$AQ:$AQ,MATCH(G12,Cables!$A:$A,0)),E12&gt;INDEX(Cables!$AR:$AR,MATCH(G12,Cables!$A:$A,0)))," · ekstrapolasyon",""))</f>
        <v>Uyumlu (±%10)</v>
      </c>
    </row>
    <row r="13" spans="1:11" x14ac:dyDescent="0.25">
      <c r="A13" s="37" t="s">
        <v>2958</v>
      </c>
      <c r="B13" s="40" t="str">
        <f>INDEX(Legacy_Index!$D:$D,MATCH(A13,Legacy_Index!$A:$A,0))</f>
        <v>RG174/U</v>
      </c>
      <c r="C13" s="37" t="s">
        <v>3120</v>
      </c>
      <c r="D13" s="37">
        <v>1200</v>
      </c>
      <c r="E13" s="37">
        <v>1300</v>
      </c>
      <c r="F13" s="37">
        <v>33.549999999999997</v>
      </c>
      <c r="G13" s="40" t="str">
        <f>IF(INDEX(Legacy_Index!$G:$G,MATCH(A13,Legacy_Index!$A:$A,0))="","",INDEX(Legacy_Index!$G:$G,MATCH(A13,Legacy_Index!$A:$A,0)))</f>
        <v>BEL-8216</v>
      </c>
      <c r="H13" s="43">
        <f>IF(G13="","",EXP(FORECAST(LN(D13),INDEX(Attenuation!$K:$K,(INDEX(Cables!$AO:$AO,MATCH(G13,Cables!$A:$A,0))-1+MIN(MAX(IFERROR(MATCH(LN(D13),INDEX(Attenuation!$J:$J,INDEX(Cables!$AO:$AO,MATCH(G13,Cables!$A:$A,0))):INDEX(Attenuation!$J:$J,INDEX(Cables!$AO:$AO,MATCH(G13,Cables!$A:$A,0))+INDEX(Cables!$AP:$AP,MATCH(G13,Cables!$A:$A,0))-1),1),1),1),INDEX(Cables!$AP:$AP,MATCH(G13,Cables!$A:$A,0))-1))):INDEX(Attenuation!$K:$K,(INDEX(Cables!$AO:$AO,MATCH(G13,Cables!$A:$A,0))-1+MIN(MAX(IFERROR(MATCH(LN(D13),INDEX(Attenuation!$J:$J,INDEX(Cables!$AO:$AO,MATCH(G13,Cables!$A:$A,0))):INDEX(Attenuation!$J:$J,INDEX(Cables!$AO:$AO,MATCH(G13,Cables!$A:$A,0))+INDEX(Cables!$AP:$AP,MATCH(G13,Cables!$A:$A,0))-1),1),1),1),INDEX(Cables!$AP:$AP,MATCH(G13,Cables!$A:$A,0))-1))+1),INDEX(Attenuation!$J:$J,(INDEX(Cables!$AO:$AO,MATCH(G13,Cables!$A:$A,0))-1+MIN(MAX(IFERROR(MATCH(LN(D13),INDEX(Attenuation!$J:$J,INDEX(Cables!$AO:$AO,MATCH(G13,Cables!$A:$A,0))):INDEX(Attenuation!$J:$J,INDEX(Cables!$AO:$AO,MATCH(G13,Cables!$A:$A,0))+INDEX(Cables!$AP:$AP,MATCH(G13,Cables!$A:$A,0))-1),1),1),1),INDEX(Cables!$AP:$AP,MATCH(G13,Cables!$A:$A,0))-1))):INDEX(Attenuation!$J:$J,(INDEX(Cables!$AO:$AO,MATCH(G13,Cables!$A:$A,0))-1+MIN(MAX(IFERROR(MATCH(LN(D13),INDEX(Attenuation!$J:$J,INDEX(Cables!$AO:$AO,MATCH(G13,Cables!$A:$A,0))):INDEX(Attenuation!$J:$J,INDEX(Cables!$AO:$AO,MATCH(G13,Cables!$A:$A,0))+INDEX(Cables!$AP:$AP,MATCH(G13,Cables!$A:$A,0))-1),1),1),1),INDEX(Cables!$AP:$AP,MATCH(G13,Cables!$A:$A,0))-1))+1)))*0.3048)</f>
        <v>39.8932977316924</v>
      </c>
      <c r="I13" s="43">
        <f>IF(G13="","",EXP(FORECAST(LN(E13),INDEX(Attenuation!$K:$K,(INDEX(Cables!$AO:$AO,MATCH(G13,Cables!$A:$A,0))-1+MIN(MAX(IFERROR(MATCH(LN(E13),INDEX(Attenuation!$J:$J,INDEX(Cables!$AO:$AO,MATCH(G13,Cables!$A:$A,0))):INDEX(Attenuation!$J:$J,INDEX(Cables!$AO:$AO,MATCH(G13,Cables!$A:$A,0))+INDEX(Cables!$AP:$AP,MATCH(G13,Cables!$A:$A,0))-1),1),1),1),INDEX(Cables!$AP:$AP,MATCH(G13,Cables!$A:$A,0))-1))):INDEX(Attenuation!$K:$K,(INDEX(Cables!$AO:$AO,MATCH(G13,Cables!$A:$A,0))-1+MIN(MAX(IFERROR(MATCH(LN(E13),INDEX(Attenuation!$J:$J,INDEX(Cables!$AO:$AO,MATCH(G13,Cables!$A:$A,0))):INDEX(Attenuation!$J:$J,INDEX(Cables!$AO:$AO,MATCH(G13,Cables!$A:$A,0))+INDEX(Cables!$AP:$AP,MATCH(G13,Cables!$A:$A,0))-1),1),1),1),INDEX(Cables!$AP:$AP,MATCH(G13,Cables!$A:$A,0))-1))+1),INDEX(Attenuation!$J:$J,(INDEX(Cables!$AO:$AO,MATCH(G13,Cables!$A:$A,0))-1+MIN(MAX(IFERROR(MATCH(LN(E13),INDEX(Attenuation!$J:$J,INDEX(Cables!$AO:$AO,MATCH(G13,Cables!$A:$A,0))):INDEX(Attenuation!$J:$J,INDEX(Cables!$AO:$AO,MATCH(G13,Cables!$A:$A,0))+INDEX(Cables!$AP:$AP,MATCH(G13,Cables!$A:$A,0))-1),1),1),1),INDEX(Cables!$AP:$AP,MATCH(G13,Cables!$A:$A,0))-1))):INDEX(Attenuation!$J:$J,(INDEX(Cables!$AO:$AO,MATCH(G13,Cables!$A:$A,0))-1+MIN(MAX(IFERROR(MATCH(LN(E13),INDEX(Attenuation!$J:$J,INDEX(Cables!$AO:$AO,MATCH(G13,Cables!$A:$A,0))):INDEX(Attenuation!$J:$J,INDEX(Cables!$AO:$AO,MATCH(G13,Cables!$A:$A,0))+INDEX(Cables!$AP:$AP,MATCH(G13,Cables!$A:$A,0))-1),1),1),1),INDEX(Cables!$AP:$AP,MATCH(G13,Cables!$A:$A,0))-1))+1)))*0.3048)</f>
        <v>42.793431810506576</v>
      </c>
      <c r="J13" s="44">
        <f t="shared" si="0"/>
        <v>-0.1590066024211656</v>
      </c>
      <c r="K13" s="40" t="str">
        <f>IF(G13="","Doğrulanmadı",IF(ABS(J13)&lt;=0.1,"Uyumlu (±%10)",IF(ABS(J13)&lt;=0.25,"Fark %10-25","Fark &gt;%25"))&amp;IF(OR(D13&lt;INDEX(Cables!$AQ:$AQ,MATCH(G13,Cables!$A:$A,0)),E13&gt;INDEX(Cables!$AR:$AR,MATCH(G13,Cables!$A:$A,0)))," · ekstrapolasyon",""))</f>
        <v>Fark %10-25 · ekstrapolasyon</v>
      </c>
    </row>
    <row r="14" spans="1:11" x14ac:dyDescent="0.25">
      <c r="A14" s="37" t="s">
        <v>2958</v>
      </c>
      <c r="B14" s="40" t="str">
        <f>INDEX(Legacy_Index!$D:$D,MATCH(A14,Legacy_Index!$A:$A,0))</f>
        <v>RG174/U</v>
      </c>
      <c r="C14" s="37" t="s">
        <v>3121</v>
      </c>
      <c r="D14" s="37">
        <v>2400</v>
      </c>
      <c r="E14" s="37">
        <v>2500</v>
      </c>
      <c r="F14" s="37">
        <v>53.38</v>
      </c>
      <c r="G14" s="40" t="str">
        <f>IF(INDEX(Legacy_Index!$G:$G,MATCH(A14,Legacy_Index!$A:$A,0))="","",INDEX(Legacy_Index!$G:$G,MATCH(A14,Legacy_Index!$A:$A,0)))</f>
        <v>BEL-8216</v>
      </c>
      <c r="H14" s="43">
        <f>IF(G14="","",EXP(FORECAST(LN(D14),INDEX(Attenuation!$K:$K,(INDEX(Cables!$AO:$AO,MATCH(G14,Cables!$A:$A,0))-1+MIN(MAX(IFERROR(MATCH(LN(D14),INDEX(Attenuation!$J:$J,INDEX(Cables!$AO:$AO,MATCH(G14,Cables!$A:$A,0))):INDEX(Attenuation!$J:$J,INDEX(Cables!$AO:$AO,MATCH(G14,Cables!$A:$A,0))+INDEX(Cables!$AP:$AP,MATCH(G14,Cables!$A:$A,0))-1),1),1),1),INDEX(Cables!$AP:$AP,MATCH(G14,Cables!$A:$A,0))-1))):INDEX(Attenuation!$K:$K,(INDEX(Cables!$AO:$AO,MATCH(G14,Cables!$A:$A,0))-1+MIN(MAX(IFERROR(MATCH(LN(D14),INDEX(Attenuation!$J:$J,INDEX(Cables!$AO:$AO,MATCH(G14,Cables!$A:$A,0))):INDEX(Attenuation!$J:$J,INDEX(Cables!$AO:$AO,MATCH(G14,Cables!$A:$A,0))+INDEX(Cables!$AP:$AP,MATCH(G14,Cables!$A:$A,0))-1),1),1),1),INDEX(Cables!$AP:$AP,MATCH(G14,Cables!$A:$A,0))-1))+1),INDEX(Attenuation!$J:$J,(INDEX(Cables!$AO:$AO,MATCH(G14,Cables!$A:$A,0))-1+MIN(MAX(IFERROR(MATCH(LN(D14),INDEX(Attenuation!$J:$J,INDEX(Cables!$AO:$AO,MATCH(G14,Cables!$A:$A,0))):INDEX(Attenuation!$J:$J,INDEX(Cables!$AO:$AO,MATCH(G14,Cables!$A:$A,0))+INDEX(Cables!$AP:$AP,MATCH(G14,Cables!$A:$A,0))-1),1),1),1),INDEX(Cables!$AP:$AP,MATCH(G14,Cables!$A:$A,0))-1))):INDEX(Attenuation!$J:$J,(INDEX(Cables!$AO:$AO,MATCH(G14,Cables!$A:$A,0))-1+MIN(MAX(IFERROR(MATCH(LN(D14),INDEX(Attenuation!$J:$J,INDEX(Cables!$AO:$AO,MATCH(G14,Cables!$A:$A,0))):INDEX(Attenuation!$J:$J,INDEX(Cables!$AO:$AO,MATCH(G14,Cables!$A:$A,0))+INDEX(Cables!$AP:$AP,MATCH(G14,Cables!$A:$A,0))-1),1),1),1),INDEX(Cables!$AP:$AP,MATCH(G14,Cables!$A:$A,0))-1))+1)))*0.3048)</f>
        <v>73.252705085567939</v>
      </c>
      <c r="I14" s="43">
        <f>IF(G14="","",EXP(FORECAST(LN(E14),INDEX(Attenuation!$K:$K,(INDEX(Cables!$AO:$AO,MATCH(G14,Cables!$A:$A,0))-1+MIN(MAX(IFERROR(MATCH(LN(E14),INDEX(Attenuation!$J:$J,INDEX(Cables!$AO:$AO,MATCH(G14,Cables!$A:$A,0))):INDEX(Attenuation!$J:$J,INDEX(Cables!$AO:$AO,MATCH(G14,Cables!$A:$A,0))+INDEX(Cables!$AP:$AP,MATCH(G14,Cables!$A:$A,0))-1),1),1),1),INDEX(Cables!$AP:$AP,MATCH(G14,Cables!$A:$A,0))-1))):INDEX(Attenuation!$K:$K,(INDEX(Cables!$AO:$AO,MATCH(G14,Cables!$A:$A,0))-1+MIN(MAX(IFERROR(MATCH(LN(E14),INDEX(Attenuation!$J:$J,INDEX(Cables!$AO:$AO,MATCH(G14,Cables!$A:$A,0))):INDEX(Attenuation!$J:$J,INDEX(Cables!$AO:$AO,MATCH(G14,Cables!$A:$A,0))+INDEX(Cables!$AP:$AP,MATCH(G14,Cables!$A:$A,0))-1),1),1),1),INDEX(Cables!$AP:$AP,MATCH(G14,Cables!$A:$A,0))-1))+1),INDEX(Attenuation!$J:$J,(INDEX(Cables!$AO:$AO,MATCH(G14,Cables!$A:$A,0))-1+MIN(MAX(IFERROR(MATCH(LN(E14),INDEX(Attenuation!$J:$J,INDEX(Cables!$AO:$AO,MATCH(G14,Cables!$A:$A,0))):INDEX(Attenuation!$J:$J,INDEX(Cables!$AO:$AO,MATCH(G14,Cables!$A:$A,0))+INDEX(Cables!$AP:$AP,MATCH(G14,Cables!$A:$A,0))-1),1),1),1),INDEX(Cables!$AP:$AP,MATCH(G14,Cables!$A:$A,0))-1))):INDEX(Attenuation!$J:$J,(INDEX(Cables!$AO:$AO,MATCH(G14,Cables!$A:$A,0))-1+MIN(MAX(IFERROR(MATCH(LN(E14),INDEX(Attenuation!$J:$J,INDEX(Cables!$AO:$AO,MATCH(G14,Cables!$A:$A,0))):INDEX(Attenuation!$J:$J,INDEX(Cables!$AO:$AO,MATCH(G14,Cables!$A:$A,0))+INDEX(Cables!$AP:$AP,MATCH(G14,Cables!$A:$A,0))-1),1),1),1),INDEX(Cables!$AP:$AP,MATCH(G14,Cables!$A:$A,0))-1))+1)))*0.3048)</f>
        <v>75.921907156418172</v>
      </c>
      <c r="J14" s="44">
        <f t="shared" si="0"/>
        <v>-0.27128970953842912</v>
      </c>
      <c r="K14" s="40" t="str">
        <f>IF(G14="","Doğrulanmadı",IF(ABS(J14)&lt;=0.1,"Uyumlu (±%10)",IF(ABS(J14)&lt;=0.25,"Fark %10-25","Fark &gt;%25"))&amp;IF(OR(D14&lt;INDEX(Cables!$AQ:$AQ,MATCH(G14,Cables!$A:$A,0)),E14&gt;INDEX(Cables!$AR:$AR,MATCH(G14,Cables!$A:$A,0)))," · ekstrapolasyon",""))</f>
        <v>Fark &gt;%25 · ekstrapolasyon</v>
      </c>
    </row>
    <row r="15" spans="1:11" x14ac:dyDescent="0.25">
      <c r="A15" s="37" t="s">
        <v>2961</v>
      </c>
      <c r="B15" s="40" t="str">
        <f>INDEX(Legacy_Index!$D:$D,MATCH(A15,Legacy_Index!$A:$A,0))</f>
        <v>RG316</v>
      </c>
      <c r="C15" s="37" t="s">
        <v>3118</v>
      </c>
      <c r="D15" s="37">
        <v>30</v>
      </c>
      <c r="E15" s="37">
        <v>50</v>
      </c>
      <c r="F15" s="37">
        <v>5.7</v>
      </c>
      <c r="G15" s="40" t="str">
        <f>IF(INDEX(Legacy_Index!$G:$G,MATCH(A15,Legacy_Index!$A:$A,0))="","",INDEX(Legacy_Index!$G:$G,MATCH(A15,Legacy_Index!$A:$A,0)))</f>
        <v>BEL-84316</v>
      </c>
      <c r="H15" s="43">
        <f>IF(G15="","",EXP(FORECAST(LN(D15),INDEX(Attenuation!$K:$K,(INDEX(Cables!$AO:$AO,MATCH(G15,Cables!$A:$A,0))-1+MIN(MAX(IFERROR(MATCH(LN(D15),INDEX(Attenuation!$J:$J,INDEX(Cables!$AO:$AO,MATCH(G15,Cables!$A:$A,0))):INDEX(Attenuation!$J:$J,INDEX(Cables!$AO:$AO,MATCH(G15,Cables!$A:$A,0))+INDEX(Cables!$AP:$AP,MATCH(G15,Cables!$A:$A,0))-1),1),1),1),INDEX(Cables!$AP:$AP,MATCH(G15,Cables!$A:$A,0))-1))):INDEX(Attenuation!$K:$K,(INDEX(Cables!$AO:$AO,MATCH(G15,Cables!$A:$A,0))-1+MIN(MAX(IFERROR(MATCH(LN(D15),INDEX(Attenuation!$J:$J,INDEX(Cables!$AO:$AO,MATCH(G15,Cables!$A:$A,0))):INDEX(Attenuation!$J:$J,INDEX(Cables!$AO:$AO,MATCH(G15,Cables!$A:$A,0))+INDEX(Cables!$AP:$AP,MATCH(G15,Cables!$A:$A,0))-1),1),1),1),INDEX(Cables!$AP:$AP,MATCH(G15,Cables!$A:$A,0))-1))+1),INDEX(Attenuation!$J:$J,(INDEX(Cables!$AO:$AO,MATCH(G15,Cables!$A:$A,0))-1+MIN(MAX(IFERROR(MATCH(LN(D15),INDEX(Attenuation!$J:$J,INDEX(Cables!$AO:$AO,MATCH(G15,Cables!$A:$A,0))):INDEX(Attenuation!$J:$J,INDEX(Cables!$AO:$AO,MATCH(G15,Cables!$A:$A,0))+INDEX(Cables!$AP:$AP,MATCH(G15,Cables!$A:$A,0))-1),1),1),1),INDEX(Cables!$AP:$AP,MATCH(G15,Cables!$A:$A,0))-1))):INDEX(Attenuation!$J:$J,(INDEX(Cables!$AO:$AO,MATCH(G15,Cables!$A:$A,0))-1+MIN(MAX(IFERROR(MATCH(LN(D15),INDEX(Attenuation!$J:$J,INDEX(Cables!$AO:$AO,MATCH(G15,Cables!$A:$A,0))):INDEX(Attenuation!$J:$J,INDEX(Cables!$AO:$AO,MATCH(G15,Cables!$A:$A,0))+INDEX(Cables!$AP:$AP,MATCH(G15,Cables!$A:$A,0))-1),1),1),1),INDEX(Cables!$AP:$AP,MATCH(G15,Cables!$A:$A,0))-1))+1)))*0.3048)</f>
        <v>4.4425259011576221</v>
      </c>
      <c r="I15" s="43">
        <f>IF(G15="","",EXP(FORECAST(LN(E15),INDEX(Attenuation!$K:$K,(INDEX(Cables!$AO:$AO,MATCH(G15,Cables!$A:$A,0))-1+MIN(MAX(IFERROR(MATCH(LN(E15),INDEX(Attenuation!$J:$J,INDEX(Cables!$AO:$AO,MATCH(G15,Cables!$A:$A,0))):INDEX(Attenuation!$J:$J,INDEX(Cables!$AO:$AO,MATCH(G15,Cables!$A:$A,0))+INDEX(Cables!$AP:$AP,MATCH(G15,Cables!$A:$A,0))-1),1),1),1),INDEX(Cables!$AP:$AP,MATCH(G15,Cables!$A:$A,0))-1))):INDEX(Attenuation!$K:$K,(INDEX(Cables!$AO:$AO,MATCH(G15,Cables!$A:$A,0))-1+MIN(MAX(IFERROR(MATCH(LN(E15),INDEX(Attenuation!$J:$J,INDEX(Cables!$AO:$AO,MATCH(G15,Cables!$A:$A,0))):INDEX(Attenuation!$J:$J,INDEX(Cables!$AO:$AO,MATCH(G15,Cables!$A:$A,0))+INDEX(Cables!$AP:$AP,MATCH(G15,Cables!$A:$A,0))-1),1),1),1),INDEX(Cables!$AP:$AP,MATCH(G15,Cables!$A:$A,0))-1))+1),INDEX(Attenuation!$J:$J,(INDEX(Cables!$AO:$AO,MATCH(G15,Cables!$A:$A,0))-1+MIN(MAX(IFERROR(MATCH(LN(E15),INDEX(Attenuation!$J:$J,INDEX(Cables!$AO:$AO,MATCH(G15,Cables!$A:$A,0))):INDEX(Attenuation!$J:$J,INDEX(Cables!$AO:$AO,MATCH(G15,Cables!$A:$A,0))+INDEX(Cables!$AP:$AP,MATCH(G15,Cables!$A:$A,0))-1),1),1),1),INDEX(Cables!$AP:$AP,MATCH(G15,Cables!$A:$A,0))-1))):INDEX(Attenuation!$J:$J,(INDEX(Cables!$AO:$AO,MATCH(G15,Cables!$A:$A,0))-1+MIN(MAX(IFERROR(MATCH(LN(E15),INDEX(Attenuation!$J:$J,INDEX(Cables!$AO:$AO,MATCH(G15,Cables!$A:$A,0))):INDEX(Attenuation!$J:$J,INDEX(Cables!$AO:$AO,MATCH(G15,Cables!$A:$A,0))+INDEX(Cables!$AP:$AP,MATCH(G15,Cables!$A:$A,0))-1),1),1),1),INDEX(Cables!$AP:$AP,MATCH(G15,Cables!$A:$A,0))-1))+1)))*0.3048)</f>
        <v>5.6000000000000005</v>
      </c>
      <c r="J15" s="44">
        <f t="shared" si="0"/>
        <v>1.7857142857142794E-2</v>
      </c>
      <c r="K15" s="40" t="str">
        <f>IF(G15="","Doğrulanmadı",IF(ABS(J15)&lt;=0.1,"Uyumlu (±%10)",IF(ABS(J15)&lt;=0.25,"Fark %10-25","Fark &gt;%25"))&amp;IF(OR(D15&lt;INDEX(Cables!$AQ:$AQ,MATCH(G15,Cables!$A:$A,0)),E15&gt;INDEX(Cables!$AR:$AR,MATCH(G15,Cables!$A:$A,0)))," · ekstrapolasyon",""))</f>
        <v>Uyumlu (±%10)</v>
      </c>
    </row>
    <row r="16" spans="1:11" x14ac:dyDescent="0.25">
      <c r="A16" s="37" t="s">
        <v>2961</v>
      </c>
      <c r="B16" s="40" t="str">
        <f>INDEX(Legacy_Index!$D:$D,MATCH(A16,Legacy_Index!$A:$A,0))</f>
        <v>RG316</v>
      </c>
      <c r="C16" s="37" t="s">
        <v>3114</v>
      </c>
      <c r="D16" s="37">
        <v>148</v>
      </c>
      <c r="E16" s="37">
        <v>174</v>
      </c>
      <c r="F16" s="37">
        <v>9.76</v>
      </c>
      <c r="G16" s="40" t="str">
        <f>IF(INDEX(Legacy_Index!$G:$G,MATCH(A16,Legacy_Index!$A:$A,0))="","",INDEX(Legacy_Index!$G:$G,MATCH(A16,Legacy_Index!$A:$A,0)))</f>
        <v>BEL-84316</v>
      </c>
      <c r="H16" s="43">
        <f>IF(G16="","",EXP(FORECAST(LN(D16),INDEX(Attenuation!$K:$K,(INDEX(Cables!$AO:$AO,MATCH(G16,Cables!$A:$A,0))-1+MIN(MAX(IFERROR(MATCH(LN(D16),INDEX(Attenuation!$J:$J,INDEX(Cables!$AO:$AO,MATCH(G16,Cables!$A:$A,0))):INDEX(Attenuation!$J:$J,INDEX(Cables!$AO:$AO,MATCH(G16,Cables!$A:$A,0))+INDEX(Cables!$AP:$AP,MATCH(G16,Cables!$A:$A,0))-1),1),1),1),INDEX(Cables!$AP:$AP,MATCH(G16,Cables!$A:$A,0))-1))):INDEX(Attenuation!$K:$K,(INDEX(Cables!$AO:$AO,MATCH(G16,Cables!$A:$A,0))-1+MIN(MAX(IFERROR(MATCH(LN(D16),INDEX(Attenuation!$J:$J,INDEX(Cables!$AO:$AO,MATCH(G16,Cables!$A:$A,0))):INDEX(Attenuation!$J:$J,INDEX(Cables!$AO:$AO,MATCH(G16,Cables!$A:$A,0))+INDEX(Cables!$AP:$AP,MATCH(G16,Cables!$A:$A,0))-1),1),1),1),INDEX(Cables!$AP:$AP,MATCH(G16,Cables!$A:$A,0))-1))+1),INDEX(Attenuation!$J:$J,(INDEX(Cables!$AO:$AO,MATCH(G16,Cables!$A:$A,0))-1+MIN(MAX(IFERROR(MATCH(LN(D16),INDEX(Attenuation!$J:$J,INDEX(Cables!$AO:$AO,MATCH(G16,Cables!$A:$A,0))):INDEX(Attenuation!$J:$J,INDEX(Cables!$AO:$AO,MATCH(G16,Cables!$A:$A,0))+INDEX(Cables!$AP:$AP,MATCH(G16,Cables!$A:$A,0))-1),1),1),1),INDEX(Cables!$AP:$AP,MATCH(G16,Cables!$A:$A,0))-1))):INDEX(Attenuation!$J:$J,(INDEX(Cables!$AO:$AO,MATCH(G16,Cables!$A:$A,0))-1+MIN(MAX(IFERROR(MATCH(LN(D16),INDEX(Attenuation!$J:$J,INDEX(Cables!$AO:$AO,MATCH(G16,Cables!$A:$A,0))):INDEX(Attenuation!$J:$J,INDEX(Cables!$AO:$AO,MATCH(G16,Cables!$A:$A,0))+INDEX(Cables!$AP:$AP,MATCH(G16,Cables!$A:$A,0))-1),1),1),1),INDEX(Cables!$AP:$AP,MATCH(G16,Cables!$A:$A,0))-1))+1)))*0.3048)</f>
        <v>10.224262330661286</v>
      </c>
      <c r="I16" s="43">
        <f>IF(G16="","",EXP(FORECAST(LN(E16),INDEX(Attenuation!$K:$K,(INDEX(Cables!$AO:$AO,MATCH(G16,Cables!$A:$A,0))-1+MIN(MAX(IFERROR(MATCH(LN(E16),INDEX(Attenuation!$J:$J,INDEX(Cables!$AO:$AO,MATCH(G16,Cables!$A:$A,0))):INDEX(Attenuation!$J:$J,INDEX(Cables!$AO:$AO,MATCH(G16,Cables!$A:$A,0))+INDEX(Cables!$AP:$AP,MATCH(G16,Cables!$A:$A,0))-1),1),1),1),INDEX(Cables!$AP:$AP,MATCH(G16,Cables!$A:$A,0))-1))):INDEX(Attenuation!$K:$K,(INDEX(Cables!$AO:$AO,MATCH(G16,Cables!$A:$A,0))-1+MIN(MAX(IFERROR(MATCH(LN(E16),INDEX(Attenuation!$J:$J,INDEX(Cables!$AO:$AO,MATCH(G16,Cables!$A:$A,0))):INDEX(Attenuation!$J:$J,INDEX(Cables!$AO:$AO,MATCH(G16,Cables!$A:$A,0))+INDEX(Cables!$AP:$AP,MATCH(G16,Cables!$A:$A,0))-1),1),1),1),INDEX(Cables!$AP:$AP,MATCH(G16,Cables!$A:$A,0))-1))+1),INDEX(Attenuation!$J:$J,(INDEX(Cables!$AO:$AO,MATCH(G16,Cables!$A:$A,0))-1+MIN(MAX(IFERROR(MATCH(LN(E16),INDEX(Attenuation!$J:$J,INDEX(Cables!$AO:$AO,MATCH(G16,Cables!$A:$A,0))):INDEX(Attenuation!$J:$J,INDEX(Cables!$AO:$AO,MATCH(G16,Cables!$A:$A,0))+INDEX(Cables!$AP:$AP,MATCH(G16,Cables!$A:$A,0))-1),1),1),1),INDEX(Cables!$AP:$AP,MATCH(G16,Cables!$A:$A,0))-1))):INDEX(Attenuation!$J:$J,(INDEX(Cables!$AO:$AO,MATCH(G16,Cables!$A:$A,0))-1+MIN(MAX(IFERROR(MATCH(LN(E16),INDEX(Attenuation!$J:$J,INDEX(Cables!$AO:$AO,MATCH(G16,Cables!$A:$A,0))):INDEX(Attenuation!$J:$J,INDEX(Cables!$AO:$AO,MATCH(G16,Cables!$A:$A,0))+INDEX(Cables!$AP:$AP,MATCH(G16,Cables!$A:$A,0))-1),1),1),1),INDEX(Cables!$AP:$AP,MATCH(G16,Cables!$A:$A,0))-1))+1)))*0.3048)</f>
        <v>11.143317123977218</v>
      </c>
      <c r="J16" s="44">
        <f t="shared" si="0"/>
        <v>-4.5407904809819044E-2</v>
      </c>
      <c r="K16" s="40" t="str">
        <f>IF(G16="","Doğrulanmadı",IF(ABS(J16)&lt;=0.1,"Uyumlu (±%10)",IF(ABS(J16)&lt;=0.25,"Fark %10-25","Fark &gt;%25"))&amp;IF(OR(D16&lt;INDEX(Cables!$AQ:$AQ,MATCH(G16,Cables!$A:$A,0)),E16&gt;INDEX(Cables!$AR:$AR,MATCH(G16,Cables!$A:$A,0)))," · ekstrapolasyon",""))</f>
        <v>Uyumlu (±%10)</v>
      </c>
    </row>
    <row r="17" spans="1:11" x14ac:dyDescent="0.25">
      <c r="A17" s="37" t="s">
        <v>2961</v>
      </c>
      <c r="B17" s="40" t="str">
        <f>INDEX(Legacy_Index!$D:$D,MATCH(A17,Legacy_Index!$A:$A,0))</f>
        <v>RG316</v>
      </c>
      <c r="C17" s="37" t="s">
        <v>3115</v>
      </c>
      <c r="D17" s="37">
        <v>400</v>
      </c>
      <c r="E17" s="37">
        <v>520</v>
      </c>
      <c r="F17" s="37">
        <v>18.600000000000001</v>
      </c>
      <c r="G17" s="40" t="str">
        <f>IF(INDEX(Legacy_Index!$G:$G,MATCH(A17,Legacy_Index!$A:$A,0))="","",INDEX(Legacy_Index!$G:$G,MATCH(A17,Legacy_Index!$A:$A,0)))</f>
        <v>BEL-84316</v>
      </c>
      <c r="H17" s="43">
        <f>IF(G17="","",EXP(FORECAST(LN(D17),INDEX(Attenuation!$K:$K,(INDEX(Cables!$AO:$AO,MATCH(G17,Cables!$A:$A,0))-1+MIN(MAX(IFERROR(MATCH(LN(D17),INDEX(Attenuation!$J:$J,INDEX(Cables!$AO:$AO,MATCH(G17,Cables!$A:$A,0))):INDEX(Attenuation!$J:$J,INDEX(Cables!$AO:$AO,MATCH(G17,Cables!$A:$A,0))+INDEX(Cables!$AP:$AP,MATCH(G17,Cables!$A:$A,0))-1),1),1),1),INDEX(Cables!$AP:$AP,MATCH(G17,Cables!$A:$A,0))-1))):INDEX(Attenuation!$K:$K,(INDEX(Cables!$AO:$AO,MATCH(G17,Cables!$A:$A,0))-1+MIN(MAX(IFERROR(MATCH(LN(D17),INDEX(Attenuation!$J:$J,INDEX(Cables!$AO:$AO,MATCH(G17,Cables!$A:$A,0))):INDEX(Attenuation!$J:$J,INDEX(Cables!$AO:$AO,MATCH(G17,Cables!$A:$A,0))+INDEX(Cables!$AP:$AP,MATCH(G17,Cables!$A:$A,0))-1),1),1),1),INDEX(Cables!$AP:$AP,MATCH(G17,Cables!$A:$A,0))-1))+1),INDEX(Attenuation!$J:$J,(INDEX(Cables!$AO:$AO,MATCH(G17,Cables!$A:$A,0))-1+MIN(MAX(IFERROR(MATCH(LN(D17),INDEX(Attenuation!$J:$J,INDEX(Cables!$AO:$AO,MATCH(G17,Cables!$A:$A,0))):INDEX(Attenuation!$J:$J,INDEX(Cables!$AO:$AO,MATCH(G17,Cables!$A:$A,0))+INDEX(Cables!$AP:$AP,MATCH(G17,Cables!$A:$A,0))-1),1),1),1),INDEX(Cables!$AP:$AP,MATCH(G17,Cables!$A:$A,0))-1))):INDEX(Attenuation!$J:$J,(INDEX(Cables!$AO:$AO,MATCH(G17,Cables!$A:$A,0))-1+MIN(MAX(IFERROR(MATCH(LN(D17),INDEX(Attenuation!$J:$J,INDEX(Cables!$AO:$AO,MATCH(G17,Cables!$A:$A,0))):INDEX(Attenuation!$J:$J,INDEX(Cables!$AO:$AO,MATCH(G17,Cables!$A:$A,0))+INDEX(Cables!$AP:$AP,MATCH(G17,Cables!$A:$A,0))-1),1),1),1),INDEX(Cables!$AP:$AP,MATCH(G17,Cables!$A:$A,0))-1))+1)))*0.3048)</f>
        <v>17.499999999999996</v>
      </c>
      <c r="I17" s="43">
        <f>IF(G17="","",EXP(FORECAST(LN(E17),INDEX(Attenuation!$K:$K,(INDEX(Cables!$AO:$AO,MATCH(G17,Cables!$A:$A,0))-1+MIN(MAX(IFERROR(MATCH(LN(E17),INDEX(Attenuation!$J:$J,INDEX(Cables!$AO:$AO,MATCH(G17,Cables!$A:$A,0))):INDEX(Attenuation!$J:$J,INDEX(Cables!$AO:$AO,MATCH(G17,Cables!$A:$A,0))+INDEX(Cables!$AP:$AP,MATCH(G17,Cables!$A:$A,0))-1),1),1),1),INDEX(Cables!$AP:$AP,MATCH(G17,Cables!$A:$A,0))-1))):INDEX(Attenuation!$K:$K,(INDEX(Cables!$AO:$AO,MATCH(G17,Cables!$A:$A,0))-1+MIN(MAX(IFERROR(MATCH(LN(E17),INDEX(Attenuation!$J:$J,INDEX(Cables!$AO:$AO,MATCH(G17,Cables!$A:$A,0))):INDEX(Attenuation!$J:$J,INDEX(Cables!$AO:$AO,MATCH(G17,Cables!$A:$A,0))+INDEX(Cables!$AP:$AP,MATCH(G17,Cables!$A:$A,0))-1),1),1),1),INDEX(Cables!$AP:$AP,MATCH(G17,Cables!$A:$A,0))-1))+1),INDEX(Attenuation!$J:$J,(INDEX(Cables!$AO:$AO,MATCH(G17,Cables!$A:$A,0))-1+MIN(MAX(IFERROR(MATCH(LN(E17),INDEX(Attenuation!$J:$J,INDEX(Cables!$AO:$AO,MATCH(G17,Cables!$A:$A,0))):INDEX(Attenuation!$J:$J,INDEX(Cables!$AO:$AO,MATCH(G17,Cables!$A:$A,0))+INDEX(Cables!$AP:$AP,MATCH(G17,Cables!$A:$A,0))-1),1),1),1),INDEX(Cables!$AP:$AP,MATCH(G17,Cables!$A:$A,0))-1))):INDEX(Attenuation!$J:$J,(INDEX(Cables!$AO:$AO,MATCH(G17,Cables!$A:$A,0))-1+MIN(MAX(IFERROR(MATCH(LN(E17),INDEX(Attenuation!$J:$J,INDEX(Cables!$AO:$AO,MATCH(G17,Cables!$A:$A,0))):INDEX(Attenuation!$J:$J,INDEX(Cables!$AO:$AO,MATCH(G17,Cables!$A:$A,0))+INDEX(Cables!$AP:$AP,MATCH(G17,Cables!$A:$A,0))-1),1),1),1),INDEX(Cables!$AP:$AP,MATCH(G17,Cables!$A:$A,0))-1))+1)))*0.3048)</f>
        <v>20.173799116707595</v>
      </c>
      <c r="J17" s="44">
        <f t="shared" si="0"/>
        <v>0</v>
      </c>
      <c r="K17" s="40" t="str">
        <f>IF(G17="","Doğrulanmadı",IF(ABS(J17)&lt;=0.1,"Uyumlu (±%10)",IF(ABS(J17)&lt;=0.25,"Fark %10-25","Fark &gt;%25"))&amp;IF(OR(D17&lt;INDEX(Cables!$AQ:$AQ,MATCH(G17,Cables!$A:$A,0)),E17&gt;INDEX(Cables!$AR:$AR,MATCH(G17,Cables!$A:$A,0)))," · ekstrapolasyon",""))</f>
        <v>Uyumlu (±%10)</v>
      </c>
    </row>
    <row r="18" spans="1:11" x14ac:dyDescent="0.25">
      <c r="A18" s="37" t="s">
        <v>2961</v>
      </c>
      <c r="B18" s="40" t="str">
        <f>INDEX(Legacy_Index!$D:$D,MATCH(A18,Legacy_Index!$A:$A,0))</f>
        <v>RG316</v>
      </c>
      <c r="C18" s="37" t="s">
        <v>3120</v>
      </c>
      <c r="D18" s="37">
        <v>1200</v>
      </c>
      <c r="E18" s="37">
        <v>1300</v>
      </c>
      <c r="F18" s="37">
        <v>30.5</v>
      </c>
      <c r="G18" s="40" t="str">
        <f>IF(INDEX(Legacy_Index!$G:$G,MATCH(A18,Legacy_Index!$A:$A,0))="","",INDEX(Legacy_Index!$G:$G,MATCH(A18,Legacy_Index!$A:$A,0)))</f>
        <v>BEL-84316</v>
      </c>
      <c r="H18" s="43">
        <f>IF(G18="","",EXP(FORECAST(LN(D18),INDEX(Attenuation!$K:$K,(INDEX(Cables!$AO:$AO,MATCH(G18,Cables!$A:$A,0))-1+MIN(MAX(IFERROR(MATCH(LN(D18),INDEX(Attenuation!$J:$J,INDEX(Cables!$AO:$AO,MATCH(G18,Cables!$A:$A,0))):INDEX(Attenuation!$J:$J,INDEX(Cables!$AO:$AO,MATCH(G18,Cables!$A:$A,0))+INDEX(Cables!$AP:$AP,MATCH(G18,Cables!$A:$A,0))-1),1),1),1),INDEX(Cables!$AP:$AP,MATCH(G18,Cables!$A:$A,0))-1))):INDEX(Attenuation!$K:$K,(INDEX(Cables!$AO:$AO,MATCH(G18,Cables!$A:$A,0))-1+MIN(MAX(IFERROR(MATCH(LN(D18),INDEX(Attenuation!$J:$J,INDEX(Cables!$AO:$AO,MATCH(G18,Cables!$A:$A,0))):INDEX(Attenuation!$J:$J,INDEX(Cables!$AO:$AO,MATCH(G18,Cables!$A:$A,0))+INDEX(Cables!$AP:$AP,MATCH(G18,Cables!$A:$A,0))-1),1),1),1),INDEX(Cables!$AP:$AP,MATCH(G18,Cables!$A:$A,0))-1))+1),INDEX(Attenuation!$J:$J,(INDEX(Cables!$AO:$AO,MATCH(G18,Cables!$A:$A,0))-1+MIN(MAX(IFERROR(MATCH(LN(D18),INDEX(Attenuation!$J:$J,INDEX(Cables!$AO:$AO,MATCH(G18,Cables!$A:$A,0))):INDEX(Attenuation!$J:$J,INDEX(Cables!$AO:$AO,MATCH(G18,Cables!$A:$A,0))+INDEX(Cables!$AP:$AP,MATCH(G18,Cables!$A:$A,0))-1),1),1),1),INDEX(Cables!$AP:$AP,MATCH(G18,Cables!$A:$A,0))-1))):INDEX(Attenuation!$J:$J,(INDEX(Cables!$AO:$AO,MATCH(G18,Cables!$A:$A,0))-1+MIN(MAX(IFERROR(MATCH(LN(D18),INDEX(Attenuation!$J:$J,INDEX(Cables!$AO:$AO,MATCH(G18,Cables!$A:$A,0))):INDEX(Attenuation!$J:$J,INDEX(Cables!$AO:$AO,MATCH(G18,Cables!$A:$A,0))+INDEX(Cables!$AP:$AP,MATCH(G18,Cables!$A:$A,0))-1),1),1),1),INDEX(Cables!$AP:$AP,MATCH(G18,Cables!$A:$A,0))-1))+1)))*0.3048)</f>
        <v>32.160052736843078</v>
      </c>
      <c r="I18" s="43">
        <f>IF(G18="","",EXP(FORECAST(LN(E18),INDEX(Attenuation!$K:$K,(INDEX(Cables!$AO:$AO,MATCH(G18,Cables!$A:$A,0))-1+MIN(MAX(IFERROR(MATCH(LN(E18),INDEX(Attenuation!$J:$J,INDEX(Cables!$AO:$AO,MATCH(G18,Cables!$A:$A,0))):INDEX(Attenuation!$J:$J,INDEX(Cables!$AO:$AO,MATCH(G18,Cables!$A:$A,0))+INDEX(Cables!$AP:$AP,MATCH(G18,Cables!$A:$A,0))-1),1),1),1),INDEX(Cables!$AP:$AP,MATCH(G18,Cables!$A:$A,0))-1))):INDEX(Attenuation!$K:$K,(INDEX(Cables!$AO:$AO,MATCH(G18,Cables!$A:$A,0))-1+MIN(MAX(IFERROR(MATCH(LN(E18),INDEX(Attenuation!$J:$J,INDEX(Cables!$AO:$AO,MATCH(G18,Cables!$A:$A,0))):INDEX(Attenuation!$J:$J,INDEX(Cables!$AO:$AO,MATCH(G18,Cables!$A:$A,0))+INDEX(Cables!$AP:$AP,MATCH(G18,Cables!$A:$A,0))-1),1),1),1),INDEX(Cables!$AP:$AP,MATCH(G18,Cables!$A:$A,0))-1))+1),INDEX(Attenuation!$J:$J,(INDEX(Cables!$AO:$AO,MATCH(G18,Cables!$A:$A,0))-1+MIN(MAX(IFERROR(MATCH(LN(E18),INDEX(Attenuation!$J:$J,INDEX(Cables!$AO:$AO,MATCH(G18,Cables!$A:$A,0))):INDEX(Attenuation!$J:$J,INDEX(Cables!$AO:$AO,MATCH(G18,Cables!$A:$A,0))+INDEX(Cables!$AP:$AP,MATCH(G18,Cables!$A:$A,0))-1),1),1),1),INDEX(Cables!$AP:$AP,MATCH(G18,Cables!$A:$A,0))-1))):INDEX(Attenuation!$J:$J,(INDEX(Cables!$AO:$AO,MATCH(G18,Cables!$A:$A,0))-1+MIN(MAX(IFERROR(MATCH(LN(E18),INDEX(Attenuation!$J:$J,INDEX(Cables!$AO:$AO,MATCH(G18,Cables!$A:$A,0))):INDEX(Attenuation!$J:$J,INDEX(Cables!$AO:$AO,MATCH(G18,Cables!$A:$A,0))+INDEX(Cables!$AP:$AP,MATCH(G18,Cables!$A:$A,0))-1),1),1),1),INDEX(Cables!$AP:$AP,MATCH(G18,Cables!$A:$A,0))-1))+1)))*0.3048)</f>
        <v>33.65402078363644</v>
      </c>
      <c r="J18" s="44">
        <f t="shared" si="0"/>
        <v>-5.1618470604723021E-2</v>
      </c>
      <c r="K18" s="40" t="str">
        <f>IF(G18="","Doğrulanmadı",IF(ABS(J18)&lt;=0.1,"Uyumlu (±%10)",IF(ABS(J18)&lt;=0.25,"Fark %10-25","Fark &gt;%25"))&amp;IF(OR(D18&lt;INDEX(Cables!$AQ:$AQ,MATCH(G18,Cables!$A:$A,0)),E18&gt;INDEX(Cables!$AR:$AR,MATCH(G18,Cables!$A:$A,0)))," · ekstrapolasyon",""))</f>
        <v>Uyumlu (±%10)</v>
      </c>
    </row>
    <row r="19" spans="1:11" x14ac:dyDescent="0.25">
      <c r="A19" s="37" t="s">
        <v>2961</v>
      </c>
      <c r="B19" s="40" t="str">
        <f>INDEX(Legacy_Index!$D:$D,MATCH(A19,Legacy_Index!$A:$A,0))</f>
        <v>RG316</v>
      </c>
      <c r="C19" s="37" t="s">
        <v>3121</v>
      </c>
      <c r="D19" s="37">
        <v>2400</v>
      </c>
      <c r="E19" s="37">
        <v>2500</v>
      </c>
      <c r="F19" s="37">
        <v>36.6</v>
      </c>
      <c r="G19" s="40" t="str">
        <f>IF(INDEX(Legacy_Index!$G:$G,MATCH(A19,Legacy_Index!$A:$A,0))="","",INDEX(Legacy_Index!$G:$G,MATCH(A19,Legacy_Index!$A:$A,0)))</f>
        <v>BEL-84316</v>
      </c>
      <c r="H19" s="43">
        <f>IF(G19="","",EXP(FORECAST(LN(D19),INDEX(Attenuation!$K:$K,(INDEX(Cables!$AO:$AO,MATCH(G19,Cables!$A:$A,0))-1+MIN(MAX(IFERROR(MATCH(LN(D19),INDEX(Attenuation!$J:$J,INDEX(Cables!$AO:$AO,MATCH(G19,Cables!$A:$A,0))):INDEX(Attenuation!$J:$J,INDEX(Cables!$AO:$AO,MATCH(G19,Cables!$A:$A,0))+INDEX(Cables!$AP:$AP,MATCH(G19,Cables!$A:$A,0))-1),1),1),1),INDEX(Cables!$AP:$AP,MATCH(G19,Cables!$A:$A,0))-1))):INDEX(Attenuation!$K:$K,(INDEX(Cables!$AO:$AO,MATCH(G19,Cables!$A:$A,0))-1+MIN(MAX(IFERROR(MATCH(LN(D19),INDEX(Attenuation!$J:$J,INDEX(Cables!$AO:$AO,MATCH(G19,Cables!$A:$A,0))):INDEX(Attenuation!$J:$J,INDEX(Cables!$AO:$AO,MATCH(G19,Cables!$A:$A,0))+INDEX(Cables!$AP:$AP,MATCH(G19,Cables!$A:$A,0))-1),1),1),1),INDEX(Cables!$AP:$AP,MATCH(G19,Cables!$A:$A,0))-1))+1),INDEX(Attenuation!$J:$J,(INDEX(Cables!$AO:$AO,MATCH(G19,Cables!$A:$A,0))-1+MIN(MAX(IFERROR(MATCH(LN(D19),INDEX(Attenuation!$J:$J,INDEX(Cables!$AO:$AO,MATCH(G19,Cables!$A:$A,0))):INDEX(Attenuation!$J:$J,INDEX(Cables!$AO:$AO,MATCH(G19,Cables!$A:$A,0))+INDEX(Cables!$AP:$AP,MATCH(G19,Cables!$A:$A,0))-1),1),1),1),INDEX(Cables!$AP:$AP,MATCH(G19,Cables!$A:$A,0))-1))):INDEX(Attenuation!$J:$J,(INDEX(Cables!$AO:$AO,MATCH(G19,Cables!$A:$A,0))-1+MIN(MAX(IFERROR(MATCH(LN(D19),INDEX(Attenuation!$J:$J,INDEX(Cables!$AO:$AO,MATCH(G19,Cables!$A:$A,0))):INDEX(Attenuation!$J:$J,INDEX(Cables!$AO:$AO,MATCH(G19,Cables!$A:$A,0))+INDEX(Cables!$AP:$AP,MATCH(G19,Cables!$A:$A,0))-1),1),1),1),INDEX(Cables!$AP:$AP,MATCH(G19,Cables!$A:$A,0))-1))+1)))*0.3048)</f>
        <v>47.199999999999953</v>
      </c>
      <c r="I19" s="43">
        <f>IF(G19="","",EXP(FORECAST(LN(E19),INDEX(Attenuation!$K:$K,(INDEX(Cables!$AO:$AO,MATCH(G19,Cables!$A:$A,0))-1+MIN(MAX(IFERROR(MATCH(LN(E19),INDEX(Attenuation!$J:$J,INDEX(Cables!$AO:$AO,MATCH(G19,Cables!$A:$A,0))):INDEX(Attenuation!$J:$J,INDEX(Cables!$AO:$AO,MATCH(G19,Cables!$A:$A,0))+INDEX(Cables!$AP:$AP,MATCH(G19,Cables!$A:$A,0))-1),1),1),1),INDEX(Cables!$AP:$AP,MATCH(G19,Cables!$A:$A,0))-1))):INDEX(Attenuation!$K:$K,(INDEX(Cables!$AO:$AO,MATCH(G19,Cables!$A:$A,0))-1+MIN(MAX(IFERROR(MATCH(LN(E19),INDEX(Attenuation!$J:$J,INDEX(Cables!$AO:$AO,MATCH(G19,Cables!$A:$A,0))):INDEX(Attenuation!$J:$J,INDEX(Cables!$AO:$AO,MATCH(G19,Cables!$A:$A,0))+INDEX(Cables!$AP:$AP,MATCH(G19,Cables!$A:$A,0))-1),1),1),1),INDEX(Cables!$AP:$AP,MATCH(G19,Cables!$A:$A,0))-1))+1),INDEX(Attenuation!$J:$J,(INDEX(Cables!$AO:$AO,MATCH(G19,Cables!$A:$A,0))-1+MIN(MAX(IFERROR(MATCH(LN(E19),INDEX(Attenuation!$J:$J,INDEX(Cables!$AO:$AO,MATCH(G19,Cables!$A:$A,0))):INDEX(Attenuation!$J:$J,INDEX(Cables!$AO:$AO,MATCH(G19,Cables!$A:$A,0))+INDEX(Cables!$AP:$AP,MATCH(G19,Cables!$A:$A,0))-1),1),1),1),INDEX(Cables!$AP:$AP,MATCH(G19,Cables!$A:$A,0))-1))):INDEX(Attenuation!$J:$J,(INDEX(Cables!$AO:$AO,MATCH(G19,Cables!$A:$A,0))-1+MIN(MAX(IFERROR(MATCH(LN(E19),INDEX(Attenuation!$J:$J,INDEX(Cables!$AO:$AO,MATCH(G19,Cables!$A:$A,0))):INDEX(Attenuation!$J:$J,INDEX(Cables!$AO:$AO,MATCH(G19,Cables!$A:$A,0))+INDEX(Cables!$AP:$AP,MATCH(G19,Cables!$A:$A,0))-1),1),1),1),INDEX(Cables!$AP:$AP,MATCH(G19,Cables!$A:$A,0))-1))+1)))*0.3048)</f>
        <v>48.310828347670096</v>
      </c>
      <c r="J19" s="44">
        <f t="shared" si="0"/>
        <v>-0.22457627118643986</v>
      </c>
      <c r="K19" s="40" t="str">
        <f>IF(G19="","Doğrulanmadı",IF(ABS(J19)&lt;=0.1,"Uyumlu (±%10)",IF(ABS(J19)&lt;=0.25,"Fark %10-25","Fark &gt;%25"))&amp;IF(OR(D19&lt;INDEX(Cables!$AQ:$AQ,MATCH(G19,Cables!$A:$A,0)),E19&gt;INDEX(Cables!$AR:$AR,MATCH(G19,Cables!$A:$A,0)))," · ekstrapolasyon",""))</f>
        <v>Fark %10-25</v>
      </c>
    </row>
    <row r="20" spans="1:11" x14ac:dyDescent="0.25">
      <c r="A20" s="37" t="s">
        <v>2963</v>
      </c>
      <c r="B20" s="40" t="str">
        <f>INDEX(Legacy_Index!$D:$D,MATCH(A20,Legacy_Index!$A:$A,0))</f>
        <v>RG188 A/U</v>
      </c>
      <c r="C20" s="37" t="s">
        <v>3118</v>
      </c>
      <c r="D20" s="37">
        <v>30</v>
      </c>
      <c r="E20" s="37">
        <v>50</v>
      </c>
      <c r="F20" s="37">
        <v>4.5</v>
      </c>
      <c r="G20" s="40" t="str">
        <f>IF(INDEX(Legacy_Index!$G:$G,MATCH(A20,Legacy_Index!$A:$A,0))="","",INDEX(Legacy_Index!$G:$G,MATCH(A20,Legacy_Index!$A:$A,0)))</f>
        <v>BEL-83269</v>
      </c>
      <c r="H20" s="43">
        <f>IF(G20="","",EXP(FORECAST(LN(D20),INDEX(Attenuation!$K:$K,(INDEX(Cables!$AO:$AO,MATCH(G20,Cables!$A:$A,0))-1+MIN(MAX(IFERROR(MATCH(LN(D20),INDEX(Attenuation!$J:$J,INDEX(Cables!$AO:$AO,MATCH(G20,Cables!$A:$A,0))):INDEX(Attenuation!$J:$J,INDEX(Cables!$AO:$AO,MATCH(G20,Cables!$A:$A,0))+INDEX(Cables!$AP:$AP,MATCH(G20,Cables!$A:$A,0))-1),1),1),1),INDEX(Cables!$AP:$AP,MATCH(G20,Cables!$A:$A,0))-1))):INDEX(Attenuation!$K:$K,(INDEX(Cables!$AO:$AO,MATCH(G20,Cables!$A:$A,0))-1+MIN(MAX(IFERROR(MATCH(LN(D20),INDEX(Attenuation!$J:$J,INDEX(Cables!$AO:$AO,MATCH(G20,Cables!$A:$A,0))):INDEX(Attenuation!$J:$J,INDEX(Cables!$AO:$AO,MATCH(G20,Cables!$A:$A,0))+INDEX(Cables!$AP:$AP,MATCH(G20,Cables!$A:$A,0))-1),1),1),1),INDEX(Cables!$AP:$AP,MATCH(G20,Cables!$A:$A,0))-1))+1),INDEX(Attenuation!$J:$J,(INDEX(Cables!$AO:$AO,MATCH(G20,Cables!$A:$A,0))-1+MIN(MAX(IFERROR(MATCH(LN(D20),INDEX(Attenuation!$J:$J,INDEX(Cables!$AO:$AO,MATCH(G20,Cables!$A:$A,0))):INDEX(Attenuation!$J:$J,INDEX(Cables!$AO:$AO,MATCH(G20,Cables!$A:$A,0))+INDEX(Cables!$AP:$AP,MATCH(G20,Cables!$A:$A,0))-1),1),1),1),INDEX(Cables!$AP:$AP,MATCH(G20,Cables!$A:$A,0))-1))):INDEX(Attenuation!$J:$J,(INDEX(Cables!$AO:$AO,MATCH(G20,Cables!$A:$A,0))-1+MIN(MAX(IFERROR(MATCH(LN(D20),INDEX(Attenuation!$J:$J,INDEX(Cables!$AO:$AO,MATCH(G20,Cables!$A:$A,0))):INDEX(Attenuation!$J:$J,INDEX(Cables!$AO:$AO,MATCH(G20,Cables!$A:$A,0))+INDEX(Cables!$AP:$AP,MATCH(G20,Cables!$A:$A,0))-1),1),1),1),INDEX(Cables!$AP:$AP,MATCH(G20,Cables!$A:$A,0))-1))+1)))*0.3048)</f>
        <v>4.4425259011576221</v>
      </c>
      <c r="I20" s="43">
        <f>IF(G20="","",EXP(FORECAST(LN(E20),INDEX(Attenuation!$K:$K,(INDEX(Cables!$AO:$AO,MATCH(G20,Cables!$A:$A,0))-1+MIN(MAX(IFERROR(MATCH(LN(E20),INDEX(Attenuation!$J:$J,INDEX(Cables!$AO:$AO,MATCH(G20,Cables!$A:$A,0))):INDEX(Attenuation!$J:$J,INDEX(Cables!$AO:$AO,MATCH(G20,Cables!$A:$A,0))+INDEX(Cables!$AP:$AP,MATCH(G20,Cables!$A:$A,0))-1),1),1),1),INDEX(Cables!$AP:$AP,MATCH(G20,Cables!$A:$A,0))-1))):INDEX(Attenuation!$K:$K,(INDEX(Cables!$AO:$AO,MATCH(G20,Cables!$A:$A,0))-1+MIN(MAX(IFERROR(MATCH(LN(E20),INDEX(Attenuation!$J:$J,INDEX(Cables!$AO:$AO,MATCH(G20,Cables!$A:$A,0))):INDEX(Attenuation!$J:$J,INDEX(Cables!$AO:$AO,MATCH(G20,Cables!$A:$A,0))+INDEX(Cables!$AP:$AP,MATCH(G20,Cables!$A:$A,0))-1),1),1),1),INDEX(Cables!$AP:$AP,MATCH(G20,Cables!$A:$A,0))-1))+1),INDEX(Attenuation!$J:$J,(INDEX(Cables!$AO:$AO,MATCH(G20,Cables!$A:$A,0))-1+MIN(MAX(IFERROR(MATCH(LN(E20),INDEX(Attenuation!$J:$J,INDEX(Cables!$AO:$AO,MATCH(G20,Cables!$A:$A,0))):INDEX(Attenuation!$J:$J,INDEX(Cables!$AO:$AO,MATCH(G20,Cables!$A:$A,0))+INDEX(Cables!$AP:$AP,MATCH(G20,Cables!$A:$A,0))-1),1),1),1),INDEX(Cables!$AP:$AP,MATCH(G20,Cables!$A:$A,0))-1))):INDEX(Attenuation!$J:$J,(INDEX(Cables!$AO:$AO,MATCH(G20,Cables!$A:$A,0))-1+MIN(MAX(IFERROR(MATCH(LN(E20),INDEX(Attenuation!$J:$J,INDEX(Cables!$AO:$AO,MATCH(G20,Cables!$A:$A,0))):INDEX(Attenuation!$J:$J,INDEX(Cables!$AO:$AO,MATCH(G20,Cables!$A:$A,0))+INDEX(Cables!$AP:$AP,MATCH(G20,Cables!$A:$A,0))-1),1),1),1),INDEX(Cables!$AP:$AP,MATCH(G20,Cables!$A:$A,0))-1))+1)))*0.3048)</f>
        <v>5.6000000000000005</v>
      </c>
      <c r="J20" s="44">
        <f t="shared" si="0"/>
        <v>0</v>
      </c>
      <c r="K20" s="40" t="str">
        <f>IF(G20="","Doğrulanmadı",IF(ABS(J20)&lt;=0.1,"Uyumlu (±%10)",IF(ABS(J20)&lt;=0.25,"Fark %10-25","Fark &gt;%25"))&amp;IF(OR(D20&lt;INDEX(Cables!$AQ:$AQ,MATCH(G20,Cables!$A:$A,0)),E20&gt;INDEX(Cables!$AR:$AR,MATCH(G20,Cables!$A:$A,0)))," · ekstrapolasyon",""))</f>
        <v>Uyumlu (±%10)</v>
      </c>
    </row>
    <row r="21" spans="1:11" x14ac:dyDescent="0.25">
      <c r="A21" s="37" t="s">
        <v>2963</v>
      </c>
      <c r="B21" s="40" t="str">
        <f>INDEX(Legacy_Index!$D:$D,MATCH(A21,Legacy_Index!$A:$A,0))</f>
        <v>RG188 A/U</v>
      </c>
      <c r="C21" s="37" t="s">
        <v>3114</v>
      </c>
      <c r="D21" s="37">
        <v>148</v>
      </c>
      <c r="E21" s="37">
        <v>174</v>
      </c>
      <c r="F21" s="37">
        <v>8.8000000000000007</v>
      </c>
      <c r="G21" s="40" t="str">
        <f>IF(INDEX(Legacy_Index!$G:$G,MATCH(A21,Legacy_Index!$A:$A,0))="","",INDEX(Legacy_Index!$G:$G,MATCH(A21,Legacy_Index!$A:$A,0)))</f>
        <v>BEL-83269</v>
      </c>
      <c r="H21" s="43">
        <f>IF(G21="","",EXP(FORECAST(LN(D21),INDEX(Attenuation!$K:$K,(INDEX(Cables!$AO:$AO,MATCH(G21,Cables!$A:$A,0))-1+MIN(MAX(IFERROR(MATCH(LN(D21),INDEX(Attenuation!$J:$J,INDEX(Cables!$AO:$AO,MATCH(G21,Cables!$A:$A,0))):INDEX(Attenuation!$J:$J,INDEX(Cables!$AO:$AO,MATCH(G21,Cables!$A:$A,0))+INDEX(Cables!$AP:$AP,MATCH(G21,Cables!$A:$A,0))-1),1),1),1),INDEX(Cables!$AP:$AP,MATCH(G21,Cables!$A:$A,0))-1))):INDEX(Attenuation!$K:$K,(INDEX(Cables!$AO:$AO,MATCH(G21,Cables!$A:$A,0))-1+MIN(MAX(IFERROR(MATCH(LN(D21),INDEX(Attenuation!$J:$J,INDEX(Cables!$AO:$AO,MATCH(G21,Cables!$A:$A,0))):INDEX(Attenuation!$J:$J,INDEX(Cables!$AO:$AO,MATCH(G21,Cables!$A:$A,0))+INDEX(Cables!$AP:$AP,MATCH(G21,Cables!$A:$A,0))-1),1),1),1),INDEX(Cables!$AP:$AP,MATCH(G21,Cables!$A:$A,0))-1))+1),INDEX(Attenuation!$J:$J,(INDEX(Cables!$AO:$AO,MATCH(G21,Cables!$A:$A,0))-1+MIN(MAX(IFERROR(MATCH(LN(D21),INDEX(Attenuation!$J:$J,INDEX(Cables!$AO:$AO,MATCH(G21,Cables!$A:$A,0))):INDEX(Attenuation!$J:$J,INDEX(Cables!$AO:$AO,MATCH(G21,Cables!$A:$A,0))+INDEX(Cables!$AP:$AP,MATCH(G21,Cables!$A:$A,0))-1),1),1),1),INDEX(Cables!$AP:$AP,MATCH(G21,Cables!$A:$A,0))-1))):INDEX(Attenuation!$J:$J,(INDEX(Cables!$AO:$AO,MATCH(G21,Cables!$A:$A,0))-1+MIN(MAX(IFERROR(MATCH(LN(D21),INDEX(Attenuation!$J:$J,INDEX(Cables!$AO:$AO,MATCH(G21,Cables!$A:$A,0))):INDEX(Attenuation!$J:$J,INDEX(Cables!$AO:$AO,MATCH(G21,Cables!$A:$A,0))+INDEX(Cables!$AP:$AP,MATCH(G21,Cables!$A:$A,0))-1),1),1),1),INDEX(Cables!$AP:$AP,MATCH(G21,Cables!$A:$A,0))-1))+1)))*0.3048)</f>
        <v>10.224262330661286</v>
      </c>
      <c r="I21" s="43">
        <f>IF(G21="","",EXP(FORECAST(LN(E21),INDEX(Attenuation!$K:$K,(INDEX(Cables!$AO:$AO,MATCH(G21,Cables!$A:$A,0))-1+MIN(MAX(IFERROR(MATCH(LN(E21),INDEX(Attenuation!$J:$J,INDEX(Cables!$AO:$AO,MATCH(G21,Cables!$A:$A,0))):INDEX(Attenuation!$J:$J,INDEX(Cables!$AO:$AO,MATCH(G21,Cables!$A:$A,0))+INDEX(Cables!$AP:$AP,MATCH(G21,Cables!$A:$A,0))-1),1),1),1),INDEX(Cables!$AP:$AP,MATCH(G21,Cables!$A:$A,0))-1))):INDEX(Attenuation!$K:$K,(INDEX(Cables!$AO:$AO,MATCH(G21,Cables!$A:$A,0))-1+MIN(MAX(IFERROR(MATCH(LN(E21),INDEX(Attenuation!$J:$J,INDEX(Cables!$AO:$AO,MATCH(G21,Cables!$A:$A,0))):INDEX(Attenuation!$J:$J,INDEX(Cables!$AO:$AO,MATCH(G21,Cables!$A:$A,0))+INDEX(Cables!$AP:$AP,MATCH(G21,Cables!$A:$A,0))-1),1),1),1),INDEX(Cables!$AP:$AP,MATCH(G21,Cables!$A:$A,0))-1))+1),INDEX(Attenuation!$J:$J,(INDEX(Cables!$AO:$AO,MATCH(G21,Cables!$A:$A,0))-1+MIN(MAX(IFERROR(MATCH(LN(E21),INDEX(Attenuation!$J:$J,INDEX(Cables!$AO:$AO,MATCH(G21,Cables!$A:$A,0))):INDEX(Attenuation!$J:$J,INDEX(Cables!$AO:$AO,MATCH(G21,Cables!$A:$A,0))+INDEX(Cables!$AP:$AP,MATCH(G21,Cables!$A:$A,0))-1),1),1),1),INDEX(Cables!$AP:$AP,MATCH(G21,Cables!$A:$A,0))-1))):INDEX(Attenuation!$J:$J,(INDEX(Cables!$AO:$AO,MATCH(G21,Cables!$A:$A,0))-1+MIN(MAX(IFERROR(MATCH(LN(E21),INDEX(Attenuation!$J:$J,INDEX(Cables!$AO:$AO,MATCH(G21,Cables!$A:$A,0))):INDEX(Attenuation!$J:$J,INDEX(Cables!$AO:$AO,MATCH(G21,Cables!$A:$A,0))+INDEX(Cables!$AP:$AP,MATCH(G21,Cables!$A:$A,0))-1),1),1),1),INDEX(Cables!$AP:$AP,MATCH(G21,Cables!$A:$A,0))-1))+1)))*0.3048)</f>
        <v>11.143317123977218</v>
      </c>
      <c r="J21" s="44">
        <f t="shared" si="0"/>
        <v>-0.13930220925475478</v>
      </c>
      <c r="K21" s="40" t="str">
        <f>IF(G21="","Doğrulanmadı",IF(ABS(J21)&lt;=0.1,"Uyumlu (±%10)",IF(ABS(J21)&lt;=0.25,"Fark %10-25","Fark &gt;%25"))&amp;IF(OR(D21&lt;INDEX(Cables!$AQ:$AQ,MATCH(G21,Cables!$A:$A,0)),E21&gt;INDEX(Cables!$AR:$AR,MATCH(G21,Cables!$A:$A,0)))," · ekstrapolasyon",""))</f>
        <v>Fark %10-25</v>
      </c>
    </row>
    <row r="22" spans="1:11" x14ac:dyDescent="0.25">
      <c r="A22" s="37" t="s">
        <v>2963</v>
      </c>
      <c r="B22" s="40" t="str">
        <f>INDEX(Legacy_Index!$D:$D,MATCH(A22,Legacy_Index!$A:$A,0))</f>
        <v>RG188 A/U</v>
      </c>
      <c r="C22" s="37" t="s">
        <v>3115</v>
      </c>
      <c r="D22" s="37">
        <v>400</v>
      </c>
      <c r="E22" s="37">
        <v>520</v>
      </c>
      <c r="F22" s="37">
        <v>17.2</v>
      </c>
      <c r="G22" s="40" t="str">
        <f>IF(INDEX(Legacy_Index!$G:$G,MATCH(A22,Legacy_Index!$A:$A,0))="","",INDEX(Legacy_Index!$G:$G,MATCH(A22,Legacy_Index!$A:$A,0)))</f>
        <v>BEL-83269</v>
      </c>
      <c r="H22" s="43">
        <f>IF(G22="","",EXP(FORECAST(LN(D22),INDEX(Attenuation!$K:$K,(INDEX(Cables!$AO:$AO,MATCH(G22,Cables!$A:$A,0))-1+MIN(MAX(IFERROR(MATCH(LN(D22),INDEX(Attenuation!$J:$J,INDEX(Cables!$AO:$AO,MATCH(G22,Cables!$A:$A,0))):INDEX(Attenuation!$J:$J,INDEX(Cables!$AO:$AO,MATCH(G22,Cables!$A:$A,0))+INDEX(Cables!$AP:$AP,MATCH(G22,Cables!$A:$A,0))-1),1),1),1),INDEX(Cables!$AP:$AP,MATCH(G22,Cables!$A:$A,0))-1))):INDEX(Attenuation!$K:$K,(INDEX(Cables!$AO:$AO,MATCH(G22,Cables!$A:$A,0))-1+MIN(MAX(IFERROR(MATCH(LN(D22),INDEX(Attenuation!$J:$J,INDEX(Cables!$AO:$AO,MATCH(G22,Cables!$A:$A,0))):INDEX(Attenuation!$J:$J,INDEX(Cables!$AO:$AO,MATCH(G22,Cables!$A:$A,0))+INDEX(Cables!$AP:$AP,MATCH(G22,Cables!$A:$A,0))-1),1),1),1),INDEX(Cables!$AP:$AP,MATCH(G22,Cables!$A:$A,0))-1))+1),INDEX(Attenuation!$J:$J,(INDEX(Cables!$AO:$AO,MATCH(G22,Cables!$A:$A,0))-1+MIN(MAX(IFERROR(MATCH(LN(D22),INDEX(Attenuation!$J:$J,INDEX(Cables!$AO:$AO,MATCH(G22,Cables!$A:$A,0))):INDEX(Attenuation!$J:$J,INDEX(Cables!$AO:$AO,MATCH(G22,Cables!$A:$A,0))+INDEX(Cables!$AP:$AP,MATCH(G22,Cables!$A:$A,0))-1),1),1),1),INDEX(Cables!$AP:$AP,MATCH(G22,Cables!$A:$A,0))-1))):INDEX(Attenuation!$J:$J,(INDEX(Cables!$AO:$AO,MATCH(G22,Cables!$A:$A,0))-1+MIN(MAX(IFERROR(MATCH(LN(D22),INDEX(Attenuation!$J:$J,INDEX(Cables!$AO:$AO,MATCH(G22,Cables!$A:$A,0))):INDEX(Attenuation!$J:$J,INDEX(Cables!$AO:$AO,MATCH(G22,Cables!$A:$A,0))+INDEX(Cables!$AP:$AP,MATCH(G22,Cables!$A:$A,0))-1),1),1),1),INDEX(Cables!$AP:$AP,MATCH(G22,Cables!$A:$A,0))-1))+1)))*0.3048)</f>
        <v>17.499999999999996</v>
      </c>
      <c r="I22" s="43">
        <f>IF(G22="","",EXP(FORECAST(LN(E22),INDEX(Attenuation!$K:$K,(INDEX(Cables!$AO:$AO,MATCH(G22,Cables!$A:$A,0))-1+MIN(MAX(IFERROR(MATCH(LN(E22),INDEX(Attenuation!$J:$J,INDEX(Cables!$AO:$AO,MATCH(G22,Cables!$A:$A,0))):INDEX(Attenuation!$J:$J,INDEX(Cables!$AO:$AO,MATCH(G22,Cables!$A:$A,0))+INDEX(Cables!$AP:$AP,MATCH(G22,Cables!$A:$A,0))-1),1),1),1),INDEX(Cables!$AP:$AP,MATCH(G22,Cables!$A:$A,0))-1))):INDEX(Attenuation!$K:$K,(INDEX(Cables!$AO:$AO,MATCH(G22,Cables!$A:$A,0))-1+MIN(MAX(IFERROR(MATCH(LN(E22),INDEX(Attenuation!$J:$J,INDEX(Cables!$AO:$AO,MATCH(G22,Cables!$A:$A,0))):INDEX(Attenuation!$J:$J,INDEX(Cables!$AO:$AO,MATCH(G22,Cables!$A:$A,0))+INDEX(Cables!$AP:$AP,MATCH(G22,Cables!$A:$A,0))-1),1),1),1),INDEX(Cables!$AP:$AP,MATCH(G22,Cables!$A:$A,0))-1))+1),INDEX(Attenuation!$J:$J,(INDEX(Cables!$AO:$AO,MATCH(G22,Cables!$A:$A,0))-1+MIN(MAX(IFERROR(MATCH(LN(E22),INDEX(Attenuation!$J:$J,INDEX(Cables!$AO:$AO,MATCH(G22,Cables!$A:$A,0))):INDEX(Attenuation!$J:$J,INDEX(Cables!$AO:$AO,MATCH(G22,Cables!$A:$A,0))+INDEX(Cables!$AP:$AP,MATCH(G22,Cables!$A:$A,0))-1),1),1),1),INDEX(Cables!$AP:$AP,MATCH(G22,Cables!$A:$A,0))-1))):INDEX(Attenuation!$J:$J,(INDEX(Cables!$AO:$AO,MATCH(G22,Cables!$A:$A,0))-1+MIN(MAX(IFERROR(MATCH(LN(E22),INDEX(Attenuation!$J:$J,INDEX(Cables!$AO:$AO,MATCH(G22,Cables!$A:$A,0))):INDEX(Attenuation!$J:$J,INDEX(Cables!$AO:$AO,MATCH(G22,Cables!$A:$A,0))+INDEX(Cables!$AP:$AP,MATCH(G22,Cables!$A:$A,0))-1),1),1),1),INDEX(Cables!$AP:$AP,MATCH(G22,Cables!$A:$A,0))-1))+1)))*0.3048)</f>
        <v>20.173799116707595</v>
      </c>
      <c r="J22" s="44">
        <f t="shared" si="0"/>
        <v>-1.7142857142857015E-2</v>
      </c>
      <c r="K22" s="40" t="str">
        <f>IF(G22="","Doğrulanmadı",IF(ABS(J22)&lt;=0.1,"Uyumlu (±%10)",IF(ABS(J22)&lt;=0.25,"Fark %10-25","Fark &gt;%25"))&amp;IF(OR(D22&lt;INDEX(Cables!$AQ:$AQ,MATCH(G22,Cables!$A:$A,0)),E22&gt;INDEX(Cables!$AR:$AR,MATCH(G22,Cables!$A:$A,0)))," · ekstrapolasyon",""))</f>
        <v>Uyumlu (±%10)</v>
      </c>
    </row>
    <row r="23" spans="1:11" x14ac:dyDescent="0.25">
      <c r="A23" s="37" t="s">
        <v>2963</v>
      </c>
      <c r="B23" s="40" t="str">
        <f>INDEX(Legacy_Index!$D:$D,MATCH(A23,Legacy_Index!$A:$A,0))</f>
        <v>RG188 A/U</v>
      </c>
      <c r="C23" s="37" t="s">
        <v>3120</v>
      </c>
      <c r="D23" s="37">
        <v>1200</v>
      </c>
      <c r="E23" s="37">
        <v>1300</v>
      </c>
      <c r="F23" s="37">
        <v>30</v>
      </c>
      <c r="G23" s="40" t="str">
        <f>IF(INDEX(Legacy_Index!$G:$G,MATCH(A23,Legacy_Index!$A:$A,0))="","",INDEX(Legacy_Index!$G:$G,MATCH(A23,Legacy_Index!$A:$A,0)))</f>
        <v>BEL-83269</v>
      </c>
      <c r="H23" s="43">
        <f>IF(G23="","",EXP(FORECAST(LN(D23),INDEX(Attenuation!$K:$K,(INDEX(Cables!$AO:$AO,MATCH(G23,Cables!$A:$A,0))-1+MIN(MAX(IFERROR(MATCH(LN(D23),INDEX(Attenuation!$J:$J,INDEX(Cables!$AO:$AO,MATCH(G23,Cables!$A:$A,0))):INDEX(Attenuation!$J:$J,INDEX(Cables!$AO:$AO,MATCH(G23,Cables!$A:$A,0))+INDEX(Cables!$AP:$AP,MATCH(G23,Cables!$A:$A,0))-1),1),1),1),INDEX(Cables!$AP:$AP,MATCH(G23,Cables!$A:$A,0))-1))):INDEX(Attenuation!$K:$K,(INDEX(Cables!$AO:$AO,MATCH(G23,Cables!$A:$A,0))-1+MIN(MAX(IFERROR(MATCH(LN(D23),INDEX(Attenuation!$J:$J,INDEX(Cables!$AO:$AO,MATCH(G23,Cables!$A:$A,0))):INDEX(Attenuation!$J:$J,INDEX(Cables!$AO:$AO,MATCH(G23,Cables!$A:$A,0))+INDEX(Cables!$AP:$AP,MATCH(G23,Cables!$A:$A,0))-1),1),1),1),INDEX(Cables!$AP:$AP,MATCH(G23,Cables!$A:$A,0))-1))+1),INDEX(Attenuation!$J:$J,(INDEX(Cables!$AO:$AO,MATCH(G23,Cables!$A:$A,0))-1+MIN(MAX(IFERROR(MATCH(LN(D23),INDEX(Attenuation!$J:$J,INDEX(Cables!$AO:$AO,MATCH(G23,Cables!$A:$A,0))):INDEX(Attenuation!$J:$J,INDEX(Cables!$AO:$AO,MATCH(G23,Cables!$A:$A,0))+INDEX(Cables!$AP:$AP,MATCH(G23,Cables!$A:$A,0))-1),1),1),1),INDEX(Cables!$AP:$AP,MATCH(G23,Cables!$A:$A,0))-1))):INDEX(Attenuation!$J:$J,(INDEX(Cables!$AO:$AO,MATCH(G23,Cables!$A:$A,0))-1+MIN(MAX(IFERROR(MATCH(LN(D23),INDEX(Attenuation!$J:$J,INDEX(Cables!$AO:$AO,MATCH(G23,Cables!$A:$A,0))):INDEX(Attenuation!$J:$J,INDEX(Cables!$AO:$AO,MATCH(G23,Cables!$A:$A,0))+INDEX(Cables!$AP:$AP,MATCH(G23,Cables!$A:$A,0))-1),1),1),1),INDEX(Cables!$AP:$AP,MATCH(G23,Cables!$A:$A,0))-1))+1)))*0.3048)</f>
        <v>32.19564080338926</v>
      </c>
      <c r="I23" s="43">
        <f>IF(G23="","",EXP(FORECAST(LN(E23),INDEX(Attenuation!$K:$K,(INDEX(Cables!$AO:$AO,MATCH(G23,Cables!$A:$A,0))-1+MIN(MAX(IFERROR(MATCH(LN(E23),INDEX(Attenuation!$J:$J,INDEX(Cables!$AO:$AO,MATCH(G23,Cables!$A:$A,0))):INDEX(Attenuation!$J:$J,INDEX(Cables!$AO:$AO,MATCH(G23,Cables!$A:$A,0))+INDEX(Cables!$AP:$AP,MATCH(G23,Cables!$A:$A,0))-1),1),1),1),INDEX(Cables!$AP:$AP,MATCH(G23,Cables!$A:$A,0))-1))):INDEX(Attenuation!$K:$K,(INDEX(Cables!$AO:$AO,MATCH(G23,Cables!$A:$A,0))-1+MIN(MAX(IFERROR(MATCH(LN(E23),INDEX(Attenuation!$J:$J,INDEX(Cables!$AO:$AO,MATCH(G23,Cables!$A:$A,0))):INDEX(Attenuation!$J:$J,INDEX(Cables!$AO:$AO,MATCH(G23,Cables!$A:$A,0))+INDEX(Cables!$AP:$AP,MATCH(G23,Cables!$A:$A,0))-1),1),1),1),INDEX(Cables!$AP:$AP,MATCH(G23,Cables!$A:$A,0))-1))+1),INDEX(Attenuation!$J:$J,(INDEX(Cables!$AO:$AO,MATCH(G23,Cables!$A:$A,0))-1+MIN(MAX(IFERROR(MATCH(LN(E23),INDEX(Attenuation!$J:$J,INDEX(Cables!$AO:$AO,MATCH(G23,Cables!$A:$A,0))):INDEX(Attenuation!$J:$J,INDEX(Cables!$AO:$AO,MATCH(G23,Cables!$A:$A,0))+INDEX(Cables!$AP:$AP,MATCH(G23,Cables!$A:$A,0))-1),1),1),1),INDEX(Cables!$AP:$AP,MATCH(G23,Cables!$A:$A,0))-1))):INDEX(Attenuation!$J:$J,(INDEX(Cables!$AO:$AO,MATCH(G23,Cables!$A:$A,0))-1+MIN(MAX(IFERROR(MATCH(LN(E23),INDEX(Attenuation!$J:$J,INDEX(Cables!$AO:$AO,MATCH(G23,Cables!$A:$A,0))):INDEX(Attenuation!$J:$J,INDEX(Cables!$AO:$AO,MATCH(G23,Cables!$A:$A,0))+INDEX(Cables!$AP:$AP,MATCH(G23,Cables!$A:$A,0))-1),1),1),1),INDEX(Cables!$AP:$AP,MATCH(G23,Cables!$A:$A,0))-1))+1)))*0.3048)</f>
        <v>33.707624724575737</v>
      </c>
      <c r="J23" s="44">
        <f t="shared" si="0"/>
        <v>-6.8196834993827005E-2</v>
      </c>
      <c r="K23" s="40" t="str">
        <f>IF(G23="","Doğrulanmadı",IF(ABS(J23)&lt;=0.1,"Uyumlu (±%10)",IF(ABS(J23)&lt;=0.25,"Fark %10-25","Fark &gt;%25"))&amp;IF(OR(D23&lt;INDEX(Cables!$AQ:$AQ,MATCH(G23,Cables!$A:$A,0)),E23&gt;INDEX(Cables!$AR:$AR,MATCH(G23,Cables!$A:$A,0)))," · ekstrapolasyon",""))</f>
        <v>Uyumlu (±%10) · ekstrapolasyon</v>
      </c>
    </row>
    <row r="24" spans="1:11" x14ac:dyDescent="0.25">
      <c r="A24" s="37" t="s">
        <v>2965</v>
      </c>
      <c r="B24" s="40" t="str">
        <f>INDEX(Legacy_Index!$D:$D,MATCH(A24,Legacy_Index!$A:$A,0))</f>
        <v>RG58C/U</v>
      </c>
      <c r="C24" s="37" t="s">
        <v>3117</v>
      </c>
      <c r="D24" s="37">
        <v>1</v>
      </c>
      <c r="E24" s="37">
        <v>10</v>
      </c>
      <c r="F24" s="37">
        <v>1</v>
      </c>
      <c r="G24" s="40" t="str">
        <f>IF(INDEX(Legacy_Index!$G:$G,MATCH(A24,Legacy_Index!$A:$A,0))="","",INDEX(Legacy_Index!$G:$G,MATCH(A24,Legacy_Index!$A:$A,0)))</f>
        <v>BEL-8259</v>
      </c>
      <c r="H24" s="43">
        <f>IF(G24="","",EXP(FORECAST(LN(D24),INDEX(Attenuation!$K:$K,(INDEX(Cables!$AO:$AO,MATCH(G24,Cables!$A:$A,0))-1+MIN(MAX(IFERROR(MATCH(LN(D24),INDEX(Attenuation!$J:$J,INDEX(Cables!$AO:$AO,MATCH(G24,Cables!$A:$A,0))):INDEX(Attenuation!$J:$J,INDEX(Cables!$AO:$AO,MATCH(G24,Cables!$A:$A,0))+INDEX(Cables!$AP:$AP,MATCH(G24,Cables!$A:$A,0))-1),1),1),1),INDEX(Cables!$AP:$AP,MATCH(G24,Cables!$A:$A,0))-1))):INDEX(Attenuation!$K:$K,(INDEX(Cables!$AO:$AO,MATCH(G24,Cables!$A:$A,0))-1+MIN(MAX(IFERROR(MATCH(LN(D24),INDEX(Attenuation!$J:$J,INDEX(Cables!$AO:$AO,MATCH(G24,Cables!$A:$A,0))):INDEX(Attenuation!$J:$J,INDEX(Cables!$AO:$AO,MATCH(G24,Cables!$A:$A,0))+INDEX(Cables!$AP:$AP,MATCH(G24,Cables!$A:$A,0))-1),1),1),1),INDEX(Cables!$AP:$AP,MATCH(G24,Cables!$A:$A,0))-1))+1),INDEX(Attenuation!$J:$J,(INDEX(Cables!$AO:$AO,MATCH(G24,Cables!$A:$A,0))-1+MIN(MAX(IFERROR(MATCH(LN(D24),INDEX(Attenuation!$J:$J,INDEX(Cables!$AO:$AO,MATCH(G24,Cables!$A:$A,0))):INDEX(Attenuation!$J:$J,INDEX(Cables!$AO:$AO,MATCH(G24,Cables!$A:$A,0))+INDEX(Cables!$AP:$AP,MATCH(G24,Cables!$A:$A,0))-1),1),1),1),INDEX(Cables!$AP:$AP,MATCH(G24,Cables!$A:$A,0))-1))):INDEX(Attenuation!$J:$J,(INDEX(Cables!$AO:$AO,MATCH(G24,Cables!$A:$A,0))-1+MIN(MAX(IFERROR(MATCH(LN(D24),INDEX(Attenuation!$J:$J,INDEX(Cables!$AO:$AO,MATCH(G24,Cables!$A:$A,0))):INDEX(Attenuation!$J:$J,INDEX(Cables!$AO:$AO,MATCH(G24,Cables!$A:$A,0))+INDEX(Cables!$AP:$AP,MATCH(G24,Cables!$A:$A,0))-1),1),1),1),INDEX(Cables!$AP:$AP,MATCH(G24,Cables!$A:$A,0))-1))+1)))*0.3048)</f>
        <v>0.40000000000000008</v>
      </c>
      <c r="I24" s="43">
        <f>IF(G24="","",EXP(FORECAST(LN(E24),INDEX(Attenuation!$K:$K,(INDEX(Cables!$AO:$AO,MATCH(G24,Cables!$A:$A,0))-1+MIN(MAX(IFERROR(MATCH(LN(E24),INDEX(Attenuation!$J:$J,INDEX(Cables!$AO:$AO,MATCH(G24,Cables!$A:$A,0))):INDEX(Attenuation!$J:$J,INDEX(Cables!$AO:$AO,MATCH(G24,Cables!$A:$A,0))+INDEX(Cables!$AP:$AP,MATCH(G24,Cables!$A:$A,0))-1),1),1),1),INDEX(Cables!$AP:$AP,MATCH(G24,Cables!$A:$A,0))-1))):INDEX(Attenuation!$K:$K,(INDEX(Cables!$AO:$AO,MATCH(G24,Cables!$A:$A,0))-1+MIN(MAX(IFERROR(MATCH(LN(E24),INDEX(Attenuation!$J:$J,INDEX(Cables!$AO:$AO,MATCH(G24,Cables!$A:$A,0))):INDEX(Attenuation!$J:$J,INDEX(Cables!$AO:$AO,MATCH(G24,Cables!$A:$A,0))+INDEX(Cables!$AP:$AP,MATCH(G24,Cables!$A:$A,0))-1),1),1),1),INDEX(Cables!$AP:$AP,MATCH(G24,Cables!$A:$A,0))-1))+1),INDEX(Attenuation!$J:$J,(INDEX(Cables!$AO:$AO,MATCH(G24,Cables!$A:$A,0))-1+MIN(MAX(IFERROR(MATCH(LN(E24),INDEX(Attenuation!$J:$J,INDEX(Cables!$AO:$AO,MATCH(G24,Cables!$A:$A,0))):INDEX(Attenuation!$J:$J,INDEX(Cables!$AO:$AO,MATCH(G24,Cables!$A:$A,0))+INDEX(Cables!$AP:$AP,MATCH(G24,Cables!$A:$A,0))-1),1),1),1),INDEX(Cables!$AP:$AP,MATCH(G24,Cables!$A:$A,0))-1))):INDEX(Attenuation!$J:$J,(INDEX(Cables!$AO:$AO,MATCH(G24,Cables!$A:$A,0))-1+MIN(MAX(IFERROR(MATCH(LN(E24),INDEX(Attenuation!$J:$J,INDEX(Cables!$AO:$AO,MATCH(G24,Cables!$A:$A,0))):INDEX(Attenuation!$J:$J,INDEX(Cables!$AO:$AO,MATCH(G24,Cables!$A:$A,0))+INDEX(Cables!$AP:$AP,MATCH(G24,Cables!$A:$A,0))-1),1),1),1),INDEX(Cables!$AP:$AP,MATCH(G24,Cables!$A:$A,0))-1))+1)))*0.3048)</f>
        <v>1.5000000000000004</v>
      </c>
      <c r="J24" s="44">
        <f t="shared" si="0"/>
        <v>0</v>
      </c>
      <c r="K24" s="40" t="str">
        <f>IF(G24="","Doğrulanmadı",IF(ABS(J24)&lt;=0.1,"Uyumlu (±%10)",IF(ABS(J24)&lt;=0.25,"Fark %10-25","Fark &gt;%25"))&amp;IF(OR(D24&lt;INDEX(Cables!$AQ:$AQ,MATCH(G24,Cables!$A:$A,0)),E24&gt;INDEX(Cables!$AR:$AR,MATCH(G24,Cables!$A:$A,0)))," · ekstrapolasyon",""))</f>
        <v>Uyumlu (±%10)</v>
      </c>
    </row>
    <row r="25" spans="1:11" x14ac:dyDescent="0.25">
      <c r="A25" s="37" t="s">
        <v>2965</v>
      </c>
      <c r="B25" s="40" t="str">
        <f>INDEX(Legacy_Index!$D:$D,MATCH(A25,Legacy_Index!$A:$A,0))</f>
        <v>RG58C/U</v>
      </c>
      <c r="C25" s="37" t="s">
        <v>3118</v>
      </c>
      <c r="D25" s="37">
        <v>30</v>
      </c>
      <c r="E25" s="37">
        <v>50</v>
      </c>
      <c r="F25" s="37">
        <v>3.5</v>
      </c>
      <c r="G25" s="40" t="str">
        <f>IF(INDEX(Legacy_Index!$G:$G,MATCH(A25,Legacy_Index!$A:$A,0))="","",INDEX(Legacy_Index!$G:$G,MATCH(A25,Legacy_Index!$A:$A,0)))</f>
        <v>BEL-8259</v>
      </c>
      <c r="H25" s="43">
        <f>IF(G25="","",EXP(FORECAST(LN(D25),INDEX(Attenuation!$K:$K,(INDEX(Cables!$AO:$AO,MATCH(G25,Cables!$A:$A,0))-1+MIN(MAX(IFERROR(MATCH(LN(D25),INDEX(Attenuation!$J:$J,INDEX(Cables!$AO:$AO,MATCH(G25,Cables!$A:$A,0))):INDEX(Attenuation!$J:$J,INDEX(Cables!$AO:$AO,MATCH(G25,Cables!$A:$A,0))+INDEX(Cables!$AP:$AP,MATCH(G25,Cables!$A:$A,0))-1),1),1),1),INDEX(Cables!$AP:$AP,MATCH(G25,Cables!$A:$A,0))-1))):INDEX(Attenuation!$K:$K,(INDEX(Cables!$AO:$AO,MATCH(G25,Cables!$A:$A,0))-1+MIN(MAX(IFERROR(MATCH(LN(D25),INDEX(Attenuation!$J:$J,INDEX(Cables!$AO:$AO,MATCH(G25,Cables!$A:$A,0))):INDEX(Attenuation!$J:$J,INDEX(Cables!$AO:$AO,MATCH(G25,Cables!$A:$A,0))+INDEX(Cables!$AP:$AP,MATCH(G25,Cables!$A:$A,0))-1),1),1),1),INDEX(Cables!$AP:$AP,MATCH(G25,Cables!$A:$A,0))-1))+1),INDEX(Attenuation!$J:$J,(INDEX(Cables!$AO:$AO,MATCH(G25,Cables!$A:$A,0))-1+MIN(MAX(IFERROR(MATCH(LN(D25),INDEX(Attenuation!$J:$J,INDEX(Cables!$AO:$AO,MATCH(G25,Cables!$A:$A,0))):INDEX(Attenuation!$J:$J,INDEX(Cables!$AO:$AO,MATCH(G25,Cables!$A:$A,0))+INDEX(Cables!$AP:$AP,MATCH(G25,Cables!$A:$A,0))-1),1),1),1),INDEX(Cables!$AP:$AP,MATCH(G25,Cables!$A:$A,0))-1))):INDEX(Attenuation!$J:$J,(INDEX(Cables!$AO:$AO,MATCH(G25,Cables!$A:$A,0))-1+MIN(MAX(IFERROR(MATCH(LN(D25),INDEX(Attenuation!$J:$J,INDEX(Cables!$AO:$AO,MATCH(G25,Cables!$A:$A,0))):INDEX(Attenuation!$J:$J,INDEX(Cables!$AO:$AO,MATCH(G25,Cables!$A:$A,0))+INDEX(Cables!$AP:$AP,MATCH(G25,Cables!$A:$A,0))-1),1),1),1),INDEX(Cables!$AP:$AP,MATCH(G25,Cables!$A:$A,0))-1))+1)))*0.3048)</f>
        <v>2.7781026669873587</v>
      </c>
      <c r="I25" s="43">
        <f>IF(G25="","",EXP(FORECAST(LN(E25),INDEX(Attenuation!$K:$K,(INDEX(Cables!$AO:$AO,MATCH(G25,Cables!$A:$A,0))-1+MIN(MAX(IFERROR(MATCH(LN(E25),INDEX(Attenuation!$J:$J,INDEX(Cables!$AO:$AO,MATCH(G25,Cables!$A:$A,0))):INDEX(Attenuation!$J:$J,INDEX(Cables!$AO:$AO,MATCH(G25,Cables!$A:$A,0))+INDEX(Cables!$AP:$AP,MATCH(G25,Cables!$A:$A,0))-1),1),1),1),INDEX(Cables!$AP:$AP,MATCH(G25,Cables!$A:$A,0))-1))):INDEX(Attenuation!$K:$K,(INDEX(Cables!$AO:$AO,MATCH(G25,Cables!$A:$A,0))-1+MIN(MAX(IFERROR(MATCH(LN(E25),INDEX(Attenuation!$J:$J,INDEX(Cables!$AO:$AO,MATCH(G25,Cables!$A:$A,0))):INDEX(Attenuation!$J:$J,INDEX(Cables!$AO:$AO,MATCH(G25,Cables!$A:$A,0))+INDEX(Cables!$AP:$AP,MATCH(G25,Cables!$A:$A,0))-1),1),1),1),INDEX(Cables!$AP:$AP,MATCH(G25,Cables!$A:$A,0))-1))+1),INDEX(Attenuation!$J:$J,(INDEX(Cables!$AO:$AO,MATCH(G25,Cables!$A:$A,0))-1+MIN(MAX(IFERROR(MATCH(LN(E25),INDEX(Attenuation!$J:$J,INDEX(Cables!$AO:$AO,MATCH(G25,Cables!$A:$A,0))):INDEX(Attenuation!$J:$J,INDEX(Cables!$AO:$AO,MATCH(G25,Cables!$A:$A,0))+INDEX(Cables!$AP:$AP,MATCH(G25,Cables!$A:$A,0))-1),1),1),1),INDEX(Cables!$AP:$AP,MATCH(G25,Cables!$A:$A,0))-1))):INDEX(Attenuation!$J:$J,(INDEX(Cables!$AO:$AO,MATCH(G25,Cables!$A:$A,0))-1+MIN(MAX(IFERROR(MATCH(LN(E25),INDEX(Attenuation!$J:$J,INDEX(Cables!$AO:$AO,MATCH(G25,Cables!$A:$A,0))):INDEX(Attenuation!$J:$J,INDEX(Cables!$AO:$AO,MATCH(G25,Cables!$A:$A,0))+INDEX(Cables!$AP:$AP,MATCH(G25,Cables!$A:$A,0))-1),1),1),1),INDEX(Cables!$AP:$AP,MATCH(G25,Cables!$A:$A,0))-1))+1)))*0.3048)</f>
        <v>3.6999999999999988</v>
      </c>
      <c r="J25" s="44">
        <f t="shared" si="0"/>
        <v>0</v>
      </c>
      <c r="K25" s="40" t="str">
        <f>IF(G25="","Doğrulanmadı",IF(ABS(J25)&lt;=0.1,"Uyumlu (±%10)",IF(ABS(J25)&lt;=0.25,"Fark %10-25","Fark &gt;%25"))&amp;IF(OR(D25&lt;INDEX(Cables!$AQ:$AQ,MATCH(G25,Cables!$A:$A,0)),E25&gt;INDEX(Cables!$AR:$AR,MATCH(G25,Cables!$A:$A,0)))," · ekstrapolasyon",""))</f>
        <v>Uyumlu (±%10)</v>
      </c>
    </row>
    <row r="26" spans="1:11" x14ac:dyDescent="0.25">
      <c r="A26" s="37" t="s">
        <v>2965</v>
      </c>
      <c r="B26" s="40" t="str">
        <f>INDEX(Legacy_Index!$D:$D,MATCH(A26,Legacy_Index!$A:$A,0))</f>
        <v>RG58C/U</v>
      </c>
      <c r="C26" s="37" t="s">
        <v>3113</v>
      </c>
      <c r="D26" s="37">
        <v>70</v>
      </c>
      <c r="E26" s="37">
        <v>100</v>
      </c>
      <c r="F26" s="37">
        <v>4.7</v>
      </c>
      <c r="G26" s="40" t="str">
        <f>IF(INDEX(Legacy_Index!$G:$G,MATCH(A26,Legacy_Index!$A:$A,0))="","",INDEX(Legacy_Index!$G:$G,MATCH(A26,Legacy_Index!$A:$A,0)))</f>
        <v>BEL-8259</v>
      </c>
      <c r="H26" s="43">
        <f>IF(G26="","",EXP(FORECAST(LN(D26),INDEX(Attenuation!$K:$K,(INDEX(Cables!$AO:$AO,MATCH(G26,Cables!$A:$A,0))-1+MIN(MAX(IFERROR(MATCH(LN(D26),INDEX(Attenuation!$J:$J,INDEX(Cables!$AO:$AO,MATCH(G26,Cables!$A:$A,0))):INDEX(Attenuation!$J:$J,INDEX(Cables!$AO:$AO,MATCH(G26,Cables!$A:$A,0))+INDEX(Cables!$AP:$AP,MATCH(G26,Cables!$A:$A,0))-1),1),1),1),INDEX(Cables!$AP:$AP,MATCH(G26,Cables!$A:$A,0))-1))):INDEX(Attenuation!$K:$K,(INDEX(Cables!$AO:$AO,MATCH(G26,Cables!$A:$A,0))-1+MIN(MAX(IFERROR(MATCH(LN(D26),INDEX(Attenuation!$J:$J,INDEX(Cables!$AO:$AO,MATCH(G26,Cables!$A:$A,0))):INDEX(Attenuation!$J:$J,INDEX(Cables!$AO:$AO,MATCH(G26,Cables!$A:$A,0))+INDEX(Cables!$AP:$AP,MATCH(G26,Cables!$A:$A,0))-1),1),1),1),INDEX(Cables!$AP:$AP,MATCH(G26,Cables!$A:$A,0))-1))+1),INDEX(Attenuation!$J:$J,(INDEX(Cables!$AO:$AO,MATCH(G26,Cables!$A:$A,0))-1+MIN(MAX(IFERROR(MATCH(LN(D26),INDEX(Attenuation!$J:$J,INDEX(Cables!$AO:$AO,MATCH(G26,Cables!$A:$A,0))):INDEX(Attenuation!$J:$J,INDEX(Cables!$AO:$AO,MATCH(G26,Cables!$A:$A,0))+INDEX(Cables!$AP:$AP,MATCH(G26,Cables!$A:$A,0))-1),1),1),1),INDEX(Cables!$AP:$AP,MATCH(G26,Cables!$A:$A,0))-1))):INDEX(Attenuation!$J:$J,(INDEX(Cables!$AO:$AO,MATCH(G26,Cables!$A:$A,0))-1+MIN(MAX(IFERROR(MATCH(LN(D26),INDEX(Attenuation!$J:$J,INDEX(Cables!$AO:$AO,MATCH(G26,Cables!$A:$A,0))):INDEX(Attenuation!$J:$J,INDEX(Cables!$AO:$AO,MATCH(G26,Cables!$A:$A,0))+INDEX(Cables!$AP:$AP,MATCH(G26,Cables!$A:$A,0))-1),1),1),1),INDEX(Cables!$AP:$AP,MATCH(G26,Cables!$A:$A,0))-1))+1)))*0.3048)</f>
        <v>4.4453395866731489</v>
      </c>
      <c r="I26" s="43">
        <f>IF(G26="","",EXP(FORECAST(LN(E26),INDEX(Attenuation!$K:$K,(INDEX(Cables!$AO:$AO,MATCH(G26,Cables!$A:$A,0))-1+MIN(MAX(IFERROR(MATCH(LN(E26),INDEX(Attenuation!$J:$J,INDEX(Cables!$AO:$AO,MATCH(G26,Cables!$A:$A,0))):INDEX(Attenuation!$J:$J,INDEX(Cables!$AO:$AO,MATCH(G26,Cables!$A:$A,0))+INDEX(Cables!$AP:$AP,MATCH(G26,Cables!$A:$A,0))-1),1),1),1),INDEX(Cables!$AP:$AP,MATCH(G26,Cables!$A:$A,0))-1))):INDEX(Attenuation!$K:$K,(INDEX(Cables!$AO:$AO,MATCH(G26,Cables!$A:$A,0))-1+MIN(MAX(IFERROR(MATCH(LN(E26),INDEX(Attenuation!$J:$J,INDEX(Cables!$AO:$AO,MATCH(G26,Cables!$A:$A,0))):INDEX(Attenuation!$J:$J,INDEX(Cables!$AO:$AO,MATCH(G26,Cables!$A:$A,0))+INDEX(Cables!$AP:$AP,MATCH(G26,Cables!$A:$A,0))-1),1),1),1),INDEX(Cables!$AP:$AP,MATCH(G26,Cables!$A:$A,0))-1))+1),INDEX(Attenuation!$J:$J,(INDEX(Cables!$AO:$AO,MATCH(G26,Cables!$A:$A,0))-1+MIN(MAX(IFERROR(MATCH(LN(E26),INDEX(Attenuation!$J:$J,INDEX(Cables!$AO:$AO,MATCH(G26,Cables!$A:$A,0))):INDEX(Attenuation!$J:$J,INDEX(Cables!$AO:$AO,MATCH(G26,Cables!$A:$A,0))+INDEX(Cables!$AP:$AP,MATCH(G26,Cables!$A:$A,0))-1),1),1),1),INDEX(Cables!$AP:$AP,MATCH(G26,Cables!$A:$A,0))-1))):INDEX(Attenuation!$J:$J,(INDEX(Cables!$AO:$AO,MATCH(G26,Cables!$A:$A,0))-1+MIN(MAX(IFERROR(MATCH(LN(E26),INDEX(Attenuation!$J:$J,INDEX(Cables!$AO:$AO,MATCH(G26,Cables!$A:$A,0))):INDEX(Attenuation!$J:$J,INDEX(Cables!$AO:$AO,MATCH(G26,Cables!$A:$A,0))+INDEX(Cables!$AP:$AP,MATCH(G26,Cables!$A:$A,0))-1),1),1),1),INDEX(Cables!$AP:$AP,MATCH(G26,Cables!$A:$A,0))-1))+1)))*0.3048)</f>
        <v>5.3999999999999995</v>
      </c>
      <c r="J26" s="44">
        <f t="shared" si="0"/>
        <v>0</v>
      </c>
      <c r="K26" s="40" t="str">
        <f>IF(G26="","Doğrulanmadı",IF(ABS(J26)&lt;=0.1,"Uyumlu (±%10)",IF(ABS(J26)&lt;=0.25,"Fark %10-25","Fark &gt;%25"))&amp;IF(OR(D26&lt;INDEX(Cables!$AQ:$AQ,MATCH(G26,Cables!$A:$A,0)),E26&gt;INDEX(Cables!$AR:$AR,MATCH(G26,Cables!$A:$A,0)))," · ekstrapolasyon",""))</f>
        <v>Uyumlu (±%10)</v>
      </c>
    </row>
    <row r="27" spans="1:11" x14ac:dyDescent="0.25">
      <c r="A27" s="37" t="s">
        <v>2965</v>
      </c>
      <c r="B27" s="40" t="str">
        <f>INDEX(Legacy_Index!$D:$D,MATCH(A27,Legacy_Index!$A:$A,0))</f>
        <v>RG58C/U</v>
      </c>
      <c r="C27" s="37" t="s">
        <v>3114</v>
      </c>
      <c r="D27" s="37">
        <v>148</v>
      </c>
      <c r="E27" s="37">
        <v>174</v>
      </c>
      <c r="F27" s="37">
        <v>6.5</v>
      </c>
      <c r="G27" s="40" t="str">
        <f>IF(INDEX(Legacy_Index!$G:$G,MATCH(A27,Legacy_Index!$A:$A,0))="","",INDEX(Legacy_Index!$G:$G,MATCH(A27,Legacy_Index!$A:$A,0)))</f>
        <v>BEL-8259</v>
      </c>
      <c r="H27" s="43">
        <f>IF(G27="","",EXP(FORECAST(LN(D27),INDEX(Attenuation!$K:$K,(INDEX(Cables!$AO:$AO,MATCH(G27,Cables!$A:$A,0))-1+MIN(MAX(IFERROR(MATCH(LN(D27),INDEX(Attenuation!$J:$J,INDEX(Cables!$AO:$AO,MATCH(G27,Cables!$A:$A,0))):INDEX(Attenuation!$J:$J,INDEX(Cables!$AO:$AO,MATCH(G27,Cables!$A:$A,0))+INDEX(Cables!$AP:$AP,MATCH(G27,Cables!$A:$A,0))-1),1),1),1),INDEX(Cables!$AP:$AP,MATCH(G27,Cables!$A:$A,0))-1))):INDEX(Attenuation!$K:$K,(INDEX(Cables!$AO:$AO,MATCH(G27,Cables!$A:$A,0))-1+MIN(MAX(IFERROR(MATCH(LN(D27),INDEX(Attenuation!$J:$J,INDEX(Cables!$AO:$AO,MATCH(G27,Cables!$A:$A,0))):INDEX(Attenuation!$J:$J,INDEX(Cables!$AO:$AO,MATCH(G27,Cables!$A:$A,0))+INDEX(Cables!$AP:$AP,MATCH(G27,Cables!$A:$A,0))-1),1),1),1),INDEX(Cables!$AP:$AP,MATCH(G27,Cables!$A:$A,0))-1))+1),INDEX(Attenuation!$J:$J,(INDEX(Cables!$AO:$AO,MATCH(G27,Cables!$A:$A,0))-1+MIN(MAX(IFERROR(MATCH(LN(D27),INDEX(Attenuation!$J:$J,INDEX(Cables!$AO:$AO,MATCH(G27,Cables!$A:$A,0))):INDEX(Attenuation!$J:$J,INDEX(Cables!$AO:$AO,MATCH(G27,Cables!$A:$A,0))+INDEX(Cables!$AP:$AP,MATCH(G27,Cables!$A:$A,0))-1),1),1),1),INDEX(Cables!$AP:$AP,MATCH(G27,Cables!$A:$A,0))-1))):INDEX(Attenuation!$J:$J,(INDEX(Cables!$AO:$AO,MATCH(G27,Cables!$A:$A,0))-1+MIN(MAX(IFERROR(MATCH(LN(D27),INDEX(Attenuation!$J:$J,INDEX(Cables!$AO:$AO,MATCH(G27,Cables!$A:$A,0))):INDEX(Attenuation!$J:$J,INDEX(Cables!$AO:$AO,MATCH(G27,Cables!$A:$A,0))+INDEX(Cables!$AP:$AP,MATCH(G27,Cables!$A:$A,0))-1),1),1),1),INDEX(Cables!$AP:$AP,MATCH(G27,Cables!$A:$A,0))-1))+1)))*0.3048)</f>
        <v>6.7918874209153062</v>
      </c>
      <c r="I27" s="43">
        <f>IF(G27="","",EXP(FORECAST(LN(E27),INDEX(Attenuation!$K:$K,(INDEX(Cables!$AO:$AO,MATCH(G27,Cables!$A:$A,0))-1+MIN(MAX(IFERROR(MATCH(LN(E27),INDEX(Attenuation!$J:$J,INDEX(Cables!$AO:$AO,MATCH(G27,Cables!$A:$A,0))):INDEX(Attenuation!$J:$J,INDEX(Cables!$AO:$AO,MATCH(G27,Cables!$A:$A,0))+INDEX(Cables!$AP:$AP,MATCH(G27,Cables!$A:$A,0))-1),1),1),1),INDEX(Cables!$AP:$AP,MATCH(G27,Cables!$A:$A,0))-1))):INDEX(Attenuation!$K:$K,(INDEX(Cables!$AO:$AO,MATCH(G27,Cables!$A:$A,0))-1+MIN(MAX(IFERROR(MATCH(LN(E27),INDEX(Attenuation!$J:$J,INDEX(Cables!$AO:$AO,MATCH(G27,Cables!$A:$A,0))):INDEX(Attenuation!$J:$J,INDEX(Cables!$AO:$AO,MATCH(G27,Cables!$A:$A,0))+INDEX(Cables!$AP:$AP,MATCH(G27,Cables!$A:$A,0))-1),1),1),1),INDEX(Cables!$AP:$AP,MATCH(G27,Cables!$A:$A,0))-1))+1),INDEX(Attenuation!$J:$J,(INDEX(Cables!$AO:$AO,MATCH(G27,Cables!$A:$A,0))-1+MIN(MAX(IFERROR(MATCH(LN(E27),INDEX(Attenuation!$J:$J,INDEX(Cables!$AO:$AO,MATCH(G27,Cables!$A:$A,0))):INDEX(Attenuation!$J:$J,INDEX(Cables!$AO:$AO,MATCH(G27,Cables!$A:$A,0))+INDEX(Cables!$AP:$AP,MATCH(G27,Cables!$A:$A,0))-1),1),1),1),INDEX(Cables!$AP:$AP,MATCH(G27,Cables!$A:$A,0))-1))):INDEX(Attenuation!$J:$J,(INDEX(Cables!$AO:$AO,MATCH(G27,Cables!$A:$A,0))-1+MIN(MAX(IFERROR(MATCH(LN(E27),INDEX(Attenuation!$J:$J,INDEX(Cables!$AO:$AO,MATCH(G27,Cables!$A:$A,0))):INDEX(Attenuation!$J:$J,INDEX(Cables!$AO:$AO,MATCH(G27,Cables!$A:$A,0))+INDEX(Cables!$AP:$AP,MATCH(G27,Cables!$A:$A,0))-1),1),1),1),INDEX(Cables!$AP:$AP,MATCH(G27,Cables!$A:$A,0))-1))+1)))*0.3048)</f>
        <v>7.4663105474340918</v>
      </c>
      <c r="J27" s="44">
        <f t="shared" si="0"/>
        <v>-4.297589209391961E-2</v>
      </c>
      <c r="K27" s="40" t="str">
        <f>IF(G27="","Doğrulanmadı",IF(ABS(J27)&lt;=0.1,"Uyumlu (±%10)",IF(ABS(J27)&lt;=0.25,"Fark %10-25","Fark &gt;%25"))&amp;IF(OR(D27&lt;INDEX(Cables!$AQ:$AQ,MATCH(G27,Cables!$A:$A,0)),E27&gt;INDEX(Cables!$AR:$AR,MATCH(G27,Cables!$A:$A,0)))," · ekstrapolasyon",""))</f>
        <v>Uyumlu (±%10)</v>
      </c>
    </row>
    <row r="28" spans="1:11" x14ac:dyDescent="0.25">
      <c r="A28" s="37" t="s">
        <v>2965</v>
      </c>
      <c r="B28" s="40" t="str">
        <f>INDEX(Legacy_Index!$D:$D,MATCH(A28,Legacy_Index!$A:$A,0))</f>
        <v>RG58C/U</v>
      </c>
      <c r="C28" s="37" t="s">
        <v>3119</v>
      </c>
      <c r="D28" s="37">
        <v>220</v>
      </c>
      <c r="E28" s="37">
        <v>220</v>
      </c>
      <c r="F28" s="37">
        <v>7.4</v>
      </c>
      <c r="G28" s="40" t="str">
        <f>IF(INDEX(Legacy_Index!$G:$G,MATCH(A28,Legacy_Index!$A:$A,0))="","",INDEX(Legacy_Index!$G:$G,MATCH(A28,Legacy_Index!$A:$A,0)))</f>
        <v>BEL-8259</v>
      </c>
      <c r="H28" s="43">
        <f>IF(G28="","",EXP(FORECAST(LN(D28),INDEX(Attenuation!$K:$K,(INDEX(Cables!$AO:$AO,MATCH(G28,Cables!$A:$A,0))-1+MIN(MAX(IFERROR(MATCH(LN(D28),INDEX(Attenuation!$J:$J,INDEX(Cables!$AO:$AO,MATCH(G28,Cables!$A:$A,0))):INDEX(Attenuation!$J:$J,INDEX(Cables!$AO:$AO,MATCH(G28,Cables!$A:$A,0))+INDEX(Cables!$AP:$AP,MATCH(G28,Cables!$A:$A,0))-1),1),1),1),INDEX(Cables!$AP:$AP,MATCH(G28,Cables!$A:$A,0))-1))):INDEX(Attenuation!$K:$K,(INDEX(Cables!$AO:$AO,MATCH(G28,Cables!$A:$A,0))-1+MIN(MAX(IFERROR(MATCH(LN(D28),INDEX(Attenuation!$J:$J,INDEX(Cables!$AO:$AO,MATCH(G28,Cables!$A:$A,0))):INDEX(Attenuation!$J:$J,INDEX(Cables!$AO:$AO,MATCH(G28,Cables!$A:$A,0))+INDEX(Cables!$AP:$AP,MATCH(G28,Cables!$A:$A,0))-1),1),1),1),INDEX(Cables!$AP:$AP,MATCH(G28,Cables!$A:$A,0))-1))+1),INDEX(Attenuation!$J:$J,(INDEX(Cables!$AO:$AO,MATCH(G28,Cables!$A:$A,0))-1+MIN(MAX(IFERROR(MATCH(LN(D28),INDEX(Attenuation!$J:$J,INDEX(Cables!$AO:$AO,MATCH(G28,Cables!$A:$A,0))):INDEX(Attenuation!$J:$J,INDEX(Cables!$AO:$AO,MATCH(G28,Cables!$A:$A,0))+INDEX(Cables!$AP:$AP,MATCH(G28,Cables!$A:$A,0))-1),1),1),1),INDEX(Cables!$AP:$AP,MATCH(G28,Cables!$A:$A,0))-1))):INDEX(Attenuation!$J:$J,(INDEX(Cables!$AO:$AO,MATCH(G28,Cables!$A:$A,0))-1+MIN(MAX(IFERROR(MATCH(LN(D28),INDEX(Attenuation!$J:$J,INDEX(Cables!$AO:$AO,MATCH(G28,Cables!$A:$A,0))):INDEX(Attenuation!$J:$J,INDEX(Cables!$AO:$AO,MATCH(G28,Cables!$A:$A,0))+INDEX(Cables!$AP:$AP,MATCH(G28,Cables!$A:$A,0))-1),1),1),1),INDEX(Cables!$AP:$AP,MATCH(G28,Cables!$A:$A,0))-1))+1)))*0.3048)</f>
        <v>8.5884434845374624</v>
      </c>
      <c r="I28" s="43">
        <f>IF(G28="","",EXP(FORECAST(LN(E28),INDEX(Attenuation!$K:$K,(INDEX(Cables!$AO:$AO,MATCH(G28,Cables!$A:$A,0))-1+MIN(MAX(IFERROR(MATCH(LN(E28),INDEX(Attenuation!$J:$J,INDEX(Cables!$AO:$AO,MATCH(G28,Cables!$A:$A,0))):INDEX(Attenuation!$J:$J,INDEX(Cables!$AO:$AO,MATCH(G28,Cables!$A:$A,0))+INDEX(Cables!$AP:$AP,MATCH(G28,Cables!$A:$A,0))-1),1),1),1),INDEX(Cables!$AP:$AP,MATCH(G28,Cables!$A:$A,0))-1))):INDEX(Attenuation!$K:$K,(INDEX(Cables!$AO:$AO,MATCH(G28,Cables!$A:$A,0))-1+MIN(MAX(IFERROR(MATCH(LN(E28),INDEX(Attenuation!$J:$J,INDEX(Cables!$AO:$AO,MATCH(G28,Cables!$A:$A,0))):INDEX(Attenuation!$J:$J,INDEX(Cables!$AO:$AO,MATCH(G28,Cables!$A:$A,0))+INDEX(Cables!$AP:$AP,MATCH(G28,Cables!$A:$A,0))-1),1),1),1),INDEX(Cables!$AP:$AP,MATCH(G28,Cables!$A:$A,0))-1))+1),INDEX(Attenuation!$J:$J,(INDEX(Cables!$AO:$AO,MATCH(G28,Cables!$A:$A,0))-1+MIN(MAX(IFERROR(MATCH(LN(E28),INDEX(Attenuation!$J:$J,INDEX(Cables!$AO:$AO,MATCH(G28,Cables!$A:$A,0))):INDEX(Attenuation!$J:$J,INDEX(Cables!$AO:$AO,MATCH(G28,Cables!$A:$A,0))+INDEX(Cables!$AP:$AP,MATCH(G28,Cables!$A:$A,0))-1),1),1),1),INDEX(Cables!$AP:$AP,MATCH(G28,Cables!$A:$A,0))-1))):INDEX(Attenuation!$J:$J,(INDEX(Cables!$AO:$AO,MATCH(G28,Cables!$A:$A,0))-1+MIN(MAX(IFERROR(MATCH(LN(E28),INDEX(Attenuation!$J:$J,INDEX(Cables!$AO:$AO,MATCH(G28,Cables!$A:$A,0))):INDEX(Attenuation!$J:$J,INDEX(Cables!$AO:$AO,MATCH(G28,Cables!$A:$A,0))+INDEX(Cables!$AP:$AP,MATCH(G28,Cables!$A:$A,0))-1),1),1),1),INDEX(Cables!$AP:$AP,MATCH(G28,Cables!$A:$A,0))-1))+1)))*0.3048)</f>
        <v>8.5884434845374624</v>
      </c>
      <c r="J28" s="44">
        <f t="shared" si="0"/>
        <v>-0.13837705128724687</v>
      </c>
      <c r="K28" s="40" t="str">
        <f>IF(G28="","Doğrulanmadı",IF(ABS(J28)&lt;=0.1,"Uyumlu (±%10)",IF(ABS(J28)&lt;=0.25,"Fark %10-25","Fark &gt;%25"))&amp;IF(OR(D28&lt;INDEX(Cables!$AQ:$AQ,MATCH(G28,Cables!$A:$A,0)),E28&gt;INDEX(Cables!$AR:$AR,MATCH(G28,Cables!$A:$A,0)))," · ekstrapolasyon",""))</f>
        <v>Fark %10-25</v>
      </c>
    </row>
    <row r="29" spans="1:11" x14ac:dyDescent="0.25">
      <c r="A29" s="37" t="s">
        <v>2965</v>
      </c>
      <c r="B29" s="40" t="str">
        <f>INDEX(Legacy_Index!$D:$D,MATCH(A29,Legacy_Index!$A:$A,0))</f>
        <v>RG58C/U</v>
      </c>
      <c r="C29" s="37" t="s">
        <v>3115</v>
      </c>
      <c r="D29" s="37">
        <v>400</v>
      </c>
      <c r="E29" s="37">
        <v>520</v>
      </c>
      <c r="F29" s="37">
        <v>11.5</v>
      </c>
      <c r="G29" s="40" t="str">
        <f>IF(INDEX(Legacy_Index!$G:$G,MATCH(A29,Legacy_Index!$A:$A,0))="","",INDEX(Legacy_Index!$G:$G,MATCH(A29,Legacy_Index!$A:$A,0)))</f>
        <v>BEL-8259</v>
      </c>
      <c r="H29" s="43">
        <f>IF(G29="","",EXP(FORECAST(LN(D29),INDEX(Attenuation!$K:$K,(INDEX(Cables!$AO:$AO,MATCH(G29,Cables!$A:$A,0))-1+MIN(MAX(IFERROR(MATCH(LN(D29),INDEX(Attenuation!$J:$J,INDEX(Cables!$AO:$AO,MATCH(G29,Cables!$A:$A,0))):INDEX(Attenuation!$J:$J,INDEX(Cables!$AO:$AO,MATCH(G29,Cables!$A:$A,0))+INDEX(Cables!$AP:$AP,MATCH(G29,Cables!$A:$A,0))-1),1),1),1),INDEX(Cables!$AP:$AP,MATCH(G29,Cables!$A:$A,0))-1))):INDEX(Attenuation!$K:$K,(INDEX(Cables!$AO:$AO,MATCH(G29,Cables!$A:$A,0))-1+MIN(MAX(IFERROR(MATCH(LN(D29),INDEX(Attenuation!$J:$J,INDEX(Cables!$AO:$AO,MATCH(G29,Cables!$A:$A,0))):INDEX(Attenuation!$J:$J,INDEX(Cables!$AO:$AO,MATCH(G29,Cables!$A:$A,0))+INDEX(Cables!$AP:$AP,MATCH(G29,Cables!$A:$A,0))-1),1),1),1),INDEX(Cables!$AP:$AP,MATCH(G29,Cables!$A:$A,0))-1))+1),INDEX(Attenuation!$J:$J,(INDEX(Cables!$AO:$AO,MATCH(G29,Cables!$A:$A,0))-1+MIN(MAX(IFERROR(MATCH(LN(D29),INDEX(Attenuation!$J:$J,INDEX(Cables!$AO:$AO,MATCH(G29,Cables!$A:$A,0))):INDEX(Attenuation!$J:$J,INDEX(Cables!$AO:$AO,MATCH(G29,Cables!$A:$A,0))+INDEX(Cables!$AP:$AP,MATCH(G29,Cables!$A:$A,0))-1),1),1),1),INDEX(Cables!$AP:$AP,MATCH(G29,Cables!$A:$A,0))-1))):INDEX(Attenuation!$J:$J,(INDEX(Cables!$AO:$AO,MATCH(G29,Cables!$A:$A,0))-1+MIN(MAX(IFERROR(MATCH(LN(D29),INDEX(Attenuation!$J:$J,INDEX(Cables!$AO:$AO,MATCH(G29,Cables!$A:$A,0))):INDEX(Attenuation!$J:$J,INDEX(Cables!$AO:$AO,MATCH(G29,Cables!$A:$A,0))+INDEX(Cables!$AP:$AP,MATCH(G29,Cables!$A:$A,0))-1),1),1),1),INDEX(Cables!$AP:$AP,MATCH(G29,Cables!$A:$A,0))-1))+1)))*0.3048)</f>
        <v>12.399999999999999</v>
      </c>
      <c r="I29" s="43">
        <f>IF(G29="","",EXP(FORECAST(LN(E29),INDEX(Attenuation!$K:$K,(INDEX(Cables!$AO:$AO,MATCH(G29,Cables!$A:$A,0))-1+MIN(MAX(IFERROR(MATCH(LN(E29),INDEX(Attenuation!$J:$J,INDEX(Cables!$AO:$AO,MATCH(G29,Cables!$A:$A,0))):INDEX(Attenuation!$J:$J,INDEX(Cables!$AO:$AO,MATCH(G29,Cables!$A:$A,0))+INDEX(Cables!$AP:$AP,MATCH(G29,Cables!$A:$A,0))-1),1),1),1),INDEX(Cables!$AP:$AP,MATCH(G29,Cables!$A:$A,0))-1))):INDEX(Attenuation!$K:$K,(INDEX(Cables!$AO:$AO,MATCH(G29,Cables!$A:$A,0))-1+MIN(MAX(IFERROR(MATCH(LN(E29),INDEX(Attenuation!$J:$J,INDEX(Cables!$AO:$AO,MATCH(G29,Cables!$A:$A,0))):INDEX(Attenuation!$J:$J,INDEX(Cables!$AO:$AO,MATCH(G29,Cables!$A:$A,0))+INDEX(Cables!$AP:$AP,MATCH(G29,Cables!$A:$A,0))-1),1),1),1),INDEX(Cables!$AP:$AP,MATCH(G29,Cables!$A:$A,0))-1))+1),INDEX(Attenuation!$J:$J,(INDEX(Cables!$AO:$AO,MATCH(G29,Cables!$A:$A,0))-1+MIN(MAX(IFERROR(MATCH(LN(E29),INDEX(Attenuation!$J:$J,INDEX(Cables!$AO:$AO,MATCH(G29,Cables!$A:$A,0))):INDEX(Attenuation!$J:$J,INDEX(Cables!$AO:$AO,MATCH(G29,Cables!$A:$A,0))+INDEX(Cables!$AP:$AP,MATCH(G29,Cables!$A:$A,0))-1),1),1),1),INDEX(Cables!$AP:$AP,MATCH(G29,Cables!$A:$A,0))-1))):INDEX(Attenuation!$J:$J,(INDEX(Cables!$AO:$AO,MATCH(G29,Cables!$A:$A,0))-1+MIN(MAX(IFERROR(MATCH(LN(E29),INDEX(Attenuation!$J:$J,INDEX(Cables!$AO:$AO,MATCH(G29,Cables!$A:$A,0))):INDEX(Attenuation!$J:$J,INDEX(Cables!$AO:$AO,MATCH(G29,Cables!$A:$A,0))+INDEX(Cables!$AP:$AP,MATCH(G29,Cables!$A:$A,0))-1),1),1),1),INDEX(Cables!$AP:$AP,MATCH(G29,Cables!$A:$A,0))-1))+1)))*0.3048)</f>
        <v>14.651429207595084</v>
      </c>
      <c r="J29" s="44">
        <f t="shared" si="0"/>
        <v>-7.2580645161290258E-2</v>
      </c>
      <c r="K29" s="40" t="str">
        <f>IF(G29="","Doğrulanmadı",IF(ABS(J29)&lt;=0.1,"Uyumlu (±%10)",IF(ABS(J29)&lt;=0.25,"Fark %10-25","Fark &gt;%25"))&amp;IF(OR(D29&lt;INDEX(Cables!$AQ:$AQ,MATCH(G29,Cables!$A:$A,0)),E29&gt;INDEX(Cables!$AR:$AR,MATCH(G29,Cables!$A:$A,0)))," · ekstrapolasyon",""))</f>
        <v>Uyumlu (±%10)</v>
      </c>
    </row>
    <row r="30" spans="1:11" x14ac:dyDescent="0.25">
      <c r="A30" s="37" t="s">
        <v>2965</v>
      </c>
      <c r="B30" s="40" t="str">
        <f>INDEX(Legacy_Index!$D:$D,MATCH(A30,Legacy_Index!$A:$A,0))</f>
        <v>RG58C/U</v>
      </c>
      <c r="C30" s="37" t="s">
        <v>3116</v>
      </c>
      <c r="D30" s="37">
        <v>700</v>
      </c>
      <c r="E30" s="37">
        <v>960</v>
      </c>
      <c r="F30" s="37">
        <v>18.2</v>
      </c>
      <c r="G30" s="40" t="str">
        <f>IF(INDEX(Legacy_Index!$G:$G,MATCH(A30,Legacy_Index!$A:$A,0))="","",INDEX(Legacy_Index!$G:$G,MATCH(A30,Legacy_Index!$A:$A,0)))</f>
        <v>BEL-8259</v>
      </c>
      <c r="H30" s="43">
        <f>IF(G30="","",EXP(FORECAST(LN(D30),INDEX(Attenuation!$K:$K,(INDEX(Cables!$AO:$AO,MATCH(G30,Cables!$A:$A,0))-1+MIN(MAX(IFERROR(MATCH(LN(D30),INDEX(Attenuation!$J:$J,INDEX(Cables!$AO:$AO,MATCH(G30,Cables!$A:$A,0))):INDEX(Attenuation!$J:$J,INDEX(Cables!$AO:$AO,MATCH(G30,Cables!$A:$A,0))+INDEX(Cables!$AP:$AP,MATCH(G30,Cables!$A:$A,0))-1),1),1),1),INDEX(Cables!$AP:$AP,MATCH(G30,Cables!$A:$A,0))-1))):INDEX(Attenuation!$K:$K,(INDEX(Cables!$AO:$AO,MATCH(G30,Cables!$A:$A,0))-1+MIN(MAX(IFERROR(MATCH(LN(D30),INDEX(Attenuation!$J:$J,INDEX(Cables!$AO:$AO,MATCH(G30,Cables!$A:$A,0))):INDEX(Attenuation!$J:$J,INDEX(Cables!$AO:$AO,MATCH(G30,Cables!$A:$A,0))+INDEX(Cables!$AP:$AP,MATCH(G30,Cables!$A:$A,0))-1),1),1),1),INDEX(Cables!$AP:$AP,MATCH(G30,Cables!$A:$A,0))-1))+1),INDEX(Attenuation!$J:$J,(INDEX(Cables!$AO:$AO,MATCH(G30,Cables!$A:$A,0))-1+MIN(MAX(IFERROR(MATCH(LN(D30),INDEX(Attenuation!$J:$J,INDEX(Cables!$AO:$AO,MATCH(G30,Cables!$A:$A,0))):INDEX(Attenuation!$J:$J,INDEX(Cables!$AO:$AO,MATCH(G30,Cables!$A:$A,0))+INDEX(Cables!$AP:$AP,MATCH(G30,Cables!$A:$A,0))-1),1),1),1),INDEX(Cables!$AP:$AP,MATCH(G30,Cables!$A:$A,0))-1))):INDEX(Attenuation!$J:$J,(INDEX(Cables!$AO:$AO,MATCH(G30,Cables!$A:$A,0))-1+MIN(MAX(IFERROR(MATCH(LN(D30),INDEX(Attenuation!$J:$J,INDEX(Cables!$AO:$AO,MATCH(G30,Cables!$A:$A,0))):INDEX(Attenuation!$J:$J,INDEX(Cables!$AO:$AO,MATCH(G30,Cables!$A:$A,0))+INDEX(Cables!$AP:$AP,MATCH(G30,Cables!$A:$A,0))-1),1),1),1),INDEX(Cables!$AP:$AP,MATCH(G30,Cables!$A:$A,0))-1))+1)))*0.3048)</f>
        <v>17.7</v>
      </c>
      <c r="I30" s="43">
        <f>IF(G30="","",EXP(FORECAST(LN(E30),INDEX(Attenuation!$K:$K,(INDEX(Cables!$AO:$AO,MATCH(G30,Cables!$A:$A,0))-1+MIN(MAX(IFERROR(MATCH(LN(E30),INDEX(Attenuation!$J:$J,INDEX(Cables!$AO:$AO,MATCH(G30,Cables!$A:$A,0))):INDEX(Attenuation!$J:$J,INDEX(Cables!$AO:$AO,MATCH(G30,Cables!$A:$A,0))+INDEX(Cables!$AP:$AP,MATCH(G30,Cables!$A:$A,0))-1),1),1),1),INDEX(Cables!$AP:$AP,MATCH(G30,Cables!$A:$A,0))-1))):INDEX(Attenuation!$K:$K,(INDEX(Cables!$AO:$AO,MATCH(G30,Cables!$A:$A,0))-1+MIN(MAX(IFERROR(MATCH(LN(E30),INDEX(Attenuation!$J:$J,INDEX(Cables!$AO:$AO,MATCH(G30,Cables!$A:$A,0))):INDEX(Attenuation!$J:$J,INDEX(Cables!$AO:$AO,MATCH(G30,Cables!$A:$A,0))+INDEX(Cables!$AP:$AP,MATCH(G30,Cables!$A:$A,0))-1),1),1),1),INDEX(Cables!$AP:$AP,MATCH(G30,Cables!$A:$A,0))-1))+1),INDEX(Attenuation!$J:$J,(INDEX(Cables!$AO:$AO,MATCH(G30,Cables!$A:$A,0))-1+MIN(MAX(IFERROR(MATCH(LN(E30),INDEX(Attenuation!$J:$J,INDEX(Cables!$AO:$AO,MATCH(G30,Cables!$A:$A,0))):INDEX(Attenuation!$J:$J,INDEX(Cables!$AO:$AO,MATCH(G30,Cables!$A:$A,0))+INDEX(Cables!$AP:$AP,MATCH(G30,Cables!$A:$A,0))-1),1),1),1),INDEX(Cables!$AP:$AP,MATCH(G30,Cables!$A:$A,0))-1))):INDEX(Attenuation!$J:$J,(INDEX(Cables!$AO:$AO,MATCH(G30,Cables!$A:$A,0))-1+MIN(MAX(IFERROR(MATCH(LN(E30),INDEX(Attenuation!$J:$J,INDEX(Cables!$AO:$AO,MATCH(G30,Cables!$A:$A,0))):INDEX(Attenuation!$J:$J,INDEX(Cables!$AO:$AO,MATCH(G30,Cables!$A:$A,0))+INDEX(Cables!$AP:$AP,MATCH(G30,Cables!$A:$A,0))-1),1),1),1),INDEX(Cables!$AP:$AP,MATCH(G30,Cables!$A:$A,0))-1))+1)))*0.3048)</f>
        <v>22.125658644713063</v>
      </c>
      <c r="J30" s="44">
        <f t="shared" si="0"/>
        <v>0</v>
      </c>
      <c r="K30" s="40" t="str">
        <f>IF(G30="","Doğrulanmadı",IF(ABS(J30)&lt;=0.1,"Uyumlu (±%10)",IF(ABS(J30)&lt;=0.25,"Fark %10-25","Fark &gt;%25"))&amp;IF(OR(D30&lt;INDEX(Cables!$AQ:$AQ,MATCH(G30,Cables!$A:$A,0)),E30&gt;INDEX(Cables!$AR:$AR,MATCH(G30,Cables!$A:$A,0)))," · ekstrapolasyon",""))</f>
        <v>Uyumlu (±%10)</v>
      </c>
    </row>
    <row r="31" spans="1:11" x14ac:dyDescent="0.25">
      <c r="A31" s="37" t="s">
        <v>2965</v>
      </c>
      <c r="B31" s="40" t="str">
        <f>INDEX(Legacy_Index!$D:$D,MATCH(A31,Legacy_Index!$A:$A,0))</f>
        <v>RG58C/U</v>
      </c>
      <c r="C31" s="37" t="s">
        <v>3120</v>
      </c>
      <c r="D31" s="37">
        <v>1200</v>
      </c>
      <c r="E31" s="37">
        <v>1300</v>
      </c>
      <c r="F31" s="37">
        <v>21.1</v>
      </c>
      <c r="G31" s="40" t="str">
        <f>IF(INDEX(Legacy_Index!$G:$G,MATCH(A31,Legacy_Index!$A:$A,0))="","",INDEX(Legacy_Index!$G:$G,MATCH(A31,Legacy_Index!$A:$A,0)))</f>
        <v>BEL-8259</v>
      </c>
      <c r="H31" s="43">
        <f>IF(G31="","",EXP(FORECAST(LN(D31),INDEX(Attenuation!$K:$K,(INDEX(Cables!$AO:$AO,MATCH(G31,Cables!$A:$A,0))-1+MIN(MAX(IFERROR(MATCH(LN(D31),INDEX(Attenuation!$J:$J,INDEX(Cables!$AO:$AO,MATCH(G31,Cables!$A:$A,0))):INDEX(Attenuation!$J:$J,INDEX(Cables!$AO:$AO,MATCH(G31,Cables!$A:$A,0))+INDEX(Cables!$AP:$AP,MATCH(G31,Cables!$A:$A,0))-1),1),1),1),INDEX(Cables!$AP:$AP,MATCH(G31,Cables!$A:$A,0))-1))):INDEX(Attenuation!$K:$K,(INDEX(Cables!$AO:$AO,MATCH(G31,Cables!$A:$A,0))-1+MIN(MAX(IFERROR(MATCH(LN(D31),INDEX(Attenuation!$J:$J,INDEX(Cables!$AO:$AO,MATCH(G31,Cables!$A:$A,0))):INDEX(Attenuation!$J:$J,INDEX(Cables!$AO:$AO,MATCH(G31,Cables!$A:$A,0))+INDEX(Cables!$AP:$AP,MATCH(G31,Cables!$A:$A,0))-1),1),1),1),INDEX(Cables!$AP:$AP,MATCH(G31,Cables!$A:$A,0))-1))+1),INDEX(Attenuation!$J:$J,(INDEX(Cables!$AO:$AO,MATCH(G31,Cables!$A:$A,0))-1+MIN(MAX(IFERROR(MATCH(LN(D31),INDEX(Attenuation!$J:$J,INDEX(Cables!$AO:$AO,MATCH(G31,Cables!$A:$A,0))):INDEX(Attenuation!$J:$J,INDEX(Cables!$AO:$AO,MATCH(G31,Cables!$A:$A,0))+INDEX(Cables!$AP:$AP,MATCH(G31,Cables!$A:$A,0))-1),1),1),1),INDEX(Cables!$AP:$AP,MATCH(G31,Cables!$A:$A,0))-1))):INDEX(Attenuation!$J:$J,(INDEX(Cables!$AO:$AO,MATCH(G31,Cables!$A:$A,0))-1+MIN(MAX(IFERROR(MATCH(LN(D31),INDEX(Attenuation!$J:$J,INDEX(Cables!$AO:$AO,MATCH(G31,Cables!$A:$A,0))):INDEX(Attenuation!$J:$J,INDEX(Cables!$AO:$AO,MATCH(G31,Cables!$A:$A,0))+INDEX(Cables!$AP:$AP,MATCH(G31,Cables!$A:$A,0))-1),1),1),1),INDEX(Cables!$AP:$AP,MATCH(G31,Cables!$A:$A,0))-1))+1)))*0.3048)</f>
        <v>26.071665335386911</v>
      </c>
      <c r="I31" s="43">
        <f>IF(G31="","",EXP(FORECAST(LN(E31),INDEX(Attenuation!$K:$K,(INDEX(Cables!$AO:$AO,MATCH(G31,Cables!$A:$A,0))-1+MIN(MAX(IFERROR(MATCH(LN(E31),INDEX(Attenuation!$J:$J,INDEX(Cables!$AO:$AO,MATCH(G31,Cables!$A:$A,0))):INDEX(Attenuation!$J:$J,INDEX(Cables!$AO:$AO,MATCH(G31,Cables!$A:$A,0))+INDEX(Cables!$AP:$AP,MATCH(G31,Cables!$A:$A,0))-1),1),1),1),INDEX(Cables!$AP:$AP,MATCH(G31,Cables!$A:$A,0))-1))):INDEX(Attenuation!$K:$K,(INDEX(Cables!$AO:$AO,MATCH(G31,Cables!$A:$A,0))-1+MIN(MAX(IFERROR(MATCH(LN(E31),INDEX(Attenuation!$J:$J,INDEX(Cables!$AO:$AO,MATCH(G31,Cables!$A:$A,0))):INDEX(Attenuation!$J:$J,INDEX(Cables!$AO:$AO,MATCH(G31,Cables!$A:$A,0))+INDEX(Cables!$AP:$AP,MATCH(G31,Cables!$A:$A,0))-1),1),1),1),INDEX(Cables!$AP:$AP,MATCH(G31,Cables!$A:$A,0))-1))+1),INDEX(Attenuation!$J:$J,(INDEX(Cables!$AO:$AO,MATCH(G31,Cables!$A:$A,0))-1+MIN(MAX(IFERROR(MATCH(LN(E31),INDEX(Attenuation!$J:$J,INDEX(Cables!$AO:$AO,MATCH(G31,Cables!$A:$A,0))):INDEX(Attenuation!$J:$J,INDEX(Cables!$AO:$AO,MATCH(G31,Cables!$A:$A,0))+INDEX(Cables!$AP:$AP,MATCH(G31,Cables!$A:$A,0))-1),1),1),1),INDEX(Cables!$AP:$AP,MATCH(G31,Cables!$A:$A,0))-1))):INDEX(Attenuation!$J:$J,(INDEX(Cables!$AO:$AO,MATCH(G31,Cables!$A:$A,0))-1+MIN(MAX(IFERROR(MATCH(LN(E31),INDEX(Attenuation!$J:$J,INDEX(Cables!$AO:$AO,MATCH(G31,Cables!$A:$A,0))):INDEX(Attenuation!$J:$J,INDEX(Cables!$AO:$AO,MATCH(G31,Cables!$A:$A,0))+INDEX(Cables!$AP:$AP,MATCH(G31,Cables!$A:$A,0))-1),1),1),1),INDEX(Cables!$AP:$AP,MATCH(G31,Cables!$A:$A,0))-1))+1)))*0.3048)</f>
        <v>27.652512555270132</v>
      </c>
      <c r="J31" s="44">
        <f t="shared" si="0"/>
        <v>-0.19069228111941505</v>
      </c>
      <c r="K31" s="40" t="str">
        <f>IF(G31="","Doğrulanmadı",IF(ABS(J31)&lt;=0.1,"Uyumlu (±%10)",IF(ABS(J31)&lt;=0.25,"Fark %10-25","Fark &gt;%25"))&amp;IF(OR(D31&lt;INDEX(Cables!$AQ:$AQ,MATCH(G31,Cables!$A:$A,0)),E31&gt;INDEX(Cables!$AR:$AR,MATCH(G31,Cables!$A:$A,0)))," · ekstrapolasyon",""))</f>
        <v>Fark %10-25 · ekstrapolasyon</v>
      </c>
    </row>
    <row r="32" spans="1:11" x14ac:dyDescent="0.25">
      <c r="A32" s="37" t="s">
        <v>2965</v>
      </c>
      <c r="B32" s="40" t="str">
        <f>INDEX(Legacy_Index!$D:$D,MATCH(A32,Legacy_Index!$A:$A,0))</f>
        <v>RG58C/U</v>
      </c>
      <c r="C32" s="37" t="s">
        <v>3121</v>
      </c>
      <c r="D32" s="37">
        <v>2400</v>
      </c>
      <c r="E32" s="37">
        <v>2500</v>
      </c>
      <c r="F32" s="37">
        <v>32.200000000000003</v>
      </c>
      <c r="G32" s="40" t="str">
        <f>IF(INDEX(Legacy_Index!$G:$G,MATCH(A32,Legacy_Index!$A:$A,0))="","",INDEX(Legacy_Index!$G:$G,MATCH(A32,Legacy_Index!$A:$A,0)))</f>
        <v>BEL-8259</v>
      </c>
      <c r="H32" s="43">
        <f>IF(G32="","",EXP(FORECAST(LN(D32),INDEX(Attenuation!$K:$K,(INDEX(Cables!$AO:$AO,MATCH(G32,Cables!$A:$A,0))-1+MIN(MAX(IFERROR(MATCH(LN(D32),INDEX(Attenuation!$J:$J,INDEX(Cables!$AO:$AO,MATCH(G32,Cables!$A:$A,0))):INDEX(Attenuation!$J:$J,INDEX(Cables!$AO:$AO,MATCH(G32,Cables!$A:$A,0))+INDEX(Cables!$AP:$AP,MATCH(G32,Cables!$A:$A,0))-1),1),1),1),INDEX(Cables!$AP:$AP,MATCH(G32,Cables!$A:$A,0))-1))):INDEX(Attenuation!$K:$K,(INDEX(Cables!$AO:$AO,MATCH(G32,Cables!$A:$A,0))-1+MIN(MAX(IFERROR(MATCH(LN(D32),INDEX(Attenuation!$J:$J,INDEX(Cables!$AO:$AO,MATCH(G32,Cables!$A:$A,0))):INDEX(Attenuation!$J:$J,INDEX(Cables!$AO:$AO,MATCH(G32,Cables!$A:$A,0))+INDEX(Cables!$AP:$AP,MATCH(G32,Cables!$A:$A,0))-1),1),1),1),INDEX(Cables!$AP:$AP,MATCH(G32,Cables!$A:$A,0))-1))+1),INDEX(Attenuation!$J:$J,(INDEX(Cables!$AO:$AO,MATCH(G32,Cables!$A:$A,0))-1+MIN(MAX(IFERROR(MATCH(LN(D32),INDEX(Attenuation!$J:$J,INDEX(Cables!$AO:$AO,MATCH(G32,Cables!$A:$A,0))):INDEX(Attenuation!$J:$J,INDEX(Cables!$AO:$AO,MATCH(G32,Cables!$A:$A,0))+INDEX(Cables!$AP:$AP,MATCH(G32,Cables!$A:$A,0))-1),1),1),1),INDEX(Cables!$AP:$AP,MATCH(G32,Cables!$A:$A,0))-1))):INDEX(Attenuation!$J:$J,(INDEX(Cables!$AO:$AO,MATCH(G32,Cables!$A:$A,0))-1+MIN(MAX(IFERROR(MATCH(LN(D32),INDEX(Attenuation!$J:$J,INDEX(Cables!$AO:$AO,MATCH(G32,Cables!$A:$A,0))):INDEX(Attenuation!$J:$J,INDEX(Cables!$AO:$AO,MATCH(G32,Cables!$A:$A,0))+INDEX(Cables!$AP:$AP,MATCH(G32,Cables!$A:$A,0))-1),1),1),1),INDEX(Cables!$AP:$AP,MATCH(G32,Cables!$A:$A,0))-1))+1)))*0.3048)</f>
        <v>43.407180858432405</v>
      </c>
      <c r="I32" s="43">
        <f>IF(G32="","",EXP(FORECAST(LN(E32),INDEX(Attenuation!$K:$K,(INDEX(Cables!$AO:$AO,MATCH(G32,Cables!$A:$A,0))-1+MIN(MAX(IFERROR(MATCH(LN(E32),INDEX(Attenuation!$J:$J,INDEX(Cables!$AO:$AO,MATCH(G32,Cables!$A:$A,0))):INDEX(Attenuation!$J:$J,INDEX(Cables!$AO:$AO,MATCH(G32,Cables!$A:$A,0))+INDEX(Cables!$AP:$AP,MATCH(G32,Cables!$A:$A,0))-1),1),1),1),INDEX(Cables!$AP:$AP,MATCH(G32,Cables!$A:$A,0))-1))):INDEX(Attenuation!$K:$K,(INDEX(Cables!$AO:$AO,MATCH(G32,Cables!$A:$A,0))-1+MIN(MAX(IFERROR(MATCH(LN(E32),INDEX(Attenuation!$J:$J,INDEX(Cables!$AO:$AO,MATCH(G32,Cables!$A:$A,0))):INDEX(Attenuation!$J:$J,INDEX(Cables!$AO:$AO,MATCH(G32,Cables!$A:$A,0))+INDEX(Cables!$AP:$AP,MATCH(G32,Cables!$A:$A,0))-1),1),1),1),INDEX(Cables!$AP:$AP,MATCH(G32,Cables!$A:$A,0))-1))+1),INDEX(Attenuation!$J:$J,(INDEX(Cables!$AO:$AO,MATCH(G32,Cables!$A:$A,0))-1+MIN(MAX(IFERROR(MATCH(LN(E32),INDEX(Attenuation!$J:$J,INDEX(Cables!$AO:$AO,MATCH(G32,Cables!$A:$A,0))):INDEX(Attenuation!$J:$J,INDEX(Cables!$AO:$AO,MATCH(G32,Cables!$A:$A,0))+INDEX(Cables!$AP:$AP,MATCH(G32,Cables!$A:$A,0))-1),1),1),1),INDEX(Cables!$AP:$AP,MATCH(G32,Cables!$A:$A,0))-1))):INDEX(Attenuation!$J:$J,(INDEX(Cables!$AO:$AO,MATCH(G32,Cables!$A:$A,0))-1+MIN(MAX(IFERROR(MATCH(LN(E32),INDEX(Attenuation!$J:$J,INDEX(Cables!$AO:$AO,MATCH(G32,Cables!$A:$A,0))):INDEX(Attenuation!$J:$J,INDEX(Cables!$AO:$AO,MATCH(G32,Cables!$A:$A,0))+INDEX(Cables!$AP:$AP,MATCH(G32,Cables!$A:$A,0))-1),1),1),1),INDEX(Cables!$AP:$AP,MATCH(G32,Cables!$A:$A,0))-1))+1)))*0.3048)</f>
        <v>44.730136149359055</v>
      </c>
      <c r="J32" s="44">
        <f t="shared" si="0"/>
        <v>-0.25818725466146608</v>
      </c>
      <c r="K32" s="40" t="str">
        <f>IF(G32="","Doğrulanmadı",IF(ABS(J32)&lt;=0.1,"Uyumlu (±%10)",IF(ABS(J32)&lt;=0.25,"Fark %10-25","Fark &gt;%25"))&amp;IF(OR(D32&lt;INDEX(Cables!$AQ:$AQ,MATCH(G32,Cables!$A:$A,0)),E32&gt;INDEX(Cables!$AR:$AR,MATCH(G32,Cables!$A:$A,0)))," · ekstrapolasyon",""))</f>
        <v>Fark &gt;%25 · ekstrapolasyon</v>
      </c>
    </row>
    <row r="33" spans="1:11" x14ac:dyDescent="0.25">
      <c r="A33" s="37" t="s">
        <v>2965</v>
      </c>
      <c r="B33" s="40" t="str">
        <f>INDEX(Legacy_Index!$D:$D,MATCH(A33,Legacy_Index!$A:$A,0))</f>
        <v>RG58C/U</v>
      </c>
      <c r="C33" s="37" t="s">
        <v>3122</v>
      </c>
      <c r="D33" s="37">
        <v>5725</v>
      </c>
      <c r="E33" s="37">
        <v>5875</v>
      </c>
      <c r="F33" s="37">
        <v>51.6</v>
      </c>
      <c r="G33" s="40" t="str">
        <f>IF(INDEX(Legacy_Index!$G:$G,MATCH(A33,Legacy_Index!$A:$A,0))="","",INDEX(Legacy_Index!$G:$G,MATCH(A33,Legacy_Index!$A:$A,0)))</f>
        <v>BEL-8259</v>
      </c>
      <c r="H33" s="43">
        <f>IF(G33="","",EXP(FORECAST(LN(D33),INDEX(Attenuation!$K:$K,(INDEX(Cables!$AO:$AO,MATCH(G33,Cables!$A:$A,0))-1+MIN(MAX(IFERROR(MATCH(LN(D33),INDEX(Attenuation!$J:$J,INDEX(Cables!$AO:$AO,MATCH(G33,Cables!$A:$A,0))):INDEX(Attenuation!$J:$J,INDEX(Cables!$AO:$AO,MATCH(G33,Cables!$A:$A,0))+INDEX(Cables!$AP:$AP,MATCH(G33,Cables!$A:$A,0))-1),1),1),1),INDEX(Cables!$AP:$AP,MATCH(G33,Cables!$A:$A,0))-1))):INDEX(Attenuation!$K:$K,(INDEX(Cables!$AO:$AO,MATCH(G33,Cables!$A:$A,0))-1+MIN(MAX(IFERROR(MATCH(LN(D33),INDEX(Attenuation!$J:$J,INDEX(Cables!$AO:$AO,MATCH(G33,Cables!$A:$A,0))):INDEX(Attenuation!$J:$J,INDEX(Cables!$AO:$AO,MATCH(G33,Cables!$A:$A,0))+INDEX(Cables!$AP:$AP,MATCH(G33,Cables!$A:$A,0))-1),1),1),1),INDEX(Cables!$AP:$AP,MATCH(G33,Cables!$A:$A,0))-1))+1),INDEX(Attenuation!$J:$J,(INDEX(Cables!$AO:$AO,MATCH(G33,Cables!$A:$A,0))-1+MIN(MAX(IFERROR(MATCH(LN(D33),INDEX(Attenuation!$J:$J,INDEX(Cables!$AO:$AO,MATCH(G33,Cables!$A:$A,0))):INDEX(Attenuation!$J:$J,INDEX(Cables!$AO:$AO,MATCH(G33,Cables!$A:$A,0))+INDEX(Cables!$AP:$AP,MATCH(G33,Cables!$A:$A,0))-1),1),1),1),INDEX(Cables!$AP:$AP,MATCH(G33,Cables!$A:$A,0))-1))):INDEX(Attenuation!$J:$J,(INDEX(Cables!$AO:$AO,MATCH(G33,Cables!$A:$A,0))-1+MIN(MAX(IFERROR(MATCH(LN(D33),INDEX(Attenuation!$J:$J,INDEX(Cables!$AO:$AO,MATCH(G33,Cables!$A:$A,0))):INDEX(Attenuation!$J:$J,INDEX(Cables!$AO:$AO,MATCH(G33,Cables!$A:$A,0))+INDEX(Cables!$AP:$AP,MATCH(G33,Cables!$A:$A,0))-1),1),1),1),INDEX(Cables!$AP:$AP,MATCH(G33,Cables!$A:$A,0))-1))+1)))*0.3048)</f>
        <v>82.270015961654266</v>
      </c>
      <c r="I33" s="43">
        <f>IF(G33="","",EXP(FORECAST(LN(E33),INDEX(Attenuation!$K:$K,(INDEX(Cables!$AO:$AO,MATCH(G33,Cables!$A:$A,0))-1+MIN(MAX(IFERROR(MATCH(LN(E33),INDEX(Attenuation!$J:$J,INDEX(Cables!$AO:$AO,MATCH(G33,Cables!$A:$A,0))):INDEX(Attenuation!$J:$J,INDEX(Cables!$AO:$AO,MATCH(G33,Cables!$A:$A,0))+INDEX(Cables!$AP:$AP,MATCH(G33,Cables!$A:$A,0))-1),1),1),1),INDEX(Cables!$AP:$AP,MATCH(G33,Cables!$A:$A,0))-1))):INDEX(Attenuation!$K:$K,(INDEX(Cables!$AO:$AO,MATCH(G33,Cables!$A:$A,0))-1+MIN(MAX(IFERROR(MATCH(LN(E33),INDEX(Attenuation!$J:$J,INDEX(Cables!$AO:$AO,MATCH(G33,Cables!$A:$A,0))):INDEX(Attenuation!$J:$J,INDEX(Cables!$AO:$AO,MATCH(G33,Cables!$A:$A,0))+INDEX(Cables!$AP:$AP,MATCH(G33,Cables!$A:$A,0))-1),1),1),1),INDEX(Cables!$AP:$AP,MATCH(G33,Cables!$A:$A,0))-1))+1),INDEX(Attenuation!$J:$J,(INDEX(Cables!$AO:$AO,MATCH(G33,Cables!$A:$A,0))-1+MIN(MAX(IFERROR(MATCH(LN(E33),INDEX(Attenuation!$J:$J,INDEX(Cables!$AO:$AO,MATCH(G33,Cables!$A:$A,0))):INDEX(Attenuation!$J:$J,INDEX(Cables!$AO:$AO,MATCH(G33,Cables!$A:$A,0))+INDEX(Cables!$AP:$AP,MATCH(G33,Cables!$A:$A,0))-1),1),1),1),INDEX(Cables!$AP:$AP,MATCH(G33,Cables!$A:$A,0))-1))):INDEX(Attenuation!$J:$J,(INDEX(Cables!$AO:$AO,MATCH(G33,Cables!$A:$A,0))-1+MIN(MAX(IFERROR(MATCH(LN(E33),INDEX(Attenuation!$J:$J,INDEX(Cables!$AO:$AO,MATCH(G33,Cables!$A:$A,0))):INDEX(Attenuation!$J:$J,INDEX(Cables!$AO:$AO,MATCH(G33,Cables!$A:$A,0))+INDEX(Cables!$AP:$AP,MATCH(G33,Cables!$A:$A,0))-1),1),1),1),INDEX(Cables!$AP:$AP,MATCH(G33,Cables!$A:$A,0))-1))+1)))*0.3048)</f>
        <v>83.849880210161402</v>
      </c>
      <c r="J33" s="44">
        <f t="shared" si="0"/>
        <v>-0.37279700998173426</v>
      </c>
      <c r="K33" s="40" t="str">
        <f>IF(G33="","Doğrulanmadı",IF(ABS(J33)&lt;=0.1,"Uyumlu (±%10)",IF(ABS(J33)&lt;=0.25,"Fark %10-25","Fark &gt;%25"))&amp;IF(OR(D33&lt;INDEX(Cables!$AQ:$AQ,MATCH(G33,Cables!$A:$A,0)),E33&gt;INDEX(Cables!$AR:$AR,MATCH(G33,Cables!$A:$A,0)))," · ekstrapolasyon",""))</f>
        <v>Fark &gt;%25 · ekstrapolasyon</v>
      </c>
    </row>
    <row r="34" spans="1:11" x14ac:dyDescent="0.25">
      <c r="A34" s="37" t="s">
        <v>2968</v>
      </c>
      <c r="B34" s="40" t="str">
        <f>INDEX(Legacy_Index!$D:$D,MATCH(A34,Legacy_Index!$A:$A,0))</f>
        <v>RG58 Messi and Paoloni</v>
      </c>
      <c r="C34" s="37" t="s">
        <v>3117</v>
      </c>
      <c r="D34" s="37">
        <v>1</v>
      </c>
      <c r="E34" s="37">
        <v>10</v>
      </c>
      <c r="F34" s="37">
        <v>1</v>
      </c>
      <c r="G34" s="40" t="str">
        <f>IF(INDEX(Legacy_Index!$G:$G,MATCH(A34,Legacy_Index!$A:$A,0))="","",INDEX(Legacy_Index!$G:$G,MATCH(A34,Legacy_Index!$A:$A,0)))</f>
        <v>MP-RG58CU</v>
      </c>
      <c r="H34" s="43">
        <f>IF(G34="","",EXP(FORECAST(LN(D34),INDEX(Attenuation!$K:$K,(INDEX(Cables!$AO:$AO,MATCH(G34,Cables!$A:$A,0))-1+MIN(MAX(IFERROR(MATCH(LN(D34),INDEX(Attenuation!$J:$J,INDEX(Cables!$AO:$AO,MATCH(G34,Cables!$A:$A,0))):INDEX(Attenuation!$J:$J,INDEX(Cables!$AO:$AO,MATCH(G34,Cables!$A:$A,0))+INDEX(Cables!$AP:$AP,MATCH(G34,Cables!$A:$A,0))-1),1),1),1),INDEX(Cables!$AP:$AP,MATCH(G34,Cables!$A:$A,0))-1))):INDEX(Attenuation!$K:$K,(INDEX(Cables!$AO:$AO,MATCH(G34,Cables!$A:$A,0))-1+MIN(MAX(IFERROR(MATCH(LN(D34),INDEX(Attenuation!$J:$J,INDEX(Cables!$AO:$AO,MATCH(G34,Cables!$A:$A,0))):INDEX(Attenuation!$J:$J,INDEX(Cables!$AO:$AO,MATCH(G34,Cables!$A:$A,0))+INDEX(Cables!$AP:$AP,MATCH(G34,Cables!$A:$A,0))-1),1),1),1),INDEX(Cables!$AP:$AP,MATCH(G34,Cables!$A:$A,0))-1))+1),INDEX(Attenuation!$J:$J,(INDEX(Cables!$AO:$AO,MATCH(G34,Cables!$A:$A,0))-1+MIN(MAX(IFERROR(MATCH(LN(D34),INDEX(Attenuation!$J:$J,INDEX(Cables!$AO:$AO,MATCH(G34,Cables!$A:$A,0))):INDEX(Attenuation!$J:$J,INDEX(Cables!$AO:$AO,MATCH(G34,Cables!$A:$A,0))+INDEX(Cables!$AP:$AP,MATCH(G34,Cables!$A:$A,0))-1),1),1),1),INDEX(Cables!$AP:$AP,MATCH(G34,Cables!$A:$A,0))-1))):INDEX(Attenuation!$J:$J,(INDEX(Cables!$AO:$AO,MATCH(G34,Cables!$A:$A,0))-1+MIN(MAX(IFERROR(MATCH(LN(D34),INDEX(Attenuation!$J:$J,INDEX(Cables!$AO:$AO,MATCH(G34,Cables!$A:$A,0))):INDEX(Attenuation!$J:$J,INDEX(Cables!$AO:$AO,MATCH(G34,Cables!$A:$A,0))+INDEX(Cables!$AP:$AP,MATCH(G34,Cables!$A:$A,0))-1),1),1),1),INDEX(Cables!$AP:$AP,MATCH(G34,Cables!$A:$A,0))-1))+1)))*0.3048)</f>
        <v>0.44848865276693922</v>
      </c>
      <c r="I34" s="43">
        <f>IF(G34="","",EXP(FORECAST(LN(E34),INDEX(Attenuation!$K:$K,(INDEX(Cables!$AO:$AO,MATCH(G34,Cables!$A:$A,0))-1+MIN(MAX(IFERROR(MATCH(LN(E34),INDEX(Attenuation!$J:$J,INDEX(Cables!$AO:$AO,MATCH(G34,Cables!$A:$A,0))):INDEX(Attenuation!$J:$J,INDEX(Cables!$AO:$AO,MATCH(G34,Cables!$A:$A,0))+INDEX(Cables!$AP:$AP,MATCH(G34,Cables!$A:$A,0))-1),1),1),1),INDEX(Cables!$AP:$AP,MATCH(G34,Cables!$A:$A,0))-1))):INDEX(Attenuation!$K:$K,(INDEX(Cables!$AO:$AO,MATCH(G34,Cables!$A:$A,0))-1+MIN(MAX(IFERROR(MATCH(LN(E34),INDEX(Attenuation!$J:$J,INDEX(Cables!$AO:$AO,MATCH(G34,Cables!$A:$A,0))):INDEX(Attenuation!$J:$J,INDEX(Cables!$AO:$AO,MATCH(G34,Cables!$A:$A,0))+INDEX(Cables!$AP:$AP,MATCH(G34,Cables!$A:$A,0))-1),1),1),1),INDEX(Cables!$AP:$AP,MATCH(G34,Cables!$A:$A,0))-1))+1),INDEX(Attenuation!$J:$J,(INDEX(Cables!$AO:$AO,MATCH(G34,Cables!$A:$A,0))-1+MIN(MAX(IFERROR(MATCH(LN(E34),INDEX(Attenuation!$J:$J,INDEX(Cables!$AO:$AO,MATCH(G34,Cables!$A:$A,0))):INDEX(Attenuation!$J:$J,INDEX(Cables!$AO:$AO,MATCH(G34,Cables!$A:$A,0))+INDEX(Cables!$AP:$AP,MATCH(G34,Cables!$A:$A,0))-1),1),1),1),INDEX(Cables!$AP:$AP,MATCH(G34,Cables!$A:$A,0))-1))):INDEX(Attenuation!$J:$J,(INDEX(Cables!$AO:$AO,MATCH(G34,Cables!$A:$A,0))-1+MIN(MAX(IFERROR(MATCH(LN(E34),INDEX(Attenuation!$J:$J,INDEX(Cables!$AO:$AO,MATCH(G34,Cables!$A:$A,0))):INDEX(Attenuation!$J:$J,INDEX(Cables!$AO:$AO,MATCH(G34,Cables!$A:$A,0))+INDEX(Cables!$AP:$AP,MATCH(G34,Cables!$A:$A,0))-1),1),1),1),INDEX(Cables!$AP:$AP,MATCH(G34,Cables!$A:$A,0))-1))+1)))*0.3048)</f>
        <v>1.4325600000000005</v>
      </c>
      <c r="J34" s="44">
        <f t="shared" si="0"/>
        <v>0</v>
      </c>
      <c r="K34" s="40" t="str">
        <f>IF(G34="","Doğrulanmadı",IF(ABS(J34)&lt;=0.1,"Uyumlu (±%10)",IF(ABS(J34)&lt;=0.25,"Fark %10-25","Fark &gt;%25"))&amp;IF(OR(D34&lt;INDEX(Cables!$AQ:$AQ,MATCH(G34,Cables!$A:$A,0)),E34&gt;INDEX(Cables!$AR:$AR,MATCH(G34,Cables!$A:$A,0)))," · ekstrapolasyon",""))</f>
        <v>Uyumlu (±%10) · ekstrapolasyon</v>
      </c>
    </row>
    <row r="35" spans="1:11" x14ac:dyDescent="0.25">
      <c r="A35" s="37" t="s">
        <v>2968</v>
      </c>
      <c r="B35" s="40" t="str">
        <f>INDEX(Legacy_Index!$D:$D,MATCH(A35,Legacy_Index!$A:$A,0))</f>
        <v>RG58 Messi and Paoloni</v>
      </c>
      <c r="C35" s="37" t="s">
        <v>3118</v>
      </c>
      <c r="D35" s="37">
        <v>30</v>
      </c>
      <c r="E35" s="37">
        <v>50</v>
      </c>
      <c r="F35" s="37">
        <v>2.8</v>
      </c>
      <c r="G35" s="40" t="str">
        <f>IF(INDEX(Legacy_Index!$G:$G,MATCH(A35,Legacy_Index!$A:$A,0))="","",INDEX(Legacy_Index!$G:$G,MATCH(A35,Legacy_Index!$A:$A,0)))</f>
        <v>MP-RG58CU</v>
      </c>
      <c r="H35" s="43">
        <f>IF(G35="","",EXP(FORECAST(LN(D35),INDEX(Attenuation!$K:$K,(INDEX(Cables!$AO:$AO,MATCH(G35,Cables!$A:$A,0))-1+MIN(MAX(IFERROR(MATCH(LN(D35),INDEX(Attenuation!$J:$J,INDEX(Cables!$AO:$AO,MATCH(G35,Cables!$A:$A,0))):INDEX(Attenuation!$J:$J,INDEX(Cables!$AO:$AO,MATCH(G35,Cables!$A:$A,0))+INDEX(Cables!$AP:$AP,MATCH(G35,Cables!$A:$A,0))-1),1),1),1),INDEX(Cables!$AP:$AP,MATCH(G35,Cables!$A:$A,0))-1))):INDEX(Attenuation!$K:$K,(INDEX(Cables!$AO:$AO,MATCH(G35,Cables!$A:$A,0))-1+MIN(MAX(IFERROR(MATCH(LN(D35),INDEX(Attenuation!$J:$J,INDEX(Cables!$AO:$AO,MATCH(G35,Cables!$A:$A,0))):INDEX(Attenuation!$J:$J,INDEX(Cables!$AO:$AO,MATCH(G35,Cables!$A:$A,0))+INDEX(Cables!$AP:$AP,MATCH(G35,Cables!$A:$A,0))-1),1),1),1),INDEX(Cables!$AP:$AP,MATCH(G35,Cables!$A:$A,0))-1))+1),INDEX(Attenuation!$J:$J,(INDEX(Cables!$AO:$AO,MATCH(G35,Cables!$A:$A,0))-1+MIN(MAX(IFERROR(MATCH(LN(D35),INDEX(Attenuation!$J:$J,INDEX(Cables!$AO:$AO,MATCH(G35,Cables!$A:$A,0))):INDEX(Attenuation!$J:$J,INDEX(Cables!$AO:$AO,MATCH(G35,Cables!$A:$A,0))+INDEX(Cables!$AP:$AP,MATCH(G35,Cables!$A:$A,0))-1),1),1),1),INDEX(Cables!$AP:$AP,MATCH(G35,Cables!$A:$A,0))-1))):INDEX(Attenuation!$J:$J,(INDEX(Cables!$AO:$AO,MATCH(G35,Cables!$A:$A,0))-1+MIN(MAX(IFERROR(MATCH(LN(D35),INDEX(Attenuation!$J:$J,INDEX(Cables!$AO:$AO,MATCH(G35,Cables!$A:$A,0))):INDEX(Attenuation!$J:$J,INDEX(Cables!$AO:$AO,MATCH(G35,Cables!$A:$A,0))+INDEX(Cables!$AP:$AP,MATCH(G35,Cables!$A:$A,0))-1),1),1),1),INDEX(Cables!$AP:$AP,MATCH(G35,Cables!$A:$A,0))-1))+1)))*0.3048)</f>
        <v>2.4991974091167273</v>
      </c>
      <c r="I35" s="43">
        <f>IF(G35="","",EXP(FORECAST(LN(E35),INDEX(Attenuation!$K:$K,(INDEX(Cables!$AO:$AO,MATCH(G35,Cables!$A:$A,0))-1+MIN(MAX(IFERROR(MATCH(LN(E35),INDEX(Attenuation!$J:$J,INDEX(Cables!$AO:$AO,MATCH(G35,Cables!$A:$A,0))):INDEX(Attenuation!$J:$J,INDEX(Cables!$AO:$AO,MATCH(G35,Cables!$A:$A,0))+INDEX(Cables!$AP:$AP,MATCH(G35,Cables!$A:$A,0))-1),1),1),1),INDEX(Cables!$AP:$AP,MATCH(G35,Cables!$A:$A,0))-1))):INDEX(Attenuation!$K:$K,(INDEX(Cables!$AO:$AO,MATCH(G35,Cables!$A:$A,0))-1+MIN(MAX(IFERROR(MATCH(LN(E35),INDEX(Attenuation!$J:$J,INDEX(Cables!$AO:$AO,MATCH(G35,Cables!$A:$A,0))):INDEX(Attenuation!$J:$J,INDEX(Cables!$AO:$AO,MATCH(G35,Cables!$A:$A,0))+INDEX(Cables!$AP:$AP,MATCH(G35,Cables!$A:$A,0))-1),1),1),1),INDEX(Cables!$AP:$AP,MATCH(G35,Cables!$A:$A,0))-1))+1),INDEX(Attenuation!$J:$J,(INDEX(Cables!$AO:$AO,MATCH(G35,Cables!$A:$A,0))-1+MIN(MAX(IFERROR(MATCH(LN(E35),INDEX(Attenuation!$J:$J,INDEX(Cables!$AO:$AO,MATCH(G35,Cables!$A:$A,0))):INDEX(Attenuation!$J:$J,INDEX(Cables!$AO:$AO,MATCH(G35,Cables!$A:$A,0))+INDEX(Cables!$AP:$AP,MATCH(G35,Cables!$A:$A,0))-1),1),1),1),INDEX(Cables!$AP:$AP,MATCH(G35,Cables!$A:$A,0))-1))):INDEX(Attenuation!$J:$J,(INDEX(Cables!$AO:$AO,MATCH(G35,Cables!$A:$A,0))-1+MIN(MAX(IFERROR(MATCH(LN(E35),INDEX(Attenuation!$J:$J,INDEX(Cables!$AO:$AO,MATCH(G35,Cables!$A:$A,0))):INDEX(Attenuation!$J:$J,INDEX(Cables!$AO:$AO,MATCH(G35,Cables!$A:$A,0))+INDEX(Cables!$AP:$AP,MATCH(G35,Cables!$A:$A,0))-1),1),1),1),INDEX(Cables!$AP:$AP,MATCH(G35,Cables!$A:$A,0))-1))+1)))*0.3048)</f>
        <v>3.2918399999999988</v>
      </c>
      <c r="J35" s="44">
        <f t="shared" si="0"/>
        <v>0</v>
      </c>
      <c r="K35" s="40" t="str">
        <f>IF(G35="","Doğrulanmadı",IF(ABS(J35)&lt;=0.1,"Uyumlu (±%10)",IF(ABS(J35)&lt;=0.25,"Fark %10-25","Fark &gt;%25"))&amp;IF(OR(D35&lt;INDEX(Cables!$AQ:$AQ,MATCH(G35,Cables!$A:$A,0)),E35&gt;INDEX(Cables!$AR:$AR,MATCH(G35,Cables!$A:$A,0)))," · ekstrapolasyon",""))</f>
        <v>Uyumlu (±%10)</v>
      </c>
    </row>
    <row r="36" spans="1:11" x14ac:dyDescent="0.25">
      <c r="A36" s="37" t="s">
        <v>2968</v>
      </c>
      <c r="B36" s="40" t="str">
        <f>INDEX(Legacy_Index!$D:$D,MATCH(A36,Legacy_Index!$A:$A,0))</f>
        <v>RG58 Messi and Paoloni</v>
      </c>
      <c r="C36" s="37" t="s">
        <v>3113</v>
      </c>
      <c r="D36" s="37">
        <v>70</v>
      </c>
      <c r="E36" s="37">
        <v>100</v>
      </c>
      <c r="F36" s="37">
        <v>4</v>
      </c>
      <c r="G36" s="40" t="str">
        <f>IF(INDEX(Legacy_Index!$G:$G,MATCH(A36,Legacy_Index!$A:$A,0))="","",INDEX(Legacy_Index!$G:$G,MATCH(A36,Legacy_Index!$A:$A,0)))</f>
        <v>MP-RG58CU</v>
      </c>
      <c r="H36" s="43">
        <f>IF(G36="","",EXP(FORECAST(LN(D36),INDEX(Attenuation!$K:$K,(INDEX(Cables!$AO:$AO,MATCH(G36,Cables!$A:$A,0))-1+MIN(MAX(IFERROR(MATCH(LN(D36),INDEX(Attenuation!$J:$J,INDEX(Cables!$AO:$AO,MATCH(G36,Cables!$A:$A,0))):INDEX(Attenuation!$J:$J,INDEX(Cables!$AO:$AO,MATCH(G36,Cables!$A:$A,0))+INDEX(Cables!$AP:$AP,MATCH(G36,Cables!$A:$A,0))-1),1),1),1),INDEX(Cables!$AP:$AP,MATCH(G36,Cables!$A:$A,0))-1))):INDEX(Attenuation!$K:$K,(INDEX(Cables!$AO:$AO,MATCH(G36,Cables!$A:$A,0))-1+MIN(MAX(IFERROR(MATCH(LN(D36),INDEX(Attenuation!$J:$J,INDEX(Cables!$AO:$AO,MATCH(G36,Cables!$A:$A,0))):INDEX(Attenuation!$J:$J,INDEX(Cables!$AO:$AO,MATCH(G36,Cables!$A:$A,0))+INDEX(Cables!$AP:$AP,MATCH(G36,Cables!$A:$A,0))-1),1),1),1),INDEX(Cables!$AP:$AP,MATCH(G36,Cables!$A:$A,0))-1))+1),INDEX(Attenuation!$J:$J,(INDEX(Cables!$AO:$AO,MATCH(G36,Cables!$A:$A,0))-1+MIN(MAX(IFERROR(MATCH(LN(D36),INDEX(Attenuation!$J:$J,INDEX(Cables!$AO:$AO,MATCH(G36,Cables!$A:$A,0))):INDEX(Attenuation!$J:$J,INDEX(Cables!$AO:$AO,MATCH(G36,Cables!$A:$A,0))+INDEX(Cables!$AP:$AP,MATCH(G36,Cables!$A:$A,0))-1),1),1),1),INDEX(Cables!$AP:$AP,MATCH(G36,Cables!$A:$A,0))-1))):INDEX(Attenuation!$J:$J,(INDEX(Cables!$AO:$AO,MATCH(G36,Cables!$A:$A,0))-1+MIN(MAX(IFERROR(MATCH(LN(D36),INDEX(Attenuation!$J:$J,INDEX(Cables!$AO:$AO,MATCH(G36,Cables!$A:$A,0))):INDEX(Attenuation!$J:$J,INDEX(Cables!$AO:$AO,MATCH(G36,Cables!$A:$A,0))+INDEX(Cables!$AP:$AP,MATCH(G36,Cables!$A:$A,0))-1),1),1),1),INDEX(Cables!$AP:$AP,MATCH(G36,Cables!$A:$A,0))-1))+1)))*0.3048)</f>
        <v>3.9595643916733039</v>
      </c>
      <c r="I36" s="43">
        <f>IF(G36="","",EXP(FORECAST(LN(E36),INDEX(Attenuation!$K:$K,(INDEX(Cables!$AO:$AO,MATCH(G36,Cables!$A:$A,0))-1+MIN(MAX(IFERROR(MATCH(LN(E36),INDEX(Attenuation!$J:$J,INDEX(Cables!$AO:$AO,MATCH(G36,Cables!$A:$A,0))):INDEX(Attenuation!$J:$J,INDEX(Cables!$AO:$AO,MATCH(G36,Cables!$A:$A,0))+INDEX(Cables!$AP:$AP,MATCH(G36,Cables!$A:$A,0))-1),1),1),1),INDEX(Cables!$AP:$AP,MATCH(G36,Cables!$A:$A,0))-1))):INDEX(Attenuation!$K:$K,(INDEX(Cables!$AO:$AO,MATCH(G36,Cables!$A:$A,0))-1+MIN(MAX(IFERROR(MATCH(LN(E36),INDEX(Attenuation!$J:$J,INDEX(Cables!$AO:$AO,MATCH(G36,Cables!$A:$A,0))):INDEX(Attenuation!$J:$J,INDEX(Cables!$AO:$AO,MATCH(G36,Cables!$A:$A,0))+INDEX(Cables!$AP:$AP,MATCH(G36,Cables!$A:$A,0))-1),1),1),1),INDEX(Cables!$AP:$AP,MATCH(G36,Cables!$A:$A,0))-1))+1),INDEX(Attenuation!$J:$J,(INDEX(Cables!$AO:$AO,MATCH(G36,Cables!$A:$A,0))-1+MIN(MAX(IFERROR(MATCH(LN(E36),INDEX(Attenuation!$J:$J,INDEX(Cables!$AO:$AO,MATCH(G36,Cables!$A:$A,0))):INDEX(Attenuation!$J:$J,INDEX(Cables!$AO:$AO,MATCH(G36,Cables!$A:$A,0))+INDEX(Cables!$AP:$AP,MATCH(G36,Cables!$A:$A,0))-1),1),1),1),INDEX(Cables!$AP:$AP,MATCH(G36,Cables!$A:$A,0))-1))):INDEX(Attenuation!$J:$J,(INDEX(Cables!$AO:$AO,MATCH(G36,Cables!$A:$A,0))-1+MIN(MAX(IFERROR(MATCH(LN(E36),INDEX(Attenuation!$J:$J,INDEX(Cables!$AO:$AO,MATCH(G36,Cables!$A:$A,0))):INDEX(Attenuation!$J:$J,INDEX(Cables!$AO:$AO,MATCH(G36,Cables!$A:$A,0))+INDEX(Cables!$AP:$AP,MATCH(G36,Cables!$A:$A,0))-1),1),1),1),INDEX(Cables!$AP:$AP,MATCH(G36,Cables!$A:$A,0))-1))+1)))*0.3048)</f>
        <v>4.8158399999999997</v>
      </c>
      <c r="J36" s="44">
        <f t="shared" si="0"/>
        <v>0</v>
      </c>
      <c r="K36" s="40" t="str">
        <f>IF(G36="","Doğrulanmadı",IF(ABS(J36)&lt;=0.1,"Uyumlu (±%10)",IF(ABS(J36)&lt;=0.25,"Fark %10-25","Fark &gt;%25"))&amp;IF(OR(D36&lt;INDEX(Cables!$AQ:$AQ,MATCH(G36,Cables!$A:$A,0)),E36&gt;INDEX(Cables!$AR:$AR,MATCH(G36,Cables!$A:$A,0)))," · ekstrapolasyon",""))</f>
        <v>Uyumlu (±%10)</v>
      </c>
    </row>
    <row r="37" spans="1:11" x14ac:dyDescent="0.25">
      <c r="A37" s="37" t="s">
        <v>2968</v>
      </c>
      <c r="B37" s="40" t="str">
        <f>INDEX(Legacy_Index!$D:$D,MATCH(A37,Legacy_Index!$A:$A,0))</f>
        <v>RG58 Messi and Paoloni</v>
      </c>
      <c r="C37" s="37" t="s">
        <v>3114</v>
      </c>
      <c r="D37" s="37">
        <v>148</v>
      </c>
      <c r="E37" s="37">
        <v>174</v>
      </c>
      <c r="F37" s="37">
        <v>5.8</v>
      </c>
      <c r="G37" s="40" t="str">
        <f>IF(INDEX(Legacy_Index!$G:$G,MATCH(A37,Legacy_Index!$A:$A,0))="","",INDEX(Legacy_Index!$G:$G,MATCH(A37,Legacy_Index!$A:$A,0)))</f>
        <v>MP-RG58CU</v>
      </c>
      <c r="H37" s="43">
        <f>IF(G37="","",EXP(FORECAST(LN(D37),INDEX(Attenuation!$K:$K,(INDEX(Cables!$AO:$AO,MATCH(G37,Cables!$A:$A,0))-1+MIN(MAX(IFERROR(MATCH(LN(D37),INDEX(Attenuation!$J:$J,INDEX(Cables!$AO:$AO,MATCH(G37,Cables!$A:$A,0))):INDEX(Attenuation!$J:$J,INDEX(Cables!$AO:$AO,MATCH(G37,Cables!$A:$A,0))+INDEX(Cables!$AP:$AP,MATCH(G37,Cables!$A:$A,0))-1),1),1),1),INDEX(Cables!$AP:$AP,MATCH(G37,Cables!$A:$A,0))-1))):INDEX(Attenuation!$K:$K,(INDEX(Cables!$AO:$AO,MATCH(G37,Cables!$A:$A,0))-1+MIN(MAX(IFERROR(MATCH(LN(D37),INDEX(Attenuation!$J:$J,INDEX(Cables!$AO:$AO,MATCH(G37,Cables!$A:$A,0))):INDEX(Attenuation!$J:$J,INDEX(Cables!$AO:$AO,MATCH(G37,Cables!$A:$A,0))+INDEX(Cables!$AP:$AP,MATCH(G37,Cables!$A:$A,0))-1),1),1),1),INDEX(Cables!$AP:$AP,MATCH(G37,Cables!$A:$A,0))-1))+1),INDEX(Attenuation!$J:$J,(INDEX(Cables!$AO:$AO,MATCH(G37,Cables!$A:$A,0))-1+MIN(MAX(IFERROR(MATCH(LN(D37),INDEX(Attenuation!$J:$J,INDEX(Cables!$AO:$AO,MATCH(G37,Cables!$A:$A,0))):INDEX(Attenuation!$J:$J,INDEX(Cables!$AO:$AO,MATCH(G37,Cables!$A:$A,0))+INDEX(Cables!$AP:$AP,MATCH(G37,Cables!$A:$A,0))-1),1),1),1),INDEX(Cables!$AP:$AP,MATCH(G37,Cables!$A:$A,0))-1))):INDEX(Attenuation!$J:$J,(INDEX(Cables!$AO:$AO,MATCH(G37,Cables!$A:$A,0))-1+MIN(MAX(IFERROR(MATCH(LN(D37),INDEX(Attenuation!$J:$J,INDEX(Cables!$AO:$AO,MATCH(G37,Cables!$A:$A,0))):INDEX(Attenuation!$J:$J,INDEX(Cables!$AO:$AO,MATCH(G37,Cables!$A:$A,0))+INDEX(Cables!$AP:$AP,MATCH(G37,Cables!$A:$A,0))-1),1),1),1),INDEX(Cables!$AP:$AP,MATCH(G37,Cables!$A:$A,0))-1))+1)))*0.3048)</f>
        <v>5.9494856104471259</v>
      </c>
      <c r="I37" s="43">
        <f>IF(G37="","",EXP(FORECAST(LN(E37),INDEX(Attenuation!$K:$K,(INDEX(Cables!$AO:$AO,MATCH(G37,Cables!$A:$A,0))-1+MIN(MAX(IFERROR(MATCH(LN(E37),INDEX(Attenuation!$J:$J,INDEX(Cables!$AO:$AO,MATCH(G37,Cables!$A:$A,0))):INDEX(Attenuation!$J:$J,INDEX(Cables!$AO:$AO,MATCH(G37,Cables!$A:$A,0))+INDEX(Cables!$AP:$AP,MATCH(G37,Cables!$A:$A,0))-1),1),1),1),INDEX(Cables!$AP:$AP,MATCH(G37,Cables!$A:$A,0))-1))):INDEX(Attenuation!$K:$K,(INDEX(Cables!$AO:$AO,MATCH(G37,Cables!$A:$A,0))-1+MIN(MAX(IFERROR(MATCH(LN(E37),INDEX(Attenuation!$J:$J,INDEX(Cables!$AO:$AO,MATCH(G37,Cables!$A:$A,0))):INDEX(Attenuation!$J:$J,INDEX(Cables!$AO:$AO,MATCH(G37,Cables!$A:$A,0))+INDEX(Cables!$AP:$AP,MATCH(G37,Cables!$A:$A,0))-1),1),1),1),INDEX(Cables!$AP:$AP,MATCH(G37,Cables!$A:$A,0))-1))+1),INDEX(Attenuation!$J:$J,(INDEX(Cables!$AO:$AO,MATCH(G37,Cables!$A:$A,0))-1+MIN(MAX(IFERROR(MATCH(LN(E37),INDEX(Attenuation!$J:$J,INDEX(Cables!$AO:$AO,MATCH(G37,Cables!$A:$A,0))):INDEX(Attenuation!$J:$J,INDEX(Cables!$AO:$AO,MATCH(G37,Cables!$A:$A,0))+INDEX(Cables!$AP:$AP,MATCH(G37,Cables!$A:$A,0))-1),1),1),1),INDEX(Cables!$AP:$AP,MATCH(G37,Cables!$A:$A,0))-1))):INDEX(Attenuation!$J:$J,(INDEX(Cables!$AO:$AO,MATCH(G37,Cables!$A:$A,0))-1+MIN(MAX(IFERROR(MATCH(LN(E37),INDEX(Attenuation!$J:$J,INDEX(Cables!$AO:$AO,MATCH(G37,Cables!$A:$A,0))):INDEX(Attenuation!$J:$J,INDEX(Cables!$AO:$AO,MATCH(G37,Cables!$A:$A,0))+INDEX(Cables!$AP:$AP,MATCH(G37,Cables!$A:$A,0))-1),1),1),1),INDEX(Cables!$AP:$AP,MATCH(G37,Cables!$A:$A,0))-1))+1)))*0.3048)</f>
        <v>6.3601220282145166</v>
      </c>
      <c r="J37" s="44">
        <f t="shared" si="0"/>
        <v>-2.5125804184589318E-2</v>
      </c>
      <c r="K37" s="40" t="str">
        <f>IF(G37="","Doğrulanmadı",IF(ABS(J37)&lt;=0.1,"Uyumlu (±%10)",IF(ABS(J37)&lt;=0.25,"Fark %10-25","Fark &gt;%25"))&amp;IF(OR(D37&lt;INDEX(Cables!$AQ:$AQ,MATCH(G37,Cables!$A:$A,0)),E37&gt;INDEX(Cables!$AR:$AR,MATCH(G37,Cables!$A:$A,0)))," · ekstrapolasyon",""))</f>
        <v>Uyumlu (±%10)</v>
      </c>
    </row>
    <row r="38" spans="1:11" x14ac:dyDescent="0.25">
      <c r="A38" s="37" t="s">
        <v>2968</v>
      </c>
      <c r="B38" s="40" t="str">
        <f>INDEX(Legacy_Index!$D:$D,MATCH(A38,Legacy_Index!$A:$A,0))</f>
        <v>RG58 Messi and Paoloni</v>
      </c>
      <c r="C38" s="37" t="s">
        <v>3119</v>
      </c>
      <c r="D38" s="37">
        <v>220</v>
      </c>
      <c r="E38" s="37">
        <v>220</v>
      </c>
      <c r="F38" s="37">
        <v>7</v>
      </c>
      <c r="G38" s="40" t="str">
        <f>IF(INDEX(Legacy_Index!$G:$G,MATCH(A38,Legacy_Index!$A:$A,0))="","",INDEX(Legacy_Index!$G:$G,MATCH(A38,Legacy_Index!$A:$A,0)))</f>
        <v>MP-RG58CU</v>
      </c>
      <c r="H38" s="43">
        <f>IF(G38="","",EXP(FORECAST(LN(D38),INDEX(Attenuation!$K:$K,(INDEX(Cables!$AO:$AO,MATCH(G38,Cables!$A:$A,0))-1+MIN(MAX(IFERROR(MATCH(LN(D38),INDEX(Attenuation!$J:$J,INDEX(Cables!$AO:$AO,MATCH(G38,Cables!$A:$A,0))):INDEX(Attenuation!$J:$J,INDEX(Cables!$AO:$AO,MATCH(G38,Cables!$A:$A,0))+INDEX(Cables!$AP:$AP,MATCH(G38,Cables!$A:$A,0))-1),1),1),1),INDEX(Cables!$AP:$AP,MATCH(G38,Cables!$A:$A,0))-1))):INDEX(Attenuation!$K:$K,(INDEX(Cables!$AO:$AO,MATCH(G38,Cables!$A:$A,0))-1+MIN(MAX(IFERROR(MATCH(LN(D38),INDEX(Attenuation!$J:$J,INDEX(Cables!$AO:$AO,MATCH(G38,Cables!$A:$A,0))):INDEX(Attenuation!$J:$J,INDEX(Cables!$AO:$AO,MATCH(G38,Cables!$A:$A,0))+INDEX(Cables!$AP:$AP,MATCH(G38,Cables!$A:$A,0))-1),1),1),1),INDEX(Cables!$AP:$AP,MATCH(G38,Cables!$A:$A,0))-1))+1),INDEX(Attenuation!$J:$J,(INDEX(Cables!$AO:$AO,MATCH(G38,Cables!$A:$A,0))-1+MIN(MAX(IFERROR(MATCH(LN(D38),INDEX(Attenuation!$J:$J,INDEX(Cables!$AO:$AO,MATCH(G38,Cables!$A:$A,0))):INDEX(Attenuation!$J:$J,INDEX(Cables!$AO:$AO,MATCH(G38,Cables!$A:$A,0))+INDEX(Cables!$AP:$AP,MATCH(G38,Cables!$A:$A,0))-1),1),1),1),INDEX(Cables!$AP:$AP,MATCH(G38,Cables!$A:$A,0))-1))):INDEX(Attenuation!$J:$J,(INDEX(Cables!$AO:$AO,MATCH(G38,Cables!$A:$A,0))-1+MIN(MAX(IFERROR(MATCH(LN(D38),INDEX(Attenuation!$J:$J,INDEX(Cables!$AO:$AO,MATCH(G38,Cables!$A:$A,0))):INDEX(Attenuation!$J:$J,INDEX(Cables!$AO:$AO,MATCH(G38,Cables!$A:$A,0))+INDEX(Cables!$AP:$AP,MATCH(G38,Cables!$A:$A,0))-1),1),1),1),INDEX(Cables!$AP:$AP,MATCH(G38,Cables!$A:$A,0))-1))+1)))*0.3048)</f>
        <v>7.130411753362071</v>
      </c>
      <c r="I38" s="43">
        <f>IF(G38="","",EXP(FORECAST(LN(E38),INDEX(Attenuation!$K:$K,(INDEX(Cables!$AO:$AO,MATCH(G38,Cables!$A:$A,0))-1+MIN(MAX(IFERROR(MATCH(LN(E38),INDEX(Attenuation!$J:$J,INDEX(Cables!$AO:$AO,MATCH(G38,Cables!$A:$A,0))):INDEX(Attenuation!$J:$J,INDEX(Cables!$AO:$AO,MATCH(G38,Cables!$A:$A,0))+INDEX(Cables!$AP:$AP,MATCH(G38,Cables!$A:$A,0))-1),1),1),1),INDEX(Cables!$AP:$AP,MATCH(G38,Cables!$A:$A,0))-1))):INDEX(Attenuation!$K:$K,(INDEX(Cables!$AO:$AO,MATCH(G38,Cables!$A:$A,0))-1+MIN(MAX(IFERROR(MATCH(LN(E38),INDEX(Attenuation!$J:$J,INDEX(Cables!$AO:$AO,MATCH(G38,Cables!$A:$A,0))):INDEX(Attenuation!$J:$J,INDEX(Cables!$AO:$AO,MATCH(G38,Cables!$A:$A,0))+INDEX(Cables!$AP:$AP,MATCH(G38,Cables!$A:$A,0))-1),1),1),1),INDEX(Cables!$AP:$AP,MATCH(G38,Cables!$A:$A,0))-1))+1),INDEX(Attenuation!$J:$J,(INDEX(Cables!$AO:$AO,MATCH(G38,Cables!$A:$A,0))-1+MIN(MAX(IFERROR(MATCH(LN(E38),INDEX(Attenuation!$J:$J,INDEX(Cables!$AO:$AO,MATCH(G38,Cables!$A:$A,0))):INDEX(Attenuation!$J:$J,INDEX(Cables!$AO:$AO,MATCH(G38,Cables!$A:$A,0))+INDEX(Cables!$AP:$AP,MATCH(G38,Cables!$A:$A,0))-1),1),1),1),INDEX(Cables!$AP:$AP,MATCH(G38,Cables!$A:$A,0))-1))):INDEX(Attenuation!$J:$J,(INDEX(Cables!$AO:$AO,MATCH(G38,Cables!$A:$A,0))-1+MIN(MAX(IFERROR(MATCH(LN(E38),INDEX(Attenuation!$J:$J,INDEX(Cables!$AO:$AO,MATCH(G38,Cables!$A:$A,0))):INDEX(Attenuation!$J:$J,INDEX(Cables!$AO:$AO,MATCH(G38,Cables!$A:$A,0))+INDEX(Cables!$AP:$AP,MATCH(G38,Cables!$A:$A,0))-1),1),1),1),INDEX(Cables!$AP:$AP,MATCH(G38,Cables!$A:$A,0))-1))+1)))*0.3048)</f>
        <v>7.130411753362071</v>
      </c>
      <c r="J38" s="44">
        <f t="shared" si="0"/>
        <v>-1.8289512285258991E-2</v>
      </c>
      <c r="K38" s="40" t="str">
        <f>IF(G38="","Doğrulanmadı",IF(ABS(J38)&lt;=0.1,"Uyumlu (±%10)",IF(ABS(J38)&lt;=0.25,"Fark %10-25","Fark &gt;%25"))&amp;IF(OR(D38&lt;INDEX(Cables!$AQ:$AQ,MATCH(G38,Cables!$A:$A,0)),E38&gt;INDEX(Cables!$AR:$AR,MATCH(G38,Cables!$A:$A,0)))," · ekstrapolasyon",""))</f>
        <v>Uyumlu (±%10)</v>
      </c>
    </row>
    <row r="39" spans="1:11" x14ac:dyDescent="0.25">
      <c r="A39" s="37" t="s">
        <v>2968</v>
      </c>
      <c r="B39" s="40" t="str">
        <f>INDEX(Legacy_Index!$D:$D,MATCH(A39,Legacy_Index!$A:$A,0))</f>
        <v>RG58 Messi and Paoloni</v>
      </c>
      <c r="C39" s="37" t="s">
        <v>3115</v>
      </c>
      <c r="D39" s="37">
        <v>400</v>
      </c>
      <c r="E39" s="37">
        <v>520</v>
      </c>
      <c r="F39" s="37">
        <v>10.1</v>
      </c>
      <c r="G39" s="40" t="str">
        <f>IF(INDEX(Legacy_Index!$G:$G,MATCH(A39,Legacy_Index!$A:$A,0))="","",INDEX(Legacy_Index!$G:$G,MATCH(A39,Legacy_Index!$A:$A,0)))</f>
        <v>MP-RG58CU</v>
      </c>
      <c r="H39" s="43">
        <f>IF(G39="","",EXP(FORECAST(LN(D39),INDEX(Attenuation!$K:$K,(INDEX(Cables!$AO:$AO,MATCH(G39,Cables!$A:$A,0))-1+MIN(MAX(IFERROR(MATCH(LN(D39),INDEX(Attenuation!$J:$J,INDEX(Cables!$AO:$AO,MATCH(G39,Cables!$A:$A,0))):INDEX(Attenuation!$J:$J,INDEX(Cables!$AO:$AO,MATCH(G39,Cables!$A:$A,0))+INDEX(Cables!$AP:$AP,MATCH(G39,Cables!$A:$A,0))-1),1),1),1),INDEX(Cables!$AP:$AP,MATCH(G39,Cables!$A:$A,0))-1))):INDEX(Attenuation!$K:$K,(INDEX(Cables!$AO:$AO,MATCH(G39,Cables!$A:$A,0))-1+MIN(MAX(IFERROR(MATCH(LN(D39),INDEX(Attenuation!$J:$J,INDEX(Cables!$AO:$AO,MATCH(G39,Cables!$A:$A,0))):INDEX(Attenuation!$J:$J,INDEX(Cables!$AO:$AO,MATCH(G39,Cables!$A:$A,0))+INDEX(Cables!$AP:$AP,MATCH(G39,Cables!$A:$A,0))-1),1),1),1),INDEX(Cables!$AP:$AP,MATCH(G39,Cables!$A:$A,0))-1))+1),INDEX(Attenuation!$J:$J,(INDEX(Cables!$AO:$AO,MATCH(G39,Cables!$A:$A,0))-1+MIN(MAX(IFERROR(MATCH(LN(D39),INDEX(Attenuation!$J:$J,INDEX(Cables!$AO:$AO,MATCH(G39,Cables!$A:$A,0))):INDEX(Attenuation!$J:$J,INDEX(Cables!$AO:$AO,MATCH(G39,Cables!$A:$A,0))+INDEX(Cables!$AP:$AP,MATCH(G39,Cables!$A:$A,0))-1),1),1),1),INDEX(Cables!$AP:$AP,MATCH(G39,Cables!$A:$A,0))-1))):INDEX(Attenuation!$J:$J,(INDEX(Cables!$AO:$AO,MATCH(G39,Cables!$A:$A,0))-1+MIN(MAX(IFERROR(MATCH(LN(D39),INDEX(Attenuation!$J:$J,INDEX(Cables!$AO:$AO,MATCH(G39,Cables!$A:$A,0))):INDEX(Attenuation!$J:$J,INDEX(Cables!$AO:$AO,MATCH(G39,Cables!$A:$A,0))+INDEX(Cables!$AP:$AP,MATCH(G39,Cables!$A:$A,0))-1),1),1),1),INDEX(Cables!$AP:$AP,MATCH(G39,Cables!$A:$A,0))-1))+1)))*0.3048)</f>
        <v>10.188086349224857</v>
      </c>
      <c r="I39" s="43">
        <f>IF(G39="","",EXP(FORECAST(LN(E39),INDEX(Attenuation!$K:$K,(INDEX(Cables!$AO:$AO,MATCH(G39,Cables!$A:$A,0))-1+MIN(MAX(IFERROR(MATCH(LN(E39),INDEX(Attenuation!$J:$J,INDEX(Cables!$AO:$AO,MATCH(G39,Cables!$A:$A,0))):INDEX(Attenuation!$J:$J,INDEX(Cables!$AO:$AO,MATCH(G39,Cables!$A:$A,0))+INDEX(Cables!$AP:$AP,MATCH(G39,Cables!$A:$A,0))-1),1),1),1),INDEX(Cables!$AP:$AP,MATCH(G39,Cables!$A:$A,0))-1))):INDEX(Attenuation!$K:$K,(INDEX(Cables!$AO:$AO,MATCH(G39,Cables!$A:$A,0))-1+MIN(MAX(IFERROR(MATCH(LN(E39),INDEX(Attenuation!$J:$J,INDEX(Cables!$AO:$AO,MATCH(G39,Cables!$A:$A,0))):INDEX(Attenuation!$J:$J,INDEX(Cables!$AO:$AO,MATCH(G39,Cables!$A:$A,0))+INDEX(Cables!$AP:$AP,MATCH(G39,Cables!$A:$A,0))-1),1),1),1),INDEX(Cables!$AP:$AP,MATCH(G39,Cables!$A:$A,0))-1))+1),INDEX(Attenuation!$J:$J,(INDEX(Cables!$AO:$AO,MATCH(G39,Cables!$A:$A,0))-1+MIN(MAX(IFERROR(MATCH(LN(E39),INDEX(Attenuation!$J:$J,INDEX(Cables!$AO:$AO,MATCH(G39,Cables!$A:$A,0))):INDEX(Attenuation!$J:$J,INDEX(Cables!$AO:$AO,MATCH(G39,Cables!$A:$A,0))+INDEX(Cables!$AP:$AP,MATCH(G39,Cables!$A:$A,0))-1),1),1),1),INDEX(Cables!$AP:$AP,MATCH(G39,Cables!$A:$A,0))-1))):INDEX(Attenuation!$J:$J,(INDEX(Cables!$AO:$AO,MATCH(G39,Cables!$A:$A,0))-1+MIN(MAX(IFERROR(MATCH(LN(E39),INDEX(Attenuation!$J:$J,INDEX(Cables!$AO:$AO,MATCH(G39,Cables!$A:$A,0))):INDEX(Attenuation!$J:$J,INDEX(Cables!$AO:$AO,MATCH(G39,Cables!$A:$A,0))+INDEX(Cables!$AP:$AP,MATCH(G39,Cables!$A:$A,0))-1),1),1),1),INDEX(Cables!$AP:$AP,MATCH(G39,Cables!$A:$A,0))-1))+1)))*0.3048)</f>
        <v>11.954501182816148</v>
      </c>
      <c r="J39" s="44">
        <f t="shared" si="0"/>
        <v>-8.6460151794414131E-3</v>
      </c>
      <c r="K39" s="40" t="str">
        <f>IF(G39="","Doğrulanmadı",IF(ABS(J39)&lt;=0.1,"Uyumlu (±%10)",IF(ABS(J39)&lt;=0.25,"Fark %10-25","Fark &gt;%25"))&amp;IF(OR(D39&lt;INDEX(Cables!$AQ:$AQ,MATCH(G39,Cables!$A:$A,0)),E39&gt;INDEX(Cables!$AR:$AR,MATCH(G39,Cables!$A:$A,0)))," · ekstrapolasyon",""))</f>
        <v>Uyumlu (±%10)</v>
      </c>
    </row>
    <row r="40" spans="1:11" x14ac:dyDescent="0.25">
      <c r="A40" s="37" t="s">
        <v>2968</v>
      </c>
      <c r="B40" s="40" t="str">
        <f>INDEX(Legacy_Index!$D:$D,MATCH(A40,Legacy_Index!$A:$A,0))</f>
        <v>RG58 Messi and Paoloni</v>
      </c>
      <c r="C40" s="37" t="s">
        <v>3116</v>
      </c>
      <c r="D40" s="37">
        <v>700</v>
      </c>
      <c r="E40" s="37">
        <v>960</v>
      </c>
      <c r="F40" s="37">
        <v>15.5</v>
      </c>
      <c r="G40" s="40" t="str">
        <f>IF(INDEX(Legacy_Index!$G:$G,MATCH(A40,Legacy_Index!$A:$A,0))="","",INDEX(Legacy_Index!$G:$G,MATCH(A40,Legacy_Index!$A:$A,0)))</f>
        <v>MP-RG58CU</v>
      </c>
      <c r="H40" s="43">
        <f>IF(G40="","",EXP(FORECAST(LN(D40),INDEX(Attenuation!$K:$K,(INDEX(Cables!$AO:$AO,MATCH(G40,Cables!$A:$A,0))-1+MIN(MAX(IFERROR(MATCH(LN(D40),INDEX(Attenuation!$J:$J,INDEX(Cables!$AO:$AO,MATCH(G40,Cables!$A:$A,0))):INDEX(Attenuation!$J:$J,INDEX(Cables!$AO:$AO,MATCH(G40,Cables!$A:$A,0))+INDEX(Cables!$AP:$AP,MATCH(G40,Cables!$A:$A,0))-1),1),1),1),INDEX(Cables!$AP:$AP,MATCH(G40,Cables!$A:$A,0))-1))):INDEX(Attenuation!$K:$K,(INDEX(Cables!$AO:$AO,MATCH(G40,Cables!$A:$A,0))-1+MIN(MAX(IFERROR(MATCH(LN(D40),INDEX(Attenuation!$J:$J,INDEX(Cables!$AO:$AO,MATCH(G40,Cables!$A:$A,0))):INDEX(Attenuation!$J:$J,INDEX(Cables!$AO:$AO,MATCH(G40,Cables!$A:$A,0))+INDEX(Cables!$AP:$AP,MATCH(G40,Cables!$A:$A,0))-1),1),1),1),INDEX(Cables!$AP:$AP,MATCH(G40,Cables!$A:$A,0))-1))+1),INDEX(Attenuation!$J:$J,(INDEX(Cables!$AO:$AO,MATCH(G40,Cables!$A:$A,0))-1+MIN(MAX(IFERROR(MATCH(LN(D40),INDEX(Attenuation!$J:$J,INDEX(Cables!$AO:$AO,MATCH(G40,Cables!$A:$A,0))):INDEX(Attenuation!$J:$J,INDEX(Cables!$AO:$AO,MATCH(G40,Cables!$A:$A,0))+INDEX(Cables!$AP:$AP,MATCH(G40,Cables!$A:$A,0))-1),1),1),1),INDEX(Cables!$AP:$AP,MATCH(G40,Cables!$A:$A,0))-1))):INDEX(Attenuation!$J:$J,(INDEX(Cables!$AO:$AO,MATCH(G40,Cables!$A:$A,0))-1+MIN(MAX(IFERROR(MATCH(LN(D40),INDEX(Attenuation!$J:$J,INDEX(Cables!$AO:$AO,MATCH(G40,Cables!$A:$A,0))):INDEX(Attenuation!$J:$J,INDEX(Cables!$AO:$AO,MATCH(G40,Cables!$A:$A,0))+INDEX(Cables!$AP:$AP,MATCH(G40,Cables!$A:$A,0))-1),1),1),1),INDEX(Cables!$AP:$AP,MATCH(G40,Cables!$A:$A,0))-1))+1)))*0.3048)</f>
        <v>14.348896891662399</v>
      </c>
      <c r="I40" s="43">
        <f>IF(G40="","",EXP(FORECAST(LN(E40),INDEX(Attenuation!$K:$K,(INDEX(Cables!$AO:$AO,MATCH(G40,Cables!$A:$A,0))-1+MIN(MAX(IFERROR(MATCH(LN(E40),INDEX(Attenuation!$J:$J,INDEX(Cables!$AO:$AO,MATCH(G40,Cables!$A:$A,0))):INDEX(Attenuation!$J:$J,INDEX(Cables!$AO:$AO,MATCH(G40,Cables!$A:$A,0))+INDEX(Cables!$AP:$AP,MATCH(G40,Cables!$A:$A,0))-1),1),1),1),INDEX(Cables!$AP:$AP,MATCH(G40,Cables!$A:$A,0))-1))):INDEX(Attenuation!$K:$K,(INDEX(Cables!$AO:$AO,MATCH(G40,Cables!$A:$A,0))-1+MIN(MAX(IFERROR(MATCH(LN(E40),INDEX(Attenuation!$J:$J,INDEX(Cables!$AO:$AO,MATCH(G40,Cables!$A:$A,0))):INDEX(Attenuation!$J:$J,INDEX(Cables!$AO:$AO,MATCH(G40,Cables!$A:$A,0))+INDEX(Cables!$AP:$AP,MATCH(G40,Cables!$A:$A,0))-1),1),1),1),INDEX(Cables!$AP:$AP,MATCH(G40,Cables!$A:$A,0))-1))+1),INDEX(Attenuation!$J:$J,(INDEX(Cables!$AO:$AO,MATCH(G40,Cables!$A:$A,0))-1+MIN(MAX(IFERROR(MATCH(LN(E40),INDEX(Attenuation!$J:$J,INDEX(Cables!$AO:$AO,MATCH(G40,Cables!$A:$A,0))):INDEX(Attenuation!$J:$J,INDEX(Cables!$AO:$AO,MATCH(G40,Cables!$A:$A,0))+INDEX(Cables!$AP:$AP,MATCH(G40,Cables!$A:$A,0))-1),1),1),1),INDEX(Cables!$AP:$AP,MATCH(G40,Cables!$A:$A,0))-1))):INDEX(Attenuation!$J:$J,(INDEX(Cables!$AO:$AO,MATCH(G40,Cables!$A:$A,0))-1+MIN(MAX(IFERROR(MATCH(LN(E40),INDEX(Attenuation!$J:$J,INDEX(Cables!$AO:$AO,MATCH(G40,Cables!$A:$A,0))):INDEX(Attenuation!$J:$J,INDEX(Cables!$AO:$AO,MATCH(G40,Cables!$A:$A,0))+INDEX(Cables!$AP:$AP,MATCH(G40,Cables!$A:$A,0))-1),1),1),1),INDEX(Cables!$AP:$AP,MATCH(G40,Cables!$A:$A,0))-1))+1)))*0.3048)</f>
        <v>16.857640756162233</v>
      </c>
      <c r="J40" s="44">
        <f t="shared" si="0"/>
        <v>0</v>
      </c>
      <c r="K40" s="40" t="str">
        <f>IF(G40="","Doğrulanmadı",IF(ABS(J40)&lt;=0.1,"Uyumlu (±%10)",IF(ABS(J40)&lt;=0.25,"Fark %10-25","Fark &gt;%25"))&amp;IF(OR(D40&lt;INDEX(Cables!$AQ:$AQ,MATCH(G40,Cables!$A:$A,0)),E40&gt;INDEX(Cables!$AR:$AR,MATCH(G40,Cables!$A:$A,0)))," · ekstrapolasyon",""))</f>
        <v>Uyumlu (±%10)</v>
      </c>
    </row>
    <row r="41" spans="1:11" x14ac:dyDescent="0.25">
      <c r="A41" s="37" t="s">
        <v>2968</v>
      </c>
      <c r="B41" s="40" t="str">
        <f>INDEX(Legacy_Index!$D:$D,MATCH(A41,Legacy_Index!$A:$A,0))</f>
        <v>RG58 Messi and Paoloni</v>
      </c>
      <c r="C41" s="37" t="s">
        <v>3120</v>
      </c>
      <c r="D41" s="37">
        <v>1200</v>
      </c>
      <c r="E41" s="37">
        <v>1300</v>
      </c>
      <c r="F41" s="37">
        <v>19.2</v>
      </c>
      <c r="G41" s="40" t="str">
        <f>IF(INDEX(Legacy_Index!$G:$G,MATCH(A41,Legacy_Index!$A:$A,0))="","",INDEX(Legacy_Index!$G:$G,MATCH(A41,Legacy_Index!$A:$A,0)))</f>
        <v>MP-RG58CU</v>
      </c>
      <c r="H41" s="43">
        <f>IF(G41="","",EXP(FORECAST(LN(D41),INDEX(Attenuation!$K:$K,(INDEX(Cables!$AO:$AO,MATCH(G41,Cables!$A:$A,0))-1+MIN(MAX(IFERROR(MATCH(LN(D41),INDEX(Attenuation!$J:$J,INDEX(Cables!$AO:$AO,MATCH(G41,Cables!$A:$A,0))):INDEX(Attenuation!$J:$J,INDEX(Cables!$AO:$AO,MATCH(G41,Cables!$A:$A,0))+INDEX(Cables!$AP:$AP,MATCH(G41,Cables!$A:$A,0))-1),1),1),1),INDEX(Cables!$AP:$AP,MATCH(G41,Cables!$A:$A,0))-1))):INDEX(Attenuation!$K:$K,(INDEX(Cables!$AO:$AO,MATCH(G41,Cables!$A:$A,0))-1+MIN(MAX(IFERROR(MATCH(LN(D41),INDEX(Attenuation!$J:$J,INDEX(Cables!$AO:$AO,MATCH(G41,Cables!$A:$A,0))):INDEX(Attenuation!$J:$J,INDEX(Cables!$AO:$AO,MATCH(G41,Cables!$A:$A,0))+INDEX(Cables!$AP:$AP,MATCH(G41,Cables!$A:$A,0))-1),1),1),1),INDEX(Cables!$AP:$AP,MATCH(G41,Cables!$A:$A,0))-1))+1),INDEX(Attenuation!$J:$J,(INDEX(Cables!$AO:$AO,MATCH(G41,Cables!$A:$A,0))-1+MIN(MAX(IFERROR(MATCH(LN(D41),INDEX(Attenuation!$J:$J,INDEX(Cables!$AO:$AO,MATCH(G41,Cables!$A:$A,0))):INDEX(Attenuation!$J:$J,INDEX(Cables!$AO:$AO,MATCH(G41,Cables!$A:$A,0))+INDEX(Cables!$AP:$AP,MATCH(G41,Cables!$A:$A,0))-1),1),1),1),INDEX(Cables!$AP:$AP,MATCH(G41,Cables!$A:$A,0))-1))):INDEX(Attenuation!$J:$J,(INDEX(Cables!$AO:$AO,MATCH(G41,Cables!$A:$A,0))-1+MIN(MAX(IFERROR(MATCH(LN(D41),INDEX(Attenuation!$J:$J,INDEX(Cables!$AO:$AO,MATCH(G41,Cables!$A:$A,0))):INDEX(Attenuation!$J:$J,INDEX(Cables!$AO:$AO,MATCH(G41,Cables!$A:$A,0))+INDEX(Cables!$AP:$AP,MATCH(G41,Cables!$A:$A,0))-1),1),1),1),INDEX(Cables!$AP:$AP,MATCH(G41,Cables!$A:$A,0))-1))+1)))*0.3048)</f>
        <v>18.57167933208639</v>
      </c>
      <c r="I41" s="43">
        <f>IF(G41="","",EXP(FORECAST(LN(E41),INDEX(Attenuation!$K:$K,(INDEX(Cables!$AO:$AO,MATCH(G41,Cables!$A:$A,0))-1+MIN(MAX(IFERROR(MATCH(LN(E41),INDEX(Attenuation!$J:$J,INDEX(Cables!$AO:$AO,MATCH(G41,Cables!$A:$A,0))):INDEX(Attenuation!$J:$J,INDEX(Cables!$AO:$AO,MATCH(G41,Cables!$A:$A,0))+INDEX(Cables!$AP:$AP,MATCH(G41,Cables!$A:$A,0))-1),1),1),1),INDEX(Cables!$AP:$AP,MATCH(G41,Cables!$A:$A,0))-1))):INDEX(Attenuation!$K:$K,(INDEX(Cables!$AO:$AO,MATCH(G41,Cables!$A:$A,0))-1+MIN(MAX(IFERROR(MATCH(LN(E41),INDEX(Attenuation!$J:$J,INDEX(Cables!$AO:$AO,MATCH(G41,Cables!$A:$A,0))):INDEX(Attenuation!$J:$J,INDEX(Cables!$AO:$AO,MATCH(G41,Cables!$A:$A,0))+INDEX(Cables!$AP:$AP,MATCH(G41,Cables!$A:$A,0))-1),1),1),1),INDEX(Cables!$AP:$AP,MATCH(G41,Cables!$A:$A,0))-1))+1),INDEX(Attenuation!$J:$J,(INDEX(Cables!$AO:$AO,MATCH(G41,Cables!$A:$A,0))-1+MIN(MAX(IFERROR(MATCH(LN(E41),INDEX(Attenuation!$J:$J,INDEX(Cables!$AO:$AO,MATCH(G41,Cables!$A:$A,0))):INDEX(Attenuation!$J:$J,INDEX(Cables!$AO:$AO,MATCH(G41,Cables!$A:$A,0))+INDEX(Cables!$AP:$AP,MATCH(G41,Cables!$A:$A,0))-1),1),1),1),INDEX(Cables!$AP:$AP,MATCH(G41,Cables!$A:$A,0))-1))):INDEX(Attenuation!$J:$J,(INDEX(Cables!$AO:$AO,MATCH(G41,Cables!$A:$A,0))-1+MIN(MAX(IFERROR(MATCH(LN(E41),INDEX(Attenuation!$J:$J,INDEX(Cables!$AO:$AO,MATCH(G41,Cables!$A:$A,0))):INDEX(Attenuation!$J:$J,INDEX(Cables!$AO:$AO,MATCH(G41,Cables!$A:$A,0))+INDEX(Cables!$AP:$AP,MATCH(G41,Cables!$A:$A,0))-1),1),1),1),INDEX(Cables!$AP:$AP,MATCH(G41,Cables!$A:$A,0))-1))+1)))*0.3048)</f>
        <v>19.228096512074103</v>
      </c>
      <c r="J41" s="44">
        <f t="shared" si="0"/>
        <v>0</v>
      </c>
      <c r="K41" s="40" t="str">
        <f>IF(G41="","Doğrulanmadı",IF(ABS(J41)&lt;=0.1,"Uyumlu (±%10)",IF(ABS(J41)&lt;=0.25,"Fark %10-25","Fark &gt;%25"))&amp;IF(OR(D41&lt;INDEX(Cables!$AQ:$AQ,MATCH(G41,Cables!$A:$A,0)),E41&gt;INDEX(Cables!$AR:$AR,MATCH(G41,Cables!$A:$A,0)))," · ekstrapolasyon",""))</f>
        <v>Uyumlu (±%10) · ekstrapolasyon</v>
      </c>
    </row>
    <row r="42" spans="1:11" x14ac:dyDescent="0.25">
      <c r="A42" s="37" t="s">
        <v>2971</v>
      </c>
      <c r="B42" s="40" t="str">
        <f>INDEX(Legacy_Index!$D:$D,MATCH(A42,Legacy_Index!$A:$A,0))</f>
        <v>RG223/U</v>
      </c>
      <c r="C42" s="37" t="s">
        <v>3113</v>
      </c>
      <c r="D42" s="37">
        <v>70</v>
      </c>
      <c r="E42" s="37">
        <v>100</v>
      </c>
      <c r="F42" s="37">
        <v>4.2</v>
      </c>
      <c r="G42" s="40" t="str">
        <f>IF(INDEX(Legacy_Index!$G:$G,MATCH(A42,Legacy_Index!$A:$A,0))="","",INDEX(Legacy_Index!$G:$G,MATCH(A42,Legacy_Index!$A:$A,0)))</f>
        <v>BEL-9273</v>
      </c>
      <c r="H42" s="43">
        <f>IF(G42="","",EXP(FORECAST(LN(D42),INDEX(Attenuation!$K:$K,(INDEX(Cables!$AO:$AO,MATCH(G42,Cables!$A:$A,0))-1+MIN(MAX(IFERROR(MATCH(LN(D42),INDEX(Attenuation!$J:$J,INDEX(Cables!$AO:$AO,MATCH(G42,Cables!$A:$A,0))):INDEX(Attenuation!$J:$J,INDEX(Cables!$AO:$AO,MATCH(G42,Cables!$A:$A,0))+INDEX(Cables!$AP:$AP,MATCH(G42,Cables!$A:$A,0))-1),1),1),1),INDEX(Cables!$AP:$AP,MATCH(G42,Cables!$A:$A,0))-1))):INDEX(Attenuation!$K:$K,(INDEX(Cables!$AO:$AO,MATCH(G42,Cables!$A:$A,0))-1+MIN(MAX(IFERROR(MATCH(LN(D42),INDEX(Attenuation!$J:$J,INDEX(Cables!$AO:$AO,MATCH(G42,Cables!$A:$A,0))):INDEX(Attenuation!$J:$J,INDEX(Cables!$AO:$AO,MATCH(G42,Cables!$A:$A,0))+INDEX(Cables!$AP:$AP,MATCH(G42,Cables!$A:$A,0))-1),1),1),1),INDEX(Cables!$AP:$AP,MATCH(G42,Cables!$A:$A,0))-1))+1),INDEX(Attenuation!$J:$J,(INDEX(Cables!$AO:$AO,MATCH(G42,Cables!$A:$A,0))-1+MIN(MAX(IFERROR(MATCH(LN(D42),INDEX(Attenuation!$J:$J,INDEX(Cables!$AO:$AO,MATCH(G42,Cables!$A:$A,0))):INDEX(Attenuation!$J:$J,INDEX(Cables!$AO:$AO,MATCH(G42,Cables!$A:$A,0))+INDEX(Cables!$AP:$AP,MATCH(G42,Cables!$A:$A,0))-1),1),1),1),INDEX(Cables!$AP:$AP,MATCH(G42,Cables!$A:$A,0))-1))):INDEX(Attenuation!$J:$J,(INDEX(Cables!$AO:$AO,MATCH(G42,Cables!$A:$A,0))-1+MIN(MAX(IFERROR(MATCH(LN(D42),INDEX(Attenuation!$J:$J,INDEX(Cables!$AO:$AO,MATCH(G42,Cables!$A:$A,0))):INDEX(Attenuation!$J:$J,INDEX(Cables!$AO:$AO,MATCH(G42,Cables!$A:$A,0))+INDEX(Cables!$AP:$AP,MATCH(G42,Cables!$A:$A,0))-1),1),1),1),INDEX(Cables!$AP:$AP,MATCH(G42,Cables!$A:$A,0))-1))+1)))*0.3048)</f>
        <v>3.3694362992902076</v>
      </c>
      <c r="I42" s="43">
        <f>IF(G42="","",EXP(FORECAST(LN(E42),INDEX(Attenuation!$K:$K,(INDEX(Cables!$AO:$AO,MATCH(G42,Cables!$A:$A,0))-1+MIN(MAX(IFERROR(MATCH(LN(E42),INDEX(Attenuation!$J:$J,INDEX(Cables!$AO:$AO,MATCH(G42,Cables!$A:$A,0))):INDEX(Attenuation!$J:$J,INDEX(Cables!$AO:$AO,MATCH(G42,Cables!$A:$A,0))+INDEX(Cables!$AP:$AP,MATCH(G42,Cables!$A:$A,0))-1),1),1),1),INDEX(Cables!$AP:$AP,MATCH(G42,Cables!$A:$A,0))-1))):INDEX(Attenuation!$K:$K,(INDEX(Cables!$AO:$AO,MATCH(G42,Cables!$A:$A,0))-1+MIN(MAX(IFERROR(MATCH(LN(E42),INDEX(Attenuation!$J:$J,INDEX(Cables!$AO:$AO,MATCH(G42,Cables!$A:$A,0))):INDEX(Attenuation!$J:$J,INDEX(Cables!$AO:$AO,MATCH(G42,Cables!$A:$A,0))+INDEX(Cables!$AP:$AP,MATCH(G42,Cables!$A:$A,0))-1),1),1),1),INDEX(Cables!$AP:$AP,MATCH(G42,Cables!$A:$A,0))-1))+1),INDEX(Attenuation!$J:$J,(INDEX(Cables!$AO:$AO,MATCH(G42,Cables!$A:$A,0))-1+MIN(MAX(IFERROR(MATCH(LN(E42),INDEX(Attenuation!$J:$J,INDEX(Cables!$AO:$AO,MATCH(G42,Cables!$A:$A,0))):INDEX(Attenuation!$J:$J,INDEX(Cables!$AO:$AO,MATCH(G42,Cables!$A:$A,0))+INDEX(Cables!$AP:$AP,MATCH(G42,Cables!$A:$A,0))-1),1),1),1),INDEX(Cables!$AP:$AP,MATCH(G42,Cables!$A:$A,0))-1))):INDEX(Attenuation!$J:$J,(INDEX(Cables!$AO:$AO,MATCH(G42,Cables!$A:$A,0))-1+MIN(MAX(IFERROR(MATCH(LN(E42),INDEX(Attenuation!$J:$J,INDEX(Cables!$AO:$AO,MATCH(G42,Cables!$A:$A,0))):INDEX(Attenuation!$J:$J,INDEX(Cables!$AO:$AO,MATCH(G42,Cables!$A:$A,0))+INDEX(Cables!$AP:$AP,MATCH(G42,Cables!$A:$A,0))-1),1),1),1),INDEX(Cables!$AP:$AP,MATCH(G42,Cables!$A:$A,0))-1))+1)))*0.3048)</f>
        <v>4.1000000000000014</v>
      </c>
      <c r="J42" s="44">
        <f t="shared" si="0"/>
        <v>2.4390243902438602E-2</v>
      </c>
      <c r="K42" s="40" t="str">
        <f>IF(G42="","Doğrulanmadı",IF(ABS(J42)&lt;=0.1,"Uyumlu (±%10)",IF(ABS(J42)&lt;=0.25,"Fark %10-25","Fark &gt;%25"))&amp;IF(OR(D42&lt;INDEX(Cables!$AQ:$AQ,MATCH(G42,Cables!$A:$A,0)),E42&gt;INDEX(Cables!$AR:$AR,MATCH(G42,Cables!$A:$A,0)))," · ekstrapolasyon",""))</f>
        <v>Uyumlu (±%10)</v>
      </c>
    </row>
    <row r="43" spans="1:11" x14ac:dyDescent="0.25">
      <c r="A43" s="37" t="s">
        <v>2971</v>
      </c>
      <c r="B43" s="40" t="str">
        <f>INDEX(Legacy_Index!$D:$D,MATCH(A43,Legacy_Index!$A:$A,0))</f>
        <v>RG223/U</v>
      </c>
      <c r="C43" s="37" t="s">
        <v>3114</v>
      </c>
      <c r="D43" s="37">
        <v>148</v>
      </c>
      <c r="E43" s="37">
        <v>174</v>
      </c>
      <c r="F43" s="37">
        <v>5.7</v>
      </c>
      <c r="G43" s="40" t="str">
        <f>IF(INDEX(Legacy_Index!$G:$G,MATCH(A43,Legacy_Index!$A:$A,0))="","",INDEX(Legacy_Index!$G:$G,MATCH(A43,Legacy_Index!$A:$A,0)))</f>
        <v>BEL-9273</v>
      </c>
      <c r="H43" s="43">
        <f>IF(G43="","",EXP(FORECAST(LN(D43),INDEX(Attenuation!$K:$K,(INDEX(Cables!$AO:$AO,MATCH(G43,Cables!$A:$A,0))-1+MIN(MAX(IFERROR(MATCH(LN(D43),INDEX(Attenuation!$J:$J,INDEX(Cables!$AO:$AO,MATCH(G43,Cables!$A:$A,0))):INDEX(Attenuation!$J:$J,INDEX(Cables!$AO:$AO,MATCH(G43,Cables!$A:$A,0))+INDEX(Cables!$AP:$AP,MATCH(G43,Cables!$A:$A,0))-1),1),1),1),INDEX(Cables!$AP:$AP,MATCH(G43,Cables!$A:$A,0))-1))):INDEX(Attenuation!$K:$K,(INDEX(Cables!$AO:$AO,MATCH(G43,Cables!$A:$A,0))-1+MIN(MAX(IFERROR(MATCH(LN(D43),INDEX(Attenuation!$J:$J,INDEX(Cables!$AO:$AO,MATCH(G43,Cables!$A:$A,0))):INDEX(Attenuation!$J:$J,INDEX(Cables!$AO:$AO,MATCH(G43,Cables!$A:$A,0))+INDEX(Cables!$AP:$AP,MATCH(G43,Cables!$A:$A,0))-1),1),1),1),INDEX(Cables!$AP:$AP,MATCH(G43,Cables!$A:$A,0))-1))+1),INDEX(Attenuation!$J:$J,(INDEX(Cables!$AO:$AO,MATCH(G43,Cables!$A:$A,0))-1+MIN(MAX(IFERROR(MATCH(LN(D43),INDEX(Attenuation!$J:$J,INDEX(Cables!$AO:$AO,MATCH(G43,Cables!$A:$A,0))):INDEX(Attenuation!$J:$J,INDEX(Cables!$AO:$AO,MATCH(G43,Cables!$A:$A,0))+INDEX(Cables!$AP:$AP,MATCH(G43,Cables!$A:$A,0))-1),1),1),1),INDEX(Cables!$AP:$AP,MATCH(G43,Cables!$A:$A,0))-1))):INDEX(Attenuation!$J:$J,(INDEX(Cables!$AO:$AO,MATCH(G43,Cables!$A:$A,0))-1+MIN(MAX(IFERROR(MATCH(LN(D43),INDEX(Attenuation!$J:$J,INDEX(Cables!$AO:$AO,MATCH(G43,Cables!$A:$A,0))):INDEX(Attenuation!$J:$J,INDEX(Cables!$AO:$AO,MATCH(G43,Cables!$A:$A,0))+INDEX(Cables!$AP:$AP,MATCH(G43,Cables!$A:$A,0))-1),1),1),1),INDEX(Cables!$AP:$AP,MATCH(G43,Cables!$A:$A,0))-1))+1)))*0.3048)</f>
        <v>5.0852837118492324</v>
      </c>
      <c r="I43" s="43">
        <f>IF(G43="","",EXP(FORECAST(LN(E43),INDEX(Attenuation!$K:$K,(INDEX(Cables!$AO:$AO,MATCH(G43,Cables!$A:$A,0))-1+MIN(MAX(IFERROR(MATCH(LN(E43),INDEX(Attenuation!$J:$J,INDEX(Cables!$AO:$AO,MATCH(G43,Cables!$A:$A,0))):INDEX(Attenuation!$J:$J,INDEX(Cables!$AO:$AO,MATCH(G43,Cables!$A:$A,0))+INDEX(Cables!$AP:$AP,MATCH(G43,Cables!$A:$A,0))-1),1),1),1),INDEX(Cables!$AP:$AP,MATCH(G43,Cables!$A:$A,0))-1))):INDEX(Attenuation!$K:$K,(INDEX(Cables!$AO:$AO,MATCH(G43,Cables!$A:$A,0))-1+MIN(MAX(IFERROR(MATCH(LN(E43),INDEX(Attenuation!$J:$J,INDEX(Cables!$AO:$AO,MATCH(G43,Cables!$A:$A,0))):INDEX(Attenuation!$J:$J,INDEX(Cables!$AO:$AO,MATCH(G43,Cables!$A:$A,0))+INDEX(Cables!$AP:$AP,MATCH(G43,Cables!$A:$A,0))-1),1),1),1),INDEX(Cables!$AP:$AP,MATCH(G43,Cables!$A:$A,0))-1))+1),INDEX(Attenuation!$J:$J,(INDEX(Cables!$AO:$AO,MATCH(G43,Cables!$A:$A,0))-1+MIN(MAX(IFERROR(MATCH(LN(E43),INDEX(Attenuation!$J:$J,INDEX(Cables!$AO:$AO,MATCH(G43,Cables!$A:$A,0))):INDEX(Attenuation!$J:$J,INDEX(Cables!$AO:$AO,MATCH(G43,Cables!$A:$A,0))+INDEX(Cables!$AP:$AP,MATCH(G43,Cables!$A:$A,0))-1),1),1),1),INDEX(Cables!$AP:$AP,MATCH(G43,Cables!$A:$A,0))-1))):INDEX(Attenuation!$J:$J,(INDEX(Cables!$AO:$AO,MATCH(G43,Cables!$A:$A,0))-1+MIN(MAX(IFERROR(MATCH(LN(E43),INDEX(Attenuation!$J:$J,INDEX(Cables!$AO:$AO,MATCH(G43,Cables!$A:$A,0))):INDEX(Attenuation!$J:$J,INDEX(Cables!$AO:$AO,MATCH(G43,Cables!$A:$A,0))+INDEX(Cables!$AP:$AP,MATCH(G43,Cables!$A:$A,0))-1),1),1),1),INDEX(Cables!$AP:$AP,MATCH(G43,Cables!$A:$A,0))-1))+1)))*0.3048)</f>
        <v>5.5581062147302482</v>
      </c>
      <c r="J43" s="44">
        <f t="shared" si="0"/>
        <v>2.5529160434843989E-2</v>
      </c>
      <c r="K43" s="40" t="str">
        <f>IF(G43="","Doğrulanmadı",IF(ABS(J43)&lt;=0.1,"Uyumlu (±%10)",IF(ABS(J43)&lt;=0.25,"Fark %10-25","Fark &gt;%25"))&amp;IF(OR(D43&lt;INDEX(Cables!$AQ:$AQ,MATCH(G43,Cables!$A:$A,0)),E43&gt;INDEX(Cables!$AR:$AR,MATCH(G43,Cables!$A:$A,0)))," · ekstrapolasyon",""))</f>
        <v>Uyumlu (±%10)</v>
      </c>
    </row>
    <row r="44" spans="1:11" x14ac:dyDescent="0.25">
      <c r="A44" s="37" t="s">
        <v>2971</v>
      </c>
      <c r="B44" s="40" t="str">
        <f>INDEX(Legacy_Index!$D:$D,MATCH(A44,Legacy_Index!$A:$A,0))</f>
        <v>RG223/U</v>
      </c>
      <c r="C44" s="37" t="s">
        <v>3115</v>
      </c>
      <c r="D44" s="37">
        <v>400</v>
      </c>
      <c r="E44" s="37">
        <v>520</v>
      </c>
      <c r="F44" s="37">
        <v>10</v>
      </c>
      <c r="G44" s="40" t="str">
        <f>IF(INDEX(Legacy_Index!$G:$G,MATCH(A44,Legacy_Index!$A:$A,0))="","",INDEX(Legacy_Index!$G:$G,MATCH(A44,Legacy_Index!$A:$A,0)))</f>
        <v>BEL-9273</v>
      </c>
      <c r="H44" s="43">
        <f>IF(G44="","",EXP(FORECAST(LN(D44),INDEX(Attenuation!$K:$K,(INDEX(Cables!$AO:$AO,MATCH(G44,Cables!$A:$A,0))-1+MIN(MAX(IFERROR(MATCH(LN(D44),INDEX(Attenuation!$J:$J,INDEX(Cables!$AO:$AO,MATCH(G44,Cables!$A:$A,0))):INDEX(Attenuation!$J:$J,INDEX(Cables!$AO:$AO,MATCH(G44,Cables!$A:$A,0))+INDEX(Cables!$AP:$AP,MATCH(G44,Cables!$A:$A,0))-1),1),1),1),INDEX(Cables!$AP:$AP,MATCH(G44,Cables!$A:$A,0))-1))):INDEX(Attenuation!$K:$K,(INDEX(Cables!$AO:$AO,MATCH(G44,Cables!$A:$A,0))-1+MIN(MAX(IFERROR(MATCH(LN(D44),INDEX(Attenuation!$J:$J,INDEX(Cables!$AO:$AO,MATCH(G44,Cables!$A:$A,0))):INDEX(Attenuation!$J:$J,INDEX(Cables!$AO:$AO,MATCH(G44,Cables!$A:$A,0))+INDEX(Cables!$AP:$AP,MATCH(G44,Cables!$A:$A,0))-1),1),1),1),INDEX(Cables!$AP:$AP,MATCH(G44,Cables!$A:$A,0))-1))+1),INDEX(Attenuation!$J:$J,(INDEX(Cables!$AO:$AO,MATCH(G44,Cables!$A:$A,0))-1+MIN(MAX(IFERROR(MATCH(LN(D44),INDEX(Attenuation!$J:$J,INDEX(Cables!$AO:$AO,MATCH(G44,Cables!$A:$A,0))):INDEX(Attenuation!$J:$J,INDEX(Cables!$AO:$AO,MATCH(G44,Cables!$A:$A,0))+INDEX(Cables!$AP:$AP,MATCH(G44,Cables!$A:$A,0))-1),1),1),1),INDEX(Cables!$AP:$AP,MATCH(G44,Cables!$A:$A,0))-1))):INDEX(Attenuation!$J:$J,(INDEX(Cables!$AO:$AO,MATCH(G44,Cables!$A:$A,0))-1+MIN(MAX(IFERROR(MATCH(LN(D44),INDEX(Attenuation!$J:$J,INDEX(Cables!$AO:$AO,MATCH(G44,Cables!$A:$A,0))):INDEX(Attenuation!$J:$J,INDEX(Cables!$AO:$AO,MATCH(G44,Cables!$A:$A,0))+INDEX(Cables!$AP:$AP,MATCH(G44,Cables!$A:$A,0))-1),1),1),1),INDEX(Cables!$AP:$AP,MATCH(G44,Cables!$A:$A,0))-1))+1)))*0.3048)</f>
        <v>8.8000000000000025</v>
      </c>
      <c r="I44" s="43">
        <f>IF(G44="","",EXP(FORECAST(LN(E44),INDEX(Attenuation!$K:$K,(INDEX(Cables!$AO:$AO,MATCH(G44,Cables!$A:$A,0))-1+MIN(MAX(IFERROR(MATCH(LN(E44),INDEX(Attenuation!$J:$J,INDEX(Cables!$AO:$AO,MATCH(G44,Cables!$A:$A,0))):INDEX(Attenuation!$J:$J,INDEX(Cables!$AO:$AO,MATCH(G44,Cables!$A:$A,0))+INDEX(Cables!$AP:$AP,MATCH(G44,Cables!$A:$A,0))-1),1),1),1),INDEX(Cables!$AP:$AP,MATCH(G44,Cables!$A:$A,0))-1))):INDEX(Attenuation!$K:$K,(INDEX(Cables!$AO:$AO,MATCH(G44,Cables!$A:$A,0))-1+MIN(MAX(IFERROR(MATCH(LN(E44),INDEX(Attenuation!$J:$J,INDEX(Cables!$AO:$AO,MATCH(G44,Cables!$A:$A,0))):INDEX(Attenuation!$J:$J,INDEX(Cables!$AO:$AO,MATCH(G44,Cables!$A:$A,0))+INDEX(Cables!$AP:$AP,MATCH(G44,Cables!$A:$A,0))-1),1),1),1),INDEX(Cables!$AP:$AP,MATCH(G44,Cables!$A:$A,0))-1))+1),INDEX(Attenuation!$J:$J,(INDEX(Cables!$AO:$AO,MATCH(G44,Cables!$A:$A,0))-1+MIN(MAX(IFERROR(MATCH(LN(E44),INDEX(Attenuation!$J:$J,INDEX(Cables!$AO:$AO,MATCH(G44,Cables!$A:$A,0))):INDEX(Attenuation!$J:$J,INDEX(Cables!$AO:$AO,MATCH(G44,Cables!$A:$A,0))+INDEX(Cables!$AP:$AP,MATCH(G44,Cables!$A:$A,0))-1),1),1),1),INDEX(Cables!$AP:$AP,MATCH(G44,Cables!$A:$A,0))-1))):INDEX(Attenuation!$J:$J,(INDEX(Cables!$AO:$AO,MATCH(G44,Cables!$A:$A,0))-1+MIN(MAX(IFERROR(MATCH(LN(E44),INDEX(Attenuation!$J:$J,INDEX(Cables!$AO:$AO,MATCH(G44,Cables!$A:$A,0))):INDEX(Attenuation!$J:$J,INDEX(Cables!$AO:$AO,MATCH(G44,Cables!$A:$A,0))+INDEX(Cables!$AP:$AP,MATCH(G44,Cables!$A:$A,0))-1),1),1),1),INDEX(Cables!$AP:$AP,MATCH(G44,Cables!$A:$A,0))-1))+1)))*0.3048)</f>
        <v>10.177317116518283</v>
      </c>
      <c r="J44" s="44">
        <f t="shared" si="0"/>
        <v>0</v>
      </c>
      <c r="K44" s="40" t="str">
        <f>IF(G44="","Doğrulanmadı",IF(ABS(J44)&lt;=0.1,"Uyumlu (±%10)",IF(ABS(J44)&lt;=0.25,"Fark %10-25","Fark &gt;%25"))&amp;IF(OR(D44&lt;INDEX(Cables!$AQ:$AQ,MATCH(G44,Cables!$A:$A,0)),E44&gt;INDEX(Cables!$AR:$AR,MATCH(G44,Cables!$A:$A,0)))," · ekstrapolasyon",""))</f>
        <v>Uyumlu (±%10)</v>
      </c>
    </row>
    <row r="45" spans="1:11" x14ac:dyDescent="0.25">
      <c r="A45" s="37" t="s">
        <v>2971</v>
      </c>
      <c r="B45" s="40" t="str">
        <f>INDEX(Legacy_Index!$D:$D,MATCH(A45,Legacy_Index!$A:$A,0))</f>
        <v>RG223/U</v>
      </c>
      <c r="C45" s="37" t="s">
        <v>3116</v>
      </c>
      <c r="D45" s="37">
        <v>700</v>
      </c>
      <c r="E45" s="37">
        <v>960</v>
      </c>
      <c r="F45" s="37">
        <v>13.7</v>
      </c>
      <c r="G45" s="40" t="str">
        <f>IF(INDEX(Legacy_Index!$G:$G,MATCH(A45,Legacy_Index!$A:$A,0))="","",INDEX(Legacy_Index!$G:$G,MATCH(A45,Legacy_Index!$A:$A,0)))</f>
        <v>BEL-9273</v>
      </c>
      <c r="H45" s="43">
        <f>IF(G45="","",EXP(FORECAST(LN(D45),INDEX(Attenuation!$K:$K,(INDEX(Cables!$AO:$AO,MATCH(G45,Cables!$A:$A,0))-1+MIN(MAX(IFERROR(MATCH(LN(D45),INDEX(Attenuation!$J:$J,INDEX(Cables!$AO:$AO,MATCH(G45,Cables!$A:$A,0))):INDEX(Attenuation!$J:$J,INDEX(Cables!$AO:$AO,MATCH(G45,Cables!$A:$A,0))+INDEX(Cables!$AP:$AP,MATCH(G45,Cables!$A:$A,0))-1),1),1),1),INDEX(Cables!$AP:$AP,MATCH(G45,Cables!$A:$A,0))-1))):INDEX(Attenuation!$K:$K,(INDEX(Cables!$AO:$AO,MATCH(G45,Cables!$A:$A,0))-1+MIN(MAX(IFERROR(MATCH(LN(D45),INDEX(Attenuation!$J:$J,INDEX(Cables!$AO:$AO,MATCH(G45,Cables!$A:$A,0))):INDEX(Attenuation!$J:$J,INDEX(Cables!$AO:$AO,MATCH(G45,Cables!$A:$A,0))+INDEX(Cables!$AP:$AP,MATCH(G45,Cables!$A:$A,0))-1),1),1),1),INDEX(Cables!$AP:$AP,MATCH(G45,Cables!$A:$A,0))-1))+1),INDEX(Attenuation!$J:$J,(INDEX(Cables!$AO:$AO,MATCH(G45,Cables!$A:$A,0))-1+MIN(MAX(IFERROR(MATCH(LN(D45),INDEX(Attenuation!$J:$J,INDEX(Cables!$AO:$AO,MATCH(G45,Cables!$A:$A,0))):INDEX(Attenuation!$J:$J,INDEX(Cables!$AO:$AO,MATCH(G45,Cables!$A:$A,0))+INDEX(Cables!$AP:$AP,MATCH(G45,Cables!$A:$A,0))-1),1),1),1),INDEX(Cables!$AP:$AP,MATCH(G45,Cables!$A:$A,0))-1))):INDEX(Attenuation!$J:$J,(INDEX(Cables!$AO:$AO,MATCH(G45,Cables!$A:$A,0))-1+MIN(MAX(IFERROR(MATCH(LN(D45),INDEX(Attenuation!$J:$J,INDEX(Cables!$AO:$AO,MATCH(G45,Cables!$A:$A,0))):INDEX(Attenuation!$J:$J,INDEX(Cables!$AO:$AO,MATCH(G45,Cables!$A:$A,0))+INDEX(Cables!$AP:$AP,MATCH(G45,Cables!$A:$A,0))-1),1),1),1),INDEX(Cables!$AP:$AP,MATCH(G45,Cables!$A:$A,0))-1))+1)))*0.3048)</f>
        <v>12.000000000000005</v>
      </c>
      <c r="I45" s="43">
        <f>IF(G45="","",EXP(FORECAST(LN(E45),INDEX(Attenuation!$K:$K,(INDEX(Cables!$AO:$AO,MATCH(G45,Cables!$A:$A,0))-1+MIN(MAX(IFERROR(MATCH(LN(E45),INDEX(Attenuation!$J:$J,INDEX(Cables!$AO:$AO,MATCH(G45,Cables!$A:$A,0))):INDEX(Attenuation!$J:$J,INDEX(Cables!$AO:$AO,MATCH(G45,Cables!$A:$A,0))+INDEX(Cables!$AP:$AP,MATCH(G45,Cables!$A:$A,0))-1),1),1),1),INDEX(Cables!$AP:$AP,MATCH(G45,Cables!$A:$A,0))-1))):INDEX(Attenuation!$K:$K,(INDEX(Cables!$AO:$AO,MATCH(G45,Cables!$A:$A,0))-1+MIN(MAX(IFERROR(MATCH(LN(E45),INDEX(Attenuation!$J:$J,INDEX(Cables!$AO:$AO,MATCH(G45,Cables!$A:$A,0))):INDEX(Attenuation!$J:$J,INDEX(Cables!$AO:$AO,MATCH(G45,Cables!$A:$A,0))+INDEX(Cables!$AP:$AP,MATCH(G45,Cables!$A:$A,0))-1),1),1),1),INDEX(Cables!$AP:$AP,MATCH(G45,Cables!$A:$A,0))-1))+1),INDEX(Attenuation!$J:$J,(INDEX(Cables!$AO:$AO,MATCH(G45,Cables!$A:$A,0))-1+MIN(MAX(IFERROR(MATCH(LN(E45),INDEX(Attenuation!$J:$J,INDEX(Cables!$AO:$AO,MATCH(G45,Cables!$A:$A,0))):INDEX(Attenuation!$J:$J,INDEX(Cables!$AO:$AO,MATCH(G45,Cables!$A:$A,0))+INDEX(Cables!$AP:$AP,MATCH(G45,Cables!$A:$A,0))-1),1),1),1),INDEX(Cables!$AP:$AP,MATCH(G45,Cables!$A:$A,0))-1))):INDEX(Attenuation!$J:$J,(INDEX(Cables!$AO:$AO,MATCH(G45,Cables!$A:$A,0))-1+MIN(MAX(IFERROR(MATCH(LN(E45),INDEX(Attenuation!$J:$J,INDEX(Cables!$AO:$AO,MATCH(G45,Cables!$A:$A,0))):INDEX(Attenuation!$J:$J,INDEX(Cables!$AO:$AO,MATCH(G45,Cables!$A:$A,0))+INDEX(Cables!$AP:$AP,MATCH(G45,Cables!$A:$A,0))-1),1),1),1),INDEX(Cables!$AP:$AP,MATCH(G45,Cables!$A:$A,0))-1))+1)))*0.3048)</f>
        <v>14.224667021803203</v>
      </c>
      <c r="J45" s="44">
        <f t="shared" si="0"/>
        <v>0</v>
      </c>
      <c r="K45" s="40" t="str">
        <f>IF(G45="","Doğrulanmadı",IF(ABS(J45)&lt;=0.1,"Uyumlu (±%10)",IF(ABS(J45)&lt;=0.25,"Fark %10-25","Fark &gt;%25"))&amp;IF(OR(D45&lt;INDEX(Cables!$AQ:$AQ,MATCH(G45,Cables!$A:$A,0)),E45&gt;INDEX(Cables!$AR:$AR,MATCH(G45,Cables!$A:$A,0)))," · ekstrapolasyon",""))</f>
        <v>Uyumlu (±%10)</v>
      </c>
    </row>
    <row r="46" spans="1:11" x14ac:dyDescent="0.25">
      <c r="A46" s="37" t="s">
        <v>2973</v>
      </c>
      <c r="B46" s="40" t="str">
        <f>INDEX(Legacy_Index!$D:$D,MATCH(A46,Legacy_Index!$A:$A,0))</f>
        <v>RG58 CELLFOAM™</v>
      </c>
      <c r="C46" s="37" t="s">
        <v>3113</v>
      </c>
      <c r="D46" s="37">
        <v>70</v>
      </c>
      <c r="E46" s="37">
        <v>100</v>
      </c>
      <c r="F46" s="37">
        <v>4.0999999999999996</v>
      </c>
      <c r="G46" s="40" t="str">
        <f>IF(INDEX(Legacy_Index!$G:$G,MATCH(A46,Legacy_Index!$A:$A,0))="","",INDEX(Legacy_Index!$G:$G,MATCH(A46,Legacy_Index!$A:$A,0)))</f>
        <v>BEL-8219</v>
      </c>
      <c r="H46" s="43">
        <f>IF(G46="","",EXP(FORECAST(LN(D46),INDEX(Attenuation!$K:$K,(INDEX(Cables!$AO:$AO,MATCH(G46,Cables!$A:$A,0))-1+MIN(MAX(IFERROR(MATCH(LN(D46),INDEX(Attenuation!$J:$J,INDEX(Cables!$AO:$AO,MATCH(G46,Cables!$A:$A,0))):INDEX(Attenuation!$J:$J,INDEX(Cables!$AO:$AO,MATCH(G46,Cables!$A:$A,0))+INDEX(Cables!$AP:$AP,MATCH(G46,Cables!$A:$A,0))-1),1),1),1),INDEX(Cables!$AP:$AP,MATCH(G46,Cables!$A:$A,0))-1))):INDEX(Attenuation!$K:$K,(INDEX(Cables!$AO:$AO,MATCH(G46,Cables!$A:$A,0))-1+MIN(MAX(IFERROR(MATCH(LN(D46),INDEX(Attenuation!$J:$J,INDEX(Cables!$AO:$AO,MATCH(G46,Cables!$A:$A,0))):INDEX(Attenuation!$J:$J,INDEX(Cables!$AO:$AO,MATCH(G46,Cables!$A:$A,0))+INDEX(Cables!$AP:$AP,MATCH(G46,Cables!$A:$A,0))-1),1),1),1),INDEX(Cables!$AP:$AP,MATCH(G46,Cables!$A:$A,0))-1))+1),INDEX(Attenuation!$J:$J,(INDEX(Cables!$AO:$AO,MATCH(G46,Cables!$A:$A,0))-1+MIN(MAX(IFERROR(MATCH(LN(D46),INDEX(Attenuation!$J:$J,INDEX(Cables!$AO:$AO,MATCH(G46,Cables!$A:$A,0))):INDEX(Attenuation!$J:$J,INDEX(Cables!$AO:$AO,MATCH(G46,Cables!$A:$A,0))+INDEX(Cables!$AP:$AP,MATCH(G46,Cables!$A:$A,0))-1),1),1),1),INDEX(Cables!$AP:$AP,MATCH(G46,Cables!$A:$A,0))-1))):INDEX(Attenuation!$J:$J,(INDEX(Cables!$AO:$AO,MATCH(G46,Cables!$A:$A,0))-1+MIN(MAX(IFERROR(MATCH(LN(D46),INDEX(Attenuation!$J:$J,INDEX(Cables!$AO:$AO,MATCH(G46,Cables!$A:$A,0))):INDEX(Attenuation!$J:$J,INDEX(Cables!$AO:$AO,MATCH(G46,Cables!$A:$A,0))+INDEX(Cables!$AP:$AP,MATCH(G46,Cables!$A:$A,0))-1),1),1),1),INDEX(Cables!$AP:$AP,MATCH(G46,Cables!$A:$A,0))-1))+1)))*0.3048)</f>
        <v>3.714740013418929</v>
      </c>
      <c r="I46" s="43">
        <f>IF(G46="","",EXP(FORECAST(LN(E46),INDEX(Attenuation!$K:$K,(INDEX(Cables!$AO:$AO,MATCH(G46,Cables!$A:$A,0))-1+MIN(MAX(IFERROR(MATCH(LN(E46),INDEX(Attenuation!$J:$J,INDEX(Cables!$AO:$AO,MATCH(G46,Cables!$A:$A,0))):INDEX(Attenuation!$J:$J,INDEX(Cables!$AO:$AO,MATCH(G46,Cables!$A:$A,0))+INDEX(Cables!$AP:$AP,MATCH(G46,Cables!$A:$A,0))-1),1),1),1),INDEX(Cables!$AP:$AP,MATCH(G46,Cables!$A:$A,0))-1))):INDEX(Attenuation!$K:$K,(INDEX(Cables!$AO:$AO,MATCH(G46,Cables!$A:$A,0))-1+MIN(MAX(IFERROR(MATCH(LN(E46),INDEX(Attenuation!$J:$J,INDEX(Cables!$AO:$AO,MATCH(G46,Cables!$A:$A,0))):INDEX(Attenuation!$J:$J,INDEX(Cables!$AO:$AO,MATCH(G46,Cables!$A:$A,0))+INDEX(Cables!$AP:$AP,MATCH(G46,Cables!$A:$A,0))-1),1),1),1),INDEX(Cables!$AP:$AP,MATCH(G46,Cables!$A:$A,0))-1))+1),INDEX(Attenuation!$J:$J,(INDEX(Cables!$AO:$AO,MATCH(G46,Cables!$A:$A,0))-1+MIN(MAX(IFERROR(MATCH(LN(E46),INDEX(Attenuation!$J:$J,INDEX(Cables!$AO:$AO,MATCH(G46,Cables!$A:$A,0))):INDEX(Attenuation!$J:$J,INDEX(Cables!$AO:$AO,MATCH(G46,Cables!$A:$A,0))+INDEX(Cables!$AP:$AP,MATCH(G46,Cables!$A:$A,0))-1),1),1),1),INDEX(Cables!$AP:$AP,MATCH(G46,Cables!$A:$A,0))-1))):INDEX(Attenuation!$J:$J,(INDEX(Cables!$AO:$AO,MATCH(G46,Cables!$A:$A,0))-1+MIN(MAX(IFERROR(MATCH(LN(E46),INDEX(Attenuation!$J:$J,INDEX(Cables!$AO:$AO,MATCH(G46,Cables!$A:$A,0))):INDEX(Attenuation!$J:$J,INDEX(Cables!$AO:$AO,MATCH(G46,Cables!$A:$A,0))+INDEX(Cables!$AP:$AP,MATCH(G46,Cables!$A:$A,0))-1),1),1),1),INDEX(Cables!$AP:$AP,MATCH(G46,Cables!$A:$A,0))-1))+1)))*0.3048)</f>
        <v>4.5</v>
      </c>
      <c r="J46" s="44">
        <f t="shared" si="0"/>
        <v>0</v>
      </c>
      <c r="K46" s="40" t="str">
        <f>IF(G46="","Doğrulanmadı",IF(ABS(J46)&lt;=0.1,"Uyumlu (±%10)",IF(ABS(J46)&lt;=0.25,"Fark %10-25","Fark &gt;%25"))&amp;IF(OR(D46&lt;INDEX(Cables!$AQ:$AQ,MATCH(G46,Cables!$A:$A,0)),E46&gt;INDEX(Cables!$AR:$AR,MATCH(G46,Cables!$A:$A,0)))," · ekstrapolasyon",""))</f>
        <v>Uyumlu (±%10)</v>
      </c>
    </row>
    <row r="47" spans="1:11" x14ac:dyDescent="0.25">
      <c r="A47" s="37" t="s">
        <v>2973</v>
      </c>
      <c r="B47" s="40" t="str">
        <f>INDEX(Legacy_Index!$D:$D,MATCH(A47,Legacy_Index!$A:$A,0))</f>
        <v>RG58 CELLFOAM™</v>
      </c>
      <c r="C47" s="37" t="s">
        <v>3114</v>
      </c>
      <c r="D47" s="37">
        <v>148</v>
      </c>
      <c r="E47" s="37">
        <v>174</v>
      </c>
      <c r="F47" s="37">
        <v>5.6</v>
      </c>
      <c r="G47" s="40" t="str">
        <f>IF(INDEX(Legacy_Index!$G:$G,MATCH(A47,Legacy_Index!$A:$A,0))="","",INDEX(Legacy_Index!$G:$G,MATCH(A47,Legacy_Index!$A:$A,0)))</f>
        <v>BEL-8219</v>
      </c>
      <c r="H47" s="43">
        <f>IF(G47="","",EXP(FORECAST(LN(D47),INDEX(Attenuation!$K:$K,(INDEX(Cables!$AO:$AO,MATCH(G47,Cables!$A:$A,0))-1+MIN(MAX(IFERROR(MATCH(LN(D47),INDEX(Attenuation!$J:$J,INDEX(Cables!$AO:$AO,MATCH(G47,Cables!$A:$A,0))):INDEX(Attenuation!$J:$J,INDEX(Cables!$AO:$AO,MATCH(G47,Cables!$A:$A,0))+INDEX(Cables!$AP:$AP,MATCH(G47,Cables!$A:$A,0))-1),1),1),1),INDEX(Cables!$AP:$AP,MATCH(G47,Cables!$A:$A,0))-1))):INDEX(Attenuation!$K:$K,(INDEX(Cables!$AO:$AO,MATCH(G47,Cables!$A:$A,0))-1+MIN(MAX(IFERROR(MATCH(LN(D47),INDEX(Attenuation!$J:$J,INDEX(Cables!$AO:$AO,MATCH(G47,Cables!$A:$A,0))):INDEX(Attenuation!$J:$J,INDEX(Cables!$AO:$AO,MATCH(G47,Cables!$A:$A,0))+INDEX(Cables!$AP:$AP,MATCH(G47,Cables!$A:$A,0))-1),1),1),1),INDEX(Cables!$AP:$AP,MATCH(G47,Cables!$A:$A,0))-1))+1),INDEX(Attenuation!$J:$J,(INDEX(Cables!$AO:$AO,MATCH(G47,Cables!$A:$A,0))-1+MIN(MAX(IFERROR(MATCH(LN(D47),INDEX(Attenuation!$J:$J,INDEX(Cables!$AO:$AO,MATCH(G47,Cables!$A:$A,0))):INDEX(Attenuation!$J:$J,INDEX(Cables!$AO:$AO,MATCH(G47,Cables!$A:$A,0))+INDEX(Cables!$AP:$AP,MATCH(G47,Cables!$A:$A,0))-1),1),1),1),INDEX(Cables!$AP:$AP,MATCH(G47,Cables!$A:$A,0))-1))):INDEX(Attenuation!$J:$J,(INDEX(Cables!$AO:$AO,MATCH(G47,Cables!$A:$A,0))-1+MIN(MAX(IFERROR(MATCH(LN(D47),INDEX(Attenuation!$J:$J,INDEX(Cables!$AO:$AO,MATCH(G47,Cables!$A:$A,0))):INDEX(Attenuation!$J:$J,INDEX(Cables!$AO:$AO,MATCH(G47,Cables!$A:$A,0))+INDEX(Cables!$AP:$AP,MATCH(G47,Cables!$A:$A,0))-1),1),1),1),INDEX(Cables!$AP:$AP,MATCH(G47,Cables!$A:$A,0))-1))+1)))*0.3048)</f>
        <v>5.5884207454768289</v>
      </c>
      <c r="I47" s="43">
        <f>IF(G47="","",EXP(FORECAST(LN(E47),INDEX(Attenuation!$K:$K,(INDEX(Cables!$AO:$AO,MATCH(G47,Cables!$A:$A,0))-1+MIN(MAX(IFERROR(MATCH(LN(E47),INDEX(Attenuation!$J:$J,INDEX(Cables!$AO:$AO,MATCH(G47,Cables!$A:$A,0))):INDEX(Attenuation!$J:$J,INDEX(Cables!$AO:$AO,MATCH(G47,Cables!$A:$A,0))+INDEX(Cables!$AP:$AP,MATCH(G47,Cables!$A:$A,0))-1),1),1),1),INDEX(Cables!$AP:$AP,MATCH(G47,Cables!$A:$A,0))-1))):INDEX(Attenuation!$K:$K,(INDEX(Cables!$AO:$AO,MATCH(G47,Cables!$A:$A,0))-1+MIN(MAX(IFERROR(MATCH(LN(E47),INDEX(Attenuation!$J:$J,INDEX(Cables!$AO:$AO,MATCH(G47,Cables!$A:$A,0))):INDEX(Attenuation!$J:$J,INDEX(Cables!$AO:$AO,MATCH(G47,Cables!$A:$A,0))+INDEX(Cables!$AP:$AP,MATCH(G47,Cables!$A:$A,0))-1),1),1),1),INDEX(Cables!$AP:$AP,MATCH(G47,Cables!$A:$A,0))-1))+1),INDEX(Attenuation!$J:$J,(INDEX(Cables!$AO:$AO,MATCH(G47,Cables!$A:$A,0))-1+MIN(MAX(IFERROR(MATCH(LN(E47),INDEX(Attenuation!$J:$J,INDEX(Cables!$AO:$AO,MATCH(G47,Cables!$A:$A,0))):INDEX(Attenuation!$J:$J,INDEX(Cables!$AO:$AO,MATCH(G47,Cables!$A:$A,0))+INDEX(Cables!$AP:$AP,MATCH(G47,Cables!$A:$A,0))-1),1),1),1),INDEX(Cables!$AP:$AP,MATCH(G47,Cables!$A:$A,0))-1))):INDEX(Attenuation!$J:$J,(INDEX(Cables!$AO:$AO,MATCH(G47,Cables!$A:$A,0))-1+MIN(MAX(IFERROR(MATCH(LN(E47),INDEX(Attenuation!$J:$J,INDEX(Cables!$AO:$AO,MATCH(G47,Cables!$A:$A,0))):INDEX(Attenuation!$J:$J,INDEX(Cables!$AO:$AO,MATCH(G47,Cables!$A:$A,0))+INDEX(Cables!$AP:$AP,MATCH(G47,Cables!$A:$A,0))-1),1),1),1),INDEX(Cables!$AP:$AP,MATCH(G47,Cables!$A:$A,0))-1))+1)))*0.3048)</f>
        <v>6.111190775968292</v>
      </c>
      <c r="J47" s="44">
        <f t="shared" si="0"/>
        <v>0</v>
      </c>
      <c r="K47" s="40" t="str">
        <f>IF(G47="","Doğrulanmadı",IF(ABS(J47)&lt;=0.1,"Uyumlu (±%10)",IF(ABS(J47)&lt;=0.25,"Fark %10-25","Fark &gt;%25"))&amp;IF(OR(D47&lt;INDEX(Cables!$AQ:$AQ,MATCH(G47,Cables!$A:$A,0)),E47&gt;INDEX(Cables!$AR:$AR,MATCH(G47,Cables!$A:$A,0)))," · ekstrapolasyon",""))</f>
        <v>Uyumlu (±%10)</v>
      </c>
    </row>
    <row r="48" spans="1:11" x14ac:dyDescent="0.25">
      <c r="A48" s="37" t="s">
        <v>2973</v>
      </c>
      <c r="B48" s="40" t="str">
        <f>INDEX(Legacy_Index!$D:$D,MATCH(A48,Legacy_Index!$A:$A,0))</f>
        <v>RG58 CELLFOAM™</v>
      </c>
      <c r="C48" s="37" t="s">
        <v>3115</v>
      </c>
      <c r="D48" s="37">
        <v>400</v>
      </c>
      <c r="E48" s="37">
        <v>520</v>
      </c>
      <c r="F48" s="37">
        <v>9.8000000000000007</v>
      </c>
      <c r="G48" s="40" t="str">
        <f>IF(INDEX(Legacy_Index!$G:$G,MATCH(A48,Legacy_Index!$A:$A,0))="","",INDEX(Legacy_Index!$G:$G,MATCH(A48,Legacy_Index!$A:$A,0)))</f>
        <v>BEL-8219</v>
      </c>
      <c r="H48" s="43">
        <f>IF(G48="","",EXP(FORECAST(LN(D48),INDEX(Attenuation!$K:$K,(INDEX(Cables!$AO:$AO,MATCH(G48,Cables!$A:$A,0))-1+MIN(MAX(IFERROR(MATCH(LN(D48),INDEX(Attenuation!$J:$J,INDEX(Cables!$AO:$AO,MATCH(G48,Cables!$A:$A,0))):INDEX(Attenuation!$J:$J,INDEX(Cables!$AO:$AO,MATCH(G48,Cables!$A:$A,0))+INDEX(Cables!$AP:$AP,MATCH(G48,Cables!$A:$A,0))-1),1),1),1),INDEX(Cables!$AP:$AP,MATCH(G48,Cables!$A:$A,0))-1))):INDEX(Attenuation!$K:$K,(INDEX(Cables!$AO:$AO,MATCH(G48,Cables!$A:$A,0))-1+MIN(MAX(IFERROR(MATCH(LN(D48),INDEX(Attenuation!$J:$J,INDEX(Cables!$AO:$AO,MATCH(G48,Cables!$A:$A,0))):INDEX(Attenuation!$J:$J,INDEX(Cables!$AO:$AO,MATCH(G48,Cables!$A:$A,0))+INDEX(Cables!$AP:$AP,MATCH(G48,Cables!$A:$A,0))-1),1),1),1),INDEX(Cables!$AP:$AP,MATCH(G48,Cables!$A:$A,0))-1))+1),INDEX(Attenuation!$J:$J,(INDEX(Cables!$AO:$AO,MATCH(G48,Cables!$A:$A,0))-1+MIN(MAX(IFERROR(MATCH(LN(D48),INDEX(Attenuation!$J:$J,INDEX(Cables!$AO:$AO,MATCH(G48,Cables!$A:$A,0))):INDEX(Attenuation!$J:$J,INDEX(Cables!$AO:$AO,MATCH(G48,Cables!$A:$A,0))+INDEX(Cables!$AP:$AP,MATCH(G48,Cables!$A:$A,0))-1),1),1),1),INDEX(Cables!$AP:$AP,MATCH(G48,Cables!$A:$A,0))-1))):INDEX(Attenuation!$J:$J,(INDEX(Cables!$AO:$AO,MATCH(G48,Cables!$A:$A,0))-1+MIN(MAX(IFERROR(MATCH(LN(D48),INDEX(Attenuation!$J:$J,INDEX(Cables!$AO:$AO,MATCH(G48,Cables!$A:$A,0))):INDEX(Attenuation!$J:$J,INDEX(Cables!$AO:$AO,MATCH(G48,Cables!$A:$A,0))+INDEX(Cables!$AP:$AP,MATCH(G48,Cables!$A:$A,0))-1),1),1),1),INDEX(Cables!$AP:$AP,MATCH(G48,Cables!$A:$A,0))-1))+1)))*0.3048)</f>
        <v>10.000000000000004</v>
      </c>
      <c r="I48" s="43">
        <f>IF(G48="","",EXP(FORECAST(LN(E48),INDEX(Attenuation!$K:$K,(INDEX(Cables!$AO:$AO,MATCH(G48,Cables!$A:$A,0))-1+MIN(MAX(IFERROR(MATCH(LN(E48),INDEX(Attenuation!$J:$J,INDEX(Cables!$AO:$AO,MATCH(G48,Cables!$A:$A,0))):INDEX(Attenuation!$J:$J,INDEX(Cables!$AO:$AO,MATCH(G48,Cables!$A:$A,0))+INDEX(Cables!$AP:$AP,MATCH(G48,Cables!$A:$A,0))-1),1),1),1),INDEX(Cables!$AP:$AP,MATCH(G48,Cables!$A:$A,0))-1))):INDEX(Attenuation!$K:$K,(INDEX(Cables!$AO:$AO,MATCH(G48,Cables!$A:$A,0))-1+MIN(MAX(IFERROR(MATCH(LN(E48),INDEX(Attenuation!$J:$J,INDEX(Cables!$AO:$AO,MATCH(G48,Cables!$A:$A,0))):INDEX(Attenuation!$J:$J,INDEX(Cables!$AO:$AO,MATCH(G48,Cables!$A:$A,0))+INDEX(Cables!$AP:$AP,MATCH(G48,Cables!$A:$A,0))-1),1),1),1),INDEX(Cables!$AP:$AP,MATCH(G48,Cables!$A:$A,0))-1))+1),INDEX(Attenuation!$J:$J,(INDEX(Cables!$AO:$AO,MATCH(G48,Cables!$A:$A,0))-1+MIN(MAX(IFERROR(MATCH(LN(E48),INDEX(Attenuation!$J:$J,INDEX(Cables!$AO:$AO,MATCH(G48,Cables!$A:$A,0))):INDEX(Attenuation!$J:$J,INDEX(Cables!$AO:$AO,MATCH(G48,Cables!$A:$A,0))+INDEX(Cables!$AP:$AP,MATCH(G48,Cables!$A:$A,0))-1),1),1),1),INDEX(Cables!$AP:$AP,MATCH(G48,Cables!$A:$A,0))-1))):INDEX(Attenuation!$J:$J,(INDEX(Cables!$AO:$AO,MATCH(G48,Cables!$A:$A,0))-1+MIN(MAX(IFERROR(MATCH(LN(E48),INDEX(Attenuation!$J:$J,INDEX(Cables!$AO:$AO,MATCH(G48,Cables!$A:$A,0))):INDEX(Attenuation!$J:$J,INDEX(Cables!$AO:$AO,MATCH(G48,Cables!$A:$A,0))+INDEX(Cables!$AP:$AP,MATCH(G48,Cables!$A:$A,0))-1),1),1),1),INDEX(Cables!$AP:$AP,MATCH(G48,Cables!$A:$A,0))-1))+1)))*0.3048)</f>
        <v>11.786835818244132</v>
      </c>
      <c r="J48" s="44">
        <f t="shared" si="0"/>
        <v>-2.000000000000024E-2</v>
      </c>
      <c r="K48" s="40" t="str">
        <f>IF(G48="","Doğrulanmadı",IF(ABS(J48)&lt;=0.1,"Uyumlu (±%10)",IF(ABS(J48)&lt;=0.25,"Fark %10-25","Fark &gt;%25"))&amp;IF(OR(D48&lt;INDEX(Cables!$AQ:$AQ,MATCH(G48,Cables!$A:$A,0)),E48&gt;INDEX(Cables!$AR:$AR,MATCH(G48,Cables!$A:$A,0)))," · ekstrapolasyon",""))</f>
        <v>Uyumlu (±%10)</v>
      </c>
    </row>
    <row r="49" spans="1:11" x14ac:dyDescent="0.25">
      <c r="A49" s="37" t="s">
        <v>2973</v>
      </c>
      <c r="B49" s="40" t="str">
        <f>INDEX(Legacy_Index!$D:$D,MATCH(A49,Legacy_Index!$A:$A,0))</f>
        <v>RG58 CELLFOAM™</v>
      </c>
      <c r="C49" s="37" t="s">
        <v>3116</v>
      </c>
      <c r="D49" s="37">
        <v>700</v>
      </c>
      <c r="E49" s="37">
        <v>960</v>
      </c>
      <c r="F49" s="37">
        <v>13.2</v>
      </c>
      <c r="G49" s="40" t="str">
        <f>IF(INDEX(Legacy_Index!$G:$G,MATCH(A49,Legacy_Index!$A:$A,0))="","",INDEX(Legacy_Index!$G:$G,MATCH(A49,Legacy_Index!$A:$A,0)))</f>
        <v>BEL-8219</v>
      </c>
      <c r="H49" s="43">
        <f>IF(G49="","",EXP(FORECAST(LN(D49),INDEX(Attenuation!$K:$K,(INDEX(Cables!$AO:$AO,MATCH(G49,Cables!$A:$A,0))-1+MIN(MAX(IFERROR(MATCH(LN(D49),INDEX(Attenuation!$J:$J,INDEX(Cables!$AO:$AO,MATCH(G49,Cables!$A:$A,0))):INDEX(Attenuation!$J:$J,INDEX(Cables!$AO:$AO,MATCH(G49,Cables!$A:$A,0))+INDEX(Cables!$AP:$AP,MATCH(G49,Cables!$A:$A,0))-1),1),1),1),INDEX(Cables!$AP:$AP,MATCH(G49,Cables!$A:$A,0))-1))):INDEX(Attenuation!$K:$K,(INDEX(Cables!$AO:$AO,MATCH(G49,Cables!$A:$A,0))-1+MIN(MAX(IFERROR(MATCH(LN(D49),INDEX(Attenuation!$J:$J,INDEX(Cables!$AO:$AO,MATCH(G49,Cables!$A:$A,0))):INDEX(Attenuation!$J:$J,INDEX(Cables!$AO:$AO,MATCH(G49,Cables!$A:$A,0))+INDEX(Cables!$AP:$AP,MATCH(G49,Cables!$A:$A,0))-1),1),1),1),INDEX(Cables!$AP:$AP,MATCH(G49,Cables!$A:$A,0))-1))+1),INDEX(Attenuation!$J:$J,(INDEX(Cables!$AO:$AO,MATCH(G49,Cables!$A:$A,0))-1+MIN(MAX(IFERROR(MATCH(LN(D49),INDEX(Attenuation!$J:$J,INDEX(Cables!$AO:$AO,MATCH(G49,Cables!$A:$A,0))):INDEX(Attenuation!$J:$J,INDEX(Cables!$AO:$AO,MATCH(G49,Cables!$A:$A,0))+INDEX(Cables!$AP:$AP,MATCH(G49,Cables!$A:$A,0))-1),1),1),1),INDEX(Cables!$AP:$AP,MATCH(G49,Cables!$A:$A,0))-1))):INDEX(Attenuation!$J:$J,(INDEX(Cables!$AO:$AO,MATCH(G49,Cables!$A:$A,0))-1+MIN(MAX(IFERROR(MATCH(LN(D49),INDEX(Attenuation!$J:$J,INDEX(Cables!$AO:$AO,MATCH(G49,Cables!$A:$A,0))):INDEX(Attenuation!$J:$J,INDEX(Cables!$AO:$AO,MATCH(G49,Cables!$A:$A,0))+INDEX(Cables!$AP:$AP,MATCH(G49,Cables!$A:$A,0))-1),1),1),1),INDEX(Cables!$AP:$AP,MATCH(G49,Cables!$A:$A,0))-1))+1)))*0.3048)</f>
        <v>14.200000000000005</v>
      </c>
      <c r="I49" s="43">
        <f>IF(G49="","",EXP(FORECAST(LN(E49),INDEX(Attenuation!$K:$K,(INDEX(Cables!$AO:$AO,MATCH(G49,Cables!$A:$A,0))-1+MIN(MAX(IFERROR(MATCH(LN(E49),INDEX(Attenuation!$J:$J,INDEX(Cables!$AO:$AO,MATCH(G49,Cables!$A:$A,0))):INDEX(Attenuation!$J:$J,INDEX(Cables!$AO:$AO,MATCH(G49,Cables!$A:$A,0))+INDEX(Cables!$AP:$AP,MATCH(G49,Cables!$A:$A,0))-1),1),1),1),INDEX(Cables!$AP:$AP,MATCH(G49,Cables!$A:$A,0))-1))):INDEX(Attenuation!$K:$K,(INDEX(Cables!$AO:$AO,MATCH(G49,Cables!$A:$A,0))-1+MIN(MAX(IFERROR(MATCH(LN(E49),INDEX(Attenuation!$J:$J,INDEX(Cables!$AO:$AO,MATCH(G49,Cables!$A:$A,0))):INDEX(Attenuation!$J:$J,INDEX(Cables!$AO:$AO,MATCH(G49,Cables!$A:$A,0))+INDEX(Cables!$AP:$AP,MATCH(G49,Cables!$A:$A,0))-1),1),1),1),INDEX(Cables!$AP:$AP,MATCH(G49,Cables!$A:$A,0))-1))+1),INDEX(Attenuation!$J:$J,(INDEX(Cables!$AO:$AO,MATCH(G49,Cables!$A:$A,0))-1+MIN(MAX(IFERROR(MATCH(LN(E49),INDEX(Attenuation!$J:$J,INDEX(Cables!$AO:$AO,MATCH(G49,Cables!$A:$A,0))):INDEX(Attenuation!$J:$J,INDEX(Cables!$AO:$AO,MATCH(G49,Cables!$A:$A,0))+INDEX(Cables!$AP:$AP,MATCH(G49,Cables!$A:$A,0))-1),1),1),1),INDEX(Cables!$AP:$AP,MATCH(G49,Cables!$A:$A,0))-1))):INDEX(Attenuation!$J:$J,(INDEX(Cables!$AO:$AO,MATCH(G49,Cables!$A:$A,0))-1+MIN(MAX(IFERROR(MATCH(LN(E49),INDEX(Attenuation!$J:$J,INDEX(Cables!$AO:$AO,MATCH(G49,Cables!$A:$A,0))):INDEX(Attenuation!$J:$J,INDEX(Cables!$AO:$AO,MATCH(G49,Cables!$A:$A,0))+INDEX(Cables!$AP:$AP,MATCH(G49,Cables!$A:$A,0))-1),1),1),1),INDEX(Cables!$AP:$AP,MATCH(G49,Cables!$A:$A,0))-1))+1)))*0.3048)</f>
        <v>17.503377820208382</v>
      </c>
      <c r="J49" s="44">
        <f t="shared" si="0"/>
        <v>-7.0422535211267956E-2</v>
      </c>
      <c r="K49" s="40" t="str">
        <f>IF(G49="","Doğrulanmadı",IF(ABS(J49)&lt;=0.1,"Uyumlu (±%10)",IF(ABS(J49)&lt;=0.25,"Fark %10-25","Fark &gt;%25"))&amp;IF(OR(D49&lt;INDEX(Cables!$AQ:$AQ,MATCH(G49,Cables!$A:$A,0)),E49&gt;INDEX(Cables!$AR:$AR,MATCH(G49,Cables!$A:$A,0)))," · ekstrapolasyon",""))</f>
        <v>Uyumlu (±%10)</v>
      </c>
    </row>
    <row r="50" spans="1:11" x14ac:dyDescent="0.25">
      <c r="A50" s="37" t="s">
        <v>2976</v>
      </c>
      <c r="B50" s="40" t="str">
        <f>INDEX(Legacy_Index!$D:$D,MATCH(A50,Legacy_Index!$A:$A,0))</f>
        <v>RG400/U</v>
      </c>
      <c r="C50" s="37" t="s">
        <v>3115</v>
      </c>
      <c r="D50" s="37">
        <v>400</v>
      </c>
      <c r="E50" s="37">
        <v>520</v>
      </c>
      <c r="F50" s="37">
        <v>9.6</v>
      </c>
      <c r="G50" s="40" t="str">
        <f>IF(INDEX(Legacy_Index!$G:$G,MATCH(A50,Legacy_Index!$A:$A,0))="","",INDEX(Legacy_Index!$G:$G,MATCH(A50,Legacy_Index!$A:$A,0)))</f>
        <v>HAR-M17-128-RG400</v>
      </c>
      <c r="H50" s="43">
        <f>IF(G50="","",EXP(FORECAST(LN(D50),INDEX(Attenuation!$K:$K,(INDEX(Cables!$AO:$AO,MATCH(G50,Cables!$A:$A,0))-1+MIN(MAX(IFERROR(MATCH(LN(D50),INDEX(Attenuation!$J:$J,INDEX(Cables!$AO:$AO,MATCH(G50,Cables!$A:$A,0))):INDEX(Attenuation!$J:$J,INDEX(Cables!$AO:$AO,MATCH(G50,Cables!$A:$A,0))+INDEX(Cables!$AP:$AP,MATCH(G50,Cables!$A:$A,0))-1),1),1),1),INDEX(Cables!$AP:$AP,MATCH(G50,Cables!$A:$A,0))-1))):INDEX(Attenuation!$K:$K,(INDEX(Cables!$AO:$AO,MATCH(G50,Cables!$A:$A,0))-1+MIN(MAX(IFERROR(MATCH(LN(D50),INDEX(Attenuation!$J:$J,INDEX(Cables!$AO:$AO,MATCH(G50,Cables!$A:$A,0))):INDEX(Attenuation!$J:$J,INDEX(Cables!$AO:$AO,MATCH(G50,Cables!$A:$A,0))+INDEX(Cables!$AP:$AP,MATCH(G50,Cables!$A:$A,0))-1),1),1),1),INDEX(Cables!$AP:$AP,MATCH(G50,Cables!$A:$A,0))-1))+1),INDEX(Attenuation!$J:$J,(INDEX(Cables!$AO:$AO,MATCH(G50,Cables!$A:$A,0))-1+MIN(MAX(IFERROR(MATCH(LN(D50),INDEX(Attenuation!$J:$J,INDEX(Cables!$AO:$AO,MATCH(G50,Cables!$A:$A,0))):INDEX(Attenuation!$J:$J,INDEX(Cables!$AO:$AO,MATCH(G50,Cables!$A:$A,0))+INDEX(Cables!$AP:$AP,MATCH(G50,Cables!$A:$A,0))-1),1),1),1),INDEX(Cables!$AP:$AP,MATCH(G50,Cables!$A:$A,0))-1))):INDEX(Attenuation!$J:$J,(INDEX(Cables!$AO:$AO,MATCH(G50,Cables!$A:$A,0))-1+MIN(MAX(IFERROR(MATCH(LN(D50),INDEX(Attenuation!$J:$J,INDEX(Cables!$AO:$AO,MATCH(G50,Cables!$A:$A,0))):INDEX(Attenuation!$J:$J,INDEX(Cables!$AO:$AO,MATCH(G50,Cables!$A:$A,0))+INDEX(Cables!$AP:$AP,MATCH(G50,Cables!$A:$A,0))-1),1),1),1),INDEX(Cables!$AP:$AP,MATCH(G50,Cables!$A:$A,0))-1))+1)))*0.3048)</f>
        <v>8.6000000000000014</v>
      </c>
      <c r="I50" s="43">
        <f>IF(G50="","",EXP(FORECAST(LN(E50),INDEX(Attenuation!$K:$K,(INDEX(Cables!$AO:$AO,MATCH(G50,Cables!$A:$A,0))-1+MIN(MAX(IFERROR(MATCH(LN(E50),INDEX(Attenuation!$J:$J,INDEX(Cables!$AO:$AO,MATCH(G50,Cables!$A:$A,0))):INDEX(Attenuation!$J:$J,INDEX(Cables!$AO:$AO,MATCH(G50,Cables!$A:$A,0))+INDEX(Cables!$AP:$AP,MATCH(G50,Cables!$A:$A,0))-1),1),1),1),INDEX(Cables!$AP:$AP,MATCH(G50,Cables!$A:$A,0))-1))):INDEX(Attenuation!$K:$K,(INDEX(Cables!$AO:$AO,MATCH(G50,Cables!$A:$A,0))-1+MIN(MAX(IFERROR(MATCH(LN(E50),INDEX(Attenuation!$J:$J,INDEX(Cables!$AO:$AO,MATCH(G50,Cables!$A:$A,0))):INDEX(Attenuation!$J:$J,INDEX(Cables!$AO:$AO,MATCH(G50,Cables!$A:$A,0))+INDEX(Cables!$AP:$AP,MATCH(G50,Cables!$A:$A,0))-1),1),1),1),INDEX(Cables!$AP:$AP,MATCH(G50,Cables!$A:$A,0))-1))+1),INDEX(Attenuation!$J:$J,(INDEX(Cables!$AO:$AO,MATCH(G50,Cables!$A:$A,0))-1+MIN(MAX(IFERROR(MATCH(LN(E50),INDEX(Attenuation!$J:$J,INDEX(Cables!$AO:$AO,MATCH(G50,Cables!$A:$A,0))):INDEX(Attenuation!$J:$J,INDEX(Cables!$AO:$AO,MATCH(G50,Cables!$A:$A,0))+INDEX(Cables!$AP:$AP,MATCH(G50,Cables!$A:$A,0))-1),1),1),1),INDEX(Cables!$AP:$AP,MATCH(G50,Cables!$A:$A,0))-1))):INDEX(Attenuation!$J:$J,(INDEX(Cables!$AO:$AO,MATCH(G50,Cables!$A:$A,0))-1+MIN(MAX(IFERROR(MATCH(LN(E50),INDEX(Attenuation!$J:$J,INDEX(Cables!$AO:$AO,MATCH(G50,Cables!$A:$A,0))):INDEX(Attenuation!$J:$J,INDEX(Cables!$AO:$AO,MATCH(G50,Cables!$A:$A,0))+INDEX(Cables!$AP:$AP,MATCH(G50,Cables!$A:$A,0))-1),1),1),1),INDEX(Cables!$AP:$AP,MATCH(G50,Cables!$A:$A,0))-1))+1)))*0.3048)</f>
        <v>9.9279340244404963</v>
      </c>
      <c r="J50" s="44">
        <f t="shared" si="0"/>
        <v>0</v>
      </c>
      <c r="K50" s="40" t="str">
        <f>IF(G50="","Doğrulanmadı",IF(ABS(J50)&lt;=0.1,"Uyumlu (±%10)",IF(ABS(J50)&lt;=0.25,"Fark %10-25","Fark &gt;%25"))&amp;IF(OR(D50&lt;INDEX(Cables!$AQ:$AQ,MATCH(G50,Cables!$A:$A,0)),E50&gt;INDEX(Cables!$AR:$AR,MATCH(G50,Cables!$A:$A,0)))," · ekstrapolasyon",""))</f>
        <v>Uyumlu (±%10)</v>
      </c>
    </row>
    <row r="51" spans="1:11" x14ac:dyDescent="0.25">
      <c r="A51" s="37" t="s">
        <v>2978</v>
      </c>
      <c r="B51" s="40" t="str">
        <f>INDEX(Legacy_Index!$D:$D,MATCH(A51,Legacy_Index!$A:$A,0))</f>
        <v>RG142B/U Flexible</v>
      </c>
      <c r="C51" s="37" t="s">
        <v>3113</v>
      </c>
      <c r="D51" s="37">
        <v>70</v>
      </c>
      <c r="E51" s="37">
        <v>100</v>
      </c>
      <c r="F51" s="37">
        <v>3.3</v>
      </c>
      <c r="G51" s="40" t="str">
        <f>IF(INDEX(Legacy_Index!$G:$G,MATCH(A51,Legacy_Index!$A:$A,0))="","",INDEX(Legacy_Index!$G:$G,MATCH(A51,Legacy_Index!$A:$A,0)))</f>
        <v>BEL-83242</v>
      </c>
      <c r="H51" s="43">
        <f>IF(G51="","",EXP(FORECAST(LN(D51),INDEX(Attenuation!$K:$K,(INDEX(Cables!$AO:$AO,MATCH(G51,Cables!$A:$A,0))-1+MIN(MAX(IFERROR(MATCH(LN(D51),INDEX(Attenuation!$J:$J,INDEX(Cables!$AO:$AO,MATCH(G51,Cables!$A:$A,0))):INDEX(Attenuation!$J:$J,INDEX(Cables!$AO:$AO,MATCH(G51,Cables!$A:$A,0))+INDEX(Cables!$AP:$AP,MATCH(G51,Cables!$A:$A,0))-1),1),1),1),INDEX(Cables!$AP:$AP,MATCH(G51,Cables!$A:$A,0))-1))):INDEX(Attenuation!$K:$K,(INDEX(Cables!$AO:$AO,MATCH(G51,Cables!$A:$A,0))-1+MIN(MAX(IFERROR(MATCH(LN(D51),INDEX(Attenuation!$J:$J,INDEX(Cables!$AO:$AO,MATCH(G51,Cables!$A:$A,0))):INDEX(Attenuation!$J:$J,INDEX(Cables!$AO:$AO,MATCH(G51,Cables!$A:$A,0))+INDEX(Cables!$AP:$AP,MATCH(G51,Cables!$A:$A,0))-1),1),1),1),INDEX(Cables!$AP:$AP,MATCH(G51,Cables!$A:$A,0))-1))+1),INDEX(Attenuation!$J:$J,(INDEX(Cables!$AO:$AO,MATCH(G51,Cables!$A:$A,0))-1+MIN(MAX(IFERROR(MATCH(LN(D51),INDEX(Attenuation!$J:$J,INDEX(Cables!$AO:$AO,MATCH(G51,Cables!$A:$A,0))):INDEX(Attenuation!$J:$J,INDEX(Cables!$AO:$AO,MATCH(G51,Cables!$A:$A,0))+INDEX(Cables!$AP:$AP,MATCH(G51,Cables!$A:$A,0))-1),1),1),1),INDEX(Cables!$AP:$AP,MATCH(G51,Cables!$A:$A,0))-1))):INDEX(Attenuation!$J:$J,(INDEX(Cables!$AO:$AO,MATCH(G51,Cables!$A:$A,0))-1+MIN(MAX(IFERROR(MATCH(LN(D51),INDEX(Attenuation!$J:$J,INDEX(Cables!$AO:$AO,MATCH(G51,Cables!$A:$A,0))):INDEX(Attenuation!$J:$J,INDEX(Cables!$AO:$AO,MATCH(G51,Cables!$A:$A,0))+INDEX(Cables!$AP:$AP,MATCH(G51,Cables!$A:$A,0))-1),1),1),1),INDEX(Cables!$AP:$AP,MATCH(G51,Cables!$A:$A,0))-1))+1)))*0.3048)</f>
        <v>3.125911398025452</v>
      </c>
      <c r="I51" s="43">
        <f>IF(G51="","",EXP(FORECAST(LN(E51),INDEX(Attenuation!$K:$K,(INDEX(Cables!$AO:$AO,MATCH(G51,Cables!$A:$A,0))-1+MIN(MAX(IFERROR(MATCH(LN(E51),INDEX(Attenuation!$J:$J,INDEX(Cables!$AO:$AO,MATCH(G51,Cables!$A:$A,0))):INDEX(Attenuation!$J:$J,INDEX(Cables!$AO:$AO,MATCH(G51,Cables!$A:$A,0))+INDEX(Cables!$AP:$AP,MATCH(G51,Cables!$A:$A,0))-1),1),1),1),INDEX(Cables!$AP:$AP,MATCH(G51,Cables!$A:$A,0))-1))):INDEX(Attenuation!$K:$K,(INDEX(Cables!$AO:$AO,MATCH(G51,Cables!$A:$A,0))-1+MIN(MAX(IFERROR(MATCH(LN(E51),INDEX(Attenuation!$J:$J,INDEX(Cables!$AO:$AO,MATCH(G51,Cables!$A:$A,0))):INDEX(Attenuation!$J:$J,INDEX(Cables!$AO:$AO,MATCH(G51,Cables!$A:$A,0))+INDEX(Cables!$AP:$AP,MATCH(G51,Cables!$A:$A,0))-1),1),1),1),INDEX(Cables!$AP:$AP,MATCH(G51,Cables!$A:$A,0))-1))+1),INDEX(Attenuation!$J:$J,(INDEX(Cables!$AO:$AO,MATCH(G51,Cables!$A:$A,0))-1+MIN(MAX(IFERROR(MATCH(LN(E51),INDEX(Attenuation!$J:$J,INDEX(Cables!$AO:$AO,MATCH(G51,Cables!$A:$A,0))):INDEX(Attenuation!$J:$J,INDEX(Cables!$AO:$AO,MATCH(G51,Cables!$A:$A,0))+INDEX(Cables!$AP:$AP,MATCH(G51,Cables!$A:$A,0))-1),1),1),1),INDEX(Cables!$AP:$AP,MATCH(G51,Cables!$A:$A,0))-1))):INDEX(Attenuation!$J:$J,(INDEX(Cables!$AO:$AO,MATCH(G51,Cables!$A:$A,0))-1+MIN(MAX(IFERROR(MATCH(LN(E51),INDEX(Attenuation!$J:$J,INDEX(Cables!$AO:$AO,MATCH(G51,Cables!$A:$A,0))):INDEX(Attenuation!$J:$J,INDEX(Cables!$AO:$AO,MATCH(G51,Cables!$A:$A,0))+INDEX(Cables!$AP:$AP,MATCH(G51,Cables!$A:$A,0))-1),1),1),1),INDEX(Cables!$AP:$AP,MATCH(G51,Cables!$A:$A,0))-1))+1)))*0.3048)</f>
        <v>3.800000000000002</v>
      </c>
      <c r="J51" s="44">
        <f t="shared" si="0"/>
        <v>0</v>
      </c>
      <c r="K51" s="40" t="str">
        <f>IF(G51="","Doğrulanmadı",IF(ABS(J51)&lt;=0.1,"Uyumlu (±%10)",IF(ABS(J51)&lt;=0.25,"Fark %10-25","Fark &gt;%25"))&amp;IF(OR(D51&lt;INDEX(Cables!$AQ:$AQ,MATCH(G51,Cables!$A:$A,0)),E51&gt;INDEX(Cables!$AR:$AR,MATCH(G51,Cables!$A:$A,0)))," · ekstrapolasyon",""))</f>
        <v>Uyumlu (±%10)</v>
      </c>
    </row>
    <row r="52" spans="1:11" x14ac:dyDescent="0.25">
      <c r="A52" s="37" t="s">
        <v>2978</v>
      </c>
      <c r="B52" s="40" t="str">
        <f>INDEX(Legacy_Index!$D:$D,MATCH(A52,Legacy_Index!$A:$A,0))</f>
        <v>RG142B/U Flexible</v>
      </c>
      <c r="C52" s="37" t="s">
        <v>3114</v>
      </c>
      <c r="D52" s="37">
        <v>148</v>
      </c>
      <c r="E52" s="37">
        <v>174</v>
      </c>
      <c r="F52" s="37">
        <v>4.9000000000000004</v>
      </c>
      <c r="G52" s="40" t="str">
        <f>IF(INDEX(Legacy_Index!$G:$G,MATCH(A52,Legacy_Index!$A:$A,0))="","",INDEX(Legacy_Index!$G:$G,MATCH(A52,Legacy_Index!$A:$A,0)))</f>
        <v>BEL-83242</v>
      </c>
      <c r="H52" s="43">
        <f>IF(G52="","",EXP(FORECAST(LN(D52),INDEX(Attenuation!$K:$K,(INDEX(Cables!$AO:$AO,MATCH(G52,Cables!$A:$A,0))-1+MIN(MAX(IFERROR(MATCH(LN(D52),INDEX(Attenuation!$J:$J,INDEX(Cables!$AO:$AO,MATCH(G52,Cables!$A:$A,0))):INDEX(Attenuation!$J:$J,INDEX(Cables!$AO:$AO,MATCH(G52,Cables!$A:$A,0))+INDEX(Cables!$AP:$AP,MATCH(G52,Cables!$A:$A,0))-1),1),1),1),INDEX(Cables!$AP:$AP,MATCH(G52,Cables!$A:$A,0))-1))):INDEX(Attenuation!$K:$K,(INDEX(Cables!$AO:$AO,MATCH(G52,Cables!$A:$A,0))-1+MIN(MAX(IFERROR(MATCH(LN(D52),INDEX(Attenuation!$J:$J,INDEX(Cables!$AO:$AO,MATCH(G52,Cables!$A:$A,0))):INDEX(Attenuation!$J:$J,INDEX(Cables!$AO:$AO,MATCH(G52,Cables!$A:$A,0))+INDEX(Cables!$AP:$AP,MATCH(G52,Cables!$A:$A,0))-1),1),1),1),INDEX(Cables!$AP:$AP,MATCH(G52,Cables!$A:$A,0))-1))+1),INDEX(Attenuation!$J:$J,(INDEX(Cables!$AO:$AO,MATCH(G52,Cables!$A:$A,0))-1+MIN(MAX(IFERROR(MATCH(LN(D52),INDEX(Attenuation!$J:$J,INDEX(Cables!$AO:$AO,MATCH(G52,Cables!$A:$A,0))):INDEX(Attenuation!$J:$J,INDEX(Cables!$AO:$AO,MATCH(G52,Cables!$A:$A,0))+INDEX(Cables!$AP:$AP,MATCH(G52,Cables!$A:$A,0))-1),1),1),1),INDEX(Cables!$AP:$AP,MATCH(G52,Cables!$A:$A,0))-1))):INDEX(Attenuation!$J:$J,(INDEX(Cables!$AO:$AO,MATCH(G52,Cables!$A:$A,0))-1+MIN(MAX(IFERROR(MATCH(LN(D52),INDEX(Attenuation!$J:$J,INDEX(Cables!$AO:$AO,MATCH(G52,Cables!$A:$A,0))):INDEX(Attenuation!$J:$J,INDEX(Cables!$AO:$AO,MATCH(G52,Cables!$A:$A,0))+INDEX(Cables!$AP:$AP,MATCH(G52,Cables!$A:$A,0))-1),1),1),1),INDEX(Cables!$AP:$AP,MATCH(G52,Cables!$A:$A,0))-1))+1)))*0.3048)</f>
        <v>4.7318684988297157</v>
      </c>
      <c r="I52" s="43">
        <f>IF(G52="","",EXP(FORECAST(LN(E52),INDEX(Attenuation!$K:$K,(INDEX(Cables!$AO:$AO,MATCH(G52,Cables!$A:$A,0))-1+MIN(MAX(IFERROR(MATCH(LN(E52),INDEX(Attenuation!$J:$J,INDEX(Cables!$AO:$AO,MATCH(G52,Cables!$A:$A,0))):INDEX(Attenuation!$J:$J,INDEX(Cables!$AO:$AO,MATCH(G52,Cables!$A:$A,0))+INDEX(Cables!$AP:$AP,MATCH(G52,Cables!$A:$A,0))-1),1),1),1),INDEX(Cables!$AP:$AP,MATCH(G52,Cables!$A:$A,0))-1))):INDEX(Attenuation!$K:$K,(INDEX(Cables!$AO:$AO,MATCH(G52,Cables!$A:$A,0))-1+MIN(MAX(IFERROR(MATCH(LN(E52),INDEX(Attenuation!$J:$J,INDEX(Cables!$AO:$AO,MATCH(G52,Cables!$A:$A,0))):INDEX(Attenuation!$J:$J,INDEX(Cables!$AO:$AO,MATCH(G52,Cables!$A:$A,0))+INDEX(Cables!$AP:$AP,MATCH(G52,Cables!$A:$A,0))-1),1),1),1),INDEX(Cables!$AP:$AP,MATCH(G52,Cables!$A:$A,0))-1))+1),INDEX(Attenuation!$J:$J,(INDEX(Cables!$AO:$AO,MATCH(G52,Cables!$A:$A,0))-1+MIN(MAX(IFERROR(MATCH(LN(E52),INDEX(Attenuation!$J:$J,INDEX(Cables!$AO:$AO,MATCH(G52,Cables!$A:$A,0))):INDEX(Attenuation!$J:$J,INDEX(Cables!$AO:$AO,MATCH(G52,Cables!$A:$A,0))+INDEX(Cables!$AP:$AP,MATCH(G52,Cables!$A:$A,0))-1),1),1),1),INDEX(Cables!$AP:$AP,MATCH(G52,Cables!$A:$A,0))-1))):INDEX(Attenuation!$J:$J,(INDEX(Cables!$AO:$AO,MATCH(G52,Cables!$A:$A,0))-1+MIN(MAX(IFERROR(MATCH(LN(E52),INDEX(Attenuation!$J:$J,INDEX(Cables!$AO:$AO,MATCH(G52,Cables!$A:$A,0))):INDEX(Attenuation!$J:$J,INDEX(Cables!$AO:$AO,MATCH(G52,Cables!$A:$A,0))+INDEX(Cables!$AP:$AP,MATCH(G52,Cables!$A:$A,0))-1),1),1),1),INDEX(Cables!$AP:$AP,MATCH(G52,Cables!$A:$A,0))-1))+1)))*0.3048)</f>
        <v>5.1802824421395153</v>
      </c>
      <c r="J52" s="44">
        <f t="shared" si="0"/>
        <v>0</v>
      </c>
      <c r="K52" s="40" t="str">
        <f>IF(G52="","Doğrulanmadı",IF(ABS(J52)&lt;=0.1,"Uyumlu (±%10)",IF(ABS(J52)&lt;=0.25,"Fark %10-25","Fark &gt;%25"))&amp;IF(OR(D52&lt;INDEX(Cables!$AQ:$AQ,MATCH(G52,Cables!$A:$A,0)),E52&gt;INDEX(Cables!$AR:$AR,MATCH(G52,Cables!$A:$A,0)))," · ekstrapolasyon",""))</f>
        <v>Uyumlu (±%10)</v>
      </c>
    </row>
    <row r="53" spans="1:11" x14ac:dyDescent="0.25">
      <c r="A53" s="37" t="s">
        <v>2978</v>
      </c>
      <c r="B53" s="40" t="str">
        <f>INDEX(Legacy_Index!$D:$D,MATCH(A53,Legacy_Index!$A:$A,0))</f>
        <v>RG142B/U Flexible</v>
      </c>
      <c r="C53" s="37" t="s">
        <v>3115</v>
      </c>
      <c r="D53" s="37">
        <v>400</v>
      </c>
      <c r="E53" s="37">
        <v>520</v>
      </c>
      <c r="F53" s="37">
        <v>8.9</v>
      </c>
      <c r="G53" s="40" t="str">
        <f>IF(INDEX(Legacy_Index!$G:$G,MATCH(A53,Legacy_Index!$A:$A,0))="","",INDEX(Legacy_Index!$G:$G,MATCH(A53,Legacy_Index!$A:$A,0)))</f>
        <v>BEL-83242</v>
      </c>
      <c r="H53" s="43">
        <f>IF(G53="","",EXP(FORECAST(LN(D53),INDEX(Attenuation!$K:$K,(INDEX(Cables!$AO:$AO,MATCH(G53,Cables!$A:$A,0))-1+MIN(MAX(IFERROR(MATCH(LN(D53),INDEX(Attenuation!$J:$J,INDEX(Cables!$AO:$AO,MATCH(G53,Cables!$A:$A,0))):INDEX(Attenuation!$J:$J,INDEX(Cables!$AO:$AO,MATCH(G53,Cables!$A:$A,0))+INDEX(Cables!$AP:$AP,MATCH(G53,Cables!$A:$A,0))-1),1),1),1),INDEX(Cables!$AP:$AP,MATCH(G53,Cables!$A:$A,0))-1))):INDEX(Attenuation!$K:$K,(INDEX(Cables!$AO:$AO,MATCH(G53,Cables!$A:$A,0))-1+MIN(MAX(IFERROR(MATCH(LN(D53),INDEX(Attenuation!$J:$J,INDEX(Cables!$AO:$AO,MATCH(G53,Cables!$A:$A,0))):INDEX(Attenuation!$J:$J,INDEX(Cables!$AO:$AO,MATCH(G53,Cables!$A:$A,0))+INDEX(Cables!$AP:$AP,MATCH(G53,Cables!$A:$A,0))-1),1),1),1),INDEX(Cables!$AP:$AP,MATCH(G53,Cables!$A:$A,0))-1))+1),INDEX(Attenuation!$J:$J,(INDEX(Cables!$AO:$AO,MATCH(G53,Cables!$A:$A,0))-1+MIN(MAX(IFERROR(MATCH(LN(D53),INDEX(Attenuation!$J:$J,INDEX(Cables!$AO:$AO,MATCH(G53,Cables!$A:$A,0))):INDEX(Attenuation!$J:$J,INDEX(Cables!$AO:$AO,MATCH(G53,Cables!$A:$A,0))+INDEX(Cables!$AP:$AP,MATCH(G53,Cables!$A:$A,0))-1),1),1),1),INDEX(Cables!$AP:$AP,MATCH(G53,Cables!$A:$A,0))-1))):INDEX(Attenuation!$J:$J,(INDEX(Cables!$AO:$AO,MATCH(G53,Cables!$A:$A,0))-1+MIN(MAX(IFERROR(MATCH(LN(D53),INDEX(Attenuation!$J:$J,INDEX(Cables!$AO:$AO,MATCH(G53,Cables!$A:$A,0))):INDEX(Attenuation!$J:$J,INDEX(Cables!$AO:$AO,MATCH(G53,Cables!$A:$A,0))+INDEX(Cables!$AP:$AP,MATCH(G53,Cables!$A:$A,0))-1),1),1),1),INDEX(Cables!$AP:$AP,MATCH(G53,Cables!$A:$A,0))-1))+1)))*0.3048)</f>
        <v>6.9000000000000039</v>
      </c>
      <c r="I53" s="43">
        <f>IF(G53="","",EXP(FORECAST(LN(E53),INDEX(Attenuation!$K:$K,(INDEX(Cables!$AO:$AO,MATCH(G53,Cables!$A:$A,0))-1+MIN(MAX(IFERROR(MATCH(LN(E53),INDEX(Attenuation!$J:$J,INDEX(Cables!$AO:$AO,MATCH(G53,Cables!$A:$A,0))):INDEX(Attenuation!$J:$J,INDEX(Cables!$AO:$AO,MATCH(G53,Cables!$A:$A,0))+INDEX(Cables!$AP:$AP,MATCH(G53,Cables!$A:$A,0))-1),1),1),1),INDEX(Cables!$AP:$AP,MATCH(G53,Cables!$A:$A,0))-1))):INDEX(Attenuation!$K:$K,(INDEX(Cables!$AO:$AO,MATCH(G53,Cables!$A:$A,0))-1+MIN(MAX(IFERROR(MATCH(LN(E53),INDEX(Attenuation!$J:$J,INDEX(Cables!$AO:$AO,MATCH(G53,Cables!$A:$A,0))):INDEX(Attenuation!$J:$J,INDEX(Cables!$AO:$AO,MATCH(G53,Cables!$A:$A,0))+INDEX(Cables!$AP:$AP,MATCH(G53,Cables!$A:$A,0))-1),1),1),1),INDEX(Cables!$AP:$AP,MATCH(G53,Cables!$A:$A,0))-1))+1),INDEX(Attenuation!$J:$J,(INDEX(Cables!$AO:$AO,MATCH(G53,Cables!$A:$A,0))-1+MIN(MAX(IFERROR(MATCH(LN(E53),INDEX(Attenuation!$J:$J,INDEX(Cables!$AO:$AO,MATCH(G53,Cables!$A:$A,0))):INDEX(Attenuation!$J:$J,INDEX(Cables!$AO:$AO,MATCH(G53,Cables!$A:$A,0))+INDEX(Cables!$AP:$AP,MATCH(G53,Cables!$A:$A,0))-1),1),1),1),INDEX(Cables!$AP:$AP,MATCH(G53,Cables!$A:$A,0))-1))):INDEX(Attenuation!$J:$J,(INDEX(Cables!$AO:$AO,MATCH(G53,Cables!$A:$A,0))-1+MIN(MAX(IFERROR(MATCH(LN(E53),INDEX(Attenuation!$J:$J,INDEX(Cables!$AO:$AO,MATCH(G53,Cables!$A:$A,0))):INDEX(Attenuation!$J:$J,INDEX(Cables!$AO:$AO,MATCH(G53,Cables!$A:$A,0))+INDEX(Cables!$AP:$AP,MATCH(G53,Cables!$A:$A,0))-1),1),1),1),INDEX(Cables!$AP:$AP,MATCH(G53,Cables!$A:$A,0))-1))+1)))*0.3048)</f>
        <v>8.4757342247230287</v>
      </c>
      <c r="J53" s="44">
        <f t="shared" si="0"/>
        <v>5.0056521833757195E-2</v>
      </c>
      <c r="K53" s="40" t="str">
        <f>IF(G53="","Doğrulanmadı",IF(ABS(J53)&lt;=0.1,"Uyumlu (±%10)",IF(ABS(J53)&lt;=0.25,"Fark %10-25","Fark &gt;%25"))&amp;IF(OR(D53&lt;INDEX(Cables!$AQ:$AQ,MATCH(G53,Cables!$A:$A,0)),E53&gt;INDEX(Cables!$AR:$AR,MATCH(G53,Cables!$A:$A,0)))," · ekstrapolasyon",""))</f>
        <v>Uyumlu (±%10)</v>
      </c>
    </row>
    <row r="54" spans="1:11" x14ac:dyDescent="0.25">
      <c r="A54" s="37" t="s">
        <v>2978</v>
      </c>
      <c r="B54" s="40" t="str">
        <f>INDEX(Legacy_Index!$D:$D,MATCH(A54,Legacy_Index!$A:$A,0))</f>
        <v>RG142B/U Flexible</v>
      </c>
      <c r="C54" s="37" t="s">
        <v>3116</v>
      </c>
      <c r="D54" s="37">
        <v>700</v>
      </c>
      <c r="E54" s="37">
        <v>960</v>
      </c>
      <c r="F54" s="37">
        <v>12</v>
      </c>
      <c r="G54" s="40" t="str">
        <f>IF(INDEX(Legacy_Index!$G:$G,MATCH(A54,Legacy_Index!$A:$A,0))="","",INDEX(Legacy_Index!$G:$G,MATCH(A54,Legacy_Index!$A:$A,0)))</f>
        <v>BEL-83242</v>
      </c>
      <c r="H54" s="43">
        <f>IF(G54="","",EXP(FORECAST(LN(D54),INDEX(Attenuation!$K:$K,(INDEX(Cables!$AO:$AO,MATCH(G54,Cables!$A:$A,0))-1+MIN(MAX(IFERROR(MATCH(LN(D54),INDEX(Attenuation!$J:$J,INDEX(Cables!$AO:$AO,MATCH(G54,Cables!$A:$A,0))):INDEX(Attenuation!$J:$J,INDEX(Cables!$AO:$AO,MATCH(G54,Cables!$A:$A,0))+INDEX(Cables!$AP:$AP,MATCH(G54,Cables!$A:$A,0))-1),1),1),1),INDEX(Cables!$AP:$AP,MATCH(G54,Cables!$A:$A,0))-1))):INDEX(Attenuation!$K:$K,(INDEX(Cables!$AO:$AO,MATCH(G54,Cables!$A:$A,0))-1+MIN(MAX(IFERROR(MATCH(LN(D54),INDEX(Attenuation!$J:$J,INDEX(Cables!$AO:$AO,MATCH(G54,Cables!$A:$A,0))):INDEX(Attenuation!$J:$J,INDEX(Cables!$AO:$AO,MATCH(G54,Cables!$A:$A,0))+INDEX(Cables!$AP:$AP,MATCH(G54,Cables!$A:$A,0))-1),1),1),1),INDEX(Cables!$AP:$AP,MATCH(G54,Cables!$A:$A,0))-1))+1),INDEX(Attenuation!$J:$J,(INDEX(Cables!$AO:$AO,MATCH(G54,Cables!$A:$A,0))-1+MIN(MAX(IFERROR(MATCH(LN(D54),INDEX(Attenuation!$J:$J,INDEX(Cables!$AO:$AO,MATCH(G54,Cables!$A:$A,0))):INDEX(Attenuation!$J:$J,INDEX(Cables!$AO:$AO,MATCH(G54,Cables!$A:$A,0))+INDEX(Cables!$AP:$AP,MATCH(G54,Cables!$A:$A,0))-1),1),1),1),INDEX(Cables!$AP:$AP,MATCH(G54,Cables!$A:$A,0))-1))):INDEX(Attenuation!$J:$J,(INDEX(Cables!$AO:$AO,MATCH(G54,Cables!$A:$A,0))-1+MIN(MAX(IFERROR(MATCH(LN(D54),INDEX(Attenuation!$J:$J,INDEX(Cables!$AO:$AO,MATCH(G54,Cables!$A:$A,0))):INDEX(Attenuation!$J:$J,INDEX(Cables!$AO:$AO,MATCH(G54,Cables!$A:$A,0))+INDEX(Cables!$AP:$AP,MATCH(G54,Cables!$A:$A,0))-1),1),1),1),INDEX(Cables!$AP:$AP,MATCH(G54,Cables!$A:$A,0))-1))+1)))*0.3048)</f>
        <v>10.699999999999998</v>
      </c>
      <c r="I54" s="43">
        <f>IF(G54="","",EXP(FORECAST(LN(E54),INDEX(Attenuation!$K:$K,(INDEX(Cables!$AO:$AO,MATCH(G54,Cables!$A:$A,0))-1+MIN(MAX(IFERROR(MATCH(LN(E54),INDEX(Attenuation!$J:$J,INDEX(Cables!$AO:$AO,MATCH(G54,Cables!$A:$A,0))):INDEX(Attenuation!$J:$J,INDEX(Cables!$AO:$AO,MATCH(G54,Cables!$A:$A,0))+INDEX(Cables!$AP:$AP,MATCH(G54,Cables!$A:$A,0))-1),1),1),1),INDEX(Cables!$AP:$AP,MATCH(G54,Cables!$A:$A,0))-1))):INDEX(Attenuation!$K:$K,(INDEX(Cables!$AO:$AO,MATCH(G54,Cables!$A:$A,0))-1+MIN(MAX(IFERROR(MATCH(LN(E54),INDEX(Attenuation!$J:$J,INDEX(Cables!$AO:$AO,MATCH(G54,Cables!$A:$A,0))):INDEX(Attenuation!$J:$J,INDEX(Cables!$AO:$AO,MATCH(G54,Cables!$A:$A,0))+INDEX(Cables!$AP:$AP,MATCH(G54,Cables!$A:$A,0))-1),1),1),1),INDEX(Cables!$AP:$AP,MATCH(G54,Cables!$A:$A,0))-1))+1),INDEX(Attenuation!$J:$J,(INDEX(Cables!$AO:$AO,MATCH(G54,Cables!$A:$A,0))-1+MIN(MAX(IFERROR(MATCH(LN(E54),INDEX(Attenuation!$J:$J,INDEX(Cables!$AO:$AO,MATCH(G54,Cables!$A:$A,0))):INDEX(Attenuation!$J:$J,INDEX(Cables!$AO:$AO,MATCH(G54,Cables!$A:$A,0))+INDEX(Cables!$AP:$AP,MATCH(G54,Cables!$A:$A,0))-1),1),1),1),INDEX(Cables!$AP:$AP,MATCH(G54,Cables!$A:$A,0))-1))):INDEX(Attenuation!$J:$J,(INDEX(Cables!$AO:$AO,MATCH(G54,Cables!$A:$A,0))-1+MIN(MAX(IFERROR(MATCH(LN(E54),INDEX(Attenuation!$J:$J,INDEX(Cables!$AO:$AO,MATCH(G54,Cables!$A:$A,0))):INDEX(Attenuation!$J:$J,INDEX(Cables!$AO:$AO,MATCH(G54,Cables!$A:$A,0))+INDEX(Cables!$AP:$AP,MATCH(G54,Cables!$A:$A,0))-1),1),1),1),INDEX(Cables!$AP:$AP,MATCH(G54,Cables!$A:$A,0))-1))+1)))*0.3048)</f>
        <v>12.784043840014068</v>
      </c>
      <c r="J54" s="44">
        <f t="shared" si="0"/>
        <v>0</v>
      </c>
      <c r="K54" s="40" t="str">
        <f>IF(G54="","Doğrulanmadı",IF(ABS(J54)&lt;=0.1,"Uyumlu (±%10)",IF(ABS(J54)&lt;=0.25,"Fark %10-25","Fark &gt;%25"))&amp;IF(OR(D54&lt;INDEX(Cables!$AQ:$AQ,MATCH(G54,Cables!$A:$A,0)),E54&gt;INDEX(Cables!$AR:$AR,MATCH(G54,Cables!$A:$A,0)))," · ekstrapolasyon",""))</f>
        <v>Uyumlu (±%10)</v>
      </c>
    </row>
    <row r="55" spans="1:11" x14ac:dyDescent="0.25">
      <c r="A55" s="37" t="s">
        <v>2980</v>
      </c>
      <c r="B55" s="40" t="str">
        <f>INDEX(Legacy_Index!$D:$D,MATCH(A55,Legacy_Index!$A:$A,0))</f>
        <v>RG8X Belden</v>
      </c>
      <c r="C55" s="37" t="s">
        <v>3117</v>
      </c>
      <c r="D55" s="37">
        <v>1</v>
      </c>
      <c r="E55" s="37">
        <v>10</v>
      </c>
      <c r="F55" s="37">
        <v>0.8</v>
      </c>
      <c r="G55" s="40" t="str">
        <f>IF(INDEX(Legacy_Index!$G:$G,MATCH(A55,Legacy_Index!$A:$A,0))="","",INDEX(Legacy_Index!$G:$G,MATCH(A55,Legacy_Index!$A:$A,0)))</f>
        <v>BEL-9258</v>
      </c>
      <c r="H55" s="43">
        <f>IF(G55="","",EXP(FORECAST(LN(D55),INDEX(Attenuation!$K:$K,(INDEX(Cables!$AO:$AO,MATCH(G55,Cables!$A:$A,0))-1+MIN(MAX(IFERROR(MATCH(LN(D55),INDEX(Attenuation!$J:$J,INDEX(Cables!$AO:$AO,MATCH(G55,Cables!$A:$A,0))):INDEX(Attenuation!$J:$J,INDEX(Cables!$AO:$AO,MATCH(G55,Cables!$A:$A,0))+INDEX(Cables!$AP:$AP,MATCH(G55,Cables!$A:$A,0))-1),1),1),1),INDEX(Cables!$AP:$AP,MATCH(G55,Cables!$A:$A,0))-1))):INDEX(Attenuation!$K:$K,(INDEX(Cables!$AO:$AO,MATCH(G55,Cables!$A:$A,0))-1+MIN(MAX(IFERROR(MATCH(LN(D55),INDEX(Attenuation!$J:$J,INDEX(Cables!$AO:$AO,MATCH(G55,Cables!$A:$A,0))):INDEX(Attenuation!$J:$J,INDEX(Cables!$AO:$AO,MATCH(G55,Cables!$A:$A,0))+INDEX(Cables!$AP:$AP,MATCH(G55,Cables!$A:$A,0))-1),1),1),1),INDEX(Cables!$AP:$AP,MATCH(G55,Cables!$A:$A,0))-1))+1),INDEX(Attenuation!$J:$J,(INDEX(Cables!$AO:$AO,MATCH(G55,Cables!$A:$A,0))-1+MIN(MAX(IFERROR(MATCH(LN(D55),INDEX(Attenuation!$J:$J,INDEX(Cables!$AO:$AO,MATCH(G55,Cables!$A:$A,0))):INDEX(Attenuation!$J:$J,INDEX(Cables!$AO:$AO,MATCH(G55,Cables!$A:$A,0))+INDEX(Cables!$AP:$AP,MATCH(G55,Cables!$A:$A,0))-1),1),1),1),INDEX(Cables!$AP:$AP,MATCH(G55,Cables!$A:$A,0))-1))):INDEX(Attenuation!$J:$J,(INDEX(Cables!$AO:$AO,MATCH(G55,Cables!$A:$A,0))-1+MIN(MAX(IFERROR(MATCH(LN(D55),INDEX(Attenuation!$J:$J,INDEX(Cables!$AO:$AO,MATCH(G55,Cables!$A:$A,0))):INDEX(Attenuation!$J:$J,INDEX(Cables!$AO:$AO,MATCH(G55,Cables!$A:$A,0))+INDEX(Cables!$AP:$AP,MATCH(G55,Cables!$A:$A,0))-1),1),1),1),INDEX(Cables!$AP:$AP,MATCH(G55,Cables!$A:$A,0))-1))+1)))*0.3048)</f>
        <v>0.30000000000000004</v>
      </c>
      <c r="I55" s="43">
        <f>IF(G55="","",EXP(FORECAST(LN(E55),INDEX(Attenuation!$K:$K,(INDEX(Cables!$AO:$AO,MATCH(G55,Cables!$A:$A,0))-1+MIN(MAX(IFERROR(MATCH(LN(E55),INDEX(Attenuation!$J:$J,INDEX(Cables!$AO:$AO,MATCH(G55,Cables!$A:$A,0))):INDEX(Attenuation!$J:$J,INDEX(Cables!$AO:$AO,MATCH(G55,Cables!$A:$A,0))+INDEX(Cables!$AP:$AP,MATCH(G55,Cables!$A:$A,0))-1),1),1),1),INDEX(Cables!$AP:$AP,MATCH(G55,Cables!$A:$A,0))-1))):INDEX(Attenuation!$K:$K,(INDEX(Cables!$AO:$AO,MATCH(G55,Cables!$A:$A,0))-1+MIN(MAX(IFERROR(MATCH(LN(E55),INDEX(Attenuation!$J:$J,INDEX(Cables!$AO:$AO,MATCH(G55,Cables!$A:$A,0))):INDEX(Attenuation!$J:$J,INDEX(Cables!$AO:$AO,MATCH(G55,Cables!$A:$A,0))+INDEX(Cables!$AP:$AP,MATCH(G55,Cables!$A:$A,0))-1),1),1),1),INDEX(Cables!$AP:$AP,MATCH(G55,Cables!$A:$A,0))-1))+1),INDEX(Attenuation!$J:$J,(INDEX(Cables!$AO:$AO,MATCH(G55,Cables!$A:$A,0))-1+MIN(MAX(IFERROR(MATCH(LN(E55),INDEX(Attenuation!$J:$J,INDEX(Cables!$AO:$AO,MATCH(G55,Cables!$A:$A,0))):INDEX(Attenuation!$J:$J,INDEX(Cables!$AO:$AO,MATCH(G55,Cables!$A:$A,0))+INDEX(Cables!$AP:$AP,MATCH(G55,Cables!$A:$A,0))-1),1),1),1),INDEX(Cables!$AP:$AP,MATCH(G55,Cables!$A:$A,0))-1))):INDEX(Attenuation!$J:$J,(INDEX(Cables!$AO:$AO,MATCH(G55,Cables!$A:$A,0))-1+MIN(MAX(IFERROR(MATCH(LN(E55),INDEX(Attenuation!$J:$J,INDEX(Cables!$AO:$AO,MATCH(G55,Cables!$A:$A,0))):INDEX(Attenuation!$J:$J,INDEX(Cables!$AO:$AO,MATCH(G55,Cables!$A:$A,0))+INDEX(Cables!$AP:$AP,MATCH(G55,Cables!$A:$A,0))-1),1),1),1),INDEX(Cables!$AP:$AP,MATCH(G55,Cables!$A:$A,0))-1))+1)))*0.3048)</f>
        <v>0.90000000000000036</v>
      </c>
      <c r="J55" s="44">
        <f t="shared" si="0"/>
        <v>0</v>
      </c>
      <c r="K55" s="40" t="str">
        <f>IF(G55="","Doğrulanmadı",IF(ABS(J55)&lt;=0.1,"Uyumlu (±%10)",IF(ABS(J55)&lt;=0.25,"Fark %10-25","Fark &gt;%25"))&amp;IF(OR(D55&lt;INDEX(Cables!$AQ:$AQ,MATCH(G55,Cables!$A:$A,0)),E55&gt;INDEX(Cables!$AR:$AR,MATCH(G55,Cables!$A:$A,0)))," · ekstrapolasyon",""))</f>
        <v>Uyumlu (±%10)</v>
      </c>
    </row>
    <row r="56" spans="1:11" x14ac:dyDescent="0.25">
      <c r="A56" s="37" t="s">
        <v>2980</v>
      </c>
      <c r="B56" s="40" t="str">
        <f>INDEX(Legacy_Index!$D:$D,MATCH(A56,Legacy_Index!$A:$A,0))</f>
        <v>RG8X Belden</v>
      </c>
      <c r="C56" s="37" t="s">
        <v>3118</v>
      </c>
      <c r="D56" s="37">
        <v>30</v>
      </c>
      <c r="E56" s="37">
        <v>50</v>
      </c>
      <c r="F56" s="37">
        <v>2.4</v>
      </c>
      <c r="G56" s="40" t="str">
        <f>IF(INDEX(Legacy_Index!$G:$G,MATCH(A56,Legacy_Index!$A:$A,0))="","",INDEX(Legacy_Index!$G:$G,MATCH(A56,Legacy_Index!$A:$A,0)))</f>
        <v>BEL-9258</v>
      </c>
      <c r="H56" s="43">
        <f>IF(G56="","",EXP(FORECAST(LN(D56),INDEX(Attenuation!$K:$K,(INDEX(Cables!$AO:$AO,MATCH(G56,Cables!$A:$A,0))-1+MIN(MAX(IFERROR(MATCH(LN(D56),INDEX(Attenuation!$J:$J,INDEX(Cables!$AO:$AO,MATCH(G56,Cables!$A:$A,0))):INDEX(Attenuation!$J:$J,INDEX(Cables!$AO:$AO,MATCH(G56,Cables!$A:$A,0))+INDEX(Cables!$AP:$AP,MATCH(G56,Cables!$A:$A,0))-1),1),1),1),INDEX(Cables!$AP:$AP,MATCH(G56,Cables!$A:$A,0))-1))):INDEX(Attenuation!$K:$K,(INDEX(Cables!$AO:$AO,MATCH(G56,Cables!$A:$A,0))-1+MIN(MAX(IFERROR(MATCH(LN(D56),INDEX(Attenuation!$J:$J,INDEX(Cables!$AO:$AO,MATCH(G56,Cables!$A:$A,0))):INDEX(Attenuation!$J:$J,INDEX(Cables!$AO:$AO,MATCH(G56,Cables!$A:$A,0))+INDEX(Cables!$AP:$AP,MATCH(G56,Cables!$A:$A,0))-1),1),1),1),INDEX(Cables!$AP:$AP,MATCH(G56,Cables!$A:$A,0))-1))+1),INDEX(Attenuation!$J:$J,(INDEX(Cables!$AO:$AO,MATCH(G56,Cables!$A:$A,0))-1+MIN(MAX(IFERROR(MATCH(LN(D56),INDEX(Attenuation!$J:$J,INDEX(Cables!$AO:$AO,MATCH(G56,Cables!$A:$A,0))):INDEX(Attenuation!$J:$J,INDEX(Cables!$AO:$AO,MATCH(G56,Cables!$A:$A,0))+INDEX(Cables!$AP:$AP,MATCH(G56,Cables!$A:$A,0))-1),1),1),1),INDEX(Cables!$AP:$AP,MATCH(G56,Cables!$A:$A,0))-1))):INDEX(Attenuation!$J:$J,(INDEX(Cables!$AO:$AO,MATCH(G56,Cables!$A:$A,0))-1+MIN(MAX(IFERROR(MATCH(LN(D56),INDEX(Attenuation!$J:$J,INDEX(Cables!$AO:$AO,MATCH(G56,Cables!$A:$A,0))):INDEX(Attenuation!$J:$J,INDEX(Cables!$AO:$AO,MATCH(G56,Cables!$A:$A,0))+INDEX(Cables!$AP:$AP,MATCH(G56,Cables!$A:$A,0))-1),1),1),1),INDEX(Cables!$AP:$AP,MATCH(G56,Cables!$A:$A,0))-1))+1)))*0.3048)</f>
        <v>1.6048178361539038</v>
      </c>
      <c r="I56" s="43">
        <f>IF(G56="","",EXP(FORECAST(LN(E56),INDEX(Attenuation!$K:$K,(INDEX(Cables!$AO:$AO,MATCH(G56,Cables!$A:$A,0))-1+MIN(MAX(IFERROR(MATCH(LN(E56),INDEX(Attenuation!$J:$J,INDEX(Cables!$AO:$AO,MATCH(G56,Cables!$A:$A,0))):INDEX(Attenuation!$J:$J,INDEX(Cables!$AO:$AO,MATCH(G56,Cables!$A:$A,0))+INDEX(Cables!$AP:$AP,MATCH(G56,Cables!$A:$A,0))-1),1),1),1),INDEX(Cables!$AP:$AP,MATCH(G56,Cables!$A:$A,0))-1))):INDEX(Attenuation!$K:$K,(INDEX(Cables!$AO:$AO,MATCH(G56,Cables!$A:$A,0))-1+MIN(MAX(IFERROR(MATCH(LN(E56),INDEX(Attenuation!$J:$J,INDEX(Cables!$AO:$AO,MATCH(G56,Cables!$A:$A,0))):INDEX(Attenuation!$J:$J,INDEX(Cables!$AO:$AO,MATCH(G56,Cables!$A:$A,0))+INDEX(Cables!$AP:$AP,MATCH(G56,Cables!$A:$A,0))-1),1),1),1),INDEX(Cables!$AP:$AP,MATCH(G56,Cables!$A:$A,0))-1))+1),INDEX(Attenuation!$J:$J,(INDEX(Cables!$AO:$AO,MATCH(G56,Cables!$A:$A,0))-1+MIN(MAX(IFERROR(MATCH(LN(E56),INDEX(Attenuation!$J:$J,INDEX(Cables!$AO:$AO,MATCH(G56,Cables!$A:$A,0))):INDEX(Attenuation!$J:$J,INDEX(Cables!$AO:$AO,MATCH(G56,Cables!$A:$A,0))+INDEX(Cables!$AP:$AP,MATCH(G56,Cables!$A:$A,0))-1),1),1),1),INDEX(Cables!$AP:$AP,MATCH(G56,Cables!$A:$A,0))-1))):INDEX(Attenuation!$J:$J,(INDEX(Cables!$AO:$AO,MATCH(G56,Cables!$A:$A,0))-1+MIN(MAX(IFERROR(MATCH(LN(E56),INDEX(Attenuation!$J:$J,INDEX(Cables!$AO:$AO,MATCH(G56,Cables!$A:$A,0))):INDEX(Attenuation!$J:$J,INDEX(Cables!$AO:$AO,MATCH(G56,Cables!$A:$A,0))+INDEX(Cables!$AP:$AP,MATCH(G56,Cables!$A:$A,0))-1),1),1),1),INDEX(Cables!$AP:$AP,MATCH(G56,Cables!$A:$A,0))-1))+1)))*0.3048)</f>
        <v>2.0999999999999996</v>
      </c>
      <c r="J56" s="44">
        <f t="shared" si="0"/>
        <v>0.14285714285714302</v>
      </c>
      <c r="K56" s="40" t="str">
        <f>IF(G56="","Doğrulanmadı",IF(ABS(J56)&lt;=0.1,"Uyumlu (±%10)",IF(ABS(J56)&lt;=0.25,"Fark %10-25","Fark &gt;%25"))&amp;IF(OR(D56&lt;INDEX(Cables!$AQ:$AQ,MATCH(G56,Cables!$A:$A,0)),E56&gt;INDEX(Cables!$AR:$AR,MATCH(G56,Cables!$A:$A,0)))," · ekstrapolasyon",""))</f>
        <v>Fark %10-25</v>
      </c>
    </row>
    <row r="57" spans="1:11" x14ac:dyDescent="0.25">
      <c r="A57" s="37" t="s">
        <v>2980</v>
      </c>
      <c r="B57" s="40" t="str">
        <f>INDEX(Legacy_Index!$D:$D,MATCH(A57,Legacy_Index!$A:$A,0))</f>
        <v>RG8X Belden</v>
      </c>
      <c r="C57" s="37" t="s">
        <v>3113</v>
      </c>
      <c r="D57" s="37">
        <v>70</v>
      </c>
      <c r="E57" s="37">
        <v>100</v>
      </c>
      <c r="F57" s="37">
        <v>3.6</v>
      </c>
      <c r="G57" s="40" t="str">
        <f>IF(INDEX(Legacy_Index!$G:$G,MATCH(A57,Legacy_Index!$A:$A,0))="","",INDEX(Legacy_Index!$G:$G,MATCH(A57,Legacy_Index!$A:$A,0)))</f>
        <v>BEL-9258</v>
      </c>
      <c r="H57" s="43">
        <f>IF(G57="","",EXP(FORECAST(LN(D57),INDEX(Attenuation!$K:$K,(INDEX(Cables!$AO:$AO,MATCH(G57,Cables!$A:$A,0))-1+MIN(MAX(IFERROR(MATCH(LN(D57),INDEX(Attenuation!$J:$J,INDEX(Cables!$AO:$AO,MATCH(G57,Cables!$A:$A,0))):INDEX(Attenuation!$J:$J,INDEX(Cables!$AO:$AO,MATCH(G57,Cables!$A:$A,0))+INDEX(Cables!$AP:$AP,MATCH(G57,Cables!$A:$A,0))-1),1),1),1),INDEX(Cables!$AP:$AP,MATCH(G57,Cables!$A:$A,0))-1))):INDEX(Attenuation!$K:$K,(INDEX(Cables!$AO:$AO,MATCH(G57,Cables!$A:$A,0))-1+MIN(MAX(IFERROR(MATCH(LN(D57),INDEX(Attenuation!$J:$J,INDEX(Cables!$AO:$AO,MATCH(G57,Cables!$A:$A,0))):INDEX(Attenuation!$J:$J,INDEX(Cables!$AO:$AO,MATCH(G57,Cables!$A:$A,0))+INDEX(Cables!$AP:$AP,MATCH(G57,Cables!$A:$A,0))-1),1),1),1),INDEX(Cables!$AP:$AP,MATCH(G57,Cables!$A:$A,0))-1))+1),INDEX(Attenuation!$J:$J,(INDEX(Cables!$AO:$AO,MATCH(G57,Cables!$A:$A,0))-1+MIN(MAX(IFERROR(MATCH(LN(D57),INDEX(Attenuation!$J:$J,INDEX(Cables!$AO:$AO,MATCH(G57,Cables!$A:$A,0))):INDEX(Attenuation!$J:$J,INDEX(Cables!$AO:$AO,MATCH(G57,Cables!$A:$A,0))+INDEX(Cables!$AP:$AP,MATCH(G57,Cables!$A:$A,0))-1),1),1),1),INDEX(Cables!$AP:$AP,MATCH(G57,Cables!$A:$A,0))-1))):INDEX(Attenuation!$J:$J,(INDEX(Cables!$AO:$AO,MATCH(G57,Cables!$A:$A,0))-1+MIN(MAX(IFERROR(MATCH(LN(D57),INDEX(Attenuation!$J:$J,INDEX(Cables!$AO:$AO,MATCH(G57,Cables!$A:$A,0))):INDEX(Attenuation!$J:$J,INDEX(Cables!$AO:$AO,MATCH(G57,Cables!$A:$A,0))+INDEX(Cables!$AP:$AP,MATCH(G57,Cables!$A:$A,0))-1),1),1),1),INDEX(Cables!$AP:$AP,MATCH(G57,Cables!$A:$A,0))-1))+1)))*0.3048)</f>
        <v>2.5370297087889129</v>
      </c>
      <c r="I57" s="43">
        <f>IF(G57="","",EXP(FORECAST(LN(E57),INDEX(Attenuation!$K:$K,(INDEX(Cables!$AO:$AO,MATCH(G57,Cables!$A:$A,0))-1+MIN(MAX(IFERROR(MATCH(LN(E57),INDEX(Attenuation!$J:$J,INDEX(Cables!$AO:$AO,MATCH(G57,Cables!$A:$A,0))):INDEX(Attenuation!$J:$J,INDEX(Cables!$AO:$AO,MATCH(G57,Cables!$A:$A,0))+INDEX(Cables!$AP:$AP,MATCH(G57,Cables!$A:$A,0))-1),1),1),1),INDEX(Cables!$AP:$AP,MATCH(G57,Cables!$A:$A,0))-1))):INDEX(Attenuation!$K:$K,(INDEX(Cables!$AO:$AO,MATCH(G57,Cables!$A:$A,0))-1+MIN(MAX(IFERROR(MATCH(LN(E57),INDEX(Attenuation!$J:$J,INDEX(Cables!$AO:$AO,MATCH(G57,Cables!$A:$A,0))):INDEX(Attenuation!$J:$J,INDEX(Cables!$AO:$AO,MATCH(G57,Cables!$A:$A,0))+INDEX(Cables!$AP:$AP,MATCH(G57,Cables!$A:$A,0))-1),1),1),1),INDEX(Cables!$AP:$AP,MATCH(G57,Cables!$A:$A,0))-1))+1),INDEX(Attenuation!$J:$J,(INDEX(Cables!$AO:$AO,MATCH(G57,Cables!$A:$A,0))-1+MIN(MAX(IFERROR(MATCH(LN(E57),INDEX(Attenuation!$J:$J,INDEX(Cables!$AO:$AO,MATCH(G57,Cables!$A:$A,0))):INDEX(Attenuation!$J:$J,INDEX(Cables!$AO:$AO,MATCH(G57,Cables!$A:$A,0))+INDEX(Cables!$AP:$AP,MATCH(G57,Cables!$A:$A,0))-1),1),1),1),INDEX(Cables!$AP:$AP,MATCH(G57,Cables!$A:$A,0))-1))):INDEX(Attenuation!$J:$J,(INDEX(Cables!$AO:$AO,MATCH(G57,Cables!$A:$A,0))-1+MIN(MAX(IFERROR(MATCH(LN(E57),INDEX(Attenuation!$J:$J,INDEX(Cables!$AO:$AO,MATCH(G57,Cables!$A:$A,0))):INDEX(Attenuation!$J:$J,INDEX(Cables!$AO:$AO,MATCH(G57,Cables!$A:$A,0))+INDEX(Cables!$AP:$AP,MATCH(G57,Cables!$A:$A,0))-1),1),1),1),INDEX(Cables!$AP:$AP,MATCH(G57,Cables!$A:$A,0))-1))+1)))*0.3048)</f>
        <v>3.100000000000001</v>
      </c>
      <c r="J57" s="44">
        <f t="shared" si="0"/>
        <v>0.1612903225806448</v>
      </c>
      <c r="K57" s="40" t="str">
        <f>IF(G57="","Doğrulanmadı",IF(ABS(J57)&lt;=0.1,"Uyumlu (±%10)",IF(ABS(J57)&lt;=0.25,"Fark %10-25","Fark &gt;%25"))&amp;IF(OR(D57&lt;INDEX(Cables!$AQ:$AQ,MATCH(G57,Cables!$A:$A,0)),E57&gt;INDEX(Cables!$AR:$AR,MATCH(G57,Cables!$A:$A,0)))," · ekstrapolasyon",""))</f>
        <v>Fark %10-25</v>
      </c>
    </row>
    <row r="58" spans="1:11" x14ac:dyDescent="0.25">
      <c r="A58" s="37" t="s">
        <v>2980</v>
      </c>
      <c r="B58" s="40" t="str">
        <f>INDEX(Legacy_Index!$D:$D,MATCH(A58,Legacy_Index!$A:$A,0))</f>
        <v>RG8X Belden</v>
      </c>
      <c r="C58" s="37" t="s">
        <v>3114</v>
      </c>
      <c r="D58" s="37">
        <v>148</v>
      </c>
      <c r="E58" s="37">
        <v>174</v>
      </c>
      <c r="F58" s="37">
        <v>4.6500000000000004</v>
      </c>
      <c r="G58" s="40" t="str">
        <f>IF(INDEX(Legacy_Index!$G:$G,MATCH(A58,Legacy_Index!$A:$A,0))="","",INDEX(Legacy_Index!$G:$G,MATCH(A58,Legacy_Index!$A:$A,0)))</f>
        <v>BEL-9258</v>
      </c>
      <c r="H58" s="43">
        <f>IF(G58="","",EXP(FORECAST(LN(D58),INDEX(Attenuation!$K:$K,(INDEX(Cables!$AO:$AO,MATCH(G58,Cables!$A:$A,0))-1+MIN(MAX(IFERROR(MATCH(LN(D58),INDEX(Attenuation!$J:$J,INDEX(Cables!$AO:$AO,MATCH(G58,Cables!$A:$A,0))):INDEX(Attenuation!$J:$J,INDEX(Cables!$AO:$AO,MATCH(G58,Cables!$A:$A,0))+INDEX(Cables!$AP:$AP,MATCH(G58,Cables!$A:$A,0))-1),1),1),1),INDEX(Cables!$AP:$AP,MATCH(G58,Cables!$A:$A,0))-1))):INDEX(Attenuation!$K:$K,(INDEX(Cables!$AO:$AO,MATCH(G58,Cables!$A:$A,0))-1+MIN(MAX(IFERROR(MATCH(LN(D58),INDEX(Attenuation!$J:$J,INDEX(Cables!$AO:$AO,MATCH(G58,Cables!$A:$A,0))):INDEX(Attenuation!$J:$J,INDEX(Cables!$AO:$AO,MATCH(G58,Cables!$A:$A,0))+INDEX(Cables!$AP:$AP,MATCH(G58,Cables!$A:$A,0))-1),1),1),1),INDEX(Cables!$AP:$AP,MATCH(G58,Cables!$A:$A,0))-1))+1),INDEX(Attenuation!$J:$J,(INDEX(Cables!$AO:$AO,MATCH(G58,Cables!$A:$A,0))-1+MIN(MAX(IFERROR(MATCH(LN(D58),INDEX(Attenuation!$J:$J,INDEX(Cables!$AO:$AO,MATCH(G58,Cables!$A:$A,0))):INDEX(Attenuation!$J:$J,INDEX(Cables!$AO:$AO,MATCH(G58,Cables!$A:$A,0))+INDEX(Cables!$AP:$AP,MATCH(G58,Cables!$A:$A,0))-1),1),1),1),INDEX(Cables!$AP:$AP,MATCH(G58,Cables!$A:$A,0))-1))):INDEX(Attenuation!$J:$J,(INDEX(Cables!$AO:$AO,MATCH(G58,Cables!$A:$A,0))-1+MIN(MAX(IFERROR(MATCH(LN(D58),INDEX(Attenuation!$J:$J,INDEX(Cables!$AO:$AO,MATCH(G58,Cables!$A:$A,0))):INDEX(Attenuation!$J:$J,INDEX(Cables!$AO:$AO,MATCH(G58,Cables!$A:$A,0))+INDEX(Cables!$AP:$AP,MATCH(G58,Cables!$A:$A,0))-1),1),1),1),INDEX(Cables!$AP:$AP,MATCH(G58,Cables!$A:$A,0))-1))+1)))*0.3048)</f>
        <v>3.827401832809239</v>
      </c>
      <c r="I58" s="43">
        <f>IF(G58="","",EXP(FORECAST(LN(E58),INDEX(Attenuation!$K:$K,(INDEX(Cables!$AO:$AO,MATCH(G58,Cables!$A:$A,0))-1+MIN(MAX(IFERROR(MATCH(LN(E58),INDEX(Attenuation!$J:$J,INDEX(Cables!$AO:$AO,MATCH(G58,Cables!$A:$A,0))):INDEX(Attenuation!$J:$J,INDEX(Cables!$AO:$AO,MATCH(G58,Cables!$A:$A,0))+INDEX(Cables!$AP:$AP,MATCH(G58,Cables!$A:$A,0))-1),1),1),1),INDEX(Cables!$AP:$AP,MATCH(G58,Cables!$A:$A,0))-1))):INDEX(Attenuation!$K:$K,(INDEX(Cables!$AO:$AO,MATCH(G58,Cables!$A:$A,0))-1+MIN(MAX(IFERROR(MATCH(LN(E58),INDEX(Attenuation!$J:$J,INDEX(Cables!$AO:$AO,MATCH(G58,Cables!$A:$A,0))):INDEX(Attenuation!$J:$J,INDEX(Cables!$AO:$AO,MATCH(G58,Cables!$A:$A,0))+INDEX(Cables!$AP:$AP,MATCH(G58,Cables!$A:$A,0))-1),1),1),1),INDEX(Cables!$AP:$AP,MATCH(G58,Cables!$A:$A,0))-1))+1),INDEX(Attenuation!$J:$J,(INDEX(Cables!$AO:$AO,MATCH(G58,Cables!$A:$A,0))-1+MIN(MAX(IFERROR(MATCH(LN(E58),INDEX(Attenuation!$J:$J,INDEX(Cables!$AO:$AO,MATCH(G58,Cables!$A:$A,0))):INDEX(Attenuation!$J:$J,INDEX(Cables!$AO:$AO,MATCH(G58,Cables!$A:$A,0))+INDEX(Cables!$AP:$AP,MATCH(G58,Cables!$A:$A,0))-1),1),1),1),INDEX(Cables!$AP:$AP,MATCH(G58,Cables!$A:$A,0))-1))):INDEX(Attenuation!$J:$J,(INDEX(Cables!$AO:$AO,MATCH(G58,Cables!$A:$A,0))-1+MIN(MAX(IFERROR(MATCH(LN(E58),INDEX(Attenuation!$J:$J,INDEX(Cables!$AO:$AO,MATCH(G58,Cables!$A:$A,0))):INDEX(Attenuation!$J:$J,INDEX(Cables!$AO:$AO,MATCH(G58,Cables!$A:$A,0))+INDEX(Cables!$AP:$AP,MATCH(G58,Cables!$A:$A,0))-1),1),1),1),INDEX(Cables!$AP:$AP,MATCH(G58,Cables!$A:$A,0))-1))+1)))*0.3048)</f>
        <v>4.1753667604128655</v>
      </c>
      <c r="J58" s="44">
        <f t="shared" si="0"/>
        <v>0.11367462233190806</v>
      </c>
      <c r="K58" s="40" t="str">
        <f>IF(G58="","Doğrulanmadı",IF(ABS(J58)&lt;=0.1,"Uyumlu (±%10)",IF(ABS(J58)&lt;=0.25,"Fark %10-25","Fark &gt;%25"))&amp;IF(OR(D58&lt;INDEX(Cables!$AQ:$AQ,MATCH(G58,Cables!$A:$A,0)),E58&gt;INDEX(Cables!$AR:$AR,MATCH(G58,Cables!$A:$A,0)))," · ekstrapolasyon",""))</f>
        <v>Fark %10-25</v>
      </c>
    </row>
    <row r="59" spans="1:11" x14ac:dyDescent="0.25">
      <c r="A59" s="37" t="s">
        <v>2980</v>
      </c>
      <c r="B59" s="40" t="str">
        <f>INDEX(Legacy_Index!$D:$D,MATCH(A59,Legacy_Index!$A:$A,0))</f>
        <v>RG8X Belden</v>
      </c>
      <c r="C59" s="37" t="s">
        <v>3119</v>
      </c>
      <c r="D59" s="37">
        <v>220</v>
      </c>
      <c r="E59" s="37">
        <v>220</v>
      </c>
      <c r="F59" s="37">
        <v>6</v>
      </c>
      <c r="G59" s="40" t="str">
        <f>IF(INDEX(Legacy_Index!$G:$G,MATCH(A59,Legacy_Index!$A:$A,0))="","",INDEX(Legacy_Index!$G:$G,MATCH(A59,Legacy_Index!$A:$A,0)))</f>
        <v>BEL-9258</v>
      </c>
      <c r="H59" s="43">
        <f>IF(G59="","",EXP(FORECAST(LN(D59),INDEX(Attenuation!$K:$K,(INDEX(Cables!$AO:$AO,MATCH(G59,Cables!$A:$A,0))-1+MIN(MAX(IFERROR(MATCH(LN(D59),INDEX(Attenuation!$J:$J,INDEX(Cables!$AO:$AO,MATCH(G59,Cables!$A:$A,0))):INDEX(Attenuation!$J:$J,INDEX(Cables!$AO:$AO,MATCH(G59,Cables!$A:$A,0))+INDEX(Cables!$AP:$AP,MATCH(G59,Cables!$A:$A,0))-1),1),1),1),INDEX(Cables!$AP:$AP,MATCH(G59,Cables!$A:$A,0))-1))):INDEX(Attenuation!$K:$K,(INDEX(Cables!$AO:$AO,MATCH(G59,Cables!$A:$A,0))-1+MIN(MAX(IFERROR(MATCH(LN(D59),INDEX(Attenuation!$J:$J,INDEX(Cables!$AO:$AO,MATCH(G59,Cables!$A:$A,0))):INDEX(Attenuation!$J:$J,INDEX(Cables!$AO:$AO,MATCH(G59,Cables!$A:$A,0))+INDEX(Cables!$AP:$AP,MATCH(G59,Cables!$A:$A,0))-1),1),1),1),INDEX(Cables!$AP:$AP,MATCH(G59,Cables!$A:$A,0))-1))+1),INDEX(Attenuation!$J:$J,(INDEX(Cables!$AO:$AO,MATCH(G59,Cables!$A:$A,0))-1+MIN(MAX(IFERROR(MATCH(LN(D59),INDEX(Attenuation!$J:$J,INDEX(Cables!$AO:$AO,MATCH(G59,Cables!$A:$A,0))):INDEX(Attenuation!$J:$J,INDEX(Cables!$AO:$AO,MATCH(G59,Cables!$A:$A,0))+INDEX(Cables!$AP:$AP,MATCH(G59,Cables!$A:$A,0))-1),1),1),1),INDEX(Cables!$AP:$AP,MATCH(G59,Cables!$A:$A,0))-1))):INDEX(Attenuation!$J:$J,(INDEX(Cables!$AO:$AO,MATCH(G59,Cables!$A:$A,0))-1+MIN(MAX(IFERROR(MATCH(LN(D59),INDEX(Attenuation!$J:$J,INDEX(Cables!$AO:$AO,MATCH(G59,Cables!$A:$A,0))):INDEX(Attenuation!$J:$J,INDEX(Cables!$AO:$AO,MATCH(G59,Cables!$A:$A,0))+INDEX(Cables!$AP:$AP,MATCH(G59,Cables!$A:$A,0))-1),1),1),1),INDEX(Cables!$AP:$AP,MATCH(G59,Cables!$A:$A,0))-1))+1)))*0.3048)</f>
        <v>4.7433336065339802</v>
      </c>
      <c r="I59" s="43">
        <f>IF(G59="","",EXP(FORECAST(LN(E59),INDEX(Attenuation!$K:$K,(INDEX(Cables!$AO:$AO,MATCH(G59,Cables!$A:$A,0))-1+MIN(MAX(IFERROR(MATCH(LN(E59),INDEX(Attenuation!$J:$J,INDEX(Cables!$AO:$AO,MATCH(G59,Cables!$A:$A,0))):INDEX(Attenuation!$J:$J,INDEX(Cables!$AO:$AO,MATCH(G59,Cables!$A:$A,0))+INDEX(Cables!$AP:$AP,MATCH(G59,Cables!$A:$A,0))-1),1),1),1),INDEX(Cables!$AP:$AP,MATCH(G59,Cables!$A:$A,0))-1))):INDEX(Attenuation!$K:$K,(INDEX(Cables!$AO:$AO,MATCH(G59,Cables!$A:$A,0))-1+MIN(MAX(IFERROR(MATCH(LN(E59),INDEX(Attenuation!$J:$J,INDEX(Cables!$AO:$AO,MATCH(G59,Cables!$A:$A,0))):INDEX(Attenuation!$J:$J,INDEX(Cables!$AO:$AO,MATCH(G59,Cables!$A:$A,0))+INDEX(Cables!$AP:$AP,MATCH(G59,Cables!$A:$A,0))-1),1),1),1),INDEX(Cables!$AP:$AP,MATCH(G59,Cables!$A:$A,0))-1))+1),INDEX(Attenuation!$J:$J,(INDEX(Cables!$AO:$AO,MATCH(G59,Cables!$A:$A,0))-1+MIN(MAX(IFERROR(MATCH(LN(E59),INDEX(Attenuation!$J:$J,INDEX(Cables!$AO:$AO,MATCH(G59,Cables!$A:$A,0))):INDEX(Attenuation!$J:$J,INDEX(Cables!$AO:$AO,MATCH(G59,Cables!$A:$A,0))+INDEX(Cables!$AP:$AP,MATCH(G59,Cables!$A:$A,0))-1),1),1),1),INDEX(Cables!$AP:$AP,MATCH(G59,Cables!$A:$A,0))-1))):INDEX(Attenuation!$J:$J,(INDEX(Cables!$AO:$AO,MATCH(G59,Cables!$A:$A,0))-1+MIN(MAX(IFERROR(MATCH(LN(E59),INDEX(Attenuation!$J:$J,INDEX(Cables!$AO:$AO,MATCH(G59,Cables!$A:$A,0))):INDEX(Attenuation!$J:$J,INDEX(Cables!$AO:$AO,MATCH(G59,Cables!$A:$A,0))+INDEX(Cables!$AP:$AP,MATCH(G59,Cables!$A:$A,0))-1),1),1),1),INDEX(Cables!$AP:$AP,MATCH(G59,Cables!$A:$A,0))-1))+1)))*0.3048)</f>
        <v>4.7433336065339802</v>
      </c>
      <c r="J59" s="44">
        <f t="shared" si="0"/>
        <v>0.26493316677851886</v>
      </c>
      <c r="K59" s="40" t="str">
        <f>IF(G59="","Doğrulanmadı",IF(ABS(J59)&lt;=0.1,"Uyumlu (±%10)",IF(ABS(J59)&lt;=0.25,"Fark %10-25","Fark &gt;%25"))&amp;IF(OR(D59&lt;INDEX(Cables!$AQ:$AQ,MATCH(G59,Cables!$A:$A,0)),E59&gt;INDEX(Cables!$AR:$AR,MATCH(G59,Cables!$A:$A,0)))," · ekstrapolasyon",""))</f>
        <v>Fark &gt;%25</v>
      </c>
    </row>
    <row r="60" spans="1:11" x14ac:dyDescent="0.25">
      <c r="A60" s="37" t="s">
        <v>2980</v>
      </c>
      <c r="B60" s="40" t="str">
        <f>INDEX(Legacy_Index!$D:$D,MATCH(A60,Legacy_Index!$A:$A,0))</f>
        <v>RG8X Belden</v>
      </c>
      <c r="C60" s="37" t="s">
        <v>3115</v>
      </c>
      <c r="D60" s="37">
        <v>400</v>
      </c>
      <c r="E60" s="37">
        <v>520</v>
      </c>
      <c r="F60" s="37">
        <v>8.6</v>
      </c>
      <c r="G60" s="40" t="str">
        <f>IF(INDEX(Legacy_Index!$G:$G,MATCH(A60,Legacy_Index!$A:$A,0))="","",INDEX(Legacy_Index!$G:$G,MATCH(A60,Legacy_Index!$A:$A,0)))</f>
        <v>BEL-9258</v>
      </c>
      <c r="H60" s="43">
        <f>IF(G60="","",EXP(FORECAST(LN(D60),INDEX(Attenuation!$K:$K,(INDEX(Cables!$AO:$AO,MATCH(G60,Cables!$A:$A,0))-1+MIN(MAX(IFERROR(MATCH(LN(D60),INDEX(Attenuation!$J:$J,INDEX(Cables!$AO:$AO,MATCH(G60,Cables!$A:$A,0))):INDEX(Attenuation!$J:$J,INDEX(Cables!$AO:$AO,MATCH(G60,Cables!$A:$A,0))+INDEX(Cables!$AP:$AP,MATCH(G60,Cables!$A:$A,0))-1),1),1),1),INDEX(Cables!$AP:$AP,MATCH(G60,Cables!$A:$A,0))-1))):INDEX(Attenuation!$K:$K,(INDEX(Cables!$AO:$AO,MATCH(G60,Cables!$A:$A,0))-1+MIN(MAX(IFERROR(MATCH(LN(D60),INDEX(Attenuation!$J:$J,INDEX(Cables!$AO:$AO,MATCH(G60,Cables!$A:$A,0))):INDEX(Attenuation!$J:$J,INDEX(Cables!$AO:$AO,MATCH(G60,Cables!$A:$A,0))+INDEX(Cables!$AP:$AP,MATCH(G60,Cables!$A:$A,0))-1),1),1),1),INDEX(Cables!$AP:$AP,MATCH(G60,Cables!$A:$A,0))-1))+1),INDEX(Attenuation!$J:$J,(INDEX(Cables!$AO:$AO,MATCH(G60,Cables!$A:$A,0))-1+MIN(MAX(IFERROR(MATCH(LN(D60),INDEX(Attenuation!$J:$J,INDEX(Cables!$AO:$AO,MATCH(G60,Cables!$A:$A,0))):INDEX(Attenuation!$J:$J,INDEX(Cables!$AO:$AO,MATCH(G60,Cables!$A:$A,0))+INDEX(Cables!$AP:$AP,MATCH(G60,Cables!$A:$A,0))-1),1),1),1),INDEX(Cables!$AP:$AP,MATCH(G60,Cables!$A:$A,0))-1))):INDEX(Attenuation!$J:$J,(INDEX(Cables!$AO:$AO,MATCH(G60,Cables!$A:$A,0))-1+MIN(MAX(IFERROR(MATCH(LN(D60),INDEX(Attenuation!$J:$J,INDEX(Cables!$AO:$AO,MATCH(G60,Cables!$A:$A,0))):INDEX(Attenuation!$J:$J,INDEX(Cables!$AO:$AO,MATCH(G60,Cables!$A:$A,0))+INDEX(Cables!$AP:$AP,MATCH(G60,Cables!$A:$A,0))-1),1),1),1),INDEX(Cables!$AP:$AP,MATCH(G60,Cables!$A:$A,0))-1))+1)))*0.3048)</f>
        <v>6.6</v>
      </c>
      <c r="I60" s="43">
        <f>IF(G60="","",EXP(FORECAST(LN(E60),INDEX(Attenuation!$K:$K,(INDEX(Cables!$AO:$AO,MATCH(G60,Cables!$A:$A,0))-1+MIN(MAX(IFERROR(MATCH(LN(E60),INDEX(Attenuation!$J:$J,INDEX(Cables!$AO:$AO,MATCH(G60,Cables!$A:$A,0))):INDEX(Attenuation!$J:$J,INDEX(Cables!$AO:$AO,MATCH(G60,Cables!$A:$A,0))+INDEX(Cables!$AP:$AP,MATCH(G60,Cables!$A:$A,0))-1),1),1),1),INDEX(Cables!$AP:$AP,MATCH(G60,Cables!$A:$A,0))-1))):INDEX(Attenuation!$K:$K,(INDEX(Cables!$AO:$AO,MATCH(G60,Cables!$A:$A,0))-1+MIN(MAX(IFERROR(MATCH(LN(E60),INDEX(Attenuation!$J:$J,INDEX(Cables!$AO:$AO,MATCH(G60,Cables!$A:$A,0))):INDEX(Attenuation!$J:$J,INDEX(Cables!$AO:$AO,MATCH(G60,Cables!$A:$A,0))+INDEX(Cables!$AP:$AP,MATCH(G60,Cables!$A:$A,0))-1),1),1),1),INDEX(Cables!$AP:$AP,MATCH(G60,Cables!$A:$A,0))-1))+1),INDEX(Attenuation!$J:$J,(INDEX(Cables!$AO:$AO,MATCH(G60,Cables!$A:$A,0))-1+MIN(MAX(IFERROR(MATCH(LN(E60),INDEX(Attenuation!$J:$J,INDEX(Cables!$AO:$AO,MATCH(G60,Cables!$A:$A,0))):INDEX(Attenuation!$J:$J,INDEX(Cables!$AO:$AO,MATCH(G60,Cables!$A:$A,0))+INDEX(Cables!$AP:$AP,MATCH(G60,Cables!$A:$A,0))-1),1),1),1),INDEX(Cables!$AP:$AP,MATCH(G60,Cables!$A:$A,0))-1))):INDEX(Attenuation!$J:$J,(INDEX(Cables!$AO:$AO,MATCH(G60,Cables!$A:$A,0))-1+MIN(MAX(IFERROR(MATCH(LN(E60),INDEX(Attenuation!$J:$J,INDEX(Cables!$AO:$AO,MATCH(G60,Cables!$A:$A,0))):INDEX(Attenuation!$J:$J,INDEX(Cables!$AO:$AO,MATCH(G60,Cables!$A:$A,0))+INDEX(Cables!$AP:$AP,MATCH(G60,Cables!$A:$A,0))-1),1),1),1),INDEX(Cables!$AP:$AP,MATCH(G60,Cables!$A:$A,0))-1))+1)))*0.3048)</f>
        <v>7.6726330313569404</v>
      </c>
      <c r="J60" s="44">
        <f t="shared" si="0"/>
        <v>0.12086684777612122</v>
      </c>
      <c r="K60" s="40" t="str">
        <f>IF(G60="","Doğrulanmadı",IF(ABS(J60)&lt;=0.1,"Uyumlu (±%10)",IF(ABS(J60)&lt;=0.25,"Fark %10-25","Fark &gt;%25"))&amp;IF(OR(D60&lt;INDEX(Cables!$AQ:$AQ,MATCH(G60,Cables!$A:$A,0)),E60&gt;INDEX(Cables!$AR:$AR,MATCH(G60,Cables!$A:$A,0)))," · ekstrapolasyon",""))</f>
        <v>Fark %10-25</v>
      </c>
    </row>
    <row r="61" spans="1:11" x14ac:dyDescent="0.25">
      <c r="A61" s="37" t="s">
        <v>2980</v>
      </c>
      <c r="B61" s="40" t="str">
        <f>INDEX(Legacy_Index!$D:$D,MATCH(A61,Legacy_Index!$A:$A,0))</f>
        <v>RG8X Belden</v>
      </c>
      <c r="C61" s="37" t="s">
        <v>3116</v>
      </c>
      <c r="D61" s="37">
        <v>700</v>
      </c>
      <c r="E61" s="37">
        <v>960</v>
      </c>
      <c r="F61" s="37">
        <v>12.6</v>
      </c>
      <c r="G61" s="40" t="str">
        <f>IF(INDEX(Legacy_Index!$G:$G,MATCH(A61,Legacy_Index!$A:$A,0))="","",INDEX(Legacy_Index!$G:$G,MATCH(A61,Legacy_Index!$A:$A,0)))</f>
        <v>BEL-9258</v>
      </c>
      <c r="H61" s="43">
        <f>IF(G61="","",EXP(FORECAST(LN(D61),INDEX(Attenuation!$K:$K,(INDEX(Cables!$AO:$AO,MATCH(G61,Cables!$A:$A,0))-1+MIN(MAX(IFERROR(MATCH(LN(D61),INDEX(Attenuation!$J:$J,INDEX(Cables!$AO:$AO,MATCH(G61,Cables!$A:$A,0))):INDEX(Attenuation!$J:$J,INDEX(Cables!$AO:$AO,MATCH(G61,Cables!$A:$A,0))+INDEX(Cables!$AP:$AP,MATCH(G61,Cables!$A:$A,0))-1),1),1),1),INDEX(Cables!$AP:$AP,MATCH(G61,Cables!$A:$A,0))-1))):INDEX(Attenuation!$K:$K,(INDEX(Cables!$AO:$AO,MATCH(G61,Cables!$A:$A,0))-1+MIN(MAX(IFERROR(MATCH(LN(D61),INDEX(Attenuation!$J:$J,INDEX(Cables!$AO:$AO,MATCH(G61,Cables!$A:$A,0))):INDEX(Attenuation!$J:$J,INDEX(Cables!$AO:$AO,MATCH(G61,Cables!$A:$A,0))+INDEX(Cables!$AP:$AP,MATCH(G61,Cables!$A:$A,0))-1),1),1),1),INDEX(Cables!$AP:$AP,MATCH(G61,Cables!$A:$A,0))-1))+1),INDEX(Attenuation!$J:$J,(INDEX(Cables!$AO:$AO,MATCH(G61,Cables!$A:$A,0))-1+MIN(MAX(IFERROR(MATCH(LN(D61),INDEX(Attenuation!$J:$J,INDEX(Cables!$AO:$AO,MATCH(G61,Cables!$A:$A,0))):INDEX(Attenuation!$J:$J,INDEX(Cables!$AO:$AO,MATCH(G61,Cables!$A:$A,0))+INDEX(Cables!$AP:$AP,MATCH(G61,Cables!$A:$A,0))-1),1),1),1),INDEX(Cables!$AP:$AP,MATCH(G61,Cables!$A:$A,0))-1))):INDEX(Attenuation!$J:$J,(INDEX(Cables!$AO:$AO,MATCH(G61,Cables!$A:$A,0))-1+MIN(MAX(IFERROR(MATCH(LN(D61),INDEX(Attenuation!$J:$J,INDEX(Cables!$AO:$AO,MATCH(G61,Cables!$A:$A,0))):INDEX(Attenuation!$J:$J,INDEX(Cables!$AO:$AO,MATCH(G61,Cables!$A:$A,0))+INDEX(Cables!$AP:$AP,MATCH(G61,Cables!$A:$A,0))-1),1),1),1),INDEX(Cables!$AP:$AP,MATCH(G61,Cables!$A:$A,0))-1))+1)))*0.3048)</f>
        <v>9.1000000000000032</v>
      </c>
      <c r="I61" s="43">
        <f>IF(G61="","",EXP(FORECAST(LN(E61),INDEX(Attenuation!$K:$K,(INDEX(Cables!$AO:$AO,MATCH(G61,Cables!$A:$A,0))-1+MIN(MAX(IFERROR(MATCH(LN(E61),INDEX(Attenuation!$J:$J,INDEX(Cables!$AO:$AO,MATCH(G61,Cables!$A:$A,0))):INDEX(Attenuation!$J:$J,INDEX(Cables!$AO:$AO,MATCH(G61,Cables!$A:$A,0))+INDEX(Cables!$AP:$AP,MATCH(G61,Cables!$A:$A,0))-1),1),1),1),INDEX(Cables!$AP:$AP,MATCH(G61,Cables!$A:$A,0))-1))):INDEX(Attenuation!$K:$K,(INDEX(Cables!$AO:$AO,MATCH(G61,Cables!$A:$A,0))-1+MIN(MAX(IFERROR(MATCH(LN(E61),INDEX(Attenuation!$J:$J,INDEX(Cables!$AO:$AO,MATCH(G61,Cables!$A:$A,0))):INDEX(Attenuation!$J:$J,INDEX(Cables!$AO:$AO,MATCH(G61,Cables!$A:$A,0))+INDEX(Cables!$AP:$AP,MATCH(G61,Cables!$A:$A,0))-1),1),1),1),INDEX(Cables!$AP:$AP,MATCH(G61,Cables!$A:$A,0))-1))+1),INDEX(Attenuation!$J:$J,(INDEX(Cables!$AO:$AO,MATCH(G61,Cables!$A:$A,0))-1+MIN(MAX(IFERROR(MATCH(LN(E61),INDEX(Attenuation!$J:$J,INDEX(Cables!$AO:$AO,MATCH(G61,Cables!$A:$A,0))):INDEX(Attenuation!$J:$J,INDEX(Cables!$AO:$AO,MATCH(G61,Cables!$A:$A,0))+INDEX(Cables!$AP:$AP,MATCH(G61,Cables!$A:$A,0))-1),1),1),1),INDEX(Cables!$AP:$AP,MATCH(G61,Cables!$A:$A,0))-1))):INDEX(Attenuation!$J:$J,(INDEX(Cables!$AO:$AO,MATCH(G61,Cables!$A:$A,0))-1+MIN(MAX(IFERROR(MATCH(LN(E61),INDEX(Attenuation!$J:$J,INDEX(Cables!$AO:$AO,MATCH(G61,Cables!$A:$A,0))):INDEX(Attenuation!$J:$J,INDEX(Cables!$AO:$AO,MATCH(G61,Cables!$A:$A,0))+INDEX(Cables!$AP:$AP,MATCH(G61,Cables!$A:$A,0))-1),1),1),1),INDEX(Cables!$AP:$AP,MATCH(G61,Cables!$A:$A,0))-1))+1)))*0.3048)</f>
        <v>11.003560424036976</v>
      </c>
      <c r="J61" s="44">
        <f t="shared" si="0"/>
        <v>0.1450839105200572</v>
      </c>
      <c r="K61" s="40" t="str">
        <f>IF(G61="","Doğrulanmadı",IF(ABS(J61)&lt;=0.1,"Uyumlu (±%10)",IF(ABS(J61)&lt;=0.25,"Fark %10-25","Fark &gt;%25"))&amp;IF(OR(D61&lt;INDEX(Cables!$AQ:$AQ,MATCH(G61,Cables!$A:$A,0)),E61&gt;INDEX(Cables!$AR:$AR,MATCH(G61,Cables!$A:$A,0)))," · ekstrapolasyon",""))</f>
        <v>Fark %10-25</v>
      </c>
    </row>
    <row r="62" spans="1:11" x14ac:dyDescent="0.25">
      <c r="A62" s="37" t="s">
        <v>2980</v>
      </c>
      <c r="B62" s="40" t="str">
        <f>INDEX(Legacy_Index!$D:$D,MATCH(A62,Legacy_Index!$A:$A,0))</f>
        <v>RG8X Belden</v>
      </c>
      <c r="C62" s="37" t="s">
        <v>3120</v>
      </c>
      <c r="D62" s="37">
        <v>1200</v>
      </c>
      <c r="E62" s="37">
        <v>1300</v>
      </c>
      <c r="F62" s="37">
        <v>13.7</v>
      </c>
      <c r="G62" s="40" t="str">
        <f>IF(INDEX(Legacy_Index!$G:$G,MATCH(A62,Legacy_Index!$A:$A,0))="","",INDEX(Legacy_Index!$G:$G,MATCH(A62,Legacy_Index!$A:$A,0)))</f>
        <v>BEL-9258</v>
      </c>
      <c r="H62" s="43">
        <f>IF(G62="","",EXP(FORECAST(LN(D62),INDEX(Attenuation!$K:$K,(INDEX(Cables!$AO:$AO,MATCH(G62,Cables!$A:$A,0))-1+MIN(MAX(IFERROR(MATCH(LN(D62),INDEX(Attenuation!$J:$J,INDEX(Cables!$AO:$AO,MATCH(G62,Cables!$A:$A,0))):INDEX(Attenuation!$J:$J,INDEX(Cables!$AO:$AO,MATCH(G62,Cables!$A:$A,0))+INDEX(Cables!$AP:$AP,MATCH(G62,Cables!$A:$A,0))-1),1),1),1),INDEX(Cables!$AP:$AP,MATCH(G62,Cables!$A:$A,0))-1))):INDEX(Attenuation!$K:$K,(INDEX(Cables!$AO:$AO,MATCH(G62,Cables!$A:$A,0))-1+MIN(MAX(IFERROR(MATCH(LN(D62),INDEX(Attenuation!$J:$J,INDEX(Cables!$AO:$AO,MATCH(G62,Cables!$A:$A,0))):INDEX(Attenuation!$J:$J,INDEX(Cables!$AO:$AO,MATCH(G62,Cables!$A:$A,0))+INDEX(Cables!$AP:$AP,MATCH(G62,Cables!$A:$A,0))-1),1),1),1),INDEX(Cables!$AP:$AP,MATCH(G62,Cables!$A:$A,0))-1))+1),INDEX(Attenuation!$J:$J,(INDEX(Cables!$AO:$AO,MATCH(G62,Cables!$A:$A,0))-1+MIN(MAX(IFERROR(MATCH(LN(D62),INDEX(Attenuation!$J:$J,INDEX(Cables!$AO:$AO,MATCH(G62,Cables!$A:$A,0))):INDEX(Attenuation!$J:$J,INDEX(Cables!$AO:$AO,MATCH(G62,Cables!$A:$A,0))+INDEX(Cables!$AP:$AP,MATCH(G62,Cables!$A:$A,0))-1),1),1),1),INDEX(Cables!$AP:$AP,MATCH(G62,Cables!$A:$A,0))-1))):INDEX(Attenuation!$J:$J,(INDEX(Cables!$AO:$AO,MATCH(G62,Cables!$A:$A,0))-1+MIN(MAX(IFERROR(MATCH(LN(D62),INDEX(Attenuation!$J:$J,INDEX(Cables!$AO:$AO,MATCH(G62,Cables!$A:$A,0))):INDEX(Attenuation!$J:$J,INDEX(Cables!$AO:$AO,MATCH(G62,Cables!$A:$A,0))+INDEX(Cables!$AP:$AP,MATCH(G62,Cables!$A:$A,0))-1),1),1),1),INDEX(Cables!$AP:$AP,MATCH(G62,Cables!$A:$A,0))-1))+1)))*0.3048)</f>
        <v>12.121050958997113</v>
      </c>
      <c r="I62" s="43">
        <f>IF(G62="","",EXP(FORECAST(LN(E62),INDEX(Attenuation!$K:$K,(INDEX(Cables!$AO:$AO,MATCH(G62,Cables!$A:$A,0))-1+MIN(MAX(IFERROR(MATCH(LN(E62),INDEX(Attenuation!$J:$J,INDEX(Cables!$AO:$AO,MATCH(G62,Cables!$A:$A,0))):INDEX(Attenuation!$J:$J,INDEX(Cables!$AO:$AO,MATCH(G62,Cables!$A:$A,0))+INDEX(Cables!$AP:$AP,MATCH(G62,Cables!$A:$A,0))-1),1),1),1),INDEX(Cables!$AP:$AP,MATCH(G62,Cables!$A:$A,0))-1))):INDEX(Attenuation!$K:$K,(INDEX(Cables!$AO:$AO,MATCH(G62,Cables!$A:$A,0))-1+MIN(MAX(IFERROR(MATCH(LN(E62),INDEX(Attenuation!$J:$J,INDEX(Cables!$AO:$AO,MATCH(G62,Cables!$A:$A,0))):INDEX(Attenuation!$J:$J,INDEX(Cables!$AO:$AO,MATCH(G62,Cables!$A:$A,0))+INDEX(Cables!$AP:$AP,MATCH(G62,Cables!$A:$A,0))-1),1),1),1),INDEX(Cables!$AP:$AP,MATCH(G62,Cables!$A:$A,0))-1))+1),INDEX(Attenuation!$J:$J,(INDEX(Cables!$AO:$AO,MATCH(G62,Cables!$A:$A,0))-1+MIN(MAX(IFERROR(MATCH(LN(E62),INDEX(Attenuation!$J:$J,INDEX(Cables!$AO:$AO,MATCH(G62,Cables!$A:$A,0))):INDEX(Attenuation!$J:$J,INDEX(Cables!$AO:$AO,MATCH(G62,Cables!$A:$A,0))+INDEX(Cables!$AP:$AP,MATCH(G62,Cables!$A:$A,0))-1),1),1),1),INDEX(Cables!$AP:$AP,MATCH(G62,Cables!$A:$A,0))-1))):INDEX(Attenuation!$J:$J,(INDEX(Cables!$AO:$AO,MATCH(G62,Cables!$A:$A,0))-1+MIN(MAX(IFERROR(MATCH(LN(E62),INDEX(Attenuation!$J:$J,INDEX(Cables!$AO:$AO,MATCH(G62,Cables!$A:$A,0))):INDEX(Attenuation!$J:$J,INDEX(Cables!$AO:$AO,MATCH(G62,Cables!$A:$A,0))+INDEX(Cables!$AP:$AP,MATCH(G62,Cables!$A:$A,0))-1),1),1),1),INDEX(Cables!$AP:$AP,MATCH(G62,Cables!$A:$A,0))-1))+1)))*0.3048)</f>
        <v>12.548979619634499</v>
      </c>
      <c r="J62" s="44">
        <f t="shared" si="0"/>
        <v>9.1722228838795772E-2</v>
      </c>
      <c r="K62" s="40" t="str">
        <f>IF(G62="","Doğrulanmadı",IF(ABS(J62)&lt;=0.1,"Uyumlu (±%10)",IF(ABS(J62)&lt;=0.25,"Fark %10-25","Fark &gt;%25"))&amp;IF(OR(D62&lt;INDEX(Cables!$AQ:$AQ,MATCH(G62,Cables!$A:$A,0)),E62&gt;INDEX(Cables!$AR:$AR,MATCH(G62,Cables!$A:$A,0)))," · ekstrapolasyon",""))</f>
        <v>Uyumlu (±%10) · ekstrapolasyon</v>
      </c>
    </row>
    <row r="63" spans="1:11" x14ac:dyDescent="0.25">
      <c r="A63" s="37" t="s">
        <v>2982</v>
      </c>
      <c r="B63" s="40" t="str">
        <f>INDEX(Legacy_Index!$D:$D,MATCH(A63,Legacy_Index!$A:$A,0))</f>
        <v>RG8X (RG-8/U-Mini)</v>
      </c>
      <c r="C63" s="37" t="s">
        <v>3117</v>
      </c>
      <c r="D63" s="37">
        <v>1</v>
      </c>
      <c r="E63" s="37">
        <v>10</v>
      </c>
      <c r="F63" s="37">
        <v>0.6</v>
      </c>
      <c r="G63" s="40" t="str">
        <f>IF(INDEX(Legacy_Index!$G:$G,MATCH(A63,Legacy_Index!$A:$A,0))="","",INDEX(Legacy_Index!$G:$G,MATCH(A63,Legacy_Index!$A:$A,0)))</f>
        <v>BEL-9258</v>
      </c>
      <c r="H63" s="43">
        <f>IF(G63="","",EXP(FORECAST(LN(D63),INDEX(Attenuation!$K:$K,(INDEX(Cables!$AO:$AO,MATCH(G63,Cables!$A:$A,0))-1+MIN(MAX(IFERROR(MATCH(LN(D63),INDEX(Attenuation!$J:$J,INDEX(Cables!$AO:$AO,MATCH(G63,Cables!$A:$A,0))):INDEX(Attenuation!$J:$J,INDEX(Cables!$AO:$AO,MATCH(G63,Cables!$A:$A,0))+INDEX(Cables!$AP:$AP,MATCH(G63,Cables!$A:$A,0))-1),1),1),1),INDEX(Cables!$AP:$AP,MATCH(G63,Cables!$A:$A,0))-1))):INDEX(Attenuation!$K:$K,(INDEX(Cables!$AO:$AO,MATCH(G63,Cables!$A:$A,0))-1+MIN(MAX(IFERROR(MATCH(LN(D63),INDEX(Attenuation!$J:$J,INDEX(Cables!$AO:$AO,MATCH(G63,Cables!$A:$A,0))):INDEX(Attenuation!$J:$J,INDEX(Cables!$AO:$AO,MATCH(G63,Cables!$A:$A,0))+INDEX(Cables!$AP:$AP,MATCH(G63,Cables!$A:$A,0))-1),1),1),1),INDEX(Cables!$AP:$AP,MATCH(G63,Cables!$A:$A,0))-1))+1),INDEX(Attenuation!$J:$J,(INDEX(Cables!$AO:$AO,MATCH(G63,Cables!$A:$A,0))-1+MIN(MAX(IFERROR(MATCH(LN(D63),INDEX(Attenuation!$J:$J,INDEX(Cables!$AO:$AO,MATCH(G63,Cables!$A:$A,0))):INDEX(Attenuation!$J:$J,INDEX(Cables!$AO:$AO,MATCH(G63,Cables!$A:$A,0))+INDEX(Cables!$AP:$AP,MATCH(G63,Cables!$A:$A,0))-1),1),1),1),INDEX(Cables!$AP:$AP,MATCH(G63,Cables!$A:$A,0))-1))):INDEX(Attenuation!$J:$J,(INDEX(Cables!$AO:$AO,MATCH(G63,Cables!$A:$A,0))-1+MIN(MAX(IFERROR(MATCH(LN(D63),INDEX(Attenuation!$J:$J,INDEX(Cables!$AO:$AO,MATCH(G63,Cables!$A:$A,0))):INDEX(Attenuation!$J:$J,INDEX(Cables!$AO:$AO,MATCH(G63,Cables!$A:$A,0))+INDEX(Cables!$AP:$AP,MATCH(G63,Cables!$A:$A,0))-1),1),1),1),INDEX(Cables!$AP:$AP,MATCH(G63,Cables!$A:$A,0))-1))+1)))*0.3048)</f>
        <v>0.30000000000000004</v>
      </c>
      <c r="I63" s="43">
        <f>IF(G63="","",EXP(FORECAST(LN(E63),INDEX(Attenuation!$K:$K,(INDEX(Cables!$AO:$AO,MATCH(G63,Cables!$A:$A,0))-1+MIN(MAX(IFERROR(MATCH(LN(E63),INDEX(Attenuation!$J:$J,INDEX(Cables!$AO:$AO,MATCH(G63,Cables!$A:$A,0))):INDEX(Attenuation!$J:$J,INDEX(Cables!$AO:$AO,MATCH(G63,Cables!$A:$A,0))+INDEX(Cables!$AP:$AP,MATCH(G63,Cables!$A:$A,0))-1),1),1),1),INDEX(Cables!$AP:$AP,MATCH(G63,Cables!$A:$A,0))-1))):INDEX(Attenuation!$K:$K,(INDEX(Cables!$AO:$AO,MATCH(G63,Cables!$A:$A,0))-1+MIN(MAX(IFERROR(MATCH(LN(E63),INDEX(Attenuation!$J:$J,INDEX(Cables!$AO:$AO,MATCH(G63,Cables!$A:$A,0))):INDEX(Attenuation!$J:$J,INDEX(Cables!$AO:$AO,MATCH(G63,Cables!$A:$A,0))+INDEX(Cables!$AP:$AP,MATCH(G63,Cables!$A:$A,0))-1),1),1),1),INDEX(Cables!$AP:$AP,MATCH(G63,Cables!$A:$A,0))-1))+1),INDEX(Attenuation!$J:$J,(INDEX(Cables!$AO:$AO,MATCH(G63,Cables!$A:$A,0))-1+MIN(MAX(IFERROR(MATCH(LN(E63),INDEX(Attenuation!$J:$J,INDEX(Cables!$AO:$AO,MATCH(G63,Cables!$A:$A,0))):INDEX(Attenuation!$J:$J,INDEX(Cables!$AO:$AO,MATCH(G63,Cables!$A:$A,0))+INDEX(Cables!$AP:$AP,MATCH(G63,Cables!$A:$A,0))-1),1),1),1),INDEX(Cables!$AP:$AP,MATCH(G63,Cables!$A:$A,0))-1))):INDEX(Attenuation!$J:$J,(INDEX(Cables!$AO:$AO,MATCH(G63,Cables!$A:$A,0))-1+MIN(MAX(IFERROR(MATCH(LN(E63),INDEX(Attenuation!$J:$J,INDEX(Cables!$AO:$AO,MATCH(G63,Cables!$A:$A,0))):INDEX(Attenuation!$J:$J,INDEX(Cables!$AO:$AO,MATCH(G63,Cables!$A:$A,0))+INDEX(Cables!$AP:$AP,MATCH(G63,Cables!$A:$A,0))-1),1),1),1),INDEX(Cables!$AP:$AP,MATCH(G63,Cables!$A:$A,0))-1))+1)))*0.3048)</f>
        <v>0.90000000000000036</v>
      </c>
      <c r="J63" s="44">
        <f t="shared" si="0"/>
        <v>0</v>
      </c>
      <c r="K63" s="40" t="str">
        <f>IF(G63="","Doğrulanmadı",IF(ABS(J63)&lt;=0.1,"Uyumlu (±%10)",IF(ABS(J63)&lt;=0.25,"Fark %10-25","Fark &gt;%25"))&amp;IF(OR(D63&lt;INDEX(Cables!$AQ:$AQ,MATCH(G63,Cables!$A:$A,0)),E63&gt;INDEX(Cables!$AR:$AR,MATCH(G63,Cables!$A:$A,0)))," · ekstrapolasyon",""))</f>
        <v>Uyumlu (±%10)</v>
      </c>
    </row>
    <row r="64" spans="1:11" x14ac:dyDescent="0.25">
      <c r="A64" s="37" t="s">
        <v>2982</v>
      </c>
      <c r="B64" s="40" t="str">
        <f>INDEX(Legacy_Index!$D:$D,MATCH(A64,Legacy_Index!$A:$A,0))</f>
        <v>RG8X (RG-8/U-Mini)</v>
      </c>
      <c r="C64" s="37" t="s">
        <v>3118</v>
      </c>
      <c r="D64" s="37">
        <v>30</v>
      </c>
      <c r="E64" s="37">
        <v>50</v>
      </c>
      <c r="F64" s="37">
        <v>2</v>
      </c>
      <c r="G64" s="40" t="str">
        <f>IF(INDEX(Legacy_Index!$G:$G,MATCH(A64,Legacy_Index!$A:$A,0))="","",INDEX(Legacy_Index!$G:$G,MATCH(A64,Legacy_Index!$A:$A,0)))</f>
        <v>BEL-9258</v>
      </c>
      <c r="H64" s="43">
        <f>IF(G64="","",EXP(FORECAST(LN(D64),INDEX(Attenuation!$K:$K,(INDEX(Cables!$AO:$AO,MATCH(G64,Cables!$A:$A,0))-1+MIN(MAX(IFERROR(MATCH(LN(D64),INDEX(Attenuation!$J:$J,INDEX(Cables!$AO:$AO,MATCH(G64,Cables!$A:$A,0))):INDEX(Attenuation!$J:$J,INDEX(Cables!$AO:$AO,MATCH(G64,Cables!$A:$A,0))+INDEX(Cables!$AP:$AP,MATCH(G64,Cables!$A:$A,0))-1),1),1),1),INDEX(Cables!$AP:$AP,MATCH(G64,Cables!$A:$A,0))-1))):INDEX(Attenuation!$K:$K,(INDEX(Cables!$AO:$AO,MATCH(G64,Cables!$A:$A,0))-1+MIN(MAX(IFERROR(MATCH(LN(D64),INDEX(Attenuation!$J:$J,INDEX(Cables!$AO:$AO,MATCH(G64,Cables!$A:$A,0))):INDEX(Attenuation!$J:$J,INDEX(Cables!$AO:$AO,MATCH(G64,Cables!$A:$A,0))+INDEX(Cables!$AP:$AP,MATCH(G64,Cables!$A:$A,0))-1),1),1),1),INDEX(Cables!$AP:$AP,MATCH(G64,Cables!$A:$A,0))-1))+1),INDEX(Attenuation!$J:$J,(INDEX(Cables!$AO:$AO,MATCH(G64,Cables!$A:$A,0))-1+MIN(MAX(IFERROR(MATCH(LN(D64),INDEX(Attenuation!$J:$J,INDEX(Cables!$AO:$AO,MATCH(G64,Cables!$A:$A,0))):INDEX(Attenuation!$J:$J,INDEX(Cables!$AO:$AO,MATCH(G64,Cables!$A:$A,0))+INDEX(Cables!$AP:$AP,MATCH(G64,Cables!$A:$A,0))-1),1),1),1),INDEX(Cables!$AP:$AP,MATCH(G64,Cables!$A:$A,0))-1))):INDEX(Attenuation!$J:$J,(INDEX(Cables!$AO:$AO,MATCH(G64,Cables!$A:$A,0))-1+MIN(MAX(IFERROR(MATCH(LN(D64),INDEX(Attenuation!$J:$J,INDEX(Cables!$AO:$AO,MATCH(G64,Cables!$A:$A,0))):INDEX(Attenuation!$J:$J,INDEX(Cables!$AO:$AO,MATCH(G64,Cables!$A:$A,0))+INDEX(Cables!$AP:$AP,MATCH(G64,Cables!$A:$A,0))-1),1),1),1),INDEX(Cables!$AP:$AP,MATCH(G64,Cables!$A:$A,0))-1))+1)))*0.3048)</f>
        <v>1.6048178361539038</v>
      </c>
      <c r="I64" s="43">
        <f>IF(G64="","",EXP(FORECAST(LN(E64),INDEX(Attenuation!$K:$K,(INDEX(Cables!$AO:$AO,MATCH(G64,Cables!$A:$A,0))-1+MIN(MAX(IFERROR(MATCH(LN(E64),INDEX(Attenuation!$J:$J,INDEX(Cables!$AO:$AO,MATCH(G64,Cables!$A:$A,0))):INDEX(Attenuation!$J:$J,INDEX(Cables!$AO:$AO,MATCH(G64,Cables!$A:$A,0))+INDEX(Cables!$AP:$AP,MATCH(G64,Cables!$A:$A,0))-1),1),1),1),INDEX(Cables!$AP:$AP,MATCH(G64,Cables!$A:$A,0))-1))):INDEX(Attenuation!$K:$K,(INDEX(Cables!$AO:$AO,MATCH(G64,Cables!$A:$A,0))-1+MIN(MAX(IFERROR(MATCH(LN(E64),INDEX(Attenuation!$J:$J,INDEX(Cables!$AO:$AO,MATCH(G64,Cables!$A:$A,0))):INDEX(Attenuation!$J:$J,INDEX(Cables!$AO:$AO,MATCH(G64,Cables!$A:$A,0))+INDEX(Cables!$AP:$AP,MATCH(G64,Cables!$A:$A,0))-1),1),1),1),INDEX(Cables!$AP:$AP,MATCH(G64,Cables!$A:$A,0))-1))+1),INDEX(Attenuation!$J:$J,(INDEX(Cables!$AO:$AO,MATCH(G64,Cables!$A:$A,0))-1+MIN(MAX(IFERROR(MATCH(LN(E64),INDEX(Attenuation!$J:$J,INDEX(Cables!$AO:$AO,MATCH(G64,Cables!$A:$A,0))):INDEX(Attenuation!$J:$J,INDEX(Cables!$AO:$AO,MATCH(G64,Cables!$A:$A,0))+INDEX(Cables!$AP:$AP,MATCH(G64,Cables!$A:$A,0))-1),1),1),1),INDEX(Cables!$AP:$AP,MATCH(G64,Cables!$A:$A,0))-1))):INDEX(Attenuation!$J:$J,(INDEX(Cables!$AO:$AO,MATCH(G64,Cables!$A:$A,0))-1+MIN(MAX(IFERROR(MATCH(LN(E64),INDEX(Attenuation!$J:$J,INDEX(Cables!$AO:$AO,MATCH(G64,Cables!$A:$A,0))):INDEX(Attenuation!$J:$J,INDEX(Cables!$AO:$AO,MATCH(G64,Cables!$A:$A,0))+INDEX(Cables!$AP:$AP,MATCH(G64,Cables!$A:$A,0))-1),1),1),1),INDEX(Cables!$AP:$AP,MATCH(G64,Cables!$A:$A,0))-1))+1)))*0.3048)</f>
        <v>2.0999999999999996</v>
      </c>
      <c r="J64" s="44">
        <f t="shared" si="0"/>
        <v>0</v>
      </c>
      <c r="K64" s="40" t="str">
        <f>IF(G64="","Doğrulanmadı",IF(ABS(J64)&lt;=0.1,"Uyumlu (±%10)",IF(ABS(J64)&lt;=0.25,"Fark %10-25","Fark &gt;%25"))&amp;IF(OR(D64&lt;INDEX(Cables!$AQ:$AQ,MATCH(G64,Cables!$A:$A,0)),E64&gt;INDEX(Cables!$AR:$AR,MATCH(G64,Cables!$A:$A,0)))," · ekstrapolasyon",""))</f>
        <v>Uyumlu (±%10)</v>
      </c>
    </row>
    <row r="65" spans="1:11" x14ac:dyDescent="0.25">
      <c r="A65" s="37" t="s">
        <v>2982</v>
      </c>
      <c r="B65" s="40" t="str">
        <f>INDEX(Legacy_Index!$D:$D,MATCH(A65,Legacy_Index!$A:$A,0))</f>
        <v>RG8X (RG-8/U-Mini)</v>
      </c>
      <c r="C65" s="37" t="s">
        <v>3113</v>
      </c>
      <c r="D65" s="37">
        <v>70</v>
      </c>
      <c r="E65" s="37">
        <v>100</v>
      </c>
      <c r="F65" s="37">
        <v>3</v>
      </c>
      <c r="G65" s="40" t="str">
        <f>IF(INDEX(Legacy_Index!$G:$G,MATCH(A65,Legacy_Index!$A:$A,0))="","",INDEX(Legacy_Index!$G:$G,MATCH(A65,Legacy_Index!$A:$A,0)))</f>
        <v>BEL-9258</v>
      </c>
      <c r="H65" s="43">
        <f>IF(G65="","",EXP(FORECAST(LN(D65),INDEX(Attenuation!$K:$K,(INDEX(Cables!$AO:$AO,MATCH(G65,Cables!$A:$A,0))-1+MIN(MAX(IFERROR(MATCH(LN(D65),INDEX(Attenuation!$J:$J,INDEX(Cables!$AO:$AO,MATCH(G65,Cables!$A:$A,0))):INDEX(Attenuation!$J:$J,INDEX(Cables!$AO:$AO,MATCH(G65,Cables!$A:$A,0))+INDEX(Cables!$AP:$AP,MATCH(G65,Cables!$A:$A,0))-1),1),1),1),INDEX(Cables!$AP:$AP,MATCH(G65,Cables!$A:$A,0))-1))):INDEX(Attenuation!$K:$K,(INDEX(Cables!$AO:$AO,MATCH(G65,Cables!$A:$A,0))-1+MIN(MAX(IFERROR(MATCH(LN(D65),INDEX(Attenuation!$J:$J,INDEX(Cables!$AO:$AO,MATCH(G65,Cables!$A:$A,0))):INDEX(Attenuation!$J:$J,INDEX(Cables!$AO:$AO,MATCH(G65,Cables!$A:$A,0))+INDEX(Cables!$AP:$AP,MATCH(G65,Cables!$A:$A,0))-1),1),1),1),INDEX(Cables!$AP:$AP,MATCH(G65,Cables!$A:$A,0))-1))+1),INDEX(Attenuation!$J:$J,(INDEX(Cables!$AO:$AO,MATCH(G65,Cables!$A:$A,0))-1+MIN(MAX(IFERROR(MATCH(LN(D65),INDEX(Attenuation!$J:$J,INDEX(Cables!$AO:$AO,MATCH(G65,Cables!$A:$A,0))):INDEX(Attenuation!$J:$J,INDEX(Cables!$AO:$AO,MATCH(G65,Cables!$A:$A,0))+INDEX(Cables!$AP:$AP,MATCH(G65,Cables!$A:$A,0))-1),1),1),1),INDEX(Cables!$AP:$AP,MATCH(G65,Cables!$A:$A,0))-1))):INDEX(Attenuation!$J:$J,(INDEX(Cables!$AO:$AO,MATCH(G65,Cables!$A:$A,0))-1+MIN(MAX(IFERROR(MATCH(LN(D65),INDEX(Attenuation!$J:$J,INDEX(Cables!$AO:$AO,MATCH(G65,Cables!$A:$A,0))):INDEX(Attenuation!$J:$J,INDEX(Cables!$AO:$AO,MATCH(G65,Cables!$A:$A,0))+INDEX(Cables!$AP:$AP,MATCH(G65,Cables!$A:$A,0))-1),1),1),1),INDEX(Cables!$AP:$AP,MATCH(G65,Cables!$A:$A,0))-1))+1)))*0.3048)</f>
        <v>2.5370297087889129</v>
      </c>
      <c r="I65" s="43">
        <f>IF(G65="","",EXP(FORECAST(LN(E65),INDEX(Attenuation!$K:$K,(INDEX(Cables!$AO:$AO,MATCH(G65,Cables!$A:$A,0))-1+MIN(MAX(IFERROR(MATCH(LN(E65),INDEX(Attenuation!$J:$J,INDEX(Cables!$AO:$AO,MATCH(G65,Cables!$A:$A,0))):INDEX(Attenuation!$J:$J,INDEX(Cables!$AO:$AO,MATCH(G65,Cables!$A:$A,0))+INDEX(Cables!$AP:$AP,MATCH(G65,Cables!$A:$A,0))-1),1),1),1),INDEX(Cables!$AP:$AP,MATCH(G65,Cables!$A:$A,0))-1))):INDEX(Attenuation!$K:$K,(INDEX(Cables!$AO:$AO,MATCH(G65,Cables!$A:$A,0))-1+MIN(MAX(IFERROR(MATCH(LN(E65),INDEX(Attenuation!$J:$J,INDEX(Cables!$AO:$AO,MATCH(G65,Cables!$A:$A,0))):INDEX(Attenuation!$J:$J,INDEX(Cables!$AO:$AO,MATCH(G65,Cables!$A:$A,0))+INDEX(Cables!$AP:$AP,MATCH(G65,Cables!$A:$A,0))-1),1),1),1),INDEX(Cables!$AP:$AP,MATCH(G65,Cables!$A:$A,0))-1))+1),INDEX(Attenuation!$J:$J,(INDEX(Cables!$AO:$AO,MATCH(G65,Cables!$A:$A,0))-1+MIN(MAX(IFERROR(MATCH(LN(E65),INDEX(Attenuation!$J:$J,INDEX(Cables!$AO:$AO,MATCH(G65,Cables!$A:$A,0))):INDEX(Attenuation!$J:$J,INDEX(Cables!$AO:$AO,MATCH(G65,Cables!$A:$A,0))+INDEX(Cables!$AP:$AP,MATCH(G65,Cables!$A:$A,0))-1),1),1),1),INDEX(Cables!$AP:$AP,MATCH(G65,Cables!$A:$A,0))-1))):INDEX(Attenuation!$J:$J,(INDEX(Cables!$AO:$AO,MATCH(G65,Cables!$A:$A,0))-1+MIN(MAX(IFERROR(MATCH(LN(E65),INDEX(Attenuation!$J:$J,INDEX(Cables!$AO:$AO,MATCH(G65,Cables!$A:$A,0))):INDEX(Attenuation!$J:$J,INDEX(Cables!$AO:$AO,MATCH(G65,Cables!$A:$A,0))+INDEX(Cables!$AP:$AP,MATCH(G65,Cables!$A:$A,0))-1),1),1),1),INDEX(Cables!$AP:$AP,MATCH(G65,Cables!$A:$A,0))-1))+1)))*0.3048)</f>
        <v>3.100000000000001</v>
      </c>
      <c r="J65" s="44">
        <f t="shared" si="0"/>
        <v>0</v>
      </c>
      <c r="K65" s="40" t="str">
        <f>IF(G65="","Doğrulanmadı",IF(ABS(J65)&lt;=0.1,"Uyumlu (±%10)",IF(ABS(J65)&lt;=0.25,"Fark %10-25","Fark &gt;%25"))&amp;IF(OR(D65&lt;INDEX(Cables!$AQ:$AQ,MATCH(G65,Cables!$A:$A,0)),E65&gt;INDEX(Cables!$AR:$AR,MATCH(G65,Cables!$A:$A,0)))," · ekstrapolasyon",""))</f>
        <v>Uyumlu (±%10)</v>
      </c>
    </row>
    <row r="66" spans="1:11" x14ac:dyDescent="0.25">
      <c r="A66" s="37" t="s">
        <v>2982</v>
      </c>
      <c r="B66" s="40" t="str">
        <f>INDEX(Legacy_Index!$D:$D,MATCH(A66,Legacy_Index!$A:$A,0))</f>
        <v>RG8X (RG-8/U-Mini)</v>
      </c>
      <c r="C66" s="37" t="s">
        <v>3114</v>
      </c>
      <c r="D66" s="37">
        <v>148</v>
      </c>
      <c r="E66" s="37">
        <v>174</v>
      </c>
      <c r="F66" s="37">
        <v>4.7</v>
      </c>
      <c r="G66" s="40" t="str">
        <f>IF(INDEX(Legacy_Index!$G:$G,MATCH(A66,Legacy_Index!$A:$A,0))="","",INDEX(Legacy_Index!$G:$G,MATCH(A66,Legacy_Index!$A:$A,0)))</f>
        <v>BEL-9258</v>
      </c>
      <c r="H66" s="43">
        <f>IF(G66="","",EXP(FORECAST(LN(D66),INDEX(Attenuation!$K:$K,(INDEX(Cables!$AO:$AO,MATCH(G66,Cables!$A:$A,0))-1+MIN(MAX(IFERROR(MATCH(LN(D66),INDEX(Attenuation!$J:$J,INDEX(Cables!$AO:$AO,MATCH(G66,Cables!$A:$A,0))):INDEX(Attenuation!$J:$J,INDEX(Cables!$AO:$AO,MATCH(G66,Cables!$A:$A,0))+INDEX(Cables!$AP:$AP,MATCH(G66,Cables!$A:$A,0))-1),1),1),1),INDEX(Cables!$AP:$AP,MATCH(G66,Cables!$A:$A,0))-1))):INDEX(Attenuation!$K:$K,(INDEX(Cables!$AO:$AO,MATCH(G66,Cables!$A:$A,0))-1+MIN(MAX(IFERROR(MATCH(LN(D66),INDEX(Attenuation!$J:$J,INDEX(Cables!$AO:$AO,MATCH(G66,Cables!$A:$A,0))):INDEX(Attenuation!$J:$J,INDEX(Cables!$AO:$AO,MATCH(G66,Cables!$A:$A,0))+INDEX(Cables!$AP:$AP,MATCH(G66,Cables!$A:$A,0))-1),1),1),1),INDEX(Cables!$AP:$AP,MATCH(G66,Cables!$A:$A,0))-1))+1),INDEX(Attenuation!$J:$J,(INDEX(Cables!$AO:$AO,MATCH(G66,Cables!$A:$A,0))-1+MIN(MAX(IFERROR(MATCH(LN(D66),INDEX(Attenuation!$J:$J,INDEX(Cables!$AO:$AO,MATCH(G66,Cables!$A:$A,0))):INDEX(Attenuation!$J:$J,INDEX(Cables!$AO:$AO,MATCH(G66,Cables!$A:$A,0))+INDEX(Cables!$AP:$AP,MATCH(G66,Cables!$A:$A,0))-1),1),1),1),INDEX(Cables!$AP:$AP,MATCH(G66,Cables!$A:$A,0))-1))):INDEX(Attenuation!$J:$J,(INDEX(Cables!$AO:$AO,MATCH(G66,Cables!$A:$A,0))-1+MIN(MAX(IFERROR(MATCH(LN(D66),INDEX(Attenuation!$J:$J,INDEX(Cables!$AO:$AO,MATCH(G66,Cables!$A:$A,0))):INDEX(Attenuation!$J:$J,INDEX(Cables!$AO:$AO,MATCH(G66,Cables!$A:$A,0))+INDEX(Cables!$AP:$AP,MATCH(G66,Cables!$A:$A,0))-1),1),1),1),INDEX(Cables!$AP:$AP,MATCH(G66,Cables!$A:$A,0))-1))+1)))*0.3048)</f>
        <v>3.827401832809239</v>
      </c>
      <c r="I66" s="43">
        <f>IF(G66="","",EXP(FORECAST(LN(E66),INDEX(Attenuation!$K:$K,(INDEX(Cables!$AO:$AO,MATCH(G66,Cables!$A:$A,0))-1+MIN(MAX(IFERROR(MATCH(LN(E66),INDEX(Attenuation!$J:$J,INDEX(Cables!$AO:$AO,MATCH(G66,Cables!$A:$A,0))):INDEX(Attenuation!$J:$J,INDEX(Cables!$AO:$AO,MATCH(G66,Cables!$A:$A,0))+INDEX(Cables!$AP:$AP,MATCH(G66,Cables!$A:$A,0))-1),1),1),1),INDEX(Cables!$AP:$AP,MATCH(G66,Cables!$A:$A,0))-1))):INDEX(Attenuation!$K:$K,(INDEX(Cables!$AO:$AO,MATCH(G66,Cables!$A:$A,0))-1+MIN(MAX(IFERROR(MATCH(LN(E66),INDEX(Attenuation!$J:$J,INDEX(Cables!$AO:$AO,MATCH(G66,Cables!$A:$A,0))):INDEX(Attenuation!$J:$J,INDEX(Cables!$AO:$AO,MATCH(G66,Cables!$A:$A,0))+INDEX(Cables!$AP:$AP,MATCH(G66,Cables!$A:$A,0))-1),1),1),1),INDEX(Cables!$AP:$AP,MATCH(G66,Cables!$A:$A,0))-1))+1),INDEX(Attenuation!$J:$J,(INDEX(Cables!$AO:$AO,MATCH(G66,Cables!$A:$A,0))-1+MIN(MAX(IFERROR(MATCH(LN(E66),INDEX(Attenuation!$J:$J,INDEX(Cables!$AO:$AO,MATCH(G66,Cables!$A:$A,0))):INDEX(Attenuation!$J:$J,INDEX(Cables!$AO:$AO,MATCH(G66,Cables!$A:$A,0))+INDEX(Cables!$AP:$AP,MATCH(G66,Cables!$A:$A,0))-1),1),1),1),INDEX(Cables!$AP:$AP,MATCH(G66,Cables!$A:$A,0))-1))):INDEX(Attenuation!$J:$J,(INDEX(Cables!$AO:$AO,MATCH(G66,Cables!$A:$A,0))-1+MIN(MAX(IFERROR(MATCH(LN(E66),INDEX(Attenuation!$J:$J,INDEX(Cables!$AO:$AO,MATCH(G66,Cables!$A:$A,0))):INDEX(Attenuation!$J:$J,INDEX(Cables!$AO:$AO,MATCH(G66,Cables!$A:$A,0))+INDEX(Cables!$AP:$AP,MATCH(G66,Cables!$A:$A,0))-1),1),1),1),INDEX(Cables!$AP:$AP,MATCH(G66,Cables!$A:$A,0))-1))+1)))*0.3048)</f>
        <v>4.1753667604128655</v>
      </c>
      <c r="J66" s="44">
        <f t="shared" ref="J66:J129" si="1">IF(G66="","",IF(F66&lt;H66,F66/H66-1,IF(F66&gt;I66,F66/I66-1,0)))</f>
        <v>0.12564961827096077</v>
      </c>
      <c r="K66" s="40" t="str">
        <f>IF(G66="","Doğrulanmadı",IF(ABS(J66)&lt;=0.1,"Uyumlu (±%10)",IF(ABS(J66)&lt;=0.25,"Fark %10-25","Fark &gt;%25"))&amp;IF(OR(D66&lt;INDEX(Cables!$AQ:$AQ,MATCH(G66,Cables!$A:$A,0)),E66&gt;INDEX(Cables!$AR:$AR,MATCH(G66,Cables!$A:$A,0)))," · ekstrapolasyon",""))</f>
        <v>Fark %10-25</v>
      </c>
    </row>
    <row r="67" spans="1:11" x14ac:dyDescent="0.25">
      <c r="A67" s="37" t="s">
        <v>2982</v>
      </c>
      <c r="B67" s="40" t="str">
        <f>INDEX(Legacy_Index!$D:$D,MATCH(A67,Legacy_Index!$A:$A,0))</f>
        <v>RG8X (RG-8/U-Mini)</v>
      </c>
      <c r="C67" s="37" t="s">
        <v>3119</v>
      </c>
      <c r="D67" s="37">
        <v>220</v>
      </c>
      <c r="E67" s="37">
        <v>220</v>
      </c>
      <c r="F67" s="37">
        <v>6</v>
      </c>
      <c r="G67" s="40" t="str">
        <f>IF(INDEX(Legacy_Index!$G:$G,MATCH(A67,Legacy_Index!$A:$A,0))="","",INDEX(Legacy_Index!$G:$G,MATCH(A67,Legacy_Index!$A:$A,0)))</f>
        <v>BEL-9258</v>
      </c>
      <c r="H67" s="43">
        <f>IF(G67="","",EXP(FORECAST(LN(D67),INDEX(Attenuation!$K:$K,(INDEX(Cables!$AO:$AO,MATCH(G67,Cables!$A:$A,0))-1+MIN(MAX(IFERROR(MATCH(LN(D67),INDEX(Attenuation!$J:$J,INDEX(Cables!$AO:$AO,MATCH(G67,Cables!$A:$A,0))):INDEX(Attenuation!$J:$J,INDEX(Cables!$AO:$AO,MATCH(G67,Cables!$A:$A,0))+INDEX(Cables!$AP:$AP,MATCH(G67,Cables!$A:$A,0))-1),1),1),1),INDEX(Cables!$AP:$AP,MATCH(G67,Cables!$A:$A,0))-1))):INDEX(Attenuation!$K:$K,(INDEX(Cables!$AO:$AO,MATCH(G67,Cables!$A:$A,0))-1+MIN(MAX(IFERROR(MATCH(LN(D67),INDEX(Attenuation!$J:$J,INDEX(Cables!$AO:$AO,MATCH(G67,Cables!$A:$A,0))):INDEX(Attenuation!$J:$J,INDEX(Cables!$AO:$AO,MATCH(G67,Cables!$A:$A,0))+INDEX(Cables!$AP:$AP,MATCH(G67,Cables!$A:$A,0))-1),1),1),1),INDEX(Cables!$AP:$AP,MATCH(G67,Cables!$A:$A,0))-1))+1),INDEX(Attenuation!$J:$J,(INDEX(Cables!$AO:$AO,MATCH(G67,Cables!$A:$A,0))-1+MIN(MAX(IFERROR(MATCH(LN(D67),INDEX(Attenuation!$J:$J,INDEX(Cables!$AO:$AO,MATCH(G67,Cables!$A:$A,0))):INDEX(Attenuation!$J:$J,INDEX(Cables!$AO:$AO,MATCH(G67,Cables!$A:$A,0))+INDEX(Cables!$AP:$AP,MATCH(G67,Cables!$A:$A,0))-1),1),1),1),INDEX(Cables!$AP:$AP,MATCH(G67,Cables!$A:$A,0))-1))):INDEX(Attenuation!$J:$J,(INDEX(Cables!$AO:$AO,MATCH(G67,Cables!$A:$A,0))-1+MIN(MAX(IFERROR(MATCH(LN(D67),INDEX(Attenuation!$J:$J,INDEX(Cables!$AO:$AO,MATCH(G67,Cables!$A:$A,0))):INDEX(Attenuation!$J:$J,INDEX(Cables!$AO:$AO,MATCH(G67,Cables!$A:$A,0))+INDEX(Cables!$AP:$AP,MATCH(G67,Cables!$A:$A,0))-1),1),1),1),INDEX(Cables!$AP:$AP,MATCH(G67,Cables!$A:$A,0))-1))+1)))*0.3048)</f>
        <v>4.7433336065339802</v>
      </c>
      <c r="I67" s="43">
        <f>IF(G67="","",EXP(FORECAST(LN(E67),INDEX(Attenuation!$K:$K,(INDEX(Cables!$AO:$AO,MATCH(G67,Cables!$A:$A,0))-1+MIN(MAX(IFERROR(MATCH(LN(E67),INDEX(Attenuation!$J:$J,INDEX(Cables!$AO:$AO,MATCH(G67,Cables!$A:$A,0))):INDEX(Attenuation!$J:$J,INDEX(Cables!$AO:$AO,MATCH(G67,Cables!$A:$A,0))+INDEX(Cables!$AP:$AP,MATCH(G67,Cables!$A:$A,0))-1),1),1),1),INDEX(Cables!$AP:$AP,MATCH(G67,Cables!$A:$A,0))-1))):INDEX(Attenuation!$K:$K,(INDEX(Cables!$AO:$AO,MATCH(G67,Cables!$A:$A,0))-1+MIN(MAX(IFERROR(MATCH(LN(E67),INDEX(Attenuation!$J:$J,INDEX(Cables!$AO:$AO,MATCH(G67,Cables!$A:$A,0))):INDEX(Attenuation!$J:$J,INDEX(Cables!$AO:$AO,MATCH(G67,Cables!$A:$A,0))+INDEX(Cables!$AP:$AP,MATCH(G67,Cables!$A:$A,0))-1),1),1),1),INDEX(Cables!$AP:$AP,MATCH(G67,Cables!$A:$A,0))-1))+1),INDEX(Attenuation!$J:$J,(INDEX(Cables!$AO:$AO,MATCH(G67,Cables!$A:$A,0))-1+MIN(MAX(IFERROR(MATCH(LN(E67),INDEX(Attenuation!$J:$J,INDEX(Cables!$AO:$AO,MATCH(G67,Cables!$A:$A,0))):INDEX(Attenuation!$J:$J,INDEX(Cables!$AO:$AO,MATCH(G67,Cables!$A:$A,0))+INDEX(Cables!$AP:$AP,MATCH(G67,Cables!$A:$A,0))-1),1),1),1),INDEX(Cables!$AP:$AP,MATCH(G67,Cables!$A:$A,0))-1))):INDEX(Attenuation!$J:$J,(INDEX(Cables!$AO:$AO,MATCH(G67,Cables!$A:$A,0))-1+MIN(MAX(IFERROR(MATCH(LN(E67),INDEX(Attenuation!$J:$J,INDEX(Cables!$AO:$AO,MATCH(G67,Cables!$A:$A,0))):INDEX(Attenuation!$J:$J,INDEX(Cables!$AO:$AO,MATCH(G67,Cables!$A:$A,0))+INDEX(Cables!$AP:$AP,MATCH(G67,Cables!$A:$A,0))-1),1),1),1),INDEX(Cables!$AP:$AP,MATCH(G67,Cables!$A:$A,0))-1))+1)))*0.3048)</f>
        <v>4.7433336065339802</v>
      </c>
      <c r="J67" s="44">
        <f t="shared" si="1"/>
        <v>0.26493316677851886</v>
      </c>
      <c r="K67" s="40" t="str">
        <f>IF(G67="","Doğrulanmadı",IF(ABS(J67)&lt;=0.1,"Uyumlu (±%10)",IF(ABS(J67)&lt;=0.25,"Fark %10-25","Fark &gt;%25"))&amp;IF(OR(D67&lt;INDEX(Cables!$AQ:$AQ,MATCH(G67,Cables!$A:$A,0)),E67&gt;INDEX(Cables!$AR:$AR,MATCH(G67,Cables!$A:$A,0)))," · ekstrapolasyon",""))</f>
        <v>Fark &gt;%25</v>
      </c>
    </row>
    <row r="68" spans="1:11" x14ac:dyDescent="0.25">
      <c r="A68" s="37" t="s">
        <v>2982</v>
      </c>
      <c r="B68" s="40" t="str">
        <f>INDEX(Legacy_Index!$D:$D,MATCH(A68,Legacy_Index!$A:$A,0))</f>
        <v>RG8X (RG-8/U-Mini)</v>
      </c>
      <c r="C68" s="37" t="s">
        <v>3115</v>
      </c>
      <c r="D68" s="37">
        <v>400</v>
      </c>
      <c r="E68" s="37">
        <v>520</v>
      </c>
      <c r="F68" s="37">
        <v>7.6</v>
      </c>
      <c r="G68" s="40" t="str">
        <f>IF(INDEX(Legacy_Index!$G:$G,MATCH(A68,Legacy_Index!$A:$A,0))="","",INDEX(Legacy_Index!$G:$G,MATCH(A68,Legacy_Index!$A:$A,0)))</f>
        <v>BEL-9258</v>
      </c>
      <c r="H68" s="43">
        <f>IF(G68="","",EXP(FORECAST(LN(D68),INDEX(Attenuation!$K:$K,(INDEX(Cables!$AO:$AO,MATCH(G68,Cables!$A:$A,0))-1+MIN(MAX(IFERROR(MATCH(LN(D68),INDEX(Attenuation!$J:$J,INDEX(Cables!$AO:$AO,MATCH(G68,Cables!$A:$A,0))):INDEX(Attenuation!$J:$J,INDEX(Cables!$AO:$AO,MATCH(G68,Cables!$A:$A,0))+INDEX(Cables!$AP:$AP,MATCH(G68,Cables!$A:$A,0))-1),1),1),1),INDEX(Cables!$AP:$AP,MATCH(G68,Cables!$A:$A,0))-1))):INDEX(Attenuation!$K:$K,(INDEX(Cables!$AO:$AO,MATCH(G68,Cables!$A:$A,0))-1+MIN(MAX(IFERROR(MATCH(LN(D68),INDEX(Attenuation!$J:$J,INDEX(Cables!$AO:$AO,MATCH(G68,Cables!$A:$A,0))):INDEX(Attenuation!$J:$J,INDEX(Cables!$AO:$AO,MATCH(G68,Cables!$A:$A,0))+INDEX(Cables!$AP:$AP,MATCH(G68,Cables!$A:$A,0))-1),1),1),1),INDEX(Cables!$AP:$AP,MATCH(G68,Cables!$A:$A,0))-1))+1),INDEX(Attenuation!$J:$J,(INDEX(Cables!$AO:$AO,MATCH(G68,Cables!$A:$A,0))-1+MIN(MAX(IFERROR(MATCH(LN(D68),INDEX(Attenuation!$J:$J,INDEX(Cables!$AO:$AO,MATCH(G68,Cables!$A:$A,0))):INDEX(Attenuation!$J:$J,INDEX(Cables!$AO:$AO,MATCH(G68,Cables!$A:$A,0))+INDEX(Cables!$AP:$AP,MATCH(G68,Cables!$A:$A,0))-1),1),1),1),INDEX(Cables!$AP:$AP,MATCH(G68,Cables!$A:$A,0))-1))):INDEX(Attenuation!$J:$J,(INDEX(Cables!$AO:$AO,MATCH(G68,Cables!$A:$A,0))-1+MIN(MAX(IFERROR(MATCH(LN(D68),INDEX(Attenuation!$J:$J,INDEX(Cables!$AO:$AO,MATCH(G68,Cables!$A:$A,0))):INDEX(Attenuation!$J:$J,INDEX(Cables!$AO:$AO,MATCH(G68,Cables!$A:$A,0))+INDEX(Cables!$AP:$AP,MATCH(G68,Cables!$A:$A,0))-1),1),1),1),INDEX(Cables!$AP:$AP,MATCH(G68,Cables!$A:$A,0))-1))+1)))*0.3048)</f>
        <v>6.6</v>
      </c>
      <c r="I68" s="43">
        <f>IF(G68="","",EXP(FORECAST(LN(E68),INDEX(Attenuation!$K:$K,(INDEX(Cables!$AO:$AO,MATCH(G68,Cables!$A:$A,0))-1+MIN(MAX(IFERROR(MATCH(LN(E68),INDEX(Attenuation!$J:$J,INDEX(Cables!$AO:$AO,MATCH(G68,Cables!$A:$A,0))):INDEX(Attenuation!$J:$J,INDEX(Cables!$AO:$AO,MATCH(G68,Cables!$A:$A,0))+INDEX(Cables!$AP:$AP,MATCH(G68,Cables!$A:$A,0))-1),1),1),1),INDEX(Cables!$AP:$AP,MATCH(G68,Cables!$A:$A,0))-1))):INDEX(Attenuation!$K:$K,(INDEX(Cables!$AO:$AO,MATCH(G68,Cables!$A:$A,0))-1+MIN(MAX(IFERROR(MATCH(LN(E68),INDEX(Attenuation!$J:$J,INDEX(Cables!$AO:$AO,MATCH(G68,Cables!$A:$A,0))):INDEX(Attenuation!$J:$J,INDEX(Cables!$AO:$AO,MATCH(G68,Cables!$A:$A,0))+INDEX(Cables!$AP:$AP,MATCH(G68,Cables!$A:$A,0))-1),1),1),1),INDEX(Cables!$AP:$AP,MATCH(G68,Cables!$A:$A,0))-1))+1),INDEX(Attenuation!$J:$J,(INDEX(Cables!$AO:$AO,MATCH(G68,Cables!$A:$A,0))-1+MIN(MAX(IFERROR(MATCH(LN(E68),INDEX(Attenuation!$J:$J,INDEX(Cables!$AO:$AO,MATCH(G68,Cables!$A:$A,0))):INDEX(Attenuation!$J:$J,INDEX(Cables!$AO:$AO,MATCH(G68,Cables!$A:$A,0))+INDEX(Cables!$AP:$AP,MATCH(G68,Cables!$A:$A,0))-1),1),1),1),INDEX(Cables!$AP:$AP,MATCH(G68,Cables!$A:$A,0))-1))):INDEX(Attenuation!$J:$J,(INDEX(Cables!$AO:$AO,MATCH(G68,Cables!$A:$A,0))-1+MIN(MAX(IFERROR(MATCH(LN(E68),INDEX(Attenuation!$J:$J,INDEX(Cables!$AO:$AO,MATCH(G68,Cables!$A:$A,0))):INDEX(Attenuation!$J:$J,INDEX(Cables!$AO:$AO,MATCH(G68,Cables!$A:$A,0))+INDEX(Cables!$AP:$AP,MATCH(G68,Cables!$A:$A,0))-1),1),1),1),INDEX(Cables!$AP:$AP,MATCH(G68,Cables!$A:$A,0))-1))+1)))*0.3048)</f>
        <v>7.6726330313569404</v>
      </c>
      <c r="J68" s="44">
        <f t="shared" si="1"/>
        <v>0</v>
      </c>
      <c r="K68" s="40" t="str">
        <f>IF(G68="","Doğrulanmadı",IF(ABS(J68)&lt;=0.1,"Uyumlu (±%10)",IF(ABS(J68)&lt;=0.25,"Fark %10-25","Fark &gt;%25"))&amp;IF(OR(D68&lt;INDEX(Cables!$AQ:$AQ,MATCH(G68,Cables!$A:$A,0)),E68&gt;INDEX(Cables!$AR:$AR,MATCH(G68,Cables!$A:$A,0)))," · ekstrapolasyon",""))</f>
        <v>Uyumlu (±%10)</v>
      </c>
    </row>
    <row r="69" spans="1:11" x14ac:dyDescent="0.25">
      <c r="A69" s="37" t="s">
        <v>2982</v>
      </c>
      <c r="B69" s="40" t="str">
        <f>INDEX(Legacy_Index!$D:$D,MATCH(A69,Legacy_Index!$A:$A,0))</f>
        <v>RG8X (RG-8/U-Mini)</v>
      </c>
      <c r="C69" s="37" t="s">
        <v>3116</v>
      </c>
      <c r="D69" s="37">
        <v>700</v>
      </c>
      <c r="E69" s="37">
        <v>960</v>
      </c>
      <c r="F69" s="37">
        <v>8.8000000000000007</v>
      </c>
      <c r="G69" s="40" t="str">
        <f>IF(INDEX(Legacy_Index!$G:$G,MATCH(A69,Legacy_Index!$A:$A,0))="","",INDEX(Legacy_Index!$G:$G,MATCH(A69,Legacy_Index!$A:$A,0)))</f>
        <v>BEL-9258</v>
      </c>
      <c r="H69" s="43">
        <f>IF(G69="","",EXP(FORECAST(LN(D69),INDEX(Attenuation!$K:$K,(INDEX(Cables!$AO:$AO,MATCH(G69,Cables!$A:$A,0))-1+MIN(MAX(IFERROR(MATCH(LN(D69),INDEX(Attenuation!$J:$J,INDEX(Cables!$AO:$AO,MATCH(G69,Cables!$A:$A,0))):INDEX(Attenuation!$J:$J,INDEX(Cables!$AO:$AO,MATCH(G69,Cables!$A:$A,0))+INDEX(Cables!$AP:$AP,MATCH(G69,Cables!$A:$A,0))-1),1),1),1),INDEX(Cables!$AP:$AP,MATCH(G69,Cables!$A:$A,0))-1))):INDEX(Attenuation!$K:$K,(INDEX(Cables!$AO:$AO,MATCH(G69,Cables!$A:$A,0))-1+MIN(MAX(IFERROR(MATCH(LN(D69),INDEX(Attenuation!$J:$J,INDEX(Cables!$AO:$AO,MATCH(G69,Cables!$A:$A,0))):INDEX(Attenuation!$J:$J,INDEX(Cables!$AO:$AO,MATCH(G69,Cables!$A:$A,0))+INDEX(Cables!$AP:$AP,MATCH(G69,Cables!$A:$A,0))-1),1),1),1),INDEX(Cables!$AP:$AP,MATCH(G69,Cables!$A:$A,0))-1))+1),INDEX(Attenuation!$J:$J,(INDEX(Cables!$AO:$AO,MATCH(G69,Cables!$A:$A,0))-1+MIN(MAX(IFERROR(MATCH(LN(D69),INDEX(Attenuation!$J:$J,INDEX(Cables!$AO:$AO,MATCH(G69,Cables!$A:$A,0))):INDEX(Attenuation!$J:$J,INDEX(Cables!$AO:$AO,MATCH(G69,Cables!$A:$A,0))+INDEX(Cables!$AP:$AP,MATCH(G69,Cables!$A:$A,0))-1),1),1),1),INDEX(Cables!$AP:$AP,MATCH(G69,Cables!$A:$A,0))-1))):INDEX(Attenuation!$J:$J,(INDEX(Cables!$AO:$AO,MATCH(G69,Cables!$A:$A,0))-1+MIN(MAX(IFERROR(MATCH(LN(D69),INDEX(Attenuation!$J:$J,INDEX(Cables!$AO:$AO,MATCH(G69,Cables!$A:$A,0))):INDEX(Attenuation!$J:$J,INDEX(Cables!$AO:$AO,MATCH(G69,Cables!$A:$A,0))+INDEX(Cables!$AP:$AP,MATCH(G69,Cables!$A:$A,0))-1),1),1),1),INDEX(Cables!$AP:$AP,MATCH(G69,Cables!$A:$A,0))-1))+1)))*0.3048)</f>
        <v>9.1000000000000032</v>
      </c>
      <c r="I69" s="43">
        <f>IF(G69="","",EXP(FORECAST(LN(E69),INDEX(Attenuation!$K:$K,(INDEX(Cables!$AO:$AO,MATCH(G69,Cables!$A:$A,0))-1+MIN(MAX(IFERROR(MATCH(LN(E69),INDEX(Attenuation!$J:$J,INDEX(Cables!$AO:$AO,MATCH(G69,Cables!$A:$A,0))):INDEX(Attenuation!$J:$J,INDEX(Cables!$AO:$AO,MATCH(G69,Cables!$A:$A,0))+INDEX(Cables!$AP:$AP,MATCH(G69,Cables!$A:$A,0))-1),1),1),1),INDEX(Cables!$AP:$AP,MATCH(G69,Cables!$A:$A,0))-1))):INDEX(Attenuation!$K:$K,(INDEX(Cables!$AO:$AO,MATCH(G69,Cables!$A:$A,0))-1+MIN(MAX(IFERROR(MATCH(LN(E69),INDEX(Attenuation!$J:$J,INDEX(Cables!$AO:$AO,MATCH(G69,Cables!$A:$A,0))):INDEX(Attenuation!$J:$J,INDEX(Cables!$AO:$AO,MATCH(G69,Cables!$A:$A,0))+INDEX(Cables!$AP:$AP,MATCH(G69,Cables!$A:$A,0))-1),1),1),1),INDEX(Cables!$AP:$AP,MATCH(G69,Cables!$A:$A,0))-1))+1),INDEX(Attenuation!$J:$J,(INDEX(Cables!$AO:$AO,MATCH(G69,Cables!$A:$A,0))-1+MIN(MAX(IFERROR(MATCH(LN(E69),INDEX(Attenuation!$J:$J,INDEX(Cables!$AO:$AO,MATCH(G69,Cables!$A:$A,0))):INDEX(Attenuation!$J:$J,INDEX(Cables!$AO:$AO,MATCH(G69,Cables!$A:$A,0))+INDEX(Cables!$AP:$AP,MATCH(G69,Cables!$A:$A,0))-1),1),1),1),INDEX(Cables!$AP:$AP,MATCH(G69,Cables!$A:$A,0))-1))):INDEX(Attenuation!$J:$J,(INDEX(Cables!$AO:$AO,MATCH(G69,Cables!$A:$A,0))-1+MIN(MAX(IFERROR(MATCH(LN(E69),INDEX(Attenuation!$J:$J,INDEX(Cables!$AO:$AO,MATCH(G69,Cables!$A:$A,0))):INDEX(Attenuation!$J:$J,INDEX(Cables!$AO:$AO,MATCH(G69,Cables!$A:$A,0))+INDEX(Cables!$AP:$AP,MATCH(G69,Cables!$A:$A,0))-1),1),1),1),INDEX(Cables!$AP:$AP,MATCH(G69,Cables!$A:$A,0))-1))+1)))*0.3048)</f>
        <v>11.003560424036976</v>
      </c>
      <c r="J69" s="44">
        <f t="shared" si="1"/>
        <v>-3.2967032967033183E-2</v>
      </c>
      <c r="K69" s="40" t="str">
        <f>IF(G69="","Doğrulanmadı",IF(ABS(J69)&lt;=0.1,"Uyumlu (±%10)",IF(ABS(J69)&lt;=0.25,"Fark %10-25","Fark &gt;%25"))&amp;IF(OR(D69&lt;INDEX(Cables!$AQ:$AQ,MATCH(G69,Cables!$A:$A,0)),E69&gt;INDEX(Cables!$AR:$AR,MATCH(G69,Cables!$A:$A,0)))," · ekstrapolasyon",""))</f>
        <v>Uyumlu (±%10)</v>
      </c>
    </row>
    <row r="70" spans="1:11" x14ac:dyDescent="0.25">
      <c r="A70" s="37" t="s">
        <v>2982</v>
      </c>
      <c r="B70" s="40" t="str">
        <f>INDEX(Legacy_Index!$D:$D,MATCH(A70,Legacy_Index!$A:$A,0))</f>
        <v>RG8X (RG-8/U-Mini)</v>
      </c>
      <c r="C70" s="37" t="s">
        <v>3120</v>
      </c>
      <c r="D70" s="37">
        <v>1200</v>
      </c>
      <c r="E70" s="37">
        <v>1300</v>
      </c>
      <c r="F70" s="37">
        <v>15.9</v>
      </c>
      <c r="G70" s="40" t="str">
        <f>IF(INDEX(Legacy_Index!$G:$G,MATCH(A70,Legacy_Index!$A:$A,0))="","",INDEX(Legacy_Index!$G:$G,MATCH(A70,Legacy_Index!$A:$A,0)))</f>
        <v>BEL-9258</v>
      </c>
      <c r="H70" s="43">
        <f>IF(G70="","",EXP(FORECAST(LN(D70),INDEX(Attenuation!$K:$K,(INDEX(Cables!$AO:$AO,MATCH(G70,Cables!$A:$A,0))-1+MIN(MAX(IFERROR(MATCH(LN(D70),INDEX(Attenuation!$J:$J,INDEX(Cables!$AO:$AO,MATCH(G70,Cables!$A:$A,0))):INDEX(Attenuation!$J:$J,INDEX(Cables!$AO:$AO,MATCH(G70,Cables!$A:$A,0))+INDEX(Cables!$AP:$AP,MATCH(G70,Cables!$A:$A,0))-1),1),1),1),INDEX(Cables!$AP:$AP,MATCH(G70,Cables!$A:$A,0))-1))):INDEX(Attenuation!$K:$K,(INDEX(Cables!$AO:$AO,MATCH(G70,Cables!$A:$A,0))-1+MIN(MAX(IFERROR(MATCH(LN(D70),INDEX(Attenuation!$J:$J,INDEX(Cables!$AO:$AO,MATCH(G70,Cables!$A:$A,0))):INDEX(Attenuation!$J:$J,INDEX(Cables!$AO:$AO,MATCH(G70,Cables!$A:$A,0))+INDEX(Cables!$AP:$AP,MATCH(G70,Cables!$A:$A,0))-1),1),1),1),INDEX(Cables!$AP:$AP,MATCH(G70,Cables!$A:$A,0))-1))+1),INDEX(Attenuation!$J:$J,(INDEX(Cables!$AO:$AO,MATCH(G70,Cables!$A:$A,0))-1+MIN(MAX(IFERROR(MATCH(LN(D70),INDEX(Attenuation!$J:$J,INDEX(Cables!$AO:$AO,MATCH(G70,Cables!$A:$A,0))):INDEX(Attenuation!$J:$J,INDEX(Cables!$AO:$AO,MATCH(G70,Cables!$A:$A,0))+INDEX(Cables!$AP:$AP,MATCH(G70,Cables!$A:$A,0))-1),1),1),1),INDEX(Cables!$AP:$AP,MATCH(G70,Cables!$A:$A,0))-1))):INDEX(Attenuation!$J:$J,(INDEX(Cables!$AO:$AO,MATCH(G70,Cables!$A:$A,0))-1+MIN(MAX(IFERROR(MATCH(LN(D70),INDEX(Attenuation!$J:$J,INDEX(Cables!$AO:$AO,MATCH(G70,Cables!$A:$A,0))):INDEX(Attenuation!$J:$J,INDEX(Cables!$AO:$AO,MATCH(G70,Cables!$A:$A,0))+INDEX(Cables!$AP:$AP,MATCH(G70,Cables!$A:$A,0))-1),1),1),1),INDEX(Cables!$AP:$AP,MATCH(G70,Cables!$A:$A,0))-1))+1)))*0.3048)</f>
        <v>12.121050958997113</v>
      </c>
      <c r="I70" s="43">
        <f>IF(G70="","",EXP(FORECAST(LN(E70),INDEX(Attenuation!$K:$K,(INDEX(Cables!$AO:$AO,MATCH(G70,Cables!$A:$A,0))-1+MIN(MAX(IFERROR(MATCH(LN(E70),INDEX(Attenuation!$J:$J,INDEX(Cables!$AO:$AO,MATCH(G70,Cables!$A:$A,0))):INDEX(Attenuation!$J:$J,INDEX(Cables!$AO:$AO,MATCH(G70,Cables!$A:$A,0))+INDEX(Cables!$AP:$AP,MATCH(G70,Cables!$A:$A,0))-1),1),1),1),INDEX(Cables!$AP:$AP,MATCH(G70,Cables!$A:$A,0))-1))):INDEX(Attenuation!$K:$K,(INDEX(Cables!$AO:$AO,MATCH(G70,Cables!$A:$A,0))-1+MIN(MAX(IFERROR(MATCH(LN(E70),INDEX(Attenuation!$J:$J,INDEX(Cables!$AO:$AO,MATCH(G70,Cables!$A:$A,0))):INDEX(Attenuation!$J:$J,INDEX(Cables!$AO:$AO,MATCH(G70,Cables!$A:$A,0))+INDEX(Cables!$AP:$AP,MATCH(G70,Cables!$A:$A,0))-1),1),1),1),INDEX(Cables!$AP:$AP,MATCH(G70,Cables!$A:$A,0))-1))+1),INDEX(Attenuation!$J:$J,(INDEX(Cables!$AO:$AO,MATCH(G70,Cables!$A:$A,0))-1+MIN(MAX(IFERROR(MATCH(LN(E70),INDEX(Attenuation!$J:$J,INDEX(Cables!$AO:$AO,MATCH(G70,Cables!$A:$A,0))):INDEX(Attenuation!$J:$J,INDEX(Cables!$AO:$AO,MATCH(G70,Cables!$A:$A,0))+INDEX(Cables!$AP:$AP,MATCH(G70,Cables!$A:$A,0))-1),1),1),1),INDEX(Cables!$AP:$AP,MATCH(G70,Cables!$A:$A,0))-1))):INDEX(Attenuation!$J:$J,(INDEX(Cables!$AO:$AO,MATCH(G70,Cables!$A:$A,0))-1+MIN(MAX(IFERROR(MATCH(LN(E70),INDEX(Attenuation!$J:$J,INDEX(Cables!$AO:$AO,MATCH(G70,Cables!$A:$A,0))):INDEX(Attenuation!$J:$J,INDEX(Cables!$AO:$AO,MATCH(G70,Cables!$A:$A,0))+INDEX(Cables!$AP:$AP,MATCH(G70,Cables!$A:$A,0))-1),1),1),1),INDEX(Cables!$AP:$AP,MATCH(G70,Cables!$A:$A,0))-1))+1)))*0.3048)</f>
        <v>12.548979619634499</v>
      </c>
      <c r="J70" s="44">
        <f t="shared" si="1"/>
        <v>0.26703528748444194</v>
      </c>
      <c r="K70" s="40" t="str">
        <f>IF(G70="","Doğrulanmadı",IF(ABS(J70)&lt;=0.1,"Uyumlu (±%10)",IF(ABS(J70)&lt;=0.25,"Fark %10-25","Fark &gt;%25"))&amp;IF(OR(D70&lt;INDEX(Cables!$AQ:$AQ,MATCH(G70,Cables!$A:$A,0)),E70&gt;INDEX(Cables!$AR:$AR,MATCH(G70,Cables!$A:$A,0)))," · ekstrapolasyon",""))</f>
        <v>Fark &gt;%25 · ekstrapolasyon</v>
      </c>
    </row>
    <row r="71" spans="1:11" x14ac:dyDescent="0.25">
      <c r="A71" s="37" t="s">
        <v>2982</v>
      </c>
      <c r="B71" s="40" t="str">
        <f>INDEX(Legacy_Index!$D:$D,MATCH(A71,Legacy_Index!$A:$A,0))</f>
        <v>RG8X (RG-8/U-Mini)</v>
      </c>
      <c r="C71" s="37" t="s">
        <v>3121</v>
      </c>
      <c r="D71" s="37">
        <v>2400</v>
      </c>
      <c r="E71" s="37">
        <v>2500</v>
      </c>
      <c r="F71" s="37">
        <v>23.1</v>
      </c>
      <c r="G71" s="40" t="str">
        <f>IF(INDEX(Legacy_Index!$G:$G,MATCH(A71,Legacy_Index!$A:$A,0))="","",INDEX(Legacy_Index!$G:$G,MATCH(A71,Legacy_Index!$A:$A,0)))</f>
        <v>BEL-9258</v>
      </c>
      <c r="H71" s="43">
        <f>IF(G71="","",EXP(FORECAST(LN(D71),INDEX(Attenuation!$K:$K,(INDEX(Cables!$AO:$AO,MATCH(G71,Cables!$A:$A,0))-1+MIN(MAX(IFERROR(MATCH(LN(D71),INDEX(Attenuation!$J:$J,INDEX(Cables!$AO:$AO,MATCH(G71,Cables!$A:$A,0))):INDEX(Attenuation!$J:$J,INDEX(Cables!$AO:$AO,MATCH(G71,Cables!$A:$A,0))+INDEX(Cables!$AP:$AP,MATCH(G71,Cables!$A:$A,0))-1),1),1),1),INDEX(Cables!$AP:$AP,MATCH(G71,Cables!$A:$A,0))-1))):INDEX(Attenuation!$K:$K,(INDEX(Cables!$AO:$AO,MATCH(G71,Cables!$A:$A,0))-1+MIN(MAX(IFERROR(MATCH(LN(D71),INDEX(Attenuation!$J:$J,INDEX(Cables!$AO:$AO,MATCH(G71,Cables!$A:$A,0))):INDEX(Attenuation!$J:$J,INDEX(Cables!$AO:$AO,MATCH(G71,Cables!$A:$A,0))+INDEX(Cables!$AP:$AP,MATCH(G71,Cables!$A:$A,0))-1),1),1),1),INDEX(Cables!$AP:$AP,MATCH(G71,Cables!$A:$A,0))-1))+1),INDEX(Attenuation!$J:$J,(INDEX(Cables!$AO:$AO,MATCH(G71,Cables!$A:$A,0))-1+MIN(MAX(IFERROR(MATCH(LN(D71),INDEX(Attenuation!$J:$J,INDEX(Cables!$AO:$AO,MATCH(G71,Cables!$A:$A,0))):INDEX(Attenuation!$J:$J,INDEX(Cables!$AO:$AO,MATCH(G71,Cables!$A:$A,0))+INDEX(Cables!$AP:$AP,MATCH(G71,Cables!$A:$A,0))-1),1),1),1),INDEX(Cables!$AP:$AP,MATCH(G71,Cables!$A:$A,0))-1))):INDEX(Attenuation!$J:$J,(INDEX(Cables!$AO:$AO,MATCH(G71,Cables!$A:$A,0))-1+MIN(MAX(IFERROR(MATCH(LN(D71),INDEX(Attenuation!$J:$J,INDEX(Cables!$AO:$AO,MATCH(G71,Cables!$A:$A,0))):INDEX(Attenuation!$J:$J,INDEX(Cables!$AO:$AO,MATCH(G71,Cables!$A:$A,0))+INDEX(Cables!$AP:$AP,MATCH(G71,Cables!$A:$A,0))-1),1),1),1),INDEX(Cables!$AP:$AP,MATCH(G71,Cables!$A:$A,0))-1))+1)))*0.3048)</f>
        <v>16.369147999525151</v>
      </c>
      <c r="I71" s="43">
        <f>IF(G71="","",EXP(FORECAST(LN(E71),INDEX(Attenuation!$K:$K,(INDEX(Cables!$AO:$AO,MATCH(G71,Cables!$A:$A,0))-1+MIN(MAX(IFERROR(MATCH(LN(E71),INDEX(Attenuation!$J:$J,INDEX(Cables!$AO:$AO,MATCH(G71,Cables!$A:$A,0))):INDEX(Attenuation!$J:$J,INDEX(Cables!$AO:$AO,MATCH(G71,Cables!$A:$A,0))+INDEX(Cables!$AP:$AP,MATCH(G71,Cables!$A:$A,0))-1),1),1),1),INDEX(Cables!$AP:$AP,MATCH(G71,Cables!$A:$A,0))-1))):INDEX(Attenuation!$K:$K,(INDEX(Cables!$AO:$AO,MATCH(G71,Cables!$A:$A,0))-1+MIN(MAX(IFERROR(MATCH(LN(E71),INDEX(Attenuation!$J:$J,INDEX(Cables!$AO:$AO,MATCH(G71,Cables!$A:$A,0))):INDEX(Attenuation!$J:$J,INDEX(Cables!$AO:$AO,MATCH(G71,Cables!$A:$A,0))+INDEX(Cables!$AP:$AP,MATCH(G71,Cables!$A:$A,0))-1),1),1),1),INDEX(Cables!$AP:$AP,MATCH(G71,Cables!$A:$A,0))-1))+1),INDEX(Attenuation!$J:$J,(INDEX(Cables!$AO:$AO,MATCH(G71,Cables!$A:$A,0))-1+MIN(MAX(IFERROR(MATCH(LN(E71),INDEX(Attenuation!$J:$J,INDEX(Cables!$AO:$AO,MATCH(G71,Cables!$A:$A,0))):INDEX(Attenuation!$J:$J,INDEX(Cables!$AO:$AO,MATCH(G71,Cables!$A:$A,0))+INDEX(Cables!$AP:$AP,MATCH(G71,Cables!$A:$A,0))-1),1),1),1),INDEX(Cables!$AP:$AP,MATCH(G71,Cables!$A:$A,0))-1))):INDEX(Attenuation!$J:$J,(INDEX(Cables!$AO:$AO,MATCH(G71,Cables!$A:$A,0))-1+MIN(MAX(IFERROR(MATCH(LN(E71),INDEX(Attenuation!$J:$J,INDEX(Cables!$AO:$AO,MATCH(G71,Cables!$A:$A,0))):INDEX(Attenuation!$J:$J,INDEX(Cables!$AO:$AO,MATCH(G71,Cables!$A:$A,0))+INDEX(Cables!$AP:$AP,MATCH(G71,Cables!$A:$A,0))-1),1),1),1),INDEX(Cables!$AP:$AP,MATCH(G71,Cables!$A:$A,0))-1))+1)))*0.3048)</f>
        <v>16.661376002824724</v>
      </c>
      <c r="J71" s="44">
        <f t="shared" si="1"/>
        <v>0.38644011131395684</v>
      </c>
      <c r="K71" s="40" t="str">
        <f>IF(G71="","Doğrulanmadı",IF(ABS(J71)&lt;=0.1,"Uyumlu (±%10)",IF(ABS(J71)&lt;=0.25,"Fark %10-25","Fark &gt;%25"))&amp;IF(OR(D71&lt;INDEX(Cables!$AQ:$AQ,MATCH(G71,Cables!$A:$A,0)),E71&gt;INDEX(Cables!$AR:$AR,MATCH(G71,Cables!$A:$A,0)))," · ekstrapolasyon",""))</f>
        <v>Fark &gt;%25 · ekstrapolasyon</v>
      </c>
    </row>
    <row r="72" spans="1:11" x14ac:dyDescent="0.25">
      <c r="A72" s="37" t="s">
        <v>2982</v>
      </c>
      <c r="B72" s="40" t="str">
        <f>INDEX(Legacy_Index!$D:$D,MATCH(A72,Legacy_Index!$A:$A,0))</f>
        <v>RG8X (RG-8/U-Mini)</v>
      </c>
      <c r="C72" s="37" t="s">
        <v>3122</v>
      </c>
      <c r="D72" s="37">
        <v>5725</v>
      </c>
      <c r="E72" s="37">
        <v>5875</v>
      </c>
      <c r="F72" s="37">
        <v>40.9</v>
      </c>
      <c r="G72" s="40" t="str">
        <f>IF(INDEX(Legacy_Index!$G:$G,MATCH(A72,Legacy_Index!$A:$A,0))="","",INDEX(Legacy_Index!$G:$G,MATCH(A72,Legacy_Index!$A:$A,0)))</f>
        <v>BEL-9258</v>
      </c>
      <c r="H72" s="43">
        <f>IF(G72="","",EXP(FORECAST(LN(D72),INDEX(Attenuation!$K:$K,(INDEX(Cables!$AO:$AO,MATCH(G72,Cables!$A:$A,0))-1+MIN(MAX(IFERROR(MATCH(LN(D72),INDEX(Attenuation!$J:$J,INDEX(Cables!$AO:$AO,MATCH(G72,Cables!$A:$A,0))):INDEX(Attenuation!$J:$J,INDEX(Cables!$AO:$AO,MATCH(G72,Cables!$A:$A,0))+INDEX(Cables!$AP:$AP,MATCH(G72,Cables!$A:$A,0))-1),1),1),1),INDEX(Cables!$AP:$AP,MATCH(G72,Cables!$A:$A,0))-1))):INDEX(Attenuation!$K:$K,(INDEX(Cables!$AO:$AO,MATCH(G72,Cables!$A:$A,0))-1+MIN(MAX(IFERROR(MATCH(LN(D72),INDEX(Attenuation!$J:$J,INDEX(Cables!$AO:$AO,MATCH(G72,Cables!$A:$A,0))):INDEX(Attenuation!$J:$J,INDEX(Cables!$AO:$AO,MATCH(G72,Cables!$A:$A,0))+INDEX(Cables!$AP:$AP,MATCH(G72,Cables!$A:$A,0))-1),1),1),1),INDEX(Cables!$AP:$AP,MATCH(G72,Cables!$A:$A,0))-1))+1),INDEX(Attenuation!$J:$J,(INDEX(Cables!$AO:$AO,MATCH(G72,Cables!$A:$A,0))-1+MIN(MAX(IFERROR(MATCH(LN(D72),INDEX(Attenuation!$J:$J,INDEX(Cables!$AO:$AO,MATCH(G72,Cables!$A:$A,0))):INDEX(Attenuation!$J:$J,INDEX(Cables!$AO:$AO,MATCH(G72,Cables!$A:$A,0))+INDEX(Cables!$AP:$AP,MATCH(G72,Cables!$A:$A,0))-1),1),1),1),INDEX(Cables!$AP:$AP,MATCH(G72,Cables!$A:$A,0))-1))):INDEX(Attenuation!$J:$J,(INDEX(Cables!$AO:$AO,MATCH(G72,Cables!$A:$A,0))-1+MIN(MAX(IFERROR(MATCH(LN(D72),INDEX(Attenuation!$J:$J,INDEX(Cables!$AO:$AO,MATCH(G72,Cables!$A:$A,0))):INDEX(Attenuation!$J:$J,INDEX(Cables!$AO:$AO,MATCH(G72,Cables!$A:$A,0))+INDEX(Cables!$AP:$AP,MATCH(G72,Cables!$A:$A,0))-1),1),1),1),INDEX(Cables!$AP:$AP,MATCH(G72,Cables!$A:$A,0))-1))+1)))*0.3048)</f>
        <v>23.860896170096176</v>
      </c>
      <c r="I72" s="43">
        <f>IF(G72="","",EXP(FORECAST(LN(E72),INDEX(Attenuation!$K:$K,(INDEX(Cables!$AO:$AO,MATCH(G72,Cables!$A:$A,0))-1+MIN(MAX(IFERROR(MATCH(LN(E72),INDEX(Attenuation!$J:$J,INDEX(Cables!$AO:$AO,MATCH(G72,Cables!$A:$A,0))):INDEX(Attenuation!$J:$J,INDEX(Cables!$AO:$AO,MATCH(G72,Cables!$A:$A,0))+INDEX(Cables!$AP:$AP,MATCH(G72,Cables!$A:$A,0))-1),1),1),1),INDEX(Cables!$AP:$AP,MATCH(G72,Cables!$A:$A,0))-1))):INDEX(Attenuation!$K:$K,(INDEX(Cables!$AO:$AO,MATCH(G72,Cables!$A:$A,0))-1+MIN(MAX(IFERROR(MATCH(LN(E72),INDEX(Attenuation!$J:$J,INDEX(Cables!$AO:$AO,MATCH(G72,Cables!$A:$A,0))):INDEX(Attenuation!$J:$J,INDEX(Cables!$AO:$AO,MATCH(G72,Cables!$A:$A,0))+INDEX(Cables!$AP:$AP,MATCH(G72,Cables!$A:$A,0))-1),1),1),1),INDEX(Cables!$AP:$AP,MATCH(G72,Cables!$A:$A,0))-1))+1),INDEX(Attenuation!$J:$J,(INDEX(Cables!$AO:$AO,MATCH(G72,Cables!$A:$A,0))-1+MIN(MAX(IFERROR(MATCH(LN(E72),INDEX(Attenuation!$J:$J,INDEX(Cables!$AO:$AO,MATCH(G72,Cables!$A:$A,0))):INDEX(Attenuation!$J:$J,INDEX(Cables!$AO:$AO,MATCH(G72,Cables!$A:$A,0))+INDEX(Cables!$AP:$AP,MATCH(G72,Cables!$A:$A,0))-1),1),1),1),INDEX(Cables!$AP:$AP,MATCH(G72,Cables!$A:$A,0))-1))):INDEX(Attenuation!$J:$J,(INDEX(Cables!$AO:$AO,MATCH(G72,Cables!$A:$A,0))-1+MIN(MAX(IFERROR(MATCH(LN(E72),INDEX(Attenuation!$J:$J,INDEX(Cables!$AO:$AO,MATCH(G72,Cables!$A:$A,0))):INDEX(Attenuation!$J:$J,INDEX(Cables!$AO:$AO,MATCH(G72,Cables!$A:$A,0))+INDEX(Cables!$AP:$AP,MATCH(G72,Cables!$A:$A,0))-1),1),1),1),INDEX(Cables!$AP:$AP,MATCH(G72,Cables!$A:$A,0))-1))+1)))*0.3048)</f>
        <v>24.1299036722403</v>
      </c>
      <c r="J72" s="44">
        <f t="shared" si="1"/>
        <v>0.69499226169943129</v>
      </c>
      <c r="K72" s="40" t="str">
        <f>IF(G72="","Doğrulanmadı",IF(ABS(J72)&lt;=0.1,"Uyumlu (±%10)",IF(ABS(J72)&lt;=0.25,"Fark %10-25","Fark &gt;%25"))&amp;IF(OR(D72&lt;INDEX(Cables!$AQ:$AQ,MATCH(G72,Cables!$A:$A,0)),E72&gt;INDEX(Cables!$AR:$AR,MATCH(G72,Cables!$A:$A,0)))," · ekstrapolasyon",""))</f>
        <v>Fark &gt;%25 · ekstrapolasyon</v>
      </c>
    </row>
    <row r="73" spans="1:11" x14ac:dyDescent="0.25">
      <c r="A73" s="37" t="s">
        <v>2985</v>
      </c>
      <c r="B73" s="40" t="str">
        <f>INDEX(Legacy_Index!$D:$D,MATCH(A73,Legacy_Index!$A:$A,0))</f>
        <v>RG58 CellFoil® RFI (9006)</v>
      </c>
      <c r="C73" s="37" t="s">
        <v>3113</v>
      </c>
      <c r="D73" s="37">
        <v>70</v>
      </c>
      <c r="E73" s="37">
        <v>100</v>
      </c>
      <c r="F73" s="37">
        <v>2.8</v>
      </c>
      <c r="G73" s="40" t="str">
        <f>IF(INDEX(Legacy_Index!$G:$G,MATCH(A73,Legacy_Index!$A:$A,0))="","",INDEX(Legacy_Index!$G:$G,MATCH(A73,Legacy_Index!$A:$A,0)))</f>
        <v/>
      </c>
      <c r="H73" s="43" t="str">
        <f>IF(G73="","",EXP(FORECAST(LN(D73),INDEX(Attenuation!$K:$K,(INDEX(Cables!$AO:$AO,MATCH(G73,Cables!$A:$A,0))-1+MIN(MAX(IFERROR(MATCH(LN(D73),INDEX(Attenuation!$J:$J,INDEX(Cables!$AO:$AO,MATCH(G73,Cables!$A:$A,0))):INDEX(Attenuation!$J:$J,INDEX(Cables!$AO:$AO,MATCH(G73,Cables!$A:$A,0))+INDEX(Cables!$AP:$AP,MATCH(G73,Cables!$A:$A,0))-1),1),1),1),INDEX(Cables!$AP:$AP,MATCH(G73,Cables!$A:$A,0))-1))):INDEX(Attenuation!$K:$K,(INDEX(Cables!$AO:$AO,MATCH(G73,Cables!$A:$A,0))-1+MIN(MAX(IFERROR(MATCH(LN(D73),INDEX(Attenuation!$J:$J,INDEX(Cables!$AO:$AO,MATCH(G73,Cables!$A:$A,0))):INDEX(Attenuation!$J:$J,INDEX(Cables!$AO:$AO,MATCH(G73,Cables!$A:$A,0))+INDEX(Cables!$AP:$AP,MATCH(G73,Cables!$A:$A,0))-1),1),1),1),INDEX(Cables!$AP:$AP,MATCH(G73,Cables!$A:$A,0))-1))+1),INDEX(Attenuation!$J:$J,(INDEX(Cables!$AO:$AO,MATCH(G73,Cables!$A:$A,0))-1+MIN(MAX(IFERROR(MATCH(LN(D73),INDEX(Attenuation!$J:$J,INDEX(Cables!$AO:$AO,MATCH(G73,Cables!$A:$A,0))):INDEX(Attenuation!$J:$J,INDEX(Cables!$AO:$AO,MATCH(G73,Cables!$A:$A,0))+INDEX(Cables!$AP:$AP,MATCH(G73,Cables!$A:$A,0))-1),1),1),1),INDEX(Cables!$AP:$AP,MATCH(G73,Cables!$A:$A,0))-1))):INDEX(Attenuation!$J:$J,(INDEX(Cables!$AO:$AO,MATCH(G73,Cables!$A:$A,0))-1+MIN(MAX(IFERROR(MATCH(LN(D73),INDEX(Attenuation!$J:$J,INDEX(Cables!$AO:$AO,MATCH(G73,Cables!$A:$A,0))):INDEX(Attenuation!$J:$J,INDEX(Cables!$AO:$AO,MATCH(G73,Cables!$A:$A,0))+INDEX(Cables!$AP:$AP,MATCH(G73,Cables!$A:$A,0))-1),1),1),1),INDEX(Cables!$AP:$AP,MATCH(G73,Cables!$A:$A,0))-1))+1)))*0.3048)</f>
        <v/>
      </c>
      <c r="I73" s="43" t="str">
        <f>IF(G73="","",EXP(FORECAST(LN(E73),INDEX(Attenuation!$K:$K,(INDEX(Cables!$AO:$AO,MATCH(G73,Cables!$A:$A,0))-1+MIN(MAX(IFERROR(MATCH(LN(E73),INDEX(Attenuation!$J:$J,INDEX(Cables!$AO:$AO,MATCH(G73,Cables!$A:$A,0))):INDEX(Attenuation!$J:$J,INDEX(Cables!$AO:$AO,MATCH(G73,Cables!$A:$A,0))+INDEX(Cables!$AP:$AP,MATCH(G73,Cables!$A:$A,0))-1),1),1),1),INDEX(Cables!$AP:$AP,MATCH(G73,Cables!$A:$A,0))-1))):INDEX(Attenuation!$K:$K,(INDEX(Cables!$AO:$AO,MATCH(G73,Cables!$A:$A,0))-1+MIN(MAX(IFERROR(MATCH(LN(E73),INDEX(Attenuation!$J:$J,INDEX(Cables!$AO:$AO,MATCH(G73,Cables!$A:$A,0))):INDEX(Attenuation!$J:$J,INDEX(Cables!$AO:$AO,MATCH(G73,Cables!$A:$A,0))+INDEX(Cables!$AP:$AP,MATCH(G73,Cables!$A:$A,0))-1),1),1),1),INDEX(Cables!$AP:$AP,MATCH(G73,Cables!$A:$A,0))-1))+1),INDEX(Attenuation!$J:$J,(INDEX(Cables!$AO:$AO,MATCH(G73,Cables!$A:$A,0))-1+MIN(MAX(IFERROR(MATCH(LN(E73),INDEX(Attenuation!$J:$J,INDEX(Cables!$AO:$AO,MATCH(G73,Cables!$A:$A,0))):INDEX(Attenuation!$J:$J,INDEX(Cables!$AO:$AO,MATCH(G73,Cables!$A:$A,0))+INDEX(Cables!$AP:$AP,MATCH(G73,Cables!$A:$A,0))-1),1),1),1),INDEX(Cables!$AP:$AP,MATCH(G73,Cables!$A:$A,0))-1))):INDEX(Attenuation!$J:$J,(INDEX(Cables!$AO:$AO,MATCH(G73,Cables!$A:$A,0))-1+MIN(MAX(IFERROR(MATCH(LN(E73),INDEX(Attenuation!$J:$J,INDEX(Cables!$AO:$AO,MATCH(G73,Cables!$A:$A,0))):INDEX(Attenuation!$J:$J,INDEX(Cables!$AO:$AO,MATCH(G73,Cables!$A:$A,0))+INDEX(Cables!$AP:$AP,MATCH(G73,Cables!$A:$A,0))-1),1),1),1),INDEX(Cables!$AP:$AP,MATCH(G73,Cables!$A:$A,0))-1))+1)))*0.3048)</f>
        <v/>
      </c>
      <c r="J73" s="44" t="str">
        <f t="shared" si="1"/>
        <v/>
      </c>
      <c r="K73" s="40" t="str">
        <f>IF(G73="","Doğrulanmadı",IF(ABS(J73)&lt;=0.1,"Uyumlu (±%10)",IF(ABS(J73)&lt;=0.25,"Fark %10-25","Fark &gt;%25"))&amp;IF(OR(D73&lt;INDEX(Cables!$AQ:$AQ,MATCH(G73,Cables!$A:$A,0)),E73&gt;INDEX(Cables!$AR:$AR,MATCH(G73,Cables!$A:$A,0)))," · ekstrapolasyon",""))</f>
        <v>Doğrulanmadı</v>
      </c>
    </row>
    <row r="74" spans="1:11" x14ac:dyDescent="0.25">
      <c r="A74" s="37" t="s">
        <v>2985</v>
      </c>
      <c r="B74" s="40" t="str">
        <f>INDEX(Legacy_Index!$D:$D,MATCH(A74,Legacy_Index!$A:$A,0))</f>
        <v>RG58 CellFoil® RFI (9006)</v>
      </c>
      <c r="C74" s="37" t="s">
        <v>3114</v>
      </c>
      <c r="D74" s="37">
        <v>148</v>
      </c>
      <c r="E74" s="37">
        <v>174</v>
      </c>
      <c r="F74" s="37">
        <v>4.2</v>
      </c>
      <c r="G74" s="40" t="str">
        <f>IF(INDEX(Legacy_Index!$G:$G,MATCH(A74,Legacy_Index!$A:$A,0))="","",INDEX(Legacy_Index!$G:$G,MATCH(A74,Legacy_Index!$A:$A,0)))</f>
        <v/>
      </c>
      <c r="H74" s="43" t="str">
        <f>IF(G74="","",EXP(FORECAST(LN(D74),INDEX(Attenuation!$K:$K,(INDEX(Cables!$AO:$AO,MATCH(G74,Cables!$A:$A,0))-1+MIN(MAX(IFERROR(MATCH(LN(D74),INDEX(Attenuation!$J:$J,INDEX(Cables!$AO:$AO,MATCH(G74,Cables!$A:$A,0))):INDEX(Attenuation!$J:$J,INDEX(Cables!$AO:$AO,MATCH(G74,Cables!$A:$A,0))+INDEX(Cables!$AP:$AP,MATCH(G74,Cables!$A:$A,0))-1),1),1),1),INDEX(Cables!$AP:$AP,MATCH(G74,Cables!$A:$A,0))-1))):INDEX(Attenuation!$K:$K,(INDEX(Cables!$AO:$AO,MATCH(G74,Cables!$A:$A,0))-1+MIN(MAX(IFERROR(MATCH(LN(D74),INDEX(Attenuation!$J:$J,INDEX(Cables!$AO:$AO,MATCH(G74,Cables!$A:$A,0))):INDEX(Attenuation!$J:$J,INDEX(Cables!$AO:$AO,MATCH(G74,Cables!$A:$A,0))+INDEX(Cables!$AP:$AP,MATCH(G74,Cables!$A:$A,0))-1),1),1),1),INDEX(Cables!$AP:$AP,MATCH(G74,Cables!$A:$A,0))-1))+1),INDEX(Attenuation!$J:$J,(INDEX(Cables!$AO:$AO,MATCH(G74,Cables!$A:$A,0))-1+MIN(MAX(IFERROR(MATCH(LN(D74),INDEX(Attenuation!$J:$J,INDEX(Cables!$AO:$AO,MATCH(G74,Cables!$A:$A,0))):INDEX(Attenuation!$J:$J,INDEX(Cables!$AO:$AO,MATCH(G74,Cables!$A:$A,0))+INDEX(Cables!$AP:$AP,MATCH(G74,Cables!$A:$A,0))-1),1),1),1),INDEX(Cables!$AP:$AP,MATCH(G74,Cables!$A:$A,0))-1))):INDEX(Attenuation!$J:$J,(INDEX(Cables!$AO:$AO,MATCH(G74,Cables!$A:$A,0))-1+MIN(MAX(IFERROR(MATCH(LN(D74),INDEX(Attenuation!$J:$J,INDEX(Cables!$AO:$AO,MATCH(G74,Cables!$A:$A,0))):INDEX(Attenuation!$J:$J,INDEX(Cables!$AO:$AO,MATCH(G74,Cables!$A:$A,0))+INDEX(Cables!$AP:$AP,MATCH(G74,Cables!$A:$A,0))-1),1),1),1),INDEX(Cables!$AP:$AP,MATCH(G74,Cables!$A:$A,0))-1))+1)))*0.3048)</f>
        <v/>
      </c>
      <c r="I74" s="43" t="str">
        <f>IF(G74="","",EXP(FORECAST(LN(E74),INDEX(Attenuation!$K:$K,(INDEX(Cables!$AO:$AO,MATCH(G74,Cables!$A:$A,0))-1+MIN(MAX(IFERROR(MATCH(LN(E74),INDEX(Attenuation!$J:$J,INDEX(Cables!$AO:$AO,MATCH(G74,Cables!$A:$A,0))):INDEX(Attenuation!$J:$J,INDEX(Cables!$AO:$AO,MATCH(G74,Cables!$A:$A,0))+INDEX(Cables!$AP:$AP,MATCH(G74,Cables!$A:$A,0))-1),1),1),1),INDEX(Cables!$AP:$AP,MATCH(G74,Cables!$A:$A,0))-1))):INDEX(Attenuation!$K:$K,(INDEX(Cables!$AO:$AO,MATCH(G74,Cables!$A:$A,0))-1+MIN(MAX(IFERROR(MATCH(LN(E74),INDEX(Attenuation!$J:$J,INDEX(Cables!$AO:$AO,MATCH(G74,Cables!$A:$A,0))):INDEX(Attenuation!$J:$J,INDEX(Cables!$AO:$AO,MATCH(G74,Cables!$A:$A,0))+INDEX(Cables!$AP:$AP,MATCH(G74,Cables!$A:$A,0))-1),1),1),1),INDEX(Cables!$AP:$AP,MATCH(G74,Cables!$A:$A,0))-1))+1),INDEX(Attenuation!$J:$J,(INDEX(Cables!$AO:$AO,MATCH(G74,Cables!$A:$A,0))-1+MIN(MAX(IFERROR(MATCH(LN(E74),INDEX(Attenuation!$J:$J,INDEX(Cables!$AO:$AO,MATCH(G74,Cables!$A:$A,0))):INDEX(Attenuation!$J:$J,INDEX(Cables!$AO:$AO,MATCH(G74,Cables!$A:$A,0))+INDEX(Cables!$AP:$AP,MATCH(G74,Cables!$A:$A,0))-1),1),1),1),INDEX(Cables!$AP:$AP,MATCH(G74,Cables!$A:$A,0))-1))):INDEX(Attenuation!$J:$J,(INDEX(Cables!$AO:$AO,MATCH(G74,Cables!$A:$A,0))-1+MIN(MAX(IFERROR(MATCH(LN(E74),INDEX(Attenuation!$J:$J,INDEX(Cables!$AO:$AO,MATCH(G74,Cables!$A:$A,0))):INDEX(Attenuation!$J:$J,INDEX(Cables!$AO:$AO,MATCH(G74,Cables!$A:$A,0))+INDEX(Cables!$AP:$AP,MATCH(G74,Cables!$A:$A,0))-1),1),1),1),INDEX(Cables!$AP:$AP,MATCH(G74,Cables!$A:$A,0))-1))+1)))*0.3048)</f>
        <v/>
      </c>
      <c r="J74" s="44" t="str">
        <f t="shared" si="1"/>
        <v/>
      </c>
      <c r="K74" s="40" t="str">
        <f>IF(G74="","Doğrulanmadı",IF(ABS(J74)&lt;=0.1,"Uyumlu (±%10)",IF(ABS(J74)&lt;=0.25,"Fark %10-25","Fark &gt;%25"))&amp;IF(OR(D74&lt;INDEX(Cables!$AQ:$AQ,MATCH(G74,Cables!$A:$A,0)),E74&gt;INDEX(Cables!$AR:$AR,MATCH(G74,Cables!$A:$A,0)))," · ekstrapolasyon",""))</f>
        <v>Doğrulanmadı</v>
      </c>
    </row>
    <row r="75" spans="1:11" x14ac:dyDescent="0.25">
      <c r="A75" s="37" t="s">
        <v>2985</v>
      </c>
      <c r="B75" s="40" t="str">
        <f>INDEX(Legacy_Index!$D:$D,MATCH(A75,Legacy_Index!$A:$A,0))</f>
        <v>RG58 CellFoil® RFI (9006)</v>
      </c>
      <c r="C75" s="37" t="s">
        <v>3115</v>
      </c>
      <c r="D75" s="37">
        <v>400</v>
      </c>
      <c r="E75" s="37">
        <v>520</v>
      </c>
      <c r="F75" s="37">
        <v>6.9</v>
      </c>
      <c r="G75" s="40" t="str">
        <f>IF(INDEX(Legacy_Index!$G:$G,MATCH(A75,Legacy_Index!$A:$A,0))="","",INDEX(Legacy_Index!$G:$G,MATCH(A75,Legacy_Index!$A:$A,0)))</f>
        <v/>
      </c>
      <c r="H75" s="43" t="str">
        <f>IF(G75="","",EXP(FORECAST(LN(D75),INDEX(Attenuation!$K:$K,(INDEX(Cables!$AO:$AO,MATCH(G75,Cables!$A:$A,0))-1+MIN(MAX(IFERROR(MATCH(LN(D75),INDEX(Attenuation!$J:$J,INDEX(Cables!$AO:$AO,MATCH(G75,Cables!$A:$A,0))):INDEX(Attenuation!$J:$J,INDEX(Cables!$AO:$AO,MATCH(G75,Cables!$A:$A,0))+INDEX(Cables!$AP:$AP,MATCH(G75,Cables!$A:$A,0))-1),1),1),1),INDEX(Cables!$AP:$AP,MATCH(G75,Cables!$A:$A,0))-1))):INDEX(Attenuation!$K:$K,(INDEX(Cables!$AO:$AO,MATCH(G75,Cables!$A:$A,0))-1+MIN(MAX(IFERROR(MATCH(LN(D75),INDEX(Attenuation!$J:$J,INDEX(Cables!$AO:$AO,MATCH(G75,Cables!$A:$A,0))):INDEX(Attenuation!$J:$J,INDEX(Cables!$AO:$AO,MATCH(G75,Cables!$A:$A,0))+INDEX(Cables!$AP:$AP,MATCH(G75,Cables!$A:$A,0))-1),1),1),1),INDEX(Cables!$AP:$AP,MATCH(G75,Cables!$A:$A,0))-1))+1),INDEX(Attenuation!$J:$J,(INDEX(Cables!$AO:$AO,MATCH(G75,Cables!$A:$A,0))-1+MIN(MAX(IFERROR(MATCH(LN(D75),INDEX(Attenuation!$J:$J,INDEX(Cables!$AO:$AO,MATCH(G75,Cables!$A:$A,0))):INDEX(Attenuation!$J:$J,INDEX(Cables!$AO:$AO,MATCH(G75,Cables!$A:$A,0))+INDEX(Cables!$AP:$AP,MATCH(G75,Cables!$A:$A,0))-1),1),1),1),INDEX(Cables!$AP:$AP,MATCH(G75,Cables!$A:$A,0))-1))):INDEX(Attenuation!$J:$J,(INDEX(Cables!$AO:$AO,MATCH(G75,Cables!$A:$A,0))-1+MIN(MAX(IFERROR(MATCH(LN(D75),INDEX(Attenuation!$J:$J,INDEX(Cables!$AO:$AO,MATCH(G75,Cables!$A:$A,0))):INDEX(Attenuation!$J:$J,INDEX(Cables!$AO:$AO,MATCH(G75,Cables!$A:$A,0))+INDEX(Cables!$AP:$AP,MATCH(G75,Cables!$A:$A,0))-1),1),1),1),INDEX(Cables!$AP:$AP,MATCH(G75,Cables!$A:$A,0))-1))+1)))*0.3048)</f>
        <v/>
      </c>
      <c r="I75" s="43" t="str">
        <f>IF(G75="","",EXP(FORECAST(LN(E75),INDEX(Attenuation!$K:$K,(INDEX(Cables!$AO:$AO,MATCH(G75,Cables!$A:$A,0))-1+MIN(MAX(IFERROR(MATCH(LN(E75),INDEX(Attenuation!$J:$J,INDEX(Cables!$AO:$AO,MATCH(G75,Cables!$A:$A,0))):INDEX(Attenuation!$J:$J,INDEX(Cables!$AO:$AO,MATCH(G75,Cables!$A:$A,0))+INDEX(Cables!$AP:$AP,MATCH(G75,Cables!$A:$A,0))-1),1),1),1),INDEX(Cables!$AP:$AP,MATCH(G75,Cables!$A:$A,0))-1))):INDEX(Attenuation!$K:$K,(INDEX(Cables!$AO:$AO,MATCH(G75,Cables!$A:$A,0))-1+MIN(MAX(IFERROR(MATCH(LN(E75),INDEX(Attenuation!$J:$J,INDEX(Cables!$AO:$AO,MATCH(G75,Cables!$A:$A,0))):INDEX(Attenuation!$J:$J,INDEX(Cables!$AO:$AO,MATCH(G75,Cables!$A:$A,0))+INDEX(Cables!$AP:$AP,MATCH(G75,Cables!$A:$A,0))-1),1),1),1),INDEX(Cables!$AP:$AP,MATCH(G75,Cables!$A:$A,0))-1))+1),INDEX(Attenuation!$J:$J,(INDEX(Cables!$AO:$AO,MATCH(G75,Cables!$A:$A,0))-1+MIN(MAX(IFERROR(MATCH(LN(E75),INDEX(Attenuation!$J:$J,INDEX(Cables!$AO:$AO,MATCH(G75,Cables!$A:$A,0))):INDEX(Attenuation!$J:$J,INDEX(Cables!$AO:$AO,MATCH(G75,Cables!$A:$A,0))+INDEX(Cables!$AP:$AP,MATCH(G75,Cables!$A:$A,0))-1),1),1),1),INDEX(Cables!$AP:$AP,MATCH(G75,Cables!$A:$A,0))-1))):INDEX(Attenuation!$J:$J,(INDEX(Cables!$AO:$AO,MATCH(G75,Cables!$A:$A,0))-1+MIN(MAX(IFERROR(MATCH(LN(E75),INDEX(Attenuation!$J:$J,INDEX(Cables!$AO:$AO,MATCH(G75,Cables!$A:$A,0))):INDEX(Attenuation!$J:$J,INDEX(Cables!$AO:$AO,MATCH(G75,Cables!$A:$A,0))+INDEX(Cables!$AP:$AP,MATCH(G75,Cables!$A:$A,0))-1),1),1),1),INDEX(Cables!$AP:$AP,MATCH(G75,Cables!$A:$A,0))-1))+1)))*0.3048)</f>
        <v/>
      </c>
      <c r="J75" s="44" t="str">
        <f t="shared" si="1"/>
        <v/>
      </c>
      <c r="K75" s="40" t="str">
        <f>IF(G75="","Doğrulanmadı",IF(ABS(J75)&lt;=0.1,"Uyumlu (±%10)",IF(ABS(J75)&lt;=0.25,"Fark %10-25","Fark &gt;%25"))&amp;IF(OR(D75&lt;INDEX(Cables!$AQ:$AQ,MATCH(G75,Cables!$A:$A,0)),E75&gt;INDEX(Cables!$AR:$AR,MATCH(G75,Cables!$A:$A,0)))," · ekstrapolasyon",""))</f>
        <v>Doğrulanmadı</v>
      </c>
    </row>
    <row r="76" spans="1:11" x14ac:dyDescent="0.25">
      <c r="A76" s="37" t="s">
        <v>2985</v>
      </c>
      <c r="B76" s="40" t="str">
        <f>INDEX(Legacy_Index!$D:$D,MATCH(A76,Legacy_Index!$A:$A,0))</f>
        <v>RG58 CellFoil® RFI (9006)</v>
      </c>
      <c r="C76" s="37" t="s">
        <v>3116</v>
      </c>
      <c r="D76" s="37">
        <v>700</v>
      </c>
      <c r="E76" s="37">
        <v>960</v>
      </c>
      <c r="F76" s="37">
        <v>9</v>
      </c>
      <c r="G76" s="40" t="str">
        <f>IF(INDEX(Legacy_Index!$G:$G,MATCH(A76,Legacy_Index!$A:$A,0))="","",INDEX(Legacy_Index!$G:$G,MATCH(A76,Legacy_Index!$A:$A,0)))</f>
        <v/>
      </c>
      <c r="H76" s="43" t="str">
        <f>IF(G76="","",EXP(FORECAST(LN(D76),INDEX(Attenuation!$K:$K,(INDEX(Cables!$AO:$AO,MATCH(G76,Cables!$A:$A,0))-1+MIN(MAX(IFERROR(MATCH(LN(D76),INDEX(Attenuation!$J:$J,INDEX(Cables!$AO:$AO,MATCH(G76,Cables!$A:$A,0))):INDEX(Attenuation!$J:$J,INDEX(Cables!$AO:$AO,MATCH(G76,Cables!$A:$A,0))+INDEX(Cables!$AP:$AP,MATCH(G76,Cables!$A:$A,0))-1),1),1),1),INDEX(Cables!$AP:$AP,MATCH(G76,Cables!$A:$A,0))-1))):INDEX(Attenuation!$K:$K,(INDEX(Cables!$AO:$AO,MATCH(G76,Cables!$A:$A,0))-1+MIN(MAX(IFERROR(MATCH(LN(D76),INDEX(Attenuation!$J:$J,INDEX(Cables!$AO:$AO,MATCH(G76,Cables!$A:$A,0))):INDEX(Attenuation!$J:$J,INDEX(Cables!$AO:$AO,MATCH(G76,Cables!$A:$A,0))+INDEX(Cables!$AP:$AP,MATCH(G76,Cables!$A:$A,0))-1),1),1),1),INDEX(Cables!$AP:$AP,MATCH(G76,Cables!$A:$A,0))-1))+1),INDEX(Attenuation!$J:$J,(INDEX(Cables!$AO:$AO,MATCH(G76,Cables!$A:$A,0))-1+MIN(MAX(IFERROR(MATCH(LN(D76),INDEX(Attenuation!$J:$J,INDEX(Cables!$AO:$AO,MATCH(G76,Cables!$A:$A,0))):INDEX(Attenuation!$J:$J,INDEX(Cables!$AO:$AO,MATCH(G76,Cables!$A:$A,0))+INDEX(Cables!$AP:$AP,MATCH(G76,Cables!$A:$A,0))-1),1),1),1),INDEX(Cables!$AP:$AP,MATCH(G76,Cables!$A:$A,0))-1))):INDEX(Attenuation!$J:$J,(INDEX(Cables!$AO:$AO,MATCH(G76,Cables!$A:$A,0))-1+MIN(MAX(IFERROR(MATCH(LN(D76),INDEX(Attenuation!$J:$J,INDEX(Cables!$AO:$AO,MATCH(G76,Cables!$A:$A,0))):INDEX(Attenuation!$J:$J,INDEX(Cables!$AO:$AO,MATCH(G76,Cables!$A:$A,0))+INDEX(Cables!$AP:$AP,MATCH(G76,Cables!$A:$A,0))-1),1),1),1),INDEX(Cables!$AP:$AP,MATCH(G76,Cables!$A:$A,0))-1))+1)))*0.3048)</f>
        <v/>
      </c>
      <c r="I76" s="43" t="str">
        <f>IF(G76="","",EXP(FORECAST(LN(E76),INDEX(Attenuation!$K:$K,(INDEX(Cables!$AO:$AO,MATCH(G76,Cables!$A:$A,0))-1+MIN(MAX(IFERROR(MATCH(LN(E76),INDEX(Attenuation!$J:$J,INDEX(Cables!$AO:$AO,MATCH(G76,Cables!$A:$A,0))):INDEX(Attenuation!$J:$J,INDEX(Cables!$AO:$AO,MATCH(G76,Cables!$A:$A,0))+INDEX(Cables!$AP:$AP,MATCH(G76,Cables!$A:$A,0))-1),1),1),1),INDEX(Cables!$AP:$AP,MATCH(G76,Cables!$A:$A,0))-1))):INDEX(Attenuation!$K:$K,(INDEX(Cables!$AO:$AO,MATCH(G76,Cables!$A:$A,0))-1+MIN(MAX(IFERROR(MATCH(LN(E76),INDEX(Attenuation!$J:$J,INDEX(Cables!$AO:$AO,MATCH(G76,Cables!$A:$A,0))):INDEX(Attenuation!$J:$J,INDEX(Cables!$AO:$AO,MATCH(G76,Cables!$A:$A,0))+INDEX(Cables!$AP:$AP,MATCH(G76,Cables!$A:$A,0))-1),1),1),1),INDEX(Cables!$AP:$AP,MATCH(G76,Cables!$A:$A,0))-1))+1),INDEX(Attenuation!$J:$J,(INDEX(Cables!$AO:$AO,MATCH(G76,Cables!$A:$A,0))-1+MIN(MAX(IFERROR(MATCH(LN(E76),INDEX(Attenuation!$J:$J,INDEX(Cables!$AO:$AO,MATCH(G76,Cables!$A:$A,0))):INDEX(Attenuation!$J:$J,INDEX(Cables!$AO:$AO,MATCH(G76,Cables!$A:$A,0))+INDEX(Cables!$AP:$AP,MATCH(G76,Cables!$A:$A,0))-1),1),1),1),INDEX(Cables!$AP:$AP,MATCH(G76,Cables!$A:$A,0))-1))):INDEX(Attenuation!$J:$J,(INDEX(Cables!$AO:$AO,MATCH(G76,Cables!$A:$A,0))-1+MIN(MAX(IFERROR(MATCH(LN(E76),INDEX(Attenuation!$J:$J,INDEX(Cables!$AO:$AO,MATCH(G76,Cables!$A:$A,0))):INDEX(Attenuation!$J:$J,INDEX(Cables!$AO:$AO,MATCH(G76,Cables!$A:$A,0))+INDEX(Cables!$AP:$AP,MATCH(G76,Cables!$A:$A,0))-1),1),1),1),INDEX(Cables!$AP:$AP,MATCH(G76,Cables!$A:$A,0))-1))+1)))*0.3048)</f>
        <v/>
      </c>
      <c r="J76" s="44" t="str">
        <f t="shared" si="1"/>
        <v/>
      </c>
      <c r="K76" s="40" t="str">
        <f>IF(G76="","Doğrulanmadı",IF(ABS(J76)&lt;=0.1,"Uyumlu (±%10)",IF(ABS(J76)&lt;=0.25,"Fark %10-25","Fark &gt;%25"))&amp;IF(OR(D76&lt;INDEX(Cables!$AQ:$AQ,MATCH(G76,Cables!$A:$A,0)),E76&gt;INDEX(Cables!$AR:$AR,MATCH(G76,Cables!$A:$A,0)))," · ekstrapolasyon",""))</f>
        <v>Doğrulanmadı</v>
      </c>
    </row>
    <row r="77" spans="1:11" x14ac:dyDescent="0.25">
      <c r="A77" s="37" t="s">
        <v>2989</v>
      </c>
      <c r="B77" s="40" t="str">
        <f>INDEX(Legacy_Index!$D:$D,MATCH(A77,Legacy_Index!$A:$A,0))</f>
        <v>LMR195-LMR200</v>
      </c>
      <c r="C77" s="37" t="s">
        <v>3118</v>
      </c>
      <c r="D77" s="37">
        <v>30</v>
      </c>
      <c r="E77" s="37">
        <v>50</v>
      </c>
      <c r="F77" s="37">
        <v>2.2000000000000002</v>
      </c>
      <c r="G77" s="40" t="str">
        <f>IF(INDEX(Legacy_Index!$G:$G,MATCH(A77,Legacy_Index!$A:$A,0))="","",INDEX(Legacy_Index!$G:$G,MATCH(A77,Legacy_Index!$A:$A,0)))</f>
        <v>TMS-LMR195</v>
      </c>
      <c r="H77" s="43">
        <f>IF(G77="","",EXP(FORECAST(LN(D77),INDEX(Attenuation!$K:$K,(INDEX(Cables!$AO:$AO,MATCH(G77,Cables!$A:$A,0))-1+MIN(MAX(IFERROR(MATCH(LN(D77),INDEX(Attenuation!$J:$J,INDEX(Cables!$AO:$AO,MATCH(G77,Cables!$A:$A,0))):INDEX(Attenuation!$J:$J,INDEX(Cables!$AO:$AO,MATCH(G77,Cables!$A:$A,0))+INDEX(Cables!$AP:$AP,MATCH(G77,Cables!$A:$A,0))-1),1),1),1),INDEX(Cables!$AP:$AP,MATCH(G77,Cables!$A:$A,0))-1))):INDEX(Attenuation!$K:$K,(INDEX(Cables!$AO:$AO,MATCH(G77,Cables!$A:$A,0))-1+MIN(MAX(IFERROR(MATCH(LN(D77),INDEX(Attenuation!$J:$J,INDEX(Cables!$AO:$AO,MATCH(G77,Cables!$A:$A,0))):INDEX(Attenuation!$J:$J,INDEX(Cables!$AO:$AO,MATCH(G77,Cables!$A:$A,0))+INDEX(Cables!$AP:$AP,MATCH(G77,Cables!$A:$A,0))-1),1),1),1),INDEX(Cables!$AP:$AP,MATCH(G77,Cables!$A:$A,0))-1))+1),INDEX(Attenuation!$J:$J,(INDEX(Cables!$AO:$AO,MATCH(G77,Cables!$A:$A,0))-1+MIN(MAX(IFERROR(MATCH(LN(D77),INDEX(Attenuation!$J:$J,INDEX(Cables!$AO:$AO,MATCH(G77,Cables!$A:$A,0))):INDEX(Attenuation!$J:$J,INDEX(Cables!$AO:$AO,MATCH(G77,Cables!$A:$A,0))+INDEX(Cables!$AP:$AP,MATCH(G77,Cables!$A:$A,0))-1),1),1),1),INDEX(Cables!$AP:$AP,MATCH(G77,Cables!$A:$A,0))-1))):INDEX(Attenuation!$J:$J,(INDEX(Cables!$AO:$AO,MATCH(G77,Cables!$A:$A,0))-1+MIN(MAX(IFERROR(MATCH(LN(D77),INDEX(Attenuation!$J:$J,INDEX(Cables!$AO:$AO,MATCH(G77,Cables!$A:$A,0))):INDEX(Attenuation!$J:$J,INDEX(Cables!$AO:$AO,MATCH(G77,Cables!$A:$A,0))+INDEX(Cables!$AP:$AP,MATCH(G77,Cables!$A:$A,0))-1),1),1),1),INDEX(Cables!$AP:$AP,MATCH(G77,Cables!$A:$A,0))-1))+1)))*0.3048)</f>
        <v>2</v>
      </c>
      <c r="I77" s="43">
        <f>IF(G77="","",EXP(FORECAST(LN(E77),INDEX(Attenuation!$K:$K,(INDEX(Cables!$AO:$AO,MATCH(G77,Cables!$A:$A,0))-1+MIN(MAX(IFERROR(MATCH(LN(E77),INDEX(Attenuation!$J:$J,INDEX(Cables!$AO:$AO,MATCH(G77,Cables!$A:$A,0))):INDEX(Attenuation!$J:$J,INDEX(Cables!$AO:$AO,MATCH(G77,Cables!$A:$A,0))+INDEX(Cables!$AP:$AP,MATCH(G77,Cables!$A:$A,0))-1),1),1),1),INDEX(Cables!$AP:$AP,MATCH(G77,Cables!$A:$A,0))-1))):INDEX(Attenuation!$K:$K,(INDEX(Cables!$AO:$AO,MATCH(G77,Cables!$A:$A,0))-1+MIN(MAX(IFERROR(MATCH(LN(E77),INDEX(Attenuation!$J:$J,INDEX(Cables!$AO:$AO,MATCH(G77,Cables!$A:$A,0))):INDEX(Attenuation!$J:$J,INDEX(Cables!$AO:$AO,MATCH(G77,Cables!$A:$A,0))+INDEX(Cables!$AP:$AP,MATCH(G77,Cables!$A:$A,0))-1),1),1),1),INDEX(Cables!$AP:$AP,MATCH(G77,Cables!$A:$A,0))-1))+1),INDEX(Attenuation!$J:$J,(INDEX(Cables!$AO:$AO,MATCH(G77,Cables!$A:$A,0))-1+MIN(MAX(IFERROR(MATCH(LN(E77),INDEX(Attenuation!$J:$J,INDEX(Cables!$AO:$AO,MATCH(G77,Cables!$A:$A,0))):INDEX(Attenuation!$J:$J,INDEX(Cables!$AO:$AO,MATCH(G77,Cables!$A:$A,0))+INDEX(Cables!$AP:$AP,MATCH(G77,Cables!$A:$A,0))-1),1),1),1),INDEX(Cables!$AP:$AP,MATCH(G77,Cables!$A:$A,0))-1))):INDEX(Attenuation!$J:$J,(INDEX(Cables!$AO:$AO,MATCH(G77,Cables!$A:$A,0))-1+MIN(MAX(IFERROR(MATCH(LN(E77),INDEX(Attenuation!$J:$J,INDEX(Cables!$AO:$AO,MATCH(G77,Cables!$A:$A,0))):INDEX(Attenuation!$J:$J,INDEX(Cables!$AO:$AO,MATCH(G77,Cables!$A:$A,0))+INDEX(Cables!$AP:$AP,MATCH(G77,Cables!$A:$A,0))-1),1),1),1),INDEX(Cables!$AP:$AP,MATCH(G77,Cables!$A:$A,0))-1))+1)))*0.3048)</f>
        <v>2.6000000000000005</v>
      </c>
      <c r="J77" s="44">
        <f t="shared" si="1"/>
        <v>0</v>
      </c>
      <c r="K77" s="40" t="str">
        <f>IF(G77="","Doğrulanmadı",IF(ABS(J77)&lt;=0.1,"Uyumlu (±%10)",IF(ABS(J77)&lt;=0.25,"Fark %10-25","Fark &gt;%25"))&amp;IF(OR(D77&lt;INDEX(Cables!$AQ:$AQ,MATCH(G77,Cables!$A:$A,0)),E77&gt;INDEX(Cables!$AR:$AR,MATCH(G77,Cables!$A:$A,0)))," · ekstrapolasyon",""))</f>
        <v>Uyumlu (±%10)</v>
      </c>
    </row>
    <row r="78" spans="1:11" x14ac:dyDescent="0.25">
      <c r="A78" s="37" t="s">
        <v>2989</v>
      </c>
      <c r="B78" s="40" t="str">
        <f>INDEX(Legacy_Index!$D:$D,MATCH(A78,Legacy_Index!$A:$A,0))</f>
        <v>LMR195-LMR200</v>
      </c>
      <c r="C78" s="37" t="s">
        <v>3114</v>
      </c>
      <c r="D78" s="37">
        <v>148</v>
      </c>
      <c r="E78" s="37">
        <v>174</v>
      </c>
      <c r="F78" s="37">
        <v>3.9</v>
      </c>
      <c r="G78" s="40" t="str">
        <f>IF(INDEX(Legacy_Index!$G:$G,MATCH(A78,Legacy_Index!$A:$A,0))="","",INDEX(Legacy_Index!$G:$G,MATCH(A78,Legacy_Index!$A:$A,0)))</f>
        <v>TMS-LMR195</v>
      </c>
      <c r="H78" s="43">
        <f>IF(G78="","",EXP(FORECAST(LN(D78),INDEX(Attenuation!$K:$K,(INDEX(Cables!$AO:$AO,MATCH(G78,Cables!$A:$A,0))-1+MIN(MAX(IFERROR(MATCH(LN(D78),INDEX(Attenuation!$J:$J,INDEX(Cables!$AO:$AO,MATCH(G78,Cables!$A:$A,0))):INDEX(Attenuation!$J:$J,INDEX(Cables!$AO:$AO,MATCH(G78,Cables!$A:$A,0))+INDEX(Cables!$AP:$AP,MATCH(G78,Cables!$A:$A,0))-1),1),1),1),INDEX(Cables!$AP:$AP,MATCH(G78,Cables!$A:$A,0))-1))):INDEX(Attenuation!$K:$K,(INDEX(Cables!$AO:$AO,MATCH(G78,Cables!$A:$A,0))-1+MIN(MAX(IFERROR(MATCH(LN(D78),INDEX(Attenuation!$J:$J,INDEX(Cables!$AO:$AO,MATCH(G78,Cables!$A:$A,0))):INDEX(Attenuation!$J:$J,INDEX(Cables!$AO:$AO,MATCH(G78,Cables!$A:$A,0))+INDEX(Cables!$AP:$AP,MATCH(G78,Cables!$A:$A,0))-1),1),1),1),INDEX(Cables!$AP:$AP,MATCH(G78,Cables!$A:$A,0))-1))+1),INDEX(Attenuation!$J:$J,(INDEX(Cables!$AO:$AO,MATCH(G78,Cables!$A:$A,0))-1+MIN(MAX(IFERROR(MATCH(LN(D78),INDEX(Attenuation!$J:$J,INDEX(Cables!$AO:$AO,MATCH(G78,Cables!$A:$A,0))):INDEX(Attenuation!$J:$J,INDEX(Cables!$AO:$AO,MATCH(G78,Cables!$A:$A,0))+INDEX(Cables!$AP:$AP,MATCH(G78,Cables!$A:$A,0))-1),1),1),1),INDEX(Cables!$AP:$AP,MATCH(G78,Cables!$A:$A,0))-1))):INDEX(Attenuation!$J:$J,(INDEX(Cables!$AO:$AO,MATCH(G78,Cables!$A:$A,0))-1+MIN(MAX(IFERROR(MATCH(LN(D78),INDEX(Attenuation!$J:$J,INDEX(Cables!$AO:$AO,MATCH(G78,Cables!$A:$A,0))):INDEX(Attenuation!$J:$J,INDEX(Cables!$AO:$AO,MATCH(G78,Cables!$A:$A,0))+INDEX(Cables!$AP:$AP,MATCH(G78,Cables!$A:$A,0))-1),1),1),1),INDEX(Cables!$AP:$AP,MATCH(G78,Cables!$A:$A,0))-1))+1)))*0.3048)</f>
        <v>4.3718079911158627</v>
      </c>
      <c r="I78" s="43">
        <f>IF(G78="","",EXP(FORECAST(LN(E78),INDEX(Attenuation!$K:$K,(INDEX(Cables!$AO:$AO,MATCH(G78,Cables!$A:$A,0))-1+MIN(MAX(IFERROR(MATCH(LN(E78),INDEX(Attenuation!$J:$J,INDEX(Cables!$AO:$AO,MATCH(G78,Cables!$A:$A,0))):INDEX(Attenuation!$J:$J,INDEX(Cables!$AO:$AO,MATCH(G78,Cables!$A:$A,0))+INDEX(Cables!$AP:$AP,MATCH(G78,Cables!$A:$A,0))-1),1),1),1),INDEX(Cables!$AP:$AP,MATCH(G78,Cables!$A:$A,0))-1))):INDEX(Attenuation!$K:$K,(INDEX(Cables!$AO:$AO,MATCH(G78,Cables!$A:$A,0))-1+MIN(MAX(IFERROR(MATCH(LN(E78),INDEX(Attenuation!$J:$J,INDEX(Cables!$AO:$AO,MATCH(G78,Cables!$A:$A,0))):INDEX(Attenuation!$J:$J,INDEX(Cables!$AO:$AO,MATCH(G78,Cables!$A:$A,0))+INDEX(Cables!$AP:$AP,MATCH(G78,Cables!$A:$A,0))-1),1),1),1),INDEX(Cables!$AP:$AP,MATCH(G78,Cables!$A:$A,0))-1))+1),INDEX(Attenuation!$J:$J,(INDEX(Cables!$AO:$AO,MATCH(G78,Cables!$A:$A,0))-1+MIN(MAX(IFERROR(MATCH(LN(E78),INDEX(Attenuation!$J:$J,INDEX(Cables!$AO:$AO,MATCH(G78,Cables!$A:$A,0))):INDEX(Attenuation!$J:$J,INDEX(Cables!$AO:$AO,MATCH(G78,Cables!$A:$A,0))+INDEX(Cables!$AP:$AP,MATCH(G78,Cables!$A:$A,0))-1),1),1),1),INDEX(Cables!$AP:$AP,MATCH(G78,Cables!$A:$A,0))-1))):INDEX(Attenuation!$J:$J,(INDEX(Cables!$AO:$AO,MATCH(G78,Cables!$A:$A,0))-1+MIN(MAX(IFERROR(MATCH(LN(E78),INDEX(Attenuation!$J:$J,INDEX(Cables!$AO:$AO,MATCH(G78,Cables!$A:$A,0))):INDEX(Attenuation!$J:$J,INDEX(Cables!$AO:$AO,MATCH(G78,Cables!$A:$A,0))+INDEX(Cables!$AP:$AP,MATCH(G78,Cables!$A:$A,0))-1),1),1),1),INDEX(Cables!$AP:$AP,MATCH(G78,Cables!$A:$A,0))-1))+1)))*0.3048)</f>
        <v>4.7634299874586779</v>
      </c>
      <c r="J78" s="44">
        <f t="shared" si="1"/>
        <v>-0.10792056560458374</v>
      </c>
      <c r="K78" s="40" t="str">
        <f>IF(G78="","Doğrulanmadı",IF(ABS(J78)&lt;=0.1,"Uyumlu (±%10)",IF(ABS(J78)&lt;=0.25,"Fark %10-25","Fark &gt;%25"))&amp;IF(OR(D78&lt;INDEX(Cables!$AQ:$AQ,MATCH(G78,Cables!$A:$A,0)),E78&gt;INDEX(Cables!$AR:$AR,MATCH(G78,Cables!$A:$A,0)))," · ekstrapolasyon",""))</f>
        <v>Fark %10-25</v>
      </c>
    </row>
    <row r="79" spans="1:11" x14ac:dyDescent="0.25">
      <c r="A79" s="37" t="s">
        <v>2989</v>
      </c>
      <c r="B79" s="40" t="str">
        <f>INDEX(Legacy_Index!$D:$D,MATCH(A79,Legacy_Index!$A:$A,0))</f>
        <v>LMR195-LMR200</v>
      </c>
      <c r="C79" s="37" t="s">
        <v>3119</v>
      </c>
      <c r="D79" s="37">
        <v>220</v>
      </c>
      <c r="E79" s="37">
        <v>220</v>
      </c>
      <c r="F79" s="37">
        <v>4.8</v>
      </c>
      <c r="G79" s="40" t="str">
        <f>IF(INDEX(Legacy_Index!$G:$G,MATCH(A79,Legacy_Index!$A:$A,0))="","",INDEX(Legacy_Index!$G:$G,MATCH(A79,Legacy_Index!$A:$A,0)))</f>
        <v>TMS-LMR195</v>
      </c>
      <c r="H79" s="43">
        <f>IF(G79="","",EXP(FORECAST(LN(D79),INDEX(Attenuation!$K:$K,(INDEX(Cables!$AO:$AO,MATCH(G79,Cables!$A:$A,0))-1+MIN(MAX(IFERROR(MATCH(LN(D79),INDEX(Attenuation!$J:$J,INDEX(Cables!$AO:$AO,MATCH(G79,Cables!$A:$A,0))):INDEX(Attenuation!$J:$J,INDEX(Cables!$AO:$AO,MATCH(G79,Cables!$A:$A,0))+INDEX(Cables!$AP:$AP,MATCH(G79,Cables!$A:$A,0))-1),1),1),1),INDEX(Cables!$AP:$AP,MATCH(G79,Cables!$A:$A,0))-1))):INDEX(Attenuation!$K:$K,(INDEX(Cables!$AO:$AO,MATCH(G79,Cables!$A:$A,0))-1+MIN(MAX(IFERROR(MATCH(LN(D79),INDEX(Attenuation!$J:$J,INDEX(Cables!$AO:$AO,MATCH(G79,Cables!$A:$A,0))):INDEX(Attenuation!$J:$J,INDEX(Cables!$AO:$AO,MATCH(G79,Cables!$A:$A,0))+INDEX(Cables!$AP:$AP,MATCH(G79,Cables!$A:$A,0))-1),1),1),1),INDEX(Cables!$AP:$AP,MATCH(G79,Cables!$A:$A,0))-1))+1),INDEX(Attenuation!$J:$J,(INDEX(Cables!$AO:$AO,MATCH(G79,Cables!$A:$A,0))-1+MIN(MAX(IFERROR(MATCH(LN(D79),INDEX(Attenuation!$J:$J,INDEX(Cables!$AO:$AO,MATCH(G79,Cables!$A:$A,0))):INDEX(Attenuation!$J:$J,INDEX(Cables!$AO:$AO,MATCH(G79,Cables!$A:$A,0))+INDEX(Cables!$AP:$AP,MATCH(G79,Cables!$A:$A,0))-1),1),1),1),INDEX(Cables!$AP:$AP,MATCH(G79,Cables!$A:$A,0))-1))):INDEX(Attenuation!$J:$J,(INDEX(Cables!$AO:$AO,MATCH(G79,Cables!$A:$A,0))-1+MIN(MAX(IFERROR(MATCH(LN(D79),INDEX(Attenuation!$J:$J,INDEX(Cables!$AO:$AO,MATCH(G79,Cables!$A:$A,0))):INDEX(Attenuation!$J:$J,INDEX(Cables!$AO:$AO,MATCH(G79,Cables!$A:$A,0))+INDEX(Cables!$AP:$AP,MATCH(G79,Cables!$A:$A,0))-1),1),1),1),INDEX(Cables!$AP:$AP,MATCH(G79,Cables!$A:$A,0))-1))+1)))*0.3048)</f>
        <v>5.3999999999999968</v>
      </c>
      <c r="I79" s="43">
        <f>IF(G79="","",EXP(FORECAST(LN(E79),INDEX(Attenuation!$K:$K,(INDEX(Cables!$AO:$AO,MATCH(G79,Cables!$A:$A,0))-1+MIN(MAX(IFERROR(MATCH(LN(E79),INDEX(Attenuation!$J:$J,INDEX(Cables!$AO:$AO,MATCH(G79,Cables!$A:$A,0))):INDEX(Attenuation!$J:$J,INDEX(Cables!$AO:$AO,MATCH(G79,Cables!$A:$A,0))+INDEX(Cables!$AP:$AP,MATCH(G79,Cables!$A:$A,0))-1),1),1),1),INDEX(Cables!$AP:$AP,MATCH(G79,Cables!$A:$A,0))-1))):INDEX(Attenuation!$K:$K,(INDEX(Cables!$AO:$AO,MATCH(G79,Cables!$A:$A,0))-1+MIN(MAX(IFERROR(MATCH(LN(E79),INDEX(Attenuation!$J:$J,INDEX(Cables!$AO:$AO,MATCH(G79,Cables!$A:$A,0))):INDEX(Attenuation!$J:$J,INDEX(Cables!$AO:$AO,MATCH(G79,Cables!$A:$A,0))+INDEX(Cables!$AP:$AP,MATCH(G79,Cables!$A:$A,0))-1),1),1),1),INDEX(Cables!$AP:$AP,MATCH(G79,Cables!$A:$A,0))-1))+1),INDEX(Attenuation!$J:$J,(INDEX(Cables!$AO:$AO,MATCH(G79,Cables!$A:$A,0))-1+MIN(MAX(IFERROR(MATCH(LN(E79),INDEX(Attenuation!$J:$J,INDEX(Cables!$AO:$AO,MATCH(G79,Cables!$A:$A,0))):INDEX(Attenuation!$J:$J,INDEX(Cables!$AO:$AO,MATCH(G79,Cables!$A:$A,0))+INDEX(Cables!$AP:$AP,MATCH(G79,Cables!$A:$A,0))-1),1),1),1),INDEX(Cables!$AP:$AP,MATCH(G79,Cables!$A:$A,0))-1))):INDEX(Attenuation!$J:$J,(INDEX(Cables!$AO:$AO,MATCH(G79,Cables!$A:$A,0))-1+MIN(MAX(IFERROR(MATCH(LN(E79),INDEX(Attenuation!$J:$J,INDEX(Cables!$AO:$AO,MATCH(G79,Cables!$A:$A,0))):INDEX(Attenuation!$J:$J,INDEX(Cables!$AO:$AO,MATCH(G79,Cables!$A:$A,0))+INDEX(Cables!$AP:$AP,MATCH(G79,Cables!$A:$A,0))-1),1),1),1),INDEX(Cables!$AP:$AP,MATCH(G79,Cables!$A:$A,0))-1))+1)))*0.3048)</f>
        <v>5.3999999999999968</v>
      </c>
      <c r="J79" s="44">
        <f t="shared" si="1"/>
        <v>-0.11111111111111061</v>
      </c>
      <c r="K79" s="40" t="str">
        <f>IF(G79="","Doğrulanmadı",IF(ABS(J79)&lt;=0.1,"Uyumlu (±%10)",IF(ABS(J79)&lt;=0.25,"Fark %10-25","Fark &gt;%25"))&amp;IF(OR(D79&lt;INDEX(Cables!$AQ:$AQ,MATCH(G79,Cables!$A:$A,0)),E79&gt;INDEX(Cables!$AR:$AR,MATCH(G79,Cables!$A:$A,0)))," · ekstrapolasyon",""))</f>
        <v>Fark %10-25</v>
      </c>
    </row>
    <row r="80" spans="1:11" x14ac:dyDescent="0.25">
      <c r="A80" s="37" t="s">
        <v>2989</v>
      </c>
      <c r="B80" s="40" t="str">
        <f>INDEX(Legacy_Index!$D:$D,MATCH(A80,Legacy_Index!$A:$A,0))</f>
        <v>LMR195-LMR200</v>
      </c>
      <c r="C80" s="37" t="s">
        <v>3115</v>
      </c>
      <c r="D80" s="37">
        <v>400</v>
      </c>
      <c r="E80" s="37">
        <v>520</v>
      </c>
      <c r="F80" s="37">
        <v>6.9</v>
      </c>
      <c r="G80" s="40" t="str">
        <f>IF(INDEX(Legacy_Index!$G:$G,MATCH(A80,Legacy_Index!$A:$A,0))="","",INDEX(Legacy_Index!$G:$G,MATCH(A80,Legacy_Index!$A:$A,0)))</f>
        <v>TMS-LMR195</v>
      </c>
      <c r="H80" s="43">
        <f>IF(G80="","",EXP(FORECAST(LN(D80),INDEX(Attenuation!$K:$K,(INDEX(Cables!$AO:$AO,MATCH(G80,Cables!$A:$A,0))-1+MIN(MAX(IFERROR(MATCH(LN(D80),INDEX(Attenuation!$J:$J,INDEX(Cables!$AO:$AO,MATCH(G80,Cables!$A:$A,0))):INDEX(Attenuation!$J:$J,INDEX(Cables!$AO:$AO,MATCH(G80,Cables!$A:$A,0))+INDEX(Cables!$AP:$AP,MATCH(G80,Cables!$A:$A,0))-1),1),1),1),INDEX(Cables!$AP:$AP,MATCH(G80,Cables!$A:$A,0))-1))):INDEX(Attenuation!$K:$K,(INDEX(Cables!$AO:$AO,MATCH(G80,Cables!$A:$A,0))-1+MIN(MAX(IFERROR(MATCH(LN(D80),INDEX(Attenuation!$J:$J,INDEX(Cables!$AO:$AO,MATCH(G80,Cables!$A:$A,0))):INDEX(Attenuation!$J:$J,INDEX(Cables!$AO:$AO,MATCH(G80,Cables!$A:$A,0))+INDEX(Cables!$AP:$AP,MATCH(G80,Cables!$A:$A,0))-1),1),1),1),INDEX(Cables!$AP:$AP,MATCH(G80,Cables!$A:$A,0))-1))+1),INDEX(Attenuation!$J:$J,(INDEX(Cables!$AO:$AO,MATCH(G80,Cables!$A:$A,0))-1+MIN(MAX(IFERROR(MATCH(LN(D80),INDEX(Attenuation!$J:$J,INDEX(Cables!$AO:$AO,MATCH(G80,Cables!$A:$A,0))):INDEX(Attenuation!$J:$J,INDEX(Cables!$AO:$AO,MATCH(G80,Cables!$A:$A,0))+INDEX(Cables!$AP:$AP,MATCH(G80,Cables!$A:$A,0))-1),1),1),1),INDEX(Cables!$AP:$AP,MATCH(G80,Cables!$A:$A,0))-1))):INDEX(Attenuation!$J:$J,(INDEX(Cables!$AO:$AO,MATCH(G80,Cables!$A:$A,0))-1+MIN(MAX(IFERROR(MATCH(LN(D80),INDEX(Attenuation!$J:$J,INDEX(Cables!$AO:$AO,MATCH(G80,Cables!$A:$A,0))):INDEX(Attenuation!$J:$J,INDEX(Cables!$AO:$AO,MATCH(G80,Cables!$A:$A,0))+INDEX(Cables!$AP:$AP,MATCH(G80,Cables!$A:$A,0))-1),1),1),1),INDEX(Cables!$AP:$AP,MATCH(G80,Cables!$A:$A,0))-1))+1)))*0.3048)</f>
        <v>7.3419197680061874</v>
      </c>
      <c r="I80" s="43">
        <f>IF(G80="","",EXP(FORECAST(LN(E80),INDEX(Attenuation!$K:$K,(INDEX(Cables!$AO:$AO,MATCH(G80,Cables!$A:$A,0))-1+MIN(MAX(IFERROR(MATCH(LN(E80),INDEX(Attenuation!$J:$J,INDEX(Cables!$AO:$AO,MATCH(G80,Cables!$A:$A,0))):INDEX(Attenuation!$J:$J,INDEX(Cables!$AO:$AO,MATCH(G80,Cables!$A:$A,0))+INDEX(Cables!$AP:$AP,MATCH(G80,Cables!$A:$A,0))-1),1),1),1),INDEX(Cables!$AP:$AP,MATCH(G80,Cables!$A:$A,0))-1))):INDEX(Attenuation!$K:$K,(INDEX(Cables!$AO:$AO,MATCH(G80,Cables!$A:$A,0))-1+MIN(MAX(IFERROR(MATCH(LN(E80),INDEX(Attenuation!$J:$J,INDEX(Cables!$AO:$AO,MATCH(G80,Cables!$A:$A,0))):INDEX(Attenuation!$J:$J,INDEX(Cables!$AO:$AO,MATCH(G80,Cables!$A:$A,0))+INDEX(Cables!$AP:$AP,MATCH(G80,Cables!$A:$A,0))-1),1),1),1),INDEX(Cables!$AP:$AP,MATCH(G80,Cables!$A:$A,0))-1))+1),INDEX(Attenuation!$J:$J,(INDEX(Cables!$AO:$AO,MATCH(G80,Cables!$A:$A,0))-1+MIN(MAX(IFERROR(MATCH(LN(E80),INDEX(Attenuation!$J:$J,INDEX(Cables!$AO:$AO,MATCH(G80,Cables!$A:$A,0))):INDEX(Attenuation!$J:$J,INDEX(Cables!$AO:$AO,MATCH(G80,Cables!$A:$A,0))+INDEX(Cables!$AP:$AP,MATCH(G80,Cables!$A:$A,0))-1),1),1),1),INDEX(Cables!$AP:$AP,MATCH(G80,Cables!$A:$A,0))-1))):INDEX(Attenuation!$J:$J,(INDEX(Cables!$AO:$AO,MATCH(G80,Cables!$A:$A,0))-1+MIN(MAX(IFERROR(MATCH(LN(E80),INDEX(Attenuation!$J:$J,INDEX(Cables!$AO:$AO,MATCH(G80,Cables!$A:$A,0))):INDEX(Attenuation!$J:$J,INDEX(Cables!$AO:$AO,MATCH(G80,Cables!$A:$A,0))+INDEX(Cables!$AP:$AP,MATCH(G80,Cables!$A:$A,0))-1),1),1),1),INDEX(Cables!$AP:$AP,MATCH(G80,Cables!$A:$A,0))-1))+1)))*0.3048)</f>
        <v>8.404917623875324</v>
      </c>
      <c r="J80" s="44">
        <f t="shared" si="1"/>
        <v>-6.0191309898527723E-2</v>
      </c>
      <c r="K80" s="40" t="str">
        <f>IF(G80="","Doğrulanmadı",IF(ABS(J80)&lt;=0.1,"Uyumlu (±%10)",IF(ABS(J80)&lt;=0.25,"Fark %10-25","Fark &gt;%25"))&amp;IF(OR(D80&lt;INDEX(Cables!$AQ:$AQ,MATCH(G80,Cables!$A:$A,0)),E80&gt;INDEX(Cables!$AR:$AR,MATCH(G80,Cables!$A:$A,0)))," · ekstrapolasyon",""))</f>
        <v>Uyumlu (±%10)</v>
      </c>
    </row>
    <row r="81" spans="1:11" x14ac:dyDescent="0.25">
      <c r="A81" s="37" t="s">
        <v>2989</v>
      </c>
      <c r="B81" s="40" t="str">
        <f>INDEX(Legacy_Index!$D:$D,MATCH(A81,Legacy_Index!$A:$A,0))</f>
        <v>LMR195-LMR200</v>
      </c>
      <c r="C81" s="37" t="s">
        <v>3116</v>
      </c>
      <c r="D81" s="37">
        <v>700</v>
      </c>
      <c r="E81" s="37">
        <v>960</v>
      </c>
      <c r="F81" s="37">
        <v>9.9</v>
      </c>
      <c r="G81" s="40" t="str">
        <f>IF(INDEX(Legacy_Index!$G:$G,MATCH(A81,Legacy_Index!$A:$A,0))="","",INDEX(Legacy_Index!$G:$G,MATCH(A81,Legacy_Index!$A:$A,0)))</f>
        <v>TMS-LMR195</v>
      </c>
      <c r="H81" s="43">
        <f>IF(G81="","",EXP(FORECAST(LN(D81),INDEX(Attenuation!$K:$K,(INDEX(Cables!$AO:$AO,MATCH(G81,Cables!$A:$A,0))-1+MIN(MAX(IFERROR(MATCH(LN(D81),INDEX(Attenuation!$J:$J,INDEX(Cables!$AO:$AO,MATCH(G81,Cables!$A:$A,0))):INDEX(Attenuation!$J:$J,INDEX(Cables!$AO:$AO,MATCH(G81,Cables!$A:$A,0))+INDEX(Cables!$AP:$AP,MATCH(G81,Cables!$A:$A,0))-1),1),1),1),INDEX(Cables!$AP:$AP,MATCH(G81,Cables!$A:$A,0))-1))):INDEX(Attenuation!$K:$K,(INDEX(Cables!$AO:$AO,MATCH(G81,Cables!$A:$A,0))-1+MIN(MAX(IFERROR(MATCH(LN(D81),INDEX(Attenuation!$J:$J,INDEX(Cables!$AO:$AO,MATCH(G81,Cables!$A:$A,0))):INDEX(Attenuation!$J:$J,INDEX(Cables!$AO:$AO,MATCH(G81,Cables!$A:$A,0))+INDEX(Cables!$AP:$AP,MATCH(G81,Cables!$A:$A,0))-1),1),1),1),INDEX(Cables!$AP:$AP,MATCH(G81,Cables!$A:$A,0))-1))+1),INDEX(Attenuation!$J:$J,(INDEX(Cables!$AO:$AO,MATCH(G81,Cables!$A:$A,0))-1+MIN(MAX(IFERROR(MATCH(LN(D81),INDEX(Attenuation!$J:$J,INDEX(Cables!$AO:$AO,MATCH(G81,Cables!$A:$A,0))):INDEX(Attenuation!$J:$J,INDEX(Cables!$AO:$AO,MATCH(G81,Cables!$A:$A,0))+INDEX(Cables!$AP:$AP,MATCH(G81,Cables!$A:$A,0))-1),1),1),1),INDEX(Cables!$AP:$AP,MATCH(G81,Cables!$A:$A,0))-1))):INDEX(Attenuation!$J:$J,(INDEX(Cables!$AO:$AO,MATCH(G81,Cables!$A:$A,0))-1+MIN(MAX(IFERROR(MATCH(LN(D81),INDEX(Attenuation!$J:$J,INDEX(Cables!$AO:$AO,MATCH(G81,Cables!$A:$A,0))):INDEX(Attenuation!$J:$J,INDEX(Cables!$AO:$AO,MATCH(G81,Cables!$A:$A,0))+INDEX(Cables!$AP:$AP,MATCH(G81,Cables!$A:$A,0))-1),1),1),1),INDEX(Cables!$AP:$AP,MATCH(G81,Cables!$A:$A,0))-1))+1)))*0.3048)</f>
        <v>9.8000000000000007</v>
      </c>
      <c r="I81" s="43">
        <f>IF(G81="","",EXP(FORECAST(LN(E81),INDEX(Attenuation!$K:$K,(INDEX(Cables!$AO:$AO,MATCH(G81,Cables!$A:$A,0))-1+MIN(MAX(IFERROR(MATCH(LN(E81),INDEX(Attenuation!$J:$J,INDEX(Cables!$AO:$AO,MATCH(G81,Cables!$A:$A,0))):INDEX(Attenuation!$J:$J,INDEX(Cables!$AO:$AO,MATCH(G81,Cables!$A:$A,0))+INDEX(Cables!$AP:$AP,MATCH(G81,Cables!$A:$A,0))-1),1),1),1),INDEX(Cables!$AP:$AP,MATCH(G81,Cables!$A:$A,0))-1))):INDEX(Attenuation!$K:$K,(INDEX(Cables!$AO:$AO,MATCH(G81,Cables!$A:$A,0))-1+MIN(MAX(IFERROR(MATCH(LN(E81),INDEX(Attenuation!$J:$J,INDEX(Cables!$AO:$AO,MATCH(G81,Cables!$A:$A,0))):INDEX(Attenuation!$J:$J,INDEX(Cables!$AO:$AO,MATCH(G81,Cables!$A:$A,0))+INDEX(Cables!$AP:$AP,MATCH(G81,Cables!$A:$A,0))-1),1),1),1),INDEX(Cables!$AP:$AP,MATCH(G81,Cables!$A:$A,0))-1))+1),INDEX(Attenuation!$J:$J,(INDEX(Cables!$AO:$AO,MATCH(G81,Cables!$A:$A,0))-1+MIN(MAX(IFERROR(MATCH(LN(E81),INDEX(Attenuation!$J:$J,INDEX(Cables!$AO:$AO,MATCH(G81,Cables!$A:$A,0))):INDEX(Attenuation!$J:$J,INDEX(Cables!$AO:$AO,MATCH(G81,Cables!$A:$A,0))+INDEX(Cables!$AP:$AP,MATCH(G81,Cables!$A:$A,0))-1),1),1),1),INDEX(Cables!$AP:$AP,MATCH(G81,Cables!$A:$A,0))-1))):INDEX(Attenuation!$J:$J,(INDEX(Cables!$AO:$AO,MATCH(G81,Cables!$A:$A,0))-1+MIN(MAX(IFERROR(MATCH(LN(E81),INDEX(Attenuation!$J:$J,INDEX(Cables!$AO:$AO,MATCH(G81,Cables!$A:$A,0))):INDEX(Attenuation!$J:$J,INDEX(Cables!$AO:$AO,MATCH(G81,Cables!$A:$A,0))+INDEX(Cables!$AP:$AP,MATCH(G81,Cables!$A:$A,0))-1),1),1),1),INDEX(Cables!$AP:$AP,MATCH(G81,Cables!$A:$A,0))-1))+1)))*0.3048)</f>
        <v>11.481120932813155</v>
      </c>
      <c r="J81" s="44">
        <f t="shared" si="1"/>
        <v>0</v>
      </c>
      <c r="K81" s="40" t="str">
        <f>IF(G81="","Doğrulanmadı",IF(ABS(J81)&lt;=0.1,"Uyumlu (±%10)",IF(ABS(J81)&lt;=0.25,"Fark %10-25","Fark &gt;%25"))&amp;IF(OR(D81&lt;INDEX(Cables!$AQ:$AQ,MATCH(G81,Cables!$A:$A,0)),E81&gt;INDEX(Cables!$AR:$AR,MATCH(G81,Cables!$A:$A,0)))," · ekstrapolasyon",""))</f>
        <v>Uyumlu (±%10)</v>
      </c>
    </row>
    <row r="82" spans="1:11" x14ac:dyDescent="0.25">
      <c r="A82" s="37" t="s">
        <v>2989</v>
      </c>
      <c r="B82" s="40" t="str">
        <f>INDEX(Legacy_Index!$D:$D,MATCH(A82,Legacy_Index!$A:$A,0))</f>
        <v>LMR195-LMR200</v>
      </c>
      <c r="C82" s="37" t="s">
        <v>3120</v>
      </c>
      <c r="D82" s="37">
        <v>1200</v>
      </c>
      <c r="E82" s="37">
        <v>1300</v>
      </c>
      <c r="F82" s="37">
        <v>12</v>
      </c>
      <c r="G82" s="40" t="str">
        <f>IF(INDEX(Legacy_Index!$G:$G,MATCH(A82,Legacy_Index!$A:$A,0))="","",INDEX(Legacy_Index!$G:$G,MATCH(A82,Legacy_Index!$A:$A,0)))</f>
        <v>TMS-LMR195</v>
      </c>
      <c r="H82" s="43">
        <f>IF(G82="","",EXP(FORECAST(LN(D82),INDEX(Attenuation!$K:$K,(INDEX(Cables!$AO:$AO,MATCH(G82,Cables!$A:$A,0))-1+MIN(MAX(IFERROR(MATCH(LN(D82),INDEX(Attenuation!$J:$J,INDEX(Cables!$AO:$AO,MATCH(G82,Cables!$A:$A,0))):INDEX(Attenuation!$J:$J,INDEX(Cables!$AO:$AO,MATCH(G82,Cables!$A:$A,0))+INDEX(Cables!$AP:$AP,MATCH(G82,Cables!$A:$A,0))-1),1),1),1),INDEX(Cables!$AP:$AP,MATCH(G82,Cables!$A:$A,0))-1))):INDEX(Attenuation!$K:$K,(INDEX(Cables!$AO:$AO,MATCH(G82,Cables!$A:$A,0))-1+MIN(MAX(IFERROR(MATCH(LN(D82),INDEX(Attenuation!$J:$J,INDEX(Cables!$AO:$AO,MATCH(G82,Cables!$A:$A,0))):INDEX(Attenuation!$J:$J,INDEX(Cables!$AO:$AO,MATCH(G82,Cables!$A:$A,0))+INDEX(Cables!$AP:$AP,MATCH(G82,Cables!$A:$A,0))-1),1),1),1),INDEX(Cables!$AP:$AP,MATCH(G82,Cables!$A:$A,0))-1))+1),INDEX(Attenuation!$J:$J,(INDEX(Cables!$AO:$AO,MATCH(G82,Cables!$A:$A,0))-1+MIN(MAX(IFERROR(MATCH(LN(D82),INDEX(Attenuation!$J:$J,INDEX(Cables!$AO:$AO,MATCH(G82,Cables!$A:$A,0))):INDEX(Attenuation!$J:$J,INDEX(Cables!$AO:$AO,MATCH(G82,Cables!$A:$A,0))+INDEX(Cables!$AP:$AP,MATCH(G82,Cables!$A:$A,0))-1),1),1),1),INDEX(Cables!$AP:$AP,MATCH(G82,Cables!$A:$A,0))-1))):INDEX(Attenuation!$J:$J,(INDEX(Cables!$AO:$AO,MATCH(G82,Cables!$A:$A,0))-1+MIN(MAX(IFERROR(MATCH(LN(D82),INDEX(Attenuation!$J:$J,INDEX(Cables!$AO:$AO,MATCH(G82,Cables!$A:$A,0))):INDEX(Attenuation!$J:$J,INDEX(Cables!$AO:$AO,MATCH(G82,Cables!$A:$A,0))+INDEX(Cables!$AP:$AP,MATCH(G82,Cables!$A:$A,0))-1),1),1),1),INDEX(Cables!$AP:$AP,MATCH(G82,Cables!$A:$A,0))-1))+1)))*0.3048)</f>
        <v>12.902567710567954</v>
      </c>
      <c r="I82" s="43">
        <f>IF(G82="","",EXP(FORECAST(LN(E82),INDEX(Attenuation!$K:$K,(INDEX(Cables!$AO:$AO,MATCH(G82,Cables!$A:$A,0))-1+MIN(MAX(IFERROR(MATCH(LN(E82),INDEX(Attenuation!$J:$J,INDEX(Cables!$AO:$AO,MATCH(G82,Cables!$A:$A,0))):INDEX(Attenuation!$J:$J,INDEX(Cables!$AO:$AO,MATCH(G82,Cables!$A:$A,0))+INDEX(Cables!$AP:$AP,MATCH(G82,Cables!$A:$A,0))-1),1),1),1),INDEX(Cables!$AP:$AP,MATCH(G82,Cables!$A:$A,0))-1))):INDEX(Attenuation!$K:$K,(INDEX(Cables!$AO:$AO,MATCH(G82,Cables!$A:$A,0))-1+MIN(MAX(IFERROR(MATCH(LN(E82),INDEX(Attenuation!$J:$J,INDEX(Cables!$AO:$AO,MATCH(G82,Cables!$A:$A,0))):INDEX(Attenuation!$J:$J,INDEX(Cables!$AO:$AO,MATCH(G82,Cables!$A:$A,0))+INDEX(Cables!$AP:$AP,MATCH(G82,Cables!$A:$A,0))-1),1),1),1),INDEX(Cables!$AP:$AP,MATCH(G82,Cables!$A:$A,0))-1))+1),INDEX(Attenuation!$J:$J,(INDEX(Cables!$AO:$AO,MATCH(G82,Cables!$A:$A,0))-1+MIN(MAX(IFERROR(MATCH(LN(E82),INDEX(Attenuation!$J:$J,INDEX(Cables!$AO:$AO,MATCH(G82,Cables!$A:$A,0))):INDEX(Attenuation!$J:$J,INDEX(Cables!$AO:$AO,MATCH(G82,Cables!$A:$A,0))+INDEX(Cables!$AP:$AP,MATCH(G82,Cables!$A:$A,0))-1),1),1),1),INDEX(Cables!$AP:$AP,MATCH(G82,Cables!$A:$A,0))-1))):INDEX(Attenuation!$J:$J,(INDEX(Cables!$AO:$AO,MATCH(G82,Cables!$A:$A,0))-1+MIN(MAX(IFERROR(MATCH(LN(E82),INDEX(Attenuation!$J:$J,INDEX(Cables!$AO:$AO,MATCH(G82,Cables!$A:$A,0))):INDEX(Attenuation!$J:$J,INDEX(Cables!$AO:$AO,MATCH(G82,Cables!$A:$A,0))+INDEX(Cables!$AP:$AP,MATCH(G82,Cables!$A:$A,0))-1),1),1),1),INDEX(Cables!$AP:$AP,MATCH(G82,Cables!$A:$A,0))-1))+1)))*0.3048)</f>
        <v>13.454252342096835</v>
      </c>
      <c r="J82" s="44">
        <f t="shared" si="1"/>
        <v>-6.995256531990135E-2</v>
      </c>
      <c r="K82" s="40" t="str">
        <f>IF(G82="","Doğrulanmadı",IF(ABS(J82)&lt;=0.1,"Uyumlu (±%10)",IF(ABS(J82)&lt;=0.25,"Fark %10-25","Fark &gt;%25"))&amp;IF(OR(D82&lt;INDEX(Cables!$AQ:$AQ,MATCH(G82,Cables!$A:$A,0)),E82&gt;INDEX(Cables!$AR:$AR,MATCH(G82,Cables!$A:$A,0)))," · ekstrapolasyon",""))</f>
        <v>Uyumlu (±%10)</v>
      </c>
    </row>
    <row r="83" spans="1:11" x14ac:dyDescent="0.25">
      <c r="A83" s="37" t="s">
        <v>2992</v>
      </c>
      <c r="B83" s="40" t="str">
        <f>INDEX(Legacy_Index!$D:$D,MATCH(A83,Legacy_Index!$A:$A,0))</f>
        <v>Belden H155</v>
      </c>
      <c r="C83" s="37" t="s">
        <v>3117</v>
      </c>
      <c r="D83" s="37">
        <v>1</v>
      </c>
      <c r="E83" s="37">
        <v>10</v>
      </c>
      <c r="F83" s="37">
        <v>0.92</v>
      </c>
      <c r="G83" s="40" t="str">
        <f>IF(INDEX(Legacy_Index!$G:$G,MATCH(A83,Legacy_Index!$A:$A,0))="","",INDEX(Legacy_Index!$G:$G,MATCH(A83,Legacy_Index!$A:$A,0)))</f>
        <v>BEL-H155A01</v>
      </c>
      <c r="H83" s="43">
        <f>IF(G83="","",EXP(FORECAST(LN(D83),INDEX(Attenuation!$K:$K,(INDEX(Cables!$AO:$AO,MATCH(G83,Cables!$A:$A,0))-1+MIN(MAX(IFERROR(MATCH(LN(D83),INDEX(Attenuation!$J:$J,INDEX(Cables!$AO:$AO,MATCH(G83,Cables!$A:$A,0))):INDEX(Attenuation!$J:$J,INDEX(Cables!$AO:$AO,MATCH(G83,Cables!$A:$A,0))+INDEX(Cables!$AP:$AP,MATCH(G83,Cables!$A:$A,0))-1),1),1),1),INDEX(Cables!$AP:$AP,MATCH(G83,Cables!$A:$A,0))-1))):INDEX(Attenuation!$K:$K,(INDEX(Cables!$AO:$AO,MATCH(G83,Cables!$A:$A,0))-1+MIN(MAX(IFERROR(MATCH(LN(D83),INDEX(Attenuation!$J:$J,INDEX(Cables!$AO:$AO,MATCH(G83,Cables!$A:$A,0))):INDEX(Attenuation!$J:$J,INDEX(Cables!$AO:$AO,MATCH(G83,Cables!$A:$A,0))+INDEX(Cables!$AP:$AP,MATCH(G83,Cables!$A:$A,0))-1),1),1),1),INDEX(Cables!$AP:$AP,MATCH(G83,Cables!$A:$A,0))-1))+1),INDEX(Attenuation!$J:$J,(INDEX(Cables!$AO:$AO,MATCH(G83,Cables!$A:$A,0))-1+MIN(MAX(IFERROR(MATCH(LN(D83),INDEX(Attenuation!$J:$J,INDEX(Cables!$AO:$AO,MATCH(G83,Cables!$A:$A,0))):INDEX(Attenuation!$J:$J,INDEX(Cables!$AO:$AO,MATCH(G83,Cables!$A:$A,0))+INDEX(Cables!$AP:$AP,MATCH(G83,Cables!$A:$A,0))-1),1),1),1),INDEX(Cables!$AP:$AP,MATCH(G83,Cables!$A:$A,0))-1))):INDEX(Attenuation!$J:$J,(INDEX(Cables!$AO:$AO,MATCH(G83,Cables!$A:$A,0))-1+MIN(MAX(IFERROR(MATCH(LN(D83),INDEX(Attenuation!$J:$J,INDEX(Cables!$AO:$AO,MATCH(G83,Cables!$A:$A,0))):INDEX(Attenuation!$J:$J,INDEX(Cables!$AO:$AO,MATCH(G83,Cables!$A:$A,0))+INDEX(Cables!$AP:$AP,MATCH(G83,Cables!$A:$A,0))-1),1),1),1),INDEX(Cables!$AP:$AP,MATCH(G83,Cables!$A:$A,0))-1))+1)))*0.3048)</f>
        <v>0.37477684283916185</v>
      </c>
      <c r="I83" s="43">
        <f>IF(G83="","",EXP(FORECAST(LN(E83),INDEX(Attenuation!$K:$K,(INDEX(Cables!$AO:$AO,MATCH(G83,Cables!$A:$A,0))-1+MIN(MAX(IFERROR(MATCH(LN(E83),INDEX(Attenuation!$J:$J,INDEX(Cables!$AO:$AO,MATCH(G83,Cables!$A:$A,0))):INDEX(Attenuation!$J:$J,INDEX(Cables!$AO:$AO,MATCH(G83,Cables!$A:$A,0))+INDEX(Cables!$AP:$AP,MATCH(G83,Cables!$A:$A,0))-1),1),1),1),INDEX(Cables!$AP:$AP,MATCH(G83,Cables!$A:$A,0))-1))):INDEX(Attenuation!$K:$K,(INDEX(Cables!$AO:$AO,MATCH(G83,Cables!$A:$A,0))-1+MIN(MAX(IFERROR(MATCH(LN(E83),INDEX(Attenuation!$J:$J,INDEX(Cables!$AO:$AO,MATCH(G83,Cables!$A:$A,0))):INDEX(Attenuation!$J:$J,INDEX(Cables!$AO:$AO,MATCH(G83,Cables!$A:$A,0))+INDEX(Cables!$AP:$AP,MATCH(G83,Cables!$A:$A,0))-1),1),1),1),INDEX(Cables!$AP:$AP,MATCH(G83,Cables!$A:$A,0))-1))+1),INDEX(Attenuation!$J:$J,(INDEX(Cables!$AO:$AO,MATCH(G83,Cables!$A:$A,0))-1+MIN(MAX(IFERROR(MATCH(LN(E83),INDEX(Attenuation!$J:$J,INDEX(Cables!$AO:$AO,MATCH(G83,Cables!$A:$A,0))):INDEX(Attenuation!$J:$J,INDEX(Cables!$AO:$AO,MATCH(G83,Cables!$A:$A,0))+INDEX(Cables!$AP:$AP,MATCH(G83,Cables!$A:$A,0))-1),1),1),1),INDEX(Cables!$AP:$AP,MATCH(G83,Cables!$A:$A,0))-1))):INDEX(Attenuation!$J:$J,(INDEX(Cables!$AO:$AO,MATCH(G83,Cables!$A:$A,0))-1+MIN(MAX(IFERROR(MATCH(LN(E83),INDEX(Attenuation!$J:$J,INDEX(Cables!$AO:$AO,MATCH(G83,Cables!$A:$A,0))):INDEX(Attenuation!$J:$J,INDEX(Cables!$AO:$AO,MATCH(G83,Cables!$A:$A,0))+INDEX(Cables!$AP:$AP,MATCH(G83,Cables!$A:$A,0))-1),1),1),1),INDEX(Cables!$AP:$AP,MATCH(G83,Cables!$A:$A,0))-1))+1)))*0.3048)</f>
        <v>1.0343840862360871</v>
      </c>
      <c r="J83" s="44">
        <f t="shared" si="1"/>
        <v>0</v>
      </c>
      <c r="K83" s="40" t="str">
        <f>IF(G83="","Doğrulanmadı",IF(ABS(J83)&lt;=0.1,"Uyumlu (±%10)",IF(ABS(J83)&lt;=0.25,"Fark %10-25","Fark &gt;%25"))&amp;IF(OR(D83&lt;INDEX(Cables!$AQ:$AQ,MATCH(G83,Cables!$A:$A,0)),E83&gt;INDEX(Cables!$AR:$AR,MATCH(G83,Cables!$A:$A,0)))," · ekstrapolasyon",""))</f>
        <v>Uyumlu (±%10) · ekstrapolasyon</v>
      </c>
    </row>
    <row r="84" spans="1:11" x14ac:dyDescent="0.25">
      <c r="A84" s="37" t="s">
        <v>2992</v>
      </c>
      <c r="B84" s="40" t="str">
        <f>INDEX(Legacy_Index!$D:$D,MATCH(A84,Legacy_Index!$A:$A,0))</f>
        <v>Belden H155</v>
      </c>
      <c r="C84" s="37" t="s">
        <v>3118</v>
      </c>
      <c r="D84" s="37">
        <v>30</v>
      </c>
      <c r="E84" s="37">
        <v>50</v>
      </c>
      <c r="F84" s="37">
        <v>1.98</v>
      </c>
      <c r="G84" s="40" t="str">
        <f>IF(INDEX(Legacy_Index!$G:$G,MATCH(A84,Legacy_Index!$A:$A,0))="","",INDEX(Legacy_Index!$G:$G,MATCH(A84,Legacy_Index!$A:$A,0)))</f>
        <v>BEL-H155A01</v>
      </c>
      <c r="H84" s="43">
        <f>IF(G84="","",EXP(FORECAST(LN(D84),INDEX(Attenuation!$K:$K,(INDEX(Cables!$AO:$AO,MATCH(G84,Cables!$A:$A,0))-1+MIN(MAX(IFERROR(MATCH(LN(D84),INDEX(Attenuation!$J:$J,INDEX(Cables!$AO:$AO,MATCH(G84,Cables!$A:$A,0))):INDEX(Attenuation!$J:$J,INDEX(Cables!$AO:$AO,MATCH(G84,Cables!$A:$A,0))+INDEX(Cables!$AP:$AP,MATCH(G84,Cables!$A:$A,0))-1),1),1),1),INDEX(Cables!$AP:$AP,MATCH(G84,Cables!$A:$A,0))-1))):INDEX(Attenuation!$K:$K,(INDEX(Cables!$AO:$AO,MATCH(G84,Cables!$A:$A,0))-1+MIN(MAX(IFERROR(MATCH(LN(D84),INDEX(Attenuation!$J:$J,INDEX(Cables!$AO:$AO,MATCH(G84,Cables!$A:$A,0))):INDEX(Attenuation!$J:$J,INDEX(Cables!$AO:$AO,MATCH(G84,Cables!$A:$A,0))+INDEX(Cables!$AP:$AP,MATCH(G84,Cables!$A:$A,0))-1),1),1),1),INDEX(Cables!$AP:$AP,MATCH(G84,Cables!$A:$A,0))-1))+1),INDEX(Attenuation!$J:$J,(INDEX(Cables!$AO:$AO,MATCH(G84,Cables!$A:$A,0))-1+MIN(MAX(IFERROR(MATCH(LN(D84),INDEX(Attenuation!$J:$J,INDEX(Cables!$AO:$AO,MATCH(G84,Cables!$A:$A,0))):INDEX(Attenuation!$J:$J,INDEX(Cables!$AO:$AO,MATCH(G84,Cables!$A:$A,0))+INDEX(Cables!$AP:$AP,MATCH(G84,Cables!$A:$A,0))-1),1),1),1),INDEX(Cables!$AP:$AP,MATCH(G84,Cables!$A:$A,0))-1))):INDEX(Attenuation!$J:$J,(INDEX(Cables!$AO:$AO,MATCH(G84,Cables!$A:$A,0))-1+MIN(MAX(IFERROR(MATCH(LN(D84),INDEX(Attenuation!$J:$J,INDEX(Cables!$AO:$AO,MATCH(G84,Cables!$A:$A,0))):INDEX(Attenuation!$J:$J,INDEX(Cables!$AO:$AO,MATCH(G84,Cables!$A:$A,0))+INDEX(Cables!$AP:$AP,MATCH(G84,Cables!$A:$A,0))-1),1),1),1),INDEX(Cables!$AP:$AP,MATCH(G84,Cables!$A:$A,0))-1))+1)))*0.3048)</f>
        <v>1.6789931521589199</v>
      </c>
      <c r="I84" s="43">
        <f>IF(G84="","",EXP(FORECAST(LN(E84),INDEX(Attenuation!$K:$K,(INDEX(Cables!$AO:$AO,MATCH(G84,Cables!$A:$A,0))-1+MIN(MAX(IFERROR(MATCH(LN(E84),INDEX(Attenuation!$J:$J,INDEX(Cables!$AO:$AO,MATCH(G84,Cables!$A:$A,0))):INDEX(Attenuation!$J:$J,INDEX(Cables!$AO:$AO,MATCH(G84,Cables!$A:$A,0))+INDEX(Cables!$AP:$AP,MATCH(G84,Cables!$A:$A,0))-1),1),1),1),INDEX(Cables!$AP:$AP,MATCH(G84,Cables!$A:$A,0))-1))):INDEX(Attenuation!$K:$K,(INDEX(Cables!$AO:$AO,MATCH(G84,Cables!$A:$A,0))-1+MIN(MAX(IFERROR(MATCH(LN(E84),INDEX(Attenuation!$J:$J,INDEX(Cables!$AO:$AO,MATCH(G84,Cables!$A:$A,0))):INDEX(Attenuation!$J:$J,INDEX(Cables!$AO:$AO,MATCH(G84,Cables!$A:$A,0))+INDEX(Cables!$AP:$AP,MATCH(G84,Cables!$A:$A,0))-1),1),1),1),INDEX(Cables!$AP:$AP,MATCH(G84,Cables!$A:$A,0))-1))+1),INDEX(Attenuation!$J:$J,(INDEX(Cables!$AO:$AO,MATCH(G84,Cables!$A:$A,0))-1+MIN(MAX(IFERROR(MATCH(LN(E84),INDEX(Attenuation!$J:$J,INDEX(Cables!$AO:$AO,MATCH(G84,Cables!$A:$A,0))):INDEX(Attenuation!$J:$J,INDEX(Cables!$AO:$AO,MATCH(G84,Cables!$A:$A,0))+INDEX(Cables!$AP:$AP,MATCH(G84,Cables!$A:$A,0))-1),1),1),1),INDEX(Cables!$AP:$AP,MATCH(G84,Cables!$A:$A,0))-1))):INDEX(Attenuation!$J:$J,(INDEX(Cables!$AO:$AO,MATCH(G84,Cables!$A:$A,0))-1+MIN(MAX(IFERROR(MATCH(LN(E84),INDEX(Attenuation!$J:$J,INDEX(Cables!$AO:$AO,MATCH(G84,Cables!$A:$A,0))):INDEX(Attenuation!$J:$J,INDEX(Cables!$AO:$AO,MATCH(G84,Cables!$A:$A,0))+INDEX(Cables!$AP:$AP,MATCH(G84,Cables!$A:$A,0))-1),1),1),1),INDEX(Cables!$AP:$AP,MATCH(G84,Cables!$A:$A,0))-1))+1)))*0.3048)</f>
        <v>2.1031200000000001</v>
      </c>
      <c r="J84" s="44">
        <f t="shared" si="1"/>
        <v>0</v>
      </c>
      <c r="K84" s="40" t="str">
        <f>IF(G84="","Doğrulanmadı",IF(ABS(J84)&lt;=0.1,"Uyumlu (±%10)",IF(ABS(J84)&lt;=0.25,"Fark %10-25","Fark &gt;%25"))&amp;IF(OR(D84&lt;INDEX(Cables!$AQ:$AQ,MATCH(G84,Cables!$A:$A,0)),E84&gt;INDEX(Cables!$AR:$AR,MATCH(G84,Cables!$A:$A,0)))," · ekstrapolasyon",""))</f>
        <v>Uyumlu (±%10)</v>
      </c>
    </row>
    <row r="85" spans="1:11" x14ac:dyDescent="0.25">
      <c r="A85" s="37" t="s">
        <v>2992</v>
      </c>
      <c r="B85" s="40" t="str">
        <f>INDEX(Legacy_Index!$D:$D,MATCH(A85,Legacy_Index!$A:$A,0))</f>
        <v>Belden H155</v>
      </c>
      <c r="C85" s="37" t="s">
        <v>3113</v>
      </c>
      <c r="D85" s="37">
        <v>70</v>
      </c>
      <c r="E85" s="37">
        <v>100</v>
      </c>
      <c r="F85" s="37">
        <v>2.75</v>
      </c>
      <c r="G85" s="40" t="str">
        <f>IF(INDEX(Legacy_Index!$G:$G,MATCH(A85,Legacy_Index!$A:$A,0))="","",INDEX(Legacy_Index!$G:$G,MATCH(A85,Legacy_Index!$A:$A,0)))</f>
        <v>BEL-H155A01</v>
      </c>
      <c r="H85" s="43">
        <f>IF(G85="","",EXP(FORECAST(LN(D85),INDEX(Attenuation!$K:$K,(INDEX(Cables!$AO:$AO,MATCH(G85,Cables!$A:$A,0))-1+MIN(MAX(IFERROR(MATCH(LN(D85),INDEX(Attenuation!$J:$J,INDEX(Cables!$AO:$AO,MATCH(G85,Cables!$A:$A,0))):INDEX(Attenuation!$J:$J,INDEX(Cables!$AO:$AO,MATCH(G85,Cables!$A:$A,0))+INDEX(Cables!$AP:$AP,MATCH(G85,Cables!$A:$A,0))-1),1),1),1),INDEX(Cables!$AP:$AP,MATCH(G85,Cables!$A:$A,0))-1))):INDEX(Attenuation!$K:$K,(INDEX(Cables!$AO:$AO,MATCH(G85,Cables!$A:$A,0))-1+MIN(MAX(IFERROR(MATCH(LN(D85),INDEX(Attenuation!$J:$J,INDEX(Cables!$AO:$AO,MATCH(G85,Cables!$A:$A,0))):INDEX(Attenuation!$J:$J,INDEX(Cables!$AO:$AO,MATCH(G85,Cables!$A:$A,0))+INDEX(Cables!$AP:$AP,MATCH(G85,Cables!$A:$A,0))-1),1),1),1),INDEX(Cables!$AP:$AP,MATCH(G85,Cables!$A:$A,0))-1))+1),INDEX(Attenuation!$J:$J,(INDEX(Cables!$AO:$AO,MATCH(G85,Cables!$A:$A,0))-1+MIN(MAX(IFERROR(MATCH(LN(D85),INDEX(Attenuation!$J:$J,INDEX(Cables!$AO:$AO,MATCH(G85,Cables!$A:$A,0))):INDEX(Attenuation!$J:$J,INDEX(Cables!$AO:$AO,MATCH(G85,Cables!$A:$A,0))+INDEX(Cables!$AP:$AP,MATCH(G85,Cables!$A:$A,0))-1),1),1),1),INDEX(Cables!$AP:$AP,MATCH(G85,Cables!$A:$A,0))-1))):INDEX(Attenuation!$J:$J,(INDEX(Cables!$AO:$AO,MATCH(G85,Cables!$A:$A,0))-1+MIN(MAX(IFERROR(MATCH(LN(D85),INDEX(Attenuation!$J:$J,INDEX(Cables!$AO:$AO,MATCH(G85,Cables!$A:$A,0))):INDEX(Attenuation!$J:$J,INDEX(Cables!$AO:$AO,MATCH(G85,Cables!$A:$A,0))+INDEX(Cables!$AP:$AP,MATCH(G85,Cables!$A:$A,0))-1),1),1),1),INDEX(Cables!$AP:$AP,MATCH(G85,Cables!$A:$A,0))-1))+1)))*0.3048)</f>
        <v>2.405518055529126</v>
      </c>
      <c r="I85" s="43">
        <f>IF(G85="","",EXP(FORECAST(LN(E85),INDEX(Attenuation!$K:$K,(INDEX(Cables!$AO:$AO,MATCH(G85,Cables!$A:$A,0))-1+MIN(MAX(IFERROR(MATCH(LN(E85),INDEX(Attenuation!$J:$J,INDEX(Cables!$AO:$AO,MATCH(G85,Cables!$A:$A,0))):INDEX(Attenuation!$J:$J,INDEX(Cables!$AO:$AO,MATCH(G85,Cables!$A:$A,0))+INDEX(Cables!$AP:$AP,MATCH(G85,Cables!$A:$A,0))-1),1),1),1),INDEX(Cables!$AP:$AP,MATCH(G85,Cables!$A:$A,0))-1))):INDEX(Attenuation!$K:$K,(INDEX(Cables!$AO:$AO,MATCH(G85,Cables!$A:$A,0))-1+MIN(MAX(IFERROR(MATCH(LN(E85),INDEX(Attenuation!$J:$J,INDEX(Cables!$AO:$AO,MATCH(G85,Cables!$A:$A,0))):INDEX(Attenuation!$J:$J,INDEX(Cables!$AO:$AO,MATCH(G85,Cables!$A:$A,0))+INDEX(Cables!$AP:$AP,MATCH(G85,Cables!$A:$A,0))-1),1),1),1),INDEX(Cables!$AP:$AP,MATCH(G85,Cables!$A:$A,0))-1))+1),INDEX(Attenuation!$J:$J,(INDEX(Cables!$AO:$AO,MATCH(G85,Cables!$A:$A,0))-1+MIN(MAX(IFERROR(MATCH(LN(E85),INDEX(Attenuation!$J:$J,INDEX(Cables!$AO:$AO,MATCH(G85,Cables!$A:$A,0))):INDEX(Attenuation!$J:$J,INDEX(Cables!$AO:$AO,MATCH(G85,Cables!$A:$A,0))+INDEX(Cables!$AP:$AP,MATCH(G85,Cables!$A:$A,0))-1),1),1),1),INDEX(Cables!$AP:$AP,MATCH(G85,Cables!$A:$A,0))-1))):INDEX(Attenuation!$J:$J,(INDEX(Cables!$AO:$AO,MATCH(G85,Cables!$A:$A,0))-1+MIN(MAX(IFERROR(MATCH(LN(E85),INDEX(Attenuation!$J:$J,INDEX(Cables!$AO:$AO,MATCH(G85,Cables!$A:$A,0))):INDEX(Attenuation!$J:$J,INDEX(Cables!$AO:$AO,MATCH(G85,Cables!$A:$A,0))+INDEX(Cables!$AP:$AP,MATCH(G85,Cables!$A:$A,0))-1),1),1),1),INDEX(Cables!$AP:$AP,MATCH(G85,Cables!$A:$A,0))-1))+1)))*0.3048)</f>
        <v>2.773680000000001</v>
      </c>
      <c r="J85" s="44">
        <f t="shared" si="1"/>
        <v>0</v>
      </c>
      <c r="K85" s="40" t="str">
        <f>IF(G85="","Doğrulanmadı",IF(ABS(J85)&lt;=0.1,"Uyumlu (±%10)",IF(ABS(J85)&lt;=0.25,"Fark %10-25","Fark &gt;%25"))&amp;IF(OR(D85&lt;INDEX(Cables!$AQ:$AQ,MATCH(G85,Cables!$A:$A,0)),E85&gt;INDEX(Cables!$AR:$AR,MATCH(G85,Cables!$A:$A,0)))," · ekstrapolasyon",""))</f>
        <v>Uyumlu (±%10)</v>
      </c>
    </row>
    <row r="86" spans="1:11" x14ac:dyDescent="0.25">
      <c r="A86" s="37" t="s">
        <v>2992</v>
      </c>
      <c r="B86" s="40" t="str">
        <f>INDEX(Legacy_Index!$D:$D,MATCH(A86,Legacy_Index!$A:$A,0))</f>
        <v>Belden H155</v>
      </c>
      <c r="C86" s="37" t="s">
        <v>3114</v>
      </c>
      <c r="D86" s="37">
        <v>148</v>
      </c>
      <c r="E86" s="37">
        <v>174</v>
      </c>
      <c r="F86" s="37">
        <v>3.45</v>
      </c>
      <c r="G86" s="40" t="str">
        <f>IF(INDEX(Legacy_Index!$G:$G,MATCH(A86,Legacy_Index!$A:$A,0))="","",INDEX(Legacy_Index!$G:$G,MATCH(A86,Legacy_Index!$A:$A,0)))</f>
        <v>BEL-H155A01</v>
      </c>
      <c r="H86" s="43">
        <f>IF(G86="","",EXP(FORECAST(LN(D86),INDEX(Attenuation!$K:$K,(INDEX(Cables!$AO:$AO,MATCH(G86,Cables!$A:$A,0))-1+MIN(MAX(IFERROR(MATCH(LN(D86),INDEX(Attenuation!$J:$J,INDEX(Cables!$AO:$AO,MATCH(G86,Cables!$A:$A,0))):INDEX(Attenuation!$J:$J,INDEX(Cables!$AO:$AO,MATCH(G86,Cables!$A:$A,0))+INDEX(Cables!$AP:$AP,MATCH(G86,Cables!$A:$A,0))-1),1),1),1),INDEX(Cables!$AP:$AP,MATCH(G86,Cables!$A:$A,0))-1))):INDEX(Attenuation!$K:$K,(INDEX(Cables!$AO:$AO,MATCH(G86,Cables!$A:$A,0))-1+MIN(MAX(IFERROR(MATCH(LN(D86),INDEX(Attenuation!$J:$J,INDEX(Cables!$AO:$AO,MATCH(G86,Cables!$A:$A,0))):INDEX(Attenuation!$J:$J,INDEX(Cables!$AO:$AO,MATCH(G86,Cables!$A:$A,0))+INDEX(Cables!$AP:$AP,MATCH(G86,Cables!$A:$A,0))-1),1),1),1),INDEX(Cables!$AP:$AP,MATCH(G86,Cables!$A:$A,0))-1))+1),INDEX(Attenuation!$J:$J,(INDEX(Cables!$AO:$AO,MATCH(G86,Cables!$A:$A,0))-1+MIN(MAX(IFERROR(MATCH(LN(D86),INDEX(Attenuation!$J:$J,INDEX(Cables!$AO:$AO,MATCH(G86,Cables!$A:$A,0))):INDEX(Attenuation!$J:$J,INDEX(Cables!$AO:$AO,MATCH(G86,Cables!$A:$A,0))+INDEX(Cables!$AP:$AP,MATCH(G86,Cables!$A:$A,0))-1),1),1),1),INDEX(Cables!$AP:$AP,MATCH(G86,Cables!$A:$A,0))-1))):INDEX(Attenuation!$J:$J,(INDEX(Cables!$AO:$AO,MATCH(G86,Cables!$A:$A,0))-1+MIN(MAX(IFERROR(MATCH(LN(D86),INDEX(Attenuation!$J:$J,INDEX(Cables!$AO:$AO,MATCH(G86,Cables!$A:$A,0))):INDEX(Attenuation!$J:$J,INDEX(Cables!$AO:$AO,MATCH(G86,Cables!$A:$A,0))+INDEX(Cables!$AP:$AP,MATCH(G86,Cables!$A:$A,0))-1),1),1),1),INDEX(Cables!$AP:$AP,MATCH(G86,Cables!$A:$A,0))-1))+1)))*0.3048)</f>
        <v>3.3278377066527538</v>
      </c>
      <c r="I86" s="43">
        <f>IF(G86="","",EXP(FORECAST(LN(E86),INDEX(Attenuation!$K:$K,(INDEX(Cables!$AO:$AO,MATCH(G86,Cables!$A:$A,0))-1+MIN(MAX(IFERROR(MATCH(LN(E86),INDEX(Attenuation!$J:$J,INDEX(Cables!$AO:$AO,MATCH(G86,Cables!$A:$A,0))):INDEX(Attenuation!$J:$J,INDEX(Cables!$AO:$AO,MATCH(G86,Cables!$A:$A,0))+INDEX(Cables!$AP:$AP,MATCH(G86,Cables!$A:$A,0))-1),1),1),1),INDEX(Cables!$AP:$AP,MATCH(G86,Cables!$A:$A,0))-1))):INDEX(Attenuation!$K:$K,(INDEX(Cables!$AO:$AO,MATCH(G86,Cables!$A:$A,0))-1+MIN(MAX(IFERROR(MATCH(LN(E86),INDEX(Attenuation!$J:$J,INDEX(Cables!$AO:$AO,MATCH(G86,Cables!$A:$A,0))):INDEX(Attenuation!$J:$J,INDEX(Cables!$AO:$AO,MATCH(G86,Cables!$A:$A,0))+INDEX(Cables!$AP:$AP,MATCH(G86,Cables!$A:$A,0))-1),1),1),1),INDEX(Cables!$AP:$AP,MATCH(G86,Cables!$A:$A,0))-1))+1),INDEX(Attenuation!$J:$J,(INDEX(Cables!$AO:$AO,MATCH(G86,Cables!$A:$A,0))-1+MIN(MAX(IFERROR(MATCH(LN(E86),INDEX(Attenuation!$J:$J,INDEX(Cables!$AO:$AO,MATCH(G86,Cables!$A:$A,0))):INDEX(Attenuation!$J:$J,INDEX(Cables!$AO:$AO,MATCH(G86,Cables!$A:$A,0))+INDEX(Cables!$AP:$AP,MATCH(G86,Cables!$A:$A,0))-1),1),1),1),INDEX(Cables!$AP:$AP,MATCH(G86,Cables!$A:$A,0))-1))):INDEX(Attenuation!$J:$J,(INDEX(Cables!$AO:$AO,MATCH(G86,Cables!$A:$A,0))-1+MIN(MAX(IFERROR(MATCH(LN(E86),INDEX(Attenuation!$J:$J,INDEX(Cables!$AO:$AO,MATCH(G86,Cables!$A:$A,0))):INDEX(Attenuation!$J:$J,INDEX(Cables!$AO:$AO,MATCH(G86,Cables!$A:$A,0))+INDEX(Cables!$AP:$AP,MATCH(G86,Cables!$A:$A,0))-1),1),1),1),INDEX(Cables!$AP:$AP,MATCH(G86,Cables!$A:$A,0))-1))+1)))*0.3048)</f>
        <v>3.5877207323923077</v>
      </c>
      <c r="J86" s="44">
        <f t="shared" si="1"/>
        <v>0</v>
      </c>
      <c r="K86" s="40" t="str">
        <f>IF(G86="","Doğrulanmadı",IF(ABS(J86)&lt;=0.1,"Uyumlu (±%10)",IF(ABS(J86)&lt;=0.25,"Fark %10-25","Fark &gt;%25"))&amp;IF(OR(D86&lt;INDEX(Cables!$AQ:$AQ,MATCH(G86,Cables!$A:$A,0)),E86&gt;INDEX(Cables!$AR:$AR,MATCH(G86,Cables!$A:$A,0)))," · ekstrapolasyon",""))</f>
        <v>Uyumlu (±%10)</v>
      </c>
    </row>
    <row r="87" spans="1:11" x14ac:dyDescent="0.25">
      <c r="A87" s="37" t="s">
        <v>2992</v>
      </c>
      <c r="B87" s="40" t="str">
        <f>INDEX(Legacy_Index!$D:$D,MATCH(A87,Legacy_Index!$A:$A,0))</f>
        <v>Belden H155</v>
      </c>
      <c r="C87" s="37" t="s">
        <v>3119</v>
      </c>
      <c r="D87" s="37">
        <v>220</v>
      </c>
      <c r="E87" s="37">
        <v>220</v>
      </c>
      <c r="F87" s="37">
        <v>4.32</v>
      </c>
      <c r="G87" s="40" t="str">
        <f>IF(INDEX(Legacy_Index!$G:$G,MATCH(A87,Legacy_Index!$A:$A,0))="","",INDEX(Legacy_Index!$G:$G,MATCH(A87,Legacy_Index!$A:$A,0)))</f>
        <v>BEL-H155A01</v>
      </c>
      <c r="H87" s="43">
        <f>IF(G87="","",EXP(FORECAST(LN(D87),INDEX(Attenuation!$K:$K,(INDEX(Cables!$AO:$AO,MATCH(G87,Cables!$A:$A,0))-1+MIN(MAX(IFERROR(MATCH(LN(D87),INDEX(Attenuation!$J:$J,INDEX(Cables!$AO:$AO,MATCH(G87,Cables!$A:$A,0))):INDEX(Attenuation!$J:$J,INDEX(Cables!$AO:$AO,MATCH(G87,Cables!$A:$A,0))+INDEX(Cables!$AP:$AP,MATCH(G87,Cables!$A:$A,0))-1),1),1),1),INDEX(Cables!$AP:$AP,MATCH(G87,Cables!$A:$A,0))-1))):INDEX(Attenuation!$K:$K,(INDEX(Cables!$AO:$AO,MATCH(G87,Cables!$A:$A,0))-1+MIN(MAX(IFERROR(MATCH(LN(D87),INDEX(Attenuation!$J:$J,INDEX(Cables!$AO:$AO,MATCH(G87,Cables!$A:$A,0))):INDEX(Attenuation!$J:$J,INDEX(Cables!$AO:$AO,MATCH(G87,Cables!$A:$A,0))+INDEX(Cables!$AP:$AP,MATCH(G87,Cables!$A:$A,0))-1),1),1),1),INDEX(Cables!$AP:$AP,MATCH(G87,Cables!$A:$A,0))-1))+1),INDEX(Attenuation!$J:$J,(INDEX(Cables!$AO:$AO,MATCH(G87,Cables!$A:$A,0))-1+MIN(MAX(IFERROR(MATCH(LN(D87),INDEX(Attenuation!$J:$J,INDEX(Cables!$AO:$AO,MATCH(G87,Cables!$A:$A,0))):INDEX(Attenuation!$J:$J,INDEX(Cables!$AO:$AO,MATCH(G87,Cables!$A:$A,0))+INDEX(Cables!$AP:$AP,MATCH(G87,Cables!$A:$A,0))-1),1),1),1),INDEX(Cables!$AP:$AP,MATCH(G87,Cables!$A:$A,0))-1))):INDEX(Attenuation!$J:$J,(INDEX(Cables!$AO:$AO,MATCH(G87,Cables!$A:$A,0))-1+MIN(MAX(IFERROR(MATCH(LN(D87),INDEX(Attenuation!$J:$J,INDEX(Cables!$AO:$AO,MATCH(G87,Cables!$A:$A,0))):INDEX(Attenuation!$J:$J,INDEX(Cables!$AO:$AO,MATCH(G87,Cables!$A:$A,0))+INDEX(Cables!$AP:$AP,MATCH(G87,Cables!$A:$A,0))-1),1),1),1),INDEX(Cables!$AP:$AP,MATCH(G87,Cables!$A:$A,0))-1))+1)))*0.3048)</f>
        <v>4.0008322062765398</v>
      </c>
      <c r="I87" s="43">
        <f>IF(G87="","",EXP(FORECAST(LN(E87),INDEX(Attenuation!$K:$K,(INDEX(Cables!$AO:$AO,MATCH(G87,Cables!$A:$A,0))-1+MIN(MAX(IFERROR(MATCH(LN(E87),INDEX(Attenuation!$J:$J,INDEX(Cables!$AO:$AO,MATCH(G87,Cables!$A:$A,0))):INDEX(Attenuation!$J:$J,INDEX(Cables!$AO:$AO,MATCH(G87,Cables!$A:$A,0))+INDEX(Cables!$AP:$AP,MATCH(G87,Cables!$A:$A,0))-1),1),1),1),INDEX(Cables!$AP:$AP,MATCH(G87,Cables!$A:$A,0))-1))):INDEX(Attenuation!$K:$K,(INDEX(Cables!$AO:$AO,MATCH(G87,Cables!$A:$A,0))-1+MIN(MAX(IFERROR(MATCH(LN(E87),INDEX(Attenuation!$J:$J,INDEX(Cables!$AO:$AO,MATCH(G87,Cables!$A:$A,0))):INDEX(Attenuation!$J:$J,INDEX(Cables!$AO:$AO,MATCH(G87,Cables!$A:$A,0))+INDEX(Cables!$AP:$AP,MATCH(G87,Cables!$A:$A,0))-1),1),1),1),INDEX(Cables!$AP:$AP,MATCH(G87,Cables!$A:$A,0))-1))+1),INDEX(Attenuation!$J:$J,(INDEX(Cables!$AO:$AO,MATCH(G87,Cables!$A:$A,0))-1+MIN(MAX(IFERROR(MATCH(LN(E87),INDEX(Attenuation!$J:$J,INDEX(Cables!$AO:$AO,MATCH(G87,Cables!$A:$A,0))):INDEX(Attenuation!$J:$J,INDEX(Cables!$AO:$AO,MATCH(G87,Cables!$A:$A,0))+INDEX(Cables!$AP:$AP,MATCH(G87,Cables!$A:$A,0))-1),1),1),1),INDEX(Cables!$AP:$AP,MATCH(G87,Cables!$A:$A,0))-1))):INDEX(Attenuation!$J:$J,(INDEX(Cables!$AO:$AO,MATCH(G87,Cables!$A:$A,0))-1+MIN(MAX(IFERROR(MATCH(LN(E87),INDEX(Attenuation!$J:$J,INDEX(Cables!$AO:$AO,MATCH(G87,Cables!$A:$A,0))):INDEX(Attenuation!$J:$J,INDEX(Cables!$AO:$AO,MATCH(G87,Cables!$A:$A,0))+INDEX(Cables!$AP:$AP,MATCH(G87,Cables!$A:$A,0))-1),1),1),1),INDEX(Cables!$AP:$AP,MATCH(G87,Cables!$A:$A,0))-1))+1)))*0.3048)</f>
        <v>4.0008322062765398</v>
      </c>
      <c r="J87" s="44">
        <f t="shared" si="1"/>
        <v>7.9775351043902099E-2</v>
      </c>
      <c r="K87" s="40" t="str">
        <f>IF(G87="","Doğrulanmadı",IF(ABS(J87)&lt;=0.1,"Uyumlu (±%10)",IF(ABS(J87)&lt;=0.25,"Fark %10-25","Fark &gt;%25"))&amp;IF(OR(D87&lt;INDEX(Cables!$AQ:$AQ,MATCH(G87,Cables!$A:$A,0)),E87&gt;INDEX(Cables!$AR:$AR,MATCH(G87,Cables!$A:$A,0)))," · ekstrapolasyon",""))</f>
        <v>Uyumlu (±%10)</v>
      </c>
    </row>
    <row r="88" spans="1:11" x14ac:dyDescent="0.25">
      <c r="A88" s="37" t="s">
        <v>2992</v>
      </c>
      <c r="B88" s="40" t="str">
        <f>INDEX(Legacy_Index!$D:$D,MATCH(A88,Legacy_Index!$A:$A,0))</f>
        <v>Belden H155</v>
      </c>
      <c r="C88" s="37" t="s">
        <v>3115</v>
      </c>
      <c r="D88" s="37">
        <v>400</v>
      </c>
      <c r="E88" s="37">
        <v>520</v>
      </c>
      <c r="F88" s="37">
        <v>6.32</v>
      </c>
      <c r="G88" s="40" t="str">
        <f>IF(INDEX(Legacy_Index!$G:$G,MATCH(A88,Legacy_Index!$A:$A,0))="","",INDEX(Legacy_Index!$G:$G,MATCH(A88,Legacy_Index!$A:$A,0)))</f>
        <v>BEL-H155A01</v>
      </c>
      <c r="H88" s="43">
        <f>IF(G88="","",EXP(FORECAST(LN(D88),INDEX(Attenuation!$K:$K,(INDEX(Cables!$AO:$AO,MATCH(G88,Cables!$A:$A,0))-1+MIN(MAX(IFERROR(MATCH(LN(D88),INDEX(Attenuation!$J:$J,INDEX(Cables!$AO:$AO,MATCH(G88,Cables!$A:$A,0))):INDEX(Attenuation!$J:$J,INDEX(Cables!$AO:$AO,MATCH(G88,Cables!$A:$A,0))+INDEX(Cables!$AP:$AP,MATCH(G88,Cables!$A:$A,0))-1),1),1),1),INDEX(Cables!$AP:$AP,MATCH(G88,Cables!$A:$A,0))-1))):INDEX(Attenuation!$K:$K,(INDEX(Cables!$AO:$AO,MATCH(G88,Cables!$A:$A,0))-1+MIN(MAX(IFERROR(MATCH(LN(D88),INDEX(Attenuation!$J:$J,INDEX(Cables!$AO:$AO,MATCH(G88,Cables!$A:$A,0))):INDEX(Attenuation!$J:$J,INDEX(Cables!$AO:$AO,MATCH(G88,Cables!$A:$A,0))+INDEX(Cables!$AP:$AP,MATCH(G88,Cables!$A:$A,0))-1),1),1),1),INDEX(Cables!$AP:$AP,MATCH(G88,Cables!$A:$A,0))-1))+1),INDEX(Attenuation!$J:$J,(INDEX(Cables!$AO:$AO,MATCH(G88,Cables!$A:$A,0))-1+MIN(MAX(IFERROR(MATCH(LN(D88),INDEX(Attenuation!$J:$J,INDEX(Cables!$AO:$AO,MATCH(G88,Cables!$A:$A,0))):INDEX(Attenuation!$J:$J,INDEX(Cables!$AO:$AO,MATCH(G88,Cables!$A:$A,0))+INDEX(Cables!$AP:$AP,MATCH(G88,Cables!$A:$A,0))-1),1),1),1),INDEX(Cables!$AP:$AP,MATCH(G88,Cables!$A:$A,0))-1))):INDEX(Attenuation!$J:$J,(INDEX(Cables!$AO:$AO,MATCH(G88,Cables!$A:$A,0))-1+MIN(MAX(IFERROR(MATCH(LN(D88),INDEX(Attenuation!$J:$J,INDEX(Cables!$AO:$AO,MATCH(G88,Cables!$A:$A,0))):INDEX(Attenuation!$J:$J,INDEX(Cables!$AO:$AO,MATCH(G88,Cables!$A:$A,0))+INDEX(Cables!$AP:$AP,MATCH(G88,Cables!$A:$A,0))-1),1),1),1),INDEX(Cables!$AP:$AP,MATCH(G88,Cables!$A:$A,0))-1))+1)))*0.3048)</f>
        <v>5.4863999999999988</v>
      </c>
      <c r="I88" s="43">
        <f>IF(G88="","",EXP(FORECAST(LN(E88),INDEX(Attenuation!$K:$K,(INDEX(Cables!$AO:$AO,MATCH(G88,Cables!$A:$A,0))-1+MIN(MAX(IFERROR(MATCH(LN(E88),INDEX(Attenuation!$J:$J,INDEX(Cables!$AO:$AO,MATCH(G88,Cables!$A:$A,0))):INDEX(Attenuation!$J:$J,INDEX(Cables!$AO:$AO,MATCH(G88,Cables!$A:$A,0))+INDEX(Cables!$AP:$AP,MATCH(G88,Cables!$A:$A,0))-1),1),1),1),INDEX(Cables!$AP:$AP,MATCH(G88,Cables!$A:$A,0))-1))):INDEX(Attenuation!$K:$K,(INDEX(Cables!$AO:$AO,MATCH(G88,Cables!$A:$A,0))-1+MIN(MAX(IFERROR(MATCH(LN(E88),INDEX(Attenuation!$J:$J,INDEX(Cables!$AO:$AO,MATCH(G88,Cables!$A:$A,0))):INDEX(Attenuation!$J:$J,INDEX(Cables!$AO:$AO,MATCH(G88,Cables!$A:$A,0))+INDEX(Cables!$AP:$AP,MATCH(G88,Cables!$A:$A,0))-1),1),1),1),INDEX(Cables!$AP:$AP,MATCH(G88,Cables!$A:$A,0))-1))+1),INDEX(Attenuation!$J:$J,(INDEX(Cables!$AO:$AO,MATCH(G88,Cables!$A:$A,0))-1+MIN(MAX(IFERROR(MATCH(LN(E88),INDEX(Attenuation!$J:$J,INDEX(Cables!$AO:$AO,MATCH(G88,Cables!$A:$A,0))):INDEX(Attenuation!$J:$J,INDEX(Cables!$AO:$AO,MATCH(G88,Cables!$A:$A,0))+INDEX(Cables!$AP:$AP,MATCH(G88,Cables!$A:$A,0))-1),1),1),1),INDEX(Cables!$AP:$AP,MATCH(G88,Cables!$A:$A,0))-1))):INDEX(Attenuation!$J:$J,(INDEX(Cables!$AO:$AO,MATCH(G88,Cables!$A:$A,0))-1+MIN(MAX(IFERROR(MATCH(LN(E88),INDEX(Attenuation!$J:$J,INDEX(Cables!$AO:$AO,MATCH(G88,Cables!$A:$A,0))):INDEX(Attenuation!$J:$J,INDEX(Cables!$AO:$AO,MATCH(G88,Cables!$A:$A,0))+INDEX(Cables!$AP:$AP,MATCH(G88,Cables!$A:$A,0))-1),1),1),1),INDEX(Cables!$AP:$AP,MATCH(G88,Cables!$A:$A,0))-1))+1)))*0.3048)</f>
        <v>6.3149095181362815</v>
      </c>
      <c r="J88" s="44">
        <f t="shared" si="1"/>
        <v>8.061052734167351E-4</v>
      </c>
      <c r="K88" s="40" t="str">
        <f>IF(G88="","Doğrulanmadı",IF(ABS(J88)&lt;=0.1,"Uyumlu (±%10)",IF(ABS(J88)&lt;=0.25,"Fark %10-25","Fark &gt;%25"))&amp;IF(OR(D88&lt;INDEX(Cables!$AQ:$AQ,MATCH(G88,Cables!$A:$A,0)),E88&gt;INDEX(Cables!$AR:$AR,MATCH(G88,Cables!$A:$A,0)))," · ekstrapolasyon",""))</f>
        <v>Uyumlu (±%10)</v>
      </c>
    </row>
    <row r="89" spans="1:11" x14ac:dyDescent="0.25">
      <c r="A89" s="37" t="s">
        <v>2992</v>
      </c>
      <c r="B89" s="40" t="str">
        <f>INDEX(Legacy_Index!$D:$D,MATCH(A89,Legacy_Index!$A:$A,0))</f>
        <v>Belden H155</v>
      </c>
      <c r="C89" s="37" t="s">
        <v>3116</v>
      </c>
      <c r="D89" s="37">
        <v>700</v>
      </c>
      <c r="E89" s="37">
        <v>960</v>
      </c>
      <c r="F89" s="37">
        <v>8.8000000000000007</v>
      </c>
      <c r="G89" s="40" t="str">
        <f>IF(INDEX(Legacy_Index!$G:$G,MATCH(A89,Legacy_Index!$A:$A,0))="","",INDEX(Legacy_Index!$G:$G,MATCH(A89,Legacy_Index!$A:$A,0)))</f>
        <v>BEL-H155A01</v>
      </c>
      <c r="H89" s="43">
        <f>IF(G89="","",EXP(FORECAST(LN(D89),INDEX(Attenuation!$K:$K,(INDEX(Cables!$AO:$AO,MATCH(G89,Cables!$A:$A,0))-1+MIN(MAX(IFERROR(MATCH(LN(D89),INDEX(Attenuation!$J:$J,INDEX(Cables!$AO:$AO,MATCH(G89,Cables!$A:$A,0))):INDEX(Attenuation!$J:$J,INDEX(Cables!$AO:$AO,MATCH(G89,Cables!$A:$A,0))+INDEX(Cables!$AP:$AP,MATCH(G89,Cables!$A:$A,0))-1),1),1),1),INDEX(Cables!$AP:$AP,MATCH(G89,Cables!$A:$A,0))-1))):INDEX(Attenuation!$K:$K,(INDEX(Cables!$AO:$AO,MATCH(G89,Cables!$A:$A,0))-1+MIN(MAX(IFERROR(MATCH(LN(D89),INDEX(Attenuation!$J:$J,INDEX(Cables!$AO:$AO,MATCH(G89,Cables!$A:$A,0))):INDEX(Attenuation!$J:$J,INDEX(Cables!$AO:$AO,MATCH(G89,Cables!$A:$A,0))+INDEX(Cables!$AP:$AP,MATCH(G89,Cables!$A:$A,0))-1),1),1),1),INDEX(Cables!$AP:$AP,MATCH(G89,Cables!$A:$A,0))-1))+1),INDEX(Attenuation!$J:$J,(INDEX(Cables!$AO:$AO,MATCH(G89,Cables!$A:$A,0))-1+MIN(MAX(IFERROR(MATCH(LN(D89),INDEX(Attenuation!$J:$J,INDEX(Cables!$AO:$AO,MATCH(G89,Cables!$A:$A,0))):INDEX(Attenuation!$J:$J,INDEX(Cables!$AO:$AO,MATCH(G89,Cables!$A:$A,0))+INDEX(Cables!$AP:$AP,MATCH(G89,Cables!$A:$A,0))-1),1),1),1),INDEX(Cables!$AP:$AP,MATCH(G89,Cables!$A:$A,0))-1))):INDEX(Attenuation!$J:$J,(INDEX(Cables!$AO:$AO,MATCH(G89,Cables!$A:$A,0))-1+MIN(MAX(IFERROR(MATCH(LN(D89),INDEX(Attenuation!$J:$J,INDEX(Cables!$AO:$AO,MATCH(G89,Cables!$A:$A,0))):INDEX(Attenuation!$J:$J,INDEX(Cables!$AO:$AO,MATCH(G89,Cables!$A:$A,0))+INDEX(Cables!$AP:$AP,MATCH(G89,Cables!$A:$A,0))-1),1),1),1),INDEX(Cables!$AP:$AP,MATCH(G89,Cables!$A:$A,0))-1))+1)))*0.3048)</f>
        <v>7.4057443965270693</v>
      </c>
      <c r="I89" s="43">
        <f>IF(G89="","",EXP(FORECAST(LN(E89),INDEX(Attenuation!$K:$K,(INDEX(Cables!$AO:$AO,MATCH(G89,Cables!$A:$A,0))-1+MIN(MAX(IFERROR(MATCH(LN(E89),INDEX(Attenuation!$J:$J,INDEX(Cables!$AO:$AO,MATCH(G89,Cables!$A:$A,0))):INDEX(Attenuation!$J:$J,INDEX(Cables!$AO:$AO,MATCH(G89,Cables!$A:$A,0))+INDEX(Cables!$AP:$AP,MATCH(G89,Cables!$A:$A,0))-1),1),1),1),INDEX(Cables!$AP:$AP,MATCH(G89,Cables!$A:$A,0))-1))):INDEX(Attenuation!$K:$K,(INDEX(Cables!$AO:$AO,MATCH(G89,Cables!$A:$A,0))-1+MIN(MAX(IFERROR(MATCH(LN(E89),INDEX(Attenuation!$J:$J,INDEX(Cables!$AO:$AO,MATCH(G89,Cables!$A:$A,0))):INDEX(Attenuation!$J:$J,INDEX(Cables!$AO:$AO,MATCH(G89,Cables!$A:$A,0))+INDEX(Cables!$AP:$AP,MATCH(G89,Cables!$A:$A,0))-1),1),1),1),INDEX(Cables!$AP:$AP,MATCH(G89,Cables!$A:$A,0))-1))+1),INDEX(Attenuation!$J:$J,(INDEX(Cables!$AO:$AO,MATCH(G89,Cables!$A:$A,0))-1+MIN(MAX(IFERROR(MATCH(LN(E89),INDEX(Attenuation!$J:$J,INDEX(Cables!$AO:$AO,MATCH(G89,Cables!$A:$A,0))):INDEX(Attenuation!$J:$J,INDEX(Cables!$AO:$AO,MATCH(G89,Cables!$A:$A,0))+INDEX(Cables!$AP:$AP,MATCH(G89,Cables!$A:$A,0))-1),1),1),1),INDEX(Cables!$AP:$AP,MATCH(G89,Cables!$A:$A,0))-1))):INDEX(Attenuation!$J:$J,(INDEX(Cables!$AO:$AO,MATCH(G89,Cables!$A:$A,0))-1+MIN(MAX(IFERROR(MATCH(LN(E89),INDEX(Attenuation!$J:$J,INDEX(Cables!$AO:$AO,MATCH(G89,Cables!$A:$A,0))):INDEX(Attenuation!$J:$J,INDEX(Cables!$AO:$AO,MATCH(G89,Cables!$A:$A,0))+INDEX(Cables!$AP:$AP,MATCH(G89,Cables!$A:$A,0))-1),1),1),1),INDEX(Cables!$AP:$AP,MATCH(G89,Cables!$A:$A,0))-1))+1)))*0.3048)</f>
        <v>8.8236820328530463</v>
      </c>
      <c r="J89" s="44">
        <f t="shared" si="1"/>
        <v>0</v>
      </c>
      <c r="K89" s="40" t="str">
        <f>IF(G89="","Doğrulanmadı",IF(ABS(J89)&lt;=0.1,"Uyumlu (±%10)",IF(ABS(J89)&lt;=0.25,"Fark %10-25","Fark &gt;%25"))&amp;IF(OR(D89&lt;INDEX(Cables!$AQ:$AQ,MATCH(G89,Cables!$A:$A,0)),E89&gt;INDEX(Cables!$AR:$AR,MATCH(G89,Cables!$A:$A,0)))," · ekstrapolasyon",""))</f>
        <v>Uyumlu (±%10)</v>
      </c>
    </row>
    <row r="90" spans="1:11" x14ac:dyDescent="0.25">
      <c r="A90" s="37" t="s">
        <v>2992</v>
      </c>
      <c r="B90" s="40" t="str">
        <f>INDEX(Legacy_Index!$D:$D,MATCH(A90,Legacy_Index!$A:$A,0))</f>
        <v>Belden H155</v>
      </c>
      <c r="C90" s="37" t="s">
        <v>3120</v>
      </c>
      <c r="D90" s="37">
        <v>1200</v>
      </c>
      <c r="E90" s="37">
        <v>1300</v>
      </c>
      <c r="F90" s="37">
        <v>9.5</v>
      </c>
      <c r="G90" s="40" t="str">
        <f>IF(INDEX(Legacy_Index!$G:$G,MATCH(A90,Legacy_Index!$A:$A,0))="","",INDEX(Legacy_Index!$G:$G,MATCH(A90,Legacy_Index!$A:$A,0)))</f>
        <v>BEL-H155A01</v>
      </c>
      <c r="H90" s="43">
        <f>IF(G90="","",EXP(FORECAST(LN(D90),INDEX(Attenuation!$K:$K,(INDEX(Cables!$AO:$AO,MATCH(G90,Cables!$A:$A,0))-1+MIN(MAX(IFERROR(MATCH(LN(D90),INDEX(Attenuation!$J:$J,INDEX(Cables!$AO:$AO,MATCH(G90,Cables!$A:$A,0))):INDEX(Attenuation!$J:$J,INDEX(Cables!$AO:$AO,MATCH(G90,Cables!$A:$A,0))+INDEX(Cables!$AP:$AP,MATCH(G90,Cables!$A:$A,0))-1),1),1),1),INDEX(Cables!$AP:$AP,MATCH(G90,Cables!$A:$A,0))-1))):INDEX(Attenuation!$K:$K,(INDEX(Cables!$AO:$AO,MATCH(G90,Cables!$A:$A,0))-1+MIN(MAX(IFERROR(MATCH(LN(D90),INDEX(Attenuation!$J:$J,INDEX(Cables!$AO:$AO,MATCH(G90,Cables!$A:$A,0))):INDEX(Attenuation!$J:$J,INDEX(Cables!$AO:$AO,MATCH(G90,Cables!$A:$A,0))+INDEX(Cables!$AP:$AP,MATCH(G90,Cables!$A:$A,0))-1),1),1),1),INDEX(Cables!$AP:$AP,MATCH(G90,Cables!$A:$A,0))-1))+1),INDEX(Attenuation!$J:$J,(INDEX(Cables!$AO:$AO,MATCH(G90,Cables!$A:$A,0))-1+MIN(MAX(IFERROR(MATCH(LN(D90),INDEX(Attenuation!$J:$J,INDEX(Cables!$AO:$AO,MATCH(G90,Cables!$A:$A,0))):INDEX(Attenuation!$J:$J,INDEX(Cables!$AO:$AO,MATCH(G90,Cables!$A:$A,0))+INDEX(Cables!$AP:$AP,MATCH(G90,Cables!$A:$A,0))-1),1),1),1),INDEX(Cables!$AP:$AP,MATCH(G90,Cables!$A:$A,0))-1))):INDEX(Attenuation!$J:$J,(INDEX(Cables!$AO:$AO,MATCH(G90,Cables!$A:$A,0))-1+MIN(MAX(IFERROR(MATCH(LN(D90),INDEX(Attenuation!$J:$J,INDEX(Cables!$AO:$AO,MATCH(G90,Cables!$A:$A,0))):INDEX(Attenuation!$J:$J,INDEX(Cables!$AO:$AO,MATCH(G90,Cables!$A:$A,0))+INDEX(Cables!$AP:$AP,MATCH(G90,Cables!$A:$A,0))-1),1),1),1),INDEX(Cables!$AP:$AP,MATCH(G90,Cables!$A:$A,0))-1))+1)))*0.3048)</f>
        <v>9.9716107485990904</v>
      </c>
      <c r="I90" s="43">
        <f>IF(G90="","",EXP(FORECAST(LN(E90),INDEX(Attenuation!$K:$K,(INDEX(Cables!$AO:$AO,MATCH(G90,Cables!$A:$A,0))-1+MIN(MAX(IFERROR(MATCH(LN(E90),INDEX(Attenuation!$J:$J,INDEX(Cables!$AO:$AO,MATCH(G90,Cables!$A:$A,0))):INDEX(Attenuation!$J:$J,INDEX(Cables!$AO:$AO,MATCH(G90,Cables!$A:$A,0))+INDEX(Cables!$AP:$AP,MATCH(G90,Cables!$A:$A,0))-1),1),1),1),INDEX(Cables!$AP:$AP,MATCH(G90,Cables!$A:$A,0))-1))):INDEX(Attenuation!$K:$K,(INDEX(Cables!$AO:$AO,MATCH(G90,Cables!$A:$A,0))-1+MIN(MAX(IFERROR(MATCH(LN(E90),INDEX(Attenuation!$J:$J,INDEX(Cables!$AO:$AO,MATCH(G90,Cables!$A:$A,0))):INDEX(Attenuation!$J:$J,INDEX(Cables!$AO:$AO,MATCH(G90,Cables!$A:$A,0))+INDEX(Cables!$AP:$AP,MATCH(G90,Cables!$A:$A,0))-1),1),1),1),INDEX(Cables!$AP:$AP,MATCH(G90,Cables!$A:$A,0))-1))+1),INDEX(Attenuation!$J:$J,(INDEX(Cables!$AO:$AO,MATCH(G90,Cables!$A:$A,0))-1+MIN(MAX(IFERROR(MATCH(LN(E90),INDEX(Attenuation!$J:$J,INDEX(Cables!$AO:$AO,MATCH(G90,Cables!$A:$A,0))):INDEX(Attenuation!$J:$J,INDEX(Cables!$AO:$AO,MATCH(G90,Cables!$A:$A,0))+INDEX(Cables!$AP:$AP,MATCH(G90,Cables!$A:$A,0))-1),1),1),1),INDEX(Cables!$AP:$AP,MATCH(G90,Cables!$A:$A,0))-1))):INDEX(Attenuation!$J:$J,(INDEX(Cables!$AO:$AO,MATCH(G90,Cables!$A:$A,0))-1+MIN(MAX(IFERROR(MATCH(LN(E90),INDEX(Attenuation!$J:$J,INDEX(Cables!$AO:$AO,MATCH(G90,Cables!$A:$A,0))):INDEX(Attenuation!$J:$J,INDEX(Cables!$AO:$AO,MATCH(G90,Cables!$A:$A,0))+INDEX(Cables!$AP:$AP,MATCH(G90,Cables!$A:$A,0))-1),1),1),1),INDEX(Cables!$AP:$AP,MATCH(G90,Cables!$A:$A,0))-1))+1)))*0.3048)</f>
        <v>10.419443074886006</v>
      </c>
      <c r="J90" s="44">
        <f t="shared" si="1"/>
        <v>-4.7295342797586293E-2</v>
      </c>
      <c r="K90" s="40" t="str">
        <f>IF(G90="","Doğrulanmadı",IF(ABS(J90)&lt;=0.1,"Uyumlu (±%10)",IF(ABS(J90)&lt;=0.25,"Fark %10-25","Fark &gt;%25"))&amp;IF(OR(D90&lt;INDEX(Cables!$AQ:$AQ,MATCH(G90,Cables!$A:$A,0)),E90&gt;INDEX(Cables!$AR:$AR,MATCH(G90,Cables!$A:$A,0)))," · ekstrapolasyon",""))</f>
        <v>Uyumlu (±%10)</v>
      </c>
    </row>
    <row r="91" spans="1:11" x14ac:dyDescent="0.25">
      <c r="A91" s="37" t="s">
        <v>2992</v>
      </c>
      <c r="B91" s="40" t="str">
        <f>INDEX(Legacy_Index!$D:$D,MATCH(A91,Legacy_Index!$A:$A,0))</f>
        <v>Belden H155</v>
      </c>
      <c r="C91" s="37" t="s">
        <v>3121</v>
      </c>
      <c r="D91" s="37">
        <v>2400</v>
      </c>
      <c r="E91" s="37">
        <v>2500</v>
      </c>
      <c r="F91" s="37">
        <v>13.8</v>
      </c>
      <c r="G91" s="40" t="str">
        <f>IF(INDEX(Legacy_Index!$G:$G,MATCH(A91,Legacy_Index!$A:$A,0))="","",INDEX(Legacy_Index!$G:$G,MATCH(A91,Legacy_Index!$A:$A,0)))</f>
        <v>BEL-H155A01</v>
      </c>
      <c r="H91" s="43">
        <f>IF(G91="","",EXP(FORECAST(LN(D91),INDEX(Attenuation!$K:$K,(INDEX(Cables!$AO:$AO,MATCH(G91,Cables!$A:$A,0))-1+MIN(MAX(IFERROR(MATCH(LN(D91),INDEX(Attenuation!$J:$J,INDEX(Cables!$AO:$AO,MATCH(G91,Cables!$A:$A,0))):INDEX(Attenuation!$J:$J,INDEX(Cables!$AO:$AO,MATCH(G91,Cables!$A:$A,0))+INDEX(Cables!$AP:$AP,MATCH(G91,Cables!$A:$A,0))-1),1),1),1),INDEX(Cables!$AP:$AP,MATCH(G91,Cables!$A:$A,0))-1))):INDEX(Attenuation!$K:$K,(INDEX(Cables!$AO:$AO,MATCH(G91,Cables!$A:$A,0))-1+MIN(MAX(IFERROR(MATCH(LN(D91),INDEX(Attenuation!$J:$J,INDEX(Cables!$AO:$AO,MATCH(G91,Cables!$A:$A,0))):INDEX(Attenuation!$J:$J,INDEX(Cables!$AO:$AO,MATCH(G91,Cables!$A:$A,0))+INDEX(Cables!$AP:$AP,MATCH(G91,Cables!$A:$A,0))-1),1),1),1),INDEX(Cables!$AP:$AP,MATCH(G91,Cables!$A:$A,0))-1))+1),INDEX(Attenuation!$J:$J,(INDEX(Cables!$AO:$AO,MATCH(G91,Cables!$A:$A,0))-1+MIN(MAX(IFERROR(MATCH(LN(D91),INDEX(Attenuation!$J:$J,INDEX(Cables!$AO:$AO,MATCH(G91,Cables!$A:$A,0))):INDEX(Attenuation!$J:$J,INDEX(Cables!$AO:$AO,MATCH(G91,Cables!$A:$A,0))+INDEX(Cables!$AP:$AP,MATCH(G91,Cables!$A:$A,0))-1),1),1),1),INDEX(Cables!$AP:$AP,MATCH(G91,Cables!$A:$A,0))-1))):INDEX(Attenuation!$J:$J,(INDEX(Cables!$AO:$AO,MATCH(G91,Cables!$A:$A,0))-1+MIN(MAX(IFERROR(MATCH(LN(D91),INDEX(Attenuation!$J:$J,INDEX(Cables!$AO:$AO,MATCH(G91,Cables!$A:$A,0))):INDEX(Attenuation!$J:$J,INDEX(Cables!$AO:$AO,MATCH(G91,Cables!$A:$A,0))+INDEX(Cables!$AP:$AP,MATCH(G91,Cables!$A:$A,0))-1),1),1),1),INDEX(Cables!$AP:$AP,MATCH(G91,Cables!$A:$A,0))-1))+1)))*0.3048)</f>
        <v>14.965680000000008</v>
      </c>
      <c r="I91" s="43">
        <f>IF(G91="","",EXP(FORECAST(LN(E91),INDEX(Attenuation!$K:$K,(INDEX(Cables!$AO:$AO,MATCH(G91,Cables!$A:$A,0))-1+MIN(MAX(IFERROR(MATCH(LN(E91),INDEX(Attenuation!$J:$J,INDEX(Cables!$AO:$AO,MATCH(G91,Cables!$A:$A,0))):INDEX(Attenuation!$J:$J,INDEX(Cables!$AO:$AO,MATCH(G91,Cables!$A:$A,0))+INDEX(Cables!$AP:$AP,MATCH(G91,Cables!$A:$A,0))-1),1),1),1),INDEX(Cables!$AP:$AP,MATCH(G91,Cables!$A:$A,0))-1))):INDEX(Attenuation!$K:$K,(INDEX(Cables!$AO:$AO,MATCH(G91,Cables!$A:$A,0))-1+MIN(MAX(IFERROR(MATCH(LN(E91),INDEX(Attenuation!$J:$J,INDEX(Cables!$AO:$AO,MATCH(G91,Cables!$A:$A,0))):INDEX(Attenuation!$J:$J,INDEX(Cables!$AO:$AO,MATCH(G91,Cables!$A:$A,0))+INDEX(Cables!$AP:$AP,MATCH(G91,Cables!$A:$A,0))-1),1),1),1),INDEX(Cables!$AP:$AP,MATCH(G91,Cables!$A:$A,0))-1))+1),INDEX(Attenuation!$J:$J,(INDEX(Cables!$AO:$AO,MATCH(G91,Cables!$A:$A,0))-1+MIN(MAX(IFERROR(MATCH(LN(E91),INDEX(Attenuation!$J:$J,INDEX(Cables!$AO:$AO,MATCH(G91,Cables!$A:$A,0))):INDEX(Attenuation!$J:$J,INDEX(Cables!$AO:$AO,MATCH(G91,Cables!$A:$A,0))+INDEX(Cables!$AP:$AP,MATCH(G91,Cables!$A:$A,0))-1),1),1),1),INDEX(Cables!$AP:$AP,MATCH(G91,Cables!$A:$A,0))-1))):INDEX(Attenuation!$J:$J,(INDEX(Cables!$AO:$AO,MATCH(G91,Cables!$A:$A,0))-1+MIN(MAX(IFERROR(MATCH(LN(E91),INDEX(Attenuation!$J:$J,INDEX(Cables!$AO:$AO,MATCH(G91,Cables!$A:$A,0))):INDEX(Attenuation!$J:$J,INDEX(Cables!$AO:$AO,MATCH(G91,Cables!$A:$A,0))+INDEX(Cables!$AP:$AP,MATCH(G91,Cables!$A:$A,0))-1),1),1),1),INDEX(Cables!$AP:$AP,MATCH(G91,Cables!$A:$A,0))-1))+1)))*0.3048)</f>
        <v>15.345040624939978</v>
      </c>
      <c r="J91" s="44">
        <f t="shared" si="1"/>
        <v>-7.789021280690267E-2</v>
      </c>
      <c r="K91" s="40" t="str">
        <f>IF(G91="","Doğrulanmadı",IF(ABS(J91)&lt;=0.1,"Uyumlu (±%10)",IF(ABS(J91)&lt;=0.25,"Fark %10-25","Fark &gt;%25"))&amp;IF(OR(D91&lt;INDEX(Cables!$AQ:$AQ,MATCH(G91,Cables!$A:$A,0)),E91&gt;INDEX(Cables!$AR:$AR,MATCH(G91,Cables!$A:$A,0)))," · ekstrapolasyon",""))</f>
        <v>Uyumlu (±%10)</v>
      </c>
    </row>
    <row r="92" spans="1:11" x14ac:dyDescent="0.25">
      <c r="A92" s="37" t="s">
        <v>2995</v>
      </c>
      <c r="B92" s="40" t="str">
        <f>INDEX(Legacy_Index!$D:$D,MATCH(A92,Legacy_Index!$A:$A,0))</f>
        <v>AIRBORNE 5™ Messi and Paoloni</v>
      </c>
      <c r="C92" s="37" t="s">
        <v>3117</v>
      </c>
      <c r="D92" s="37">
        <v>1</v>
      </c>
      <c r="E92" s="37">
        <v>10</v>
      </c>
      <c r="F92" s="37">
        <v>0.8</v>
      </c>
      <c r="G92" s="40" t="str">
        <f>IF(INDEX(Legacy_Index!$G:$G,MATCH(A92,Legacy_Index!$A:$A,0))="","",INDEX(Legacy_Index!$G:$G,MATCH(A92,Legacy_Index!$A:$A,0)))</f>
        <v>MP-AIRBORNE5</v>
      </c>
      <c r="H92" s="43">
        <f>IF(G92="","",EXP(FORECAST(LN(D92),INDEX(Attenuation!$K:$K,(INDEX(Cables!$AO:$AO,MATCH(G92,Cables!$A:$A,0))-1+MIN(MAX(IFERROR(MATCH(LN(D92),INDEX(Attenuation!$J:$J,INDEX(Cables!$AO:$AO,MATCH(G92,Cables!$A:$A,0))):INDEX(Attenuation!$J:$J,INDEX(Cables!$AO:$AO,MATCH(G92,Cables!$A:$A,0))+INDEX(Cables!$AP:$AP,MATCH(G92,Cables!$A:$A,0))-1),1),1),1),INDEX(Cables!$AP:$AP,MATCH(G92,Cables!$A:$A,0))-1))):INDEX(Attenuation!$K:$K,(INDEX(Cables!$AO:$AO,MATCH(G92,Cables!$A:$A,0))-1+MIN(MAX(IFERROR(MATCH(LN(D92),INDEX(Attenuation!$J:$J,INDEX(Cables!$AO:$AO,MATCH(G92,Cables!$A:$A,0))):INDEX(Attenuation!$J:$J,INDEX(Cables!$AO:$AO,MATCH(G92,Cables!$A:$A,0))+INDEX(Cables!$AP:$AP,MATCH(G92,Cables!$A:$A,0))-1),1),1),1),INDEX(Cables!$AP:$AP,MATCH(G92,Cables!$A:$A,0))-1))+1),INDEX(Attenuation!$J:$J,(INDEX(Cables!$AO:$AO,MATCH(G92,Cables!$A:$A,0))-1+MIN(MAX(IFERROR(MATCH(LN(D92),INDEX(Attenuation!$J:$J,INDEX(Cables!$AO:$AO,MATCH(G92,Cables!$A:$A,0))):INDEX(Attenuation!$J:$J,INDEX(Cables!$AO:$AO,MATCH(G92,Cables!$A:$A,0))+INDEX(Cables!$AP:$AP,MATCH(G92,Cables!$A:$A,0))-1),1),1),1),INDEX(Cables!$AP:$AP,MATCH(G92,Cables!$A:$A,0))-1))):INDEX(Attenuation!$J:$J,(INDEX(Cables!$AO:$AO,MATCH(G92,Cables!$A:$A,0))-1+MIN(MAX(IFERROR(MATCH(LN(D92),INDEX(Attenuation!$J:$J,INDEX(Cables!$AO:$AO,MATCH(G92,Cables!$A:$A,0))):INDEX(Attenuation!$J:$J,INDEX(Cables!$AO:$AO,MATCH(G92,Cables!$A:$A,0))+INDEX(Cables!$AP:$AP,MATCH(G92,Cables!$A:$A,0))-1),1),1),1),INDEX(Cables!$AP:$AP,MATCH(G92,Cables!$A:$A,0))-1))+1)))*0.3048)</f>
        <v>0.39666480260746395</v>
      </c>
      <c r="I92" s="43">
        <f>IF(G92="","",EXP(FORECAST(LN(E92),INDEX(Attenuation!$K:$K,(INDEX(Cables!$AO:$AO,MATCH(G92,Cables!$A:$A,0))-1+MIN(MAX(IFERROR(MATCH(LN(E92),INDEX(Attenuation!$J:$J,INDEX(Cables!$AO:$AO,MATCH(G92,Cables!$A:$A,0))):INDEX(Attenuation!$J:$J,INDEX(Cables!$AO:$AO,MATCH(G92,Cables!$A:$A,0))+INDEX(Cables!$AP:$AP,MATCH(G92,Cables!$A:$A,0))-1),1),1),1),INDEX(Cables!$AP:$AP,MATCH(G92,Cables!$A:$A,0))-1))):INDEX(Attenuation!$K:$K,(INDEX(Cables!$AO:$AO,MATCH(G92,Cables!$A:$A,0))-1+MIN(MAX(IFERROR(MATCH(LN(E92),INDEX(Attenuation!$J:$J,INDEX(Cables!$AO:$AO,MATCH(G92,Cables!$A:$A,0))):INDEX(Attenuation!$J:$J,INDEX(Cables!$AO:$AO,MATCH(G92,Cables!$A:$A,0))+INDEX(Cables!$AP:$AP,MATCH(G92,Cables!$A:$A,0))-1),1),1),1),INDEX(Cables!$AP:$AP,MATCH(G92,Cables!$A:$A,0))-1))+1),INDEX(Attenuation!$J:$J,(INDEX(Cables!$AO:$AO,MATCH(G92,Cables!$A:$A,0))-1+MIN(MAX(IFERROR(MATCH(LN(E92),INDEX(Attenuation!$J:$J,INDEX(Cables!$AO:$AO,MATCH(G92,Cables!$A:$A,0))):INDEX(Attenuation!$J:$J,INDEX(Cables!$AO:$AO,MATCH(G92,Cables!$A:$A,0))+INDEX(Cables!$AP:$AP,MATCH(G92,Cables!$A:$A,0))-1),1),1),1),INDEX(Cables!$AP:$AP,MATCH(G92,Cables!$A:$A,0))-1))):INDEX(Attenuation!$J:$J,(INDEX(Cables!$AO:$AO,MATCH(G92,Cables!$A:$A,0))-1+MIN(MAX(IFERROR(MATCH(LN(E92),INDEX(Attenuation!$J:$J,INDEX(Cables!$AO:$AO,MATCH(G92,Cables!$A:$A,0))):INDEX(Attenuation!$J:$J,INDEX(Cables!$AO:$AO,MATCH(G92,Cables!$A:$A,0))+INDEX(Cables!$AP:$AP,MATCH(G92,Cables!$A:$A,0))-1),1),1),1),INDEX(Cables!$AP:$AP,MATCH(G92,Cables!$A:$A,0))-1))+1)))*0.3048)</f>
        <v>1.0363200000000004</v>
      </c>
      <c r="J92" s="44">
        <f t="shared" si="1"/>
        <v>0</v>
      </c>
      <c r="K92" s="40" t="str">
        <f>IF(G92="","Doğrulanmadı",IF(ABS(J92)&lt;=0.1,"Uyumlu (±%10)",IF(ABS(J92)&lt;=0.25,"Fark %10-25","Fark &gt;%25"))&amp;IF(OR(D92&lt;INDEX(Cables!$AQ:$AQ,MATCH(G92,Cables!$A:$A,0)),E92&gt;INDEX(Cables!$AR:$AR,MATCH(G92,Cables!$A:$A,0)))," · ekstrapolasyon",""))</f>
        <v>Uyumlu (±%10) · ekstrapolasyon</v>
      </c>
    </row>
    <row r="93" spans="1:11" x14ac:dyDescent="0.25">
      <c r="A93" s="37" t="s">
        <v>2995</v>
      </c>
      <c r="B93" s="40" t="str">
        <f>INDEX(Legacy_Index!$D:$D,MATCH(A93,Legacy_Index!$A:$A,0))</f>
        <v>AIRBORNE 5™ Messi and Paoloni</v>
      </c>
      <c r="C93" s="37" t="s">
        <v>3118</v>
      </c>
      <c r="D93" s="37">
        <v>30</v>
      </c>
      <c r="E93" s="37">
        <v>50</v>
      </c>
      <c r="F93" s="37">
        <v>1.9</v>
      </c>
      <c r="G93" s="40" t="str">
        <f>IF(INDEX(Legacy_Index!$G:$G,MATCH(A93,Legacy_Index!$A:$A,0))="","",INDEX(Legacy_Index!$G:$G,MATCH(A93,Legacy_Index!$A:$A,0)))</f>
        <v>MP-AIRBORNE5</v>
      </c>
      <c r="H93" s="43">
        <f>IF(G93="","",EXP(FORECAST(LN(D93),INDEX(Attenuation!$K:$K,(INDEX(Cables!$AO:$AO,MATCH(G93,Cables!$A:$A,0))-1+MIN(MAX(IFERROR(MATCH(LN(D93),INDEX(Attenuation!$J:$J,INDEX(Cables!$AO:$AO,MATCH(G93,Cables!$A:$A,0))):INDEX(Attenuation!$J:$J,INDEX(Cables!$AO:$AO,MATCH(G93,Cables!$A:$A,0))+INDEX(Cables!$AP:$AP,MATCH(G93,Cables!$A:$A,0))-1),1),1),1),INDEX(Cables!$AP:$AP,MATCH(G93,Cables!$A:$A,0))-1))):INDEX(Attenuation!$K:$K,(INDEX(Cables!$AO:$AO,MATCH(G93,Cables!$A:$A,0))-1+MIN(MAX(IFERROR(MATCH(LN(D93),INDEX(Attenuation!$J:$J,INDEX(Cables!$AO:$AO,MATCH(G93,Cables!$A:$A,0))):INDEX(Attenuation!$J:$J,INDEX(Cables!$AO:$AO,MATCH(G93,Cables!$A:$A,0))+INDEX(Cables!$AP:$AP,MATCH(G93,Cables!$A:$A,0))-1),1),1),1),INDEX(Cables!$AP:$AP,MATCH(G93,Cables!$A:$A,0))-1))+1),INDEX(Attenuation!$J:$J,(INDEX(Cables!$AO:$AO,MATCH(G93,Cables!$A:$A,0))-1+MIN(MAX(IFERROR(MATCH(LN(D93),INDEX(Attenuation!$J:$J,INDEX(Cables!$AO:$AO,MATCH(G93,Cables!$A:$A,0))):INDEX(Attenuation!$J:$J,INDEX(Cables!$AO:$AO,MATCH(G93,Cables!$A:$A,0))+INDEX(Cables!$AP:$AP,MATCH(G93,Cables!$A:$A,0))-1),1),1),1),INDEX(Cables!$AP:$AP,MATCH(G93,Cables!$A:$A,0))-1))):INDEX(Attenuation!$J:$J,(INDEX(Cables!$AO:$AO,MATCH(G93,Cables!$A:$A,0))-1+MIN(MAX(IFERROR(MATCH(LN(D93),INDEX(Attenuation!$J:$J,INDEX(Cables!$AO:$AO,MATCH(G93,Cables!$A:$A,0))):INDEX(Attenuation!$J:$J,INDEX(Cables!$AO:$AO,MATCH(G93,Cables!$A:$A,0))+INDEX(Cables!$AP:$AP,MATCH(G93,Cables!$A:$A,0))-1),1),1),1),INDEX(Cables!$AP:$AP,MATCH(G93,Cables!$A:$A,0))-1))+1)))*0.3048)</f>
        <v>1.7281171414519476</v>
      </c>
      <c r="I93" s="43">
        <f>IF(G93="","",EXP(FORECAST(LN(E93),INDEX(Attenuation!$K:$K,(INDEX(Cables!$AO:$AO,MATCH(G93,Cables!$A:$A,0))-1+MIN(MAX(IFERROR(MATCH(LN(E93),INDEX(Attenuation!$J:$J,INDEX(Cables!$AO:$AO,MATCH(G93,Cables!$A:$A,0))):INDEX(Attenuation!$J:$J,INDEX(Cables!$AO:$AO,MATCH(G93,Cables!$A:$A,0))+INDEX(Cables!$AP:$AP,MATCH(G93,Cables!$A:$A,0))-1),1),1),1),INDEX(Cables!$AP:$AP,MATCH(G93,Cables!$A:$A,0))-1))):INDEX(Attenuation!$K:$K,(INDEX(Cables!$AO:$AO,MATCH(G93,Cables!$A:$A,0))-1+MIN(MAX(IFERROR(MATCH(LN(E93),INDEX(Attenuation!$J:$J,INDEX(Cables!$AO:$AO,MATCH(G93,Cables!$A:$A,0))):INDEX(Attenuation!$J:$J,INDEX(Cables!$AO:$AO,MATCH(G93,Cables!$A:$A,0))+INDEX(Cables!$AP:$AP,MATCH(G93,Cables!$A:$A,0))-1),1),1),1),INDEX(Cables!$AP:$AP,MATCH(G93,Cables!$A:$A,0))-1))+1),INDEX(Attenuation!$J:$J,(INDEX(Cables!$AO:$AO,MATCH(G93,Cables!$A:$A,0))-1+MIN(MAX(IFERROR(MATCH(LN(E93),INDEX(Attenuation!$J:$J,INDEX(Cables!$AO:$AO,MATCH(G93,Cables!$A:$A,0))):INDEX(Attenuation!$J:$J,INDEX(Cables!$AO:$AO,MATCH(G93,Cables!$A:$A,0))+INDEX(Cables!$AP:$AP,MATCH(G93,Cables!$A:$A,0))-1),1),1),1),INDEX(Cables!$AP:$AP,MATCH(G93,Cables!$A:$A,0))-1))):INDEX(Attenuation!$J:$J,(INDEX(Cables!$AO:$AO,MATCH(G93,Cables!$A:$A,0))-1+MIN(MAX(IFERROR(MATCH(LN(E93),INDEX(Attenuation!$J:$J,INDEX(Cables!$AO:$AO,MATCH(G93,Cables!$A:$A,0))):INDEX(Attenuation!$J:$J,INDEX(Cables!$AO:$AO,MATCH(G93,Cables!$A:$A,0))+INDEX(Cables!$AP:$AP,MATCH(G93,Cables!$A:$A,0))-1),1),1),1),INDEX(Cables!$AP:$AP,MATCH(G93,Cables!$A:$A,0))-1))+1)))*0.3048)</f>
        <v>2.1640800000000002</v>
      </c>
      <c r="J93" s="44">
        <f t="shared" si="1"/>
        <v>0</v>
      </c>
      <c r="K93" s="40" t="str">
        <f>IF(G93="","Doğrulanmadı",IF(ABS(J93)&lt;=0.1,"Uyumlu (±%10)",IF(ABS(J93)&lt;=0.25,"Fark %10-25","Fark &gt;%25"))&amp;IF(OR(D93&lt;INDEX(Cables!$AQ:$AQ,MATCH(G93,Cables!$A:$A,0)),E93&gt;INDEX(Cables!$AR:$AR,MATCH(G93,Cables!$A:$A,0)))," · ekstrapolasyon",""))</f>
        <v>Uyumlu (±%10)</v>
      </c>
    </row>
    <row r="94" spans="1:11" x14ac:dyDescent="0.25">
      <c r="A94" s="37" t="s">
        <v>2995</v>
      </c>
      <c r="B94" s="40" t="str">
        <f>INDEX(Legacy_Index!$D:$D,MATCH(A94,Legacy_Index!$A:$A,0))</f>
        <v>AIRBORNE 5™ Messi and Paoloni</v>
      </c>
      <c r="C94" s="37" t="s">
        <v>3113</v>
      </c>
      <c r="D94" s="37">
        <v>70</v>
      </c>
      <c r="E94" s="37">
        <v>100</v>
      </c>
      <c r="F94" s="37">
        <v>2.5</v>
      </c>
      <c r="G94" s="40" t="str">
        <f>IF(INDEX(Legacy_Index!$G:$G,MATCH(A94,Legacy_Index!$A:$A,0))="","",INDEX(Legacy_Index!$G:$G,MATCH(A94,Legacy_Index!$A:$A,0)))</f>
        <v>MP-AIRBORNE5</v>
      </c>
      <c r="H94" s="43">
        <f>IF(G94="","",EXP(FORECAST(LN(D94),INDEX(Attenuation!$K:$K,(INDEX(Cables!$AO:$AO,MATCH(G94,Cables!$A:$A,0))-1+MIN(MAX(IFERROR(MATCH(LN(D94),INDEX(Attenuation!$J:$J,INDEX(Cables!$AO:$AO,MATCH(G94,Cables!$A:$A,0))):INDEX(Attenuation!$J:$J,INDEX(Cables!$AO:$AO,MATCH(G94,Cables!$A:$A,0))+INDEX(Cables!$AP:$AP,MATCH(G94,Cables!$A:$A,0))-1),1),1),1),INDEX(Cables!$AP:$AP,MATCH(G94,Cables!$A:$A,0))-1))):INDEX(Attenuation!$K:$K,(INDEX(Cables!$AO:$AO,MATCH(G94,Cables!$A:$A,0))-1+MIN(MAX(IFERROR(MATCH(LN(D94),INDEX(Attenuation!$J:$J,INDEX(Cables!$AO:$AO,MATCH(G94,Cables!$A:$A,0))):INDEX(Attenuation!$J:$J,INDEX(Cables!$AO:$AO,MATCH(G94,Cables!$A:$A,0))+INDEX(Cables!$AP:$AP,MATCH(G94,Cables!$A:$A,0))-1),1),1),1),INDEX(Cables!$AP:$AP,MATCH(G94,Cables!$A:$A,0))-1))+1),INDEX(Attenuation!$J:$J,(INDEX(Cables!$AO:$AO,MATCH(G94,Cables!$A:$A,0))-1+MIN(MAX(IFERROR(MATCH(LN(D94),INDEX(Attenuation!$J:$J,INDEX(Cables!$AO:$AO,MATCH(G94,Cables!$A:$A,0))):INDEX(Attenuation!$J:$J,INDEX(Cables!$AO:$AO,MATCH(G94,Cables!$A:$A,0))+INDEX(Cables!$AP:$AP,MATCH(G94,Cables!$A:$A,0))-1),1),1),1),INDEX(Cables!$AP:$AP,MATCH(G94,Cables!$A:$A,0))-1))):INDEX(Attenuation!$J:$J,(INDEX(Cables!$AO:$AO,MATCH(G94,Cables!$A:$A,0))-1+MIN(MAX(IFERROR(MATCH(LN(D94),INDEX(Attenuation!$J:$J,INDEX(Cables!$AO:$AO,MATCH(G94,Cables!$A:$A,0))):INDEX(Attenuation!$J:$J,INDEX(Cables!$AO:$AO,MATCH(G94,Cables!$A:$A,0))+INDEX(Cables!$AP:$AP,MATCH(G94,Cables!$A:$A,0))-1),1),1),1),INDEX(Cables!$AP:$AP,MATCH(G94,Cables!$A:$A,0))-1))+1)))*0.3048)</f>
        <v>2.4798878366068768</v>
      </c>
      <c r="I94" s="43">
        <f>IF(G94="","",EXP(FORECAST(LN(E94),INDEX(Attenuation!$K:$K,(INDEX(Cables!$AO:$AO,MATCH(G94,Cables!$A:$A,0))-1+MIN(MAX(IFERROR(MATCH(LN(E94),INDEX(Attenuation!$J:$J,INDEX(Cables!$AO:$AO,MATCH(G94,Cables!$A:$A,0))):INDEX(Attenuation!$J:$J,INDEX(Cables!$AO:$AO,MATCH(G94,Cables!$A:$A,0))+INDEX(Cables!$AP:$AP,MATCH(G94,Cables!$A:$A,0))-1),1),1),1),INDEX(Cables!$AP:$AP,MATCH(G94,Cables!$A:$A,0))-1))):INDEX(Attenuation!$K:$K,(INDEX(Cables!$AO:$AO,MATCH(G94,Cables!$A:$A,0))-1+MIN(MAX(IFERROR(MATCH(LN(E94),INDEX(Attenuation!$J:$J,INDEX(Cables!$AO:$AO,MATCH(G94,Cables!$A:$A,0))):INDEX(Attenuation!$J:$J,INDEX(Cables!$AO:$AO,MATCH(G94,Cables!$A:$A,0))+INDEX(Cables!$AP:$AP,MATCH(G94,Cables!$A:$A,0))-1),1),1),1),INDEX(Cables!$AP:$AP,MATCH(G94,Cables!$A:$A,0))-1))+1),INDEX(Attenuation!$J:$J,(INDEX(Cables!$AO:$AO,MATCH(G94,Cables!$A:$A,0))-1+MIN(MAX(IFERROR(MATCH(LN(E94),INDEX(Attenuation!$J:$J,INDEX(Cables!$AO:$AO,MATCH(G94,Cables!$A:$A,0))):INDEX(Attenuation!$J:$J,INDEX(Cables!$AO:$AO,MATCH(G94,Cables!$A:$A,0))+INDEX(Cables!$AP:$AP,MATCH(G94,Cables!$A:$A,0))-1),1),1),1),INDEX(Cables!$AP:$AP,MATCH(G94,Cables!$A:$A,0))-1))):INDEX(Attenuation!$J:$J,(INDEX(Cables!$AO:$AO,MATCH(G94,Cables!$A:$A,0))-1+MIN(MAX(IFERROR(MATCH(LN(E94),INDEX(Attenuation!$J:$J,INDEX(Cables!$AO:$AO,MATCH(G94,Cables!$A:$A,0))):INDEX(Attenuation!$J:$J,INDEX(Cables!$AO:$AO,MATCH(G94,Cables!$A:$A,0))+INDEX(Cables!$AP:$AP,MATCH(G94,Cables!$A:$A,0))-1),1),1),1),INDEX(Cables!$AP:$AP,MATCH(G94,Cables!$A:$A,0))-1))+1)))*0.3048)</f>
        <v>2.8651199999999992</v>
      </c>
      <c r="J94" s="44">
        <f t="shared" si="1"/>
        <v>0</v>
      </c>
      <c r="K94" s="40" t="str">
        <f>IF(G94="","Doğrulanmadı",IF(ABS(J94)&lt;=0.1,"Uyumlu (±%10)",IF(ABS(J94)&lt;=0.25,"Fark %10-25","Fark &gt;%25"))&amp;IF(OR(D94&lt;INDEX(Cables!$AQ:$AQ,MATCH(G94,Cables!$A:$A,0)),E94&gt;INDEX(Cables!$AR:$AR,MATCH(G94,Cables!$A:$A,0)))," · ekstrapolasyon",""))</f>
        <v>Uyumlu (±%10)</v>
      </c>
    </row>
    <row r="95" spans="1:11" x14ac:dyDescent="0.25">
      <c r="A95" s="37" t="s">
        <v>2995</v>
      </c>
      <c r="B95" s="40" t="str">
        <f>INDEX(Legacy_Index!$D:$D,MATCH(A95,Legacy_Index!$A:$A,0))</f>
        <v>AIRBORNE 5™ Messi and Paoloni</v>
      </c>
      <c r="C95" s="37" t="s">
        <v>3114</v>
      </c>
      <c r="D95" s="37">
        <v>148</v>
      </c>
      <c r="E95" s="37">
        <v>174</v>
      </c>
      <c r="F95" s="37">
        <v>3.3</v>
      </c>
      <c r="G95" s="40" t="str">
        <f>IF(INDEX(Legacy_Index!$G:$G,MATCH(A95,Legacy_Index!$A:$A,0))="","",INDEX(Legacy_Index!$G:$G,MATCH(A95,Legacy_Index!$A:$A,0)))</f>
        <v>MP-AIRBORNE5</v>
      </c>
      <c r="H95" s="43">
        <f>IF(G95="","",EXP(FORECAST(LN(D95),INDEX(Attenuation!$K:$K,(INDEX(Cables!$AO:$AO,MATCH(G95,Cables!$A:$A,0))-1+MIN(MAX(IFERROR(MATCH(LN(D95),INDEX(Attenuation!$J:$J,INDEX(Cables!$AO:$AO,MATCH(G95,Cables!$A:$A,0))):INDEX(Attenuation!$J:$J,INDEX(Cables!$AO:$AO,MATCH(G95,Cables!$A:$A,0))+INDEX(Cables!$AP:$AP,MATCH(G95,Cables!$A:$A,0))-1),1),1),1),INDEX(Cables!$AP:$AP,MATCH(G95,Cables!$A:$A,0))-1))):INDEX(Attenuation!$K:$K,(INDEX(Cables!$AO:$AO,MATCH(G95,Cables!$A:$A,0))-1+MIN(MAX(IFERROR(MATCH(LN(D95),INDEX(Attenuation!$J:$J,INDEX(Cables!$AO:$AO,MATCH(G95,Cables!$A:$A,0))):INDEX(Attenuation!$J:$J,INDEX(Cables!$AO:$AO,MATCH(G95,Cables!$A:$A,0))+INDEX(Cables!$AP:$AP,MATCH(G95,Cables!$A:$A,0))-1),1),1),1),INDEX(Cables!$AP:$AP,MATCH(G95,Cables!$A:$A,0))-1))+1),INDEX(Attenuation!$J:$J,(INDEX(Cables!$AO:$AO,MATCH(G95,Cables!$A:$A,0))-1+MIN(MAX(IFERROR(MATCH(LN(D95),INDEX(Attenuation!$J:$J,INDEX(Cables!$AO:$AO,MATCH(G95,Cables!$A:$A,0))):INDEX(Attenuation!$J:$J,INDEX(Cables!$AO:$AO,MATCH(G95,Cables!$A:$A,0))+INDEX(Cables!$AP:$AP,MATCH(G95,Cables!$A:$A,0))-1),1),1),1),INDEX(Cables!$AP:$AP,MATCH(G95,Cables!$A:$A,0))-1))):INDEX(Attenuation!$J:$J,(INDEX(Cables!$AO:$AO,MATCH(G95,Cables!$A:$A,0))-1+MIN(MAX(IFERROR(MATCH(LN(D95),INDEX(Attenuation!$J:$J,INDEX(Cables!$AO:$AO,MATCH(G95,Cables!$A:$A,0))):INDEX(Attenuation!$J:$J,INDEX(Cables!$AO:$AO,MATCH(G95,Cables!$A:$A,0))+INDEX(Cables!$AP:$AP,MATCH(G95,Cables!$A:$A,0))-1),1),1),1),INDEX(Cables!$AP:$AP,MATCH(G95,Cables!$A:$A,0))-1))+1)))*0.3048)</f>
        <v>3.4237310646355197</v>
      </c>
      <c r="I95" s="43">
        <f>IF(G95="","",EXP(FORECAST(LN(E95),INDEX(Attenuation!$K:$K,(INDEX(Cables!$AO:$AO,MATCH(G95,Cables!$A:$A,0))-1+MIN(MAX(IFERROR(MATCH(LN(E95),INDEX(Attenuation!$J:$J,INDEX(Cables!$AO:$AO,MATCH(G95,Cables!$A:$A,0))):INDEX(Attenuation!$J:$J,INDEX(Cables!$AO:$AO,MATCH(G95,Cables!$A:$A,0))+INDEX(Cables!$AP:$AP,MATCH(G95,Cables!$A:$A,0))-1),1),1),1),INDEX(Cables!$AP:$AP,MATCH(G95,Cables!$A:$A,0))-1))):INDEX(Attenuation!$K:$K,(INDEX(Cables!$AO:$AO,MATCH(G95,Cables!$A:$A,0))-1+MIN(MAX(IFERROR(MATCH(LN(E95),INDEX(Attenuation!$J:$J,INDEX(Cables!$AO:$AO,MATCH(G95,Cables!$A:$A,0))):INDEX(Attenuation!$J:$J,INDEX(Cables!$AO:$AO,MATCH(G95,Cables!$A:$A,0))+INDEX(Cables!$AP:$AP,MATCH(G95,Cables!$A:$A,0))-1),1),1),1),INDEX(Cables!$AP:$AP,MATCH(G95,Cables!$A:$A,0))-1))+1),INDEX(Attenuation!$J:$J,(INDEX(Cables!$AO:$AO,MATCH(G95,Cables!$A:$A,0))-1+MIN(MAX(IFERROR(MATCH(LN(E95),INDEX(Attenuation!$J:$J,INDEX(Cables!$AO:$AO,MATCH(G95,Cables!$A:$A,0))):INDEX(Attenuation!$J:$J,INDEX(Cables!$AO:$AO,MATCH(G95,Cables!$A:$A,0))+INDEX(Cables!$AP:$AP,MATCH(G95,Cables!$A:$A,0))-1),1),1),1),INDEX(Cables!$AP:$AP,MATCH(G95,Cables!$A:$A,0))-1))):INDEX(Attenuation!$J:$J,(INDEX(Cables!$AO:$AO,MATCH(G95,Cables!$A:$A,0))-1+MIN(MAX(IFERROR(MATCH(LN(E95),INDEX(Attenuation!$J:$J,INDEX(Cables!$AO:$AO,MATCH(G95,Cables!$A:$A,0))):INDEX(Attenuation!$J:$J,INDEX(Cables!$AO:$AO,MATCH(G95,Cables!$A:$A,0))+INDEX(Cables!$AP:$AP,MATCH(G95,Cables!$A:$A,0))-1),1),1),1),INDEX(Cables!$AP:$AP,MATCH(G95,Cables!$A:$A,0))-1))+1)))*0.3048)</f>
        <v>3.6727325582090291</v>
      </c>
      <c r="J95" s="44">
        <f t="shared" si="1"/>
        <v>-3.6139247592652857E-2</v>
      </c>
      <c r="K95" s="40" t="str">
        <f>IF(G95="","Doğrulanmadı",IF(ABS(J95)&lt;=0.1,"Uyumlu (±%10)",IF(ABS(J95)&lt;=0.25,"Fark %10-25","Fark &gt;%25"))&amp;IF(OR(D95&lt;INDEX(Cables!$AQ:$AQ,MATCH(G95,Cables!$A:$A,0)),E95&gt;INDEX(Cables!$AR:$AR,MATCH(G95,Cables!$A:$A,0)))," · ekstrapolasyon",""))</f>
        <v>Uyumlu (±%10)</v>
      </c>
    </row>
    <row r="96" spans="1:11" x14ac:dyDescent="0.25">
      <c r="A96" s="37" t="s">
        <v>2995</v>
      </c>
      <c r="B96" s="40" t="str">
        <f>INDEX(Legacy_Index!$D:$D,MATCH(A96,Legacy_Index!$A:$A,0))</f>
        <v>AIRBORNE 5™ Messi and Paoloni</v>
      </c>
      <c r="C96" s="37" t="s">
        <v>3119</v>
      </c>
      <c r="D96" s="37">
        <v>220</v>
      </c>
      <c r="E96" s="37">
        <v>220</v>
      </c>
      <c r="F96" s="37">
        <v>4</v>
      </c>
      <c r="G96" s="40" t="str">
        <f>IF(INDEX(Legacy_Index!$G:$G,MATCH(A96,Legacy_Index!$A:$A,0))="","",INDEX(Legacy_Index!$G:$G,MATCH(A96,Legacy_Index!$A:$A,0)))</f>
        <v>MP-AIRBORNE5</v>
      </c>
      <c r="H96" s="43">
        <f>IF(G96="","",EXP(FORECAST(LN(D96),INDEX(Attenuation!$K:$K,(INDEX(Cables!$AO:$AO,MATCH(G96,Cables!$A:$A,0))-1+MIN(MAX(IFERROR(MATCH(LN(D96),INDEX(Attenuation!$J:$J,INDEX(Cables!$AO:$AO,MATCH(G96,Cables!$A:$A,0))):INDEX(Attenuation!$J:$J,INDEX(Cables!$AO:$AO,MATCH(G96,Cables!$A:$A,0))+INDEX(Cables!$AP:$AP,MATCH(G96,Cables!$A:$A,0))-1),1),1),1),INDEX(Cables!$AP:$AP,MATCH(G96,Cables!$A:$A,0))-1))):INDEX(Attenuation!$K:$K,(INDEX(Cables!$AO:$AO,MATCH(G96,Cables!$A:$A,0))-1+MIN(MAX(IFERROR(MATCH(LN(D96),INDEX(Attenuation!$J:$J,INDEX(Cables!$AO:$AO,MATCH(G96,Cables!$A:$A,0))):INDEX(Attenuation!$J:$J,INDEX(Cables!$AO:$AO,MATCH(G96,Cables!$A:$A,0))+INDEX(Cables!$AP:$AP,MATCH(G96,Cables!$A:$A,0))-1),1),1),1),INDEX(Cables!$AP:$AP,MATCH(G96,Cables!$A:$A,0))-1))+1),INDEX(Attenuation!$J:$J,(INDEX(Cables!$AO:$AO,MATCH(G96,Cables!$A:$A,0))-1+MIN(MAX(IFERROR(MATCH(LN(D96),INDEX(Attenuation!$J:$J,INDEX(Cables!$AO:$AO,MATCH(G96,Cables!$A:$A,0))):INDEX(Attenuation!$J:$J,INDEX(Cables!$AO:$AO,MATCH(G96,Cables!$A:$A,0))+INDEX(Cables!$AP:$AP,MATCH(G96,Cables!$A:$A,0))-1),1),1),1),INDEX(Cables!$AP:$AP,MATCH(G96,Cables!$A:$A,0))-1))):INDEX(Attenuation!$J:$J,(INDEX(Cables!$AO:$AO,MATCH(G96,Cables!$A:$A,0))-1+MIN(MAX(IFERROR(MATCH(LN(D96),INDEX(Attenuation!$J:$J,INDEX(Cables!$AO:$AO,MATCH(G96,Cables!$A:$A,0))):INDEX(Attenuation!$J:$J,INDEX(Cables!$AO:$AO,MATCH(G96,Cables!$A:$A,0))+INDEX(Cables!$AP:$AP,MATCH(G96,Cables!$A:$A,0))-1),1),1),1),INDEX(Cables!$AP:$AP,MATCH(G96,Cables!$A:$A,0))-1))+1)))*0.3048)</f>
        <v>4.097992255816453</v>
      </c>
      <c r="I96" s="43">
        <f>IF(G96="","",EXP(FORECAST(LN(E96),INDEX(Attenuation!$K:$K,(INDEX(Cables!$AO:$AO,MATCH(G96,Cables!$A:$A,0))-1+MIN(MAX(IFERROR(MATCH(LN(E96),INDEX(Attenuation!$J:$J,INDEX(Cables!$AO:$AO,MATCH(G96,Cables!$A:$A,0))):INDEX(Attenuation!$J:$J,INDEX(Cables!$AO:$AO,MATCH(G96,Cables!$A:$A,0))+INDEX(Cables!$AP:$AP,MATCH(G96,Cables!$A:$A,0))-1),1),1),1),INDEX(Cables!$AP:$AP,MATCH(G96,Cables!$A:$A,0))-1))):INDEX(Attenuation!$K:$K,(INDEX(Cables!$AO:$AO,MATCH(G96,Cables!$A:$A,0))-1+MIN(MAX(IFERROR(MATCH(LN(E96),INDEX(Attenuation!$J:$J,INDEX(Cables!$AO:$AO,MATCH(G96,Cables!$A:$A,0))):INDEX(Attenuation!$J:$J,INDEX(Cables!$AO:$AO,MATCH(G96,Cables!$A:$A,0))+INDEX(Cables!$AP:$AP,MATCH(G96,Cables!$A:$A,0))-1),1),1),1),INDEX(Cables!$AP:$AP,MATCH(G96,Cables!$A:$A,0))-1))+1),INDEX(Attenuation!$J:$J,(INDEX(Cables!$AO:$AO,MATCH(G96,Cables!$A:$A,0))-1+MIN(MAX(IFERROR(MATCH(LN(E96),INDEX(Attenuation!$J:$J,INDEX(Cables!$AO:$AO,MATCH(G96,Cables!$A:$A,0))):INDEX(Attenuation!$J:$J,INDEX(Cables!$AO:$AO,MATCH(G96,Cables!$A:$A,0))+INDEX(Cables!$AP:$AP,MATCH(G96,Cables!$A:$A,0))-1),1),1),1),INDEX(Cables!$AP:$AP,MATCH(G96,Cables!$A:$A,0))-1))):INDEX(Attenuation!$J:$J,(INDEX(Cables!$AO:$AO,MATCH(G96,Cables!$A:$A,0))-1+MIN(MAX(IFERROR(MATCH(LN(E96),INDEX(Attenuation!$J:$J,INDEX(Cables!$AO:$AO,MATCH(G96,Cables!$A:$A,0))):INDEX(Attenuation!$J:$J,INDEX(Cables!$AO:$AO,MATCH(G96,Cables!$A:$A,0))+INDEX(Cables!$AP:$AP,MATCH(G96,Cables!$A:$A,0))-1),1),1),1),INDEX(Cables!$AP:$AP,MATCH(G96,Cables!$A:$A,0))-1))+1)))*0.3048)</f>
        <v>4.097992255816453</v>
      </c>
      <c r="J96" s="44">
        <f t="shared" si="1"/>
        <v>-2.3912259882231002E-2</v>
      </c>
      <c r="K96" s="40" t="str">
        <f>IF(G96="","Doğrulanmadı",IF(ABS(J96)&lt;=0.1,"Uyumlu (±%10)",IF(ABS(J96)&lt;=0.25,"Fark %10-25","Fark &gt;%25"))&amp;IF(OR(D96&lt;INDEX(Cables!$AQ:$AQ,MATCH(G96,Cables!$A:$A,0)),E96&gt;INDEX(Cables!$AR:$AR,MATCH(G96,Cables!$A:$A,0)))," · ekstrapolasyon",""))</f>
        <v>Uyumlu (±%10)</v>
      </c>
    </row>
    <row r="97" spans="1:11" x14ac:dyDescent="0.25">
      <c r="A97" s="37" t="s">
        <v>2995</v>
      </c>
      <c r="B97" s="40" t="str">
        <f>INDEX(Legacy_Index!$D:$D,MATCH(A97,Legacy_Index!$A:$A,0))</f>
        <v>AIRBORNE 5™ Messi and Paoloni</v>
      </c>
      <c r="C97" s="37" t="s">
        <v>3115</v>
      </c>
      <c r="D97" s="37">
        <v>400</v>
      </c>
      <c r="E97" s="37">
        <v>520</v>
      </c>
      <c r="F97" s="37">
        <v>6</v>
      </c>
      <c r="G97" s="40" t="str">
        <f>IF(INDEX(Legacy_Index!$G:$G,MATCH(A97,Legacy_Index!$A:$A,0))="","",INDEX(Legacy_Index!$G:$G,MATCH(A97,Legacy_Index!$A:$A,0)))</f>
        <v>MP-AIRBORNE5</v>
      </c>
      <c r="H97" s="43">
        <f>IF(G97="","",EXP(FORECAST(LN(D97),INDEX(Attenuation!$K:$K,(INDEX(Cables!$AO:$AO,MATCH(G97,Cables!$A:$A,0))-1+MIN(MAX(IFERROR(MATCH(LN(D97),INDEX(Attenuation!$J:$J,INDEX(Cables!$AO:$AO,MATCH(G97,Cables!$A:$A,0))):INDEX(Attenuation!$J:$J,INDEX(Cables!$AO:$AO,MATCH(G97,Cables!$A:$A,0))+INDEX(Cables!$AP:$AP,MATCH(G97,Cables!$A:$A,0))-1),1),1),1),INDEX(Cables!$AP:$AP,MATCH(G97,Cables!$A:$A,0))-1))):INDEX(Attenuation!$K:$K,(INDEX(Cables!$AO:$AO,MATCH(G97,Cables!$A:$A,0))-1+MIN(MAX(IFERROR(MATCH(LN(D97),INDEX(Attenuation!$J:$J,INDEX(Cables!$AO:$AO,MATCH(G97,Cables!$A:$A,0))):INDEX(Attenuation!$J:$J,INDEX(Cables!$AO:$AO,MATCH(G97,Cables!$A:$A,0))+INDEX(Cables!$AP:$AP,MATCH(G97,Cables!$A:$A,0))-1),1),1),1),INDEX(Cables!$AP:$AP,MATCH(G97,Cables!$A:$A,0))-1))+1),INDEX(Attenuation!$J:$J,(INDEX(Cables!$AO:$AO,MATCH(G97,Cables!$A:$A,0))-1+MIN(MAX(IFERROR(MATCH(LN(D97),INDEX(Attenuation!$J:$J,INDEX(Cables!$AO:$AO,MATCH(G97,Cables!$A:$A,0))):INDEX(Attenuation!$J:$J,INDEX(Cables!$AO:$AO,MATCH(G97,Cables!$A:$A,0))+INDEX(Cables!$AP:$AP,MATCH(G97,Cables!$A:$A,0))-1),1),1),1),INDEX(Cables!$AP:$AP,MATCH(G97,Cables!$A:$A,0))-1))):INDEX(Attenuation!$J:$J,(INDEX(Cables!$AO:$AO,MATCH(G97,Cables!$A:$A,0))-1+MIN(MAX(IFERROR(MATCH(LN(D97),INDEX(Attenuation!$J:$J,INDEX(Cables!$AO:$AO,MATCH(G97,Cables!$A:$A,0))):INDEX(Attenuation!$J:$J,INDEX(Cables!$AO:$AO,MATCH(G97,Cables!$A:$A,0))+INDEX(Cables!$AP:$AP,MATCH(G97,Cables!$A:$A,0))-1),1),1),1),INDEX(Cables!$AP:$AP,MATCH(G97,Cables!$A:$A,0))-1))+1)))*0.3048)</f>
        <v>5.5778400000000019</v>
      </c>
      <c r="I97" s="43">
        <f>IF(G97="","",EXP(FORECAST(LN(E97),INDEX(Attenuation!$K:$K,(INDEX(Cables!$AO:$AO,MATCH(G97,Cables!$A:$A,0))-1+MIN(MAX(IFERROR(MATCH(LN(E97),INDEX(Attenuation!$J:$J,INDEX(Cables!$AO:$AO,MATCH(G97,Cables!$A:$A,0))):INDEX(Attenuation!$J:$J,INDEX(Cables!$AO:$AO,MATCH(G97,Cables!$A:$A,0))+INDEX(Cables!$AP:$AP,MATCH(G97,Cables!$A:$A,0))-1),1),1),1),INDEX(Cables!$AP:$AP,MATCH(G97,Cables!$A:$A,0))-1))):INDEX(Attenuation!$K:$K,(INDEX(Cables!$AO:$AO,MATCH(G97,Cables!$A:$A,0))-1+MIN(MAX(IFERROR(MATCH(LN(E97),INDEX(Attenuation!$J:$J,INDEX(Cables!$AO:$AO,MATCH(G97,Cables!$A:$A,0))):INDEX(Attenuation!$J:$J,INDEX(Cables!$AO:$AO,MATCH(G97,Cables!$A:$A,0))+INDEX(Cables!$AP:$AP,MATCH(G97,Cables!$A:$A,0))-1),1),1),1),INDEX(Cables!$AP:$AP,MATCH(G97,Cables!$A:$A,0))-1))+1),INDEX(Attenuation!$J:$J,(INDEX(Cables!$AO:$AO,MATCH(G97,Cables!$A:$A,0))-1+MIN(MAX(IFERROR(MATCH(LN(E97),INDEX(Attenuation!$J:$J,INDEX(Cables!$AO:$AO,MATCH(G97,Cables!$A:$A,0))):INDEX(Attenuation!$J:$J,INDEX(Cables!$AO:$AO,MATCH(G97,Cables!$A:$A,0))+INDEX(Cables!$AP:$AP,MATCH(G97,Cables!$A:$A,0))-1),1),1),1),INDEX(Cables!$AP:$AP,MATCH(G97,Cables!$A:$A,0))-1))):INDEX(Attenuation!$J:$J,(INDEX(Cables!$AO:$AO,MATCH(G97,Cables!$A:$A,0))-1+MIN(MAX(IFERROR(MATCH(LN(E97),INDEX(Attenuation!$J:$J,INDEX(Cables!$AO:$AO,MATCH(G97,Cables!$A:$A,0))):INDEX(Attenuation!$J:$J,INDEX(Cables!$AO:$AO,MATCH(G97,Cables!$A:$A,0))+INDEX(Cables!$AP:$AP,MATCH(G97,Cables!$A:$A,0))-1),1),1),1),INDEX(Cables!$AP:$AP,MATCH(G97,Cables!$A:$A,0))-1))+1)))*0.3048)</f>
        <v>6.4120906163788307</v>
      </c>
      <c r="J97" s="44">
        <f t="shared" si="1"/>
        <v>0</v>
      </c>
      <c r="K97" s="40" t="str">
        <f>IF(G97="","Doğrulanmadı",IF(ABS(J97)&lt;=0.1,"Uyumlu (±%10)",IF(ABS(J97)&lt;=0.25,"Fark %10-25","Fark &gt;%25"))&amp;IF(OR(D97&lt;INDEX(Cables!$AQ:$AQ,MATCH(G97,Cables!$A:$A,0)),E97&gt;INDEX(Cables!$AR:$AR,MATCH(G97,Cables!$A:$A,0)))," · ekstrapolasyon",""))</f>
        <v>Uyumlu (±%10)</v>
      </c>
    </row>
    <row r="98" spans="1:11" x14ac:dyDescent="0.25">
      <c r="A98" s="37" t="s">
        <v>2995</v>
      </c>
      <c r="B98" s="40" t="str">
        <f>INDEX(Legacy_Index!$D:$D,MATCH(A98,Legacy_Index!$A:$A,0))</f>
        <v>AIRBORNE 5™ Messi and Paoloni</v>
      </c>
      <c r="C98" s="37" t="s">
        <v>3116</v>
      </c>
      <c r="D98" s="37">
        <v>700</v>
      </c>
      <c r="E98" s="37">
        <v>960</v>
      </c>
      <c r="F98" s="37">
        <v>8.1</v>
      </c>
      <c r="G98" s="40" t="str">
        <f>IF(INDEX(Legacy_Index!$G:$G,MATCH(A98,Legacy_Index!$A:$A,0))="","",INDEX(Legacy_Index!$G:$G,MATCH(A98,Legacy_Index!$A:$A,0)))</f>
        <v>MP-AIRBORNE5</v>
      </c>
      <c r="H98" s="43">
        <f>IF(G98="","",EXP(FORECAST(LN(D98),INDEX(Attenuation!$K:$K,(INDEX(Cables!$AO:$AO,MATCH(G98,Cables!$A:$A,0))-1+MIN(MAX(IFERROR(MATCH(LN(D98),INDEX(Attenuation!$J:$J,INDEX(Cables!$AO:$AO,MATCH(G98,Cables!$A:$A,0))):INDEX(Attenuation!$J:$J,INDEX(Cables!$AO:$AO,MATCH(G98,Cables!$A:$A,0))+INDEX(Cables!$AP:$AP,MATCH(G98,Cables!$A:$A,0))-1),1),1),1),INDEX(Cables!$AP:$AP,MATCH(G98,Cables!$A:$A,0))-1))):INDEX(Attenuation!$K:$K,(INDEX(Cables!$AO:$AO,MATCH(G98,Cables!$A:$A,0))-1+MIN(MAX(IFERROR(MATCH(LN(D98),INDEX(Attenuation!$J:$J,INDEX(Cables!$AO:$AO,MATCH(G98,Cables!$A:$A,0))):INDEX(Attenuation!$J:$J,INDEX(Cables!$AO:$AO,MATCH(G98,Cables!$A:$A,0))+INDEX(Cables!$AP:$AP,MATCH(G98,Cables!$A:$A,0))-1),1),1),1),INDEX(Cables!$AP:$AP,MATCH(G98,Cables!$A:$A,0))-1))+1),INDEX(Attenuation!$J:$J,(INDEX(Cables!$AO:$AO,MATCH(G98,Cables!$A:$A,0))-1+MIN(MAX(IFERROR(MATCH(LN(D98),INDEX(Attenuation!$J:$J,INDEX(Cables!$AO:$AO,MATCH(G98,Cables!$A:$A,0))):INDEX(Attenuation!$J:$J,INDEX(Cables!$AO:$AO,MATCH(G98,Cables!$A:$A,0))+INDEX(Cables!$AP:$AP,MATCH(G98,Cables!$A:$A,0))-1),1),1),1),INDEX(Cables!$AP:$AP,MATCH(G98,Cables!$A:$A,0))-1))):INDEX(Attenuation!$J:$J,(INDEX(Cables!$AO:$AO,MATCH(G98,Cables!$A:$A,0))-1+MIN(MAX(IFERROR(MATCH(LN(D98),INDEX(Attenuation!$J:$J,INDEX(Cables!$AO:$AO,MATCH(G98,Cables!$A:$A,0))):INDEX(Attenuation!$J:$J,INDEX(Cables!$AO:$AO,MATCH(G98,Cables!$A:$A,0))+INDEX(Cables!$AP:$AP,MATCH(G98,Cables!$A:$A,0))-1),1),1),1),INDEX(Cables!$AP:$AP,MATCH(G98,Cables!$A:$A,0))-1))+1)))*0.3048)</f>
        <v>7.5193881175381954</v>
      </c>
      <c r="I98" s="43">
        <f>IF(G98="","",EXP(FORECAST(LN(E98),INDEX(Attenuation!$K:$K,(INDEX(Cables!$AO:$AO,MATCH(G98,Cables!$A:$A,0))-1+MIN(MAX(IFERROR(MATCH(LN(E98),INDEX(Attenuation!$J:$J,INDEX(Cables!$AO:$AO,MATCH(G98,Cables!$A:$A,0))):INDEX(Attenuation!$J:$J,INDEX(Cables!$AO:$AO,MATCH(G98,Cables!$A:$A,0))+INDEX(Cables!$AP:$AP,MATCH(G98,Cables!$A:$A,0))-1),1),1),1),INDEX(Cables!$AP:$AP,MATCH(G98,Cables!$A:$A,0))-1))):INDEX(Attenuation!$K:$K,(INDEX(Cables!$AO:$AO,MATCH(G98,Cables!$A:$A,0))-1+MIN(MAX(IFERROR(MATCH(LN(E98),INDEX(Attenuation!$J:$J,INDEX(Cables!$AO:$AO,MATCH(G98,Cables!$A:$A,0))):INDEX(Attenuation!$J:$J,INDEX(Cables!$AO:$AO,MATCH(G98,Cables!$A:$A,0))+INDEX(Cables!$AP:$AP,MATCH(G98,Cables!$A:$A,0))-1),1),1),1),INDEX(Cables!$AP:$AP,MATCH(G98,Cables!$A:$A,0))-1))+1),INDEX(Attenuation!$J:$J,(INDEX(Cables!$AO:$AO,MATCH(G98,Cables!$A:$A,0))-1+MIN(MAX(IFERROR(MATCH(LN(E98),INDEX(Attenuation!$J:$J,INDEX(Cables!$AO:$AO,MATCH(G98,Cables!$A:$A,0))):INDEX(Attenuation!$J:$J,INDEX(Cables!$AO:$AO,MATCH(G98,Cables!$A:$A,0))+INDEX(Cables!$AP:$AP,MATCH(G98,Cables!$A:$A,0))-1),1),1),1),INDEX(Cables!$AP:$AP,MATCH(G98,Cables!$A:$A,0))-1))):INDEX(Attenuation!$J:$J,(INDEX(Cables!$AO:$AO,MATCH(G98,Cables!$A:$A,0))-1+MIN(MAX(IFERROR(MATCH(LN(E98),INDEX(Attenuation!$J:$J,INDEX(Cables!$AO:$AO,MATCH(G98,Cables!$A:$A,0))):INDEX(Attenuation!$J:$J,INDEX(Cables!$AO:$AO,MATCH(G98,Cables!$A:$A,0))+INDEX(Cables!$AP:$AP,MATCH(G98,Cables!$A:$A,0))-1),1),1),1),INDEX(Cables!$AP:$AP,MATCH(G98,Cables!$A:$A,0))-1))+1)))*0.3048)</f>
        <v>8.8901006460358314</v>
      </c>
      <c r="J98" s="44">
        <f t="shared" si="1"/>
        <v>0</v>
      </c>
      <c r="K98" s="40" t="str">
        <f>IF(G98="","Doğrulanmadı",IF(ABS(J98)&lt;=0.1,"Uyumlu (±%10)",IF(ABS(J98)&lt;=0.25,"Fark %10-25","Fark &gt;%25"))&amp;IF(OR(D98&lt;INDEX(Cables!$AQ:$AQ,MATCH(G98,Cables!$A:$A,0)),E98&gt;INDEX(Cables!$AR:$AR,MATCH(G98,Cables!$A:$A,0)))," · ekstrapolasyon",""))</f>
        <v>Uyumlu (±%10)</v>
      </c>
    </row>
    <row r="99" spans="1:11" x14ac:dyDescent="0.25">
      <c r="A99" s="37" t="s">
        <v>2995</v>
      </c>
      <c r="B99" s="40" t="str">
        <f>INDEX(Legacy_Index!$D:$D,MATCH(A99,Legacy_Index!$A:$A,0))</f>
        <v>AIRBORNE 5™ Messi and Paoloni</v>
      </c>
      <c r="C99" s="37" t="s">
        <v>3120</v>
      </c>
      <c r="D99" s="37">
        <v>1200</v>
      </c>
      <c r="E99" s="37">
        <v>1300</v>
      </c>
      <c r="F99" s="37">
        <v>10.4</v>
      </c>
      <c r="G99" s="40" t="str">
        <f>IF(INDEX(Legacy_Index!$G:$G,MATCH(A99,Legacy_Index!$A:$A,0))="","",INDEX(Legacy_Index!$G:$G,MATCH(A99,Legacy_Index!$A:$A,0)))</f>
        <v>MP-AIRBORNE5</v>
      </c>
      <c r="H99" s="43">
        <f>IF(G99="","",EXP(FORECAST(LN(D99),INDEX(Attenuation!$K:$K,(INDEX(Cables!$AO:$AO,MATCH(G99,Cables!$A:$A,0))-1+MIN(MAX(IFERROR(MATCH(LN(D99),INDEX(Attenuation!$J:$J,INDEX(Cables!$AO:$AO,MATCH(G99,Cables!$A:$A,0))):INDEX(Attenuation!$J:$J,INDEX(Cables!$AO:$AO,MATCH(G99,Cables!$A:$A,0))+INDEX(Cables!$AP:$AP,MATCH(G99,Cables!$A:$A,0))-1),1),1),1),INDEX(Cables!$AP:$AP,MATCH(G99,Cables!$A:$A,0))-1))):INDEX(Attenuation!$K:$K,(INDEX(Cables!$AO:$AO,MATCH(G99,Cables!$A:$A,0))-1+MIN(MAX(IFERROR(MATCH(LN(D99),INDEX(Attenuation!$J:$J,INDEX(Cables!$AO:$AO,MATCH(G99,Cables!$A:$A,0))):INDEX(Attenuation!$J:$J,INDEX(Cables!$AO:$AO,MATCH(G99,Cables!$A:$A,0))+INDEX(Cables!$AP:$AP,MATCH(G99,Cables!$A:$A,0))-1),1),1),1),INDEX(Cables!$AP:$AP,MATCH(G99,Cables!$A:$A,0))-1))+1),INDEX(Attenuation!$J:$J,(INDEX(Cables!$AO:$AO,MATCH(G99,Cables!$A:$A,0))-1+MIN(MAX(IFERROR(MATCH(LN(D99),INDEX(Attenuation!$J:$J,INDEX(Cables!$AO:$AO,MATCH(G99,Cables!$A:$A,0))):INDEX(Attenuation!$J:$J,INDEX(Cables!$AO:$AO,MATCH(G99,Cables!$A:$A,0))+INDEX(Cables!$AP:$AP,MATCH(G99,Cables!$A:$A,0))-1),1),1),1),INDEX(Cables!$AP:$AP,MATCH(G99,Cables!$A:$A,0))-1))):INDEX(Attenuation!$J:$J,(INDEX(Cables!$AO:$AO,MATCH(G99,Cables!$A:$A,0))-1+MIN(MAX(IFERROR(MATCH(LN(D99),INDEX(Attenuation!$J:$J,INDEX(Cables!$AO:$AO,MATCH(G99,Cables!$A:$A,0))):INDEX(Attenuation!$J:$J,INDEX(Cables!$AO:$AO,MATCH(G99,Cables!$A:$A,0))+INDEX(Cables!$AP:$AP,MATCH(G99,Cables!$A:$A,0))-1),1),1),1),INDEX(Cables!$AP:$AP,MATCH(G99,Cables!$A:$A,0))-1))+1)))*0.3048)</f>
        <v>10.006636672069845</v>
      </c>
      <c r="I99" s="43">
        <f>IF(G99="","",EXP(FORECAST(LN(E99),INDEX(Attenuation!$K:$K,(INDEX(Cables!$AO:$AO,MATCH(G99,Cables!$A:$A,0))-1+MIN(MAX(IFERROR(MATCH(LN(E99),INDEX(Attenuation!$J:$J,INDEX(Cables!$AO:$AO,MATCH(G99,Cables!$A:$A,0))):INDEX(Attenuation!$J:$J,INDEX(Cables!$AO:$AO,MATCH(G99,Cables!$A:$A,0))+INDEX(Cables!$AP:$AP,MATCH(G99,Cables!$A:$A,0))-1),1),1),1),INDEX(Cables!$AP:$AP,MATCH(G99,Cables!$A:$A,0))-1))):INDEX(Attenuation!$K:$K,(INDEX(Cables!$AO:$AO,MATCH(G99,Cables!$A:$A,0))-1+MIN(MAX(IFERROR(MATCH(LN(E99),INDEX(Attenuation!$J:$J,INDEX(Cables!$AO:$AO,MATCH(G99,Cables!$A:$A,0))):INDEX(Attenuation!$J:$J,INDEX(Cables!$AO:$AO,MATCH(G99,Cables!$A:$A,0))+INDEX(Cables!$AP:$AP,MATCH(G99,Cables!$A:$A,0))-1),1),1),1),INDEX(Cables!$AP:$AP,MATCH(G99,Cables!$A:$A,0))-1))+1),INDEX(Attenuation!$J:$J,(INDEX(Cables!$AO:$AO,MATCH(G99,Cables!$A:$A,0))-1+MIN(MAX(IFERROR(MATCH(LN(E99),INDEX(Attenuation!$J:$J,INDEX(Cables!$AO:$AO,MATCH(G99,Cables!$A:$A,0))):INDEX(Attenuation!$J:$J,INDEX(Cables!$AO:$AO,MATCH(G99,Cables!$A:$A,0))+INDEX(Cables!$AP:$AP,MATCH(G99,Cables!$A:$A,0))-1),1),1),1),INDEX(Cables!$AP:$AP,MATCH(G99,Cables!$A:$A,0))-1))):INDEX(Attenuation!$J:$J,(INDEX(Cables!$AO:$AO,MATCH(G99,Cables!$A:$A,0))-1+MIN(MAX(IFERROR(MATCH(LN(E99),INDEX(Attenuation!$J:$J,INDEX(Cables!$AO:$AO,MATCH(G99,Cables!$A:$A,0))):INDEX(Attenuation!$J:$J,INDEX(Cables!$AO:$AO,MATCH(G99,Cables!$A:$A,0))+INDEX(Cables!$AP:$AP,MATCH(G99,Cables!$A:$A,0))-1),1),1),1),INDEX(Cables!$AP:$AP,MATCH(G99,Cables!$A:$A,0))-1))+1)))*0.3048)</f>
        <v>10.441300060071331</v>
      </c>
      <c r="J99" s="44">
        <f t="shared" si="1"/>
        <v>0</v>
      </c>
      <c r="K99" s="40" t="str">
        <f>IF(G99="","Doğrulanmadı",IF(ABS(J99)&lt;=0.1,"Uyumlu (±%10)",IF(ABS(J99)&lt;=0.25,"Fark %10-25","Fark &gt;%25"))&amp;IF(OR(D99&lt;INDEX(Cables!$AQ:$AQ,MATCH(G99,Cables!$A:$A,0)),E99&gt;INDEX(Cables!$AR:$AR,MATCH(G99,Cables!$A:$A,0)))," · ekstrapolasyon",""))</f>
        <v>Uyumlu (±%10)</v>
      </c>
    </row>
    <row r="100" spans="1:11" x14ac:dyDescent="0.25">
      <c r="A100" s="37" t="s">
        <v>2995</v>
      </c>
      <c r="B100" s="40" t="str">
        <f>INDEX(Legacy_Index!$D:$D,MATCH(A100,Legacy_Index!$A:$A,0))</f>
        <v>AIRBORNE 5™ Messi and Paoloni</v>
      </c>
      <c r="C100" s="37" t="s">
        <v>3121</v>
      </c>
      <c r="D100" s="37">
        <v>2400</v>
      </c>
      <c r="E100" s="37">
        <v>2500</v>
      </c>
      <c r="F100" s="37">
        <v>14.5</v>
      </c>
      <c r="G100" s="40" t="str">
        <f>IF(INDEX(Legacy_Index!$G:$G,MATCH(A100,Legacy_Index!$A:$A,0))="","",INDEX(Legacy_Index!$G:$G,MATCH(A100,Legacy_Index!$A:$A,0)))</f>
        <v>MP-AIRBORNE5</v>
      </c>
      <c r="H100" s="43">
        <f>IF(G100="","",EXP(FORECAST(LN(D100),INDEX(Attenuation!$K:$K,(INDEX(Cables!$AO:$AO,MATCH(G100,Cables!$A:$A,0))-1+MIN(MAX(IFERROR(MATCH(LN(D100),INDEX(Attenuation!$J:$J,INDEX(Cables!$AO:$AO,MATCH(G100,Cables!$A:$A,0))):INDEX(Attenuation!$J:$J,INDEX(Cables!$AO:$AO,MATCH(G100,Cables!$A:$A,0))+INDEX(Cables!$AP:$AP,MATCH(G100,Cables!$A:$A,0))-1),1),1),1),INDEX(Cables!$AP:$AP,MATCH(G100,Cables!$A:$A,0))-1))):INDEX(Attenuation!$K:$K,(INDEX(Cables!$AO:$AO,MATCH(G100,Cables!$A:$A,0))-1+MIN(MAX(IFERROR(MATCH(LN(D100),INDEX(Attenuation!$J:$J,INDEX(Cables!$AO:$AO,MATCH(G100,Cables!$A:$A,0))):INDEX(Attenuation!$J:$J,INDEX(Cables!$AO:$AO,MATCH(G100,Cables!$A:$A,0))+INDEX(Cables!$AP:$AP,MATCH(G100,Cables!$A:$A,0))-1),1),1),1),INDEX(Cables!$AP:$AP,MATCH(G100,Cables!$A:$A,0))-1))+1),INDEX(Attenuation!$J:$J,(INDEX(Cables!$AO:$AO,MATCH(G100,Cables!$A:$A,0))-1+MIN(MAX(IFERROR(MATCH(LN(D100),INDEX(Attenuation!$J:$J,INDEX(Cables!$AO:$AO,MATCH(G100,Cables!$A:$A,0))):INDEX(Attenuation!$J:$J,INDEX(Cables!$AO:$AO,MATCH(G100,Cables!$A:$A,0))+INDEX(Cables!$AP:$AP,MATCH(G100,Cables!$A:$A,0))-1),1),1),1),INDEX(Cables!$AP:$AP,MATCH(G100,Cables!$A:$A,0))-1))):INDEX(Attenuation!$J:$J,(INDEX(Cables!$AO:$AO,MATCH(G100,Cables!$A:$A,0))-1+MIN(MAX(IFERROR(MATCH(LN(D100),INDEX(Attenuation!$J:$J,INDEX(Cables!$AO:$AO,MATCH(G100,Cables!$A:$A,0))):INDEX(Attenuation!$J:$J,INDEX(Cables!$AO:$AO,MATCH(G100,Cables!$A:$A,0))+INDEX(Cables!$AP:$AP,MATCH(G100,Cables!$A:$A,0))-1),1),1),1),INDEX(Cables!$AP:$AP,MATCH(G100,Cables!$A:$A,0))-1))+1)))*0.3048)</f>
        <v>14.477999999999998</v>
      </c>
      <c r="I100" s="43">
        <f>IF(G100="","",EXP(FORECAST(LN(E100),INDEX(Attenuation!$K:$K,(INDEX(Cables!$AO:$AO,MATCH(G100,Cables!$A:$A,0))-1+MIN(MAX(IFERROR(MATCH(LN(E100),INDEX(Attenuation!$J:$J,INDEX(Cables!$AO:$AO,MATCH(G100,Cables!$A:$A,0))):INDEX(Attenuation!$J:$J,INDEX(Cables!$AO:$AO,MATCH(G100,Cables!$A:$A,0))+INDEX(Cables!$AP:$AP,MATCH(G100,Cables!$A:$A,0))-1),1),1),1),INDEX(Cables!$AP:$AP,MATCH(G100,Cables!$A:$A,0))-1))):INDEX(Attenuation!$K:$K,(INDEX(Cables!$AO:$AO,MATCH(G100,Cables!$A:$A,0))-1+MIN(MAX(IFERROR(MATCH(LN(E100),INDEX(Attenuation!$J:$J,INDEX(Cables!$AO:$AO,MATCH(G100,Cables!$A:$A,0))):INDEX(Attenuation!$J:$J,INDEX(Cables!$AO:$AO,MATCH(G100,Cables!$A:$A,0))+INDEX(Cables!$AP:$AP,MATCH(G100,Cables!$A:$A,0))-1),1),1),1),INDEX(Cables!$AP:$AP,MATCH(G100,Cables!$A:$A,0))-1))+1),INDEX(Attenuation!$J:$J,(INDEX(Cables!$AO:$AO,MATCH(G100,Cables!$A:$A,0))-1+MIN(MAX(IFERROR(MATCH(LN(E100),INDEX(Attenuation!$J:$J,INDEX(Cables!$AO:$AO,MATCH(G100,Cables!$A:$A,0))):INDEX(Attenuation!$J:$J,INDEX(Cables!$AO:$AO,MATCH(G100,Cables!$A:$A,0))+INDEX(Cables!$AP:$AP,MATCH(G100,Cables!$A:$A,0))-1),1),1),1),INDEX(Cables!$AP:$AP,MATCH(G100,Cables!$A:$A,0))-1))):INDEX(Attenuation!$J:$J,(INDEX(Cables!$AO:$AO,MATCH(G100,Cables!$A:$A,0))-1+MIN(MAX(IFERROR(MATCH(LN(E100),INDEX(Attenuation!$J:$J,INDEX(Cables!$AO:$AO,MATCH(G100,Cables!$A:$A,0))):INDEX(Attenuation!$J:$J,INDEX(Cables!$AO:$AO,MATCH(G100,Cables!$A:$A,0))+INDEX(Cables!$AP:$AP,MATCH(G100,Cables!$A:$A,0))-1),1),1),1),INDEX(Cables!$AP:$AP,MATCH(G100,Cables!$A:$A,0))-1))+1)))*0.3048)</f>
        <v>14.796510629047871</v>
      </c>
      <c r="J100" s="44">
        <f t="shared" si="1"/>
        <v>0</v>
      </c>
      <c r="K100" s="40" t="str">
        <f>IF(G100="","Doğrulanmadı",IF(ABS(J100)&lt;=0.1,"Uyumlu (±%10)",IF(ABS(J100)&lt;=0.25,"Fark %10-25","Fark &gt;%25"))&amp;IF(OR(D100&lt;INDEX(Cables!$AQ:$AQ,MATCH(G100,Cables!$A:$A,0)),E100&gt;INDEX(Cables!$AR:$AR,MATCH(G100,Cables!$A:$A,0)))," · ekstrapolasyon",""))</f>
        <v>Uyumlu (±%10)</v>
      </c>
    </row>
    <row r="101" spans="1:11" x14ac:dyDescent="0.25">
      <c r="A101" s="37" t="s">
        <v>2995</v>
      </c>
      <c r="B101" s="40" t="str">
        <f>INDEX(Legacy_Index!$D:$D,MATCH(A101,Legacy_Index!$A:$A,0))</f>
        <v>AIRBORNE 5™ Messi and Paoloni</v>
      </c>
      <c r="C101" s="37" t="s">
        <v>3122</v>
      </c>
      <c r="D101" s="37">
        <v>5725</v>
      </c>
      <c r="E101" s="37">
        <v>5875</v>
      </c>
      <c r="F101" s="37">
        <v>21</v>
      </c>
      <c r="G101" s="40" t="str">
        <f>IF(INDEX(Legacy_Index!$G:$G,MATCH(A101,Legacy_Index!$A:$A,0))="","",INDEX(Legacy_Index!$G:$G,MATCH(A101,Legacy_Index!$A:$A,0)))</f>
        <v>MP-AIRBORNE5</v>
      </c>
      <c r="H101" s="43">
        <f>IF(G101="","",EXP(FORECAST(LN(D101),INDEX(Attenuation!$K:$K,(INDEX(Cables!$AO:$AO,MATCH(G101,Cables!$A:$A,0))-1+MIN(MAX(IFERROR(MATCH(LN(D101),INDEX(Attenuation!$J:$J,INDEX(Cables!$AO:$AO,MATCH(G101,Cables!$A:$A,0))):INDEX(Attenuation!$J:$J,INDEX(Cables!$AO:$AO,MATCH(G101,Cables!$A:$A,0))+INDEX(Cables!$AP:$AP,MATCH(G101,Cables!$A:$A,0))-1),1),1),1),INDEX(Cables!$AP:$AP,MATCH(G101,Cables!$A:$A,0))-1))):INDEX(Attenuation!$K:$K,(INDEX(Cables!$AO:$AO,MATCH(G101,Cables!$A:$A,0))-1+MIN(MAX(IFERROR(MATCH(LN(D101),INDEX(Attenuation!$J:$J,INDEX(Cables!$AO:$AO,MATCH(G101,Cables!$A:$A,0))):INDEX(Attenuation!$J:$J,INDEX(Cables!$AO:$AO,MATCH(G101,Cables!$A:$A,0))+INDEX(Cables!$AP:$AP,MATCH(G101,Cables!$A:$A,0))-1),1),1),1),INDEX(Cables!$AP:$AP,MATCH(G101,Cables!$A:$A,0))-1))+1),INDEX(Attenuation!$J:$J,(INDEX(Cables!$AO:$AO,MATCH(G101,Cables!$A:$A,0))-1+MIN(MAX(IFERROR(MATCH(LN(D101),INDEX(Attenuation!$J:$J,INDEX(Cables!$AO:$AO,MATCH(G101,Cables!$A:$A,0))):INDEX(Attenuation!$J:$J,INDEX(Cables!$AO:$AO,MATCH(G101,Cables!$A:$A,0))+INDEX(Cables!$AP:$AP,MATCH(G101,Cables!$A:$A,0))-1),1),1),1),INDEX(Cables!$AP:$AP,MATCH(G101,Cables!$A:$A,0))-1))):INDEX(Attenuation!$J:$J,(INDEX(Cables!$AO:$AO,MATCH(G101,Cables!$A:$A,0))-1+MIN(MAX(IFERROR(MATCH(LN(D101),INDEX(Attenuation!$J:$J,INDEX(Cables!$AO:$AO,MATCH(G101,Cables!$A:$A,0))):INDEX(Attenuation!$J:$J,INDEX(Cables!$AO:$AO,MATCH(G101,Cables!$A:$A,0))+INDEX(Cables!$AP:$AP,MATCH(G101,Cables!$A:$A,0))-1),1),1),1),INDEX(Cables!$AP:$AP,MATCH(G101,Cables!$A:$A,0))-1))+1)))*0.3048)</f>
        <v>22.473877171205672</v>
      </c>
      <c r="I101" s="43">
        <f>IF(G101="","",EXP(FORECAST(LN(E101),INDEX(Attenuation!$K:$K,(INDEX(Cables!$AO:$AO,MATCH(G101,Cables!$A:$A,0))-1+MIN(MAX(IFERROR(MATCH(LN(E101),INDEX(Attenuation!$J:$J,INDEX(Cables!$AO:$AO,MATCH(G101,Cables!$A:$A,0))):INDEX(Attenuation!$J:$J,INDEX(Cables!$AO:$AO,MATCH(G101,Cables!$A:$A,0))+INDEX(Cables!$AP:$AP,MATCH(G101,Cables!$A:$A,0))-1),1),1),1),INDEX(Cables!$AP:$AP,MATCH(G101,Cables!$A:$A,0))-1))):INDEX(Attenuation!$K:$K,(INDEX(Cables!$AO:$AO,MATCH(G101,Cables!$A:$A,0))-1+MIN(MAX(IFERROR(MATCH(LN(E101),INDEX(Attenuation!$J:$J,INDEX(Cables!$AO:$AO,MATCH(G101,Cables!$A:$A,0))):INDEX(Attenuation!$J:$J,INDEX(Cables!$AO:$AO,MATCH(G101,Cables!$A:$A,0))+INDEX(Cables!$AP:$AP,MATCH(G101,Cables!$A:$A,0))-1),1),1),1),INDEX(Cables!$AP:$AP,MATCH(G101,Cables!$A:$A,0))-1))+1),INDEX(Attenuation!$J:$J,(INDEX(Cables!$AO:$AO,MATCH(G101,Cables!$A:$A,0))-1+MIN(MAX(IFERROR(MATCH(LN(E101),INDEX(Attenuation!$J:$J,INDEX(Cables!$AO:$AO,MATCH(G101,Cables!$A:$A,0))):INDEX(Attenuation!$J:$J,INDEX(Cables!$AO:$AO,MATCH(G101,Cables!$A:$A,0))+INDEX(Cables!$AP:$AP,MATCH(G101,Cables!$A:$A,0))-1),1),1),1),INDEX(Cables!$AP:$AP,MATCH(G101,Cables!$A:$A,0))-1))):INDEX(Attenuation!$J:$J,(INDEX(Cables!$AO:$AO,MATCH(G101,Cables!$A:$A,0))-1+MIN(MAX(IFERROR(MATCH(LN(E101),INDEX(Attenuation!$J:$J,INDEX(Cables!$AO:$AO,MATCH(G101,Cables!$A:$A,0))):INDEX(Attenuation!$J:$J,INDEX(Cables!$AO:$AO,MATCH(G101,Cables!$A:$A,0))+INDEX(Cables!$AP:$AP,MATCH(G101,Cables!$A:$A,0))-1),1),1),1),INDEX(Cables!$AP:$AP,MATCH(G101,Cables!$A:$A,0))-1))+1)))*0.3048)</f>
        <v>22.785786356177621</v>
      </c>
      <c r="J101" s="44">
        <f t="shared" si="1"/>
        <v>-6.5581793474161043E-2</v>
      </c>
      <c r="K101" s="40" t="str">
        <f>IF(G101="","Doğrulanmadı",IF(ABS(J101)&lt;=0.1,"Uyumlu (±%10)",IF(ABS(J101)&lt;=0.25,"Fark %10-25","Fark &gt;%25"))&amp;IF(OR(D101&lt;INDEX(Cables!$AQ:$AQ,MATCH(G101,Cables!$A:$A,0)),E101&gt;INDEX(Cables!$AR:$AR,MATCH(G101,Cables!$A:$A,0)))," · ekstrapolasyon",""))</f>
        <v>Uyumlu (±%10)</v>
      </c>
    </row>
    <row r="102" spans="1:11" x14ac:dyDescent="0.25">
      <c r="A102" s="37" t="s">
        <v>2997</v>
      </c>
      <c r="B102" s="40" t="str">
        <f>INDEX(Legacy_Index!$D:$D,MATCH(A102,Legacy_Index!$A:$A,0))</f>
        <v>RG62A/U</v>
      </c>
      <c r="C102" s="37" t="s">
        <v>3113</v>
      </c>
      <c r="D102" s="37">
        <v>70</v>
      </c>
      <c r="E102" s="37">
        <v>100</v>
      </c>
      <c r="F102" s="37">
        <v>2.2999999999999998</v>
      </c>
      <c r="G102" s="40" t="str">
        <f>IF(INDEX(Legacy_Index!$G:$G,MATCH(A102,Legacy_Index!$A:$A,0))="","",INDEX(Legacy_Index!$G:$G,MATCH(A102,Legacy_Index!$A:$A,0)))</f>
        <v>BEL-9269</v>
      </c>
      <c r="H102" s="43">
        <f>IF(G102="","",EXP(FORECAST(LN(D102),INDEX(Attenuation!$K:$K,(INDEX(Cables!$AO:$AO,MATCH(G102,Cables!$A:$A,0))-1+MIN(MAX(IFERROR(MATCH(LN(D102),INDEX(Attenuation!$J:$J,INDEX(Cables!$AO:$AO,MATCH(G102,Cables!$A:$A,0))):INDEX(Attenuation!$J:$J,INDEX(Cables!$AO:$AO,MATCH(G102,Cables!$A:$A,0))+INDEX(Cables!$AP:$AP,MATCH(G102,Cables!$A:$A,0))-1),1),1),1),INDEX(Cables!$AP:$AP,MATCH(G102,Cables!$A:$A,0))-1))):INDEX(Attenuation!$K:$K,(INDEX(Cables!$AO:$AO,MATCH(G102,Cables!$A:$A,0))-1+MIN(MAX(IFERROR(MATCH(LN(D102),INDEX(Attenuation!$J:$J,INDEX(Cables!$AO:$AO,MATCH(G102,Cables!$A:$A,0))):INDEX(Attenuation!$J:$J,INDEX(Cables!$AO:$AO,MATCH(G102,Cables!$A:$A,0))+INDEX(Cables!$AP:$AP,MATCH(G102,Cables!$A:$A,0))-1),1),1),1),INDEX(Cables!$AP:$AP,MATCH(G102,Cables!$A:$A,0))-1))+1),INDEX(Attenuation!$J:$J,(INDEX(Cables!$AO:$AO,MATCH(G102,Cables!$A:$A,0))-1+MIN(MAX(IFERROR(MATCH(LN(D102),INDEX(Attenuation!$J:$J,INDEX(Cables!$AO:$AO,MATCH(G102,Cables!$A:$A,0))):INDEX(Attenuation!$J:$J,INDEX(Cables!$AO:$AO,MATCH(G102,Cables!$A:$A,0))+INDEX(Cables!$AP:$AP,MATCH(G102,Cables!$A:$A,0))-1),1),1),1),INDEX(Cables!$AP:$AP,MATCH(G102,Cables!$A:$A,0))-1))):INDEX(Attenuation!$J:$J,(INDEX(Cables!$AO:$AO,MATCH(G102,Cables!$A:$A,0))-1+MIN(MAX(IFERROR(MATCH(LN(D102),INDEX(Attenuation!$J:$J,INDEX(Cables!$AO:$AO,MATCH(G102,Cables!$A:$A,0))):INDEX(Attenuation!$J:$J,INDEX(Cables!$AO:$AO,MATCH(G102,Cables!$A:$A,0))+INDEX(Cables!$AP:$AP,MATCH(G102,Cables!$A:$A,0))-1),1),1),1),INDEX(Cables!$AP:$AP,MATCH(G102,Cables!$A:$A,0))-1))+1)))*0.3048)</f>
        <v>2.2533812083144049</v>
      </c>
      <c r="I102" s="43">
        <f>IF(G102="","",EXP(FORECAST(LN(E102),INDEX(Attenuation!$K:$K,(INDEX(Cables!$AO:$AO,MATCH(G102,Cables!$A:$A,0))-1+MIN(MAX(IFERROR(MATCH(LN(E102),INDEX(Attenuation!$J:$J,INDEX(Cables!$AO:$AO,MATCH(G102,Cables!$A:$A,0))):INDEX(Attenuation!$J:$J,INDEX(Cables!$AO:$AO,MATCH(G102,Cables!$A:$A,0))+INDEX(Cables!$AP:$AP,MATCH(G102,Cables!$A:$A,0))-1),1),1),1),INDEX(Cables!$AP:$AP,MATCH(G102,Cables!$A:$A,0))-1))):INDEX(Attenuation!$K:$K,(INDEX(Cables!$AO:$AO,MATCH(G102,Cables!$A:$A,0))-1+MIN(MAX(IFERROR(MATCH(LN(E102),INDEX(Attenuation!$J:$J,INDEX(Cables!$AO:$AO,MATCH(G102,Cables!$A:$A,0))):INDEX(Attenuation!$J:$J,INDEX(Cables!$AO:$AO,MATCH(G102,Cables!$A:$A,0))+INDEX(Cables!$AP:$AP,MATCH(G102,Cables!$A:$A,0))-1),1),1),1),INDEX(Cables!$AP:$AP,MATCH(G102,Cables!$A:$A,0))-1))+1),INDEX(Attenuation!$J:$J,(INDEX(Cables!$AO:$AO,MATCH(G102,Cables!$A:$A,0))-1+MIN(MAX(IFERROR(MATCH(LN(E102),INDEX(Attenuation!$J:$J,INDEX(Cables!$AO:$AO,MATCH(G102,Cables!$A:$A,0))):INDEX(Attenuation!$J:$J,INDEX(Cables!$AO:$AO,MATCH(G102,Cables!$A:$A,0))+INDEX(Cables!$AP:$AP,MATCH(G102,Cables!$A:$A,0))-1),1),1),1),INDEX(Cables!$AP:$AP,MATCH(G102,Cables!$A:$A,0))-1))):INDEX(Attenuation!$J:$J,(INDEX(Cables!$AO:$AO,MATCH(G102,Cables!$A:$A,0))-1+MIN(MAX(IFERROR(MATCH(LN(E102),INDEX(Attenuation!$J:$J,INDEX(Cables!$AO:$AO,MATCH(G102,Cables!$A:$A,0))):INDEX(Attenuation!$J:$J,INDEX(Cables!$AO:$AO,MATCH(G102,Cables!$A:$A,0))+INDEX(Cables!$AP:$AP,MATCH(G102,Cables!$A:$A,0))-1),1),1),1),INDEX(Cables!$AP:$AP,MATCH(G102,Cables!$A:$A,0))-1))+1)))*0.3048)</f>
        <v>2.700000000000002</v>
      </c>
      <c r="J102" s="44">
        <f t="shared" si="1"/>
        <v>0</v>
      </c>
      <c r="K102" s="40" t="str">
        <f>IF(G102="","Doğrulanmadı",IF(ABS(J102)&lt;=0.1,"Uyumlu (±%10)",IF(ABS(J102)&lt;=0.25,"Fark %10-25","Fark &gt;%25"))&amp;IF(OR(D102&lt;INDEX(Cables!$AQ:$AQ,MATCH(G102,Cables!$A:$A,0)),E102&gt;INDEX(Cables!$AR:$AR,MATCH(G102,Cables!$A:$A,0)))," · ekstrapolasyon",""))</f>
        <v>Uyumlu (±%10)</v>
      </c>
    </row>
    <row r="103" spans="1:11" x14ac:dyDescent="0.25">
      <c r="A103" s="37" t="s">
        <v>2997</v>
      </c>
      <c r="B103" s="40" t="str">
        <f>INDEX(Legacy_Index!$D:$D,MATCH(A103,Legacy_Index!$A:$A,0))</f>
        <v>RG62A/U</v>
      </c>
      <c r="C103" s="37" t="s">
        <v>3114</v>
      </c>
      <c r="D103" s="37">
        <v>148</v>
      </c>
      <c r="E103" s="37">
        <v>174</v>
      </c>
      <c r="F103" s="37">
        <v>3.4</v>
      </c>
      <c r="G103" s="40" t="str">
        <f>IF(INDEX(Legacy_Index!$G:$G,MATCH(A103,Legacy_Index!$A:$A,0))="","",INDEX(Legacy_Index!$G:$G,MATCH(A103,Legacy_Index!$A:$A,0)))</f>
        <v>BEL-9269</v>
      </c>
      <c r="H103" s="43">
        <f>IF(G103="","",EXP(FORECAST(LN(D103),INDEX(Attenuation!$K:$K,(INDEX(Cables!$AO:$AO,MATCH(G103,Cables!$A:$A,0))-1+MIN(MAX(IFERROR(MATCH(LN(D103),INDEX(Attenuation!$J:$J,INDEX(Cables!$AO:$AO,MATCH(G103,Cables!$A:$A,0))):INDEX(Attenuation!$J:$J,INDEX(Cables!$AO:$AO,MATCH(G103,Cables!$A:$A,0))+INDEX(Cables!$AP:$AP,MATCH(G103,Cables!$A:$A,0))-1),1),1),1),INDEX(Cables!$AP:$AP,MATCH(G103,Cables!$A:$A,0))-1))):INDEX(Attenuation!$K:$K,(INDEX(Cables!$AO:$AO,MATCH(G103,Cables!$A:$A,0))-1+MIN(MAX(IFERROR(MATCH(LN(D103),INDEX(Attenuation!$J:$J,INDEX(Cables!$AO:$AO,MATCH(G103,Cables!$A:$A,0))):INDEX(Attenuation!$J:$J,INDEX(Cables!$AO:$AO,MATCH(G103,Cables!$A:$A,0))+INDEX(Cables!$AP:$AP,MATCH(G103,Cables!$A:$A,0))-1),1),1),1),INDEX(Cables!$AP:$AP,MATCH(G103,Cables!$A:$A,0))-1))+1),INDEX(Attenuation!$J:$J,(INDEX(Cables!$AO:$AO,MATCH(G103,Cables!$A:$A,0))-1+MIN(MAX(IFERROR(MATCH(LN(D103),INDEX(Attenuation!$J:$J,INDEX(Cables!$AO:$AO,MATCH(G103,Cables!$A:$A,0))):INDEX(Attenuation!$J:$J,INDEX(Cables!$AO:$AO,MATCH(G103,Cables!$A:$A,0))+INDEX(Cables!$AP:$AP,MATCH(G103,Cables!$A:$A,0))-1),1),1),1),INDEX(Cables!$AP:$AP,MATCH(G103,Cables!$A:$A,0))-1))):INDEX(Attenuation!$J:$J,(INDEX(Cables!$AO:$AO,MATCH(G103,Cables!$A:$A,0))-1+MIN(MAX(IFERROR(MATCH(LN(D103),INDEX(Attenuation!$J:$J,INDEX(Cables!$AO:$AO,MATCH(G103,Cables!$A:$A,0))):INDEX(Attenuation!$J:$J,INDEX(Cables!$AO:$AO,MATCH(G103,Cables!$A:$A,0))+INDEX(Cables!$AP:$AP,MATCH(G103,Cables!$A:$A,0))-1),1),1),1),INDEX(Cables!$AP:$AP,MATCH(G103,Cables!$A:$A,0))-1))+1)))*0.3048)</f>
        <v>3.2757413451100925</v>
      </c>
      <c r="I103" s="43">
        <f>IF(G103="","",EXP(FORECAST(LN(E103),INDEX(Attenuation!$K:$K,(INDEX(Cables!$AO:$AO,MATCH(G103,Cables!$A:$A,0))-1+MIN(MAX(IFERROR(MATCH(LN(E103),INDEX(Attenuation!$J:$J,INDEX(Cables!$AO:$AO,MATCH(G103,Cables!$A:$A,0))):INDEX(Attenuation!$J:$J,INDEX(Cables!$AO:$AO,MATCH(G103,Cables!$A:$A,0))+INDEX(Cables!$AP:$AP,MATCH(G103,Cables!$A:$A,0))-1),1),1),1),INDEX(Cables!$AP:$AP,MATCH(G103,Cables!$A:$A,0))-1))):INDEX(Attenuation!$K:$K,(INDEX(Cables!$AO:$AO,MATCH(G103,Cables!$A:$A,0))-1+MIN(MAX(IFERROR(MATCH(LN(E103),INDEX(Attenuation!$J:$J,INDEX(Cables!$AO:$AO,MATCH(G103,Cables!$A:$A,0))):INDEX(Attenuation!$J:$J,INDEX(Cables!$AO:$AO,MATCH(G103,Cables!$A:$A,0))+INDEX(Cables!$AP:$AP,MATCH(G103,Cables!$A:$A,0))-1),1),1),1),INDEX(Cables!$AP:$AP,MATCH(G103,Cables!$A:$A,0))-1))+1),INDEX(Attenuation!$J:$J,(INDEX(Cables!$AO:$AO,MATCH(G103,Cables!$A:$A,0))-1+MIN(MAX(IFERROR(MATCH(LN(E103),INDEX(Attenuation!$J:$J,INDEX(Cables!$AO:$AO,MATCH(G103,Cables!$A:$A,0))):INDEX(Attenuation!$J:$J,INDEX(Cables!$AO:$AO,MATCH(G103,Cables!$A:$A,0))+INDEX(Cables!$AP:$AP,MATCH(G103,Cables!$A:$A,0))-1),1),1),1),INDEX(Cables!$AP:$AP,MATCH(G103,Cables!$A:$A,0))-1))):INDEX(Attenuation!$J:$J,(INDEX(Cables!$AO:$AO,MATCH(G103,Cables!$A:$A,0))-1+MIN(MAX(IFERROR(MATCH(LN(E103),INDEX(Attenuation!$J:$J,INDEX(Cables!$AO:$AO,MATCH(G103,Cables!$A:$A,0))):INDEX(Attenuation!$J:$J,INDEX(Cables!$AO:$AO,MATCH(G103,Cables!$A:$A,0))+INDEX(Cables!$AP:$AP,MATCH(G103,Cables!$A:$A,0))-1),1),1),1),INDEX(Cables!$AP:$AP,MATCH(G103,Cables!$A:$A,0))-1))+1)))*0.3048)</f>
        <v>3.5478411632712405</v>
      </c>
      <c r="J103" s="44">
        <f t="shared" si="1"/>
        <v>0</v>
      </c>
      <c r="K103" s="40" t="str">
        <f>IF(G103="","Doğrulanmadı",IF(ABS(J103)&lt;=0.1,"Uyumlu (±%10)",IF(ABS(J103)&lt;=0.25,"Fark %10-25","Fark &gt;%25"))&amp;IF(OR(D103&lt;INDEX(Cables!$AQ:$AQ,MATCH(G103,Cables!$A:$A,0)),E103&gt;INDEX(Cables!$AR:$AR,MATCH(G103,Cables!$A:$A,0)))," · ekstrapolasyon",""))</f>
        <v>Uyumlu (±%10)</v>
      </c>
    </row>
    <row r="104" spans="1:11" x14ac:dyDescent="0.25">
      <c r="A104" s="37" t="s">
        <v>2997</v>
      </c>
      <c r="B104" s="40" t="str">
        <f>INDEX(Legacy_Index!$D:$D,MATCH(A104,Legacy_Index!$A:$A,0))</f>
        <v>RG62A/U</v>
      </c>
      <c r="C104" s="37" t="s">
        <v>3115</v>
      </c>
      <c r="D104" s="37">
        <v>400</v>
      </c>
      <c r="E104" s="37">
        <v>520</v>
      </c>
      <c r="F104" s="37">
        <v>5.9</v>
      </c>
      <c r="G104" s="40" t="str">
        <f>IF(INDEX(Legacy_Index!$G:$G,MATCH(A104,Legacy_Index!$A:$A,0))="","",INDEX(Legacy_Index!$G:$G,MATCH(A104,Legacy_Index!$A:$A,0)))</f>
        <v>BEL-9269</v>
      </c>
      <c r="H104" s="43">
        <f>IF(G104="","",EXP(FORECAST(LN(D104),INDEX(Attenuation!$K:$K,(INDEX(Cables!$AO:$AO,MATCH(G104,Cables!$A:$A,0))-1+MIN(MAX(IFERROR(MATCH(LN(D104),INDEX(Attenuation!$J:$J,INDEX(Cables!$AO:$AO,MATCH(G104,Cables!$A:$A,0))):INDEX(Attenuation!$J:$J,INDEX(Cables!$AO:$AO,MATCH(G104,Cables!$A:$A,0))+INDEX(Cables!$AP:$AP,MATCH(G104,Cables!$A:$A,0))-1),1),1),1),INDEX(Cables!$AP:$AP,MATCH(G104,Cables!$A:$A,0))-1))):INDEX(Attenuation!$K:$K,(INDEX(Cables!$AO:$AO,MATCH(G104,Cables!$A:$A,0))-1+MIN(MAX(IFERROR(MATCH(LN(D104),INDEX(Attenuation!$J:$J,INDEX(Cables!$AO:$AO,MATCH(G104,Cables!$A:$A,0))):INDEX(Attenuation!$J:$J,INDEX(Cables!$AO:$AO,MATCH(G104,Cables!$A:$A,0))+INDEX(Cables!$AP:$AP,MATCH(G104,Cables!$A:$A,0))-1),1),1),1),INDEX(Cables!$AP:$AP,MATCH(G104,Cables!$A:$A,0))-1))+1),INDEX(Attenuation!$J:$J,(INDEX(Cables!$AO:$AO,MATCH(G104,Cables!$A:$A,0))-1+MIN(MAX(IFERROR(MATCH(LN(D104),INDEX(Attenuation!$J:$J,INDEX(Cables!$AO:$AO,MATCH(G104,Cables!$A:$A,0))):INDEX(Attenuation!$J:$J,INDEX(Cables!$AO:$AO,MATCH(G104,Cables!$A:$A,0))+INDEX(Cables!$AP:$AP,MATCH(G104,Cables!$A:$A,0))-1),1),1),1),INDEX(Cables!$AP:$AP,MATCH(G104,Cables!$A:$A,0))-1))):INDEX(Attenuation!$J:$J,(INDEX(Cables!$AO:$AO,MATCH(G104,Cables!$A:$A,0))-1+MIN(MAX(IFERROR(MATCH(LN(D104),INDEX(Attenuation!$J:$J,INDEX(Cables!$AO:$AO,MATCH(G104,Cables!$A:$A,0))):INDEX(Attenuation!$J:$J,INDEX(Cables!$AO:$AO,MATCH(G104,Cables!$A:$A,0))+INDEX(Cables!$AP:$AP,MATCH(G104,Cables!$A:$A,0))-1),1),1),1),INDEX(Cables!$AP:$AP,MATCH(G104,Cables!$A:$A,0))-1))+1)))*0.3048)</f>
        <v>5.2999999999999972</v>
      </c>
      <c r="I104" s="43">
        <f>IF(G104="","",EXP(FORECAST(LN(E104),INDEX(Attenuation!$K:$K,(INDEX(Cables!$AO:$AO,MATCH(G104,Cables!$A:$A,0))-1+MIN(MAX(IFERROR(MATCH(LN(E104),INDEX(Attenuation!$J:$J,INDEX(Cables!$AO:$AO,MATCH(G104,Cables!$A:$A,0))):INDEX(Attenuation!$J:$J,INDEX(Cables!$AO:$AO,MATCH(G104,Cables!$A:$A,0))+INDEX(Cables!$AP:$AP,MATCH(G104,Cables!$A:$A,0))-1),1),1),1),INDEX(Cables!$AP:$AP,MATCH(G104,Cables!$A:$A,0))-1))):INDEX(Attenuation!$K:$K,(INDEX(Cables!$AO:$AO,MATCH(G104,Cables!$A:$A,0))-1+MIN(MAX(IFERROR(MATCH(LN(E104),INDEX(Attenuation!$J:$J,INDEX(Cables!$AO:$AO,MATCH(G104,Cables!$A:$A,0))):INDEX(Attenuation!$J:$J,INDEX(Cables!$AO:$AO,MATCH(G104,Cables!$A:$A,0))+INDEX(Cables!$AP:$AP,MATCH(G104,Cables!$A:$A,0))-1),1),1),1),INDEX(Cables!$AP:$AP,MATCH(G104,Cables!$A:$A,0))-1))+1),INDEX(Attenuation!$J:$J,(INDEX(Cables!$AO:$AO,MATCH(G104,Cables!$A:$A,0))-1+MIN(MAX(IFERROR(MATCH(LN(E104),INDEX(Attenuation!$J:$J,INDEX(Cables!$AO:$AO,MATCH(G104,Cables!$A:$A,0))):INDEX(Attenuation!$J:$J,INDEX(Cables!$AO:$AO,MATCH(G104,Cables!$A:$A,0))+INDEX(Cables!$AP:$AP,MATCH(G104,Cables!$A:$A,0))-1),1),1),1),INDEX(Cables!$AP:$AP,MATCH(G104,Cables!$A:$A,0))-1))):INDEX(Attenuation!$J:$J,(INDEX(Cables!$AO:$AO,MATCH(G104,Cables!$A:$A,0))-1+MIN(MAX(IFERROR(MATCH(LN(E104),INDEX(Attenuation!$J:$J,INDEX(Cables!$AO:$AO,MATCH(G104,Cables!$A:$A,0))):INDEX(Attenuation!$J:$J,INDEX(Cables!$AO:$AO,MATCH(G104,Cables!$A:$A,0))+INDEX(Cables!$AP:$AP,MATCH(G104,Cables!$A:$A,0))-1),1),1),1),INDEX(Cables!$AP:$AP,MATCH(G104,Cables!$A:$A,0))-1))+1)))*0.3048)</f>
        <v>6.1583613687347958</v>
      </c>
      <c r="J104" s="44">
        <f t="shared" si="1"/>
        <v>0</v>
      </c>
      <c r="K104" s="40" t="str">
        <f>IF(G104="","Doğrulanmadı",IF(ABS(J104)&lt;=0.1,"Uyumlu (±%10)",IF(ABS(J104)&lt;=0.25,"Fark %10-25","Fark &gt;%25"))&amp;IF(OR(D104&lt;INDEX(Cables!$AQ:$AQ,MATCH(G104,Cables!$A:$A,0)),E104&gt;INDEX(Cables!$AR:$AR,MATCH(G104,Cables!$A:$A,0)))," · ekstrapolasyon",""))</f>
        <v>Uyumlu (±%10)</v>
      </c>
    </row>
    <row r="105" spans="1:11" x14ac:dyDescent="0.25">
      <c r="A105" s="37" t="s">
        <v>2997</v>
      </c>
      <c r="B105" s="40" t="str">
        <f>INDEX(Legacy_Index!$D:$D,MATCH(A105,Legacy_Index!$A:$A,0))</f>
        <v>RG62A/U</v>
      </c>
      <c r="C105" s="37" t="s">
        <v>3116</v>
      </c>
      <c r="D105" s="37">
        <v>700</v>
      </c>
      <c r="E105" s="37">
        <v>960</v>
      </c>
      <c r="F105" s="37">
        <v>8</v>
      </c>
      <c r="G105" s="40" t="str">
        <f>IF(INDEX(Legacy_Index!$G:$G,MATCH(A105,Legacy_Index!$A:$A,0))="","",INDEX(Legacy_Index!$G:$G,MATCH(A105,Legacy_Index!$A:$A,0)))</f>
        <v>BEL-9269</v>
      </c>
      <c r="H105" s="43">
        <f>IF(G105="","",EXP(FORECAST(LN(D105),INDEX(Attenuation!$K:$K,(INDEX(Cables!$AO:$AO,MATCH(G105,Cables!$A:$A,0))-1+MIN(MAX(IFERROR(MATCH(LN(D105),INDEX(Attenuation!$J:$J,INDEX(Cables!$AO:$AO,MATCH(G105,Cables!$A:$A,0))):INDEX(Attenuation!$J:$J,INDEX(Cables!$AO:$AO,MATCH(G105,Cables!$A:$A,0))+INDEX(Cables!$AP:$AP,MATCH(G105,Cables!$A:$A,0))-1),1),1),1),INDEX(Cables!$AP:$AP,MATCH(G105,Cables!$A:$A,0))-1))):INDEX(Attenuation!$K:$K,(INDEX(Cables!$AO:$AO,MATCH(G105,Cables!$A:$A,0))-1+MIN(MAX(IFERROR(MATCH(LN(D105),INDEX(Attenuation!$J:$J,INDEX(Cables!$AO:$AO,MATCH(G105,Cables!$A:$A,0))):INDEX(Attenuation!$J:$J,INDEX(Cables!$AO:$AO,MATCH(G105,Cables!$A:$A,0))+INDEX(Cables!$AP:$AP,MATCH(G105,Cables!$A:$A,0))-1),1),1),1),INDEX(Cables!$AP:$AP,MATCH(G105,Cables!$A:$A,0))-1))+1),INDEX(Attenuation!$J:$J,(INDEX(Cables!$AO:$AO,MATCH(G105,Cables!$A:$A,0))-1+MIN(MAX(IFERROR(MATCH(LN(D105),INDEX(Attenuation!$J:$J,INDEX(Cables!$AO:$AO,MATCH(G105,Cables!$A:$A,0))):INDEX(Attenuation!$J:$J,INDEX(Cables!$AO:$AO,MATCH(G105,Cables!$A:$A,0))+INDEX(Cables!$AP:$AP,MATCH(G105,Cables!$A:$A,0))-1),1),1),1),INDEX(Cables!$AP:$AP,MATCH(G105,Cables!$A:$A,0))-1))):INDEX(Attenuation!$J:$J,(INDEX(Cables!$AO:$AO,MATCH(G105,Cables!$A:$A,0))-1+MIN(MAX(IFERROR(MATCH(LN(D105),INDEX(Attenuation!$J:$J,INDEX(Cables!$AO:$AO,MATCH(G105,Cables!$A:$A,0))):INDEX(Attenuation!$J:$J,INDEX(Cables!$AO:$AO,MATCH(G105,Cables!$A:$A,0))+INDEX(Cables!$AP:$AP,MATCH(G105,Cables!$A:$A,0))-1),1),1),1),INDEX(Cables!$AP:$AP,MATCH(G105,Cables!$A:$A,0))-1))+1)))*0.3048)</f>
        <v>7.3000000000000007</v>
      </c>
      <c r="I105" s="43">
        <f>IF(G105="","",EXP(FORECAST(LN(E105),INDEX(Attenuation!$K:$K,(INDEX(Cables!$AO:$AO,MATCH(G105,Cables!$A:$A,0))-1+MIN(MAX(IFERROR(MATCH(LN(E105),INDEX(Attenuation!$J:$J,INDEX(Cables!$AO:$AO,MATCH(G105,Cables!$A:$A,0))):INDEX(Attenuation!$J:$J,INDEX(Cables!$AO:$AO,MATCH(G105,Cables!$A:$A,0))+INDEX(Cables!$AP:$AP,MATCH(G105,Cables!$A:$A,0))-1),1),1),1),INDEX(Cables!$AP:$AP,MATCH(G105,Cables!$A:$A,0))-1))):INDEX(Attenuation!$K:$K,(INDEX(Cables!$AO:$AO,MATCH(G105,Cables!$A:$A,0))-1+MIN(MAX(IFERROR(MATCH(LN(E105),INDEX(Attenuation!$J:$J,INDEX(Cables!$AO:$AO,MATCH(G105,Cables!$A:$A,0))):INDEX(Attenuation!$J:$J,INDEX(Cables!$AO:$AO,MATCH(G105,Cables!$A:$A,0))+INDEX(Cables!$AP:$AP,MATCH(G105,Cables!$A:$A,0))-1),1),1),1),INDEX(Cables!$AP:$AP,MATCH(G105,Cables!$A:$A,0))-1))+1),INDEX(Attenuation!$J:$J,(INDEX(Cables!$AO:$AO,MATCH(G105,Cables!$A:$A,0))-1+MIN(MAX(IFERROR(MATCH(LN(E105),INDEX(Attenuation!$J:$J,INDEX(Cables!$AO:$AO,MATCH(G105,Cables!$A:$A,0))):INDEX(Attenuation!$J:$J,INDEX(Cables!$AO:$AO,MATCH(G105,Cables!$A:$A,0))+INDEX(Cables!$AP:$AP,MATCH(G105,Cables!$A:$A,0))-1),1),1),1),INDEX(Cables!$AP:$AP,MATCH(G105,Cables!$A:$A,0))-1))):INDEX(Attenuation!$J:$J,(INDEX(Cables!$AO:$AO,MATCH(G105,Cables!$A:$A,0))-1+MIN(MAX(IFERROR(MATCH(LN(E105),INDEX(Attenuation!$J:$J,INDEX(Cables!$AO:$AO,MATCH(G105,Cables!$A:$A,0))):INDEX(Attenuation!$J:$J,INDEX(Cables!$AO:$AO,MATCH(G105,Cables!$A:$A,0))+INDEX(Cables!$AP:$AP,MATCH(G105,Cables!$A:$A,0))-1),1),1),1),INDEX(Cables!$AP:$AP,MATCH(G105,Cables!$A:$A,0))-1))+1)))*0.3048)</f>
        <v>8.5027552854582815</v>
      </c>
      <c r="J105" s="44">
        <f t="shared" si="1"/>
        <v>0</v>
      </c>
      <c r="K105" s="40" t="str">
        <f>IF(G105="","Doğrulanmadı",IF(ABS(J105)&lt;=0.1,"Uyumlu (±%10)",IF(ABS(J105)&lt;=0.25,"Fark %10-25","Fark &gt;%25"))&amp;IF(OR(D105&lt;INDEX(Cables!$AQ:$AQ,MATCH(G105,Cables!$A:$A,0)),E105&gt;INDEX(Cables!$AR:$AR,MATCH(G105,Cables!$A:$A,0)))," · ekstrapolasyon",""))</f>
        <v>Uyumlu (±%10)</v>
      </c>
    </row>
    <row r="106" spans="1:11" x14ac:dyDescent="0.25">
      <c r="A106" s="37" t="s">
        <v>3000</v>
      </c>
      <c r="B106" s="40" t="str">
        <f>INDEX(Legacy_Index!$D:$D,MATCH(A106,Legacy_Index!$A:$A,0))</f>
        <v>LMR240 (TWB2401)</v>
      </c>
      <c r="C106" s="37" t="s">
        <v>3117</v>
      </c>
      <c r="D106" s="37">
        <v>1</v>
      </c>
      <c r="E106" s="37">
        <v>10</v>
      </c>
      <c r="F106" s="37">
        <v>0.56000000000000005</v>
      </c>
      <c r="G106" s="40" t="str">
        <f>IF(INDEX(Legacy_Index!$G:$G,MATCH(A106,Legacy_Index!$A:$A,0))="","",INDEX(Legacy_Index!$G:$G,MATCH(A106,Legacy_Index!$A:$A,0)))</f>
        <v>TMS-LMR240</v>
      </c>
      <c r="H106" s="43">
        <f>IF(G106="","",EXP(FORECAST(LN(D106),INDEX(Attenuation!$K:$K,(INDEX(Cables!$AO:$AO,MATCH(G106,Cables!$A:$A,0))-1+MIN(MAX(IFERROR(MATCH(LN(D106),INDEX(Attenuation!$J:$J,INDEX(Cables!$AO:$AO,MATCH(G106,Cables!$A:$A,0))):INDEX(Attenuation!$J:$J,INDEX(Cables!$AO:$AO,MATCH(G106,Cables!$A:$A,0))+INDEX(Cables!$AP:$AP,MATCH(G106,Cables!$A:$A,0))-1),1),1),1),INDEX(Cables!$AP:$AP,MATCH(G106,Cables!$A:$A,0))-1))):INDEX(Attenuation!$K:$K,(INDEX(Cables!$AO:$AO,MATCH(G106,Cables!$A:$A,0))-1+MIN(MAX(IFERROR(MATCH(LN(D106),INDEX(Attenuation!$J:$J,INDEX(Cables!$AO:$AO,MATCH(G106,Cables!$A:$A,0))):INDEX(Attenuation!$J:$J,INDEX(Cables!$AO:$AO,MATCH(G106,Cables!$A:$A,0))+INDEX(Cables!$AP:$AP,MATCH(G106,Cables!$A:$A,0))-1),1),1),1),INDEX(Cables!$AP:$AP,MATCH(G106,Cables!$A:$A,0))-1))+1),INDEX(Attenuation!$J:$J,(INDEX(Cables!$AO:$AO,MATCH(G106,Cables!$A:$A,0))-1+MIN(MAX(IFERROR(MATCH(LN(D106),INDEX(Attenuation!$J:$J,INDEX(Cables!$AO:$AO,MATCH(G106,Cables!$A:$A,0))):INDEX(Attenuation!$J:$J,INDEX(Cables!$AO:$AO,MATCH(G106,Cables!$A:$A,0))+INDEX(Cables!$AP:$AP,MATCH(G106,Cables!$A:$A,0))-1),1),1),1),INDEX(Cables!$AP:$AP,MATCH(G106,Cables!$A:$A,0))-1))):INDEX(Attenuation!$J:$J,(INDEX(Cables!$AO:$AO,MATCH(G106,Cables!$A:$A,0))-1+MIN(MAX(IFERROR(MATCH(LN(D106),INDEX(Attenuation!$J:$J,INDEX(Cables!$AO:$AO,MATCH(G106,Cables!$A:$A,0))):INDEX(Attenuation!$J:$J,INDEX(Cables!$AO:$AO,MATCH(G106,Cables!$A:$A,0))+INDEX(Cables!$AP:$AP,MATCH(G106,Cables!$A:$A,0))-1),1),1),1),INDEX(Cables!$AP:$AP,MATCH(G106,Cables!$A:$A,0))-1))+1)))*0.3048)</f>
        <v>0.21788223337485357</v>
      </c>
      <c r="I106" s="43">
        <f>IF(G106="","",EXP(FORECAST(LN(E106),INDEX(Attenuation!$K:$K,(INDEX(Cables!$AO:$AO,MATCH(G106,Cables!$A:$A,0))-1+MIN(MAX(IFERROR(MATCH(LN(E106),INDEX(Attenuation!$J:$J,INDEX(Cables!$AO:$AO,MATCH(G106,Cables!$A:$A,0))):INDEX(Attenuation!$J:$J,INDEX(Cables!$AO:$AO,MATCH(G106,Cables!$A:$A,0))+INDEX(Cables!$AP:$AP,MATCH(G106,Cables!$A:$A,0))-1),1),1),1),INDEX(Cables!$AP:$AP,MATCH(G106,Cables!$A:$A,0))-1))):INDEX(Attenuation!$K:$K,(INDEX(Cables!$AO:$AO,MATCH(G106,Cables!$A:$A,0))-1+MIN(MAX(IFERROR(MATCH(LN(E106),INDEX(Attenuation!$J:$J,INDEX(Cables!$AO:$AO,MATCH(G106,Cables!$A:$A,0))):INDEX(Attenuation!$J:$J,INDEX(Cables!$AO:$AO,MATCH(G106,Cables!$A:$A,0))+INDEX(Cables!$AP:$AP,MATCH(G106,Cables!$A:$A,0))-1),1),1),1),INDEX(Cables!$AP:$AP,MATCH(G106,Cables!$A:$A,0))-1))+1),INDEX(Attenuation!$J:$J,(INDEX(Cables!$AO:$AO,MATCH(G106,Cables!$A:$A,0))-1+MIN(MAX(IFERROR(MATCH(LN(E106),INDEX(Attenuation!$J:$J,INDEX(Cables!$AO:$AO,MATCH(G106,Cables!$A:$A,0))):INDEX(Attenuation!$J:$J,INDEX(Cables!$AO:$AO,MATCH(G106,Cables!$A:$A,0))+INDEX(Cables!$AP:$AP,MATCH(G106,Cables!$A:$A,0))-1),1),1),1),INDEX(Cables!$AP:$AP,MATCH(G106,Cables!$A:$A,0))-1))):INDEX(Attenuation!$J:$J,(INDEX(Cables!$AO:$AO,MATCH(G106,Cables!$A:$A,0))-1+MIN(MAX(IFERROR(MATCH(LN(E106),INDEX(Attenuation!$J:$J,INDEX(Cables!$AO:$AO,MATCH(G106,Cables!$A:$A,0))):INDEX(Attenuation!$J:$J,INDEX(Cables!$AO:$AO,MATCH(G106,Cables!$A:$A,0))+INDEX(Cables!$AP:$AP,MATCH(G106,Cables!$A:$A,0))-1),1),1),1),INDEX(Cables!$AP:$AP,MATCH(G106,Cables!$A:$A,0))-1))+1)))*0.3048)</f>
        <v>0.7300951662599513</v>
      </c>
      <c r="J106" s="44">
        <f t="shared" si="1"/>
        <v>0</v>
      </c>
      <c r="K106" s="40" t="str">
        <f>IF(G106="","Doğrulanmadı",IF(ABS(J106)&lt;=0.1,"Uyumlu (±%10)",IF(ABS(J106)&lt;=0.25,"Fark %10-25","Fark &gt;%25"))&amp;IF(OR(D106&lt;INDEX(Cables!$AQ:$AQ,MATCH(G106,Cables!$A:$A,0)),E106&gt;INDEX(Cables!$AR:$AR,MATCH(G106,Cables!$A:$A,0)))," · ekstrapolasyon",""))</f>
        <v>Uyumlu (±%10) · ekstrapolasyon</v>
      </c>
    </row>
    <row r="107" spans="1:11" x14ac:dyDescent="0.25">
      <c r="A107" s="37" t="s">
        <v>3000</v>
      </c>
      <c r="B107" s="40" t="str">
        <f>INDEX(Legacy_Index!$D:$D,MATCH(A107,Legacy_Index!$A:$A,0))</f>
        <v>LMR240 (TWB2401)</v>
      </c>
      <c r="C107" s="37" t="s">
        <v>3118</v>
      </c>
      <c r="D107" s="37">
        <v>30</v>
      </c>
      <c r="E107" s="37">
        <v>50</v>
      </c>
      <c r="F107" s="37">
        <v>1.6</v>
      </c>
      <c r="G107" s="40" t="str">
        <f>IF(INDEX(Legacy_Index!$G:$G,MATCH(A107,Legacy_Index!$A:$A,0))="","",INDEX(Legacy_Index!$G:$G,MATCH(A107,Legacy_Index!$A:$A,0)))</f>
        <v>TMS-LMR240</v>
      </c>
      <c r="H107" s="43">
        <f>IF(G107="","",EXP(FORECAST(LN(D107),INDEX(Attenuation!$K:$K,(INDEX(Cables!$AO:$AO,MATCH(G107,Cables!$A:$A,0))-1+MIN(MAX(IFERROR(MATCH(LN(D107),INDEX(Attenuation!$J:$J,INDEX(Cables!$AO:$AO,MATCH(G107,Cables!$A:$A,0))):INDEX(Attenuation!$J:$J,INDEX(Cables!$AO:$AO,MATCH(G107,Cables!$A:$A,0))+INDEX(Cables!$AP:$AP,MATCH(G107,Cables!$A:$A,0))-1),1),1),1),INDEX(Cables!$AP:$AP,MATCH(G107,Cables!$A:$A,0))-1))):INDEX(Attenuation!$K:$K,(INDEX(Cables!$AO:$AO,MATCH(G107,Cables!$A:$A,0))-1+MIN(MAX(IFERROR(MATCH(LN(D107),INDEX(Attenuation!$J:$J,INDEX(Cables!$AO:$AO,MATCH(G107,Cables!$A:$A,0))):INDEX(Attenuation!$J:$J,INDEX(Cables!$AO:$AO,MATCH(G107,Cables!$A:$A,0))+INDEX(Cables!$AP:$AP,MATCH(G107,Cables!$A:$A,0))-1),1),1),1),INDEX(Cables!$AP:$AP,MATCH(G107,Cables!$A:$A,0))-1))+1),INDEX(Attenuation!$J:$J,(INDEX(Cables!$AO:$AO,MATCH(G107,Cables!$A:$A,0))-1+MIN(MAX(IFERROR(MATCH(LN(D107),INDEX(Attenuation!$J:$J,INDEX(Cables!$AO:$AO,MATCH(G107,Cables!$A:$A,0))):INDEX(Attenuation!$J:$J,INDEX(Cables!$AO:$AO,MATCH(G107,Cables!$A:$A,0))+INDEX(Cables!$AP:$AP,MATCH(G107,Cables!$A:$A,0))-1),1),1),1),INDEX(Cables!$AP:$AP,MATCH(G107,Cables!$A:$A,0))-1))):INDEX(Attenuation!$J:$J,(INDEX(Cables!$AO:$AO,MATCH(G107,Cables!$A:$A,0))-1+MIN(MAX(IFERROR(MATCH(LN(D107),INDEX(Attenuation!$J:$J,INDEX(Cables!$AO:$AO,MATCH(G107,Cables!$A:$A,0))):INDEX(Attenuation!$J:$J,INDEX(Cables!$AO:$AO,MATCH(G107,Cables!$A:$A,0))+INDEX(Cables!$AP:$AP,MATCH(G107,Cables!$A:$A,0))-1),1),1),1),INDEX(Cables!$AP:$AP,MATCH(G107,Cables!$A:$A,0))-1))+1)))*0.3048)</f>
        <v>1.3</v>
      </c>
      <c r="I107" s="43">
        <f>IF(G107="","",EXP(FORECAST(LN(E107),INDEX(Attenuation!$K:$K,(INDEX(Cables!$AO:$AO,MATCH(G107,Cables!$A:$A,0))-1+MIN(MAX(IFERROR(MATCH(LN(E107),INDEX(Attenuation!$J:$J,INDEX(Cables!$AO:$AO,MATCH(G107,Cables!$A:$A,0))):INDEX(Attenuation!$J:$J,INDEX(Cables!$AO:$AO,MATCH(G107,Cables!$A:$A,0))+INDEX(Cables!$AP:$AP,MATCH(G107,Cables!$A:$A,0))-1),1),1),1),INDEX(Cables!$AP:$AP,MATCH(G107,Cables!$A:$A,0))-1))):INDEX(Attenuation!$K:$K,(INDEX(Cables!$AO:$AO,MATCH(G107,Cables!$A:$A,0))-1+MIN(MAX(IFERROR(MATCH(LN(E107),INDEX(Attenuation!$J:$J,INDEX(Cables!$AO:$AO,MATCH(G107,Cables!$A:$A,0))):INDEX(Attenuation!$J:$J,INDEX(Cables!$AO:$AO,MATCH(G107,Cables!$A:$A,0))+INDEX(Cables!$AP:$AP,MATCH(G107,Cables!$A:$A,0))-1),1),1),1),INDEX(Cables!$AP:$AP,MATCH(G107,Cables!$A:$A,0))-1))+1),INDEX(Attenuation!$J:$J,(INDEX(Cables!$AO:$AO,MATCH(G107,Cables!$A:$A,0))-1+MIN(MAX(IFERROR(MATCH(LN(E107),INDEX(Attenuation!$J:$J,INDEX(Cables!$AO:$AO,MATCH(G107,Cables!$A:$A,0))):INDEX(Attenuation!$J:$J,INDEX(Cables!$AO:$AO,MATCH(G107,Cables!$A:$A,0))+INDEX(Cables!$AP:$AP,MATCH(G107,Cables!$A:$A,0))-1),1),1),1),INDEX(Cables!$AP:$AP,MATCH(G107,Cables!$A:$A,0))-1))):INDEX(Attenuation!$J:$J,(INDEX(Cables!$AO:$AO,MATCH(G107,Cables!$A:$A,0))-1+MIN(MAX(IFERROR(MATCH(LN(E107),INDEX(Attenuation!$J:$J,INDEX(Cables!$AO:$AO,MATCH(G107,Cables!$A:$A,0))):INDEX(Attenuation!$J:$J,INDEX(Cables!$AO:$AO,MATCH(G107,Cables!$A:$A,0))+INDEX(Cables!$AP:$AP,MATCH(G107,Cables!$A:$A,0))-1),1),1),1),INDEX(Cables!$AP:$AP,MATCH(G107,Cables!$A:$A,0))-1))+1)))*0.3048)</f>
        <v>1.7</v>
      </c>
      <c r="J107" s="44">
        <f t="shared" si="1"/>
        <v>0</v>
      </c>
      <c r="K107" s="40" t="str">
        <f>IF(G107="","Doğrulanmadı",IF(ABS(J107)&lt;=0.1,"Uyumlu (±%10)",IF(ABS(J107)&lt;=0.25,"Fark %10-25","Fark &gt;%25"))&amp;IF(OR(D107&lt;INDEX(Cables!$AQ:$AQ,MATCH(G107,Cables!$A:$A,0)),E107&gt;INDEX(Cables!$AR:$AR,MATCH(G107,Cables!$A:$A,0)))," · ekstrapolasyon",""))</f>
        <v>Uyumlu (±%10)</v>
      </c>
    </row>
    <row r="108" spans="1:11" x14ac:dyDescent="0.25">
      <c r="A108" s="37" t="s">
        <v>3000</v>
      </c>
      <c r="B108" s="40" t="str">
        <f>INDEX(Legacy_Index!$D:$D,MATCH(A108,Legacy_Index!$A:$A,0))</f>
        <v>LMR240 (TWB2401)</v>
      </c>
      <c r="C108" s="37" t="s">
        <v>3113</v>
      </c>
      <c r="D108" s="37">
        <v>70</v>
      </c>
      <c r="E108" s="37">
        <v>100</v>
      </c>
      <c r="F108" s="37">
        <v>2.2999999999999998</v>
      </c>
      <c r="G108" s="40" t="str">
        <f>IF(INDEX(Legacy_Index!$G:$G,MATCH(A108,Legacy_Index!$A:$A,0))="","",INDEX(Legacy_Index!$G:$G,MATCH(A108,Legacy_Index!$A:$A,0)))</f>
        <v>TMS-LMR240</v>
      </c>
      <c r="H108" s="43">
        <f>IF(G108="","",EXP(FORECAST(LN(D108),INDEX(Attenuation!$K:$K,(INDEX(Cables!$AO:$AO,MATCH(G108,Cables!$A:$A,0))-1+MIN(MAX(IFERROR(MATCH(LN(D108),INDEX(Attenuation!$J:$J,INDEX(Cables!$AO:$AO,MATCH(G108,Cables!$A:$A,0))):INDEX(Attenuation!$J:$J,INDEX(Cables!$AO:$AO,MATCH(G108,Cables!$A:$A,0))+INDEX(Cables!$AP:$AP,MATCH(G108,Cables!$A:$A,0))-1),1),1),1),INDEX(Cables!$AP:$AP,MATCH(G108,Cables!$A:$A,0))-1))):INDEX(Attenuation!$K:$K,(INDEX(Cables!$AO:$AO,MATCH(G108,Cables!$A:$A,0))-1+MIN(MAX(IFERROR(MATCH(LN(D108),INDEX(Attenuation!$J:$J,INDEX(Cables!$AO:$AO,MATCH(G108,Cables!$A:$A,0))):INDEX(Attenuation!$J:$J,INDEX(Cables!$AO:$AO,MATCH(G108,Cables!$A:$A,0))+INDEX(Cables!$AP:$AP,MATCH(G108,Cables!$A:$A,0))-1),1),1),1),INDEX(Cables!$AP:$AP,MATCH(G108,Cables!$A:$A,0))-1))+1),INDEX(Attenuation!$J:$J,(INDEX(Cables!$AO:$AO,MATCH(G108,Cables!$A:$A,0))-1+MIN(MAX(IFERROR(MATCH(LN(D108),INDEX(Attenuation!$J:$J,INDEX(Cables!$AO:$AO,MATCH(G108,Cables!$A:$A,0))):INDEX(Attenuation!$J:$J,INDEX(Cables!$AO:$AO,MATCH(G108,Cables!$A:$A,0))+INDEX(Cables!$AP:$AP,MATCH(G108,Cables!$A:$A,0))-1),1),1),1),INDEX(Cables!$AP:$AP,MATCH(G108,Cables!$A:$A,0))-1))):INDEX(Attenuation!$J:$J,(INDEX(Cables!$AO:$AO,MATCH(G108,Cables!$A:$A,0))-1+MIN(MAX(IFERROR(MATCH(LN(D108),INDEX(Attenuation!$J:$J,INDEX(Cables!$AO:$AO,MATCH(G108,Cables!$A:$A,0))):INDEX(Attenuation!$J:$J,INDEX(Cables!$AO:$AO,MATCH(G108,Cables!$A:$A,0))+INDEX(Cables!$AP:$AP,MATCH(G108,Cables!$A:$A,0))-1),1),1),1),INDEX(Cables!$AP:$AP,MATCH(G108,Cables!$A:$A,0))-1))+1)))*0.3048)</f>
        <v>2.0230066634217647</v>
      </c>
      <c r="I108" s="43">
        <f>IF(G108="","",EXP(FORECAST(LN(E108),INDEX(Attenuation!$K:$K,(INDEX(Cables!$AO:$AO,MATCH(G108,Cables!$A:$A,0))-1+MIN(MAX(IFERROR(MATCH(LN(E108),INDEX(Attenuation!$J:$J,INDEX(Cables!$AO:$AO,MATCH(G108,Cables!$A:$A,0))):INDEX(Attenuation!$J:$J,INDEX(Cables!$AO:$AO,MATCH(G108,Cables!$A:$A,0))+INDEX(Cables!$AP:$AP,MATCH(G108,Cables!$A:$A,0))-1),1),1),1),INDEX(Cables!$AP:$AP,MATCH(G108,Cables!$A:$A,0))-1))):INDEX(Attenuation!$K:$K,(INDEX(Cables!$AO:$AO,MATCH(G108,Cables!$A:$A,0))-1+MIN(MAX(IFERROR(MATCH(LN(E108),INDEX(Attenuation!$J:$J,INDEX(Cables!$AO:$AO,MATCH(G108,Cables!$A:$A,0))):INDEX(Attenuation!$J:$J,INDEX(Cables!$AO:$AO,MATCH(G108,Cables!$A:$A,0))+INDEX(Cables!$AP:$AP,MATCH(G108,Cables!$A:$A,0))-1),1),1),1),INDEX(Cables!$AP:$AP,MATCH(G108,Cables!$A:$A,0))-1))+1),INDEX(Attenuation!$J:$J,(INDEX(Cables!$AO:$AO,MATCH(G108,Cables!$A:$A,0))-1+MIN(MAX(IFERROR(MATCH(LN(E108),INDEX(Attenuation!$J:$J,INDEX(Cables!$AO:$AO,MATCH(G108,Cables!$A:$A,0))):INDEX(Attenuation!$J:$J,INDEX(Cables!$AO:$AO,MATCH(G108,Cables!$A:$A,0))+INDEX(Cables!$AP:$AP,MATCH(G108,Cables!$A:$A,0))-1),1),1),1),INDEX(Cables!$AP:$AP,MATCH(G108,Cables!$A:$A,0))-1))):INDEX(Attenuation!$J:$J,(INDEX(Cables!$AO:$AO,MATCH(G108,Cables!$A:$A,0))-1+MIN(MAX(IFERROR(MATCH(LN(E108),INDEX(Attenuation!$J:$J,INDEX(Cables!$AO:$AO,MATCH(G108,Cables!$A:$A,0))):INDEX(Attenuation!$J:$J,INDEX(Cables!$AO:$AO,MATCH(G108,Cables!$A:$A,0))+INDEX(Cables!$AP:$AP,MATCH(G108,Cables!$A:$A,0))-1),1),1),1),INDEX(Cables!$AP:$AP,MATCH(G108,Cables!$A:$A,0))-1))+1)))*0.3048)</f>
        <v>2.4326623622985468</v>
      </c>
      <c r="J108" s="44">
        <f t="shared" si="1"/>
        <v>0</v>
      </c>
      <c r="K108" s="40" t="str">
        <f>IF(G108="","Doğrulanmadı",IF(ABS(J108)&lt;=0.1,"Uyumlu (±%10)",IF(ABS(J108)&lt;=0.25,"Fark %10-25","Fark &gt;%25"))&amp;IF(OR(D108&lt;INDEX(Cables!$AQ:$AQ,MATCH(G108,Cables!$A:$A,0)),E108&gt;INDEX(Cables!$AR:$AR,MATCH(G108,Cables!$A:$A,0)))," · ekstrapolasyon",""))</f>
        <v>Uyumlu (±%10)</v>
      </c>
    </row>
    <row r="109" spans="1:11" x14ac:dyDescent="0.25">
      <c r="A109" s="37" t="s">
        <v>3000</v>
      </c>
      <c r="B109" s="40" t="str">
        <f>INDEX(Legacy_Index!$D:$D,MATCH(A109,Legacy_Index!$A:$A,0))</f>
        <v>LMR240 (TWB2401)</v>
      </c>
      <c r="C109" s="37" t="s">
        <v>3114</v>
      </c>
      <c r="D109" s="37">
        <v>148</v>
      </c>
      <c r="E109" s="37">
        <v>174</v>
      </c>
      <c r="F109" s="37">
        <v>3</v>
      </c>
      <c r="G109" s="40" t="str">
        <f>IF(INDEX(Legacy_Index!$G:$G,MATCH(A109,Legacy_Index!$A:$A,0))="","",INDEX(Legacy_Index!$G:$G,MATCH(A109,Legacy_Index!$A:$A,0)))</f>
        <v>TMS-LMR240</v>
      </c>
      <c r="H109" s="43">
        <f>IF(G109="","",EXP(FORECAST(LN(D109),INDEX(Attenuation!$K:$K,(INDEX(Cables!$AO:$AO,MATCH(G109,Cables!$A:$A,0))-1+MIN(MAX(IFERROR(MATCH(LN(D109),INDEX(Attenuation!$J:$J,INDEX(Cables!$AO:$AO,MATCH(G109,Cables!$A:$A,0))):INDEX(Attenuation!$J:$J,INDEX(Cables!$AO:$AO,MATCH(G109,Cables!$A:$A,0))+INDEX(Cables!$AP:$AP,MATCH(G109,Cables!$A:$A,0))-1),1),1),1),INDEX(Cables!$AP:$AP,MATCH(G109,Cables!$A:$A,0))-1))):INDEX(Attenuation!$K:$K,(INDEX(Cables!$AO:$AO,MATCH(G109,Cables!$A:$A,0))-1+MIN(MAX(IFERROR(MATCH(LN(D109),INDEX(Attenuation!$J:$J,INDEX(Cables!$AO:$AO,MATCH(G109,Cables!$A:$A,0))):INDEX(Attenuation!$J:$J,INDEX(Cables!$AO:$AO,MATCH(G109,Cables!$A:$A,0))+INDEX(Cables!$AP:$AP,MATCH(G109,Cables!$A:$A,0))-1),1),1),1),INDEX(Cables!$AP:$AP,MATCH(G109,Cables!$A:$A,0))-1))+1),INDEX(Attenuation!$J:$J,(INDEX(Cables!$AO:$AO,MATCH(G109,Cables!$A:$A,0))-1+MIN(MAX(IFERROR(MATCH(LN(D109),INDEX(Attenuation!$J:$J,INDEX(Cables!$AO:$AO,MATCH(G109,Cables!$A:$A,0))):INDEX(Attenuation!$J:$J,INDEX(Cables!$AO:$AO,MATCH(G109,Cables!$A:$A,0))+INDEX(Cables!$AP:$AP,MATCH(G109,Cables!$A:$A,0))-1),1),1),1),INDEX(Cables!$AP:$AP,MATCH(G109,Cables!$A:$A,0))-1))):INDEX(Attenuation!$J:$J,(INDEX(Cables!$AO:$AO,MATCH(G109,Cables!$A:$A,0))-1+MIN(MAX(IFERROR(MATCH(LN(D109),INDEX(Attenuation!$J:$J,INDEX(Cables!$AO:$AO,MATCH(G109,Cables!$A:$A,0))):INDEX(Attenuation!$J:$J,INDEX(Cables!$AO:$AO,MATCH(G109,Cables!$A:$A,0))+INDEX(Cables!$AP:$AP,MATCH(G109,Cables!$A:$A,0))-1),1),1),1),INDEX(Cables!$AP:$AP,MATCH(G109,Cables!$A:$A,0))-1))+1)))*0.3048)</f>
        <v>2.979252913801508</v>
      </c>
      <c r="I109" s="43">
        <f>IF(G109="","",EXP(FORECAST(LN(E109),INDEX(Attenuation!$K:$K,(INDEX(Cables!$AO:$AO,MATCH(G109,Cables!$A:$A,0))-1+MIN(MAX(IFERROR(MATCH(LN(E109),INDEX(Attenuation!$J:$J,INDEX(Cables!$AO:$AO,MATCH(G109,Cables!$A:$A,0))):INDEX(Attenuation!$J:$J,INDEX(Cables!$AO:$AO,MATCH(G109,Cables!$A:$A,0))+INDEX(Cables!$AP:$AP,MATCH(G109,Cables!$A:$A,0))-1),1),1),1),INDEX(Cables!$AP:$AP,MATCH(G109,Cables!$A:$A,0))-1))):INDEX(Attenuation!$K:$K,(INDEX(Cables!$AO:$AO,MATCH(G109,Cables!$A:$A,0))-1+MIN(MAX(IFERROR(MATCH(LN(E109),INDEX(Attenuation!$J:$J,INDEX(Cables!$AO:$AO,MATCH(G109,Cables!$A:$A,0))):INDEX(Attenuation!$J:$J,INDEX(Cables!$AO:$AO,MATCH(G109,Cables!$A:$A,0))+INDEX(Cables!$AP:$AP,MATCH(G109,Cables!$A:$A,0))-1),1),1),1),INDEX(Cables!$AP:$AP,MATCH(G109,Cables!$A:$A,0))-1))+1),INDEX(Attenuation!$J:$J,(INDEX(Cables!$AO:$AO,MATCH(G109,Cables!$A:$A,0))-1+MIN(MAX(IFERROR(MATCH(LN(E109),INDEX(Attenuation!$J:$J,INDEX(Cables!$AO:$AO,MATCH(G109,Cables!$A:$A,0))):INDEX(Attenuation!$J:$J,INDEX(Cables!$AO:$AO,MATCH(G109,Cables!$A:$A,0))+INDEX(Cables!$AP:$AP,MATCH(G109,Cables!$A:$A,0))-1),1),1),1),INDEX(Cables!$AP:$AP,MATCH(G109,Cables!$A:$A,0))-1))):INDEX(Attenuation!$J:$J,(INDEX(Cables!$AO:$AO,MATCH(G109,Cables!$A:$A,0))-1+MIN(MAX(IFERROR(MATCH(LN(E109),INDEX(Attenuation!$J:$J,INDEX(Cables!$AO:$AO,MATCH(G109,Cables!$A:$A,0))):INDEX(Attenuation!$J:$J,INDEX(Cables!$AO:$AO,MATCH(G109,Cables!$A:$A,0))+INDEX(Cables!$AP:$AP,MATCH(G109,Cables!$A:$A,0))-1),1),1),1),INDEX(Cables!$AP:$AP,MATCH(G109,Cables!$A:$A,0))-1))+1)))*0.3048)</f>
        <v>3.2539991516717848</v>
      </c>
      <c r="J109" s="44">
        <f t="shared" si="1"/>
        <v>0</v>
      </c>
      <c r="K109" s="40" t="str">
        <f>IF(G109="","Doğrulanmadı",IF(ABS(J109)&lt;=0.1,"Uyumlu (±%10)",IF(ABS(J109)&lt;=0.25,"Fark %10-25","Fark &gt;%25"))&amp;IF(OR(D109&lt;INDEX(Cables!$AQ:$AQ,MATCH(G109,Cables!$A:$A,0)),E109&gt;INDEX(Cables!$AR:$AR,MATCH(G109,Cables!$A:$A,0)))," · ekstrapolasyon",""))</f>
        <v>Uyumlu (±%10)</v>
      </c>
    </row>
    <row r="110" spans="1:11" x14ac:dyDescent="0.25">
      <c r="A110" s="37" t="s">
        <v>3000</v>
      </c>
      <c r="B110" s="40" t="str">
        <f>INDEX(Legacy_Index!$D:$D,MATCH(A110,Legacy_Index!$A:$A,0))</f>
        <v>LMR240 (TWB2401)</v>
      </c>
      <c r="C110" s="37" t="s">
        <v>3119</v>
      </c>
      <c r="D110" s="37">
        <v>220</v>
      </c>
      <c r="E110" s="37">
        <v>220</v>
      </c>
      <c r="F110" s="37">
        <v>3.7</v>
      </c>
      <c r="G110" s="40" t="str">
        <f>IF(INDEX(Legacy_Index!$G:$G,MATCH(A110,Legacy_Index!$A:$A,0))="","",INDEX(Legacy_Index!$G:$G,MATCH(A110,Legacy_Index!$A:$A,0)))</f>
        <v>TMS-LMR240</v>
      </c>
      <c r="H110" s="43">
        <f>IF(G110="","",EXP(FORECAST(LN(D110),INDEX(Attenuation!$K:$K,(INDEX(Cables!$AO:$AO,MATCH(G110,Cables!$A:$A,0))-1+MIN(MAX(IFERROR(MATCH(LN(D110),INDEX(Attenuation!$J:$J,INDEX(Cables!$AO:$AO,MATCH(G110,Cables!$A:$A,0))):INDEX(Attenuation!$J:$J,INDEX(Cables!$AO:$AO,MATCH(G110,Cables!$A:$A,0))+INDEX(Cables!$AP:$AP,MATCH(G110,Cables!$A:$A,0))-1),1),1),1),INDEX(Cables!$AP:$AP,MATCH(G110,Cables!$A:$A,0))-1))):INDEX(Attenuation!$K:$K,(INDEX(Cables!$AO:$AO,MATCH(G110,Cables!$A:$A,0))-1+MIN(MAX(IFERROR(MATCH(LN(D110),INDEX(Attenuation!$J:$J,INDEX(Cables!$AO:$AO,MATCH(G110,Cables!$A:$A,0))):INDEX(Attenuation!$J:$J,INDEX(Cables!$AO:$AO,MATCH(G110,Cables!$A:$A,0))+INDEX(Cables!$AP:$AP,MATCH(G110,Cables!$A:$A,0))-1),1),1),1),INDEX(Cables!$AP:$AP,MATCH(G110,Cables!$A:$A,0))-1))+1),INDEX(Attenuation!$J:$J,(INDEX(Cables!$AO:$AO,MATCH(G110,Cables!$A:$A,0))-1+MIN(MAX(IFERROR(MATCH(LN(D110),INDEX(Attenuation!$J:$J,INDEX(Cables!$AO:$AO,MATCH(G110,Cables!$A:$A,0))):INDEX(Attenuation!$J:$J,INDEX(Cables!$AO:$AO,MATCH(G110,Cables!$A:$A,0))+INDEX(Cables!$AP:$AP,MATCH(G110,Cables!$A:$A,0))-1),1),1),1),INDEX(Cables!$AP:$AP,MATCH(G110,Cables!$A:$A,0))-1))):INDEX(Attenuation!$J:$J,(INDEX(Cables!$AO:$AO,MATCH(G110,Cables!$A:$A,0))-1+MIN(MAX(IFERROR(MATCH(LN(D110),INDEX(Attenuation!$J:$J,INDEX(Cables!$AO:$AO,MATCH(G110,Cables!$A:$A,0))):INDEX(Attenuation!$J:$J,INDEX(Cables!$AO:$AO,MATCH(G110,Cables!$A:$A,0))+INDEX(Cables!$AP:$AP,MATCH(G110,Cables!$A:$A,0))-1),1),1),1),INDEX(Cables!$AP:$AP,MATCH(G110,Cables!$A:$A,0))-1))+1)))*0.3048)</f>
        <v>3.7</v>
      </c>
      <c r="I110" s="43">
        <f>IF(G110="","",EXP(FORECAST(LN(E110),INDEX(Attenuation!$K:$K,(INDEX(Cables!$AO:$AO,MATCH(G110,Cables!$A:$A,0))-1+MIN(MAX(IFERROR(MATCH(LN(E110),INDEX(Attenuation!$J:$J,INDEX(Cables!$AO:$AO,MATCH(G110,Cables!$A:$A,0))):INDEX(Attenuation!$J:$J,INDEX(Cables!$AO:$AO,MATCH(G110,Cables!$A:$A,0))+INDEX(Cables!$AP:$AP,MATCH(G110,Cables!$A:$A,0))-1),1),1),1),INDEX(Cables!$AP:$AP,MATCH(G110,Cables!$A:$A,0))-1))):INDEX(Attenuation!$K:$K,(INDEX(Cables!$AO:$AO,MATCH(G110,Cables!$A:$A,0))-1+MIN(MAX(IFERROR(MATCH(LN(E110),INDEX(Attenuation!$J:$J,INDEX(Cables!$AO:$AO,MATCH(G110,Cables!$A:$A,0))):INDEX(Attenuation!$J:$J,INDEX(Cables!$AO:$AO,MATCH(G110,Cables!$A:$A,0))+INDEX(Cables!$AP:$AP,MATCH(G110,Cables!$A:$A,0))-1),1),1),1),INDEX(Cables!$AP:$AP,MATCH(G110,Cables!$A:$A,0))-1))+1),INDEX(Attenuation!$J:$J,(INDEX(Cables!$AO:$AO,MATCH(G110,Cables!$A:$A,0))-1+MIN(MAX(IFERROR(MATCH(LN(E110),INDEX(Attenuation!$J:$J,INDEX(Cables!$AO:$AO,MATCH(G110,Cables!$A:$A,0))):INDEX(Attenuation!$J:$J,INDEX(Cables!$AO:$AO,MATCH(G110,Cables!$A:$A,0))+INDEX(Cables!$AP:$AP,MATCH(G110,Cables!$A:$A,0))-1),1),1),1),INDEX(Cables!$AP:$AP,MATCH(G110,Cables!$A:$A,0))-1))):INDEX(Attenuation!$J:$J,(INDEX(Cables!$AO:$AO,MATCH(G110,Cables!$A:$A,0))-1+MIN(MAX(IFERROR(MATCH(LN(E110),INDEX(Attenuation!$J:$J,INDEX(Cables!$AO:$AO,MATCH(G110,Cables!$A:$A,0))):INDEX(Attenuation!$J:$J,INDEX(Cables!$AO:$AO,MATCH(G110,Cables!$A:$A,0))+INDEX(Cables!$AP:$AP,MATCH(G110,Cables!$A:$A,0))-1),1),1),1),INDEX(Cables!$AP:$AP,MATCH(G110,Cables!$A:$A,0))-1))+1)))*0.3048)</f>
        <v>3.7</v>
      </c>
      <c r="J110" s="44">
        <f t="shared" si="1"/>
        <v>0</v>
      </c>
      <c r="K110" s="40" t="str">
        <f>IF(G110="","Doğrulanmadı",IF(ABS(J110)&lt;=0.1,"Uyumlu (±%10)",IF(ABS(J110)&lt;=0.25,"Fark %10-25","Fark &gt;%25"))&amp;IF(OR(D110&lt;INDEX(Cables!$AQ:$AQ,MATCH(G110,Cables!$A:$A,0)),E110&gt;INDEX(Cables!$AR:$AR,MATCH(G110,Cables!$A:$A,0)))," · ekstrapolasyon",""))</f>
        <v>Uyumlu (±%10)</v>
      </c>
    </row>
    <row r="111" spans="1:11" x14ac:dyDescent="0.25">
      <c r="A111" s="37" t="s">
        <v>3000</v>
      </c>
      <c r="B111" s="40" t="str">
        <f>INDEX(Legacy_Index!$D:$D,MATCH(A111,Legacy_Index!$A:$A,0))</f>
        <v>LMR240 (TWB2401)</v>
      </c>
      <c r="C111" s="37" t="s">
        <v>3115</v>
      </c>
      <c r="D111" s="37">
        <v>400</v>
      </c>
      <c r="E111" s="37">
        <v>520</v>
      </c>
      <c r="F111" s="37">
        <v>5.3</v>
      </c>
      <c r="G111" s="40" t="str">
        <f>IF(INDEX(Legacy_Index!$G:$G,MATCH(A111,Legacy_Index!$A:$A,0))="","",INDEX(Legacy_Index!$G:$G,MATCH(A111,Legacy_Index!$A:$A,0)))</f>
        <v>TMS-LMR240</v>
      </c>
      <c r="H111" s="43">
        <f>IF(G111="","",EXP(FORECAST(LN(D111),INDEX(Attenuation!$K:$K,(INDEX(Cables!$AO:$AO,MATCH(G111,Cables!$A:$A,0))-1+MIN(MAX(IFERROR(MATCH(LN(D111),INDEX(Attenuation!$J:$J,INDEX(Cables!$AO:$AO,MATCH(G111,Cables!$A:$A,0))):INDEX(Attenuation!$J:$J,INDEX(Cables!$AO:$AO,MATCH(G111,Cables!$A:$A,0))+INDEX(Cables!$AP:$AP,MATCH(G111,Cables!$A:$A,0))-1),1),1),1),INDEX(Cables!$AP:$AP,MATCH(G111,Cables!$A:$A,0))-1))):INDEX(Attenuation!$K:$K,(INDEX(Cables!$AO:$AO,MATCH(G111,Cables!$A:$A,0))-1+MIN(MAX(IFERROR(MATCH(LN(D111),INDEX(Attenuation!$J:$J,INDEX(Cables!$AO:$AO,MATCH(G111,Cables!$A:$A,0))):INDEX(Attenuation!$J:$J,INDEX(Cables!$AO:$AO,MATCH(G111,Cables!$A:$A,0))+INDEX(Cables!$AP:$AP,MATCH(G111,Cables!$A:$A,0))-1),1),1),1),INDEX(Cables!$AP:$AP,MATCH(G111,Cables!$A:$A,0))-1))+1),INDEX(Attenuation!$J:$J,(INDEX(Cables!$AO:$AO,MATCH(G111,Cables!$A:$A,0))-1+MIN(MAX(IFERROR(MATCH(LN(D111),INDEX(Attenuation!$J:$J,INDEX(Cables!$AO:$AO,MATCH(G111,Cables!$A:$A,0))):INDEX(Attenuation!$J:$J,INDEX(Cables!$AO:$AO,MATCH(G111,Cables!$A:$A,0))+INDEX(Cables!$AP:$AP,MATCH(G111,Cables!$A:$A,0))-1),1),1),1),INDEX(Cables!$AP:$AP,MATCH(G111,Cables!$A:$A,0))-1))):INDEX(Attenuation!$J:$J,(INDEX(Cables!$AO:$AO,MATCH(G111,Cables!$A:$A,0))-1+MIN(MAX(IFERROR(MATCH(LN(D111),INDEX(Attenuation!$J:$J,INDEX(Cables!$AO:$AO,MATCH(G111,Cables!$A:$A,0))):INDEX(Attenuation!$J:$J,INDEX(Cables!$AO:$AO,MATCH(G111,Cables!$A:$A,0))+INDEX(Cables!$AP:$AP,MATCH(G111,Cables!$A:$A,0))-1),1),1),1),INDEX(Cables!$AP:$AP,MATCH(G111,Cables!$A:$A,0))-1))+1)))*0.3048)</f>
        <v>4.995601816915646</v>
      </c>
      <c r="I111" s="43">
        <f>IF(G111="","",EXP(FORECAST(LN(E111),INDEX(Attenuation!$K:$K,(INDEX(Cables!$AO:$AO,MATCH(G111,Cables!$A:$A,0))-1+MIN(MAX(IFERROR(MATCH(LN(E111),INDEX(Attenuation!$J:$J,INDEX(Cables!$AO:$AO,MATCH(G111,Cables!$A:$A,0))):INDEX(Attenuation!$J:$J,INDEX(Cables!$AO:$AO,MATCH(G111,Cables!$A:$A,0))+INDEX(Cables!$AP:$AP,MATCH(G111,Cables!$A:$A,0))-1),1),1),1),INDEX(Cables!$AP:$AP,MATCH(G111,Cables!$A:$A,0))-1))):INDEX(Attenuation!$K:$K,(INDEX(Cables!$AO:$AO,MATCH(G111,Cables!$A:$A,0))-1+MIN(MAX(IFERROR(MATCH(LN(E111),INDEX(Attenuation!$J:$J,INDEX(Cables!$AO:$AO,MATCH(G111,Cables!$A:$A,0))):INDEX(Attenuation!$J:$J,INDEX(Cables!$AO:$AO,MATCH(G111,Cables!$A:$A,0))+INDEX(Cables!$AP:$AP,MATCH(G111,Cables!$A:$A,0))-1),1),1),1),INDEX(Cables!$AP:$AP,MATCH(G111,Cables!$A:$A,0))-1))+1),INDEX(Attenuation!$J:$J,(INDEX(Cables!$AO:$AO,MATCH(G111,Cables!$A:$A,0))-1+MIN(MAX(IFERROR(MATCH(LN(E111),INDEX(Attenuation!$J:$J,INDEX(Cables!$AO:$AO,MATCH(G111,Cables!$A:$A,0))):INDEX(Attenuation!$J:$J,INDEX(Cables!$AO:$AO,MATCH(G111,Cables!$A:$A,0))+INDEX(Cables!$AP:$AP,MATCH(G111,Cables!$A:$A,0))-1),1),1),1),INDEX(Cables!$AP:$AP,MATCH(G111,Cables!$A:$A,0))-1))):INDEX(Attenuation!$J:$J,(INDEX(Cables!$AO:$AO,MATCH(G111,Cables!$A:$A,0))-1+MIN(MAX(IFERROR(MATCH(LN(E111),INDEX(Attenuation!$J:$J,INDEX(Cables!$AO:$AO,MATCH(G111,Cables!$A:$A,0))):INDEX(Attenuation!$J:$J,INDEX(Cables!$AO:$AO,MATCH(G111,Cables!$A:$A,0))+INDEX(Cables!$AP:$AP,MATCH(G111,Cables!$A:$A,0))-1),1),1),1),INDEX(Cables!$AP:$AP,MATCH(G111,Cables!$A:$A,0))-1))+1)))*0.3048)</f>
        <v>5.694433202674392</v>
      </c>
      <c r="J111" s="44">
        <f t="shared" si="1"/>
        <v>0</v>
      </c>
      <c r="K111" s="40" t="str">
        <f>IF(G111="","Doğrulanmadı",IF(ABS(J111)&lt;=0.1,"Uyumlu (±%10)",IF(ABS(J111)&lt;=0.25,"Fark %10-25","Fark &gt;%25"))&amp;IF(OR(D111&lt;INDEX(Cables!$AQ:$AQ,MATCH(G111,Cables!$A:$A,0)),E111&gt;INDEX(Cables!$AR:$AR,MATCH(G111,Cables!$A:$A,0)))," · ekstrapolasyon",""))</f>
        <v>Uyumlu (±%10)</v>
      </c>
    </row>
    <row r="112" spans="1:11" x14ac:dyDescent="0.25">
      <c r="A112" s="37" t="s">
        <v>3000</v>
      </c>
      <c r="B112" s="40" t="str">
        <f>INDEX(Legacy_Index!$D:$D,MATCH(A112,Legacy_Index!$A:$A,0))</f>
        <v>LMR240 (TWB2401)</v>
      </c>
      <c r="C112" s="37" t="s">
        <v>3116</v>
      </c>
      <c r="D112" s="37">
        <v>700</v>
      </c>
      <c r="E112" s="37">
        <v>960</v>
      </c>
      <c r="F112" s="37">
        <v>7.6</v>
      </c>
      <c r="G112" s="40" t="str">
        <f>IF(INDEX(Legacy_Index!$G:$G,MATCH(A112,Legacy_Index!$A:$A,0))="","",INDEX(Legacy_Index!$G:$G,MATCH(A112,Legacy_Index!$A:$A,0)))</f>
        <v>TMS-LMR240</v>
      </c>
      <c r="H112" s="43">
        <f>IF(G112="","",EXP(FORECAST(LN(D112),INDEX(Attenuation!$K:$K,(INDEX(Cables!$AO:$AO,MATCH(G112,Cables!$A:$A,0))-1+MIN(MAX(IFERROR(MATCH(LN(D112),INDEX(Attenuation!$J:$J,INDEX(Cables!$AO:$AO,MATCH(G112,Cables!$A:$A,0))):INDEX(Attenuation!$J:$J,INDEX(Cables!$AO:$AO,MATCH(G112,Cables!$A:$A,0))+INDEX(Cables!$AP:$AP,MATCH(G112,Cables!$A:$A,0))-1),1),1),1),INDEX(Cables!$AP:$AP,MATCH(G112,Cables!$A:$A,0))-1))):INDEX(Attenuation!$K:$K,(INDEX(Cables!$AO:$AO,MATCH(G112,Cables!$A:$A,0))-1+MIN(MAX(IFERROR(MATCH(LN(D112),INDEX(Attenuation!$J:$J,INDEX(Cables!$AO:$AO,MATCH(G112,Cables!$A:$A,0))):INDEX(Attenuation!$J:$J,INDEX(Cables!$AO:$AO,MATCH(G112,Cables!$A:$A,0))+INDEX(Cables!$AP:$AP,MATCH(G112,Cables!$A:$A,0))-1),1),1),1),INDEX(Cables!$AP:$AP,MATCH(G112,Cables!$A:$A,0))-1))+1),INDEX(Attenuation!$J:$J,(INDEX(Cables!$AO:$AO,MATCH(G112,Cables!$A:$A,0))-1+MIN(MAX(IFERROR(MATCH(LN(D112),INDEX(Attenuation!$J:$J,INDEX(Cables!$AO:$AO,MATCH(G112,Cables!$A:$A,0))):INDEX(Attenuation!$J:$J,INDEX(Cables!$AO:$AO,MATCH(G112,Cables!$A:$A,0))+INDEX(Cables!$AP:$AP,MATCH(G112,Cables!$A:$A,0))-1),1),1),1),INDEX(Cables!$AP:$AP,MATCH(G112,Cables!$A:$A,0))-1))):INDEX(Attenuation!$J:$J,(INDEX(Cables!$AO:$AO,MATCH(G112,Cables!$A:$A,0))-1+MIN(MAX(IFERROR(MATCH(LN(D112),INDEX(Attenuation!$J:$J,INDEX(Cables!$AO:$AO,MATCH(G112,Cables!$A:$A,0))):INDEX(Attenuation!$J:$J,INDEX(Cables!$AO:$AO,MATCH(G112,Cables!$A:$A,0))+INDEX(Cables!$AP:$AP,MATCH(G112,Cables!$A:$A,0))-1),1),1),1),INDEX(Cables!$AP:$AP,MATCH(G112,Cables!$A:$A,0))-1))+1)))*0.3048)</f>
        <v>6.6</v>
      </c>
      <c r="I112" s="43">
        <f>IF(G112="","",EXP(FORECAST(LN(E112),INDEX(Attenuation!$K:$K,(INDEX(Cables!$AO:$AO,MATCH(G112,Cables!$A:$A,0))-1+MIN(MAX(IFERROR(MATCH(LN(E112),INDEX(Attenuation!$J:$J,INDEX(Cables!$AO:$AO,MATCH(G112,Cables!$A:$A,0))):INDEX(Attenuation!$J:$J,INDEX(Cables!$AO:$AO,MATCH(G112,Cables!$A:$A,0))+INDEX(Cables!$AP:$AP,MATCH(G112,Cables!$A:$A,0))-1),1),1),1),INDEX(Cables!$AP:$AP,MATCH(G112,Cables!$A:$A,0))-1))):INDEX(Attenuation!$K:$K,(INDEX(Cables!$AO:$AO,MATCH(G112,Cables!$A:$A,0))-1+MIN(MAX(IFERROR(MATCH(LN(E112),INDEX(Attenuation!$J:$J,INDEX(Cables!$AO:$AO,MATCH(G112,Cables!$A:$A,0))):INDEX(Attenuation!$J:$J,INDEX(Cables!$AO:$AO,MATCH(G112,Cables!$A:$A,0))+INDEX(Cables!$AP:$AP,MATCH(G112,Cables!$A:$A,0))-1),1),1),1),INDEX(Cables!$AP:$AP,MATCH(G112,Cables!$A:$A,0))-1))+1),INDEX(Attenuation!$J:$J,(INDEX(Cables!$AO:$AO,MATCH(G112,Cables!$A:$A,0))-1+MIN(MAX(IFERROR(MATCH(LN(E112),INDEX(Attenuation!$J:$J,INDEX(Cables!$AO:$AO,MATCH(G112,Cables!$A:$A,0))):INDEX(Attenuation!$J:$J,INDEX(Cables!$AO:$AO,MATCH(G112,Cables!$A:$A,0))+INDEX(Cables!$AP:$AP,MATCH(G112,Cables!$A:$A,0))-1),1),1),1),INDEX(Cables!$AP:$AP,MATCH(G112,Cables!$A:$A,0))-1))):INDEX(Attenuation!$J:$J,(INDEX(Cables!$AO:$AO,MATCH(G112,Cables!$A:$A,0))-1+MIN(MAX(IFERROR(MATCH(LN(E112),INDEX(Attenuation!$J:$J,INDEX(Cables!$AO:$AO,MATCH(G112,Cables!$A:$A,0))):INDEX(Attenuation!$J:$J,INDEX(Cables!$AO:$AO,MATCH(G112,Cables!$A:$A,0))+INDEX(Cables!$AP:$AP,MATCH(G112,Cables!$A:$A,0))-1),1),1),1),INDEX(Cables!$AP:$AP,MATCH(G112,Cables!$A:$A,0))-1))+1)))*0.3048)</f>
        <v>7.8581503877425325</v>
      </c>
      <c r="J112" s="44">
        <f t="shared" si="1"/>
        <v>0</v>
      </c>
      <c r="K112" s="40" t="str">
        <f>IF(G112="","Doğrulanmadı",IF(ABS(J112)&lt;=0.1,"Uyumlu (±%10)",IF(ABS(J112)&lt;=0.25,"Fark %10-25","Fark &gt;%25"))&amp;IF(OR(D112&lt;INDEX(Cables!$AQ:$AQ,MATCH(G112,Cables!$A:$A,0)),E112&gt;INDEX(Cables!$AR:$AR,MATCH(G112,Cables!$A:$A,0)))," · ekstrapolasyon",""))</f>
        <v>Uyumlu (±%10)</v>
      </c>
    </row>
    <row r="113" spans="1:11" x14ac:dyDescent="0.25">
      <c r="A113" s="37" t="s">
        <v>3000</v>
      </c>
      <c r="B113" s="40" t="str">
        <f>INDEX(Legacy_Index!$D:$D,MATCH(A113,Legacy_Index!$A:$A,0))</f>
        <v>LMR240 (TWB2401)</v>
      </c>
      <c r="C113" s="37" t="s">
        <v>3120</v>
      </c>
      <c r="D113" s="37">
        <v>1200</v>
      </c>
      <c r="E113" s="37">
        <v>1300</v>
      </c>
      <c r="F113" s="37">
        <v>9.1999999999999993</v>
      </c>
      <c r="G113" s="40" t="str">
        <f>IF(INDEX(Legacy_Index!$G:$G,MATCH(A113,Legacy_Index!$A:$A,0))="","",INDEX(Legacy_Index!$G:$G,MATCH(A113,Legacy_Index!$A:$A,0)))</f>
        <v>TMS-LMR240</v>
      </c>
      <c r="H113" s="43">
        <f>IF(G113="","",EXP(FORECAST(LN(D113),INDEX(Attenuation!$K:$K,(INDEX(Cables!$AO:$AO,MATCH(G113,Cables!$A:$A,0))-1+MIN(MAX(IFERROR(MATCH(LN(D113),INDEX(Attenuation!$J:$J,INDEX(Cables!$AO:$AO,MATCH(G113,Cables!$A:$A,0))):INDEX(Attenuation!$J:$J,INDEX(Cables!$AO:$AO,MATCH(G113,Cables!$A:$A,0))+INDEX(Cables!$AP:$AP,MATCH(G113,Cables!$A:$A,0))-1),1),1),1),INDEX(Cables!$AP:$AP,MATCH(G113,Cables!$A:$A,0))-1))):INDEX(Attenuation!$K:$K,(INDEX(Cables!$AO:$AO,MATCH(G113,Cables!$A:$A,0))-1+MIN(MAX(IFERROR(MATCH(LN(D113),INDEX(Attenuation!$J:$J,INDEX(Cables!$AO:$AO,MATCH(G113,Cables!$A:$A,0))):INDEX(Attenuation!$J:$J,INDEX(Cables!$AO:$AO,MATCH(G113,Cables!$A:$A,0))+INDEX(Cables!$AP:$AP,MATCH(G113,Cables!$A:$A,0))-1),1),1),1),INDEX(Cables!$AP:$AP,MATCH(G113,Cables!$A:$A,0))-1))+1),INDEX(Attenuation!$J:$J,(INDEX(Cables!$AO:$AO,MATCH(G113,Cables!$A:$A,0))-1+MIN(MAX(IFERROR(MATCH(LN(D113),INDEX(Attenuation!$J:$J,INDEX(Cables!$AO:$AO,MATCH(G113,Cables!$A:$A,0))):INDEX(Attenuation!$J:$J,INDEX(Cables!$AO:$AO,MATCH(G113,Cables!$A:$A,0))+INDEX(Cables!$AP:$AP,MATCH(G113,Cables!$A:$A,0))-1),1),1),1),INDEX(Cables!$AP:$AP,MATCH(G113,Cables!$A:$A,0))-1))):INDEX(Attenuation!$J:$J,(INDEX(Cables!$AO:$AO,MATCH(G113,Cables!$A:$A,0))-1+MIN(MAX(IFERROR(MATCH(LN(D113),INDEX(Attenuation!$J:$J,INDEX(Cables!$AO:$AO,MATCH(G113,Cables!$A:$A,0))):INDEX(Attenuation!$J:$J,INDEX(Cables!$AO:$AO,MATCH(G113,Cables!$A:$A,0))+INDEX(Cables!$AP:$AP,MATCH(G113,Cables!$A:$A,0))-1),1),1),1),INDEX(Cables!$AP:$AP,MATCH(G113,Cables!$A:$A,0))-1))+1)))*0.3048)</f>
        <v>8.8201864401298842</v>
      </c>
      <c r="I113" s="43">
        <f>IF(G113="","",EXP(FORECAST(LN(E113),INDEX(Attenuation!$K:$K,(INDEX(Cables!$AO:$AO,MATCH(G113,Cables!$A:$A,0))-1+MIN(MAX(IFERROR(MATCH(LN(E113),INDEX(Attenuation!$J:$J,INDEX(Cables!$AO:$AO,MATCH(G113,Cables!$A:$A,0))):INDEX(Attenuation!$J:$J,INDEX(Cables!$AO:$AO,MATCH(G113,Cables!$A:$A,0))+INDEX(Cables!$AP:$AP,MATCH(G113,Cables!$A:$A,0))-1),1),1),1),INDEX(Cables!$AP:$AP,MATCH(G113,Cables!$A:$A,0))-1))):INDEX(Attenuation!$K:$K,(INDEX(Cables!$AO:$AO,MATCH(G113,Cables!$A:$A,0))-1+MIN(MAX(IFERROR(MATCH(LN(E113),INDEX(Attenuation!$J:$J,INDEX(Cables!$AO:$AO,MATCH(G113,Cables!$A:$A,0))):INDEX(Attenuation!$J:$J,INDEX(Cables!$AO:$AO,MATCH(G113,Cables!$A:$A,0))+INDEX(Cables!$AP:$AP,MATCH(G113,Cables!$A:$A,0))-1),1),1),1),INDEX(Cables!$AP:$AP,MATCH(G113,Cables!$A:$A,0))-1))+1),INDEX(Attenuation!$J:$J,(INDEX(Cables!$AO:$AO,MATCH(G113,Cables!$A:$A,0))-1+MIN(MAX(IFERROR(MATCH(LN(E113),INDEX(Attenuation!$J:$J,INDEX(Cables!$AO:$AO,MATCH(G113,Cables!$A:$A,0))):INDEX(Attenuation!$J:$J,INDEX(Cables!$AO:$AO,MATCH(G113,Cables!$A:$A,0))+INDEX(Cables!$AP:$AP,MATCH(G113,Cables!$A:$A,0))-1),1),1),1),INDEX(Cables!$AP:$AP,MATCH(G113,Cables!$A:$A,0))-1))):INDEX(Attenuation!$J:$J,(INDEX(Cables!$AO:$AO,MATCH(G113,Cables!$A:$A,0))-1+MIN(MAX(IFERROR(MATCH(LN(E113),INDEX(Attenuation!$J:$J,INDEX(Cables!$AO:$AO,MATCH(G113,Cables!$A:$A,0))):INDEX(Attenuation!$J:$J,INDEX(Cables!$AO:$AO,MATCH(G113,Cables!$A:$A,0))+INDEX(Cables!$AP:$AP,MATCH(G113,Cables!$A:$A,0))-1),1),1),1),INDEX(Cables!$AP:$AP,MATCH(G113,Cables!$A:$A,0))-1))+1)))*0.3048)</f>
        <v>9.1932587969801496</v>
      </c>
      <c r="J113" s="44">
        <f t="shared" si="1"/>
        <v>7.3327675949519389E-4</v>
      </c>
      <c r="K113" s="40" t="str">
        <f>IF(G113="","Doğrulanmadı",IF(ABS(J113)&lt;=0.1,"Uyumlu (±%10)",IF(ABS(J113)&lt;=0.25,"Fark %10-25","Fark &gt;%25"))&amp;IF(OR(D113&lt;INDEX(Cables!$AQ:$AQ,MATCH(G113,Cables!$A:$A,0)),E113&gt;INDEX(Cables!$AR:$AR,MATCH(G113,Cables!$A:$A,0)))," · ekstrapolasyon",""))</f>
        <v>Uyumlu (±%10)</v>
      </c>
    </row>
    <row r="114" spans="1:11" x14ac:dyDescent="0.25">
      <c r="A114" s="37" t="s">
        <v>3000</v>
      </c>
      <c r="B114" s="40" t="str">
        <f>INDEX(Legacy_Index!$D:$D,MATCH(A114,Legacy_Index!$A:$A,0))</f>
        <v>LMR240 (TWB2401)</v>
      </c>
      <c r="C114" s="37" t="s">
        <v>3121</v>
      </c>
      <c r="D114" s="37">
        <v>2400</v>
      </c>
      <c r="E114" s="37">
        <v>2500</v>
      </c>
      <c r="F114" s="37">
        <v>12.9</v>
      </c>
      <c r="G114" s="40" t="str">
        <f>IF(INDEX(Legacy_Index!$G:$G,MATCH(A114,Legacy_Index!$A:$A,0))="","",INDEX(Legacy_Index!$G:$G,MATCH(A114,Legacy_Index!$A:$A,0)))</f>
        <v>TMS-LMR240</v>
      </c>
      <c r="H114" s="43">
        <f>IF(G114="","",EXP(FORECAST(LN(D114),INDEX(Attenuation!$K:$K,(INDEX(Cables!$AO:$AO,MATCH(G114,Cables!$A:$A,0))-1+MIN(MAX(IFERROR(MATCH(LN(D114),INDEX(Attenuation!$J:$J,INDEX(Cables!$AO:$AO,MATCH(G114,Cables!$A:$A,0))):INDEX(Attenuation!$J:$J,INDEX(Cables!$AO:$AO,MATCH(G114,Cables!$A:$A,0))+INDEX(Cables!$AP:$AP,MATCH(G114,Cables!$A:$A,0))-1),1),1),1),INDEX(Cables!$AP:$AP,MATCH(G114,Cables!$A:$A,0))-1))):INDEX(Attenuation!$K:$K,(INDEX(Cables!$AO:$AO,MATCH(G114,Cables!$A:$A,0))-1+MIN(MAX(IFERROR(MATCH(LN(D114),INDEX(Attenuation!$J:$J,INDEX(Cables!$AO:$AO,MATCH(G114,Cables!$A:$A,0))):INDEX(Attenuation!$J:$J,INDEX(Cables!$AO:$AO,MATCH(G114,Cables!$A:$A,0))+INDEX(Cables!$AP:$AP,MATCH(G114,Cables!$A:$A,0))-1),1),1),1),INDEX(Cables!$AP:$AP,MATCH(G114,Cables!$A:$A,0))-1))+1),INDEX(Attenuation!$J:$J,(INDEX(Cables!$AO:$AO,MATCH(G114,Cables!$A:$A,0))-1+MIN(MAX(IFERROR(MATCH(LN(D114),INDEX(Attenuation!$J:$J,INDEX(Cables!$AO:$AO,MATCH(G114,Cables!$A:$A,0))):INDEX(Attenuation!$J:$J,INDEX(Cables!$AO:$AO,MATCH(G114,Cables!$A:$A,0))+INDEX(Cables!$AP:$AP,MATCH(G114,Cables!$A:$A,0))-1),1),1),1),INDEX(Cables!$AP:$AP,MATCH(G114,Cables!$A:$A,0))-1))):INDEX(Attenuation!$J:$J,(INDEX(Cables!$AO:$AO,MATCH(G114,Cables!$A:$A,0))-1+MIN(MAX(IFERROR(MATCH(LN(D114),INDEX(Attenuation!$J:$J,INDEX(Cables!$AO:$AO,MATCH(G114,Cables!$A:$A,0))):INDEX(Attenuation!$J:$J,INDEX(Cables!$AO:$AO,MATCH(G114,Cables!$A:$A,0))+INDEX(Cables!$AP:$AP,MATCH(G114,Cables!$A:$A,0))-1),1),1),1),INDEX(Cables!$AP:$AP,MATCH(G114,Cables!$A:$A,0))-1))+1)))*0.3048)</f>
        <v>12.631719300154247</v>
      </c>
      <c r="I114" s="43">
        <f>IF(G114="","",EXP(FORECAST(LN(E114),INDEX(Attenuation!$K:$K,(INDEX(Cables!$AO:$AO,MATCH(G114,Cables!$A:$A,0))-1+MIN(MAX(IFERROR(MATCH(LN(E114),INDEX(Attenuation!$J:$J,INDEX(Cables!$AO:$AO,MATCH(G114,Cables!$A:$A,0))):INDEX(Attenuation!$J:$J,INDEX(Cables!$AO:$AO,MATCH(G114,Cables!$A:$A,0))+INDEX(Cables!$AP:$AP,MATCH(G114,Cables!$A:$A,0))-1),1),1),1),INDEX(Cables!$AP:$AP,MATCH(G114,Cables!$A:$A,0))-1))):INDEX(Attenuation!$K:$K,(INDEX(Cables!$AO:$AO,MATCH(G114,Cables!$A:$A,0))-1+MIN(MAX(IFERROR(MATCH(LN(E114),INDEX(Attenuation!$J:$J,INDEX(Cables!$AO:$AO,MATCH(G114,Cables!$A:$A,0))):INDEX(Attenuation!$J:$J,INDEX(Cables!$AO:$AO,MATCH(G114,Cables!$A:$A,0))+INDEX(Cables!$AP:$AP,MATCH(G114,Cables!$A:$A,0))-1),1),1),1),INDEX(Cables!$AP:$AP,MATCH(G114,Cables!$A:$A,0))-1))+1),INDEX(Attenuation!$J:$J,(INDEX(Cables!$AO:$AO,MATCH(G114,Cables!$A:$A,0))-1+MIN(MAX(IFERROR(MATCH(LN(E114),INDEX(Attenuation!$J:$J,INDEX(Cables!$AO:$AO,MATCH(G114,Cables!$A:$A,0))):INDEX(Attenuation!$J:$J,INDEX(Cables!$AO:$AO,MATCH(G114,Cables!$A:$A,0))+INDEX(Cables!$AP:$AP,MATCH(G114,Cables!$A:$A,0))-1),1),1),1),INDEX(Cables!$AP:$AP,MATCH(G114,Cables!$A:$A,0))-1))):INDEX(Attenuation!$J:$J,(INDEX(Cables!$AO:$AO,MATCH(G114,Cables!$A:$A,0))-1+MIN(MAX(IFERROR(MATCH(LN(E114),INDEX(Attenuation!$J:$J,INDEX(Cables!$AO:$AO,MATCH(G114,Cables!$A:$A,0))):INDEX(Attenuation!$J:$J,INDEX(Cables!$AO:$AO,MATCH(G114,Cables!$A:$A,0))+INDEX(Cables!$AP:$AP,MATCH(G114,Cables!$A:$A,0))-1),1),1),1),INDEX(Cables!$AP:$AP,MATCH(G114,Cables!$A:$A,0))-1))+1)))*0.3048)</f>
        <v>12.9</v>
      </c>
      <c r="J114" s="44">
        <f t="shared" si="1"/>
        <v>0</v>
      </c>
      <c r="K114" s="40" t="str">
        <f>IF(G114="","Doğrulanmadı",IF(ABS(J114)&lt;=0.1,"Uyumlu (±%10)",IF(ABS(J114)&lt;=0.25,"Fark %10-25","Fark &gt;%25"))&amp;IF(OR(D114&lt;INDEX(Cables!$AQ:$AQ,MATCH(G114,Cables!$A:$A,0)),E114&gt;INDEX(Cables!$AR:$AR,MATCH(G114,Cables!$A:$A,0)))," · ekstrapolasyon",""))</f>
        <v>Uyumlu (±%10)</v>
      </c>
    </row>
    <row r="115" spans="1:11" x14ac:dyDescent="0.25">
      <c r="A115" s="37" t="s">
        <v>3000</v>
      </c>
      <c r="B115" s="40" t="str">
        <f>INDEX(Legacy_Index!$D:$D,MATCH(A115,Legacy_Index!$A:$A,0))</f>
        <v>LMR240 (TWB2401)</v>
      </c>
      <c r="C115" s="37" t="s">
        <v>3122</v>
      </c>
      <c r="D115" s="37">
        <v>5725</v>
      </c>
      <c r="E115" s="37">
        <v>5875</v>
      </c>
      <c r="F115" s="37">
        <v>20.399999999999999</v>
      </c>
      <c r="G115" s="40" t="str">
        <f>IF(INDEX(Legacy_Index!$G:$G,MATCH(A115,Legacy_Index!$A:$A,0))="","",INDEX(Legacy_Index!$G:$G,MATCH(A115,Legacy_Index!$A:$A,0)))</f>
        <v>TMS-LMR240</v>
      </c>
      <c r="H115" s="43">
        <f>IF(G115="","",EXP(FORECAST(LN(D115),INDEX(Attenuation!$K:$K,(INDEX(Cables!$AO:$AO,MATCH(G115,Cables!$A:$A,0))-1+MIN(MAX(IFERROR(MATCH(LN(D115),INDEX(Attenuation!$J:$J,INDEX(Cables!$AO:$AO,MATCH(G115,Cables!$A:$A,0))):INDEX(Attenuation!$J:$J,INDEX(Cables!$AO:$AO,MATCH(G115,Cables!$A:$A,0))+INDEX(Cables!$AP:$AP,MATCH(G115,Cables!$A:$A,0))-1),1),1),1),INDEX(Cables!$AP:$AP,MATCH(G115,Cables!$A:$A,0))-1))):INDEX(Attenuation!$K:$K,(INDEX(Cables!$AO:$AO,MATCH(G115,Cables!$A:$A,0))-1+MIN(MAX(IFERROR(MATCH(LN(D115),INDEX(Attenuation!$J:$J,INDEX(Cables!$AO:$AO,MATCH(G115,Cables!$A:$A,0))):INDEX(Attenuation!$J:$J,INDEX(Cables!$AO:$AO,MATCH(G115,Cables!$A:$A,0))+INDEX(Cables!$AP:$AP,MATCH(G115,Cables!$A:$A,0))-1),1),1),1),INDEX(Cables!$AP:$AP,MATCH(G115,Cables!$A:$A,0))-1))+1),INDEX(Attenuation!$J:$J,(INDEX(Cables!$AO:$AO,MATCH(G115,Cables!$A:$A,0))-1+MIN(MAX(IFERROR(MATCH(LN(D115),INDEX(Attenuation!$J:$J,INDEX(Cables!$AO:$AO,MATCH(G115,Cables!$A:$A,0))):INDEX(Attenuation!$J:$J,INDEX(Cables!$AO:$AO,MATCH(G115,Cables!$A:$A,0))+INDEX(Cables!$AP:$AP,MATCH(G115,Cables!$A:$A,0))-1),1),1),1),INDEX(Cables!$AP:$AP,MATCH(G115,Cables!$A:$A,0))-1))):INDEX(Attenuation!$J:$J,(INDEX(Cables!$AO:$AO,MATCH(G115,Cables!$A:$A,0))-1+MIN(MAX(IFERROR(MATCH(LN(D115),INDEX(Attenuation!$J:$J,INDEX(Cables!$AO:$AO,MATCH(G115,Cables!$A:$A,0))):INDEX(Attenuation!$J:$J,INDEX(Cables!$AO:$AO,MATCH(G115,Cables!$A:$A,0))+INDEX(Cables!$AP:$AP,MATCH(G115,Cables!$A:$A,0))-1),1),1),1),INDEX(Cables!$AP:$AP,MATCH(G115,Cables!$A:$A,0))-1))+1)))*0.3048)</f>
        <v>20.255915705273328</v>
      </c>
      <c r="I115" s="43">
        <f>IF(G115="","",EXP(FORECAST(LN(E115),INDEX(Attenuation!$K:$K,(INDEX(Cables!$AO:$AO,MATCH(G115,Cables!$A:$A,0))-1+MIN(MAX(IFERROR(MATCH(LN(E115),INDEX(Attenuation!$J:$J,INDEX(Cables!$AO:$AO,MATCH(G115,Cables!$A:$A,0))):INDEX(Attenuation!$J:$J,INDEX(Cables!$AO:$AO,MATCH(G115,Cables!$A:$A,0))+INDEX(Cables!$AP:$AP,MATCH(G115,Cables!$A:$A,0))-1),1),1),1),INDEX(Cables!$AP:$AP,MATCH(G115,Cables!$A:$A,0))-1))):INDEX(Attenuation!$K:$K,(INDEX(Cables!$AO:$AO,MATCH(G115,Cables!$A:$A,0))-1+MIN(MAX(IFERROR(MATCH(LN(E115),INDEX(Attenuation!$J:$J,INDEX(Cables!$AO:$AO,MATCH(G115,Cables!$A:$A,0))):INDEX(Attenuation!$J:$J,INDEX(Cables!$AO:$AO,MATCH(G115,Cables!$A:$A,0))+INDEX(Cables!$AP:$AP,MATCH(G115,Cables!$A:$A,0))-1),1),1),1),INDEX(Cables!$AP:$AP,MATCH(G115,Cables!$A:$A,0))-1))+1),INDEX(Attenuation!$J:$J,(INDEX(Cables!$AO:$AO,MATCH(G115,Cables!$A:$A,0))-1+MIN(MAX(IFERROR(MATCH(LN(E115),INDEX(Attenuation!$J:$J,INDEX(Cables!$AO:$AO,MATCH(G115,Cables!$A:$A,0))):INDEX(Attenuation!$J:$J,INDEX(Cables!$AO:$AO,MATCH(G115,Cables!$A:$A,0))+INDEX(Cables!$AP:$AP,MATCH(G115,Cables!$A:$A,0))-1),1),1),1),INDEX(Cables!$AP:$AP,MATCH(G115,Cables!$A:$A,0))-1))):INDEX(Attenuation!$J:$J,(INDEX(Cables!$AO:$AO,MATCH(G115,Cables!$A:$A,0))-1+MIN(MAX(IFERROR(MATCH(LN(E115),INDEX(Attenuation!$J:$J,INDEX(Cables!$AO:$AO,MATCH(G115,Cables!$A:$A,0))):INDEX(Attenuation!$J:$J,INDEX(Cables!$AO:$AO,MATCH(G115,Cables!$A:$A,0))+INDEX(Cables!$AP:$AP,MATCH(G115,Cables!$A:$A,0))-1),1),1),1),INDEX(Cables!$AP:$AP,MATCH(G115,Cables!$A:$A,0))-1))+1)))*0.3048)</f>
        <v>20.543238254846486</v>
      </c>
      <c r="J115" s="44">
        <f t="shared" si="1"/>
        <v>0</v>
      </c>
      <c r="K115" s="40" t="str">
        <f>IF(G115="","Doğrulanmadı",IF(ABS(J115)&lt;=0.1,"Uyumlu (±%10)",IF(ABS(J115)&lt;=0.25,"Fark %10-25","Fark &gt;%25"))&amp;IF(OR(D115&lt;INDEX(Cables!$AQ:$AQ,MATCH(G115,Cables!$A:$A,0)),E115&gt;INDEX(Cables!$AR:$AR,MATCH(G115,Cables!$A:$A,0)))," · ekstrapolasyon",""))</f>
        <v>Uyumlu (±%10) · ekstrapolasyon</v>
      </c>
    </row>
    <row r="116" spans="1:11" x14ac:dyDescent="0.25">
      <c r="A116" s="37" t="s">
        <v>3002</v>
      </c>
      <c r="B116" s="40" t="str">
        <f>INDEX(Legacy_Index!$D:$D,MATCH(A116,Legacy_Index!$A:$A,0))</f>
        <v>RG213/214</v>
      </c>
      <c r="C116" s="37" t="s">
        <v>3118</v>
      </c>
      <c r="D116" s="37">
        <v>30</v>
      </c>
      <c r="E116" s="37">
        <v>50</v>
      </c>
      <c r="F116" s="37">
        <v>1.5</v>
      </c>
      <c r="G116" s="40" t="str">
        <f>IF(INDEX(Legacy_Index!$G:$G,MATCH(A116,Legacy_Index!$A:$A,0))="","",INDEX(Legacy_Index!$G:$G,MATCH(A116,Legacy_Index!$A:$A,0)))</f>
        <v>BEL-8267</v>
      </c>
      <c r="H116" s="43">
        <f>IF(G116="","",EXP(FORECAST(LN(D116),INDEX(Attenuation!$K:$K,(INDEX(Cables!$AO:$AO,MATCH(G116,Cables!$A:$A,0))-1+MIN(MAX(IFERROR(MATCH(LN(D116),INDEX(Attenuation!$J:$J,INDEX(Cables!$AO:$AO,MATCH(G116,Cables!$A:$A,0))):INDEX(Attenuation!$J:$J,INDEX(Cables!$AO:$AO,MATCH(G116,Cables!$A:$A,0))+INDEX(Cables!$AP:$AP,MATCH(G116,Cables!$A:$A,0))-1),1),1),1),INDEX(Cables!$AP:$AP,MATCH(G116,Cables!$A:$A,0))-1))):INDEX(Attenuation!$K:$K,(INDEX(Cables!$AO:$AO,MATCH(G116,Cables!$A:$A,0))-1+MIN(MAX(IFERROR(MATCH(LN(D116),INDEX(Attenuation!$J:$J,INDEX(Cables!$AO:$AO,MATCH(G116,Cables!$A:$A,0))):INDEX(Attenuation!$J:$J,INDEX(Cables!$AO:$AO,MATCH(G116,Cables!$A:$A,0))+INDEX(Cables!$AP:$AP,MATCH(G116,Cables!$A:$A,0))-1),1),1),1),INDEX(Cables!$AP:$AP,MATCH(G116,Cables!$A:$A,0))-1))+1),INDEX(Attenuation!$J:$J,(INDEX(Cables!$AO:$AO,MATCH(G116,Cables!$A:$A,0))-1+MIN(MAX(IFERROR(MATCH(LN(D116),INDEX(Attenuation!$J:$J,INDEX(Cables!$AO:$AO,MATCH(G116,Cables!$A:$A,0))):INDEX(Attenuation!$J:$J,INDEX(Cables!$AO:$AO,MATCH(G116,Cables!$A:$A,0))+INDEX(Cables!$AP:$AP,MATCH(G116,Cables!$A:$A,0))-1),1),1),1),INDEX(Cables!$AP:$AP,MATCH(G116,Cables!$A:$A,0))-1))):INDEX(Attenuation!$J:$J,(INDEX(Cables!$AO:$AO,MATCH(G116,Cables!$A:$A,0))-1+MIN(MAX(IFERROR(MATCH(LN(D116),INDEX(Attenuation!$J:$J,INDEX(Cables!$AO:$AO,MATCH(G116,Cables!$A:$A,0))):INDEX(Attenuation!$J:$J,INDEX(Cables!$AO:$AO,MATCH(G116,Cables!$A:$A,0))+INDEX(Cables!$AP:$AP,MATCH(G116,Cables!$A:$A,0))-1),1),1),1),INDEX(Cables!$AP:$AP,MATCH(G116,Cables!$A:$A,0))-1))+1)))*0.3048)</f>
        <v>0.98939830968959397</v>
      </c>
      <c r="I116" s="43">
        <f>IF(G116="","",EXP(FORECAST(LN(E116),INDEX(Attenuation!$K:$K,(INDEX(Cables!$AO:$AO,MATCH(G116,Cables!$A:$A,0))-1+MIN(MAX(IFERROR(MATCH(LN(E116),INDEX(Attenuation!$J:$J,INDEX(Cables!$AO:$AO,MATCH(G116,Cables!$A:$A,0))):INDEX(Attenuation!$J:$J,INDEX(Cables!$AO:$AO,MATCH(G116,Cables!$A:$A,0))+INDEX(Cables!$AP:$AP,MATCH(G116,Cables!$A:$A,0))-1),1),1),1),INDEX(Cables!$AP:$AP,MATCH(G116,Cables!$A:$A,0))-1))):INDEX(Attenuation!$K:$K,(INDEX(Cables!$AO:$AO,MATCH(G116,Cables!$A:$A,0))-1+MIN(MAX(IFERROR(MATCH(LN(E116),INDEX(Attenuation!$J:$J,INDEX(Cables!$AO:$AO,MATCH(G116,Cables!$A:$A,0))):INDEX(Attenuation!$J:$J,INDEX(Cables!$AO:$AO,MATCH(G116,Cables!$A:$A,0))+INDEX(Cables!$AP:$AP,MATCH(G116,Cables!$A:$A,0))-1),1),1),1),INDEX(Cables!$AP:$AP,MATCH(G116,Cables!$A:$A,0))-1))+1),INDEX(Attenuation!$J:$J,(INDEX(Cables!$AO:$AO,MATCH(G116,Cables!$A:$A,0))-1+MIN(MAX(IFERROR(MATCH(LN(E116),INDEX(Attenuation!$J:$J,INDEX(Cables!$AO:$AO,MATCH(G116,Cables!$A:$A,0))):INDEX(Attenuation!$J:$J,INDEX(Cables!$AO:$AO,MATCH(G116,Cables!$A:$A,0))+INDEX(Cables!$AP:$AP,MATCH(G116,Cables!$A:$A,0))-1),1),1),1),INDEX(Cables!$AP:$AP,MATCH(G116,Cables!$A:$A,0))-1))):INDEX(Attenuation!$J:$J,(INDEX(Cables!$AO:$AO,MATCH(G116,Cables!$A:$A,0))-1+MIN(MAX(IFERROR(MATCH(LN(E116),INDEX(Attenuation!$J:$J,INDEX(Cables!$AO:$AO,MATCH(G116,Cables!$A:$A,0))):INDEX(Attenuation!$J:$J,INDEX(Cables!$AO:$AO,MATCH(G116,Cables!$A:$A,0))+INDEX(Cables!$AP:$AP,MATCH(G116,Cables!$A:$A,0))-1),1),1),1),INDEX(Cables!$AP:$AP,MATCH(G116,Cables!$A:$A,0))-1))+1)))*0.3048)</f>
        <v>1.2999999999999996</v>
      </c>
      <c r="J116" s="44">
        <f t="shared" si="1"/>
        <v>0.15384615384615419</v>
      </c>
      <c r="K116" s="40" t="str">
        <f>IF(G116="","Doğrulanmadı",IF(ABS(J116)&lt;=0.1,"Uyumlu (±%10)",IF(ABS(J116)&lt;=0.25,"Fark %10-25","Fark &gt;%25"))&amp;IF(OR(D116&lt;INDEX(Cables!$AQ:$AQ,MATCH(G116,Cables!$A:$A,0)),E116&gt;INDEX(Cables!$AR:$AR,MATCH(G116,Cables!$A:$A,0)))," · ekstrapolasyon",""))</f>
        <v>Fark %10-25</v>
      </c>
    </row>
    <row r="117" spans="1:11" x14ac:dyDescent="0.25">
      <c r="A117" s="37" t="s">
        <v>3002</v>
      </c>
      <c r="B117" s="40" t="str">
        <f>INDEX(Legacy_Index!$D:$D,MATCH(A117,Legacy_Index!$A:$A,0))</f>
        <v>RG213/214</v>
      </c>
      <c r="C117" s="37" t="s">
        <v>3114</v>
      </c>
      <c r="D117" s="37">
        <v>148</v>
      </c>
      <c r="E117" s="37">
        <v>174</v>
      </c>
      <c r="F117" s="37">
        <v>2.8</v>
      </c>
      <c r="G117" s="40" t="str">
        <f>IF(INDEX(Legacy_Index!$G:$G,MATCH(A117,Legacy_Index!$A:$A,0))="","",INDEX(Legacy_Index!$G:$G,MATCH(A117,Legacy_Index!$A:$A,0)))</f>
        <v>BEL-8267</v>
      </c>
      <c r="H117" s="43">
        <f>IF(G117="","",EXP(FORECAST(LN(D117),INDEX(Attenuation!$K:$K,(INDEX(Cables!$AO:$AO,MATCH(G117,Cables!$A:$A,0))-1+MIN(MAX(IFERROR(MATCH(LN(D117),INDEX(Attenuation!$J:$J,INDEX(Cables!$AO:$AO,MATCH(G117,Cables!$A:$A,0))):INDEX(Attenuation!$J:$J,INDEX(Cables!$AO:$AO,MATCH(G117,Cables!$A:$A,0))+INDEX(Cables!$AP:$AP,MATCH(G117,Cables!$A:$A,0))-1),1),1),1),INDEX(Cables!$AP:$AP,MATCH(G117,Cables!$A:$A,0))-1))):INDEX(Attenuation!$K:$K,(INDEX(Cables!$AO:$AO,MATCH(G117,Cables!$A:$A,0))-1+MIN(MAX(IFERROR(MATCH(LN(D117),INDEX(Attenuation!$J:$J,INDEX(Cables!$AO:$AO,MATCH(G117,Cables!$A:$A,0))):INDEX(Attenuation!$J:$J,INDEX(Cables!$AO:$AO,MATCH(G117,Cables!$A:$A,0))+INDEX(Cables!$AP:$AP,MATCH(G117,Cables!$A:$A,0))-1),1),1),1),INDEX(Cables!$AP:$AP,MATCH(G117,Cables!$A:$A,0))-1))+1),INDEX(Attenuation!$J:$J,(INDEX(Cables!$AO:$AO,MATCH(G117,Cables!$A:$A,0))-1+MIN(MAX(IFERROR(MATCH(LN(D117),INDEX(Attenuation!$J:$J,INDEX(Cables!$AO:$AO,MATCH(G117,Cables!$A:$A,0))):INDEX(Attenuation!$J:$J,INDEX(Cables!$AO:$AO,MATCH(G117,Cables!$A:$A,0))+INDEX(Cables!$AP:$AP,MATCH(G117,Cables!$A:$A,0))-1),1),1),1),INDEX(Cables!$AP:$AP,MATCH(G117,Cables!$A:$A,0))-1))):INDEX(Attenuation!$J:$J,(INDEX(Cables!$AO:$AO,MATCH(G117,Cables!$A:$A,0))-1+MIN(MAX(IFERROR(MATCH(LN(D117),INDEX(Attenuation!$J:$J,INDEX(Cables!$AO:$AO,MATCH(G117,Cables!$A:$A,0))):INDEX(Attenuation!$J:$J,INDEX(Cables!$AO:$AO,MATCH(G117,Cables!$A:$A,0))+INDEX(Cables!$AP:$AP,MATCH(G117,Cables!$A:$A,0))-1),1),1),1),INDEX(Cables!$AP:$AP,MATCH(G117,Cables!$A:$A,0))-1))+1)))*0.3048)</f>
        <v>2.3177654155550655</v>
      </c>
      <c r="I117" s="43">
        <f>IF(G117="","",EXP(FORECAST(LN(E117),INDEX(Attenuation!$K:$K,(INDEX(Cables!$AO:$AO,MATCH(G117,Cables!$A:$A,0))-1+MIN(MAX(IFERROR(MATCH(LN(E117),INDEX(Attenuation!$J:$J,INDEX(Cables!$AO:$AO,MATCH(G117,Cables!$A:$A,0))):INDEX(Attenuation!$J:$J,INDEX(Cables!$AO:$AO,MATCH(G117,Cables!$A:$A,0))+INDEX(Cables!$AP:$AP,MATCH(G117,Cables!$A:$A,0))-1),1),1),1),INDEX(Cables!$AP:$AP,MATCH(G117,Cables!$A:$A,0))-1))):INDEX(Attenuation!$K:$K,(INDEX(Cables!$AO:$AO,MATCH(G117,Cables!$A:$A,0))-1+MIN(MAX(IFERROR(MATCH(LN(E117),INDEX(Attenuation!$J:$J,INDEX(Cables!$AO:$AO,MATCH(G117,Cables!$A:$A,0))):INDEX(Attenuation!$J:$J,INDEX(Cables!$AO:$AO,MATCH(G117,Cables!$A:$A,0))+INDEX(Cables!$AP:$AP,MATCH(G117,Cables!$A:$A,0))-1),1),1),1),INDEX(Cables!$AP:$AP,MATCH(G117,Cables!$A:$A,0))-1))+1),INDEX(Attenuation!$J:$J,(INDEX(Cables!$AO:$AO,MATCH(G117,Cables!$A:$A,0))-1+MIN(MAX(IFERROR(MATCH(LN(E117),INDEX(Attenuation!$J:$J,INDEX(Cables!$AO:$AO,MATCH(G117,Cables!$A:$A,0))):INDEX(Attenuation!$J:$J,INDEX(Cables!$AO:$AO,MATCH(G117,Cables!$A:$A,0))+INDEX(Cables!$AP:$AP,MATCH(G117,Cables!$A:$A,0))-1),1),1),1),INDEX(Cables!$AP:$AP,MATCH(G117,Cables!$A:$A,0))-1))):INDEX(Attenuation!$J:$J,(INDEX(Cables!$AO:$AO,MATCH(G117,Cables!$A:$A,0))-1+MIN(MAX(IFERROR(MATCH(LN(E117),INDEX(Attenuation!$J:$J,INDEX(Cables!$AO:$AO,MATCH(G117,Cables!$A:$A,0))):INDEX(Attenuation!$J:$J,INDEX(Cables!$AO:$AO,MATCH(G117,Cables!$A:$A,0))+INDEX(Cables!$AP:$AP,MATCH(G117,Cables!$A:$A,0))-1),1),1),1),INDEX(Cables!$AP:$AP,MATCH(G117,Cables!$A:$A,0))-1))+1)))*0.3048)</f>
        <v>2.5159525438759274</v>
      </c>
      <c r="J117" s="44">
        <f t="shared" si="1"/>
        <v>0.11289857466329067</v>
      </c>
      <c r="K117" s="40" t="str">
        <f>IF(G117="","Doğrulanmadı",IF(ABS(J117)&lt;=0.1,"Uyumlu (±%10)",IF(ABS(J117)&lt;=0.25,"Fark %10-25","Fark &gt;%25"))&amp;IF(OR(D117&lt;INDEX(Cables!$AQ:$AQ,MATCH(G117,Cables!$A:$A,0)),E117&gt;INDEX(Cables!$AR:$AR,MATCH(G117,Cables!$A:$A,0)))," · ekstrapolasyon",""))</f>
        <v>Fark %10-25</v>
      </c>
    </row>
    <row r="118" spans="1:11" x14ac:dyDescent="0.25">
      <c r="A118" s="37" t="s">
        <v>3002</v>
      </c>
      <c r="B118" s="40" t="str">
        <f>INDEX(Legacy_Index!$D:$D,MATCH(A118,Legacy_Index!$A:$A,0))</f>
        <v>RG213/214</v>
      </c>
      <c r="C118" s="37" t="s">
        <v>3119</v>
      </c>
      <c r="D118" s="37">
        <v>220</v>
      </c>
      <c r="E118" s="37">
        <v>220</v>
      </c>
      <c r="F118" s="37">
        <v>3.5</v>
      </c>
      <c r="G118" s="40" t="str">
        <f>IF(INDEX(Legacy_Index!$G:$G,MATCH(A118,Legacy_Index!$A:$A,0))="","",INDEX(Legacy_Index!$G:$G,MATCH(A118,Legacy_Index!$A:$A,0)))</f>
        <v>BEL-8267</v>
      </c>
      <c r="H118" s="43">
        <f>IF(G118="","",EXP(FORECAST(LN(D118),INDEX(Attenuation!$K:$K,(INDEX(Cables!$AO:$AO,MATCH(G118,Cables!$A:$A,0))-1+MIN(MAX(IFERROR(MATCH(LN(D118),INDEX(Attenuation!$J:$J,INDEX(Cables!$AO:$AO,MATCH(G118,Cables!$A:$A,0))):INDEX(Attenuation!$J:$J,INDEX(Cables!$AO:$AO,MATCH(G118,Cables!$A:$A,0))+INDEX(Cables!$AP:$AP,MATCH(G118,Cables!$A:$A,0))-1),1),1),1),INDEX(Cables!$AP:$AP,MATCH(G118,Cables!$A:$A,0))-1))):INDEX(Attenuation!$K:$K,(INDEX(Cables!$AO:$AO,MATCH(G118,Cables!$A:$A,0))-1+MIN(MAX(IFERROR(MATCH(LN(D118),INDEX(Attenuation!$J:$J,INDEX(Cables!$AO:$AO,MATCH(G118,Cables!$A:$A,0))):INDEX(Attenuation!$J:$J,INDEX(Cables!$AO:$AO,MATCH(G118,Cables!$A:$A,0))+INDEX(Cables!$AP:$AP,MATCH(G118,Cables!$A:$A,0))-1),1),1),1),INDEX(Cables!$AP:$AP,MATCH(G118,Cables!$A:$A,0))-1))+1),INDEX(Attenuation!$J:$J,(INDEX(Cables!$AO:$AO,MATCH(G118,Cables!$A:$A,0))-1+MIN(MAX(IFERROR(MATCH(LN(D118),INDEX(Attenuation!$J:$J,INDEX(Cables!$AO:$AO,MATCH(G118,Cables!$A:$A,0))):INDEX(Attenuation!$J:$J,INDEX(Cables!$AO:$AO,MATCH(G118,Cables!$A:$A,0))+INDEX(Cables!$AP:$AP,MATCH(G118,Cables!$A:$A,0))-1),1),1),1),INDEX(Cables!$AP:$AP,MATCH(G118,Cables!$A:$A,0))-1))):INDEX(Attenuation!$J:$J,(INDEX(Cables!$AO:$AO,MATCH(G118,Cables!$A:$A,0))-1+MIN(MAX(IFERROR(MATCH(LN(D118),INDEX(Attenuation!$J:$J,INDEX(Cables!$AO:$AO,MATCH(G118,Cables!$A:$A,0))):INDEX(Attenuation!$J:$J,INDEX(Cables!$AO:$AO,MATCH(G118,Cables!$A:$A,0))+INDEX(Cables!$AP:$AP,MATCH(G118,Cables!$A:$A,0))-1),1),1),1),INDEX(Cables!$AP:$AP,MATCH(G118,Cables!$A:$A,0))-1))+1)))*0.3048)</f>
        <v>2.8596288254576296</v>
      </c>
      <c r="I118" s="43">
        <f>IF(G118="","",EXP(FORECAST(LN(E118),INDEX(Attenuation!$K:$K,(INDEX(Cables!$AO:$AO,MATCH(G118,Cables!$A:$A,0))-1+MIN(MAX(IFERROR(MATCH(LN(E118),INDEX(Attenuation!$J:$J,INDEX(Cables!$AO:$AO,MATCH(G118,Cables!$A:$A,0))):INDEX(Attenuation!$J:$J,INDEX(Cables!$AO:$AO,MATCH(G118,Cables!$A:$A,0))+INDEX(Cables!$AP:$AP,MATCH(G118,Cables!$A:$A,0))-1),1),1),1),INDEX(Cables!$AP:$AP,MATCH(G118,Cables!$A:$A,0))-1))):INDEX(Attenuation!$K:$K,(INDEX(Cables!$AO:$AO,MATCH(G118,Cables!$A:$A,0))-1+MIN(MAX(IFERROR(MATCH(LN(E118),INDEX(Attenuation!$J:$J,INDEX(Cables!$AO:$AO,MATCH(G118,Cables!$A:$A,0))):INDEX(Attenuation!$J:$J,INDEX(Cables!$AO:$AO,MATCH(G118,Cables!$A:$A,0))+INDEX(Cables!$AP:$AP,MATCH(G118,Cables!$A:$A,0))-1),1),1),1),INDEX(Cables!$AP:$AP,MATCH(G118,Cables!$A:$A,0))-1))+1),INDEX(Attenuation!$J:$J,(INDEX(Cables!$AO:$AO,MATCH(G118,Cables!$A:$A,0))-1+MIN(MAX(IFERROR(MATCH(LN(E118),INDEX(Attenuation!$J:$J,INDEX(Cables!$AO:$AO,MATCH(G118,Cables!$A:$A,0))):INDEX(Attenuation!$J:$J,INDEX(Cables!$AO:$AO,MATCH(G118,Cables!$A:$A,0))+INDEX(Cables!$AP:$AP,MATCH(G118,Cables!$A:$A,0))-1),1),1),1),INDEX(Cables!$AP:$AP,MATCH(G118,Cables!$A:$A,0))-1))):INDEX(Attenuation!$J:$J,(INDEX(Cables!$AO:$AO,MATCH(G118,Cables!$A:$A,0))-1+MIN(MAX(IFERROR(MATCH(LN(E118),INDEX(Attenuation!$J:$J,INDEX(Cables!$AO:$AO,MATCH(G118,Cables!$A:$A,0))):INDEX(Attenuation!$J:$J,INDEX(Cables!$AO:$AO,MATCH(G118,Cables!$A:$A,0))+INDEX(Cables!$AP:$AP,MATCH(G118,Cables!$A:$A,0))-1),1),1),1),INDEX(Cables!$AP:$AP,MATCH(G118,Cables!$A:$A,0))-1))+1)))*0.3048)</f>
        <v>2.8596288254576296</v>
      </c>
      <c r="J118" s="44">
        <f t="shared" si="1"/>
        <v>0.22393506767085092</v>
      </c>
      <c r="K118" s="40" t="str">
        <f>IF(G118="","Doğrulanmadı",IF(ABS(J118)&lt;=0.1,"Uyumlu (±%10)",IF(ABS(J118)&lt;=0.25,"Fark %10-25","Fark &gt;%25"))&amp;IF(OR(D118&lt;INDEX(Cables!$AQ:$AQ,MATCH(G118,Cables!$A:$A,0)),E118&gt;INDEX(Cables!$AR:$AR,MATCH(G118,Cables!$A:$A,0)))," · ekstrapolasyon",""))</f>
        <v>Fark %10-25</v>
      </c>
    </row>
    <row r="119" spans="1:11" x14ac:dyDescent="0.25">
      <c r="A119" s="37" t="s">
        <v>3002</v>
      </c>
      <c r="B119" s="40" t="str">
        <f>INDEX(Legacy_Index!$D:$D,MATCH(A119,Legacy_Index!$A:$A,0))</f>
        <v>RG213/214</v>
      </c>
      <c r="C119" s="37" t="s">
        <v>3115</v>
      </c>
      <c r="D119" s="37">
        <v>400</v>
      </c>
      <c r="E119" s="37">
        <v>520</v>
      </c>
      <c r="F119" s="37">
        <v>5.2</v>
      </c>
      <c r="G119" s="40" t="str">
        <f>IF(INDEX(Legacy_Index!$G:$G,MATCH(A119,Legacy_Index!$A:$A,0))="","",INDEX(Legacy_Index!$G:$G,MATCH(A119,Legacy_Index!$A:$A,0)))</f>
        <v>BEL-8267</v>
      </c>
      <c r="H119" s="43">
        <f>IF(G119="","",EXP(FORECAST(LN(D119),INDEX(Attenuation!$K:$K,(INDEX(Cables!$AO:$AO,MATCH(G119,Cables!$A:$A,0))-1+MIN(MAX(IFERROR(MATCH(LN(D119),INDEX(Attenuation!$J:$J,INDEX(Cables!$AO:$AO,MATCH(G119,Cables!$A:$A,0))):INDEX(Attenuation!$J:$J,INDEX(Cables!$AO:$AO,MATCH(G119,Cables!$A:$A,0))+INDEX(Cables!$AP:$AP,MATCH(G119,Cables!$A:$A,0))-1),1),1),1),INDEX(Cables!$AP:$AP,MATCH(G119,Cables!$A:$A,0))-1))):INDEX(Attenuation!$K:$K,(INDEX(Cables!$AO:$AO,MATCH(G119,Cables!$A:$A,0))-1+MIN(MAX(IFERROR(MATCH(LN(D119),INDEX(Attenuation!$J:$J,INDEX(Cables!$AO:$AO,MATCH(G119,Cables!$A:$A,0))):INDEX(Attenuation!$J:$J,INDEX(Cables!$AO:$AO,MATCH(G119,Cables!$A:$A,0))+INDEX(Cables!$AP:$AP,MATCH(G119,Cables!$A:$A,0))-1),1),1),1),INDEX(Cables!$AP:$AP,MATCH(G119,Cables!$A:$A,0))-1))+1),INDEX(Attenuation!$J:$J,(INDEX(Cables!$AO:$AO,MATCH(G119,Cables!$A:$A,0))-1+MIN(MAX(IFERROR(MATCH(LN(D119),INDEX(Attenuation!$J:$J,INDEX(Cables!$AO:$AO,MATCH(G119,Cables!$A:$A,0))):INDEX(Attenuation!$J:$J,INDEX(Cables!$AO:$AO,MATCH(G119,Cables!$A:$A,0))+INDEX(Cables!$AP:$AP,MATCH(G119,Cables!$A:$A,0))-1),1),1),1),INDEX(Cables!$AP:$AP,MATCH(G119,Cables!$A:$A,0))-1))):INDEX(Attenuation!$J:$J,(INDEX(Cables!$AO:$AO,MATCH(G119,Cables!$A:$A,0))-1+MIN(MAX(IFERROR(MATCH(LN(D119),INDEX(Attenuation!$J:$J,INDEX(Cables!$AO:$AO,MATCH(G119,Cables!$A:$A,0))):INDEX(Attenuation!$J:$J,INDEX(Cables!$AO:$AO,MATCH(G119,Cables!$A:$A,0))+INDEX(Cables!$AP:$AP,MATCH(G119,Cables!$A:$A,0))-1),1),1),1),INDEX(Cables!$AP:$AP,MATCH(G119,Cables!$A:$A,0))-1))+1)))*0.3048)</f>
        <v>4.1000000000000014</v>
      </c>
      <c r="I119" s="43">
        <f>IF(G119="","",EXP(FORECAST(LN(E119),INDEX(Attenuation!$K:$K,(INDEX(Cables!$AO:$AO,MATCH(G119,Cables!$A:$A,0))-1+MIN(MAX(IFERROR(MATCH(LN(E119),INDEX(Attenuation!$J:$J,INDEX(Cables!$AO:$AO,MATCH(G119,Cables!$A:$A,0))):INDEX(Attenuation!$J:$J,INDEX(Cables!$AO:$AO,MATCH(G119,Cables!$A:$A,0))+INDEX(Cables!$AP:$AP,MATCH(G119,Cables!$A:$A,0))-1),1),1),1),INDEX(Cables!$AP:$AP,MATCH(G119,Cables!$A:$A,0))-1))):INDEX(Attenuation!$K:$K,(INDEX(Cables!$AO:$AO,MATCH(G119,Cables!$A:$A,0))-1+MIN(MAX(IFERROR(MATCH(LN(E119),INDEX(Attenuation!$J:$J,INDEX(Cables!$AO:$AO,MATCH(G119,Cables!$A:$A,0))):INDEX(Attenuation!$J:$J,INDEX(Cables!$AO:$AO,MATCH(G119,Cables!$A:$A,0))+INDEX(Cables!$AP:$AP,MATCH(G119,Cables!$A:$A,0))-1),1),1),1),INDEX(Cables!$AP:$AP,MATCH(G119,Cables!$A:$A,0))-1))+1),INDEX(Attenuation!$J:$J,(INDEX(Cables!$AO:$AO,MATCH(G119,Cables!$A:$A,0))-1+MIN(MAX(IFERROR(MATCH(LN(E119),INDEX(Attenuation!$J:$J,INDEX(Cables!$AO:$AO,MATCH(G119,Cables!$A:$A,0))):INDEX(Attenuation!$J:$J,INDEX(Cables!$AO:$AO,MATCH(G119,Cables!$A:$A,0))+INDEX(Cables!$AP:$AP,MATCH(G119,Cables!$A:$A,0))-1),1),1),1),INDEX(Cables!$AP:$AP,MATCH(G119,Cables!$A:$A,0))-1))):INDEX(Attenuation!$J:$J,(INDEX(Cables!$AO:$AO,MATCH(G119,Cables!$A:$A,0))-1+MIN(MAX(IFERROR(MATCH(LN(E119),INDEX(Attenuation!$J:$J,INDEX(Cables!$AO:$AO,MATCH(G119,Cables!$A:$A,0))):INDEX(Attenuation!$J:$J,INDEX(Cables!$AO:$AO,MATCH(G119,Cables!$A:$A,0))+INDEX(Cables!$AP:$AP,MATCH(G119,Cables!$A:$A,0))-1),1),1),1),INDEX(Cables!$AP:$AP,MATCH(G119,Cables!$A:$A,0))-1))+1)))*0.3048)</f>
        <v>5.0887419128076008</v>
      </c>
      <c r="J119" s="44">
        <f t="shared" si="1"/>
        <v>2.1863574356635995E-2</v>
      </c>
      <c r="K119" s="40" t="str">
        <f>IF(G119="","Doğrulanmadı",IF(ABS(J119)&lt;=0.1,"Uyumlu (±%10)",IF(ABS(J119)&lt;=0.25,"Fark %10-25","Fark &gt;%25"))&amp;IF(OR(D119&lt;INDEX(Cables!$AQ:$AQ,MATCH(G119,Cables!$A:$A,0)),E119&gt;INDEX(Cables!$AR:$AR,MATCH(G119,Cables!$A:$A,0)))," · ekstrapolasyon",""))</f>
        <v>Uyumlu (±%10)</v>
      </c>
    </row>
    <row r="120" spans="1:11" x14ac:dyDescent="0.25">
      <c r="A120" s="37" t="s">
        <v>3002</v>
      </c>
      <c r="B120" s="40" t="str">
        <f>INDEX(Legacy_Index!$D:$D,MATCH(A120,Legacy_Index!$A:$A,0))</f>
        <v>RG213/214</v>
      </c>
      <c r="C120" s="37" t="s">
        <v>3116</v>
      </c>
      <c r="D120" s="37">
        <v>700</v>
      </c>
      <c r="E120" s="37">
        <v>960</v>
      </c>
      <c r="F120" s="37">
        <v>8</v>
      </c>
      <c r="G120" s="40" t="str">
        <f>IF(INDEX(Legacy_Index!$G:$G,MATCH(A120,Legacy_Index!$A:$A,0))="","",INDEX(Legacy_Index!$G:$G,MATCH(A120,Legacy_Index!$A:$A,0)))</f>
        <v>BEL-8267</v>
      </c>
      <c r="H120" s="43">
        <f>IF(G120="","",EXP(FORECAST(LN(D120),INDEX(Attenuation!$K:$K,(INDEX(Cables!$AO:$AO,MATCH(G120,Cables!$A:$A,0))-1+MIN(MAX(IFERROR(MATCH(LN(D120),INDEX(Attenuation!$J:$J,INDEX(Cables!$AO:$AO,MATCH(G120,Cables!$A:$A,0))):INDEX(Attenuation!$J:$J,INDEX(Cables!$AO:$AO,MATCH(G120,Cables!$A:$A,0))+INDEX(Cables!$AP:$AP,MATCH(G120,Cables!$A:$A,0))-1),1),1),1),INDEX(Cables!$AP:$AP,MATCH(G120,Cables!$A:$A,0))-1))):INDEX(Attenuation!$K:$K,(INDEX(Cables!$AO:$AO,MATCH(G120,Cables!$A:$A,0))-1+MIN(MAX(IFERROR(MATCH(LN(D120),INDEX(Attenuation!$J:$J,INDEX(Cables!$AO:$AO,MATCH(G120,Cables!$A:$A,0))):INDEX(Attenuation!$J:$J,INDEX(Cables!$AO:$AO,MATCH(G120,Cables!$A:$A,0))+INDEX(Cables!$AP:$AP,MATCH(G120,Cables!$A:$A,0))-1),1),1),1),INDEX(Cables!$AP:$AP,MATCH(G120,Cables!$A:$A,0))-1))+1),INDEX(Attenuation!$J:$J,(INDEX(Cables!$AO:$AO,MATCH(G120,Cables!$A:$A,0))-1+MIN(MAX(IFERROR(MATCH(LN(D120),INDEX(Attenuation!$J:$J,INDEX(Cables!$AO:$AO,MATCH(G120,Cables!$A:$A,0))):INDEX(Attenuation!$J:$J,INDEX(Cables!$AO:$AO,MATCH(G120,Cables!$A:$A,0))+INDEX(Cables!$AP:$AP,MATCH(G120,Cables!$A:$A,0))-1),1),1),1),INDEX(Cables!$AP:$AP,MATCH(G120,Cables!$A:$A,0))-1))):INDEX(Attenuation!$J:$J,(INDEX(Cables!$AO:$AO,MATCH(G120,Cables!$A:$A,0))-1+MIN(MAX(IFERROR(MATCH(LN(D120),INDEX(Attenuation!$J:$J,INDEX(Cables!$AO:$AO,MATCH(G120,Cables!$A:$A,0))):INDEX(Attenuation!$J:$J,INDEX(Cables!$AO:$AO,MATCH(G120,Cables!$A:$A,0))+INDEX(Cables!$AP:$AP,MATCH(G120,Cables!$A:$A,0))-1),1),1),1),INDEX(Cables!$AP:$AP,MATCH(G120,Cables!$A:$A,0))-1))+1)))*0.3048)</f>
        <v>6.4999999999999964</v>
      </c>
      <c r="I120" s="43">
        <f>IF(G120="","",EXP(FORECAST(LN(E120),INDEX(Attenuation!$K:$K,(INDEX(Cables!$AO:$AO,MATCH(G120,Cables!$A:$A,0))-1+MIN(MAX(IFERROR(MATCH(LN(E120),INDEX(Attenuation!$J:$J,INDEX(Cables!$AO:$AO,MATCH(G120,Cables!$A:$A,0))):INDEX(Attenuation!$J:$J,INDEX(Cables!$AO:$AO,MATCH(G120,Cables!$A:$A,0))+INDEX(Cables!$AP:$AP,MATCH(G120,Cables!$A:$A,0))-1),1),1),1),INDEX(Cables!$AP:$AP,MATCH(G120,Cables!$A:$A,0))-1))):INDEX(Attenuation!$K:$K,(INDEX(Cables!$AO:$AO,MATCH(G120,Cables!$A:$A,0))-1+MIN(MAX(IFERROR(MATCH(LN(E120),INDEX(Attenuation!$J:$J,INDEX(Cables!$AO:$AO,MATCH(G120,Cables!$A:$A,0))):INDEX(Attenuation!$J:$J,INDEX(Cables!$AO:$AO,MATCH(G120,Cables!$A:$A,0))+INDEX(Cables!$AP:$AP,MATCH(G120,Cables!$A:$A,0))-1),1),1),1),INDEX(Cables!$AP:$AP,MATCH(G120,Cables!$A:$A,0))-1))+1),INDEX(Attenuation!$J:$J,(INDEX(Cables!$AO:$AO,MATCH(G120,Cables!$A:$A,0))-1+MIN(MAX(IFERROR(MATCH(LN(E120),INDEX(Attenuation!$J:$J,INDEX(Cables!$AO:$AO,MATCH(G120,Cables!$A:$A,0))):INDEX(Attenuation!$J:$J,INDEX(Cables!$AO:$AO,MATCH(G120,Cables!$A:$A,0))+INDEX(Cables!$AP:$AP,MATCH(G120,Cables!$A:$A,0))-1),1),1),1),INDEX(Cables!$AP:$AP,MATCH(G120,Cables!$A:$A,0))-1))):INDEX(Attenuation!$J:$J,(INDEX(Cables!$AO:$AO,MATCH(G120,Cables!$A:$A,0))-1+MIN(MAX(IFERROR(MATCH(LN(E120),INDEX(Attenuation!$J:$J,INDEX(Cables!$AO:$AO,MATCH(G120,Cables!$A:$A,0))):INDEX(Attenuation!$J:$J,INDEX(Cables!$AO:$AO,MATCH(G120,Cables!$A:$A,0))+INDEX(Cables!$AP:$AP,MATCH(G120,Cables!$A:$A,0))-1),1),1),1),INDEX(Cables!$AP:$AP,MATCH(G120,Cables!$A:$A,0))-1))+1)))*0.3048)</f>
        <v>7.8425804891522164</v>
      </c>
      <c r="J120" s="44">
        <f t="shared" si="1"/>
        <v>2.0072412526147998E-2</v>
      </c>
      <c r="K120" s="40" t="str">
        <f>IF(G120="","Doğrulanmadı",IF(ABS(J120)&lt;=0.1,"Uyumlu (±%10)",IF(ABS(J120)&lt;=0.25,"Fark %10-25","Fark &gt;%25"))&amp;IF(OR(D120&lt;INDEX(Cables!$AQ:$AQ,MATCH(G120,Cables!$A:$A,0)),E120&gt;INDEX(Cables!$AR:$AR,MATCH(G120,Cables!$A:$A,0)))," · ekstrapolasyon",""))</f>
        <v>Uyumlu (±%10)</v>
      </c>
    </row>
    <row r="121" spans="1:11" x14ac:dyDescent="0.25">
      <c r="A121" s="37" t="s">
        <v>3002</v>
      </c>
      <c r="B121" s="40" t="str">
        <f>INDEX(Legacy_Index!$D:$D,MATCH(A121,Legacy_Index!$A:$A,0))</f>
        <v>RG213/214</v>
      </c>
      <c r="C121" s="37" t="s">
        <v>3120</v>
      </c>
      <c r="D121" s="37">
        <v>1200</v>
      </c>
      <c r="E121" s="37">
        <v>1300</v>
      </c>
      <c r="F121" s="37">
        <v>10.1</v>
      </c>
      <c r="G121" s="40" t="str">
        <f>IF(INDEX(Legacy_Index!$G:$G,MATCH(A121,Legacy_Index!$A:$A,0))="","",INDEX(Legacy_Index!$G:$G,MATCH(A121,Legacy_Index!$A:$A,0)))</f>
        <v>BEL-8267</v>
      </c>
      <c r="H121" s="43">
        <f>IF(G121="","",EXP(FORECAST(LN(D121),INDEX(Attenuation!$K:$K,(INDEX(Cables!$AO:$AO,MATCH(G121,Cables!$A:$A,0))-1+MIN(MAX(IFERROR(MATCH(LN(D121),INDEX(Attenuation!$J:$J,INDEX(Cables!$AO:$AO,MATCH(G121,Cables!$A:$A,0))):INDEX(Attenuation!$J:$J,INDEX(Cables!$AO:$AO,MATCH(G121,Cables!$A:$A,0))+INDEX(Cables!$AP:$AP,MATCH(G121,Cables!$A:$A,0))-1),1),1),1),INDEX(Cables!$AP:$AP,MATCH(G121,Cables!$A:$A,0))-1))):INDEX(Attenuation!$K:$K,(INDEX(Cables!$AO:$AO,MATCH(G121,Cables!$A:$A,0))-1+MIN(MAX(IFERROR(MATCH(LN(D121),INDEX(Attenuation!$J:$J,INDEX(Cables!$AO:$AO,MATCH(G121,Cables!$A:$A,0))):INDEX(Attenuation!$J:$J,INDEX(Cables!$AO:$AO,MATCH(G121,Cables!$A:$A,0))+INDEX(Cables!$AP:$AP,MATCH(G121,Cables!$A:$A,0))-1),1),1),1),INDEX(Cables!$AP:$AP,MATCH(G121,Cables!$A:$A,0))-1))+1),INDEX(Attenuation!$J:$J,(INDEX(Cables!$AO:$AO,MATCH(G121,Cables!$A:$A,0))-1+MIN(MAX(IFERROR(MATCH(LN(D121),INDEX(Attenuation!$J:$J,INDEX(Cables!$AO:$AO,MATCH(G121,Cables!$A:$A,0))):INDEX(Attenuation!$J:$J,INDEX(Cables!$AO:$AO,MATCH(G121,Cables!$A:$A,0))+INDEX(Cables!$AP:$AP,MATCH(G121,Cables!$A:$A,0))-1),1),1),1),INDEX(Cables!$AP:$AP,MATCH(G121,Cables!$A:$A,0))-1))):INDEX(Attenuation!$J:$J,(INDEX(Cables!$AO:$AO,MATCH(G121,Cables!$A:$A,0))-1+MIN(MAX(IFERROR(MATCH(LN(D121),INDEX(Attenuation!$J:$J,INDEX(Cables!$AO:$AO,MATCH(G121,Cables!$A:$A,0))):INDEX(Attenuation!$J:$J,INDEX(Cables!$AO:$AO,MATCH(G121,Cables!$A:$A,0))+INDEX(Cables!$AP:$AP,MATCH(G121,Cables!$A:$A,0))-1),1),1),1),INDEX(Cables!$AP:$AP,MATCH(G121,Cables!$A:$A,0))-1))+1)))*0.3048)</f>
        <v>9.1108038622063603</v>
      </c>
      <c r="I121" s="43">
        <f>IF(G121="","",EXP(FORECAST(LN(E121),INDEX(Attenuation!$K:$K,(INDEX(Cables!$AO:$AO,MATCH(G121,Cables!$A:$A,0))-1+MIN(MAX(IFERROR(MATCH(LN(E121),INDEX(Attenuation!$J:$J,INDEX(Cables!$AO:$AO,MATCH(G121,Cables!$A:$A,0))):INDEX(Attenuation!$J:$J,INDEX(Cables!$AO:$AO,MATCH(G121,Cables!$A:$A,0))+INDEX(Cables!$AP:$AP,MATCH(G121,Cables!$A:$A,0))-1),1),1),1),INDEX(Cables!$AP:$AP,MATCH(G121,Cables!$A:$A,0))-1))):INDEX(Attenuation!$K:$K,(INDEX(Cables!$AO:$AO,MATCH(G121,Cables!$A:$A,0))-1+MIN(MAX(IFERROR(MATCH(LN(E121),INDEX(Attenuation!$J:$J,INDEX(Cables!$AO:$AO,MATCH(G121,Cables!$A:$A,0))):INDEX(Attenuation!$J:$J,INDEX(Cables!$AO:$AO,MATCH(G121,Cables!$A:$A,0))+INDEX(Cables!$AP:$AP,MATCH(G121,Cables!$A:$A,0))-1),1),1),1),INDEX(Cables!$AP:$AP,MATCH(G121,Cables!$A:$A,0))-1))+1),INDEX(Attenuation!$J:$J,(INDEX(Cables!$AO:$AO,MATCH(G121,Cables!$A:$A,0))-1+MIN(MAX(IFERROR(MATCH(LN(E121),INDEX(Attenuation!$J:$J,INDEX(Cables!$AO:$AO,MATCH(G121,Cables!$A:$A,0))):INDEX(Attenuation!$J:$J,INDEX(Cables!$AO:$AO,MATCH(G121,Cables!$A:$A,0))+INDEX(Cables!$AP:$AP,MATCH(G121,Cables!$A:$A,0))-1),1),1),1),INDEX(Cables!$AP:$AP,MATCH(G121,Cables!$A:$A,0))-1))):INDEX(Attenuation!$J:$J,(INDEX(Cables!$AO:$AO,MATCH(G121,Cables!$A:$A,0))-1+MIN(MAX(IFERROR(MATCH(LN(E121),INDEX(Attenuation!$J:$J,INDEX(Cables!$AO:$AO,MATCH(G121,Cables!$A:$A,0))):INDEX(Attenuation!$J:$J,INDEX(Cables!$AO:$AO,MATCH(G121,Cables!$A:$A,0))+INDEX(Cables!$AP:$AP,MATCH(G121,Cables!$A:$A,0))-1),1),1),1),INDEX(Cables!$AP:$AP,MATCH(G121,Cables!$A:$A,0))-1))+1)))*0.3048)</f>
        <v>9.6459871870792941</v>
      </c>
      <c r="J121" s="44">
        <f t="shared" si="1"/>
        <v>4.7067532240645304E-2</v>
      </c>
      <c r="K121" s="40" t="str">
        <f>IF(G121="","Doğrulanmadı",IF(ABS(J121)&lt;=0.1,"Uyumlu (±%10)",IF(ABS(J121)&lt;=0.25,"Fark %10-25","Fark &gt;%25"))&amp;IF(OR(D121&lt;INDEX(Cables!$AQ:$AQ,MATCH(G121,Cables!$A:$A,0)),E121&gt;INDEX(Cables!$AR:$AR,MATCH(G121,Cables!$A:$A,0)))," · ekstrapolasyon",""))</f>
        <v>Uyumlu (±%10)</v>
      </c>
    </row>
    <row r="122" spans="1:11" x14ac:dyDescent="0.25">
      <c r="A122" s="37" t="s">
        <v>3002</v>
      </c>
      <c r="B122" s="40" t="str">
        <f>INDEX(Legacy_Index!$D:$D,MATCH(A122,Legacy_Index!$A:$A,0))</f>
        <v>RG213/214</v>
      </c>
      <c r="C122" s="37" t="s">
        <v>3121</v>
      </c>
      <c r="D122" s="37">
        <v>2400</v>
      </c>
      <c r="E122" s="37">
        <v>2500</v>
      </c>
      <c r="F122" s="37">
        <v>15.2</v>
      </c>
      <c r="G122" s="40" t="str">
        <f>IF(INDEX(Legacy_Index!$G:$G,MATCH(A122,Legacy_Index!$A:$A,0))="","",INDEX(Legacy_Index!$G:$G,MATCH(A122,Legacy_Index!$A:$A,0)))</f>
        <v>BEL-8267</v>
      </c>
      <c r="H122" s="43">
        <f>IF(G122="","",EXP(FORECAST(LN(D122),INDEX(Attenuation!$K:$K,(INDEX(Cables!$AO:$AO,MATCH(G122,Cables!$A:$A,0))-1+MIN(MAX(IFERROR(MATCH(LN(D122),INDEX(Attenuation!$J:$J,INDEX(Cables!$AO:$AO,MATCH(G122,Cables!$A:$A,0))):INDEX(Attenuation!$J:$J,INDEX(Cables!$AO:$AO,MATCH(G122,Cables!$A:$A,0))+INDEX(Cables!$AP:$AP,MATCH(G122,Cables!$A:$A,0))-1),1),1),1),INDEX(Cables!$AP:$AP,MATCH(G122,Cables!$A:$A,0))-1))):INDEX(Attenuation!$K:$K,(INDEX(Cables!$AO:$AO,MATCH(G122,Cables!$A:$A,0))-1+MIN(MAX(IFERROR(MATCH(LN(D122),INDEX(Attenuation!$J:$J,INDEX(Cables!$AO:$AO,MATCH(G122,Cables!$A:$A,0))):INDEX(Attenuation!$J:$J,INDEX(Cables!$AO:$AO,MATCH(G122,Cables!$A:$A,0))+INDEX(Cables!$AP:$AP,MATCH(G122,Cables!$A:$A,0))-1),1),1),1),INDEX(Cables!$AP:$AP,MATCH(G122,Cables!$A:$A,0))-1))+1),INDEX(Attenuation!$J:$J,(INDEX(Cables!$AO:$AO,MATCH(G122,Cables!$A:$A,0))-1+MIN(MAX(IFERROR(MATCH(LN(D122),INDEX(Attenuation!$J:$J,INDEX(Cables!$AO:$AO,MATCH(G122,Cables!$A:$A,0))):INDEX(Attenuation!$J:$J,INDEX(Cables!$AO:$AO,MATCH(G122,Cables!$A:$A,0))+INDEX(Cables!$AP:$AP,MATCH(G122,Cables!$A:$A,0))-1),1),1),1),INDEX(Cables!$AP:$AP,MATCH(G122,Cables!$A:$A,0))-1))):INDEX(Attenuation!$J:$J,(INDEX(Cables!$AO:$AO,MATCH(G122,Cables!$A:$A,0))-1+MIN(MAX(IFERROR(MATCH(LN(D122),INDEX(Attenuation!$J:$J,INDEX(Cables!$AO:$AO,MATCH(G122,Cables!$A:$A,0))):INDEX(Attenuation!$J:$J,INDEX(Cables!$AO:$AO,MATCH(G122,Cables!$A:$A,0))+INDEX(Cables!$AP:$AP,MATCH(G122,Cables!$A:$A,0))-1),1),1),1),INDEX(Cables!$AP:$AP,MATCH(G122,Cables!$A:$A,0))-1))+1)))*0.3048)</f>
        <v>14.935884058347854</v>
      </c>
      <c r="I122" s="43">
        <f>IF(G122="","",EXP(FORECAST(LN(E122),INDEX(Attenuation!$K:$K,(INDEX(Cables!$AO:$AO,MATCH(G122,Cables!$A:$A,0))-1+MIN(MAX(IFERROR(MATCH(LN(E122),INDEX(Attenuation!$J:$J,INDEX(Cables!$AO:$AO,MATCH(G122,Cables!$A:$A,0))):INDEX(Attenuation!$J:$J,INDEX(Cables!$AO:$AO,MATCH(G122,Cables!$A:$A,0))+INDEX(Cables!$AP:$AP,MATCH(G122,Cables!$A:$A,0))-1),1),1),1),INDEX(Cables!$AP:$AP,MATCH(G122,Cables!$A:$A,0))-1))):INDEX(Attenuation!$K:$K,(INDEX(Cables!$AO:$AO,MATCH(G122,Cables!$A:$A,0))-1+MIN(MAX(IFERROR(MATCH(LN(E122),INDEX(Attenuation!$J:$J,INDEX(Cables!$AO:$AO,MATCH(G122,Cables!$A:$A,0))):INDEX(Attenuation!$J:$J,INDEX(Cables!$AO:$AO,MATCH(G122,Cables!$A:$A,0))+INDEX(Cables!$AP:$AP,MATCH(G122,Cables!$A:$A,0))-1),1),1),1),INDEX(Cables!$AP:$AP,MATCH(G122,Cables!$A:$A,0))-1))+1),INDEX(Attenuation!$J:$J,(INDEX(Cables!$AO:$AO,MATCH(G122,Cables!$A:$A,0))-1+MIN(MAX(IFERROR(MATCH(LN(E122),INDEX(Attenuation!$J:$J,INDEX(Cables!$AO:$AO,MATCH(G122,Cables!$A:$A,0))):INDEX(Attenuation!$J:$J,INDEX(Cables!$AO:$AO,MATCH(G122,Cables!$A:$A,0))+INDEX(Cables!$AP:$AP,MATCH(G122,Cables!$A:$A,0))-1),1),1),1),INDEX(Cables!$AP:$AP,MATCH(G122,Cables!$A:$A,0))-1))):INDEX(Attenuation!$J:$J,(INDEX(Cables!$AO:$AO,MATCH(G122,Cables!$A:$A,0))-1+MIN(MAX(IFERROR(MATCH(LN(E122),INDEX(Attenuation!$J:$J,INDEX(Cables!$AO:$AO,MATCH(G122,Cables!$A:$A,0))):INDEX(Attenuation!$J:$J,INDEX(Cables!$AO:$AO,MATCH(G122,Cables!$A:$A,0))+INDEX(Cables!$AP:$AP,MATCH(G122,Cables!$A:$A,0))-1),1),1),1),INDEX(Cables!$AP:$AP,MATCH(G122,Cables!$A:$A,0))-1))+1)))*0.3048)</f>
        <v>15.377080623551189</v>
      </c>
      <c r="J122" s="44">
        <f t="shared" si="1"/>
        <v>0</v>
      </c>
      <c r="K122" s="40" t="str">
        <f>IF(G122="","Doğrulanmadı",IF(ABS(J122)&lt;=0.1,"Uyumlu (±%10)",IF(ABS(J122)&lt;=0.25,"Fark %10-25","Fark &gt;%25"))&amp;IF(OR(D122&lt;INDEX(Cables!$AQ:$AQ,MATCH(G122,Cables!$A:$A,0)),E122&gt;INDEX(Cables!$AR:$AR,MATCH(G122,Cables!$A:$A,0)))," · ekstrapolasyon",""))</f>
        <v>Uyumlu (±%10)</v>
      </c>
    </row>
    <row r="123" spans="1:11" x14ac:dyDescent="0.25">
      <c r="A123" s="37" t="s">
        <v>3002</v>
      </c>
      <c r="B123" s="40" t="str">
        <f>INDEX(Legacy_Index!$D:$D,MATCH(A123,Legacy_Index!$A:$A,0))</f>
        <v>RG213/214</v>
      </c>
      <c r="C123" s="37" t="s">
        <v>3122</v>
      </c>
      <c r="D123" s="37">
        <v>5725</v>
      </c>
      <c r="E123" s="37">
        <v>5875</v>
      </c>
      <c r="F123" s="37">
        <v>28.6</v>
      </c>
      <c r="G123" s="40" t="str">
        <f>IF(INDEX(Legacy_Index!$G:$G,MATCH(A123,Legacy_Index!$A:$A,0))="","",INDEX(Legacy_Index!$G:$G,MATCH(A123,Legacy_Index!$A:$A,0)))</f>
        <v>BEL-8267</v>
      </c>
      <c r="H123" s="43">
        <f>IF(G123="","",EXP(FORECAST(LN(D123),INDEX(Attenuation!$K:$K,(INDEX(Cables!$AO:$AO,MATCH(G123,Cables!$A:$A,0))-1+MIN(MAX(IFERROR(MATCH(LN(D123),INDEX(Attenuation!$J:$J,INDEX(Cables!$AO:$AO,MATCH(G123,Cables!$A:$A,0))):INDEX(Attenuation!$J:$J,INDEX(Cables!$AO:$AO,MATCH(G123,Cables!$A:$A,0))+INDEX(Cables!$AP:$AP,MATCH(G123,Cables!$A:$A,0))-1),1),1),1),INDEX(Cables!$AP:$AP,MATCH(G123,Cables!$A:$A,0))-1))):INDEX(Attenuation!$K:$K,(INDEX(Cables!$AO:$AO,MATCH(G123,Cables!$A:$A,0))-1+MIN(MAX(IFERROR(MATCH(LN(D123),INDEX(Attenuation!$J:$J,INDEX(Cables!$AO:$AO,MATCH(G123,Cables!$A:$A,0))):INDEX(Attenuation!$J:$J,INDEX(Cables!$AO:$AO,MATCH(G123,Cables!$A:$A,0))+INDEX(Cables!$AP:$AP,MATCH(G123,Cables!$A:$A,0))-1),1),1),1),INDEX(Cables!$AP:$AP,MATCH(G123,Cables!$A:$A,0))-1))+1),INDEX(Attenuation!$J:$J,(INDEX(Cables!$AO:$AO,MATCH(G123,Cables!$A:$A,0))-1+MIN(MAX(IFERROR(MATCH(LN(D123),INDEX(Attenuation!$J:$J,INDEX(Cables!$AO:$AO,MATCH(G123,Cables!$A:$A,0))):INDEX(Attenuation!$J:$J,INDEX(Cables!$AO:$AO,MATCH(G123,Cables!$A:$A,0))+INDEX(Cables!$AP:$AP,MATCH(G123,Cables!$A:$A,0))-1),1),1),1),INDEX(Cables!$AP:$AP,MATCH(G123,Cables!$A:$A,0))-1))):INDEX(Attenuation!$J:$J,(INDEX(Cables!$AO:$AO,MATCH(G123,Cables!$A:$A,0))-1+MIN(MAX(IFERROR(MATCH(LN(D123),INDEX(Attenuation!$J:$J,INDEX(Cables!$AO:$AO,MATCH(G123,Cables!$A:$A,0))):INDEX(Attenuation!$J:$J,INDEX(Cables!$AO:$AO,MATCH(G123,Cables!$A:$A,0))+INDEX(Cables!$AP:$AP,MATCH(G123,Cables!$A:$A,0))-1),1),1),1),INDEX(Cables!$AP:$AP,MATCH(G123,Cables!$A:$A,0))-1))+1)))*0.3048)</f>
        <v>27.764139919477323</v>
      </c>
      <c r="I123" s="43">
        <f>IF(G123="","",EXP(FORECAST(LN(E123),INDEX(Attenuation!$K:$K,(INDEX(Cables!$AO:$AO,MATCH(G123,Cables!$A:$A,0))-1+MIN(MAX(IFERROR(MATCH(LN(E123),INDEX(Attenuation!$J:$J,INDEX(Cables!$AO:$AO,MATCH(G123,Cables!$A:$A,0))):INDEX(Attenuation!$J:$J,INDEX(Cables!$AO:$AO,MATCH(G123,Cables!$A:$A,0))+INDEX(Cables!$AP:$AP,MATCH(G123,Cables!$A:$A,0))-1),1),1),1),INDEX(Cables!$AP:$AP,MATCH(G123,Cables!$A:$A,0))-1))):INDEX(Attenuation!$K:$K,(INDEX(Cables!$AO:$AO,MATCH(G123,Cables!$A:$A,0))-1+MIN(MAX(IFERROR(MATCH(LN(E123),INDEX(Attenuation!$J:$J,INDEX(Cables!$AO:$AO,MATCH(G123,Cables!$A:$A,0))):INDEX(Attenuation!$J:$J,INDEX(Cables!$AO:$AO,MATCH(G123,Cables!$A:$A,0))+INDEX(Cables!$AP:$AP,MATCH(G123,Cables!$A:$A,0))-1),1),1),1),INDEX(Cables!$AP:$AP,MATCH(G123,Cables!$A:$A,0))-1))+1),INDEX(Attenuation!$J:$J,(INDEX(Cables!$AO:$AO,MATCH(G123,Cables!$A:$A,0))-1+MIN(MAX(IFERROR(MATCH(LN(E123),INDEX(Attenuation!$J:$J,INDEX(Cables!$AO:$AO,MATCH(G123,Cables!$A:$A,0))):INDEX(Attenuation!$J:$J,INDEX(Cables!$AO:$AO,MATCH(G123,Cables!$A:$A,0))+INDEX(Cables!$AP:$AP,MATCH(G123,Cables!$A:$A,0))-1),1),1),1),INDEX(Cables!$AP:$AP,MATCH(G123,Cables!$A:$A,0))-1))):INDEX(Attenuation!$J:$J,(INDEX(Cables!$AO:$AO,MATCH(G123,Cables!$A:$A,0))-1+MIN(MAX(IFERROR(MATCH(LN(E123),INDEX(Attenuation!$J:$J,INDEX(Cables!$AO:$AO,MATCH(G123,Cables!$A:$A,0))):INDEX(Attenuation!$J:$J,INDEX(Cables!$AO:$AO,MATCH(G123,Cables!$A:$A,0))+INDEX(Cables!$AP:$AP,MATCH(G123,Cables!$A:$A,0))-1),1),1),1),INDEX(Cables!$AP:$AP,MATCH(G123,Cables!$A:$A,0))-1))+1)))*0.3048)</f>
        <v>28.280976322505548</v>
      </c>
      <c r="J123" s="44">
        <f t="shared" si="1"/>
        <v>1.1280504387699564E-2</v>
      </c>
      <c r="K123" s="40" t="str">
        <f>IF(G123="","Doğrulanmadı",IF(ABS(J123)&lt;=0.1,"Uyumlu (±%10)",IF(ABS(J123)&lt;=0.25,"Fark %10-25","Fark &gt;%25"))&amp;IF(OR(D123&lt;INDEX(Cables!$AQ:$AQ,MATCH(G123,Cables!$A:$A,0)),E123&gt;INDEX(Cables!$AR:$AR,MATCH(G123,Cables!$A:$A,0)))," · ekstrapolasyon",""))</f>
        <v>Uyumlu (±%10) · ekstrapolasyon</v>
      </c>
    </row>
    <row r="124" spans="1:11" x14ac:dyDescent="0.25">
      <c r="A124" s="37" t="s">
        <v>3005</v>
      </c>
      <c r="B124" s="40" t="str">
        <f>INDEX(Legacy_Index!$D:$D,MATCH(A124,Legacy_Index!$A:$A,0))</f>
        <v>HYPERFLEX 5™ Messi and Paoloni</v>
      </c>
      <c r="C124" s="37" t="s">
        <v>3117</v>
      </c>
      <c r="D124" s="37">
        <v>1</v>
      </c>
      <c r="E124" s="37">
        <v>10</v>
      </c>
      <c r="F124" s="37">
        <v>0.6</v>
      </c>
      <c r="G124" s="40" t="str">
        <f>IF(INDEX(Legacy_Index!$G:$G,MATCH(A124,Legacy_Index!$A:$A,0))="","",INDEX(Legacy_Index!$G:$G,MATCH(A124,Legacy_Index!$A:$A,0)))</f>
        <v>MP-HYPERFLEX5</v>
      </c>
      <c r="H124" s="43">
        <f>IF(G124="","",EXP(FORECAST(LN(D124),INDEX(Attenuation!$K:$K,(INDEX(Cables!$AO:$AO,MATCH(G124,Cables!$A:$A,0))-1+MIN(MAX(IFERROR(MATCH(LN(D124),INDEX(Attenuation!$J:$J,INDEX(Cables!$AO:$AO,MATCH(G124,Cables!$A:$A,0))):INDEX(Attenuation!$J:$J,INDEX(Cables!$AO:$AO,MATCH(G124,Cables!$A:$A,0))+INDEX(Cables!$AP:$AP,MATCH(G124,Cables!$A:$A,0))-1),1),1),1),INDEX(Cables!$AP:$AP,MATCH(G124,Cables!$A:$A,0))-1))):INDEX(Attenuation!$K:$K,(INDEX(Cables!$AO:$AO,MATCH(G124,Cables!$A:$A,0))-1+MIN(MAX(IFERROR(MATCH(LN(D124),INDEX(Attenuation!$J:$J,INDEX(Cables!$AO:$AO,MATCH(G124,Cables!$A:$A,0))):INDEX(Attenuation!$J:$J,INDEX(Cables!$AO:$AO,MATCH(G124,Cables!$A:$A,0))+INDEX(Cables!$AP:$AP,MATCH(G124,Cables!$A:$A,0))-1),1),1),1),INDEX(Cables!$AP:$AP,MATCH(G124,Cables!$A:$A,0))-1))+1),INDEX(Attenuation!$J:$J,(INDEX(Cables!$AO:$AO,MATCH(G124,Cables!$A:$A,0))-1+MIN(MAX(IFERROR(MATCH(LN(D124),INDEX(Attenuation!$J:$J,INDEX(Cables!$AO:$AO,MATCH(G124,Cables!$A:$A,0))):INDEX(Attenuation!$J:$J,INDEX(Cables!$AO:$AO,MATCH(G124,Cables!$A:$A,0))+INDEX(Cables!$AP:$AP,MATCH(G124,Cables!$A:$A,0))-1),1),1),1),INDEX(Cables!$AP:$AP,MATCH(G124,Cables!$A:$A,0))-1))):INDEX(Attenuation!$J:$J,(INDEX(Cables!$AO:$AO,MATCH(G124,Cables!$A:$A,0))-1+MIN(MAX(IFERROR(MATCH(LN(D124),INDEX(Attenuation!$J:$J,INDEX(Cables!$AO:$AO,MATCH(G124,Cables!$A:$A,0))):INDEX(Attenuation!$J:$J,INDEX(Cables!$AO:$AO,MATCH(G124,Cables!$A:$A,0))+INDEX(Cables!$AP:$AP,MATCH(G124,Cables!$A:$A,0))-1),1),1),1),INDEX(Cables!$AP:$AP,MATCH(G124,Cables!$A:$A,0))-1))+1)))*0.3048)</f>
        <v>0.3257710195295358</v>
      </c>
      <c r="I124" s="43">
        <f>IF(G124="","",EXP(FORECAST(LN(E124),INDEX(Attenuation!$K:$K,(INDEX(Cables!$AO:$AO,MATCH(G124,Cables!$A:$A,0))-1+MIN(MAX(IFERROR(MATCH(LN(E124),INDEX(Attenuation!$J:$J,INDEX(Cables!$AO:$AO,MATCH(G124,Cables!$A:$A,0))):INDEX(Attenuation!$J:$J,INDEX(Cables!$AO:$AO,MATCH(G124,Cables!$A:$A,0))+INDEX(Cables!$AP:$AP,MATCH(G124,Cables!$A:$A,0))-1),1),1),1),INDEX(Cables!$AP:$AP,MATCH(G124,Cables!$A:$A,0))-1))):INDEX(Attenuation!$K:$K,(INDEX(Cables!$AO:$AO,MATCH(G124,Cables!$A:$A,0))-1+MIN(MAX(IFERROR(MATCH(LN(E124),INDEX(Attenuation!$J:$J,INDEX(Cables!$AO:$AO,MATCH(G124,Cables!$A:$A,0))):INDEX(Attenuation!$J:$J,INDEX(Cables!$AO:$AO,MATCH(G124,Cables!$A:$A,0))+INDEX(Cables!$AP:$AP,MATCH(G124,Cables!$A:$A,0))-1),1),1),1),INDEX(Cables!$AP:$AP,MATCH(G124,Cables!$A:$A,0))-1))+1),INDEX(Attenuation!$J:$J,(INDEX(Cables!$AO:$AO,MATCH(G124,Cables!$A:$A,0))-1+MIN(MAX(IFERROR(MATCH(LN(E124),INDEX(Attenuation!$J:$J,INDEX(Cables!$AO:$AO,MATCH(G124,Cables!$A:$A,0))):INDEX(Attenuation!$J:$J,INDEX(Cables!$AO:$AO,MATCH(G124,Cables!$A:$A,0))+INDEX(Cables!$AP:$AP,MATCH(G124,Cables!$A:$A,0))-1),1),1),1),INDEX(Cables!$AP:$AP,MATCH(G124,Cables!$A:$A,0))-1))):INDEX(Attenuation!$J:$J,(INDEX(Cables!$AO:$AO,MATCH(G124,Cables!$A:$A,0))-1+MIN(MAX(IFERROR(MATCH(LN(E124),INDEX(Attenuation!$J:$J,INDEX(Cables!$AO:$AO,MATCH(G124,Cables!$A:$A,0))):INDEX(Attenuation!$J:$J,INDEX(Cables!$AO:$AO,MATCH(G124,Cables!$A:$A,0))+INDEX(Cables!$AP:$AP,MATCH(G124,Cables!$A:$A,0))-1),1),1),1),INDEX(Cables!$AP:$AP,MATCH(G124,Cables!$A:$A,0))-1))+1)))*0.3048)</f>
        <v>0.79248000000000007</v>
      </c>
      <c r="J124" s="44">
        <f t="shared" si="1"/>
        <v>0</v>
      </c>
      <c r="K124" s="40" t="str">
        <f>IF(G124="","Doğrulanmadı",IF(ABS(J124)&lt;=0.1,"Uyumlu (±%10)",IF(ABS(J124)&lt;=0.25,"Fark %10-25","Fark &gt;%25"))&amp;IF(OR(D124&lt;INDEX(Cables!$AQ:$AQ,MATCH(G124,Cables!$A:$A,0)),E124&gt;INDEX(Cables!$AR:$AR,MATCH(G124,Cables!$A:$A,0)))," · ekstrapolasyon",""))</f>
        <v>Uyumlu (±%10) · ekstrapolasyon</v>
      </c>
    </row>
    <row r="125" spans="1:11" x14ac:dyDescent="0.25">
      <c r="A125" s="37" t="s">
        <v>3005</v>
      </c>
      <c r="B125" s="40" t="str">
        <f>INDEX(Legacy_Index!$D:$D,MATCH(A125,Legacy_Index!$A:$A,0))</f>
        <v>HYPERFLEX 5™ Messi and Paoloni</v>
      </c>
      <c r="C125" s="37" t="s">
        <v>3118</v>
      </c>
      <c r="D125" s="37">
        <v>30</v>
      </c>
      <c r="E125" s="37">
        <v>50</v>
      </c>
      <c r="F125" s="37">
        <v>1.5</v>
      </c>
      <c r="G125" s="40" t="str">
        <f>IF(INDEX(Legacy_Index!$G:$G,MATCH(A125,Legacy_Index!$A:$A,0))="","",INDEX(Legacy_Index!$G:$G,MATCH(A125,Legacy_Index!$A:$A,0)))</f>
        <v>MP-HYPERFLEX5</v>
      </c>
      <c r="H125" s="43">
        <f>IF(G125="","",EXP(FORECAST(LN(D125),INDEX(Attenuation!$K:$K,(INDEX(Cables!$AO:$AO,MATCH(G125,Cables!$A:$A,0))-1+MIN(MAX(IFERROR(MATCH(LN(D125),INDEX(Attenuation!$J:$J,INDEX(Cables!$AO:$AO,MATCH(G125,Cables!$A:$A,0))):INDEX(Attenuation!$J:$J,INDEX(Cables!$AO:$AO,MATCH(G125,Cables!$A:$A,0))+INDEX(Cables!$AP:$AP,MATCH(G125,Cables!$A:$A,0))-1),1),1),1),INDEX(Cables!$AP:$AP,MATCH(G125,Cables!$A:$A,0))-1))):INDEX(Attenuation!$K:$K,(INDEX(Cables!$AO:$AO,MATCH(G125,Cables!$A:$A,0))-1+MIN(MAX(IFERROR(MATCH(LN(D125),INDEX(Attenuation!$J:$J,INDEX(Cables!$AO:$AO,MATCH(G125,Cables!$A:$A,0))):INDEX(Attenuation!$J:$J,INDEX(Cables!$AO:$AO,MATCH(G125,Cables!$A:$A,0))+INDEX(Cables!$AP:$AP,MATCH(G125,Cables!$A:$A,0))-1),1),1),1),INDEX(Cables!$AP:$AP,MATCH(G125,Cables!$A:$A,0))-1))+1),INDEX(Attenuation!$J:$J,(INDEX(Cables!$AO:$AO,MATCH(G125,Cables!$A:$A,0))-1+MIN(MAX(IFERROR(MATCH(LN(D125),INDEX(Attenuation!$J:$J,INDEX(Cables!$AO:$AO,MATCH(G125,Cables!$A:$A,0))):INDEX(Attenuation!$J:$J,INDEX(Cables!$AO:$AO,MATCH(G125,Cables!$A:$A,0))+INDEX(Cables!$AP:$AP,MATCH(G125,Cables!$A:$A,0))-1),1),1),1),INDEX(Cables!$AP:$AP,MATCH(G125,Cables!$A:$A,0))-1))):INDEX(Attenuation!$J:$J,(INDEX(Cables!$AO:$AO,MATCH(G125,Cables!$A:$A,0))-1+MIN(MAX(IFERROR(MATCH(LN(D125),INDEX(Attenuation!$J:$J,INDEX(Cables!$AO:$AO,MATCH(G125,Cables!$A:$A,0))):INDEX(Attenuation!$J:$J,INDEX(Cables!$AO:$AO,MATCH(G125,Cables!$A:$A,0))+INDEX(Cables!$AP:$AP,MATCH(G125,Cables!$A:$A,0))-1),1),1),1),INDEX(Cables!$AP:$AP,MATCH(G125,Cables!$A:$A,0))-1))+1)))*0.3048)</f>
        <v>1.2941347047882452</v>
      </c>
      <c r="I125" s="43">
        <f>IF(G125="","",EXP(FORECAST(LN(E125),INDEX(Attenuation!$K:$K,(INDEX(Cables!$AO:$AO,MATCH(G125,Cables!$A:$A,0))-1+MIN(MAX(IFERROR(MATCH(LN(E125),INDEX(Attenuation!$J:$J,INDEX(Cables!$AO:$AO,MATCH(G125,Cables!$A:$A,0))):INDEX(Attenuation!$J:$J,INDEX(Cables!$AO:$AO,MATCH(G125,Cables!$A:$A,0))+INDEX(Cables!$AP:$AP,MATCH(G125,Cables!$A:$A,0))-1),1),1),1),INDEX(Cables!$AP:$AP,MATCH(G125,Cables!$A:$A,0))-1))):INDEX(Attenuation!$K:$K,(INDEX(Cables!$AO:$AO,MATCH(G125,Cables!$A:$A,0))-1+MIN(MAX(IFERROR(MATCH(LN(E125),INDEX(Attenuation!$J:$J,INDEX(Cables!$AO:$AO,MATCH(G125,Cables!$A:$A,0))):INDEX(Attenuation!$J:$J,INDEX(Cables!$AO:$AO,MATCH(G125,Cables!$A:$A,0))+INDEX(Cables!$AP:$AP,MATCH(G125,Cables!$A:$A,0))-1),1),1),1),INDEX(Cables!$AP:$AP,MATCH(G125,Cables!$A:$A,0))-1))+1),INDEX(Attenuation!$J:$J,(INDEX(Cables!$AO:$AO,MATCH(G125,Cables!$A:$A,0))-1+MIN(MAX(IFERROR(MATCH(LN(E125),INDEX(Attenuation!$J:$J,INDEX(Cables!$AO:$AO,MATCH(G125,Cables!$A:$A,0))):INDEX(Attenuation!$J:$J,INDEX(Cables!$AO:$AO,MATCH(G125,Cables!$A:$A,0))+INDEX(Cables!$AP:$AP,MATCH(G125,Cables!$A:$A,0))-1),1),1),1),INDEX(Cables!$AP:$AP,MATCH(G125,Cables!$A:$A,0))-1))):INDEX(Attenuation!$J:$J,(INDEX(Cables!$AO:$AO,MATCH(G125,Cables!$A:$A,0))-1+MIN(MAX(IFERROR(MATCH(LN(E125),INDEX(Attenuation!$J:$J,INDEX(Cables!$AO:$AO,MATCH(G125,Cables!$A:$A,0))):INDEX(Attenuation!$J:$J,INDEX(Cables!$AO:$AO,MATCH(G125,Cables!$A:$A,0))+INDEX(Cables!$AP:$AP,MATCH(G125,Cables!$A:$A,0))-1),1),1),1),INDEX(Cables!$AP:$AP,MATCH(G125,Cables!$A:$A,0))-1))+1)))*0.3048)</f>
        <v>1.6764000000000006</v>
      </c>
      <c r="J125" s="44">
        <f t="shared" si="1"/>
        <v>0</v>
      </c>
      <c r="K125" s="40" t="str">
        <f>IF(G125="","Doğrulanmadı",IF(ABS(J125)&lt;=0.1,"Uyumlu (±%10)",IF(ABS(J125)&lt;=0.25,"Fark %10-25","Fark &gt;%25"))&amp;IF(OR(D125&lt;INDEX(Cables!$AQ:$AQ,MATCH(G125,Cables!$A:$A,0)),E125&gt;INDEX(Cables!$AR:$AR,MATCH(G125,Cables!$A:$A,0)))," · ekstrapolasyon",""))</f>
        <v>Uyumlu (±%10)</v>
      </c>
    </row>
    <row r="126" spans="1:11" x14ac:dyDescent="0.25">
      <c r="A126" s="37" t="s">
        <v>3005</v>
      </c>
      <c r="B126" s="40" t="str">
        <f>INDEX(Legacy_Index!$D:$D,MATCH(A126,Legacy_Index!$A:$A,0))</f>
        <v>HYPERFLEX 5™ Messi and Paoloni</v>
      </c>
      <c r="C126" s="37" t="s">
        <v>3113</v>
      </c>
      <c r="D126" s="37">
        <v>70</v>
      </c>
      <c r="E126" s="37">
        <v>100</v>
      </c>
      <c r="F126" s="37">
        <v>2</v>
      </c>
      <c r="G126" s="40" t="str">
        <f>IF(INDEX(Legacy_Index!$G:$G,MATCH(A126,Legacy_Index!$A:$A,0))="","",INDEX(Legacy_Index!$G:$G,MATCH(A126,Legacy_Index!$A:$A,0)))</f>
        <v>MP-HYPERFLEX5</v>
      </c>
      <c r="H126" s="43">
        <f>IF(G126="","",EXP(FORECAST(LN(D126),INDEX(Attenuation!$K:$K,(INDEX(Cables!$AO:$AO,MATCH(G126,Cables!$A:$A,0))-1+MIN(MAX(IFERROR(MATCH(LN(D126),INDEX(Attenuation!$J:$J,INDEX(Cables!$AO:$AO,MATCH(G126,Cables!$A:$A,0))):INDEX(Attenuation!$J:$J,INDEX(Cables!$AO:$AO,MATCH(G126,Cables!$A:$A,0))+INDEX(Cables!$AP:$AP,MATCH(G126,Cables!$A:$A,0))-1),1),1),1),INDEX(Cables!$AP:$AP,MATCH(G126,Cables!$A:$A,0))-1))):INDEX(Attenuation!$K:$K,(INDEX(Cables!$AO:$AO,MATCH(G126,Cables!$A:$A,0))-1+MIN(MAX(IFERROR(MATCH(LN(D126),INDEX(Attenuation!$J:$J,INDEX(Cables!$AO:$AO,MATCH(G126,Cables!$A:$A,0))):INDEX(Attenuation!$J:$J,INDEX(Cables!$AO:$AO,MATCH(G126,Cables!$A:$A,0))+INDEX(Cables!$AP:$AP,MATCH(G126,Cables!$A:$A,0))-1),1),1),1),INDEX(Cables!$AP:$AP,MATCH(G126,Cables!$A:$A,0))-1))+1),INDEX(Attenuation!$J:$J,(INDEX(Cables!$AO:$AO,MATCH(G126,Cables!$A:$A,0))-1+MIN(MAX(IFERROR(MATCH(LN(D126),INDEX(Attenuation!$J:$J,INDEX(Cables!$AO:$AO,MATCH(G126,Cables!$A:$A,0))):INDEX(Attenuation!$J:$J,INDEX(Cables!$AO:$AO,MATCH(G126,Cables!$A:$A,0))+INDEX(Cables!$AP:$AP,MATCH(G126,Cables!$A:$A,0))-1),1),1),1),INDEX(Cables!$AP:$AP,MATCH(G126,Cables!$A:$A,0))-1))):INDEX(Attenuation!$J:$J,(INDEX(Cables!$AO:$AO,MATCH(G126,Cables!$A:$A,0))-1+MIN(MAX(IFERROR(MATCH(LN(D126),INDEX(Attenuation!$J:$J,INDEX(Cables!$AO:$AO,MATCH(G126,Cables!$A:$A,0))):INDEX(Attenuation!$J:$J,INDEX(Cables!$AO:$AO,MATCH(G126,Cables!$A:$A,0))+INDEX(Cables!$AP:$AP,MATCH(G126,Cables!$A:$A,0))-1),1),1),1),INDEX(Cables!$AP:$AP,MATCH(G126,Cables!$A:$A,0))-1))+1)))*0.3048)</f>
        <v>2.0108044972724652</v>
      </c>
      <c r="I126" s="43">
        <f>IF(G126="","",EXP(FORECAST(LN(E126),INDEX(Attenuation!$K:$K,(INDEX(Cables!$AO:$AO,MATCH(G126,Cables!$A:$A,0))-1+MIN(MAX(IFERROR(MATCH(LN(E126),INDEX(Attenuation!$J:$J,INDEX(Cables!$AO:$AO,MATCH(G126,Cables!$A:$A,0))):INDEX(Attenuation!$J:$J,INDEX(Cables!$AO:$AO,MATCH(G126,Cables!$A:$A,0))+INDEX(Cables!$AP:$AP,MATCH(G126,Cables!$A:$A,0))-1),1),1),1),INDEX(Cables!$AP:$AP,MATCH(G126,Cables!$A:$A,0))-1))):INDEX(Attenuation!$K:$K,(INDEX(Cables!$AO:$AO,MATCH(G126,Cables!$A:$A,0))-1+MIN(MAX(IFERROR(MATCH(LN(E126),INDEX(Attenuation!$J:$J,INDEX(Cables!$AO:$AO,MATCH(G126,Cables!$A:$A,0))):INDEX(Attenuation!$J:$J,INDEX(Cables!$AO:$AO,MATCH(G126,Cables!$A:$A,0))+INDEX(Cables!$AP:$AP,MATCH(G126,Cables!$A:$A,0))-1),1),1),1),INDEX(Cables!$AP:$AP,MATCH(G126,Cables!$A:$A,0))-1))+1),INDEX(Attenuation!$J:$J,(INDEX(Cables!$AO:$AO,MATCH(G126,Cables!$A:$A,0))-1+MIN(MAX(IFERROR(MATCH(LN(E126),INDEX(Attenuation!$J:$J,INDEX(Cables!$AO:$AO,MATCH(G126,Cables!$A:$A,0))):INDEX(Attenuation!$J:$J,INDEX(Cables!$AO:$AO,MATCH(G126,Cables!$A:$A,0))+INDEX(Cables!$AP:$AP,MATCH(G126,Cables!$A:$A,0))-1),1),1),1),INDEX(Cables!$AP:$AP,MATCH(G126,Cables!$A:$A,0))-1))):INDEX(Attenuation!$J:$J,(INDEX(Cables!$AO:$AO,MATCH(G126,Cables!$A:$A,0))-1+MIN(MAX(IFERROR(MATCH(LN(E126),INDEX(Attenuation!$J:$J,INDEX(Cables!$AO:$AO,MATCH(G126,Cables!$A:$A,0))):INDEX(Attenuation!$J:$J,INDEX(Cables!$AO:$AO,MATCH(G126,Cables!$A:$A,0))+INDEX(Cables!$AP:$AP,MATCH(G126,Cables!$A:$A,0))-1),1),1),1),INDEX(Cables!$AP:$AP,MATCH(G126,Cables!$A:$A,0))-1))+1)))*0.3048)</f>
        <v>2.4383999999999997</v>
      </c>
      <c r="J126" s="44">
        <f t="shared" si="1"/>
        <v>-5.3732211595513002E-3</v>
      </c>
      <c r="K126" s="40" t="str">
        <f>IF(G126="","Doğrulanmadı",IF(ABS(J126)&lt;=0.1,"Uyumlu (±%10)",IF(ABS(J126)&lt;=0.25,"Fark %10-25","Fark &gt;%25"))&amp;IF(OR(D126&lt;INDEX(Cables!$AQ:$AQ,MATCH(G126,Cables!$A:$A,0)),E126&gt;INDEX(Cables!$AR:$AR,MATCH(G126,Cables!$A:$A,0)))," · ekstrapolasyon",""))</f>
        <v>Uyumlu (±%10)</v>
      </c>
    </row>
    <row r="127" spans="1:11" x14ac:dyDescent="0.25">
      <c r="A127" s="37" t="s">
        <v>3005</v>
      </c>
      <c r="B127" s="40" t="str">
        <f>INDEX(Legacy_Index!$D:$D,MATCH(A127,Legacy_Index!$A:$A,0))</f>
        <v>HYPERFLEX 5™ Messi and Paoloni</v>
      </c>
      <c r="C127" s="37" t="s">
        <v>3114</v>
      </c>
      <c r="D127" s="37">
        <v>148</v>
      </c>
      <c r="E127" s="37">
        <v>174</v>
      </c>
      <c r="F127" s="37">
        <v>3</v>
      </c>
      <c r="G127" s="40" t="str">
        <f>IF(INDEX(Legacy_Index!$G:$G,MATCH(A127,Legacy_Index!$A:$A,0))="","",INDEX(Legacy_Index!$G:$G,MATCH(A127,Legacy_Index!$A:$A,0)))</f>
        <v>MP-HYPERFLEX5</v>
      </c>
      <c r="H127" s="43">
        <f>IF(G127="","",EXP(FORECAST(LN(D127),INDEX(Attenuation!$K:$K,(INDEX(Cables!$AO:$AO,MATCH(G127,Cables!$A:$A,0))-1+MIN(MAX(IFERROR(MATCH(LN(D127),INDEX(Attenuation!$J:$J,INDEX(Cables!$AO:$AO,MATCH(G127,Cables!$A:$A,0))):INDEX(Attenuation!$J:$J,INDEX(Cables!$AO:$AO,MATCH(G127,Cables!$A:$A,0))+INDEX(Cables!$AP:$AP,MATCH(G127,Cables!$A:$A,0))-1),1),1),1),INDEX(Cables!$AP:$AP,MATCH(G127,Cables!$A:$A,0))-1))):INDEX(Attenuation!$K:$K,(INDEX(Cables!$AO:$AO,MATCH(G127,Cables!$A:$A,0))-1+MIN(MAX(IFERROR(MATCH(LN(D127),INDEX(Attenuation!$J:$J,INDEX(Cables!$AO:$AO,MATCH(G127,Cables!$A:$A,0))):INDEX(Attenuation!$J:$J,INDEX(Cables!$AO:$AO,MATCH(G127,Cables!$A:$A,0))+INDEX(Cables!$AP:$AP,MATCH(G127,Cables!$A:$A,0))-1),1),1),1),INDEX(Cables!$AP:$AP,MATCH(G127,Cables!$A:$A,0))-1))+1),INDEX(Attenuation!$J:$J,(INDEX(Cables!$AO:$AO,MATCH(G127,Cables!$A:$A,0))-1+MIN(MAX(IFERROR(MATCH(LN(D127),INDEX(Attenuation!$J:$J,INDEX(Cables!$AO:$AO,MATCH(G127,Cables!$A:$A,0))):INDEX(Attenuation!$J:$J,INDEX(Cables!$AO:$AO,MATCH(G127,Cables!$A:$A,0))+INDEX(Cables!$AP:$AP,MATCH(G127,Cables!$A:$A,0))-1),1),1),1),INDEX(Cables!$AP:$AP,MATCH(G127,Cables!$A:$A,0))-1))):INDEX(Attenuation!$J:$J,(INDEX(Cables!$AO:$AO,MATCH(G127,Cables!$A:$A,0))-1+MIN(MAX(IFERROR(MATCH(LN(D127),INDEX(Attenuation!$J:$J,INDEX(Cables!$AO:$AO,MATCH(G127,Cables!$A:$A,0))):INDEX(Attenuation!$J:$J,INDEX(Cables!$AO:$AO,MATCH(G127,Cables!$A:$A,0))+INDEX(Cables!$AP:$AP,MATCH(G127,Cables!$A:$A,0))-1),1),1),1),INDEX(Cables!$AP:$AP,MATCH(G127,Cables!$A:$A,0))-1))+1)))*0.3048)</f>
        <v>2.9683221554714119</v>
      </c>
      <c r="I127" s="43">
        <f>IF(G127="","",EXP(FORECAST(LN(E127),INDEX(Attenuation!$K:$K,(INDEX(Cables!$AO:$AO,MATCH(G127,Cables!$A:$A,0))-1+MIN(MAX(IFERROR(MATCH(LN(E127),INDEX(Attenuation!$J:$J,INDEX(Cables!$AO:$AO,MATCH(G127,Cables!$A:$A,0))):INDEX(Attenuation!$J:$J,INDEX(Cables!$AO:$AO,MATCH(G127,Cables!$A:$A,0))+INDEX(Cables!$AP:$AP,MATCH(G127,Cables!$A:$A,0))-1),1),1),1),INDEX(Cables!$AP:$AP,MATCH(G127,Cables!$A:$A,0))-1))):INDEX(Attenuation!$K:$K,(INDEX(Cables!$AO:$AO,MATCH(G127,Cables!$A:$A,0))-1+MIN(MAX(IFERROR(MATCH(LN(E127),INDEX(Attenuation!$J:$J,INDEX(Cables!$AO:$AO,MATCH(G127,Cables!$A:$A,0))):INDEX(Attenuation!$J:$J,INDEX(Cables!$AO:$AO,MATCH(G127,Cables!$A:$A,0))+INDEX(Cables!$AP:$AP,MATCH(G127,Cables!$A:$A,0))-1),1),1),1),INDEX(Cables!$AP:$AP,MATCH(G127,Cables!$A:$A,0))-1))+1),INDEX(Attenuation!$J:$J,(INDEX(Cables!$AO:$AO,MATCH(G127,Cables!$A:$A,0))-1+MIN(MAX(IFERROR(MATCH(LN(E127),INDEX(Attenuation!$J:$J,INDEX(Cables!$AO:$AO,MATCH(G127,Cables!$A:$A,0))):INDEX(Attenuation!$J:$J,INDEX(Cables!$AO:$AO,MATCH(G127,Cables!$A:$A,0))+INDEX(Cables!$AP:$AP,MATCH(G127,Cables!$A:$A,0))-1),1),1),1),INDEX(Cables!$AP:$AP,MATCH(G127,Cables!$A:$A,0))-1))):INDEX(Attenuation!$J:$J,(INDEX(Cables!$AO:$AO,MATCH(G127,Cables!$A:$A,0))-1+MIN(MAX(IFERROR(MATCH(LN(E127),INDEX(Attenuation!$J:$J,INDEX(Cables!$AO:$AO,MATCH(G127,Cables!$A:$A,0))):INDEX(Attenuation!$J:$J,INDEX(Cables!$AO:$AO,MATCH(G127,Cables!$A:$A,0))+INDEX(Cables!$AP:$AP,MATCH(G127,Cables!$A:$A,0))-1),1),1),1),INDEX(Cables!$AP:$AP,MATCH(G127,Cables!$A:$A,0))-1))+1)))*0.3048)</f>
        <v>3.2305802562810944</v>
      </c>
      <c r="J127" s="44">
        <f t="shared" si="1"/>
        <v>0</v>
      </c>
      <c r="K127" s="40" t="str">
        <f>IF(G127="","Doğrulanmadı",IF(ABS(J127)&lt;=0.1,"Uyumlu (±%10)",IF(ABS(J127)&lt;=0.25,"Fark %10-25","Fark &gt;%25"))&amp;IF(OR(D127&lt;INDEX(Cables!$AQ:$AQ,MATCH(G127,Cables!$A:$A,0)),E127&gt;INDEX(Cables!$AR:$AR,MATCH(G127,Cables!$A:$A,0)))," · ekstrapolasyon",""))</f>
        <v>Uyumlu (±%10)</v>
      </c>
    </row>
    <row r="128" spans="1:11" x14ac:dyDescent="0.25">
      <c r="A128" s="37" t="s">
        <v>3005</v>
      </c>
      <c r="B128" s="40" t="str">
        <f>INDEX(Legacy_Index!$D:$D,MATCH(A128,Legacy_Index!$A:$A,0))</f>
        <v>HYPERFLEX 5™ Messi and Paoloni</v>
      </c>
      <c r="C128" s="37" t="s">
        <v>3119</v>
      </c>
      <c r="D128" s="37">
        <v>220</v>
      </c>
      <c r="E128" s="37">
        <v>220</v>
      </c>
      <c r="F128" s="37">
        <v>3.5</v>
      </c>
      <c r="G128" s="40" t="str">
        <f>IF(INDEX(Legacy_Index!$G:$G,MATCH(A128,Legacy_Index!$A:$A,0))="","",INDEX(Legacy_Index!$G:$G,MATCH(A128,Legacy_Index!$A:$A,0)))</f>
        <v>MP-HYPERFLEX5</v>
      </c>
      <c r="H128" s="43">
        <f>IF(G128="","",EXP(FORECAST(LN(D128),INDEX(Attenuation!$K:$K,(INDEX(Cables!$AO:$AO,MATCH(G128,Cables!$A:$A,0))-1+MIN(MAX(IFERROR(MATCH(LN(D128),INDEX(Attenuation!$J:$J,INDEX(Cables!$AO:$AO,MATCH(G128,Cables!$A:$A,0))):INDEX(Attenuation!$J:$J,INDEX(Cables!$AO:$AO,MATCH(G128,Cables!$A:$A,0))+INDEX(Cables!$AP:$AP,MATCH(G128,Cables!$A:$A,0))-1),1),1),1),INDEX(Cables!$AP:$AP,MATCH(G128,Cables!$A:$A,0))-1))):INDEX(Attenuation!$K:$K,(INDEX(Cables!$AO:$AO,MATCH(G128,Cables!$A:$A,0))-1+MIN(MAX(IFERROR(MATCH(LN(D128),INDEX(Attenuation!$J:$J,INDEX(Cables!$AO:$AO,MATCH(G128,Cables!$A:$A,0))):INDEX(Attenuation!$J:$J,INDEX(Cables!$AO:$AO,MATCH(G128,Cables!$A:$A,0))+INDEX(Cables!$AP:$AP,MATCH(G128,Cables!$A:$A,0))-1),1),1),1),INDEX(Cables!$AP:$AP,MATCH(G128,Cables!$A:$A,0))-1))+1),INDEX(Attenuation!$J:$J,(INDEX(Cables!$AO:$AO,MATCH(G128,Cables!$A:$A,0))-1+MIN(MAX(IFERROR(MATCH(LN(D128),INDEX(Attenuation!$J:$J,INDEX(Cables!$AO:$AO,MATCH(G128,Cables!$A:$A,0))):INDEX(Attenuation!$J:$J,INDEX(Cables!$AO:$AO,MATCH(G128,Cables!$A:$A,0))+INDEX(Cables!$AP:$AP,MATCH(G128,Cables!$A:$A,0))-1),1),1),1),INDEX(Cables!$AP:$AP,MATCH(G128,Cables!$A:$A,0))-1))):INDEX(Attenuation!$J:$J,(INDEX(Cables!$AO:$AO,MATCH(G128,Cables!$A:$A,0))-1+MIN(MAX(IFERROR(MATCH(LN(D128),INDEX(Attenuation!$J:$J,INDEX(Cables!$AO:$AO,MATCH(G128,Cables!$A:$A,0))):INDEX(Attenuation!$J:$J,INDEX(Cables!$AO:$AO,MATCH(G128,Cables!$A:$A,0))+INDEX(Cables!$AP:$AP,MATCH(G128,Cables!$A:$A,0))-1),1),1),1),INDEX(Cables!$AP:$AP,MATCH(G128,Cables!$A:$A,0))-1))+1)))*0.3048)</f>
        <v>3.6498224629014708</v>
      </c>
      <c r="I128" s="43">
        <f>IF(G128="","",EXP(FORECAST(LN(E128),INDEX(Attenuation!$K:$K,(INDEX(Cables!$AO:$AO,MATCH(G128,Cables!$A:$A,0))-1+MIN(MAX(IFERROR(MATCH(LN(E128),INDEX(Attenuation!$J:$J,INDEX(Cables!$AO:$AO,MATCH(G128,Cables!$A:$A,0))):INDEX(Attenuation!$J:$J,INDEX(Cables!$AO:$AO,MATCH(G128,Cables!$A:$A,0))+INDEX(Cables!$AP:$AP,MATCH(G128,Cables!$A:$A,0))-1),1),1),1),INDEX(Cables!$AP:$AP,MATCH(G128,Cables!$A:$A,0))-1))):INDEX(Attenuation!$K:$K,(INDEX(Cables!$AO:$AO,MATCH(G128,Cables!$A:$A,0))-1+MIN(MAX(IFERROR(MATCH(LN(E128),INDEX(Attenuation!$J:$J,INDEX(Cables!$AO:$AO,MATCH(G128,Cables!$A:$A,0))):INDEX(Attenuation!$J:$J,INDEX(Cables!$AO:$AO,MATCH(G128,Cables!$A:$A,0))+INDEX(Cables!$AP:$AP,MATCH(G128,Cables!$A:$A,0))-1),1),1),1),INDEX(Cables!$AP:$AP,MATCH(G128,Cables!$A:$A,0))-1))+1),INDEX(Attenuation!$J:$J,(INDEX(Cables!$AO:$AO,MATCH(G128,Cables!$A:$A,0))-1+MIN(MAX(IFERROR(MATCH(LN(E128),INDEX(Attenuation!$J:$J,INDEX(Cables!$AO:$AO,MATCH(G128,Cables!$A:$A,0))):INDEX(Attenuation!$J:$J,INDEX(Cables!$AO:$AO,MATCH(G128,Cables!$A:$A,0))+INDEX(Cables!$AP:$AP,MATCH(G128,Cables!$A:$A,0))-1),1),1),1),INDEX(Cables!$AP:$AP,MATCH(G128,Cables!$A:$A,0))-1))):INDEX(Attenuation!$J:$J,(INDEX(Cables!$AO:$AO,MATCH(G128,Cables!$A:$A,0))-1+MIN(MAX(IFERROR(MATCH(LN(E128),INDEX(Attenuation!$J:$J,INDEX(Cables!$AO:$AO,MATCH(G128,Cables!$A:$A,0))):INDEX(Attenuation!$J:$J,INDEX(Cables!$AO:$AO,MATCH(G128,Cables!$A:$A,0))+INDEX(Cables!$AP:$AP,MATCH(G128,Cables!$A:$A,0))-1),1),1),1),INDEX(Cables!$AP:$AP,MATCH(G128,Cables!$A:$A,0))-1))+1)))*0.3048)</f>
        <v>3.6498224629014708</v>
      </c>
      <c r="J128" s="44">
        <f t="shared" si="1"/>
        <v>-4.1049246757708713E-2</v>
      </c>
      <c r="K128" s="40" t="str">
        <f>IF(G128="","Doğrulanmadı",IF(ABS(J128)&lt;=0.1,"Uyumlu (±%10)",IF(ABS(J128)&lt;=0.25,"Fark %10-25","Fark &gt;%25"))&amp;IF(OR(D128&lt;INDEX(Cables!$AQ:$AQ,MATCH(G128,Cables!$A:$A,0)),E128&gt;INDEX(Cables!$AR:$AR,MATCH(G128,Cables!$A:$A,0)))," · ekstrapolasyon",""))</f>
        <v>Uyumlu (±%10)</v>
      </c>
    </row>
    <row r="129" spans="1:11" x14ac:dyDescent="0.25">
      <c r="A129" s="37" t="s">
        <v>3005</v>
      </c>
      <c r="B129" s="40" t="str">
        <f>INDEX(Legacy_Index!$D:$D,MATCH(A129,Legacy_Index!$A:$A,0))</f>
        <v>HYPERFLEX 5™ Messi and Paoloni</v>
      </c>
      <c r="C129" s="37" t="s">
        <v>3115</v>
      </c>
      <c r="D129" s="37">
        <v>400</v>
      </c>
      <c r="E129" s="37">
        <v>520</v>
      </c>
      <c r="F129" s="37">
        <v>5</v>
      </c>
      <c r="G129" s="40" t="str">
        <f>IF(INDEX(Legacy_Index!$G:$G,MATCH(A129,Legacy_Index!$A:$A,0))="","",INDEX(Legacy_Index!$G:$G,MATCH(A129,Legacy_Index!$A:$A,0)))</f>
        <v>MP-HYPERFLEX5</v>
      </c>
      <c r="H129" s="43">
        <f>IF(G129="","",EXP(FORECAST(LN(D129),INDEX(Attenuation!$K:$K,(INDEX(Cables!$AO:$AO,MATCH(G129,Cables!$A:$A,0))-1+MIN(MAX(IFERROR(MATCH(LN(D129),INDEX(Attenuation!$J:$J,INDEX(Cables!$AO:$AO,MATCH(G129,Cables!$A:$A,0))):INDEX(Attenuation!$J:$J,INDEX(Cables!$AO:$AO,MATCH(G129,Cables!$A:$A,0))+INDEX(Cables!$AP:$AP,MATCH(G129,Cables!$A:$A,0))-1),1),1),1),INDEX(Cables!$AP:$AP,MATCH(G129,Cables!$A:$A,0))-1))):INDEX(Attenuation!$K:$K,(INDEX(Cables!$AO:$AO,MATCH(G129,Cables!$A:$A,0))-1+MIN(MAX(IFERROR(MATCH(LN(D129),INDEX(Attenuation!$J:$J,INDEX(Cables!$AO:$AO,MATCH(G129,Cables!$A:$A,0))):INDEX(Attenuation!$J:$J,INDEX(Cables!$AO:$AO,MATCH(G129,Cables!$A:$A,0))+INDEX(Cables!$AP:$AP,MATCH(G129,Cables!$A:$A,0))-1),1),1),1),INDEX(Cables!$AP:$AP,MATCH(G129,Cables!$A:$A,0))-1))+1),INDEX(Attenuation!$J:$J,(INDEX(Cables!$AO:$AO,MATCH(G129,Cables!$A:$A,0))-1+MIN(MAX(IFERROR(MATCH(LN(D129),INDEX(Attenuation!$J:$J,INDEX(Cables!$AO:$AO,MATCH(G129,Cables!$A:$A,0))):INDEX(Attenuation!$J:$J,INDEX(Cables!$AO:$AO,MATCH(G129,Cables!$A:$A,0))+INDEX(Cables!$AP:$AP,MATCH(G129,Cables!$A:$A,0))-1),1),1),1),INDEX(Cables!$AP:$AP,MATCH(G129,Cables!$A:$A,0))-1))):INDEX(Attenuation!$J:$J,(INDEX(Cables!$AO:$AO,MATCH(G129,Cables!$A:$A,0))-1+MIN(MAX(IFERROR(MATCH(LN(D129),INDEX(Attenuation!$J:$J,INDEX(Cables!$AO:$AO,MATCH(G129,Cables!$A:$A,0))):INDEX(Attenuation!$J:$J,INDEX(Cables!$AO:$AO,MATCH(G129,Cables!$A:$A,0))+INDEX(Cables!$AP:$AP,MATCH(G129,Cables!$A:$A,0))-1),1),1),1),INDEX(Cables!$AP:$AP,MATCH(G129,Cables!$A:$A,0))-1))+1)))*0.3048)</f>
        <v>4.9682400000000033</v>
      </c>
      <c r="I129" s="43">
        <f>IF(G129="","",EXP(FORECAST(LN(E129),INDEX(Attenuation!$K:$K,(INDEX(Cables!$AO:$AO,MATCH(G129,Cables!$A:$A,0))-1+MIN(MAX(IFERROR(MATCH(LN(E129),INDEX(Attenuation!$J:$J,INDEX(Cables!$AO:$AO,MATCH(G129,Cables!$A:$A,0))):INDEX(Attenuation!$J:$J,INDEX(Cables!$AO:$AO,MATCH(G129,Cables!$A:$A,0))+INDEX(Cables!$AP:$AP,MATCH(G129,Cables!$A:$A,0))-1),1),1),1),INDEX(Cables!$AP:$AP,MATCH(G129,Cables!$A:$A,0))-1))):INDEX(Attenuation!$K:$K,(INDEX(Cables!$AO:$AO,MATCH(G129,Cables!$A:$A,0))-1+MIN(MAX(IFERROR(MATCH(LN(E129),INDEX(Attenuation!$J:$J,INDEX(Cables!$AO:$AO,MATCH(G129,Cables!$A:$A,0))):INDEX(Attenuation!$J:$J,INDEX(Cables!$AO:$AO,MATCH(G129,Cables!$A:$A,0))+INDEX(Cables!$AP:$AP,MATCH(G129,Cables!$A:$A,0))-1),1),1),1),INDEX(Cables!$AP:$AP,MATCH(G129,Cables!$A:$A,0))-1))+1),INDEX(Attenuation!$J:$J,(INDEX(Cables!$AO:$AO,MATCH(G129,Cables!$A:$A,0))-1+MIN(MAX(IFERROR(MATCH(LN(E129),INDEX(Attenuation!$J:$J,INDEX(Cables!$AO:$AO,MATCH(G129,Cables!$A:$A,0))):INDEX(Attenuation!$J:$J,INDEX(Cables!$AO:$AO,MATCH(G129,Cables!$A:$A,0))+INDEX(Cables!$AP:$AP,MATCH(G129,Cables!$A:$A,0))-1),1),1),1),INDEX(Cables!$AP:$AP,MATCH(G129,Cables!$A:$A,0))-1))):INDEX(Attenuation!$J:$J,(INDEX(Cables!$AO:$AO,MATCH(G129,Cables!$A:$A,0))-1+MIN(MAX(IFERROR(MATCH(LN(E129),INDEX(Attenuation!$J:$J,INDEX(Cables!$AO:$AO,MATCH(G129,Cables!$A:$A,0))):INDEX(Attenuation!$J:$J,INDEX(Cables!$AO:$AO,MATCH(G129,Cables!$A:$A,0))+INDEX(Cables!$AP:$AP,MATCH(G129,Cables!$A:$A,0))-1),1),1),1),INDEX(Cables!$AP:$AP,MATCH(G129,Cables!$A:$A,0))-1))+1)))*0.3048)</f>
        <v>5.7140280323229051</v>
      </c>
      <c r="J129" s="44">
        <f t="shared" si="1"/>
        <v>0</v>
      </c>
      <c r="K129" s="40" t="str">
        <f>IF(G129="","Doğrulanmadı",IF(ABS(J129)&lt;=0.1,"Uyumlu (±%10)",IF(ABS(J129)&lt;=0.25,"Fark %10-25","Fark &gt;%25"))&amp;IF(OR(D129&lt;INDEX(Cables!$AQ:$AQ,MATCH(G129,Cables!$A:$A,0)),E129&gt;INDEX(Cables!$AR:$AR,MATCH(G129,Cables!$A:$A,0)))," · ekstrapolasyon",""))</f>
        <v>Uyumlu (±%10)</v>
      </c>
    </row>
    <row r="130" spans="1:11" x14ac:dyDescent="0.25">
      <c r="A130" s="37" t="s">
        <v>3005</v>
      </c>
      <c r="B130" s="40" t="str">
        <f>INDEX(Legacy_Index!$D:$D,MATCH(A130,Legacy_Index!$A:$A,0))</f>
        <v>HYPERFLEX 5™ Messi and Paoloni</v>
      </c>
      <c r="C130" s="37" t="s">
        <v>3116</v>
      </c>
      <c r="D130" s="37">
        <v>700</v>
      </c>
      <c r="E130" s="37">
        <v>960</v>
      </c>
      <c r="F130" s="37">
        <v>7.4</v>
      </c>
      <c r="G130" s="40" t="str">
        <f>IF(INDEX(Legacy_Index!$G:$G,MATCH(A130,Legacy_Index!$A:$A,0))="","",INDEX(Legacy_Index!$G:$G,MATCH(A130,Legacy_Index!$A:$A,0)))</f>
        <v>MP-HYPERFLEX5</v>
      </c>
      <c r="H130" s="43">
        <f>IF(G130="","",EXP(FORECAST(LN(D130),INDEX(Attenuation!$K:$K,(INDEX(Cables!$AO:$AO,MATCH(G130,Cables!$A:$A,0))-1+MIN(MAX(IFERROR(MATCH(LN(D130),INDEX(Attenuation!$J:$J,INDEX(Cables!$AO:$AO,MATCH(G130,Cables!$A:$A,0))):INDEX(Attenuation!$J:$J,INDEX(Cables!$AO:$AO,MATCH(G130,Cables!$A:$A,0))+INDEX(Cables!$AP:$AP,MATCH(G130,Cables!$A:$A,0))-1),1),1),1),INDEX(Cables!$AP:$AP,MATCH(G130,Cables!$A:$A,0))-1))):INDEX(Attenuation!$K:$K,(INDEX(Cables!$AO:$AO,MATCH(G130,Cables!$A:$A,0))-1+MIN(MAX(IFERROR(MATCH(LN(D130),INDEX(Attenuation!$J:$J,INDEX(Cables!$AO:$AO,MATCH(G130,Cables!$A:$A,0))):INDEX(Attenuation!$J:$J,INDEX(Cables!$AO:$AO,MATCH(G130,Cables!$A:$A,0))+INDEX(Cables!$AP:$AP,MATCH(G130,Cables!$A:$A,0))-1),1),1),1),INDEX(Cables!$AP:$AP,MATCH(G130,Cables!$A:$A,0))-1))+1),INDEX(Attenuation!$J:$J,(INDEX(Cables!$AO:$AO,MATCH(G130,Cables!$A:$A,0))-1+MIN(MAX(IFERROR(MATCH(LN(D130),INDEX(Attenuation!$J:$J,INDEX(Cables!$AO:$AO,MATCH(G130,Cables!$A:$A,0))):INDEX(Attenuation!$J:$J,INDEX(Cables!$AO:$AO,MATCH(G130,Cables!$A:$A,0))+INDEX(Cables!$AP:$AP,MATCH(G130,Cables!$A:$A,0))-1),1),1),1),INDEX(Cables!$AP:$AP,MATCH(G130,Cables!$A:$A,0))-1))):INDEX(Attenuation!$J:$J,(INDEX(Cables!$AO:$AO,MATCH(G130,Cables!$A:$A,0))-1+MIN(MAX(IFERROR(MATCH(LN(D130),INDEX(Attenuation!$J:$J,INDEX(Cables!$AO:$AO,MATCH(G130,Cables!$A:$A,0))):INDEX(Attenuation!$J:$J,INDEX(Cables!$AO:$AO,MATCH(G130,Cables!$A:$A,0))+INDEX(Cables!$AP:$AP,MATCH(G130,Cables!$A:$A,0))-1),1),1),1),INDEX(Cables!$AP:$AP,MATCH(G130,Cables!$A:$A,0))-1))+1)))*0.3048)</f>
        <v>6.6586153532831869</v>
      </c>
      <c r="I130" s="43">
        <f>IF(G130="","",EXP(FORECAST(LN(E130),INDEX(Attenuation!$K:$K,(INDEX(Cables!$AO:$AO,MATCH(G130,Cables!$A:$A,0))-1+MIN(MAX(IFERROR(MATCH(LN(E130),INDEX(Attenuation!$J:$J,INDEX(Cables!$AO:$AO,MATCH(G130,Cables!$A:$A,0))):INDEX(Attenuation!$J:$J,INDEX(Cables!$AO:$AO,MATCH(G130,Cables!$A:$A,0))+INDEX(Cables!$AP:$AP,MATCH(G130,Cables!$A:$A,0))-1),1),1),1),INDEX(Cables!$AP:$AP,MATCH(G130,Cables!$A:$A,0))-1))):INDEX(Attenuation!$K:$K,(INDEX(Cables!$AO:$AO,MATCH(G130,Cables!$A:$A,0))-1+MIN(MAX(IFERROR(MATCH(LN(E130),INDEX(Attenuation!$J:$J,INDEX(Cables!$AO:$AO,MATCH(G130,Cables!$A:$A,0))):INDEX(Attenuation!$J:$J,INDEX(Cables!$AO:$AO,MATCH(G130,Cables!$A:$A,0))+INDEX(Cables!$AP:$AP,MATCH(G130,Cables!$A:$A,0))-1),1),1),1),INDEX(Cables!$AP:$AP,MATCH(G130,Cables!$A:$A,0))-1))+1),INDEX(Attenuation!$J:$J,(INDEX(Cables!$AO:$AO,MATCH(G130,Cables!$A:$A,0))-1+MIN(MAX(IFERROR(MATCH(LN(E130),INDEX(Attenuation!$J:$J,INDEX(Cables!$AO:$AO,MATCH(G130,Cables!$A:$A,0))):INDEX(Attenuation!$J:$J,INDEX(Cables!$AO:$AO,MATCH(G130,Cables!$A:$A,0))+INDEX(Cables!$AP:$AP,MATCH(G130,Cables!$A:$A,0))-1),1),1),1),INDEX(Cables!$AP:$AP,MATCH(G130,Cables!$A:$A,0))-1))):INDEX(Attenuation!$J:$J,(INDEX(Cables!$AO:$AO,MATCH(G130,Cables!$A:$A,0))-1+MIN(MAX(IFERROR(MATCH(LN(E130),INDEX(Attenuation!$J:$J,INDEX(Cables!$AO:$AO,MATCH(G130,Cables!$A:$A,0))):INDEX(Attenuation!$J:$J,INDEX(Cables!$AO:$AO,MATCH(G130,Cables!$A:$A,0))+INDEX(Cables!$AP:$AP,MATCH(G130,Cables!$A:$A,0))-1),1),1),1),INDEX(Cables!$AP:$AP,MATCH(G130,Cables!$A:$A,0))-1))+1)))*0.3048)</f>
        <v>7.8710920166122786</v>
      </c>
      <c r="J130" s="44">
        <f t="shared" ref="J130:J193" si="2">IF(G130="","",IF(F130&lt;H130,F130/H130-1,IF(F130&gt;I130,F130/I130-1,0)))</f>
        <v>0</v>
      </c>
      <c r="K130" s="40" t="str">
        <f>IF(G130="","Doğrulanmadı",IF(ABS(J130)&lt;=0.1,"Uyumlu (±%10)",IF(ABS(J130)&lt;=0.25,"Fark %10-25","Fark &gt;%25"))&amp;IF(OR(D130&lt;INDEX(Cables!$AQ:$AQ,MATCH(G130,Cables!$A:$A,0)),E130&gt;INDEX(Cables!$AR:$AR,MATCH(G130,Cables!$A:$A,0)))," · ekstrapolasyon",""))</f>
        <v>Uyumlu (±%10)</v>
      </c>
    </row>
    <row r="131" spans="1:11" x14ac:dyDescent="0.25">
      <c r="A131" s="37" t="s">
        <v>3005</v>
      </c>
      <c r="B131" s="40" t="str">
        <f>INDEX(Legacy_Index!$D:$D,MATCH(A131,Legacy_Index!$A:$A,0))</f>
        <v>HYPERFLEX 5™ Messi and Paoloni</v>
      </c>
      <c r="C131" s="37" t="s">
        <v>3120</v>
      </c>
      <c r="D131" s="37">
        <v>1200</v>
      </c>
      <c r="E131" s="37">
        <v>1300</v>
      </c>
      <c r="F131" s="37">
        <v>9.3000000000000007</v>
      </c>
      <c r="G131" s="40" t="str">
        <f>IF(INDEX(Legacy_Index!$G:$G,MATCH(A131,Legacy_Index!$A:$A,0))="","",INDEX(Legacy_Index!$G:$G,MATCH(A131,Legacy_Index!$A:$A,0)))</f>
        <v>MP-HYPERFLEX5</v>
      </c>
      <c r="H131" s="43">
        <f>IF(G131="","",EXP(FORECAST(LN(D131),INDEX(Attenuation!$K:$K,(INDEX(Cables!$AO:$AO,MATCH(G131,Cables!$A:$A,0))-1+MIN(MAX(IFERROR(MATCH(LN(D131),INDEX(Attenuation!$J:$J,INDEX(Cables!$AO:$AO,MATCH(G131,Cables!$A:$A,0))):INDEX(Attenuation!$J:$J,INDEX(Cables!$AO:$AO,MATCH(G131,Cables!$A:$A,0))+INDEX(Cables!$AP:$AP,MATCH(G131,Cables!$A:$A,0))-1),1),1),1),INDEX(Cables!$AP:$AP,MATCH(G131,Cables!$A:$A,0))-1))):INDEX(Attenuation!$K:$K,(INDEX(Cables!$AO:$AO,MATCH(G131,Cables!$A:$A,0))-1+MIN(MAX(IFERROR(MATCH(LN(D131),INDEX(Attenuation!$J:$J,INDEX(Cables!$AO:$AO,MATCH(G131,Cables!$A:$A,0))):INDEX(Attenuation!$J:$J,INDEX(Cables!$AO:$AO,MATCH(G131,Cables!$A:$A,0))+INDEX(Cables!$AP:$AP,MATCH(G131,Cables!$A:$A,0))-1),1),1),1),INDEX(Cables!$AP:$AP,MATCH(G131,Cables!$A:$A,0))-1))+1),INDEX(Attenuation!$J:$J,(INDEX(Cables!$AO:$AO,MATCH(G131,Cables!$A:$A,0))-1+MIN(MAX(IFERROR(MATCH(LN(D131),INDEX(Attenuation!$J:$J,INDEX(Cables!$AO:$AO,MATCH(G131,Cables!$A:$A,0))):INDEX(Attenuation!$J:$J,INDEX(Cables!$AO:$AO,MATCH(G131,Cables!$A:$A,0))+INDEX(Cables!$AP:$AP,MATCH(G131,Cables!$A:$A,0))-1),1),1),1),INDEX(Cables!$AP:$AP,MATCH(G131,Cables!$A:$A,0))-1))):INDEX(Attenuation!$J:$J,(INDEX(Cables!$AO:$AO,MATCH(G131,Cables!$A:$A,0))-1+MIN(MAX(IFERROR(MATCH(LN(D131),INDEX(Attenuation!$J:$J,INDEX(Cables!$AO:$AO,MATCH(G131,Cables!$A:$A,0))):INDEX(Attenuation!$J:$J,INDEX(Cables!$AO:$AO,MATCH(G131,Cables!$A:$A,0))+INDEX(Cables!$AP:$AP,MATCH(G131,Cables!$A:$A,0))-1),1),1),1),INDEX(Cables!$AP:$AP,MATCH(G131,Cables!$A:$A,0))-1))+1)))*0.3048)</f>
        <v>8.9064618618897935</v>
      </c>
      <c r="I131" s="43">
        <f>IF(G131="","",EXP(FORECAST(LN(E131),INDEX(Attenuation!$K:$K,(INDEX(Cables!$AO:$AO,MATCH(G131,Cables!$A:$A,0))-1+MIN(MAX(IFERROR(MATCH(LN(E131),INDEX(Attenuation!$J:$J,INDEX(Cables!$AO:$AO,MATCH(G131,Cables!$A:$A,0))):INDEX(Attenuation!$J:$J,INDEX(Cables!$AO:$AO,MATCH(G131,Cables!$A:$A,0))+INDEX(Cables!$AP:$AP,MATCH(G131,Cables!$A:$A,0))-1),1),1),1),INDEX(Cables!$AP:$AP,MATCH(G131,Cables!$A:$A,0))-1))):INDEX(Attenuation!$K:$K,(INDEX(Cables!$AO:$AO,MATCH(G131,Cables!$A:$A,0))-1+MIN(MAX(IFERROR(MATCH(LN(E131),INDEX(Attenuation!$J:$J,INDEX(Cables!$AO:$AO,MATCH(G131,Cables!$A:$A,0))):INDEX(Attenuation!$J:$J,INDEX(Cables!$AO:$AO,MATCH(G131,Cables!$A:$A,0))+INDEX(Cables!$AP:$AP,MATCH(G131,Cables!$A:$A,0))-1),1),1),1),INDEX(Cables!$AP:$AP,MATCH(G131,Cables!$A:$A,0))-1))+1),INDEX(Attenuation!$J:$J,(INDEX(Cables!$AO:$AO,MATCH(G131,Cables!$A:$A,0))-1+MIN(MAX(IFERROR(MATCH(LN(E131),INDEX(Attenuation!$J:$J,INDEX(Cables!$AO:$AO,MATCH(G131,Cables!$A:$A,0))):INDEX(Attenuation!$J:$J,INDEX(Cables!$AO:$AO,MATCH(G131,Cables!$A:$A,0))+INDEX(Cables!$AP:$AP,MATCH(G131,Cables!$A:$A,0))-1),1),1),1),INDEX(Cables!$AP:$AP,MATCH(G131,Cables!$A:$A,0))-1))):INDEX(Attenuation!$J:$J,(INDEX(Cables!$AO:$AO,MATCH(G131,Cables!$A:$A,0))-1+MIN(MAX(IFERROR(MATCH(LN(E131),INDEX(Attenuation!$J:$J,INDEX(Cables!$AO:$AO,MATCH(G131,Cables!$A:$A,0))):INDEX(Attenuation!$J:$J,INDEX(Cables!$AO:$AO,MATCH(G131,Cables!$A:$A,0))+INDEX(Cables!$AP:$AP,MATCH(G131,Cables!$A:$A,0))-1),1),1),1),INDEX(Cables!$AP:$AP,MATCH(G131,Cables!$A:$A,0))-1))+1)))*0.3048)</f>
        <v>9.3118381646181803</v>
      </c>
      <c r="J131" s="44">
        <f t="shared" si="2"/>
        <v>0</v>
      </c>
      <c r="K131" s="40" t="str">
        <f>IF(G131="","Doğrulanmadı",IF(ABS(J131)&lt;=0.1,"Uyumlu (±%10)",IF(ABS(J131)&lt;=0.25,"Fark %10-25","Fark &gt;%25"))&amp;IF(OR(D131&lt;INDEX(Cables!$AQ:$AQ,MATCH(G131,Cables!$A:$A,0)),E131&gt;INDEX(Cables!$AR:$AR,MATCH(G131,Cables!$A:$A,0)))," · ekstrapolasyon",""))</f>
        <v>Uyumlu (±%10)</v>
      </c>
    </row>
    <row r="132" spans="1:11" x14ac:dyDescent="0.25">
      <c r="A132" s="37" t="s">
        <v>3005</v>
      </c>
      <c r="B132" s="40" t="str">
        <f>INDEX(Legacy_Index!$D:$D,MATCH(A132,Legacy_Index!$A:$A,0))</f>
        <v>HYPERFLEX 5™ Messi and Paoloni</v>
      </c>
      <c r="C132" s="37" t="s">
        <v>3121</v>
      </c>
      <c r="D132" s="37">
        <v>2400</v>
      </c>
      <c r="E132" s="37">
        <v>2500</v>
      </c>
      <c r="F132" s="37">
        <v>12.9</v>
      </c>
      <c r="G132" s="40" t="str">
        <f>IF(INDEX(Legacy_Index!$G:$G,MATCH(A132,Legacy_Index!$A:$A,0))="","",INDEX(Legacy_Index!$G:$G,MATCH(A132,Legacy_Index!$A:$A,0)))</f>
        <v>MP-HYPERFLEX5</v>
      </c>
      <c r="H132" s="43">
        <f>IF(G132="","",EXP(FORECAST(LN(D132),INDEX(Attenuation!$K:$K,(INDEX(Cables!$AO:$AO,MATCH(G132,Cables!$A:$A,0))-1+MIN(MAX(IFERROR(MATCH(LN(D132),INDEX(Attenuation!$J:$J,INDEX(Cables!$AO:$AO,MATCH(G132,Cables!$A:$A,0))):INDEX(Attenuation!$J:$J,INDEX(Cables!$AO:$AO,MATCH(G132,Cables!$A:$A,0))+INDEX(Cables!$AP:$AP,MATCH(G132,Cables!$A:$A,0))-1),1),1),1),INDEX(Cables!$AP:$AP,MATCH(G132,Cables!$A:$A,0))-1))):INDEX(Attenuation!$K:$K,(INDEX(Cables!$AO:$AO,MATCH(G132,Cables!$A:$A,0))-1+MIN(MAX(IFERROR(MATCH(LN(D132),INDEX(Attenuation!$J:$J,INDEX(Cables!$AO:$AO,MATCH(G132,Cables!$A:$A,0))):INDEX(Attenuation!$J:$J,INDEX(Cables!$AO:$AO,MATCH(G132,Cables!$A:$A,0))+INDEX(Cables!$AP:$AP,MATCH(G132,Cables!$A:$A,0))-1),1),1),1),INDEX(Cables!$AP:$AP,MATCH(G132,Cables!$A:$A,0))-1))+1),INDEX(Attenuation!$J:$J,(INDEX(Cables!$AO:$AO,MATCH(G132,Cables!$A:$A,0))-1+MIN(MAX(IFERROR(MATCH(LN(D132),INDEX(Attenuation!$J:$J,INDEX(Cables!$AO:$AO,MATCH(G132,Cables!$A:$A,0))):INDEX(Attenuation!$J:$J,INDEX(Cables!$AO:$AO,MATCH(G132,Cables!$A:$A,0))+INDEX(Cables!$AP:$AP,MATCH(G132,Cables!$A:$A,0))-1),1),1),1),INDEX(Cables!$AP:$AP,MATCH(G132,Cables!$A:$A,0))-1))):INDEX(Attenuation!$J:$J,(INDEX(Cables!$AO:$AO,MATCH(G132,Cables!$A:$A,0))-1+MIN(MAX(IFERROR(MATCH(LN(D132),INDEX(Attenuation!$J:$J,INDEX(Cables!$AO:$AO,MATCH(G132,Cables!$A:$A,0))):INDEX(Attenuation!$J:$J,INDEX(Cables!$AO:$AO,MATCH(G132,Cables!$A:$A,0))+INDEX(Cables!$AP:$AP,MATCH(G132,Cables!$A:$A,0))-1),1),1),1),INDEX(Cables!$AP:$AP,MATCH(G132,Cables!$A:$A,0))-1))+1)))*0.3048)</f>
        <v>12.954000000000002</v>
      </c>
      <c r="I132" s="43">
        <f>IF(G132="","",EXP(FORECAST(LN(E132),INDEX(Attenuation!$K:$K,(INDEX(Cables!$AO:$AO,MATCH(G132,Cables!$A:$A,0))-1+MIN(MAX(IFERROR(MATCH(LN(E132),INDEX(Attenuation!$J:$J,INDEX(Cables!$AO:$AO,MATCH(G132,Cables!$A:$A,0))):INDEX(Attenuation!$J:$J,INDEX(Cables!$AO:$AO,MATCH(G132,Cables!$A:$A,0))+INDEX(Cables!$AP:$AP,MATCH(G132,Cables!$A:$A,0))-1),1),1),1),INDEX(Cables!$AP:$AP,MATCH(G132,Cables!$A:$A,0))-1))):INDEX(Attenuation!$K:$K,(INDEX(Cables!$AO:$AO,MATCH(G132,Cables!$A:$A,0))-1+MIN(MAX(IFERROR(MATCH(LN(E132),INDEX(Attenuation!$J:$J,INDEX(Cables!$AO:$AO,MATCH(G132,Cables!$A:$A,0))):INDEX(Attenuation!$J:$J,INDEX(Cables!$AO:$AO,MATCH(G132,Cables!$A:$A,0))+INDEX(Cables!$AP:$AP,MATCH(G132,Cables!$A:$A,0))-1),1),1),1),INDEX(Cables!$AP:$AP,MATCH(G132,Cables!$A:$A,0))-1))+1),INDEX(Attenuation!$J:$J,(INDEX(Cables!$AO:$AO,MATCH(G132,Cables!$A:$A,0))-1+MIN(MAX(IFERROR(MATCH(LN(E132),INDEX(Attenuation!$J:$J,INDEX(Cables!$AO:$AO,MATCH(G132,Cables!$A:$A,0))):INDEX(Attenuation!$J:$J,INDEX(Cables!$AO:$AO,MATCH(G132,Cables!$A:$A,0))+INDEX(Cables!$AP:$AP,MATCH(G132,Cables!$A:$A,0))-1),1),1),1),INDEX(Cables!$AP:$AP,MATCH(G132,Cables!$A:$A,0))-1))):INDEX(Attenuation!$J:$J,(INDEX(Cables!$AO:$AO,MATCH(G132,Cables!$A:$A,0))-1+MIN(MAX(IFERROR(MATCH(LN(E132),INDEX(Attenuation!$J:$J,INDEX(Cables!$AO:$AO,MATCH(G132,Cables!$A:$A,0))):INDEX(Attenuation!$J:$J,INDEX(Cables!$AO:$AO,MATCH(G132,Cables!$A:$A,0))+INDEX(Cables!$AP:$AP,MATCH(G132,Cables!$A:$A,0))-1),1),1),1),INDEX(Cables!$AP:$AP,MATCH(G132,Cables!$A:$A,0))-1))+1)))*0.3048)</f>
        <v>13.250677052210948</v>
      </c>
      <c r="J132" s="44">
        <f t="shared" si="2"/>
        <v>-4.1685965724874707E-3</v>
      </c>
      <c r="K132" s="40" t="str">
        <f>IF(G132="","Doğrulanmadı",IF(ABS(J132)&lt;=0.1,"Uyumlu (±%10)",IF(ABS(J132)&lt;=0.25,"Fark %10-25","Fark &gt;%25"))&amp;IF(OR(D132&lt;INDEX(Cables!$AQ:$AQ,MATCH(G132,Cables!$A:$A,0)),E132&gt;INDEX(Cables!$AR:$AR,MATCH(G132,Cables!$A:$A,0)))," · ekstrapolasyon",""))</f>
        <v>Uyumlu (±%10)</v>
      </c>
    </row>
    <row r="133" spans="1:11" x14ac:dyDescent="0.25">
      <c r="A133" s="37" t="s">
        <v>3005</v>
      </c>
      <c r="B133" s="40" t="str">
        <f>INDEX(Legacy_Index!$D:$D,MATCH(A133,Legacy_Index!$A:$A,0))</f>
        <v>HYPERFLEX 5™ Messi and Paoloni</v>
      </c>
      <c r="C133" s="37" t="s">
        <v>3122</v>
      </c>
      <c r="D133" s="37">
        <v>5725</v>
      </c>
      <c r="E133" s="37">
        <v>5875</v>
      </c>
      <c r="F133" s="37">
        <v>19.899999999999999</v>
      </c>
      <c r="G133" s="40" t="str">
        <f>IF(INDEX(Legacy_Index!$G:$G,MATCH(A133,Legacy_Index!$A:$A,0))="","",INDEX(Legacy_Index!$G:$G,MATCH(A133,Legacy_Index!$A:$A,0)))</f>
        <v>MP-HYPERFLEX5</v>
      </c>
      <c r="H133" s="43">
        <f>IF(G133="","",EXP(FORECAST(LN(D133),INDEX(Attenuation!$K:$K,(INDEX(Cables!$AO:$AO,MATCH(G133,Cables!$A:$A,0))-1+MIN(MAX(IFERROR(MATCH(LN(D133),INDEX(Attenuation!$J:$J,INDEX(Cables!$AO:$AO,MATCH(G133,Cables!$A:$A,0))):INDEX(Attenuation!$J:$J,INDEX(Cables!$AO:$AO,MATCH(G133,Cables!$A:$A,0))+INDEX(Cables!$AP:$AP,MATCH(G133,Cables!$A:$A,0))-1),1),1),1),INDEX(Cables!$AP:$AP,MATCH(G133,Cables!$A:$A,0))-1))):INDEX(Attenuation!$K:$K,(INDEX(Cables!$AO:$AO,MATCH(G133,Cables!$A:$A,0))-1+MIN(MAX(IFERROR(MATCH(LN(D133),INDEX(Attenuation!$J:$J,INDEX(Cables!$AO:$AO,MATCH(G133,Cables!$A:$A,0))):INDEX(Attenuation!$J:$J,INDEX(Cables!$AO:$AO,MATCH(G133,Cables!$A:$A,0))+INDEX(Cables!$AP:$AP,MATCH(G133,Cables!$A:$A,0))-1),1),1),1),INDEX(Cables!$AP:$AP,MATCH(G133,Cables!$A:$A,0))-1))+1),INDEX(Attenuation!$J:$J,(INDEX(Cables!$AO:$AO,MATCH(G133,Cables!$A:$A,0))-1+MIN(MAX(IFERROR(MATCH(LN(D133),INDEX(Attenuation!$J:$J,INDEX(Cables!$AO:$AO,MATCH(G133,Cables!$A:$A,0))):INDEX(Attenuation!$J:$J,INDEX(Cables!$AO:$AO,MATCH(G133,Cables!$A:$A,0))+INDEX(Cables!$AP:$AP,MATCH(G133,Cables!$A:$A,0))-1),1),1),1),INDEX(Cables!$AP:$AP,MATCH(G133,Cables!$A:$A,0))-1))):INDEX(Attenuation!$J:$J,(INDEX(Cables!$AO:$AO,MATCH(G133,Cables!$A:$A,0))-1+MIN(MAX(IFERROR(MATCH(LN(D133),INDEX(Attenuation!$J:$J,INDEX(Cables!$AO:$AO,MATCH(G133,Cables!$A:$A,0))):INDEX(Attenuation!$J:$J,INDEX(Cables!$AO:$AO,MATCH(G133,Cables!$A:$A,0))+INDEX(Cables!$AP:$AP,MATCH(G133,Cables!$A:$A,0))-1),1),1),1),INDEX(Cables!$AP:$AP,MATCH(G133,Cables!$A:$A,0))-1))+1)))*0.3048)</f>
        <v>21.590719724171532</v>
      </c>
      <c r="I133" s="43">
        <f>IF(G133="","",EXP(FORECAST(LN(E133),INDEX(Attenuation!$K:$K,(INDEX(Cables!$AO:$AO,MATCH(G133,Cables!$A:$A,0))-1+MIN(MAX(IFERROR(MATCH(LN(E133),INDEX(Attenuation!$J:$J,INDEX(Cables!$AO:$AO,MATCH(G133,Cables!$A:$A,0))):INDEX(Attenuation!$J:$J,INDEX(Cables!$AO:$AO,MATCH(G133,Cables!$A:$A,0))+INDEX(Cables!$AP:$AP,MATCH(G133,Cables!$A:$A,0))-1),1),1),1),INDEX(Cables!$AP:$AP,MATCH(G133,Cables!$A:$A,0))-1))):INDEX(Attenuation!$K:$K,(INDEX(Cables!$AO:$AO,MATCH(G133,Cables!$A:$A,0))-1+MIN(MAX(IFERROR(MATCH(LN(E133),INDEX(Attenuation!$J:$J,INDEX(Cables!$AO:$AO,MATCH(G133,Cables!$A:$A,0))):INDEX(Attenuation!$J:$J,INDEX(Cables!$AO:$AO,MATCH(G133,Cables!$A:$A,0))+INDEX(Cables!$AP:$AP,MATCH(G133,Cables!$A:$A,0))-1),1),1),1),INDEX(Cables!$AP:$AP,MATCH(G133,Cables!$A:$A,0))-1))+1),INDEX(Attenuation!$J:$J,(INDEX(Cables!$AO:$AO,MATCH(G133,Cables!$A:$A,0))-1+MIN(MAX(IFERROR(MATCH(LN(E133),INDEX(Attenuation!$J:$J,INDEX(Cables!$AO:$AO,MATCH(G133,Cables!$A:$A,0))):INDEX(Attenuation!$J:$J,INDEX(Cables!$AO:$AO,MATCH(G133,Cables!$A:$A,0))+INDEX(Cables!$AP:$AP,MATCH(G133,Cables!$A:$A,0))-1),1),1),1),INDEX(Cables!$AP:$AP,MATCH(G133,Cables!$A:$A,0))-1))):INDEX(Attenuation!$J:$J,(INDEX(Cables!$AO:$AO,MATCH(G133,Cables!$A:$A,0))-1+MIN(MAX(IFERROR(MATCH(LN(E133),INDEX(Attenuation!$J:$J,INDEX(Cables!$AO:$AO,MATCH(G133,Cables!$A:$A,0))):INDEX(Attenuation!$J:$J,INDEX(Cables!$AO:$AO,MATCH(G133,Cables!$A:$A,0))+INDEX(Cables!$AP:$AP,MATCH(G133,Cables!$A:$A,0))-1),1),1),1),INDEX(Cables!$AP:$AP,MATCH(G133,Cables!$A:$A,0))-1))+1)))*0.3048)</f>
        <v>21.935337285506566</v>
      </c>
      <c r="J133" s="44">
        <f t="shared" si="2"/>
        <v>-7.8307705614774625E-2</v>
      </c>
      <c r="K133" s="40" t="str">
        <f>IF(G133="","Doğrulanmadı",IF(ABS(J133)&lt;=0.1,"Uyumlu (±%10)",IF(ABS(J133)&lt;=0.25,"Fark %10-25","Fark &gt;%25"))&amp;IF(OR(D133&lt;INDEX(Cables!$AQ:$AQ,MATCH(G133,Cables!$A:$A,0)),E133&gt;INDEX(Cables!$AR:$AR,MATCH(G133,Cables!$A:$A,0)))," · ekstrapolasyon",""))</f>
        <v>Uyumlu (±%10)</v>
      </c>
    </row>
    <row r="134" spans="1:11" x14ac:dyDescent="0.25">
      <c r="A134" s="37" t="s">
        <v>3007</v>
      </c>
      <c r="B134" s="40" t="str">
        <f>INDEX(Legacy_Index!$D:$D,MATCH(A134,Legacy_Index!$A:$A,0))</f>
        <v>RG213/U</v>
      </c>
      <c r="C134" s="37" t="s">
        <v>3117</v>
      </c>
      <c r="D134" s="37">
        <v>1</v>
      </c>
      <c r="E134" s="37">
        <v>10</v>
      </c>
      <c r="F134" s="37">
        <v>0.45</v>
      </c>
      <c r="G134" s="40" t="str">
        <f>IF(INDEX(Legacy_Index!$G:$G,MATCH(A134,Legacy_Index!$A:$A,0))="","",INDEX(Legacy_Index!$G:$G,MATCH(A134,Legacy_Index!$A:$A,0)))</f>
        <v>BEL-8267</v>
      </c>
      <c r="H134" s="43">
        <f>IF(G134="","",EXP(FORECAST(LN(D134),INDEX(Attenuation!$K:$K,(INDEX(Cables!$AO:$AO,MATCH(G134,Cables!$A:$A,0))-1+MIN(MAX(IFERROR(MATCH(LN(D134),INDEX(Attenuation!$J:$J,INDEX(Cables!$AO:$AO,MATCH(G134,Cables!$A:$A,0))):INDEX(Attenuation!$J:$J,INDEX(Cables!$AO:$AO,MATCH(G134,Cables!$A:$A,0))+INDEX(Cables!$AP:$AP,MATCH(G134,Cables!$A:$A,0))-1),1),1),1),INDEX(Cables!$AP:$AP,MATCH(G134,Cables!$A:$A,0))-1))):INDEX(Attenuation!$K:$K,(INDEX(Cables!$AO:$AO,MATCH(G134,Cables!$A:$A,0))-1+MIN(MAX(IFERROR(MATCH(LN(D134),INDEX(Attenuation!$J:$J,INDEX(Cables!$AO:$AO,MATCH(G134,Cables!$A:$A,0))):INDEX(Attenuation!$J:$J,INDEX(Cables!$AO:$AO,MATCH(G134,Cables!$A:$A,0))+INDEX(Cables!$AP:$AP,MATCH(G134,Cables!$A:$A,0))-1),1),1),1),INDEX(Cables!$AP:$AP,MATCH(G134,Cables!$A:$A,0))-1))+1),INDEX(Attenuation!$J:$J,(INDEX(Cables!$AO:$AO,MATCH(G134,Cables!$A:$A,0))-1+MIN(MAX(IFERROR(MATCH(LN(D134),INDEX(Attenuation!$J:$J,INDEX(Cables!$AO:$AO,MATCH(G134,Cables!$A:$A,0))):INDEX(Attenuation!$J:$J,INDEX(Cables!$AO:$AO,MATCH(G134,Cables!$A:$A,0))+INDEX(Cables!$AP:$AP,MATCH(G134,Cables!$A:$A,0))-1),1),1),1),INDEX(Cables!$AP:$AP,MATCH(G134,Cables!$A:$A,0))-1))):INDEX(Attenuation!$J:$J,(INDEX(Cables!$AO:$AO,MATCH(G134,Cables!$A:$A,0))-1+MIN(MAX(IFERROR(MATCH(LN(D134),INDEX(Attenuation!$J:$J,INDEX(Cables!$AO:$AO,MATCH(G134,Cables!$A:$A,0))):INDEX(Attenuation!$J:$J,INDEX(Cables!$AO:$AO,MATCH(G134,Cables!$A:$A,0))+INDEX(Cables!$AP:$AP,MATCH(G134,Cables!$A:$A,0))-1),1),1),1),INDEX(Cables!$AP:$AP,MATCH(G134,Cables!$A:$A,0))-1))+1)))*0.3048)</f>
        <v>0.17</v>
      </c>
      <c r="I134" s="43">
        <f>IF(G134="","",EXP(FORECAST(LN(E134),INDEX(Attenuation!$K:$K,(INDEX(Cables!$AO:$AO,MATCH(G134,Cables!$A:$A,0))-1+MIN(MAX(IFERROR(MATCH(LN(E134),INDEX(Attenuation!$J:$J,INDEX(Cables!$AO:$AO,MATCH(G134,Cables!$A:$A,0))):INDEX(Attenuation!$J:$J,INDEX(Cables!$AO:$AO,MATCH(G134,Cables!$A:$A,0))+INDEX(Cables!$AP:$AP,MATCH(G134,Cables!$A:$A,0))-1),1),1),1),INDEX(Cables!$AP:$AP,MATCH(G134,Cables!$A:$A,0))-1))):INDEX(Attenuation!$K:$K,(INDEX(Cables!$AO:$AO,MATCH(G134,Cables!$A:$A,0))-1+MIN(MAX(IFERROR(MATCH(LN(E134),INDEX(Attenuation!$J:$J,INDEX(Cables!$AO:$AO,MATCH(G134,Cables!$A:$A,0))):INDEX(Attenuation!$J:$J,INDEX(Cables!$AO:$AO,MATCH(G134,Cables!$A:$A,0))+INDEX(Cables!$AP:$AP,MATCH(G134,Cables!$A:$A,0))-1),1),1),1),INDEX(Cables!$AP:$AP,MATCH(G134,Cables!$A:$A,0))-1))+1),INDEX(Attenuation!$J:$J,(INDEX(Cables!$AO:$AO,MATCH(G134,Cables!$A:$A,0))-1+MIN(MAX(IFERROR(MATCH(LN(E134),INDEX(Attenuation!$J:$J,INDEX(Cables!$AO:$AO,MATCH(G134,Cables!$A:$A,0))):INDEX(Attenuation!$J:$J,INDEX(Cables!$AO:$AO,MATCH(G134,Cables!$A:$A,0))+INDEX(Cables!$AP:$AP,MATCH(G134,Cables!$A:$A,0))-1),1),1),1),INDEX(Cables!$AP:$AP,MATCH(G134,Cables!$A:$A,0))-1))):INDEX(Attenuation!$J:$J,(INDEX(Cables!$AO:$AO,MATCH(G134,Cables!$A:$A,0))-1+MIN(MAX(IFERROR(MATCH(LN(E134),INDEX(Attenuation!$J:$J,INDEX(Cables!$AO:$AO,MATCH(G134,Cables!$A:$A,0))):INDEX(Attenuation!$J:$J,INDEX(Cables!$AO:$AO,MATCH(G134,Cables!$A:$A,0))+INDEX(Cables!$AP:$AP,MATCH(G134,Cables!$A:$A,0))-1),1),1),1),INDEX(Cables!$AP:$AP,MATCH(G134,Cables!$A:$A,0))-1))+1)))*0.3048)</f>
        <v>0.55000000000000016</v>
      </c>
      <c r="J134" s="44">
        <f t="shared" si="2"/>
        <v>0</v>
      </c>
      <c r="K134" s="40" t="str">
        <f>IF(G134="","Doğrulanmadı",IF(ABS(J134)&lt;=0.1,"Uyumlu (±%10)",IF(ABS(J134)&lt;=0.25,"Fark %10-25","Fark &gt;%25"))&amp;IF(OR(D134&lt;INDEX(Cables!$AQ:$AQ,MATCH(G134,Cables!$A:$A,0)),E134&gt;INDEX(Cables!$AR:$AR,MATCH(G134,Cables!$A:$A,0)))," · ekstrapolasyon",""))</f>
        <v>Uyumlu (±%10)</v>
      </c>
    </row>
    <row r="135" spans="1:11" x14ac:dyDescent="0.25">
      <c r="A135" s="37" t="s">
        <v>3007</v>
      </c>
      <c r="B135" s="40" t="str">
        <f>INDEX(Legacy_Index!$D:$D,MATCH(A135,Legacy_Index!$A:$A,0))</f>
        <v>RG213/U</v>
      </c>
      <c r="C135" s="37" t="s">
        <v>3118</v>
      </c>
      <c r="D135" s="37">
        <v>30</v>
      </c>
      <c r="E135" s="37">
        <v>50</v>
      </c>
      <c r="F135" s="37">
        <v>1</v>
      </c>
      <c r="G135" s="40" t="str">
        <f>IF(INDEX(Legacy_Index!$G:$G,MATCH(A135,Legacy_Index!$A:$A,0))="","",INDEX(Legacy_Index!$G:$G,MATCH(A135,Legacy_Index!$A:$A,0)))</f>
        <v>BEL-8267</v>
      </c>
      <c r="H135" s="43">
        <f>IF(G135="","",EXP(FORECAST(LN(D135),INDEX(Attenuation!$K:$K,(INDEX(Cables!$AO:$AO,MATCH(G135,Cables!$A:$A,0))-1+MIN(MAX(IFERROR(MATCH(LN(D135),INDEX(Attenuation!$J:$J,INDEX(Cables!$AO:$AO,MATCH(G135,Cables!$A:$A,0))):INDEX(Attenuation!$J:$J,INDEX(Cables!$AO:$AO,MATCH(G135,Cables!$A:$A,0))+INDEX(Cables!$AP:$AP,MATCH(G135,Cables!$A:$A,0))-1),1),1),1),INDEX(Cables!$AP:$AP,MATCH(G135,Cables!$A:$A,0))-1))):INDEX(Attenuation!$K:$K,(INDEX(Cables!$AO:$AO,MATCH(G135,Cables!$A:$A,0))-1+MIN(MAX(IFERROR(MATCH(LN(D135),INDEX(Attenuation!$J:$J,INDEX(Cables!$AO:$AO,MATCH(G135,Cables!$A:$A,0))):INDEX(Attenuation!$J:$J,INDEX(Cables!$AO:$AO,MATCH(G135,Cables!$A:$A,0))+INDEX(Cables!$AP:$AP,MATCH(G135,Cables!$A:$A,0))-1),1),1),1),INDEX(Cables!$AP:$AP,MATCH(G135,Cables!$A:$A,0))-1))+1),INDEX(Attenuation!$J:$J,(INDEX(Cables!$AO:$AO,MATCH(G135,Cables!$A:$A,0))-1+MIN(MAX(IFERROR(MATCH(LN(D135),INDEX(Attenuation!$J:$J,INDEX(Cables!$AO:$AO,MATCH(G135,Cables!$A:$A,0))):INDEX(Attenuation!$J:$J,INDEX(Cables!$AO:$AO,MATCH(G135,Cables!$A:$A,0))+INDEX(Cables!$AP:$AP,MATCH(G135,Cables!$A:$A,0))-1),1),1),1),INDEX(Cables!$AP:$AP,MATCH(G135,Cables!$A:$A,0))-1))):INDEX(Attenuation!$J:$J,(INDEX(Cables!$AO:$AO,MATCH(G135,Cables!$A:$A,0))-1+MIN(MAX(IFERROR(MATCH(LN(D135),INDEX(Attenuation!$J:$J,INDEX(Cables!$AO:$AO,MATCH(G135,Cables!$A:$A,0))):INDEX(Attenuation!$J:$J,INDEX(Cables!$AO:$AO,MATCH(G135,Cables!$A:$A,0))+INDEX(Cables!$AP:$AP,MATCH(G135,Cables!$A:$A,0))-1),1),1),1),INDEX(Cables!$AP:$AP,MATCH(G135,Cables!$A:$A,0))-1))+1)))*0.3048)</f>
        <v>0.98939830968959397</v>
      </c>
      <c r="I135" s="43">
        <f>IF(G135="","",EXP(FORECAST(LN(E135),INDEX(Attenuation!$K:$K,(INDEX(Cables!$AO:$AO,MATCH(G135,Cables!$A:$A,0))-1+MIN(MAX(IFERROR(MATCH(LN(E135),INDEX(Attenuation!$J:$J,INDEX(Cables!$AO:$AO,MATCH(G135,Cables!$A:$A,0))):INDEX(Attenuation!$J:$J,INDEX(Cables!$AO:$AO,MATCH(G135,Cables!$A:$A,0))+INDEX(Cables!$AP:$AP,MATCH(G135,Cables!$A:$A,0))-1),1),1),1),INDEX(Cables!$AP:$AP,MATCH(G135,Cables!$A:$A,0))-1))):INDEX(Attenuation!$K:$K,(INDEX(Cables!$AO:$AO,MATCH(G135,Cables!$A:$A,0))-1+MIN(MAX(IFERROR(MATCH(LN(E135),INDEX(Attenuation!$J:$J,INDEX(Cables!$AO:$AO,MATCH(G135,Cables!$A:$A,0))):INDEX(Attenuation!$J:$J,INDEX(Cables!$AO:$AO,MATCH(G135,Cables!$A:$A,0))+INDEX(Cables!$AP:$AP,MATCH(G135,Cables!$A:$A,0))-1),1),1),1),INDEX(Cables!$AP:$AP,MATCH(G135,Cables!$A:$A,0))-1))+1),INDEX(Attenuation!$J:$J,(INDEX(Cables!$AO:$AO,MATCH(G135,Cables!$A:$A,0))-1+MIN(MAX(IFERROR(MATCH(LN(E135),INDEX(Attenuation!$J:$J,INDEX(Cables!$AO:$AO,MATCH(G135,Cables!$A:$A,0))):INDEX(Attenuation!$J:$J,INDEX(Cables!$AO:$AO,MATCH(G135,Cables!$A:$A,0))+INDEX(Cables!$AP:$AP,MATCH(G135,Cables!$A:$A,0))-1),1),1),1),INDEX(Cables!$AP:$AP,MATCH(G135,Cables!$A:$A,0))-1))):INDEX(Attenuation!$J:$J,(INDEX(Cables!$AO:$AO,MATCH(G135,Cables!$A:$A,0))-1+MIN(MAX(IFERROR(MATCH(LN(E135),INDEX(Attenuation!$J:$J,INDEX(Cables!$AO:$AO,MATCH(G135,Cables!$A:$A,0))):INDEX(Attenuation!$J:$J,INDEX(Cables!$AO:$AO,MATCH(G135,Cables!$A:$A,0))+INDEX(Cables!$AP:$AP,MATCH(G135,Cables!$A:$A,0))-1),1),1),1),INDEX(Cables!$AP:$AP,MATCH(G135,Cables!$A:$A,0))-1))+1)))*0.3048)</f>
        <v>1.2999999999999996</v>
      </c>
      <c r="J135" s="44">
        <f t="shared" si="2"/>
        <v>0</v>
      </c>
      <c r="K135" s="40" t="str">
        <f>IF(G135="","Doğrulanmadı",IF(ABS(J135)&lt;=0.1,"Uyumlu (±%10)",IF(ABS(J135)&lt;=0.25,"Fark %10-25","Fark &gt;%25"))&amp;IF(OR(D135&lt;INDEX(Cables!$AQ:$AQ,MATCH(G135,Cables!$A:$A,0)),E135&gt;INDEX(Cables!$AR:$AR,MATCH(G135,Cables!$A:$A,0)))," · ekstrapolasyon",""))</f>
        <v>Uyumlu (±%10)</v>
      </c>
    </row>
    <row r="136" spans="1:11" x14ac:dyDescent="0.25">
      <c r="A136" s="37" t="s">
        <v>3007</v>
      </c>
      <c r="B136" s="40" t="str">
        <f>INDEX(Legacy_Index!$D:$D,MATCH(A136,Legacy_Index!$A:$A,0))</f>
        <v>RG213/U</v>
      </c>
      <c r="C136" s="37" t="s">
        <v>3113</v>
      </c>
      <c r="D136" s="37">
        <v>70</v>
      </c>
      <c r="E136" s="37">
        <v>100</v>
      </c>
      <c r="F136" s="37">
        <v>1.9</v>
      </c>
      <c r="G136" s="40" t="str">
        <f>IF(INDEX(Legacy_Index!$G:$G,MATCH(A136,Legacy_Index!$A:$A,0))="","",INDEX(Legacy_Index!$G:$G,MATCH(A136,Legacy_Index!$A:$A,0)))</f>
        <v>BEL-8267</v>
      </c>
      <c r="H136" s="43">
        <f>IF(G136="","",EXP(FORECAST(LN(D136),INDEX(Attenuation!$K:$K,(INDEX(Cables!$AO:$AO,MATCH(G136,Cables!$A:$A,0))-1+MIN(MAX(IFERROR(MATCH(LN(D136),INDEX(Attenuation!$J:$J,INDEX(Cables!$AO:$AO,MATCH(G136,Cables!$A:$A,0))):INDEX(Attenuation!$J:$J,INDEX(Cables!$AO:$AO,MATCH(G136,Cables!$A:$A,0))+INDEX(Cables!$AP:$AP,MATCH(G136,Cables!$A:$A,0))-1),1),1),1),INDEX(Cables!$AP:$AP,MATCH(G136,Cables!$A:$A,0))-1))):INDEX(Attenuation!$K:$K,(INDEX(Cables!$AO:$AO,MATCH(G136,Cables!$A:$A,0))-1+MIN(MAX(IFERROR(MATCH(LN(D136),INDEX(Attenuation!$J:$J,INDEX(Cables!$AO:$AO,MATCH(G136,Cables!$A:$A,0))):INDEX(Attenuation!$J:$J,INDEX(Cables!$AO:$AO,MATCH(G136,Cables!$A:$A,0))+INDEX(Cables!$AP:$AP,MATCH(G136,Cables!$A:$A,0))-1),1),1),1),INDEX(Cables!$AP:$AP,MATCH(G136,Cables!$A:$A,0))-1))+1),INDEX(Attenuation!$J:$J,(INDEX(Cables!$AO:$AO,MATCH(G136,Cables!$A:$A,0))-1+MIN(MAX(IFERROR(MATCH(LN(D136),INDEX(Attenuation!$J:$J,INDEX(Cables!$AO:$AO,MATCH(G136,Cables!$A:$A,0))):INDEX(Attenuation!$J:$J,INDEX(Cables!$AO:$AO,MATCH(G136,Cables!$A:$A,0))+INDEX(Cables!$AP:$AP,MATCH(G136,Cables!$A:$A,0))-1),1),1),1),INDEX(Cables!$AP:$AP,MATCH(G136,Cables!$A:$A,0))-1))):INDEX(Attenuation!$J:$J,(INDEX(Cables!$AO:$AO,MATCH(G136,Cables!$A:$A,0))-1+MIN(MAX(IFERROR(MATCH(LN(D136),INDEX(Attenuation!$J:$J,INDEX(Cables!$AO:$AO,MATCH(G136,Cables!$A:$A,0))):INDEX(Attenuation!$J:$J,INDEX(Cables!$AO:$AO,MATCH(G136,Cables!$A:$A,0))+INDEX(Cables!$AP:$AP,MATCH(G136,Cables!$A:$A,0))-1),1),1),1),INDEX(Cables!$AP:$AP,MATCH(G136,Cables!$A:$A,0))-1))+1)))*0.3048)</f>
        <v>1.562955699012726</v>
      </c>
      <c r="I136" s="43">
        <f>IF(G136="","",EXP(FORECAST(LN(E136),INDEX(Attenuation!$K:$K,(INDEX(Cables!$AO:$AO,MATCH(G136,Cables!$A:$A,0))-1+MIN(MAX(IFERROR(MATCH(LN(E136),INDEX(Attenuation!$J:$J,INDEX(Cables!$AO:$AO,MATCH(G136,Cables!$A:$A,0))):INDEX(Attenuation!$J:$J,INDEX(Cables!$AO:$AO,MATCH(G136,Cables!$A:$A,0))+INDEX(Cables!$AP:$AP,MATCH(G136,Cables!$A:$A,0))-1),1),1),1),INDEX(Cables!$AP:$AP,MATCH(G136,Cables!$A:$A,0))-1))):INDEX(Attenuation!$K:$K,(INDEX(Cables!$AO:$AO,MATCH(G136,Cables!$A:$A,0))-1+MIN(MAX(IFERROR(MATCH(LN(E136),INDEX(Attenuation!$J:$J,INDEX(Cables!$AO:$AO,MATCH(G136,Cables!$A:$A,0))):INDEX(Attenuation!$J:$J,INDEX(Cables!$AO:$AO,MATCH(G136,Cables!$A:$A,0))+INDEX(Cables!$AP:$AP,MATCH(G136,Cables!$A:$A,0))-1),1),1),1),INDEX(Cables!$AP:$AP,MATCH(G136,Cables!$A:$A,0))-1))+1),INDEX(Attenuation!$J:$J,(INDEX(Cables!$AO:$AO,MATCH(G136,Cables!$A:$A,0))-1+MIN(MAX(IFERROR(MATCH(LN(E136),INDEX(Attenuation!$J:$J,INDEX(Cables!$AO:$AO,MATCH(G136,Cables!$A:$A,0))):INDEX(Attenuation!$J:$J,INDEX(Cables!$AO:$AO,MATCH(G136,Cables!$A:$A,0))+INDEX(Cables!$AP:$AP,MATCH(G136,Cables!$A:$A,0))-1),1),1),1),INDEX(Cables!$AP:$AP,MATCH(G136,Cables!$A:$A,0))-1))):INDEX(Attenuation!$J:$J,(INDEX(Cables!$AO:$AO,MATCH(G136,Cables!$A:$A,0))-1+MIN(MAX(IFERROR(MATCH(LN(E136),INDEX(Attenuation!$J:$J,INDEX(Cables!$AO:$AO,MATCH(G136,Cables!$A:$A,0))):INDEX(Attenuation!$J:$J,INDEX(Cables!$AO:$AO,MATCH(G136,Cables!$A:$A,0))+INDEX(Cables!$AP:$AP,MATCH(G136,Cables!$A:$A,0))-1),1),1),1),INDEX(Cables!$AP:$AP,MATCH(G136,Cables!$A:$A,0))-1))+1)))*0.3048)</f>
        <v>1.9</v>
      </c>
      <c r="J136" s="44">
        <f t="shared" si="2"/>
        <v>0</v>
      </c>
      <c r="K136" s="40" t="str">
        <f>IF(G136="","Doğrulanmadı",IF(ABS(J136)&lt;=0.1,"Uyumlu (±%10)",IF(ABS(J136)&lt;=0.25,"Fark %10-25","Fark &gt;%25"))&amp;IF(OR(D136&lt;INDEX(Cables!$AQ:$AQ,MATCH(G136,Cables!$A:$A,0)),E136&gt;INDEX(Cables!$AR:$AR,MATCH(G136,Cables!$A:$A,0)))," · ekstrapolasyon",""))</f>
        <v>Uyumlu (±%10)</v>
      </c>
    </row>
    <row r="137" spans="1:11" x14ac:dyDescent="0.25">
      <c r="A137" s="37" t="s">
        <v>3007</v>
      </c>
      <c r="B137" s="40" t="str">
        <f>INDEX(Legacy_Index!$D:$D,MATCH(A137,Legacy_Index!$A:$A,0))</f>
        <v>RG213/U</v>
      </c>
      <c r="C137" s="37" t="s">
        <v>3114</v>
      </c>
      <c r="D137" s="37">
        <v>148</v>
      </c>
      <c r="E137" s="37">
        <v>174</v>
      </c>
      <c r="F137" s="37">
        <v>2.6</v>
      </c>
      <c r="G137" s="40" t="str">
        <f>IF(INDEX(Legacy_Index!$G:$G,MATCH(A137,Legacy_Index!$A:$A,0))="","",INDEX(Legacy_Index!$G:$G,MATCH(A137,Legacy_Index!$A:$A,0)))</f>
        <v>BEL-8267</v>
      </c>
      <c r="H137" s="43">
        <f>IF(G137="","",EXP(FORECAST(LN(D137),INDEX(Attenuation!$K:$K,(INDEX(Cables!$AO:$AO,MATCH(G137,Cables!$A:$A,0))-1+MIN(MAX(IFERROR(MATCH(LN(D137),INDEX(Attenuation!$J:$J,INDEX(Cables!$AO:$AO,MATCH(G137,Cables!$A:$A,0))):INDEX(Attenuation!$J:$J,INDEX(Cables!$AO:$AO,MATCH(G137,Cables!$A:$A,0))+INDEX(Cables!$AP:$AP,MATCH(G137,Cables!$A:$A,0))-1),1),1),1),INDEX(Cables!$AP:$AP,MATCH(G137,Cables!$A:$A,0))-1))):INDEX(Attenuation!$K:$K,(INDEX(Cables!$AO:$AO,MATCH(G137,Cables!$A:$A,0))-1+MIN(MAX(IFERROR(MATCH(LN(D137),INDEX(Attenuation!$J:$J,INDEX(Cables!$AO:$AO,MATCH(G137,Cables!$A:$A,0))):INDEX(Attenuation!$J:$J,INDEX(Cables!$AO:$AO,MATCH(G137,Cables!$A:$A,0))+INDEX(Cables!$AP:$AP,MATCH(G137,Cables!$A:$A,0))-1),1),1),1),INDEX(Cables!$AP:$AP,MATCH(G137,Cables!$A:$A,0))-1))+1),INDEX(Attenuation!$J:$J,(INDEX(Cables!$AO:$AO,MATCH(G137,Cables!$A:$A,0))-1+MIN(MAX(IFERROR(MATCH(LN(D137),INDEX(Attenuation!$J:$J,INDEX(Cables!$AO:$AO,MATCH(G137,Cables!$A:$A,0))):INDEX(Attenuation!$J:$J,INDEX(Cables!$AO:$AO,MATCH(G137,Cables!$A:$A,0))+INDEX(Cables!$AP:$AP,MATCH(G137,Cables!$A:$A,0))-1),1),1),1),INDEX(Cables!$AP:$AP,MATCH(G137,Cables!$A:$A,0))-1))):INDEX(Attenuation!$J:$J,(INDEX(Cables!$AO:$AO,MATCH(G137,Cables!$A:$A,0))-1+MIN(MAX(IFERROR(MATCH(LN(D137),INDEX(Attenuation!$J:$J,INDEX(Cables!$AO:$AO,MATCH(G137,Cables!$A:$A,0))):INDEX(Attenuation!$J:$J,INDEX(Cables!$AO:$AO,MATCH(G137,Cables!$A:$A,0))+INDEX(Cables!$AP:$AP,MATCH(G137,Cables!$A:$A,0))-1),1),1),1),INDEX(Cables!$AP:$AP,MATCH(G137,Cables!$A:$A,0))-1))+1)))*0.3048)</f>
        <v>2.3177654155550655</v>
      </c>
      <c r="I137" s="43">
        <f>IF(G137="","",EXP(FORECAST(LN(E137),INDEX(Attenuation!$K:$K,(INDEX(Cables!$AO:$AO,MATCH(G137,Cables!$A:$A,0))-1+MIN(MAX(IFERROR(MATCH(LN(E137),INDEX(Attenuation!$J:$J,INDEX(Cables!$AO:$AO,MATCH(G137,Cables!$A:$A,0))):INDEX(Attenuation!$J:$J,INDEX(Cables!$AO:$AO,MATCH(G137,Cables!$A:$A,0))+INDEX(Cables!$AP:$AP,MATCH(G137,Cables!$A:$A,0))-1),1),1),1),INDEX(Cables!$AP:$AP,MATCH(G137,Cables!$A:$A,0))-1))):INDEX(Attenuation!$K:$K,(INDEX(Cables!$AO:$AO,MATCH(G137,Cables!$A:$A,0))-1+MIN(MAX(IFERROR(MATCH(LN(E137),INDEX(Attenuation!$J:$J,INDEX(Cables!$AO:$AO,MATCH(G137,Cables!$A:$A,0))):INDEX(Attenuation!$J:$J,INDEX(Cables!$AO:$AO,MATCH(G137,Cables!$A:$A,0))+INDEX(Cables!$AP:$AP,MATCH(G137,Cables!$A:$A,0))-1),1),1),1),INDEX(Cables!$AP:$AP,MATCH(G137,Cables!$A:$A,0))-1))+1),INDEX(Attenuation!$J:$J,(INDEX(Cables!$AO:$AO,MATCH(G137,Cables!$A:$A,0))-1+MIN(MAX(IFERROR(MATCH(LN(E137),INDEX(Attenuation!$J:$J,INDEX(Cables!$AO:$AO,MATCH(G137,Cables!$A:$A,0))):INDEX(Attenuation!$J:$J,INDEX(Cables!$AO:$AO,MATCH(G137,Cables!$A:$A,0))+INDEX(Cables!$AP:$AP,MATCH(G137,Cables!$A:$A,0))-1),1),1),1),INDEX(Cables!$AP:$AP,MATCH(G137,Cables!$A:$A,0))-1))):INDEX(Attenuation!$J:$J,(INDEX(Cables!$AO:$AO,MATCH(G137,Cables!$A:$A,0))-1+MIN(MAX(IFERROR(MATCH(LN(E137),INDEX(Attenuation!$J:$J,INDEX(Cables!$AO:$AO,MATCH(G137,Cables!$A:$A,0))):INDEX(Attenuation!$J:$J,INDEX(Cables!$AO:$AO,MATCH(G137,Cables!$A:$A,0))+INDEX(Cables!$AP:$AP,MATCH(G137,Cables!$A:$A,0))-1),1),1),1),INDEX(Cables!$AP:$AP,MATCH(G137,Cables!$A:$A,0))-1))+1)))*0.3048)</f>
        <v>2.5159525438759274</v>
      </c>
      <c r="J137" s="44">
        <f t="shared" si="2"/>
        <v>3.3405819330198483E-2</v>
      </c>
      <c r="K137" s="40" t="str">
        <f>IF(G137="","Doğrulanmadı",IF(ABS(J137)&lt;=0.1,"Uyumlu (±%10)",IF(ABS(J137)&lt;=0.25,"Fark %10-25","Fark &gt;%25"))&amp;IF(OR(D137&lt;INDEX(Cables!$AQ:$AQ,MATCH(G137,Cables!$A:$A,0)),E137&gt;INDEX(Cables!$AR:$AR,MATCH(G137,Cables!$A:$A,0)))," · ekstrapolasyon",""))</f>
        <v>Uyumlu (±%10)</v>
      </c>
    </row>
    <row r="138" spans="1:11" x14ac:dyDescent="0.25">
      <c r="A138" s="37" t="s">
        <v>3007</v>
      </c>
      <c r="B138" s="40" t="str">
        <f>INDEX(Legacy_Index!$D:$D,MATCH(A138,Legacy_Index!$A:$A,0))</f>
        <v>RG213/U</v>
      </c>
      <c r="C138" s="37" t="s">
        <v>3119</v>
      </c>
      <c r="D138" s="37">
        <v>220</v>
      </c>
      <c r="E138" s="37">
        <v>220</v>
      </c>
      <c r="F138" s="37">
        <v>3.4</v>
      </c>
      <c r="G138" s="40" t="str">
        <f>IF(INDEX(Legacy_Index!$G:$G,MATCH(A138,Legacy_Index!$A:$A,0))="","",INDEX(Legacy_Index!$G:$G,MATCH(A138,Legacy_Index!$A:$A,0)))</f>
        <v>BEL-8267</v>
      </c>
      <c r="H138" s="43">
        <f>IF(G138="","",EXP(FORECAST(LN(D138),INDEX(Attenuation!$K:$K,(INDEX(Cables!$AO:$AO,MATCH(G138,Cables!$A:$A,0))-1+MIN(MAX(IFERROR(MATCH(LN(D138),INDEX(Attenuation!$J:$J,INDEX(Cables!$AO:$AO,MATCH(G138,Cables!$A:$A,0))):INDEX(Attenuation!$J:$J,INDEX(Cables!$AO:$AO,MATCH(G138,Cables!$A:$A,0))+INDEX(Cables!$AP:$AP,MATCH(G138,Cables!$A:$A,0))-1),1),1),1),INDEX(Cables!$AP:$AP,MATCH(G138,Cables!$A:$A,0))-1))):INDEX(Attenuation!$K:$K,(INDEX(Cables!$AO:$AO,MATCH(G138,Cables!$A:$A,0))-1+MIN(MAX(IFERROR(MATCH(LN(D138),INDEX(Attenuation!$J:$J,INDEX(Cables!$AO:$AO,MATCH(G138,Cables!$A:$A,0))):INDEX(Attenuation!$J:$J,INDEX(Cables!$AO:$AO,MATCH(G138,Cables!$A:$A,0))+INDEX(Cables!$AP:$AP,MATCH(G138,Cables!$A:$A,0))-1),1),1),1),INDEX(Cables!$AP:$AP,MATCH(G138,Cables!$A:$A,0))-1))+1),INDEX(Attenuation!$J:$J,(INDEX(Cables!$AO:$AO,MATCH(G138,Cables!$A:$A,0))-1+MIN(MAX(IFERROR(MATCH(LN(D138),INDEX(Attenuation!$J:$J,INDEX(Cables!$AO:$AO,MATCH(G138,Cables!$A:$A,0))):INDEX(Attenuation!$J:$J,INDEX(Cables!$AO:$AO,MATCH(G138,Cables!$A:$A,0))+INDEX(Cables!$AP:$AP,MATCH(G138,Cables!$A:$A,0))-1),1),1),1),INDEX(Cables!$AP:$AP,MATCH(G138,Cables!$A:$A,0))-1))):INDEX(Attenuation!$J:$J,(INDEX(Cables!$AO:$AO,MATCH(G138,Cables!$A:$A,0))-1+MIN(MAX(IFERROR(MATCH(LN(D138),INDEX(Attenuation!$J:$J,INDEX(Cables!$AO:$AO,MATCH(G138,Cables!$A:$A,0))):INDEX(Attenuation!$J:$J,INDEX(Cables!$AO:$AO,MATCH(G138,Cables!$A:$A,0))+INDEX(Cables!$AP:$AP,MATCH(G138,Cables!$A:$A,0))-1),1),1),1),INDEX(Cables!$AP:$AP,MATCH(G138,Cables!$A:$A,0))-1))+1)))*0.3048)</f>
        <v>2.8596288254576296</v>
      </c>
      <c r="I138" s="43">
        <f>IF(G138="","",EXP(FORECAST(LN(E138),INDEX(Attenuation!$K:$K,(INDEX(Cables!$AO:$AO,MATCH(G138,Cables!$A:$A,0))-1+MIN(MAX(IFERROR(MATCH(LN(E138),INDEX(Attenuation!$J:$J,INDEX(Cables!$AO:$AO,MATCH(G138,Cables!$A:$A,0))):INDEX(Attenuation!$J:$J,INDEX(Cables!$AO:$AO,MATCH(G138,Cables!$A:$A,0))+INDEX(Cables!$AP:$AP,MATCH(G138,Cables!$A:$A,0))-1),1),1),1),INDEX(Cables!$AP:$AP,MATCH(G138,Cables!$A:$A,0))-1))):INDEX(Attenuation!$K:$K,(INDEX(Cables!$AO:$AO,MATCH(G138,Cables!$A:$A,0))-1+MIN(MAX(IFERROR(MATCH(LN(E138),INDEX(Attenuation!$J:$J,INDEX(Cables!$AO:$AO,MATCH(G138,Cables!$A:$A,0))):INDEX(Attenuation!$J:$J,INDEX(Cables!$AO:$AO,MATCH(G138,Cables!$A:$A,0))+INDEX(Cables!$AP:$AP,MATCH(G138,Cables!$A:$A,0))-1),1),1),1),INDEX(Cables!$AP:$AP,MATCH(G138,Cables!$A:$A,0))-1))+1),INDEX(Attenuation!$J:$J,(INDEX(Cables!$AO:$AO,MATCH(G138,Cables!$A:$A,0))-1+MIN(MAX(IFERROR(MATCH(LN(E138),INDEX(Attenuation!$J:$J,INDEX(Cables!$AO:$AO,MATCH(G138,Cables!$A:$A,0))):INDEX(Attenuation!$J:$J,INDEX(Cables!$AO:$AO,MATCH(G138,Cables!$A:$A,0))+INDEX(Cables!$AP:$AP,MATCH(G138,Cables!$A:$A,0))-1),1),1),1),INDEX(Cables!$AP:$AP,MATCH(G138,Cables!$A:$A,0))-1))):INDEX(Attenuation!$J:$J,(INDEX(Cables!$AO:$AO,MATCH(G138,Cables!$A:$A,0))-1+MIN(MAX(IFERROR(MATCH(LN(E138),INDEX(Attenuation!$J:$J,INDEX(Cables!$AO:$AO,MATCH(G138,Cables!$A:$A,0))):INDEX(Attenuation!$J:$J,INDEX(Cables!$AO:$AO,MATCH(G138,Cables!$A:$A,0))+INDEX(Cables!$AP:$AP,MATCH(G138,Cables!$A:$A,0))-1),1),1),1),INDEX(Cables!$AP:$AP,MATCH(G138,Cables!$A:$A,0))-1))+1)))*0.3048)</f>
        <v>2.8596288254576296</v>
      </c>
      <c r="J138" s="44">
        <f t="shared" si="2"/>
        <v>0.18896549430882659</v>
      </c>
      <c r="K138" s="40" t="str">
        <f>IF(G138="","Doğrulanmadı",IF(ABS(J138)&lt;=0.1,"Uyumlu (±%10)",IF(ABS(J138)&lt;=0.25,"Fark %10-25","Fark &gt;%25"))&amp;IF(OR(D138&lt;INDEX(Cables!$AQ:$AQ,MATCH(G138,Cables!$A:$A,0)),E138&gt;INDEX(Cables!$AR:$AR,MATCH(G138,Cables!$A:$A,0)))," · ekstrapolasyon",""))</f>
        <v>Fark %10-25</v>
      </c>
    </row>
    <row r="139" spans="1:11" x14ac:dyDescent="0.25">
      <c r="A139" s="37" t="s">
        <v>3007</v>
      </c>
      <c r="B139" s="40" t="str">
        <f>INDEX(Legacy_Index!$D:$D,MATCH(A139,Legacy_Index!$A:$A,0))</f>
        <v>RG213/U</v>
      </c>
      <c r="C139" s="37" t="s">
        <v>3115</v>
      </c>
      <c r="D139" s="37">
        <v>400</v>
      </c>
      <c r="E139" s="37">
        <v>520</v>
      </c>
      <c r="F139" s="37">
        <v>5</v>
      </c>
      <c r="G139" s="40" t="str">
        <f>IF(INDEX(Legacy_Index!$G:$G,MATCH(A139,Legacy_Index!$A:$A,0))="","",INDEX(Legacy_Index!$G:$G,MATCH(A139,Legacy_Index!$A:$A,0)))</f>
        <v>BEL-8267</v>
      </c>
      <c r="H139" s="43">
        <f>IF(G139="","",EXP(FORECAST(LN(D139),INDEX(Attenuation!$K:$K,(INDEX(Cables!$AO:$AO,MATCH(G139,Cables!$A:$A,0))-1+MIN(MAX(IFERROR(MATCH(LN(D139),INDEX(Attenuation!$J:$J,INDEX(Cables!$AO:$AO,MATCH(G139,Cables!$A:$A,0))):INDEX(Attenuation!$J:$J,INDEX(Cables!$AO:$AO,MATCH(G139,Cables!$A:$A,0))+INDEX(Cables!$AP:$AP,MATCH(G139,Cables!$A:$A,0))-1),1),1),1),INDEX(Cables!$AP:$AP,MATCH(G139,Cables!$A:$A,0))-1))):INDEX(Attenuation!$K:$K,(INDEX(Cables!$AO:$AO,MATCH(G139,Cables!$A:$A,0))-1+MIN(MAX(IFERROR(MATCH(LN(D139),INDEX(Attenuation!$J:$J,INDEX(Cables!$AO:$AO,MATCH(G139,Cables!$A:$A,0))):INDEX(Attenuation!$J:$J,INDEX(Cables!$AO:$AO,MATCH(G139,Cables!$A:$A,0))+INDEX(Cables!$AP:$AP,MATCH(G139,Cables!$A:$A,0))-1),1),1),1),INDEX(Cables!$AP:$AP,MATCH(G139,Cables!$A:$A,0))-1))+1),INDEX(Attenuation!$J:$J,(INDEX(Cables!$AO:$AO,MATCH(G139,Cables!$A:$A,0))-1+MIN(MAX(IFERROR(MATCH(LN(D139),INDEX(Attenuation!$J:$J,INDEX(Cables!$AO:$AO,MATCH(G139,Cables!$A:$A,0))):INDEX(Attenuation!$J:$J,INDEX(Cables!$AO:$AO,MATCH(G139,Cables!$A:$A,0))+INDEX(Cables!$AP:$AP,MATCH(G139,Cables!$A:$A,0))-1),1),1),1),INDEX(Cables!$AP:$AP,MATCH(G139,Cables!$A:$A,0))-1))):INDEX(Attenuation!$J:$J,(INDEX(Cables!$AO:$AO,MATCH(G139,Cables!$A:$A,0))-1+MIN(MAX(IFERROR(MATCH(LN(D139),INDEX(Attenuation!$J:$J,INDEX(Cables!$AO:$AO,MATCH(G139,Cables!$A:$A,0))):INDEX(Attenuation!$J:$J,INDEX(Cables!$AO:$AO,MATCH(G139,Cables!$A:$A,0))+INDEX(Cables!$AP:$AP,MATCH(G139,Cables!$A:$A,0))-1),1),1),1),INDEX(Cables!$AP:$AP,MATCH(G139,Cables!$A:$A,0))-1))+1)))*0.3048)</f>
        <v>4.1000000000000014</v>
      </c>
      <c r="I139" s="43">
        <f>IF(G139="","",EXP(FORECAST(LN(E139),INDEX(Attenuation!$K:$K,(INDEX(Cables!$AO:$AO,MATCH(G139,Cables!$A:$A,0))-1+MIN(MAX(IFERROR(MATCH(LN(E139),INDEX(Attenuation!$J:$J,INDEX(Cables!$AO:$AO,MATCH(G139,Cables!$A:$A,0))):INDEX(Attenuation!$J:$J,INDEX(Cables!$AO:$AO,MATCH(G139,Cables!$A:$A,0))+INDEX(Cables!$AP:$AP,MATCH(G139,Cables!$A:$A,0))-1),1),1),1),INDEX(Cables!$AP:$AP,MATCH(G139,Cables!$A:$A,0))-1))):INDEX(Attenuation!$K:$K,(INDEX(Cables!$AO:$AO,MATCH(G139,Cables!$A:$A,0))-1+MIN(MAX(IFERROR(MATCH(LN(E139),INDEX(Attenuation!$J:$J,INDEX(Cables!$AO:$AO,MATCH(G139,Cables!$A:$A,0))):INDEX(Attenuation!$J:$J,INDEX(Cables!$AO:$AO,MATCH(G139,Cables!$A:$A,0))+INDEX(Cables!$AP:$AP,MATCH(G139,Cables!$A:$A,0))-1),1),1),1),INDEX(Cables!$AP:$AP,MATCH(G139,Cables!$A:$A,0))-1))+1),INDEX(Attenuation!$J:$J,(INDEX(Cables!$AO:$AO,MATCH(G139,Cables!$A:$A,0))-1+MIN(MAX(IFERROR(MATCH(LN(E139),INDEX(Attenuation!$J:$J,INDEX(Cables!$AO:$AO,MATCH(G139,Cables!$A:$A,0))):INDEX(Attenuation!$J:$J,INDEX(Cables!$AO:$AO,MATCH(G139,Cables!$A:$A,0))+INDEX(Cables!$AP:$AP,MATCH(G139,Cables!$A:$A,0))-1),1),1),1),INDEX(Cables!$AP:$AP,MATCH(G139,Cables!$A:$A,0))-1))):INDEX(Attenuation!$J:$J,(INDEX(Cables!$AO:$AO,MATCH(G139,Cables!$A:$A,0))-1+MIN(MAX(IFERROR(MATCH(LN(E139),INDEX(Attenuation!$J:$J,INDEX(Cables!$AO:$AO,MATCH(G139,Cables!$A:$A,0))):INDEX(Attenuation!$J:$J,INDEX(Cables!$AO:$AO,MATCH(G139,Cables!$A:$A,0))+INDEX(Cables!$AP:$AP,MATCH(G139,Cables!$A:$A,0))-1),1),1),1),INDEX(Cables!$AP:$AP,MATCH(G139,Cables!$A:$A,0))-1))+1)))*0.3048)</f>
        <v>5.0887419128076008</v>
      </c>
      <c r="J139" s="44">
        <f t="shared" si="2"/>
        <v>0</v>
      </c>
      <c r="K139" s="40" t="str">
        <f>IF(G139="","Doğrulanmadı",IF(ABS(J139)&lt;=0.1,"Uyumlu (±%10)",IF(ABS(J139)&lt;=0.25,"Fark %10-25","Fark &gt;%25"))&amp;IF(OR(D139&lt;INDEX(Cables!$AQ:$AQ,MATCH(G139,Cables!$A:$A,0)),E139&gt;INDEX(Cables!$AR:$AR,MATCH(G139,Cables!$A:$A,0)))," · ekstrapolasyon",""))</f>
        <v>Uyumlu (±%10)</v>
      </c>
    </row>
    <row r="140" spans="1:11" x14ac:dyDescent="0.25">
      <c r="A140" s="37" t="s">
        <v>3007</v>
      </c>
      <c r="B140" s="40" t="str">
        <f>INDEX(Legacy_Index!$D:$D,MATCH(A140,Legacy_Index!$A:$A,0))</f>
        <v>RG213/U</v>
      </c>
      <c r="C140" s="37" t="s">
        <v>3116</v>
      </c>
      <c r="D140" s="37">
        <v>700</v>
      </c>
      <c r="E140" s="37">
        <v>960</v>
      </c>
      <c r="F140" s="37">
        <v>7.4</v>
      </c>
      <c r="G140" s="40" t="str">
        <f>IF(INDEX(Legacy_Index!$G:$G,MATCH(A140,Legacy_Index!$A:$A,0))="","",INDEX(Legacy_Index!$G:$G,MATCH(A140,Legacy_Index!$A:$A,0)))</f>
        <v>BEL-8267</v>
      </c>
      <c r="H140" s="43">
        <f>IF(G140="","",EXP(FORECAST(LN(D140),INDEX(Attenuation!$K:$K,(INDEX(Cables!$AO:$AO,MATCH(G140,Cables!$A:$A,0))-1+MIN(MAX(IFERROR(MATCH(LN(D140),INDEX(Attenuation!$J:$J,INDEX(Cables!$AO:$AO,MATCH(G140,Cables!$A:$A,0))):INDEX(Attenuation!$J:$J,INDEX(Cables!$AO:$AO,MATCH(G140,Cables!$A:$A,0))+INDEX(Cables!$AP:$AP,MATCH(G140,Cables!$A:$A,0))-1),1),1),1),INDEX(Cables!$AP:$AP,MATCH(G140,Cables!$A:$A,0))-1))):INDEX(Attenuation!$K:$K,(INDEX(Cables!$AO:$AO,MATCH(G140,Cables!$A:$A,0))-1+MIN(MAX(IFERROR(MATCH(LN(D140),INDEX(Attenuation!$J:$J,INDEX(Cables!$AO:$AO,MATCH(G140,Cables!$A:$A,0))):INDEX(Attenuation!$J:$J,INDEX(Cables!$AO:$AO,MATCH(G140,Cables!$A:$A,0))+INDEX(Cables!$AP:$AP,MATCH(G140,Cables!$A:$A,0))-1),1),1),1),INDEX(Cables!$AP:$AP,MATCH(G140,Cables!$A:$A,0))-1))+1),INDEX(Attenuation!$J:$J,(INDEX(Cables!$AO:$AO,MATCH(G140,Cables!$A:$A,0))-1+MIN(MAX(IFERROR(MATCH(LN(D140),INDEX(Attenuation!$J:$J,INDEX(Cables!$AO:$AO,MATCH(G140,Cables!$A:$A,0))):INDEX(Attenuation!$J:$J,INDEX(Cables!$AO:$AO,MATCH(G140,Cables!$A:$A,0))+INDEX(Cables!$AP:$AP,MATCH(G140,Cables!$A:$A,0))-1),1),1),1),INDEX(Cables!$AP:$AP,MATCH(G140,Cables!$A:$A,0))-1))):INDEX(Attenuation!$J:$J,(INDEX(Cables!$AO:$AO,MATCH(G140,Cables!$A:$A,0))-1+MIN(MAX(IFERROR(MATCH(LN(D140),INDEX(Attenuation!$J:$J,INDEX(Cables!$AO:$AO,MATCH(G140,Cables!$A:$A,0))):INDEX(Attenuation!$J:$J,INDEX(Cables!$AO:$AO,MATCH(G140,Cables!$A:$A,0))+INDEX(Cables!$AP:$AP,MATCH(G140,Cables!$A:$A,0))-1),1),1),1),INDEX(Cables!$AP:$AP,MATCH(G140,Cables!$A:$A,0))-1))+1)))*0.3048)</f>
        <v>6.4999999999999964</v>
      </c>
      <c r="I140" s="43">
        <f>IF(G140="","",EXP(FORECAST(LN(E140),INDEX(Attenuation!$K:$K,(INDEX(Cables!$AO:$AO,MATCH(G140,Cables!$A:$A,0))-1+MIN(MAX(IFERROR(MATCH(LN(E140),INDEX(Attenuation!$J:$J,INDEX(Cables!$AO:$AO,MATCH(G140,Cables!$A:$A,0))):INDEX(Attenuation!$J:$J,INDEX(Cables!$AO:$AO,MATCH(G140,Cables!$A:$A,0))+INDEX(Cables!$AP:$AP,MATCH(G140,Cables!$A:$A,0))-1),1),1),1),INDEX(Cables!$AP:$AP,MATCH(G140,Cables!$A:$A,0))-1))):INDEX(Attenuation!$K:$K,(INDEX(Cables!$AO:$AO,MATCH(G140,Cables!$A:$A,0))-1+MIN(MAX(IFERROR(MATCH(LN(E140),INDEX(Attenuation!$J:$J,INDEX(Cables!$AO:$AO,MATCH(G140,Cables!$A:$A,0))):INDEX(Attenuation!$J:$J,INDEX(Cables!$AO:$AO,MATCH(G140,Cables!$A:$A,0))+INDEX(Cables!$AP:$AP,MATCH(G140,Cables!$A:$A,0))-1),1),1),1),INDEX(Cables!$AP:$AP,MATCH(G140,Cables!$A:$A,0))-1))+1),INDEX(Attenuation!$J:$J,(INDEX(Cables!$AO:$AO,MATCH(G140,Cables!$A:$A,0))-1+MIN(MAX(IFERROR(MATCH(LN(E140),INDEX(Attenuation!$J:$J,INDEX(Cables!$AO:$AO,MATCH(G140,Cables!$A:$A,0))):INDEX(Attenuation!$J:$J,INDEX(Cables!$AO:$AO,MATCH(G140,Cables!$A:$A,0))+INDEX(Cables!$AP:$AP,MATCH(G140,Cables!$A:$A,0))-1),1),1),1),INDEX(Cables!$AP:$AP,MATCH(G140,Cables!$A:$A,0))-1))):INDEX(Attenuation!$J:$J,(INDEX(Cables!$AO:$AO,MATCH(G140,Cables!$A:$A,0))-1+MIN(MAX(IFERROR(MATCH(LN(E140),INDEX(Attenuation!$J:$J,INDEX(Cables!$AO:$AO,MATCH(G140,Cables!$A:$A,0))):INDEX(Attenuation!$J:$J,INDEX(Cables!$AO:$AO,MATCH(G140,Cables!$A:$A,0))+INDEX(Cables!$AP:$AP,MATCH(G140,Cables!$A:$A,0))-1),1),1),1),INDEX(Cables!$AP:$AP,MATCH(G140,Cables!$A:$A,0))-1))+1)))*0.3048)</f>
        <v>7.8425804891522164</v>
      </c>
      <c r="J140" s="44">
        <f t="shared" si="2"/>
        <v>0</v>
      </c>
      <c r="K140" s="40" t="str">
        <f>IF(G140="","Doğrulanmadı",IF(ABS(J140)&lt;=0.1,"Uyumlu (±%10)",IF(ABS(J140)&lt;=0.25,"Fark %10-25","Fark &gt;%25"))&amp;IF(OR(D140&lt;INDEX(Cables!$AQ:$AQ,MATCH(G140,Cables!$A:$A,0)),E140&gt;INDEX(Cables!$AR:$AR,MATCH(G140,Cables!$A:$A,0)))," · ekstrapolasyon",""))</f>
        <v>Uyumlu (±%10)</v>
      </c>
    </row>
    <row r="141" spans="1:11" x14ac:dyDescent="0.25">
      <c r="A141" s="37" t="s">
        <v>3007</v>
      </c>
      <c r="B141" s="40" t="str">
        <f>INDEX(Legacy_Index!$D:$D,MATCH(A141,Legacy_Index!$A:$A,0))</f>
        <v>RG213/U</v>
      </c>
      <c r="C141" s="37" t="s">
        <v>3120</v>
      </c>
      <c r="D141" s="37">
        <v>1200</v>
      </c>
      <c r="E141" s="37">
        <v>1300</v>
      </c>
      <c r="F141" s="37">
        <v>8.3000000000000007</v>
      </c>
      <c r="G141" s="40" t="str">
        <f>IF(INDEX(Legacy_Index!$G:$G,MATCH(A141,Legacy_Index!$A:$A,0))="","",INDEX(Legacy_Index!$G:$G,MATCH(A141,Legacy_Index!$A:$A,0)))</f>
        <v>BEL-8267</v>
      </c>
      <c r="H141" s="43">
        <f>IF(G141="","",EXP(FORECAST(LN(D141),INDEX(Attenuation!$K:$K,(INDEX(Cables!$AO:$AO,MATCH(G141,Cables!$A:$A,0))-1+MIN(MAX(IFERROR(MATCH(LN(D141),INDEX(Attenuation!$J:$J,INDEX(Cables!$AO:$AO,MATCH(G141,Cables!$A:$A,0))):INDEX(Attenuation!$J:$J,INDEX(Cables!$AO:$AO,MATCH(G141,Cables!$A:$A,0))+INDEX(Cables!$AP:$AP,MATCH(G141,Cables!$A:$A,0))-1),1),1),1),INDEX(Cables!$AP:$AP,MATCH(G141,Cables!$A:$A,0))-1))):INDEX(Attenuation!$K:$K,(INDEX(Cables!$AO:$AO,MATCH(G141,Cables!$A:$A,0))-1+MIN(MAX(IFERROR(MATCH(LN(D141),INDEX(Attenuation!$J:$J,INDEX(Cables!$AO:$AO,MATCH(G141,Cables!$A:$A,0))):INDEX(Attenuation!$J:$J,INDEX(Cables!$AO:$AO,MATCH(G141,Cables!$A:$A,0))+INDEX(Cables!$AP:$AP,MATCH(G141,Cables!$A:$A,0))-1),1),1),1),INDEX(Cables!$AP:$AP,MATCH(G141,Cables!$A:$A,0))-1))+1),INDEX(Attenuation!$J:$J,(INDEX(Cables!$AO:$AO,MATCH(G141,Cables!$A:$A,0))-1+MIN(MAX(IFERROR(MATCH(LN(D141),INDEX(Attenuation!$J:$J,INDEX(Cables!$AO:$AO,MATCH(G141,Cables!$A:$A,0))):INDEX(Attenuation!$J:$J,INDEX(Cables!$AO:$AO,MATCH(G141,Cables!$A:$A,0))+INDEX(Cables!$AP:$AP,MATCH(G141,Cables!$A:$A,0))-1),1),1),1),INDEX(Cables!$AP:$AP,MATCH(G141,Cables!$A:$A,0))-1))):INDEX(Attenuation!$J:$J,(INDEX(Cables!$AO:$AO,MATCH(G141,Cables!$A:$A,0))-1+MIN(MAX(IFERROR(MATCH(LN(D141),INDEX(Attenuation!$J:$J,INDEX(Cables!$AO:$AO,MATCH(G141,Cables!$A:$A,0))):INDEX(Attenuation!$J:$J,INDEX(Cables!$AO:$AO,MATCH(G141,Cables!$A:$A,0))+INDEX(Cables!$AP:$AP,MATCH(G141,Cables!$A:$A,0))-1),1),1),1),INDEX(Cables!$AP:$AP,MATCH(G141,Cables!$A:$A,0))-1))+1)))*0.3048)</f>
        <v>9.1108038622063603</v>
      </c>
      <c r="I141" s="43">
        <f>IF(G141="","",EXP(FORECAST(LN(E141),INDEX(Attenuation!$K:$K,(INDEX(Cables!$AO:$AO,MATCH(G141,Cables!$A:$A,0))-1+MIN(MAX(IFERROR(MATCH(LN(E141),INDEX(Attenuation!$J:$J,INDEX(Cables!$AO:$AO,MATCH(G141,Cables!$A:$A,0))):INDEX(Attenuation!$J:$J,INDEX(Cables!$AO:$AO,MATCH(G141,Cables!$A:$A,0))+INDEX(Cables!$AP:$AP,MATCH(G141,Cables!$A:$A,0))-1),1),1),1),INDEX(Cables!$AP:$AP,MATCH(G141,Cables!$A:$A,0))-1))):INDEX(Attenuation!$K:$K,(INDEX(Cables!$AO:$AO,MATCH(G141,Cables!$A:$A,0))-1+MIN(MAX(IFERROR(MATCH(LN(E141),INDEX(Attenuation!$J:$J,INDEX(Cables!$AO:$AO,MATCH(G141,Cables!$A:$A,0))):INDEX(Attenuation!$J:$J,INDEX(Cables!$AO:$AO,MATCH(G141,Cables!$A:$A,0))+INDEX(Cables!$AP:$AP,MATCH(G141,Cables!$A:$A,0))-1),1),1),1),INDEX(Cables!$AP:$AP,MATCH(G141,Cables!$A:$A,0))-1))+1),INDEX(Attenuation!$J:$J,(INDEX(Cables!$AO:$AO,MATCH(G141,Cables!$A:$A,0))-1+MIN(MAX(IFERROR(MATCH(LN(E141),INDEX(Attenuation!$J:$J,INDEX(Cables!$AO:$AO,MATCH(G141,Cables!$A:$A,0))):INDEX(Attenuation!$J:$J,INDEX(Cables!$AO:$AO,MATCH(G141,Cables!$A:$A,0))+INDEX(Cables!$AP:$AP,MATCH(G141,Cables!$A:$A,0))-1),1),1),1),INDEX(Cables!$AP:$AP,MATCH(G141,Cables!$A:$A,0))-1))):INDEX(Attenuation!$J:$J,(INDEX(Cables!$AO:$AO,MATCH(G141,Cables!$A:$A,0))-1+MIN(MAX(IFERROR(MATCH(LN(E141),INDEX(Attenuation!$J:$J,INDEX(Cables!$AO:$AO,MATCH(G141,Cables!$A:$A,0))):INDEX(Attenuation!$J:$J,INDEX(Cables!$AO:$AO,MATCH(G141,Cables!$A:$A,0))+INDEX(Cables!$AP:$AP,MATCH(G141,Cables!$A:$A,0))-1),1),1),1),INDEX(Cables!$AP:$AP,MATCH(G141,Cables!$A:$A,0))-1))+1)))*0.3048)</f>
        <v>9.6459871870792941</v>
      </c>
      <c r="J141" s="44">
        <f t="shared" si="2"/>
        <v>-8.8993668886864552E-2</v>
      </c>
      <c r="K141" s="40" t="str">
        <f>IF(G141="","Doğrulanmadı",IF(ABS(J141)&lt;=0.1,"Uyumlu (±%10)",IF(ABS(J141)&lt;=0.25,"Fark %10-25","Fark &gt;%25"))&amp;IF(OR(D141&lt;INDEX(Cables!$AQ:$AQ,MATCH(G141,Cables!$A:$A,0)),E141&gt;INDEX(Cables!$AR:$AR,MATCH(G141,Cables!$A:$A,0)))," · ekstrapolasyon",""))</f>
        <v>Uyumlu (±%10)</v>
      </c>
    </row>
    <row r="142" spans="1:11" x14ac:dyDescent="0.25">
      <c r="A142" s="37" t="s">
        <v>3009</v>
      </c>
      <c r="B142" s="40" t="str">
        <f>INDEX(Legacy_Index!$D:$D,MATCH(A142,Legacy_Index!$A:$A,0))</f>
        <v>RG214/U</v>
      </c>
      <c r="C142" s="37" t="s">
        <v>3117</v>
      </c>
      <c r="D142" s="37">
        <v>1</v>
      </c>
      <c r="E142" s="37">
        <v>10</v>
      </c>
      <c r="F142" s="37">
        <v>0.35</v>
      </c>
      <c r="G142" s="40" t="str">
        <f>IF(INDEX(Legacy_Index!$G:$G,MATCH(A142,Legacy_Index!$A:$A,0))="","",INDEX(Legacy_Index!$G:$G,MATCH(A142,Legacy_Index!$A:$A,0)))</f>
        <v>BEL-8268</v>
      </c>
      <c r="H142" s="43">
        <f>IF(G142="","",EXP(FORECAST(LN(D142),INDEX(Attenuation!$K:$K,(INDEX(Cables!$AO:$AO,MATCH(G142,Cables!$A:$A,0))-1+MIN(MAX(IFERROR(MATCH(LN(D142),INDEX(Attenuation!$J:$J,INDEX(Cables!$AO:$AO,MATCH(G142,Cables!$A:$A,0))):INDEX(Attenuation!$J:$J,INDEX(Cables!$AO:$AO,MATCH(G142,Cables!$A:$A,0))+INDEX(Cables!$AP:$AP,MATCH(G142,Cables!$A:$A,0))-1),1),1),1),INDEX(Cables!$AP:$AP,MATCH(G142,Cables!$A:$A,0))-1))):INDEX(Attenuation!$K:$K,(INDEX(Cables!$AO:$AO,MATCH(G142,Cables!$A:$A,0))-1+MIN(MAX(IFERROR(MATCH(LN(D142),INDEX(Attenuation!$J:$J,INDEX(Cables!$AO:$AO,MATCH(G142,Cables!$A:$A,0))):INDEX(Attenuation!$J:$J,INDEX(Cables!$AO:$AO,MATCH(G142,Cables!$A:$A,0))+INDEX(Cables!$AP:$AP,MATCH(G142,Cables!$A:$A,0))-1),1),1),1),INDEX(Cables!$AP:$AP,MATCH(G142,Cables!$A:$A,0))-1))+1),INDEX(Attenuation!$J:$J,(INDEX(Cables!$AO:$AO,MATCH(G142,Cables!$A:$A,0))-1+MIN(MAX(IFERROR(MATCH(LN(D142),INDEX(Attenuation!$J:$J,INDEX(Cables!$AO:$AO,MATCH(G142,Cables!$A:$A,0))):INDEX(Attenuation!$J:$J,INDEX(Cables!$AO:$AO,MATCH(G142,Cables!$A:$A,0))+INDEX(Cables!$AP:$AP,MATCH(G142,Cables!$A:$A,0))-1),1),1),1),INDEX(Cables!$AP:$AP,MATCH(G142,Cables!$A:$A,0))-1))):INDEX(Attenuation!$J:$J,(INDEX(Cables!$AO:$AO,MATCH(G142,Cables!$A:$A,0))-1+MIN(MAX(IFERROR(MATCH(LN(D142),INDEX(Attenuation!$J:$J,INDEX(Cables!$AO:$AO,MATCH(G142,Cables!$A:$A,0))):INDEX(Attenuation!$J:$J,INDEX(Cables!$AO:$AO,MATCH(G142,Cables!$A:$A,0))+INDEX(Cables!$AP:$AP,MATCH(G142,Cables!$A:$A,0))-1),1),1),1),INDEX(Cables!$AP:$AP,MATCH(G142,Cables!$A:$A,0))-1))+1)))*0.3048)</f>
        <v>0.17</v>
      </c>
      <c r="I142" s="43">
        <f>IF(G142="","",EXP(FORECAST(LN(E142),INDEX(Attenuation!$K:$K,(INDEX(Cables!$AO:$AO,MATCH(G142,Cables!$A:$A,0))-1+MIN(MAX(IFERROR(MATCH(LN(E142),INDEX(Attenuation!$J:$J,INDEX(Cables!$AO:$AO,MATCH(G142,Cables!$A:$A,0))):INDEX(Attenuation!$J:$J,INDEX(Cables!$AO:$AO,MATCH(G142,Cables!$A:$A,0))+INDEX(Cables!$AP:$AP,MATCH(G142,Cables!$A:$A,0))-1),1),1),1),INDEX(Cables!$AP:$AP,MATCH(G142,Cables!$A:$A,0))-1))):INDEX(Attenuation!$K:$K,(INDEX(Cables!$AO:$AO,MATCH(G142,Cables!$A:$A,0))-1+MIN(MAX(IFERROR(MATCH(LN(E142),INDEX(Attenuation!$J:$J,INDEX(Cables!$AO:$AO,MATCH(G142,Cables!$A:$A,0))):INDEX(Attenuation!$J:$J,INDEX(Cables!$AO:$AO,MATCH(G142,Cables!$A:$A,0))+INDEX(Cables!$AP:$AP,MATCH(G142,Cables!$A:$A,0))-1),1),1),1),INDEX(Cables!$AP:$AP,MATCH(G142,Cables!$A:$A,0))-1))+1),INDEX(Attenuation!$J:$J,(INDEX(Cables!$AO:$AO,MATCH(G142,Cables!$A:$A,0))-1+MIN(MAX(IFERROR(MATCH(LN(E142),INDEX(Attenuation!$J:$J,INDEX(Cables!$AO:$AO,MATCH(G142,Cables!$A:$A,0))):INDEX(Attenuation!$J:$J,INDEX(Cables!$AO:$AO,MATCH(G142,Cables!$A:$A,0))+INDEX(Cables!$AP:$AP,MATCH(G142,Cables!$A:$A,0))-1),1),1),1),INDEX(Cables!$AP:$AP,MATCH(G142,Cables!$A:$A,0))-1))):INDEX(Attenuation!$J:$J,(INDEX(Cables!$AO:$AO,MATCH(G142,Cables!$A:$A,0))-1+MIN(MAX(IFERROR(MATCH(LN(E142),INDEX(Attenuation!$J:$J,INDEX(Cables!$AO:$AO,MATCH(G142,Cables!$A:$A,0))):INDEX(Attenuation!$J:$J,INDEX(Cables!$AO:$AO,MATCH(G142,Cables!$A:$A,0))+INDEX(Cables!$AP:$AP,MATCH(G142,Cables!$A:$A,0))-1),1),1),1),INDEX(Cables!$AP:$AP,MATCH(G142,Cables!$A:$A,0))-1))+1)))*0.3048)</f>
        <v>0.55000000000000016</v>
      </c>
      <c r="J142" s="44">
        <f t="shared" si="2"/>
        <v>0</v>
      </c>
      <c r="K142" s="40" t="str">
        <f>IF(G142="","Doğrulanmadı",IF(ABS(J142)&lt;=0.1,"Uyumlu (±%10)",IF(ABS(J142)&lt;=0.25,"Fark %10-25","Fark &gt;%25"))&amp;IF(OR(D142&lt;INDEX(Cables!$AQ:$AQ,MATCH(G142,Cables!$A:$A,0)),E142&gt;INDEX(Cables!$AR:$AR,MATCH(G142,Cables!$A:$A,0)))," · ekstrapolasyon",""))</f>
        <v>Uyumlu (±%10)</v>
      </c>
    </row>
    <row r="143" spans="1:11" x14ac:dyDescent="0.25">
      <c r="A143" s="37" t="s">
        <v>3009</v>
      </c>
      <c r="B143" s="40" t="str">
        <f>INDEX(Legacy_Index!$D:$D,MATCH(A143,Legacy_Index!$A:$A,0))</f>
        <v>RG214/U</v>
      </c>
      <c r="C143" s="37" t="s">
        <v>3118</v>
      </c>
      <c r="D143" s="37">
        <v>30</v>
      </c>
      <c r="E143" s="37">
        <v>50</v>
      </c>
      <c r="F143" s="37">
        <v>1.3</v>
      </c>
      <c r="G143" s="40" t="str">
        <f>IF(INDEX(Legacy_Index!$G:$G,MATCH(A143,Legacy_Index!$A:$A,0))="","",INDEX(Legacy_Index!$G:$G,MATCH(A143,Legacy_Index!$A:$A,0)))</f>
        <v>BEL-8268</v>
      </c>
      <c r="H143" s="43">
        <f>IF(G143="","",EXP(FORECAST(LN(D143),INDEX(Attenuation!$K:$K,(INDEX(Cables!$AO:$AO,MATCH(G143,Cables!$A:$A,0))-1+MIN(MAX(IFERROR(MATCH(LN(D143),INDEX(Attenuation!$J:$J,INDEX(Cables!$AO:$AO,MATCH(G143,Cables!$A:$A,0))):INDEX(Attenuation!$J:$J,INDEX(Cables!$AO:$AO,MATCH(G143,Cables!$A:$A,0))+INDEX(Cables!$AP:$AP,MATCH(G143,Cables!$A:$A,0))-1),1),1),1),INDEX(Cables!$AP:$AP,MATCH(G143,Cables!$A:$A,0))-1))):INDEX(Attenuation!$K:$K,(INDEX(Cables!$AO:$AO,MATCH(G143,Cables!$A:$A,0))-1+MIN(MAX(IFERROR(MATCH(LN(D143),INDEX(Attenuation!$J:$J,INDEX(Cables!$AO:$AO,MATCH(G143,Cables!$A:$A,0))):INDEX(Attenuation!$J:$J,INDEX(Cables!$AO:$AO,MATCH(G143,Cables!$A:$A,0))+INDEX(Cables!$AP:$AP,MATCH(G143,Cables!$A:$A,0))-1),1),1),1),INDEX(Cables!$AP:$AP,MATCH(G143,Cables!$A:$A,0))-1))+1),INDEX(Attenuation!$J:$J,(INDEX(Cables!$AO:$AO,MATCH(G143,Cables!$A:$A,0))-1+MIN(MAX(IFERROR(MATCH(LN(D143),INDEX(Attenuation!$J:$J,INDEX(Cables!$AO:$AO,MATCH(G143,Cables!$A:$A,0))):INDEX(Attenuation!$J:$J,INDEX(Cables!$AO:$AO,MATCH(G143,Cables!$A:$A,0))+INDEX(Cables!$AP:$AP,MATCH(G143,Cables!$A:$A,0))-1),1),1),1),INDEX(Cables!$AP:$AP,MATCH(G143,Cables!$A:$A,0))-1))):INDEX(Attenuation!$J:$J,(INDEX(Cables!$AO:$AO,MATCH(G143,Cables!$A:$A,0))-1+MIN(MAX(IFERROR(MATCH(LN(D143),INDEX(Attenuation!$J:$J,INDEX(Cables!$AO:$AO,MATCH(G143,Cables!$A:$A,0))):INDEX(Attenuation!$J:$J,INDEX(Cables!$AO:$AO,MATCH(G143,Cables!$A:$A,0))+INDEX(Cables!$AP:$AP,MATCH(G143,Cables!$A:$A,0))-1),1),1),1),INDEX(Cables!$AP:$AP,MATCH(G143,Cables!$A:$A,0))-1))+1)))*0.3048)</f>
        <v>0.98939830968959397</v>
      </c>
      <c r="I143" s="43">
        <f>IF(G143="","",EXP(FORECAST(LN(E143),INDEX(Attenuation!$K:$K,(INDEX(Cables!$AO:$AO,MATCH(G143,Cables!$A:$A,0))-1+MIN(MAX(IFERROR(MATCH(LN(E143),INDEX(Attenuation!$J:$J,INDEX(Cables!$AO:$AO,MATCH(G143,Cables!$A:$A,0))):INDEX(Attenuation!$J:$J,INDEX(Cables!$AO:$AO,MATCH(G143,Cables!$A:$A,0))+INDEX(Cables!$AP:$AP,MATCH(G143,Cables!$A:$A,0))-1),1),1),1),INDEX(Cables!$AP:$AP,MATCH(G143,Cables!$A:$A,0))-1))):INDEX(Attenuation!$K:$K,(INDEX(Cables!$AO:$AO,MATCH(G143,Cables!$A:$A,0))-1+MIN(MAX(IFERROR(MATCH(LN(E143),INDEX(Attenuation!$J:$J,INDEX(Cables!$AO:$AO,MATCH(G143,Cables!$A:$A,0))):INDEX(Attenuation!$J:$J,INDEX(Cables!$AO:$AO,MATCH(G143,Cables!$A:$A,0))+INDEX(Cables!$AP:$AP,MATCH(G143,Cables!$A:$A,0))-1),1),1),1),INDEX(Cables!$AP:$AP,MATCH(G143,Cables!$A:$A,0))-1))+1),INDEX(Attenuation!$J:$J,(INDEX(Cables!$AO:$AO,MATCH(G143,Cables!$A:$A,0))-1+MIN(MAX(IFERROR(MATCH(LN(E143),INDEX(Attenuation!$J:$J,INDEX(Cables!$AO:$AO,MATCH(G143,Cables!$A:$A,0))):INDEX(Attenuation!$J:$J,INDEX(Cables!$AO:$AO,MATCH(G143,Cables!$A:$A,0))+INDEX(Cables!$AP:$AP,MATCH(G143,Cables!$A:$A,0))-1),1),1),1),INDEX(Cables!$AP:$AP,MATCH(G143,Cables!$A:$A,0))-1))):INDEX(Attenuation!$J:$J,(INDEX(Cables!$AO:$AO,MATCH(G143,Cables!$A:$A,0))-1+MIN(MAX(IFERROR(MATCH(LN(E143),INDEX(Attenuation!$J:$J,INDEX(Cables!$AO:$AO,MATCH(G143,Cables!$A:$A,0))):INDEX(Attenuation!$J:$J,INDEX(Cables!$AO:$AO,MATCH(G143,Cables!$A:$A,0))+INDEX(Cables!$AP:$AP,MATCH(G143,Cables!$A:$A,0))-1),1),1),1),INDEX(Cables!$AP:$AP,MATCH(G143,Cables!$A:$A,0))-1))+1)))*0.3048)</f>
        <v>1.2999999999999996</v>
      </c>
      <c r="J143" s="44">
        <f t="shared" si="2"/>
        <v>0</v>
      </c>
      <c r="K143" s="40" t="str">
        <f>IF(G143="","Doğrulanmadı",IF(ABS(J143)&lt;=0.1,"Uyumlu (±%10)",IF(ABS(J143)&lt;=0.25,"Fark %10-25","Fark &gt;%25"))&amp;IF(OR(D143&lt;INDEX(Cables!$AQ:$AQ,MATCH(G143,Cables!$A:$A,0)),E143&gt;INDEX(Cables!$AR:$AR,MATCH(G143,Cables!$A:$A,0)))," · ekstrapolasyon",""))</f>
        <v>Uyumlu (±%10)</v>
      </c>
    </row>
    <row r="144" spans="1:11" x14ac:dyDescent="0.25">
      <c r="A144" s="37" t="s">
        <v>3009</v>
      </c>
      <c r="B144" s="40" t="str">
        <f>INDEX(Legacy_Index!$D:$D,MATCH(A144,Legacy_Index!$A:$A,0))</f>
        <v>RG214/U</v>
      </c>
      <c r="C144" s="37" t="s">
        <v>3113</v>
      </c>
      <c r="D144" s="37">
        <v>70</v>
      </c>
      <c r="E144" s="37">
        <v>100</v>
      </c>
      <c r="F144" s="37">
        <v>1.9</v>
      </c>
      <c r="G144" s="40" t="str">
        <f>IF(INDEX(Legacy_Index!$G:$G,MATCH(A144,Legacy_Index!$A:$A,0))="","",INDEX(Legacy_Index!$G:$G,MATCH(A144,Legacy_Index!$A:$A,0)))</f>
        <v>BEL-8268</v>
      </c>
      <c r="H144" s="43">
        <f>IF(G144="","",EXP(FORECAST(LN(D144),INDEX(Attenuation!$K:$K,(INDEX(Cables!$AO:$AO,MATCH(G144,Cables!$A:$A,0))-1+MIN(MAX(IFERROR(MATCH(LN(D144),INDEX(Attenuation!$J:$J,INDEX(Cables!$AO:$AO,MATCH(G144,Cables!$A:$A,0))):INDEX(Attenuation!$J:$J,INDEX(Cables!$AO:$AO,MATCH(G144,Cables!$A:$A,0))+INDEX(Cables!$AP:$AP,MATCH(G144,Cables!$A:$A,0))-1),1),1),1),INDEX(Cables!$AP:$AP,MATCH(G144,Cables!$A:$A,0))-1))):INDEX(Attenuation!$K:$K,(INDEX(Cables!$AO:$AO,MATCH(G144,Cables!$A:$A,0))-1+MIN(MAX(IFERROR(MATCH(LN(D144),INDEX(Attenuation!$J:$J,INDEX(Cables!$AO:$AO,MATCH(G144,Cables!$A:$A,0))):INDEX(Attenuation!$J:$J,INDEX(Cables!$AO:$AO,MATCH(G144,Cables!$A:$A,0))+INDEX(Cables!$AP:$AP,MATCH(G144,Cables!$A:$A,0))-1),1),1),1),INDEX(Cables!$AP:$AP,MATCH(G144,Cables!$A:$A,0))-1))+1),INDEX(Attenuation!$J:$J,(INDEX(Cables!$AO:$AO,MATCH(G144,Cables!$A:$A,0))-1+MIN(MAX(IFERROR(MATCH(LN(D144),INDEX(Attenuation!$J:$J,INDEX(Cables!$AO:$AO,MATCH(G144,Cables!$A:$A,0))):INDEX(Attenuation!$J:$J,INDEX(Cables!$AO:$AO,MATCH(G144,Cables!$A:$A,0))+INDEX(Cables!$AP:$AP,MATCH(G144,Cables!$A:$A,0))-1),1),1),1),INDEX(Cables!$AP:$AP,MATCH(G144,Cables!$A:$A,0))-1))):INDEX(Attenuation!$J:$J,(INDEX(Cables!$AO:$AO,MATCH(G144,Cables!$A:$A,0))-1+MIN(MAX(IFERROR(MATCH(LN(D144),INDEX(Attenuation!$J:$J,INDEX(Cables!$AO:$AO,MATCH(G144,Cables!$A:$A,0))):INDEX(Attenuation!$J:$J,INDEX(Cables!$AO:$AO,MATCH(G144,Cables!$A:$A,0))+INDEX(Cables!$AP:$AP,MATCH(G144,Cables!$A:$A,0))-1),1),1),1),INDEX(Cables!$AP:$AP,MATCH(G144,Cables!$A:$A,0))-1))+1)))*0.3048)</f>
        <v>1.562955699012726</v>
      </c>
      <c r="I144" s="43">
        <f>IF(G144="","",EXP(FORECAST(LN(E144),INDEX(Attenuation!$K:$K,(INDEX(Cables!$AO:$AO,MATCH(G144,Cables!$A:$A,0))-1+MIN(MAX(IFERROR(MATCH(LN(E144),INDEX(Attenuation!$J:$J,INDEX(Cables!$AO:$AO,MATCH(G144,Cables!$A:$A,0))):INDEX(Attenuation!$J:$J,INDEX(Cables!$AO:$AO,MATCH(G144,Cables!$A:$A,0))+INDEX(Cables!$AP:$AP,MATCH(G144,Cables!$A:$A,0))-1),1),1),1),INDEX(Cables!$AP:$AP,MATCH(G144,Cables!$A:$A,0))-1))):INDEX(Attenuation!$K:$K,(INDEX(Cables!$AO:$AO,MATCH(G144,Cables!$A:$A,0))-1+MIN(MAX(IFERROR(MATCH(LN(E144),INDEX(Attenuation!$J:$J,INDEX(Cables!$AO:$AO,MATCH(G144,Cables!$A:$A,0))):INDEX(Attenuation!$J:$J,INDEX(Cables!$AO:$AO,MATCH(G144,Cables!$A:$A,0))+INDEX(Cables!$AP:$AP,MATCH(G144,Cables!$A:$A,0))-1),1),1),1),INDEX(Cables!$AP:$AP,MATCH(G144,Cables!$A:$A,0))-1))+1),INDEX(Attenuation!$J:$J,(INDEX(Cables!$AO:$AO,MATCH(G144,Cables!$A:$A,0))-1+MIN(MAX(IFERROR(MATCH(LN(E144),INDEX(Attenuation!$J:$J,INDEX(Cables!$AO:$AO,MATCH(G144,Cables!$A:$A,0))):INDEX(Attenuation!$J:$J,INDEX(Cables!$AO:$AO,MATCH(G144,Cables!$A:$A,0))+INDEX(Cables!$AP:$AP,MATCH(G144,Cables!$A:$A,0))-1),1),1),1),INDEX(Cables!$AP:$AP,MATCH(G144,Cables!$A:$A,0))-1))):INDEX(Attenuation!$J:$J,(INDEX(Cables!$AO:$AO,MATCH(G144,Cables!$A:$A,0))-1+MIN(MAX(IFERROR(MATCH(LN(E144),INDEX(Attenuation!$J:$J,INDEX(Cables!$AO:$AO,MATCH(G144,Cables!$A:$A,0))):INDEX(Attenuation!$J:$J,INDEX(Cables!$AO:$AO,MATCH(G144,Cables!$A:$A,0))+INDEX(Cables!$AP:$AP,MATCH(G144,Cables!$A:$A,0))-1),1),1),1),INDEX(Cables!$AP:$AP,MATCH(G144,Cables!$A:$A,0))-1))+1)))*0.3048)</f>
        <v>1.9</v>
      </c>
      <c r="J144" s="44">
        <f t="shared" si="2"/>
        <v>0</v>
      </c>
      <c r="K144" s="40" t="str">
        <f>IF(G144="","Doğrulanmadı",IF(ABS(J144)&lt;=0.1,"Uyumlu (±%10)",IF(ABS(J144)&lt;=0.25,"Fark %10-25","Fark &gt;%25"))&amp;IF(OR(D144&lt;INDEX(Cables!$AQ:$AQ,MATCH(G144,Cables!$A:$A,0)),E144&gt;INDEX(Cables!$AR:$AR,MATCH(G144,Cables!$A:$A,0)))," · ekstrapolasyon",""))</f>
        <v>Uyumlu (±%10)</v>
      </c>
    </row>
    <row r="145" spans="1:11" x14ac:dyDescent="0.25">
      <c r="A145" s="37" t="s">
        <v>3009</v>
      </c>
      <c r="B145" s="40" t="str">
        <f>INDEX(Legacy_Index!$D:$D,MATCH(A145,Legacy_Index!$A:$A,0))</f>
        <v>RG214/U</v>
      </c>
      <c r="C145" s="37" t="s">
        <v>3114</v>
      </c>
      <c r="D145" s="37">
        <v>148</v>
      </c>
      <c r="E145" s="37">
        <v>174</v>
      </c>
      <c r="F145" s="37">
        <v>2.6</v>
      </c>
      <c r="G145" s="40" t="str">
        <f>IF(INDEX(Legacy_Index!$G:$G,MATCH(A145,Legacy_Index!$A:$A,0))="","",INDEX(Legacy_Index!$G:$G,MATCH(A145,Legacy_Index!$A:$A,0)))</f>
        <v>BEL-8268</v>
      </c>
      <c r="H145" s="43">
        <f>IF(G145="","",EXP(FORECAST(LN(D145),INDEX(Attenuation!$K:$K,(INDEX(Cables!$AO:$AO,MATCH(G145,Cables!$A:$A,0))-1+MIN(MAX(IFERROR(MATCH(LN(D145),INDEX(Attenuation!$J:$J,INDEX(Cables!$AO:$AO,MATCH(G145,Cables!$A:$A,0))):INDEX(Attenuation!$J:$J,INDEX(Cables!$AO:$AO,MATCH(G145,Cables!$A:$A,0))+INDEX(Cables!$AP:$AP,MATCH(G145,Cables!$A:$A,0))-1),1),1),1),INDEX(Cables!$AP:$AP,MATCH(G145,Cables!$A:$A,0))-1))):INDEX(Attenuation!$K:$K,(INDEX(Cables!$AO:$AO,MATCH(G145,Cables!$A:$A,0))-1+MIN(MAX(IFERROR(MATCH(LN(D145),INDEX(Attenuation!$J:$J,INDEX(Cables!$AO:$AO,MATCH(G145,Cables!$A:$A,0))):INDEX(Attenuation!$J:$J,INDEX(Cables!$AO:$AO,MATCH(G145,Cables!$A:$A,0))+INDEX(Cables!$AP:$AP,MATCH(G145,Cables!$A:$A,0))-1),1),1),1),INDEX(Cables!$AP:$AP,MATCH(G145,Cables!$A:$A,0))-1))+1),INDEX(Attenuation!$J:$J,(INDEX(Cables!$AO:$AO,MATCH(G145,Cables!$A:$A,0))-1+MIN(MAX(IFERROR(MATCH(LN(D145),INDEX(Attenuation!$J:$J,INDEX(Cables!$AO:$AO,MATCH(G145,Cables!$A:$A,0))):INDEX(Attenuation!$J:$J,INDEX(Cables!$AO:$AO,MATCH(G145,Cables!$A:$A,0))+INDEX(Cables!$AP:$AP,MATCH(G145,Cables!$A:$A,0))-1),1),1),1),INDEX(Cables!$AP:$AP,MATCH(G145,Cables!$A:$A,0))-1))):INDEX(Attenuation!$J:$J,(INDEX(Cables!$AO:$AO,MATCH(G145,Cables!$A:$A,0))-1+MIN(MAX(IFERROR(MATCH(LN(D145),INDEX(Attenuation!$J:$J,INDEX(Cables!$AO:$AO,MATCH(G145,Cables!$A:$A,0))):INDEX(Attenuation!$J:$J,INDEX(Cables!$AO:$AO,MATCH(G145,Cables!$A:$A,0))+INDEX(Cables!$AP:$AP,MATCH(G145,Cables!$A:$A,0))-1),1),1),1),INDEX(Cables!$AP:$AP,MATCH(G145,Cables!$A:$A,0))-1))+1)))*0.3048)</f>
        <v>2.3177654155550655</v>
      </c>
      <c r="I145" s="43">
        <f>IF(G145="","",EXP(FORECAST(LN(E145),INDEX(Attenuation!$K:$K,(INDEX(Cables!$AO:$AO,MATCH(G145,Cables!$A:$A,0))-1+MIN(MAX(IFERROR(MATCH(LN(E145),INDEX(Attenuation!$J:$J,INDEX(Cables!$AO:$AO,MATCH(G145,Cables!$A:$A,0))):INDEX(Attenuation!$J:$J,INDEX(Cables!$AO:$AO,MATCH(G145,Cables!$A:$A,0))+INDEX(Cables!$AP:$AP,MATCH(G145,Cables!$A:$A,0))-1),1),1),1),INDEX(Cables!$AP:$AP,MATCH(G145,Cables!$A:$A,0))-1))):INDEX(Attenuation!$K:$K,(INDEX(Cables!$AO:$AO,MATCH(G145,Cables!$A:$A,0))-1+MIN(MAX(IFERROR(MATCH(LN(E145),INDEX(Attenuation!$J:$J,INDEX(Cables!$AO:$AO,MATCH(G145,Cables!$A:$A,0))):INDEX(Attenuation!$J:$J,INDEX(Cables!$AO:$AO,MATCH(G145,Cables!$A:$A,0))+INDEX(Cables!$AP:$AP,MATCH(G145,Cables!$A:$A,0))-1),1),1),1),INDEX(Cables!$AP:$AP,MATCH(G145,Cables!$A:$A,0))-1))+1),INDEX(Attenuation!$J:$J,(INDEX(Cables!$AO:$AO,MATCH(G145,Cables!$A:$A,0))-1+MIN(MAX(IFERROR(MATCH(LN(E145),INDEX(Attenuation!$J:$J,INDEX(Cables!$AO:$AO,MATCH(G145,Cables!$A:$A,0))):INDEX(Attenuation!$J:$J,INDEX(Cables!$AO:$AO,MATCH(G145,Cables!$A:$A,0))+INDEX(Cables!$AP:$AP,MATCH(G145,Cables!$A:$A,0))-1),1),1),1),INDEX(Cables!$AP:$AP,MATCH(G145,Cables!$A:$A,0))-1))):INDEX(Attenuation!$J:$J,(INDEX(Cables!$AO:$AO,MATCH(G145,Cables!$A:$A,0))-1+MIN(MAX(IFERROR(MATCH(LN(E145),INDEX(Attenuation!$J:$J,INDEX(Cables!$AO:$AO,MATCH(G145,Cables!$A:$A,0))):INDEX(Attenuation!$J:$J,INDEX(Cables!$AO:$AO,MATCH(G145,Cables!$A:$A,0))+INDEX(Cables!$AP:$AP,MATCH(G145,Cables!$A:$A,0))-1),1),1),1),INDEX(Cables!$AP:$AP,MATCH(G145,Cables!$A:$A,0))-1))+1)))*0.3048)</f>
        <v>2.5159525438759274</v>
      </c>
      <c r="J145" s="44">
        <f t="shared" si="2"/>
        <v>3.3405819330198483E-2</v>
      </c>
      <c r="K145" s="40" t="str">
        <f>IF(G145="","Doğrulanmadı",IF(ABS(J145)&lt;=0.1,"Uyumlu (±%10)",IF(ABS(J145)&lt;=0.25,"Fark %10-25","Fark &gt;%25"))&amp;IF(OR(D145&lt;INDEX(Cables!$AQ:$AQ,MATCH(G145,Cables!$A:$A,0)),E145&gt;INDEX(Cables!$AR:$AR,MATCH(G145,Cables!$A:$A,0)))," · ekstrapolasyon",""))</f>
        <v>Uyumlu (±%10)</v>
      </c>
    </row>
    <row r="146" spans="1:11" x14ac:dyDescent="0.25">
      <c r="A146" s="37" t="s">
        <v>3009</v>
      </c>
      <c r="B146" s="40" t="str">
        <f>INDEX(Legacy_Index!$D:$D,MATCH(A146,Legacy_Index!$A:$A,0))</f>
        <v>RG214/U</v>
      </c>
      <c r="C146" s="37" t="s">
        <v>3119</v>
      </c>
      <c r="D146" s="37">
        <v>220</v>
      </c>
      <c r="E146" s="37">
        <v>220</v>
      </c>
      <c r="F146" s="37">
        <v>2.8</v>
      </c>
      <c r="G146" s="40" t="str">
        <f>IF(INDEX(Legacy_Index!$G:$G,MATCH(A146,Legacy_Index!$A:$A,0))="","",INDEX(Legacy_Index!$G:$G,MATCH(A146,Legacy_Index!$A:$A,0)))</f>
        <v>BEL-8268</v>
      </c>
      <c r="H146" s="43">
        <f>IF(G146="","",EXP(FORECAST(LN(D146),INDEX(Attenuation!$K:$K,(INDEX(Cables!$AO:$AO,MATCH(G146,Cables!$A:$A,0))-1+MIN(MAX(IFERROR(MATCH(LN(D146),INDEX(Attenuation!$J:$J,INDEX(Cables!$AO:$AO,MATCH(G146,Cables!$A:$A,0))):INDEX(Attenuation!$J:$J,INDEX(Cables!$AO:$AO,MATCH(G146,Cables!$A:$A,0))+INDEX(Cables!$AP:$AP,MATCH(G146,Cables!$A:$A,0))-1),1),1),1),INDEX(Cables!$AP:$AP,MATCH(G146,Cables!$A:$A,0))-1))):INDEX(Attenuation!$K:$K,(INDEX(Cables!$AO:$AO,MATCH(G146,Cables!$A:$A,0))-1+MIN(MAX(IFERROR(MATCH(LN(D146),INDEX(Attenuation!$J:$J,INDEX(Cables!$AO:$AO,MATCH(G146,Cables!$A:$A,0))):INDEX(Attenuation!$J:$J,INDEX(Cables!$AO:$AO,MATCH(G146,Cables!$A:$A,0))+INDEX(Cables!$AP:$AP,MATCH(G146,Cables!$A:$A,0))-1),1),1),1),INDEX(Cables!$AP:$AP,MATCH(G146,Cables!$A:$A,0))-1))+1),INDEX(Attenuation!$J:$J,(INDEX(Cables!$AO:$AO,MATCH(G146,Cables!$A:$A,0))-1+MIN(MAX(IFERROR(MATCH(LN(D146),INDEX(Attenuation!$J:$J,INDEX(Cables!$AO:$AO,MATCH(G146,Cables!$A:$A,0))):INDEX(Attenuation!$J:$J,INDEX(Cables!$AO:$AO,MATCH(G146,Cables!$A:$A,0))+INDEX(Cables!$AP:$AP,MATCH(G146,Cables!$A:$A,0))-1),1),1),1),INDEX(Cables!$AP:$AP,MATCH(G146,Cables!$A:$A,0))-1))):INDEX(Attenuation!$J:$J,(INDEX(Cables!$AO:$AO,MATCH(G146,Cables!$A:$A,0))-1+MIN(MAX(IFERROR(MATCH(LN(D146),INDEX(Attenuation!$J:$J,INDEX(Cables!$AO:$AO,MATCH(G146,Cables!$A:$A,0))):INDEX(Attenuation!$J:$J,INDEX(Cables!$AO:$AO,MATCH(G146,Cables!$A:$A,0))+INDEX(Cables!$AP:$AP,MATCH(G146,Cables!$A:$A,0))-1),1),1),1),INDEX(Cables!$AP:$AP,MATCH(G146,Cables!$A:$A,0))-1))+1)))*0.3048)</f>
        <v>2.8596288254576296</v>
      </c>
      <c r="I146" s="43">
        <f>IF(G146="","",EXP(FORECAST(LN(E146),INDEX(Attenuation!$K:$K,(INDEX(Cables!$AO:$AO,MATCH(G146,Cables!$A:$A,0))-1+MIN(MAX(IFERROR(MATCH(LN(E146),INDEX(Attenuation!$J:$J,INDEX(Cables!$AO:$AO,MATCH(G146,Cables!$A:$A,0))):INDEX(Attenuation!$J:$J,INDEX(Cables!$AO:$AO,MATCH(G146,Cables!$A:$A,0))+INDEX(Cables!$AP:$AP,MATCH(G146,Cables!$A:$A,0))-1),1),1),1),INDEX(Cables!$AP:$AP,MATCH(G146,Cables!$A:$A,0))-1))):INDEX(Attenuation!$K:$K,(INDEX(Cables!$AO:$AO,MATCH(G146,Cables!$A:$A,0))-1+MIN(MAX(IFERROR(MATCH(LN(E146),INDEX(Attenuation!$J:$J,INDEX(Cables!$AO:$AO,MATCH(G146,Cables!$A:$A,0))):INDEX(Attenuation!$J:$J,INDEX(Cables!$AO:$AO,MATCH(G146,Cables!$A:$A,0))+INDEX(Cables!$AP:$AP,MATCH(G146,Cables!$A:$A,0))-1),1),1),1),INDEX(Cables!$AP:$AP,MATCH(G146,Cables!$A:$A,0))-1))+1),INDEX(Attenuation!$J:$J,(INDEX(Cables!$AO:$AO,MATCH(G146,Cables!$A:$A,0))-1+MIN(MAX(IFERROR(MATCH(LN(E146),INDEX(Attenuation!$J:$J,INDEX(Cables!$AO:$AO,MATCH(G146,Cables!$A:$A,0))):INDEX(Attenuation!$J:$J,INDEX(Cables!$AO:$AO,MATCH(G146,Cables!$A:$A,0))+INDEX(Cables!$AP:$AP,MATCH(G146,Cables!$A:$A,0))-1),1),1),1),INDEX(Cables!$AP:$AP,MATCH(G146,Cables!$A:$A,0))-1))):INDEX(Attenuation!$J:$J,(INDEX(Cables!$AO:$AO,MATCH(G146,Cables!$A:$A,0))-1+MIN(MAX(IFERROR(MATCH(LN(E146),INDEX(Attenuation!$J:$J,INDEX(Cables!$AO:$AO,MATCH(G146,Cables!$A:$A,0))):INDEX(Attenuation!$J:$J,INDEX(Cables!$AO:$AO,MATCH(G146,Cables!$A:$A,0))+INDEX(Cables!$AP:$AP,MATCH(G146,Cables!$A:$A,0))-1),1),1),1),INDEX(Cables!$AP:$AP,MATCH(G146,Cables!$A:$A,0))-1))+1)))*0.3048)</f>
        <v>2.8596288254576296</v>
      </c>
      <c r="J146" s="44">
        <f t="shared" si="2"/>
        <v>-2.0851945863319288E-2</v>
      </c>
      <c r="K146" s="40" t="str">
        <f>IF(G146="","Doğrulanmadı",IF(ABS(J146)&lt;=0.1,"Uyumlu (±%10)",IF(ABS(J146)&lt;=0.25,"Fark %10-25","Fark &gt;%25"))&amp;IF(OR(D146&lt;INDEX(Cables!$AQ:$AQ,MATCH(G146,Cables!$A:$A,0)),E146&gt;INDEX(Cables!$AR:$AR,MATCH(G146,Cables!$A:$A,0)))," · ekstrapolasyon",""))</f>
        <v>Uyumlu (±%10)</v>
      </c>
    </row>
    <row r="147" spans="1:11" x14ac:dyDescent="0.25">
      <c r="A147" s="37" t="s">
        <v>3009</v>
      </c>
      <c r="B147" s="40" t="str">
        <f>INDEX(Legacy_Index!$D:$D,MATCH(A147,Legacy_Index!$A:$A,0))</f>
        <v>RG214/U</v>
      </c>
      <c r="C147" s="37" t="s">
        <v>3115</v>
      </c>
      <c r="D147" s="37">
        <v>400</v>
      </c>
      <c r="E147" s="37">
        <v>520</v>
      </c>
      <c r="F147" s="37">
        <v>5</v>
      </c>
      <c r="G147" s="40" t="str">
        <f>IF(INDEX(Legacy_Index!$G:$G,MATCH(A147,Legacy_Index!$A:$A,0))="","",INDEX(Legacy_Index!$G:$G,MATCH(A147,Legacy_Index!$A:$A,0)))</f>
        <v>BEL-8268</v>
      </c>
      <c r="H147" s="43">
        <f>IF(G147="","",EXP(FORECAST(LN(D147),INDEX(Attenuation!$K:$K,(INDEX(Cables!$AO:$AO,MATCH(G147,Cables!$A:$A,0))-1+MIN(MAX(IFERROR(MATCH(LN(D147),INDEX(Attenuation!$J:$J,INDEX(Cables!$AO:$AO,MATCH(G147,Cables!$A:$A,0))):INDEX(Attenuation!$J:$J,INDEX(Cables!$AO:$AO,MATCH(G147,Cables!$A:$A,0))+INDEX(Cables!$AP:$AP,MATCH(G147,Cables!$A:$A,0))-1),1),1),1),INDEX(Cables!$AP:$AP,MATCH(G147,Cables!$A:$A,0))-1))):INDEX(Attenuation!$K:$K,(INDEX(Cables!$AO:$AO,MATCH(G147,Cables!$A:$A,0))-1+MIN(MAX(IFERROR(MATCH(LN(D147),INDEX(Attenuation!$J:$J,INDEX(Cables!$AO:$AO,MATCH(G147,Cables!$A:$A,0))):INDEX(Attenuation!$J:$J,INDEX(Cables!$AO:$AO,MATCH(G147,Cables!$A:$A,0))+INDEX(Cables!$AP:$AP,MATCH(G147,Cables!$A:$A,0))-1),1),1),1),INDEX(Cables!$AP:$AP,MATCH(G147,Cables!$A:$A,0))-1))+1),INDEX(Attenuation!$J:$J,(INDEX(Cables!$AO:$AO,MATCH(G147,Cables!$A:$A,0))-1+MIN(MAX(IFERROR(MATCH(LN(D147),INDEX(Attenuation!$J:$J,INDEX(Cables!$AO:$AO,MATCH(G147,Cables!$A:$A,0))):INDEX(Attenuation!$J:$J,INDEX(Cables!$AO:$AO,MATCH(G147,Cables!$A:$A,0))+INDEX(Cables!$AP:$AP,MATCH(G147,Cables!$A:$A,0))-1),1),1),1),INDEX(Cables!$AP:$AP,MATCH(G147,Cables!$A:$A,0))-1))):INDEX(Attenuation!$J:$J,(INDEX(Cables!$AO:$AO,MATCH(G147,Cables!$A:$A,0))-1+MIN(MAX(IFERROR(MATCH(LN(D147),INDEX(Attenuation!$J:$J,INDEX(Cables!$AO:$AO,MATCH(G147,Cables!$A:$A,0))):INDEX(Attenuation!$J:$J,INDEX(Cables!$AO:$AO,MATCH(G147,Cables!$A:$A,0))+INDEX(Cables!$AP:$AP,MATCH(G147,Cables!$A:$A,0))-1),1),1),1),INDEX(Cables!$AP:$AP,MATCH(G147,Cables!$A:$A,0))-1))+1)))*0.3048)</f>
        <v>4.1000000000000014</v>
      </c>
      <c r="I147" s="43">
        <f>IF(G147="","",EXP(FORECAST(LN(E147),INDEX(Attenuation!$K:$K,(INDEX(Cables!$AO:$AO,MATCH(G147,Cables!$A:$A,0))-1+MIN(MAX(IFERROR(MATCH(LN(E147),INDEX(Attenuation!$J:$J,INDEX(Cables!$AO:$AO,MATCH(G147,Cables!$A:$A,0))):INDEX(Attenuation!$J:$J,INDEX(Cables!$AO:$AO,MATCH(G147,Cables!$A:$A,0))+INDEX(Cables!$AP:$AP,MATCH(G147,Cables!$A:$A,0))-1),1),1),1),INDEX(Cables!$AP:$AP,MATCH(G147,Cables!$A:$A,0))-1))):INDEX(Attenuation!$K:$K,(INDEX(Cables!$AO:$AO,MATCH(G147,Cables!$A:$A,0))-1+MIN(MAX(IFERROR(MATCH(LN(E147),INDEX(Attenuation!$J:$J,INDEX(Cables!$AO:$AO,MATCH(G147,Cables!$A:$A,0))):INDEX(Attenuation!$J:$J,INDEX(Cables!$AO:$AO,MATCH(G147,Cables!$A:$A,0))+INDEX(Cables!$AP:$AP,MATCH(G147,Cables!$A:$A,0))-1),1),1),1),INDEX(Cables!$AP:$AP,MATCH(G147,Cables!$A:$A,0))-1))+1),INDEX(Attenuation!$J:$J,(INDEX(Cables!$AO:$AO,MATCH(G147,Cables!$A:$A,0))-1+MIN(MAX(IFERROR(MATCH(LN(E147),INDEX(Attenuation!$J:$J,INDEX(Cables!$AO:$AO,MATCH(G147,Cables!$A:$A,0))):INDEX(Attenuation!$J:$J,INDEX(Cables!$AO:$AO,MATCH(G147,Cables!$A:$A,0))+INDEX(Cables!$AP:$AP,MATCH(G147,Cables!$A:$A,0))-1),1),1),1),INDEX(Cables!$AP:$AP,MATCH(G147,Cables!$A:$A,0))-1))):INDEX(Attenuation!$J:$J,(INDEX(Cables!$AO:$AO,MATCH(G147,Cables!$A:$A,0))-1+MIN(MAX(IFERROR(MATCH(LN(E147),INDEX(Attenuation!$J:$J,INDEX(Cables!$AO:$AO,MATCH(G147,Cables!$A:$A,0))):INDEX(Attenuation!$J:$J,INDEX(Cables!$AO:$AO,MATCH(G147,Cables!$A:$A,0))+INDEX(Cables!$AP:$AP,MATCH(G147,Cables!$A:$A,0))-1),1),1),1),INDEX(Cables!$AP:$AP,MATCH(G147,Cables!$A:$A,0))-1))+1)))*0.3048)</f>
        <v>5.0887419128076008</v>
      </c>
      <c r="J147" s="44">
        <f t="shared" si="2"/>
        <v>0</v>
      </c>
      <c r="K147" s="40" t="str">
        <f>IF(G147="","Doğrulanmadı",IF(ABS(J147)&lt;=0.1,"Uyumlu (±%10)",IF(ABS(J147)&lt;=0.25,"Fark %10-25","Fark &gt;%25"))&amp;IF(OR(D147&lt;INDEX(Cables!$AQ:$AQ,MATCH(G147,Cables!$A:$A,0)),E147&gt;INDEX(Cables!$AR:$AR,MATCH(G147,Cables!$A:$A,0)))," · ekstrapolasyon",""))</f>
        <v>Uyumlu (±%10)</v>
      </c>
    </row>
    <row r="148" spans="1:11" x14ac:dyDescent="0.25">
      <c r="A148" s="37" t="s">
        <v>3009</v>
      </c>
      <c r="B148" s="40" t="str">
        <f>INDEX(Legacy_Index!$D:$D,MATCH(A148,Legacy_Index!$A:$A,0))</f>
        <v>RG214/U</v>
      </c>
      <c r="C148" s="37" t="s">
        <v>3116</v>
      </c>
      <c r="D148" s="37">
        <v>700</v>
      </c>
      <c r="E148" s="37">
        <v>960</v>
      </c>
      <c r="F148" s="37">
        <v>7.4</v>
      </c>
      <c r="G148" s="40" t="str">
        <f>IF(INDEX(Legacy_Index!$G:$G,MATCH(A148,Legacy_Index!$A:$A,0))="","",INDEX(Legacy_Index!$G:$G,MATCH(A148,Legacy_Index!$A:$A,0)))</f>
        <v>BEL-8268</v>
      </c>
      <c r="H148" s="43">
        <f>IF(G148="","",EXP(FORECAST(LN(D148),INDEX(Attenuation!$K:$K,(INDEX(Cables!$AO:$AO,MATCH(G148,Cables!$A:$A,0))-1+MIN(MAX(IFERROR(MATCH(LN(D148),INDEX(Attenuation!$J:$J,INDEX(Cables!$AO:$AO,MATCH(G148,Cables!$A:$A,0))):INDEX(Attenuation!$J:$J,INDEX(Cables!$AO:$AO,MATCH(G148,Cables!$A:$A,0))+INDEX(Cables!$AP:$AP,MATCH(G148,Cables!$A:$A,0))-1),1),1),1),INDEX(Cables!$AP:$AP,MATCH(G148,Cables!$A:$A,0))-1))):INDEX(Attenuation!$K:$K,(INDEX(Cables!$AO:$AO,MATCH(G148,Cables!$A:$A,0))-1+MIN(MAX(IFERROR(MATCH(LN(D148),INDEX(Attenuation!$J:$J,INDEX(Cables!$AO:$AO,MATCH(G148,Cables!$A:$A,0))):INDEX(Attenuation!$J:$J,INDEX(Cables!$AO:$AO,MATCH(G148,Cables!$A:$A,0))+INDEX(Cables!$AP:$AP,MATCH(G148,Cables!$A:$A,0))-1),1),1),1),INDEX(Cables!$AP:$AP,MATCH(G148,Cables!$A:$A,0))-1))+1),INDEX(Attenuation!$J:$J,(INDEX(Cables!$AO:$AO,MATCH(G148,Cables!$A:$A,0))-1+MIN(MAX(IFERROR(MATCH(LN(D148),INDEX(Attenuation!$J:$J,INDEX(Cables!$AO:$AO,MATCH(G148,Cables!$A:$A,0))):INDEX(Attenuation!$J:$J,INDEX(Cables!$AO:$AO,MATCH(G148,Cables!$A:$A,0))+INDEX(Cables!$AP:$AP,MATCH(G148,Cables!$A:$A,0))-1),1),1),1),INDEX(Cables!$AP:$AP,MATCH(G148,Cables!$A:$A,0))-1))):INDEX(Attenuation!$J:$J,(INDEX(Cables!$AO:$AO,MATCH(G148,Cables!$A:$A,0))-1+MIN(MAX(IFERROR(MATCH(LN(D148),INDEX(Attenuation!$J:$J,INDEX(Cables!$AO:$AO,MATCH(G148,Cables!$A:$A,0))):INDEX(Attenuation!$J:$J,INDEX(Cables!$AO:$AO,MATCH(G148,Cables!$A:$A,0))+INDEX(Cables!$AP:$AP,MATCH(G148,Cables!$A:$A,0))-1),1),1),1),INDEX(Cables!$AP:$AP,MATCH(G148,Cables!$A:$A,0))-1))+1)))*0.3048)</f>
        <v>6.4999999999999964</v>
      </c>
      <c r="I148" s="43">
        <f>IF(G148="","",EXP(FORECAST(LN(E148),INDEX(Attenuation!$K:$K,(INDEX(Cables!$AO:$AO,MATCH(G148,Cables!$A:$A,0))-1+MIN(MAX(IFERROR(MATCH(LN(E148),INDEX(Attenuation!$J:$J,INDEX(Cables!$AO:$AO,MATCH(G148,Cables!$A:$A,0))):INDEX(Attenuation!$J:$J,INDEX(Cables!$AO:$AO,MATCH(G148,Cables!$A:$A,0))+INDEX(Cables!$AP:$AP,MATCH(G148,Cables!$A:$A,0))-1),1),1),1),INDEX(Cables!$AP:$AP,MATCH(G148,Cables!$A:$A,0))-1))):INDEX(Attenuation!$K:$K,(INDEX(Cables!$AO:$AO,MATCH(G148,Cables!$A:$A,0))-1+MIN(MAX(IFERROR(MATCH(LN(E148),INDEX(Attenuation!$J:$J,INDEX(Cables!$AO:$AO,MATCH(G148,Cables!$A:$A,0))):INDEX(Attenuation!$J:$J,INDEX(Cables!$AO:$AO,MATCH(G148,Cables!$A:$A,0))+INDEX(Cables!$AP:$AP,MATCH(G148,Cables!$A:$A,0))-1),1),1),1),INDEX(Cables!$AP:$AP,MATCH(G148,Cables!$A:$A,0))-1))+1),INDEX(Attenuation!$J:$J,(INDEX(Cables!$AO:$AO,MATCH(G148,Cables!$A:$A,0))-1+MIN(MAX(IFERROR(MATCH(LN(E148),INDEX(Attenuation!$J:$J,INDEX(Cables!$AO:$AO,MATCH(G148,Cables!$A:$A,0))):INDEX(Attenuation!$J:$J,INDEX(Cables!$AO:$AO,MATCH(G148,Cables!$A:$A,0))+INDEX(Cables!$AP:$AP,MATCH(G148,Cables!$A:$A,0))-1),1),1),1),INDEX(Cables!$AP:$AP,MATCH(G148,Cables!$A:$A,0))-1))):INDEX(Attenuation!$J:$J,(INDEX(Cables!$AO:$AO,MATCH(G148,Cables!$A:$A,0))-1+MIN(MAX(IFERROR(MATCH(LN(E148),INDEX(Attenuation!$J:$J,INDEX(Cables!$AO:$AO,MATCH(G148,Cables!$A:$A,0))):INDEX(Attenuation!$J:$J,INDEX(Cables!$AO:$AO,MATCH(G148,Cables!$A:$A,0))+INDEX(Cables!$AP:$AP,MATCH(G148,Cables!$A:$A,0))-1),1),1),1),INDEX(Cables!$AP:$AP,MATCH(G148,Cables!$A:$A,0))-1))+1)))*0.3048)</f>
        <v>7.8425804891522164</v>
      </c>
      <c r="J148" s="44">
        <f t="shared" si="2"/>
        <v>0</v>
      </c>
      <c r="K148" s="40" t="str">
        <f>IF(G148="","Doğrulanmadı",IF(ABS(J148)&lt;=0.1,"Uyumlu (±%10)",IF(ABS(J148)&lt;=0.25,"Fark %10-25","Fark &gt;%25"))&amp;IF(OR(D148&lt;INDEX(Cables!$AQ:$AQ,MATCH(G148,Cables!$A:$A,0)),E148&gt;INDEX(Cables!$AR:$AR,MATCH(G148,Cables!$A:$A,0)))," · ekstrapolasyon",""))</f>
        <v>Uyumlu (±%10)</v>
      </c>
    </row>
    <row r="149" spans="1:11" x14ac:dyDescent="0.25">
      <c r="A149" s="37" t="s">
        <v>3009</v>
      </c>
      <c r="B149" s="40" t="str">
        <f>INDEX(Legacy_Index!$D:$D,MATCH(A149,Legacy_Index!$A:$A,0))</f>
        <v>RG214/U</v>
      </c>
      <c r="C149" s="37" t="s">
        <v>3120</v>
      </c>
      <c r="D149" s="37">
        <v>1200</v>
      </c>
      <c r="E149" s="37">
        <v>1300</v>
      </c>
      <c r="F149" s="37">
        <v>9.1</v>
      </c>
      <c r="G149" s="40" t="str">
        <f>IF(INDEX(Legacy_Index!$G:$G,MATCH(A149,Legacy_Index!$A:$A,0))="","",INDEX(Legacy_Index!$G:$G,MATCH(A149,Legacy_Index!$A:$A,0)))</f>
        <v>BEL-8268</v>
      </c>
      <c r="H149" s="43">
        <f>IF(G149="","",EXP(FORECAST(LN(D149),INDEX(Attenuation!$K:$K,(INDEX(Cables!$AO:$AO,MATCH(G149,Cables!$A:$A,0))-1+MIN(MAX(IFERROR(MATCH(LN(D149),INDEX(Attenuation!$J:$J,INDEX(Cables!$AO:$AO,MATCH(G149,Cables!$A:$A,0))):INDEX(Attenuation!$J:$J,INDEX(Cables!$AO:$AO,MATCH(G149,Cables!$A:$A,0))+INDEX(Cables!$AP:$AP,MATCH(G149,Cables!$A:$A,0))-1),1),1),1),INDEX(Cables!$AP:$AP,MATCH(G149,Cables!$A:$A,0))-1))):INDEX(Attenuation!$K:$K,(INDEX(Cables!$AO:$AO,MATCH(G149,Cables!$A:$A,0))-1+MIN(MAX(IFERROR(MATCH(LN(D149),INDEX(Attenuation!$J:$J,INDEX(Cables!$AO:$AO,MATCH(G149,Cables!$A:$A,0))):INDEX(Attenuation!$J:$J,INDEX(Cables!$AO:$AO,MATCH(G149,Cables!$A:$A,0))+INDEX(Cables!$AP:$AP,MATCH(G149,Cables!$A:$A,0))-1),1),1),1),INDEX(Cables!$AP:$AP,MATCH(G149,Cables!$A:$A,0))-1))+1),INDEX(Attenuation!$J:$J,(INDEX(Cables!$AO:$AO,MATCH(G149,Cables!$A:$A,0))-1+MIN(MAX(IFERROR(MATCH(LN(D149),INDEX(Attenuation!$J:$J,INDEX(Cables!$AO:$AO,MATCH(G149,Cables!$A:$A,0))):INDEX(Attenuation!$J:$J,INDEX(Cables!$AO:$AO,MATCH(G149,Cables!$A:$A,0))+INDEX(Cables!$AP:$AP,MATCH(G149,Cables!$A:$A,0))-1),1),1),1),INDEX(Cables!$AP:$AP,MATCH(G149,Cables!$A:$A,0))-1))):INDEX(Attenuation!$J:$J,(INDEX(Cables!$AO:$AO,MATCH(G149,Cables!$A:$A,0))-1+MIN(MAX(IFERROR(MATCH(LN(D149),INDEX(Attenuation!$J:$J,INDEX(Cables!$AO:$AO,MATCH(G149,Cables!$A:$A,0))):INDEX(Attenuation!$J:$J,INDEX(Cables!$AO:$AO,MATCH(G149,Cables!$A:$A,0))+INDEX(Cables!$AP:$AP,MATCH(G149,Cables!$A:$A,0))-1),1),1),1),INDEX(Cables!$AP:$AP,MATCH(G149,Cables!$A:$A,0))-1))+1)))*0.3048)</f>
        <v>9.0245580707906772</v>
      </c>
      <c r="I149" s="43">
        <f>IF(G149="","",EXP(FORECAST(LN(E149),INDEX(Attenuation!$K:$K,(INDEX(Cables!$AO:$AO,MATCH(G149,Cables!$A:$A,0))-1+MIN(MAX(IFERROR(MATCH(LN(E149),INDEX(Attenuation!$J:$J,INDEX(Cables!$AO:$AO,MATCH(G149,Cables!$A:$A,0))):INDEX(Attenuation!$J:$J,INDEX(Cables!$AO:$AO,MATCH(G149,Cables!$A:$A,0))+INDEX(Cables!$AP:$AP,MATCH(G149,Cables!$A:$A,0))-1),1),1),1),INDEX(Cables!$AP:$AP,MATCH(G149,Cables!$A:$A,0))-1))):INDEX(Attenuation!$K:$K,(INDEX(Cables!$AO:$AO,MATCH(G149,Cables!$A:$A,0))-1+MIN(MAX(IFERROR(MATCH(LN(E149),INDEX(Attenuation!$J:$J,INDEX(Cables!$AO:$AO,MATCH(G149,Cables!$A:$A,0))):INDEX(Attenuation!$J:$J,INDEX(Cables!$AO:$AO,MATCH(G149,Cables!$A:$A,0))+INDEX(Cables!$AP:$AP,MATCH(G149,Cables!$A:$A,0))-1),1),1),1),INDEX(Cables!$AP:$AP,MATCH(G149,Cables!$A:$A,0))-1))+1),INDEX(Attenuation!$J:$J,(INDEX(Cables!$AO:$AO,MATCH(G149,Cables!$A:$A,0))-1+MIN(MAX(IFERROR(MATCH(LN(E149),INDEX(Attenuation!$J:$J,INDEX(Cables!$AO:$AO,MATCH(G149,Cables!$A:$A,0))):INDEX(Attenuation!$J:$J,INDEX(Cables!$AO:$AO,MATCH(G149,Cables!$A:$A,0))+INDEX(Cables!$AP:$AP,MATCH(G149,Cables!$A:$A,0))-1),1),1),1),INDEX(Cables!$AP:$AP,MATCH(G149,Cables!$A:$A,0))-1))):INDEX(Attenuation!$J:$J,(INDEX(Cables!$AO:$AO,MATCH(G149,Cables!$A:$A,0))-1+MIN(MAX(IFERROR(MATCH(LN(E149),INDEX(Attenuation!$J:$J,INDEX(Cables!$AO:$AO,MATCH(G149,Cables!$A:$A,0))):INDEX(Attenuation!$J:$J,INDEX(Cables!$AO:$AO,MATCH(G149,Cables!$A:$A,0))+INDEX(Cables!$AP:$AP,MATCH(G149,Cables!$A:$A,0))-1),1),1),1),INDEX(Cables!$AP:$AP,MATCH(G149,Cables!$A:$A,0))-1))+1)))*0.3048)</f>
        <v>9.5148609590701163</v>
      </c>
      <c r="J149" s="44">
        <f t="shared" si="2"/>
        <v>0</v>
      </c>
      <c r="K149" s="40" t="str">
        <f>IF(G149="","Doğrulanmadı",IF(ABS(J149)&lt;=0.1,"Uyumlu (±%10)",IF(ABS(J149)&lt;=0.25,"Fark %10-25","Fark &gt;%25"))&amp;IF(OR(D149&lt;INDEX(Cables!$AQ:$AQ,MATCH(G149,Cables!$A:$A,0)),E149&gt;INDEX(Cables!$AR:$AR,MATCH(G149,Cables!$A:$A,0)))," · ekstrapolasyon",""))</f>
        <v>Uyumlu (±%10)</v>
      </c>
    </row>
    <row r="150" spans="1:11" x14ac:dyDescent="0.25">
      <c r="A150" s="37" t="s">
        <v>3012</v>
      </c>
      <c r="B150" s="40" t="str">
        <f>INDEX(Legacy_Index!$D:$D,MATCH(A150,Legacy_Index!$A:$A,0))</f>
        <v>RG213/U Messi and Paoloni</v>
      </c>
      <c r="C150" s="37" t="s">
        <v>3117</v>
      </c>
      <c r="D150" s="37">
        <v>1</v>
      </c>
      <c r="E150" s="37">
        <v>10</v>
      </c>
      <c r="F150" s="37">
        <v>0.45</v>
      </c>
      <c r="G150" s="40" t="str">
        <f>IF(INDEX(Legacy_Index!$G:$G,MATCH(A150,Legacy_Index!$A:$A,0))="","",INDEX(Legacy_Index!$G:$G,MATCH(A150,Legacy_Index!$A:$A,0)))</f>
        <v>MP-RG213U</v>
      </c>
      <c r="H150" s="43">
        <f>IF(G150="","",EXP(FORECAST(LN(D150),INDEX(Attenuation!$K:$K,(INDEX(Cables!$AO:$AO,MATCH(G150,Cables!$A:$A,0))-1+MIN(MAX(IFERROR(MATCH(LN(D150),INDEX(Attenuation!$J:$J,INDEX(Cables!$AO:$AO,MATCH(G150,Cables!$A:$A,0))):INDEX(Attenuation!$J:$J,INDEX(Cables!$AO:$AO,MATCH(G150,Cables!$A:$A,0))+INDEX(Cables!$AP:$AP,MATCH(G150,Cables!$A:$A,0))-1),1),1),1),INDEX(Cables!$AP:$AP,MATCH(G150,Cables!$A:$A,0))-1))):INDEX(Attenuation!$K:$K,(INDEX(Cables!$AO:$AO,MATCH(G150,Cables!$A:$A,0))-1+MIN(MAX(IFERROR(MATCH(LN(D150),INDEX(Attenuation!$J:$J,INDEX(Cables!$AO:$AO,MATCH(G150,Cables!$A:$A,0))):INDEX(Attenuation!$J:$J,INDEX(Cables!$AO:$AO,MATCH(G150,Cables!$A:$A,0))+INDEX(Cables!$AP:$AP,MATCH(G150,Cables!$A:$A,0))-1),1),1),1),INDEX(Cables!$AP:$AP,MATCH(G150,Cables!$A:$A,0))-1))+1),INDEX(Attenuation!$J:$J,(INDEX(Cables!$AO:$AO,MATCH(G150,Cables!$A:$A,0))-1+MIN(MAX(IFERROR(MATCH(LN(D150),INDEX(Attenuation!$J:$J,INDEX(Cables!$AO:$AO,MATCH(G150,Cables!$A:$A,0))):INDEX(Attenuation!$J:$J,INDEX(Cables!$AO:$AO,MATCH(G150,Cables!$A:$A,0))+INDEX(Cables!$AP:$AP,MATCH(G150,Cables!$A:$A,0))-1),1),1),1),INDEX(Cables!$AP:$AP,MATCH(G150,Cables!$A:$A,0))-1))):INDEX(Attenuation!$J:$J,(INDEX(Cables!$AO:$AO,MATCH(G150,Cables!$A:$A,0))-1+MIN(MAX(IFERROR(MATCH(LN(D150),INDEX(Attenuation!$J:$J,INDEX(Cables!$AO:$AO,MATCH(G150,Cables!$A:$A,0))):INDEX(Attenuation!$J:$J,INDEX(Cables!$AO:$AO,MATCH(G150,Cables!$A:$A,0))+INDEX(Cables!$AP:$AP,MATCH(G150,Cables!$A:$A,0))-1),1),1),1),INDEX(Cables!$AP:$AP,MATCH(G150,Cables!$A:$A,0))-1))+1)))*0.3048)</f>
        <v>0.21790007166279987</v>
      </c>
      <c r="I150" s="43">
        <f>IF(G150="","",EXP(FORECAST(LN(E150),INDEX(Attenuation!$K:$K,(INDEX(Cables!$AO:$AO,MATCH(G150,Cables!$A:$A,0))-1+MIN(MAX(IFERROR(MATCH(LN(E150),INDEX(Attenuation!$J:$J,INDEX(Cables!$AO:$AO,MATCH(G150,Cables!$A:$A,0))):INDEX(Attenuation!$J:$J,INDEX(Cables!$AO:$AO,MATCH(G150,Cables!$A:$A,0))+INDEX(Cables!$AP:$AP,MATCH(G150,Cables!$A:$A,0))-1),1),1),1),INDEX(Cables!$AP:$AP,MATCH(G150,Cables!$A:$A,0))-1))):INDEX(Attenuation!$K:$K,(INDEX(Cables!$AO:$AO,MATCH(G150,Cables!$A:$A,0))-1+MIN(MAX(IFERROR(MATCH(LN(E150),INDEX(Attenuation!$J:$J,INDEX(Cables!$AO:$AO,MATCH(G150,Cables!$A:$A,0))):INDEX(Attenuation!$J:$J,INDEX(Cables!$AO:$AO,MATCH(G150,Cables!$A:$A,0))+INDEX(Cables!$AP:$AP,MATCH(G150,Cables!$A:$A,0))-1),1),1),1),INDEX(Cables!$AP:$AP,MATCH(G150,Cables!$A:$A,0))-1))+1),INDEX(Attenuation!$J:$J,(INDEX(Cables!$AO:$AO,MATCH(G150,Cables!$A:$A,0))-1+MIN(MAX(IFERROR(MATCH(LN(E150),INDEX(Attenuation!$J:$J,INDEX(Cables!$AO:$AO,MATCH(G150,Cables!$A:$A,0))):INDEX(Attenuation!$J:$J,INDEX(Cables!$AO:$AO,MATCH(G150,Cables!$A:$A,0))+INDEX(Cables!$AP:$AP,MATCH(G150,Cables!$A:$A,0))-1),1),1),1),INDEX(Cables!$AP:$AP,MATCH(G150,Cables!$A:$A,0))-1))):INDEX(Attenuation!$J:$J,(INDEX(Cables!$AO:$AO,MATCH(G150,Cables!$A:$A,0))-1+MIN(MAX(IFERROR(MATCH(LN(E150),INDEX(Attenuation!$J:$J,INDEX(Cables!$AO:$AO,MATCH(G150,Cables!$A:$A,0))):INDEX(Attenuation!$J:$J,INDEX(Cables!$AO:$AO,MATCH(G150,Cables!$A:$A,0))+INDEX(Cables!$AP:$AP,MATCH(G150,Cables!$A:$A,0))-1),1),1),1),INDEX(Cables!$AP:$AP,MATCH(G150,Cables!$A:$A,0))-1))+1)))*0.3048)</f>
        <v>0.64008000000000009</v>
      </c>
      <c r="J150" s="44">
        <f t="shared" si="2"/>
        <v>0</v>
      </c>
      <c r="K150" s="40" t="str">
        <f>IF(G150="","Doğrulanmadı",IF(ABS(J150)&lt;=0.1,"Uyumlu (±%10)",IF(ABS(J150)&lt;=0.25,"Fark %10-25","Fark &gt;%25"))&amp;IF(OR(D150&lt;INDEX(Cables!$AQ:$AQ,MATCH(G150,Cables!$A:$A,0)),E150&gt;INDEX(Cables!$AR:$AR,MATCH(G150,Cables!$A:$A,0)))," · ekstrapolasyon",""))</f>
        <v>Uyumlu (±%10) · ekstrapolasyon</v>
      </c>
    </row>
    <row r="151" spans="1:11" x14ac:dyDescent="0.25">
      <c r="A151" s="37" t="s">
        <v>3012</v>
      </c>
      <c r="B151" s="40" t="str">
        <f>INDEX(Legacy_Index!$D:$D,MATCH(A151,Legacy_Index!$A:$A,0))</f>
        <v>RG213/U Messi and Paoloni</v>
      </c>
      <c r="C151" s="37" t="s">
        <v>3118</v>
      </c>
      <c r="D151" s="37">
        <v>30</v>
      </c>
      <c r="E151" s="37">
        <v>50</v>
      </c>
      <c r="F151" s="37">
        <v>1.2</v>
      </c>
      <c r="G151" s="40" t="str">
        <f>IF(INDEX(Legacy_Index!$G:$G,MATCH(A151,Legacy_Index!$A:$A,0))="","",INDEX(Legacy_Index!$G:$G,MATCH(A151,Legacy_Index!$A:$A,0)))</f>
        <v>MP-RG213U</v>
      </c>
      <c r="H151" s="43">
        <f>IF(G151="","",EXP(FORECAST(LN(D151),INDEX(Attenuation!$K:$K,(INDEX(Cables!$AO:$AO,MATCH(G151,Cables!$A:$A,0))-1+MIN(MAX(IFERROR(MATCH(LN(D151),INDEX(Attenuation!$J:$J,INDEX(Cables!$AO:$AO,MATCH(G151,Cables!$A:$A,0))):INDEX(Attenuation!$J:$J,INDEX(Cables!$AO:$AO,MATCH(G151,Cables!$A:$A,0))+INDEX(Cables!$AP:$AP,MATCH(G151,Cables!$A:$A,0))-1),1),1),1),INDEX(Cables!$AP:$AP,MATCH(G151,Cables!$A:$A,0))-1))):INDEX(Attenuation!$K:$K,(INDEX(Cables!$AO:$AO,MATCH(G151,Cables!$A:$A,0))-1+MIN(MAX(IFERROR(MATCH(LN(D151),INDEX(Attenuation!$J:$J,INDEX(Cables!$AO:$AO,MATCH(G151,Cables!$A:$A,0))):INDEX(Attenuation!$J:$J,INDEX(Cables!$AO:$AO,MATCH(G151,Cables!$A:$A,0))+INDEX(Cables!$AP:$AP,MATCH(G151,Cables!$A:$A,0))-1),1),1),1),INDEX(Cables!$AP:$AP,MATCH(G151,Cables!$A:$A,0))-1))+1),INDEX(Attenuation!$J:$J,(INDEX(Cables!$AO:$AO,MATCH(G151,Cables!$A:$A,0))-1+MIN(MAX(IFERROR(MATCH(LN(D151),INDEX(Attenuation!$J:$J,INDEX(Cables!$AO:$AO,MATCH(G151,Cables!$A:$A,0))):INDEX(Attenuation!$J:$J,INDEX(Cables!$AO:$AO,MATCH(G151,Cables!$A:$A,0))+INDEX(Cables!$AP:$AP,MATCH(G151,Cables!$A:$A,0))-1),1),1),1),INDEX(Cables!$AP:$AP,MATCH(G151,Cables!$A:$A,0))-1))):INDEX(Attenuation!$J:$J,(INDEX(Cables!$AO:$AO,MATCH(G151,Cables!$A:$A,0))-1+MIN(MAX(IFERROR(MATCH(LN(D151),INDEX(Attenuation!$J:$J,INDEX(Cables!$AO:$AO,MATCH(G151,Cables!$A:$A,0))):INDEX(Attenuation!$J:$J,INDEX(Cables!$AO:$AO,MATCH(G151,Cables!$A:$A,0))+INDEX(Cables!$AP:$AP,MATCH(G151,Cables!$A:$A,0))-1),1),1),1),INDEX(Cables!$AP:$AP,MATCH(G151,Cables!$A:$A,0))-1))+1)))*0.3048)</f>
        <v>1.0714675354028884</v>
      </c>
      <c r="I151" s="43">
        <f>IF(G151="","",EXP(FORECAST(LN(E151),INDEX(Attenuation!$K:$K,(INDEX(Cables!$AO:$AO,MATCH(G151,Cables!$A:$A,0))-1+MIN(MAX(IFERROR(MATCH(LN(E151),INDEX(Attenuation!$J:$J,INDEX(Cables!$AO:$AO,MATCH(G151,Cables!$A:$A,0))):INDEX(Attenuation!$J:$J,INDEX(Cables!$AO:$AO,MATCH(G151,Cables!$A:$A,0))+INDEX(Cables!$AP:$AP,MATCH(G151,Cables!$A:$A,0))-1),1),1),1),INDEX(Cables!$AP:$AP,MATCH(G151,Cables!$A:$A,0))-1))):INDEX(Attenuation!$K:$K,(INDEX(Cables!$AO:$AO,MATCH(G151,Cables!$A:$A,0))-1+MIN(MAX(IFERROR(MATCH(LN(E151),INDEX(Attenuation!$J:$J,INDEX(Cables!$AO:$AO,MATCH(G151,Cables!$A:$A,0))):INDEX(Attenuation!$J:$J,INDEX(Cables!$AO:$AO,MATCH(G151,Cables!$A:$A,0))+INDEX(Cables!$AP:$AP,MATCH(G151,Cables!$A:$A,0))-1),1),1),1),INDEX(Cables!$AP:$AP,MATCH(G151,Cables!$A:$A,0))-1))+1),INDEX(Attenuation!$J:$J,(INDEX(Cables!$AO:$AO,MATCH(G151,Cables!$A:$A,0))-1+MIN(MAX(IFERROR(MATCH(LN(E151),INDEX(Attenuation!$J:$J,INDEX(Cables!$AO:$AO,MATCH(G151,Cables!$A:$A,0))):INDEX(Attenuation!$J:$J,INDEX(Cables!$AO:$AO,MATCH(G151,Cables!$A:$A,0))+INDEX(Cables!$AP:$AP,MATCH(G151,Cables!$A:$A,0))-1),1),1),1),INDEX(Cables!$AP:$AP,MATCH(G151,Cables!$A:$A,0))-1))):INDEX(Attenuation!$J:$J,(INDEX(Cables!$AO:$AO,MATCH(G151,Cables!$A:$A,0))-1+MIN(MAX(IFERROR(MATCH(LN(E151),INDEX(Attenuation!$J:$J,INDEX(Cables!$AO:$AO,MATCH(G151,Cables!$A:$A,0))):INDEX(Attenuation!$J:$J,INDEX(Cables!$AO:$AO,MATCH(G151,Cables!$A:$A,0))+INDEX(Cables!$AP:$AP,MATCH(G151,Cables!$A:$A,0))-1),1),1),1),INDEX(Cables!$AP:$AP,MATCH(G151,Cables!$A:$A,0))-1))+1)))*0.3048)</f>
        <v>1.3716000000000002</v>
      </c>
      <c r="J151" s="44">
        <f t="shared" si="2"/>
        <v>0</v>
      </c>
      <c r="K151" s="40" t="str">
        <f>IF(G151="","Doğrulanmadı",IF(ABS(J151)&lt;=0.1,"Uyumlu (±%10)",IF(ABS(J151)&lt;=0.25,"Fark %10-25","Fark &gt;%25"))&amp;IF(OR(D151&lt;INDEX(Cables!$AQ:$AQ,MATCH(G151,Cables!$A:$A,0)),E151&gt;INDEX(Cables!$AR:$AR,MATCH(G151,Cables!$A:$A,0)))," · ekstrapolasyon",""))</f>
        <v>Uyumlu (±%10)</v>
      </c>
    </row>
    <row r="152" spans="1:11" x14ac:dyDescent="0.25">
      <c r="A152" s="37" t="s">
        <v>3012</v>
      </c>
      <c r="B152" s="40" t="str">
        <f>INDEX(Legacy_Index!$D:$D,MATCH(A152,Legacy_Index!$A:$A,0))</f>
        <v>RG213/U Messi and Paoloni</v>
      </c>
      <c r="C152" s="37" t="s">
        <v>3113</v>
      </c>
      <c r="D152" s="37">
        <v>70</v>
      </c>
      <c r="E152" s="37">
        <v>100</v>
      </c>
      <c r="F152" s="37">
        <v>1.8</v>
      </c>
      <c r="G152" s="40" t="str">
        <f>IF(INDEX(Legacy_Index!$G:$G,MATCH(A152,Legacy_Index!$A:$A,0))="","",INDEX(Legacy_Index!$G:$G,MATCH(A152,Legacy_Index!$A:$A,0)))</f>
        <v>MP-RG213U</v>
      </c>
      <c r="H152" s="43">
        <f>IF(G152="","",EXP(FORECAST(LN(D152),INDEX(Attenuation!$K:$K,(INDEX(Cables!$AO:$AO,MATCH(G152,Cables!$A:$A,0))-1+MIN(MAX(IFERROR(MATCH(LN(D152),INDEX(Attenuation!$J:$J,INDEX(Cables!$AO:$AO,MATCH(G152,Cables!$A:$A,0))):INDEX(Attenuation!$J:$J,INDEX(Cables!$AO:$AO,MATCH(G152,Cables!$A:$A,0))+INDEX(Cables!$AP:$AP,MATCH(G152,Cables!$A:$A,0))-1),1),1),1),INDEX(Cables!$AP:$AP,MATCH(G152,Cables!$A:$A,0))-1))):INDEX(Attenuation!$K:$K,(INDEX(Cables!$AO:$AO,MATCH(G152,Cables!$A:$A,0))-1+MIN(MAX(IFERROR(MATCH(LN(D152),INDEX(Attenuation!$J:$J,INDEX(Cables!$AO:$AO,MATCH(G152,Cables!$A:$A,0))):INDEX(Attenuation!$J:$J,INDEX(Cables!$AO:$AO,MATCH(G152,Cables!$A:$A,0))+INDEX(Cables!$AP:$AP,MATCH(G152,Cables!$A:$A,0))-1),1),1),1),INDEX(Cables!$AP:$AP,MATCH(G152,Cables!$A:$A,0))-1))+1),INDEX(Attenuation!$J:$J,(INDEX(Cables!$AO:$AO,MATCH(G152,Cables!$A:$A,0))-1+MIN(MAX(IFERROR(MATCH(LN(D152),INDEX(Attenuation!$J:$J,INDEX(Cables!$AO:$AO,MATCH(G152,Cables!$A:$A,0))):INDEX(Attenuation!$J:$J,INDEX(Cables!$AO:$AO,MATCH(G152,Cables!$A:$A,0))+INDEX(Cables!$AP:$AP,MATCH(G152,Cables!$A:$A,0))-1),1),1),1),INDEX(Cables!$AP:$AP,MATCH(G152,Cables!$A:$A,0))-1))):INDEX(Attenuation!$J:$J,(INDEX(Cables!$AO:$AO,MATCH(G152,Cables!$A:$A,0))-1+MIN(MAX(IFERROR(MATCH(LN(D152),INDEX(Attenuation!$J:$J,INDEX(Cables!$AO:$AO,MATCH(G152,Cables!$A:$A,0))):INDEX(Attenuation!$J:$J,INDEX(Cables!$AO:$AO,MATCH(G152,Cables!$A:$A,0))+INDEX(Cables!$AP:$AP,MATCH(G152,Cables!$A:$A,0))-1),1),1),1),INDEX(Cables!$AP:$AP,MATCH(G152,Cables!$A:$A,0))-1))+1)))*0.3048)</f>
        <v>1.5898669029186618</v>
      </c>
      <c r="I152" s="43">
        <f>IF(G152="","",EXP(FORECAST(LN(E152),INDEX(Attenuation!$K:$K,(INDEX(Cables!$AO:$AO,MATCH(G152,Cables!$A:$A,0))-1+MIN(MAX(IFERROR(MATCH(LN(E152),INDEX(Attenuation!$J:$J,INDEX(Cables!$AO:$AO,MATCH(G152,Cables!$A:$A,0))):INDEX(Attenuation!$J:$J,INDEX(Cables!$AO:$AO,MATCH(G152,Cables!$A:$A,0))+INDEX(Cables!$AP:$AP,MATCH(G152,Cables!$A:$A,0))-1),1),1),1),INDEX(Cables!$AP:$AP,MATCH(G152,Cables!$A:$A,0))-1))):INDEX(Attenuation!$K:$K,(INDEX(Cables!$AO:$AO,MATCH(G152,Cables!$A:$A,0))-1+MIN(MAX(IFERROR(MATCH(LN(E152),INDEX(Attenuation!$J:$J,INDEX(Cables!$AO:$AO,MATCH(G152,Cables!$A:$A,0))):INDEX(Attenuation!$J:$J,INDEX(Cables!$AO:$AO,MATCH(G152,Cables!$A:$A,0))+INDEX(Cables!$AP:$AP,MATCH(G152,Cables!$A:$A,0))-1),1),1),1),INDEX(Cables!$AP:$AP,MATCH(G152,Cables!$A:$A,0))-1))+1),INDEX(Attenuation!$J:$J,(INDEX(Cables!$AO:$AO,MATCH(G152,Cables!$A:$A,0))-1+MIN(MAX(IFERROR(MATCH(LN(E152),INDEX(Attenuation!$J:$J,INDEX(Cables!$AO:$AO,MATCH(G152,Cables!$A:$A,0))):INDEX(Attenuation!$J:$J,INDEX(Cables!$AO:$AO,MATCH(G152,Cables!$A:$A,0))+INDEX(Cables!$AP:$AP,MATCH(G152,Cables!$A:$A,0))-1),1),1),1),INDEX(Cables!$AP:$AP,MATCH(G152,Cables!$A:$A,0))-1))):INDEX(Attenuation!$J:$J,(INDEX(Cables!$AO:$AO,MATCH(G152,Cables!$A:$A,0))-1+MIN(MAX(IFERROR(MATCH(LN(E152),INDEX(Attenuation!$J:$J,INDEX(Cables!$AO:$AO,MATCH(G152,Cables!$A:$A,0))):INDEX(Attenuation!$J:$J,INDEX(Cables!$AO:$AO,MATCH(G152,Cables!$A:$A,0))+INDEX(Cables!$AP:$AP,MATCH(G152,Cables!$A:$A,0))-1),1),1),1),INDEX(Cables!$AP:$AP,MATCH(G152,Cables!$A:$A,0))-1))+1)))*0.3048)</f>
        <v>1.8592799999999994</v>
      </c>
      <c r="J152" s="44">
        <f t="shared" si="2"/>
        <v>0</v>
      </c>
      <c r="K152" s="40" t="str">
        <f>IF(G152="","Doğrulanmadı",IF(ABS(J152)&lt;=0.1,"Uyumlu (±%10)",IF(ABS(J152)&lt;=0.25,"Fark %10-25","Fark &gt;%25"))&amp;IF(OR(D152&lt;INDEX(Cables!$AQ:$AQ,MATCH(G152,Cables!$A:$A,0)),E152&gt;INDEX(Cables!$AR:$AR,MATCH(G152,Cables!$A:$A,0)))," · ekstrapolasyon",""))</f>
        <v>Uyumlu (±%10)</v>
      </c>
    </row>
    <row r="153" spans="1:11" x14ac:dyDescent="0.25">
      <c r="A153" s="37" t="s">
        <v>3012</v>
      </c>
      <c r="B153" s="40" t="str">
        <f>INDEX(Legacy_Index!$D:$D,MATCH(A153,Legacy_Index!$A:$A,0))</f>
        <v>RG213/U Messi and Paoloni</v>
      </c>
      <c r="C153" s="37" t="s">
        <v>3114</v>
      </c>
      <c r="D153" s="37">
        <v>148</v>
      </c>
      <c r="E153" s="37">
        <v>174</v>
      </c>
      <c r="F153" s="37">
        <v>2.2000000000000002</v>
      </c>
      <c r="G153" s="40" t="str">
        <f>IF(INDEX(Legacy_Index!$G:$G,MATCH(A153,Legacy_Index!$A:$A,0))="","",INDEX(Legacy_Index!$G:$G,MATCH(A153,Legacy_Index!$A:$A,0)))</f>
        <v>MP-RG213U</v>
      </c>
      <c r="H153" s="43">
        <f>IF(G153="","",EXP(FORECAST(LN(D153),INDEX(Attenuation!$K:$K,(INDEX(Cables!$AO:$AO,MATCH(G153,Cables!$A:$A,0))-1+MIN(MAX(IFERROR(MATCH(LN(D153),INDEX(Attenuation!$J:$J,INDEX(Cables!$AO:$AO,MATCH(G153,Cables!$A:$A,0))):INDEX(Attenuation!$J:$J,INDEX(Cables!$AO:$AO,MATCH(G153,Cables!$A:$A,0))+INDEX(Cables!$AP:$AP,MATCH(G153,Cables!$A:$A,0))-1),1),1),1),INDEX(Cables!$AP:$AP,MATCH(G153,Cables!$A:$A,0))-1))):INDEX(Attenuation!$K:$K,(INDEX(Cables!$AO:$AO,MATCH(G153,Cables!$A:$A,0))-1+MIN(MAX(IFERROR(MATCH(LN(D153),INDEX(Attenuation!$J:$J,INDEX(Cables!$AO:$AO,MATCH(G153,Cables!$A:$A,0))):INDEX(Attenuation!$J:$J,INDEX(Cables!$AO:$AO,MATCH(G153,Cables!$A:$A,0))+INDEX(Cables!$AP:$AP,MATCH(G153,Cables!$A:$A,0))-1),1),1),1),INDEX(Cables!$AP:$AP,MATCH(G153,Cables!$A:$A,0))-1))+1),INDEX(Attenuation!$J:$J,(INDEX(Cables!$AO:$AO,MATCH(G153,Cables!$A:$A,0))-1+MIN(MAX(IFERROR(MATCH(LN(D153),INDEX(Attenuation!$J:$J,INDEX(Cables!$AO:$AO,MATCH(G153,Cables!$A:$A,0))):INDEX(Attenuation!$J:$J,INDEX(Cables!$AO:$AO,MATCH(G153,Cables!$A:$A,0))+INDEX(Cables!$AP:$AP,MATCH(G153,Cables!$A:$A,0))-1),1),1),1),INDEX(Cables!$AP:$AP,MATCH(G153,Cables!$A:$A,0))-1))):INDEX(Attenuation!$J:$J,(INDEX(Cables!$AO:$AO,MATCH(G153,Cables!$A:$A,0))-1+MIN(MAX(IFERROR(MATCH(LN(D153),INDEX(Attenuation!$J:$J,INDEX(Cables!$AO:$AO,MATCH(G153,Cables!$A:$A,0))):INDEX(Attenuation!$J:$J,INDEX(Cables!$AO:$AO,MATCH(G153,Cables!$A:$A,0))+INDEX(Cables!$AP:$AP,MATCH(G153,Cables!$A:$A,0))-1),1),1),1),INDEX(Cables!$AP:$AP,MATCH(G153,Cables!$A:$A,0))-1))+1)))*0.3048)</f>
        <v>2.3210278959252379</v>
      </c>
      <c r="I153" s="43">
        <f>IF(G153="","",EXP(FORECAST(LN(E153),INDEX(Attenuation!$K:$K,(INDEX(Cables!$AO:$AO,MATCH(G153,Cables!$A:$A,0))-1+MIN(MAX(IFERROR(MATCH(LN(E153),INDEX(Attenuation!$J:$J,INDEX(Cables!$AO:$AO,MATCH(G153,Cables!$A:$A,0))):INDEX(Attenuation!$J:$J,INDEX(Cables!$AO:$AO,MATCH(G153,Cables!$A:$A,0))+INDEX(Cables!$AP:$AP,MATCH(G153,Cables!$A:$A,0))-1),1),1),1),INDEX(Cables!$AP:$AP,MATCH(G153,Cables!$A:$A,0))-1))):INDEX(Attenuation!$K:$K,(INDEX(Cables!$AO:$AO,MATCH(G153,Cables!$A:$A,0))-1+MIN(MAX(IFERROR(MATCH(LN(E153),INDEX(Attenuation!$J:$J,INDEX(Cables!$AO:$AO,MATCH(G153,Cables!$A:$A,0))):INDEX(Attenuation!$J:$J,INDEX(Cables!$AO:$AO,MATCH(G153,Cables!$A:$A,0))+INDEX(Cables!$AP:$AP,MATCH(G153,Cables!$A:$A,0))-1),1),1),1),INDEX(Cables!$AP:$AP,MATCH(G153,Cables!$A:$A,0))-1))+1),INDEX(Attenuation!$J:$J,(INDEX(Cables!$AO:$AO,MATCH(G153,Cables!$A:$A,0))-1+MIN(MAX(IFERROR(MATCH(LN(E153),INDEX(Attenuation!$J:$J,INDEX(Cables!$AO:$AO,MATCH(G153,Cables!$A:$A,0))):INDEX(Attenuation!$J:$J,INDEX(Cables!$AO:$AO,MATCH(G153,Cables!$A:$A,0))+INDEX(Cables!$AP:$AP,MATCH(G153,Cables!$A:$A,0))-1),1),1),1),INDEX(Cables!$AP:$AP,MATCH(G153,Cables!$A:$A,0))-1))):INDEX(Attenuation!$J:$J,(INDEX(Cables!$AO:$AO,MATCH(G153,Cables!$A:$A,0))-1+MIN(MAX(IFERROR(MATCH(LN(E153),INDEX(Attenuation!$J:$J,INDEX(Cables!$AO:$AO,MATCH(G153,Cables!$A:$A,0))):INDEX(Attenuation!$J:$J,INDEX(Cables!$AO:$AO,MATCH(G153,Cables!$A:$A,0))+INDEX(Cables!$AP:$AP,MATCH(G153,Cables!$A:$A,0))-1),1),1),1),INDEX(Cables!$AP:$AP,MATCH(G153,Cables!$A:$A,0))-1))+1)))*0.3048)</f>
        <v>2.5391615088009059</v>
      </c>
      <c r="J153" s="44">
        <f t="shared" si="2"/>
        <v>-5.2144093630978161E-2</v>
      </c>
      <c r="K153" s="40" t="str">
        <f>IF(G153="","Doğrulanmadı",IF(ABS(J153)&lt;=0.1,"Uyumlu (±%10)",IF(ABS(J153)&lt;=0.25,"Fark %10-25","Fark &gt;%25"))&amp;IF(OR(D153&lt;INDEX(Cables!$AQ:$AQ,MATCH(G153,Cables!$A:$A,0)),E153&gt;INDEX(Cables!$AR:$AR,MATCH(G153,Cables!$A:$A,0)))," · ekstrapolasyon",""))</f>
        <v>Uyumlu (±%10)</v>
      </c>
    </row>
    <row r="154" spans="1:11" x14ac:dyDescent="0.25">
      <c r="A154" s="37" t="s">
        <v>3012</v>
      </c>
      <c r="B154" s="40" t="str">
        <f>INDEX(Legacy_Index!$D:$D,MATCH(A154,Legacy_Index!$A:$A,0))</f>
        <v>RG213/U Messi and Paoloni</v>
      </c>
      <c r="C154" s="37" t="s">
        <v>3119</v>
      </c>
      <c r="D154" s="37">
        <v>220</v>
      </c>
      <c r="E154" s="37">
        <v>220</v>
      </c>
      <c r="F154" s="37">
        <v>2.8</v>
      </c>
      <c r="G154" s="40" t="str">
        <f>IF(INDEX(Legacy_Index!$G:$G,MATCH(A154,Legacy_Index!$A:$A,0))="","",INDEX(Legacy_Index!$G:$G,MATCH(A154,Legacy_Index!$A:$A,0)))</f>
        <v>MP-RG213U</v>
      </c>
      <c r="H154" s="43">
        <f>IF(G154="","",EXP(FORECAST(LN(D154),INDEX(Attenuation!$K:$K,(INDEX(Cables!$AO:$AO,MATCH(G154,Cables!$A:$A,0))-1+MIN(MAX(IFERROR(MATCH(LN(D154),INDEX(Attenuation!$J:$J,INDEX(Cables!$AO:$AO,MATCH(G154,Cables!$A:$A,0))):INDEX(Attenuation!$J:$J,INDEX(Cables!$AO:$AO,MATCH(G154,Cables!$A:$A,0))+INDEX(Cables!$AP:$AP,MATCH(G154,Cables!$A:$A,0))-1),1),1),1),INDEX(Cables!$AP:$AP,MATCH(G154,Cables!$A:$A,0))-1))):INDEX(Attenuation!$K:$K,(INDEX(Cables!$AO:$AO,MATCH(G154,Cables!$A:$A,0))-1+MIN(MAX(IFERROR(MATCH(LN(D154),INDEX(Attenuation!$J:$J,INDEX(Cables!$AO:$AO,MATCH(G154,Cables!$A:$A,0))):INDEX(Attenuation!$J:$J,INDEX(Cables!$AO:$AO,MATCH(G154,Cables!$A:$A,0))+INDEX(Cables!$AP:$AP,MATCH(G154,Cables!$A:$A,0))-1),1),1),1),INDEX(Cables!$AP:$AP,MATCH(G154,Cables!$A:$A,0))-1))+1),INDEX(Attenuation!$J:$J,(INDEX(Cables!$AO:$AO,MATCH(G154,Cables!$A:$A,0))-1+MIN(MAX(IFERROR(MATCH(LN(D154),INDEX(Attenuation!$J:$J,INDEX(Cables!$AO:$AO,MATCH(G154,Cables!$A:$A,0))):INDEX(Attenuation!$J:$J,INDEX(Cables!$AO:$AO,MATCH(G154,Cables!$A:$A,0))+INDEX(Cables!$AP:$AP,MATCH(G154,Cables!$A:$A,0))-1),1),1),1),INDEX(Cables!$AP:$AP,MATCH(G154,Cables!$A:$A,0))-1))):INDEX(Attenuation!$J:$J,(INDEX(Cables!$AO:$AO,MATCH(G154,Cables!$A:$A,0))-1+MIN(MAX(IFERROR(MATCH(LN(D154),INDEX(Attenuation!$J:$J,INDEX(Cables!$AO:$AO,MATCH(G154,Cables!$A:$A,0))):INDEX(Attenuation!$J:$J,INDEX(Cables!$AO:$AO,MATCH(G154,Cables!$A:$A,0))+INDEX(Cables!$AP:$AP,MATCH(G154,Cables!$A:$A,0))-1),1),1),1),INDEX(Cables!$AP:$AP,MATCH(G154,Cables!$A:$A,0))-1))+1)))*0.3048)</f>
        <v>2.9009113821492054</v>
      </c>
      <c r="I154" s="43">
        <f>IF(G154="","",EXP(FORECAST(LN(E154),INDEX(Attenuation!$K:$K,(INDEX(Cables!$AO:$AO,MATCH(G154,Cables!$A:$A,0))-1+MIN(MAX(IFERROR(MATCH(LN(E154),INDEX(Attenuation!$J:$J,INDEX(Cables!$AO:$AO,MATCH(G154,Cables!$A:$A,0))):INDEX(Attenuation!$J:$J,INDEX(Cables!$AO:$AO,MATCH(G154,Cables!$A:$A,0))+INDEX(Cables!$AP:$AP,MATCH(G154,Cables!$A:$A,0))-1),1),1),1),INDEX(Cables!$AP:$AP,MATCH(G154,Cables!$A:$A,0))-1))):INDEX(Attenuation!$K:$K,(INDEX(Cables!$AO:$AO,MATCH(G154,Cables!$A:$A,0))-1+MIN(MAX(IFERROR(MATCH(LN(E154),INDEX(Attenuation!$J:$J,INDEX(Cables!$AO:$AO,MATCH(G154,Cables!$A:$A,0))):INDEX(Attenuation!$J:$J,INDEX(Cables!$AO:$AO,MATCH(G154,Cables!$A:$A,0))+INDEX(Cables!$AP:$AP,MATCH(G154,Cables!$A:$A,0))-1),1),1),1),INDEX(Cables!$AP:$AP,MATCH(G154,Cables!$A:$A,0))-1))+1),INDEX(Attenuation!$J:$J,(INDEX(Cables!$AO:$AO,MATCH(G154,Cables!$A:$A,0))-1+MIN(MAX(IFERROR(MATCH(LN(E154),INDEX(Attenuation!$J:$J,INDEX(Cables!$AO:$AO,MATCH(G154,Cables!$A:$A,0))):INDEX(Attenuation!$J:$J,INDEX(Cables!$AO:$AO,MATCH(G154,Cables!$A:$A,0))+INDEX(Cables!$AP:$AP,MATCH(G154,Cables!$A:$A,0))-1),1),1),1),INDEX(Cables!$AP:$AP,MATCH(G154,Cables!$A:$A,0))-1))):INDEX(Attenuation!$J:$J,(INDEX(Cables!$AO:$AO,MATCH(G154,Cables!$A:$A,0))-1+MIN(MAX(IFERROR(MATCH(LN(E154),INDEX(Attenuation!$J:$J,INDEX(Cables!$AO:$AO,MATCH(G154,Cables!$A:$A,0))):INDEX(Attenuation!$J:$J,INDEX(Cables!$AO:$AO,MATCH(G154,Cables!$A:$A,0))+INDEX(Cables!$AP:$AP,MATCH(G154,Cables!$A:$A,0))-1),1),1),1),INDEX(Cables!$AP:$AP,MATCH(G154,Cables!$A:$A,0))-1))+1)))*0.3048)</f>
        <v>2.9009113821492054</v>
      </c>
      <c r="J154" s="44">
        <f t="shared" si="2"/>
        <v>-3.4786096111092846E-2</v>
      </c>
      <c r="K154" s="40" t="str">
        <f>IF(G154="","Doğrulanmadı",IF(ABS(J154)&lt;=0.1,"Uyumlu (±%10)",IF(ABS(J154)&lt;=0.25,"Fark %10-25","Fark &gt;%25"))&amp;IF(OR(D154&lt;INDEX(Cables!$AQ:$AQ,MATCH(G154,Cables!$A:$A,0)),E154&gt;INDEX(Cables!$AR:$AR,MATCH(G154,Cables!$A:$A,0)))," · ekstrapolasyon",""))</f>
        <v>Uyumlu (±%10)</v>
      </c>
    </row>
    <row r="155" spans="1:11" x14ac:dyDescent="0.25">
      <c r="A155" s="37" t="s">
        <v>3012</v>
      </c>
      <c r="B155" s="40" t="str">
        <f>INDEX(Legacy_Index!$D:$D,MATCH(A155,Legacy_Index!$A:$A,0))</f>
        <v>RG213/U Messi and Paoloni</v>
      </c>
      <c r="C155" s="37" t="s">
        <v>3115</v>
      </c>
      <c r="D155" s="37">
        <v>400</v>
      </c>
      <c r="E155" s="37">
        <v>520</v>
      </c>
      <c r="F155" s="37">
        <v>4.5</v>
      </c>
      <c r="G155" s="40" t="str">
        <f>IF(INDEX(Legacy_Index!$G:$G,MATCH(A155,Legacy_Index!$A:$A,0))="","",INDEX(Legacy_Index!$G:$G,MATCH(A155,Legacy_Index!$A:$A,0)))</f>
        <v>MP-RG213U</v>
      </c>
      <c r="H155" s="43">
        <f>IF(G155="","",EXP(FORECAST(LN(D155),INDEX(Attenuation!$K:$K,(INDEX(Cables!$AO:$AO,MATCH(G155,Cables!$A:$A,0))-1+MIN(MAX(IFERROR(MATCH(LN(D155),INDEX(Attenuation!$J:$J,INDEX(Cables!$AO:$AO,MATCH(G155,Cables!$A:$A,0))):INDEX(Attenuation!$J:$J,INDEX(Cables!$AO:$AO,MATCH(G155,Cables!$A:$A,0))+INDEX(Cables!$AP:$AP,MATCH(G155,Cables!$A:$A,0))-1),1),1),1),INDEX(Cables!$AP:$AP,MATCH(G155,Cables!$A:$A,0))-1))):INDEX(Attenuation!$K:$K,(INDEX(Cables!$AO:$AO,MATCH(G155,Cables!$A:$A,0))-1+MIN(MAX(IFERROR(MATCH(LN(D155),INDEX(Attenuation!$J:$J,INDEX(Cables!$AO:$AO,MATCH(G155,Cables!$A:$A,0))):INDEX(Attenuation!$J:$J,INDEX(Cables!$AO:$AO,MATCH(G155,Cables!$A:$A,0))+INDEX(Cables!$AP:$AP,MATCH(G155,Cables!$A:$A,0))-1),1),1),1),INDEX(Cables!$AP:$AP,MATCH(G155,Cables!$A:$A,0))-1))+1),INDEX(Attenuation!$J:$J,(INDEX(Cables!$AO:$AO,MATCH(G155,Cables!$A:$A,0))-1+MIN(MAX(IFERROR(MATCH(LN(D155),INDEX(Attenuation!$J:$J,INDEX(Cables!$AO:$AO,MATCH(G155,Cables!$A:$A,0))):INDEX(Attenuation!$J:$J,INDEX(Cables!$AO:$AO,MATCH(G155,Cables!$A:$A,0))+INDEX(Cables!$AP:$AP,MATCH(G155,Cables!$A:$A,0))-1),1),1),1),INDEX(Cables!$AP:$AP,MATCH(G155,Cables!$A:$A,0))-1))):INDEX(Attenuation!$J:$J,(INDEX(Cables!$AO:$AO,MATCH(G155,Cables!$A:$A,0))-1+MIN(MAX(IFERROR(MATCH(LN(D155),INDEX(Attenuation!$J:$J,INDEX(Cables!$AO:$AO,MATCH(G155,Cables!$A:$A,0))):INDEX(Attenuation!$J:$J,INDEX(Cables!$AO:$AO,MATCH(G155,Cables!$A:$A,0))+INDEX(Cables!$AP:$AP,MATCH(G155,Cables!$A:$A,0))-1),1),1),1),INDEX(Cables!$AP:$AP,MATCH(G155,Cables!$A:$A,0))-1))+1)))*0.3048)</f>
        <v>4.1191999578739376</v>
      </c>
      <c r="I155" s="43">
        <f>IF(G155="","",EXP(FORECAST(LN(E155),INDEX(Attenuation!$K:$K,(INDEX(Cables!$AO:$AO,MATCH(G155,Cables!$A:$A,0))-1+MIN(MAX(IFERROR(MATCH(LN(E155),INDEX(Attenuation!$J:$J,INDEX(Cables!$AO:$AO,MATCH(G155,Cables!$A:$A,0))):INDEX(Attenuation!$J:$J,INDEX(Cables!$AO:$AO,MATCH(G155,Cables!$A:$A,0))+INDEX(Cables!$AP:$AP,MATCH(G155,Cables!$A:$A,0))-1),1),1),1),INDEX(Cables!$AP:$AP,MATCH(G155,Cables!$A:$A,0))-1))):INDEX(Attenuation!$K:$K,(INDEX(Cables!$AO:$AO,MATCH(G155,Cables!$A:$A,0))-1+MIN(MAX(IFERROR(MATCH(LN(E155),INDEX(Attenuation!$J:$J,INDEX(Cables!$AO:$AO,MATCH(G155,Cables!$A:$A,0))):INDEX(Attenuation!$J:$J,INDEX(Cables!$AO:$AO,MATCH(G155,Cables!$A:$A,0))+INDEX(Cables!$AP:$AP,MATCH(G155,Cables!$A:$A,0))-1),1),1),1),INDEX(Cables!$AP:$AP,MATCH(G155,Cables!$A:$A,0))-1))+1),INDEX(Attenuation!$J:$J,(INDEX(Cables!$AO:$AO,MATCH(G155,Cables!$A:$A,0))-1+MIN(MAX(IFERROR(MATCH(LN(E155),INDEX(Attenuation!$J:$J,INDEX(Cables!$AO:$AO,MATCH(G155,Cables!$A:$A,0))):INDEX(Attenuation!$J:$J,INDEX(Cables!$AO:$AO,MATCH(G155,Cables!$A:$A,0))+INDEX(Cables!$AP:$AP,MATCH(G155,Cables!$A:$A,0))-1),1),1),1),INDEX(Cables!$AP:$AP,MATCH(G155,Cables!$A:$A,0))-1))):INDEX(Attenuation!$J:$J,(INDEX(Cables!$AO:$AO,MATCH(G155,Cables!$A:$A,0))-1+MIN(MAX(IFERROR(MATCH(LN(E155),INDEX(Attenuation!$J:$J,INDEX(Cables!$AO:$AO,MATCH(G155,Cables!$A:$A,0))):INDEX(Attenuation!$J:$J,INDEX(Cables!$AO:$AO,MATCH(G155,Cables!$A:$A,0))+INDEX(Cables!$AP:$AP,MATCH(G155,Cables!$A:$A,0))-1),1),1),1),INDEX(Cables!$AP:$AP,MATCH(G155,Cables!$A:$A,0))-1))+1)))*0.3048)</f>
        <v>4.8193471939769719</v>
      </c>
      <c r="J155" s="44">
        <f t="shared" si="2"/>
        <v>0</v>
      </c>
      <c r="K155" s="40" t="str">
        <f>IF(G155="","Doğrulanmadı",IF(ABS(J155)&lt;=0.1,"Uyumlu (±%10)",IF(ABS(J155)&lt;=0.25,"Fark %10-25","Fark &gt;%25"))&amp;IF(OR(D155&lt;INDEX(Cables!$AQ:$AQ,MATCH(G155,Cables!$A:$A,0)),E155&gt;INDEX(Cables!$AR:$AR,MATCH(G155,Cables!$A:$A,0)))," · ekstrapolasyon",""))</f>
        <v>Uyumlu (±%10)</v>
      </c>
    </row>
    <row r="156" spans="1:11" x14ac:dyDescent="0.25">
      <c r="A156" s="37" t="s">
        <v>3012</v>
      </c>
      <c r="B156" s="40" t="str">
        <f>INDEX(Legacy_Index!$D:$D,MATCH(A156,Legacy_Index!$A:$A,0))</f>
        <v>RG213/U Messi and Paoloni</v>
      </c>
      <c r="C156" s="37" t="s">
        <v>3116</v>
      </c>
      <c r="D156" s="37">
        <v>700</v>
      </c>
      <c r="E156" s="37">
        <v>960</v>
      </c>
      <c r="F156" s="37">
        <v>6.5</v>
      </c>
      <c r="G156" s="40" t="str">
        <f>IF(INDEX(Legacy_Index!$G:$G,MATCH(A156,Legacy_Index!$A:$A,0))="","",INDEX(Legacy_Index!$G:$G,MATCH(A156,Legacy_Index!$A:$A,0)))</f>
        <v>MP-RG213U</v>
      </c>
      <c r="H156" s="43">
        <f>IF(G156="","",EXP(FORECAST(LN(D156),INDEX(Attenuation!$K:$K,(INDEX(Cables!$AO:$AO,MATCH(G156,Cables!$A:$A,0))-1+MIN(MAX(IFERROR(MATCH(LN(D156),INDEX(Attenuation!$J:$J,INDEX(Cables!$AO:$AO,MATCH(G156,Cables!$A:$A,0))):INDEX(Attenuation!$J:$J,INDEX(Cables!$AO:$AO,MATCH(G156,Cables!$A:$A,0))+INDEX(Cables!$AP:$AP,MATCH(G156,Cables!$A:$A,0))-1),1),1),1),INDEX(Cables!$AP:$AP,MATCH(G156,Cables!$A:$A,0))-1))):INDEX(Attenuation!$K:$K,(INDEX(Cables!$AO:$AO,MATCH(G156,Cables!$A:$A,0))-1+MIN(MAX(IFERROR(MATCH(LN(D156),INDEX(Attenuation!$J:$J,INDEX(Cables!$AO:$AO,MATCH(G156,Cables!$A:$A,0))):INDEX(Attenuation!$J:$J,INDEX(Cables!$AO:$AO,MATCH(G156,Cables!$A:$A,0))+INDEX(Cables!$AP:$AP,MATCH(G156,Cables!$A:$A,0))-1),1),1),1),INDEX(Cables!$AP:$AP,MATCH(G156,Cables!$A:$A,0))-1))+1),INDEX(Attenuation!$J:$J,(INDEX(Cables!$AO:$AO,MATCH(G156,Cables!$A:$A,0))-1+MIN(MAX(IFERROR(MATCH(LN(D156),INDEX(Attenuation!$J:$J,INDEX(Cables!$AO:$AO,MATCH(G156,Cables!$A:$A,0))):INDEX(Attenuation!$J:$J,INDEX(Cables!$AO:$AO,MATCH(G156,Cables!$A:$A,0))+INDEX(Cables!$AP:$AP,MATCH(G156,Cables!$A:$A,0))-1),1),1),1),INDEX(Cables!$AP:$AP,MATCH(G156,Cables!$A:$A,0))-1))):INDEX(Attenuation!$J:$J,(INDEX(Cables!$AO:$AO,MATCH(G156,Cables!$A:$A,0))-1+MIN(MAX(IFERROR(MATCH(LN(D156),INDEX(Attenuation!$J:$J,INDEX(Cables!$AO:$AO,MATCH(G156,Cables!$A:$A,0))):INDEX(Attenuation!$J:$J,INDEX(Cables!$AO:$AO,MATCH(G156,Cables!$A:$A,0))+INDEX(Cables!$AP:$AP,MATCH(G156,Cables!$A:$A,0))-1),1),1),1),INDEX(Cables!$AP:$AP,MATCH(G156,Cables!$A:$A,0))-1))+1)))*0.3048)</f>
        <v>5.7651391793713298</v>
      </c>
      <c r="I156" s="43">
        <f>IF(G156="","",EXP(FORECAST(LN(E156),INDEX(Attenuation!$K:$K,(INDEX(Cables!$AO:$AO,MATCH(G156,Cables!$A:$A,0))-1+MIN(MAX(IFERROR(MATCH(LN(E156),INDEX(Attenuation!$J:$J,INDEX(Cables!$AO:$AO,MATCH(G156,Cables!$A:$A,0))):INDEX(Attenuation!$J:$J,INDEX(Cables!$AO:$AO,MATCH(G156,Cables!$A:$A,0))+INDEX(Cables!$AP:$AP,MATCH(G156,Cables!$A:$A,0))-1),1),1),1),INDEX(Cables!$AP:$AP,MATCH(G156,Cables!$A:$A,0))-1))):INDEX(Attenuation!$K:$K,(INDEX(Cables!$AO:$AO,MATCH(G156,Cables!$A:$A,0))-1+MIN(MAX(IFERROR(MATCH(LN(E156),INDEX(Attenuation!$J:$J,INDEX(Cables!$AO:$AO,MATCH(G156,Cables!$A:$A,0))):INDEX(Attenuation!$J:$J,INDEX(Cables!$AO:$AO,MATCH(G156,Cables!$A:$A,0))+INDEX(Cables!$AP:$AP,MATCH(G156,Cables!$A:$A,0))-1),1),1),1),INDEX(Cables!$AP:$AP,MATCH(G156,Cables!$A:$A,0))-1))+1),INDEX(Attenuation!$J:$J,(INDEX(Cables!$AO:$AO,MATCH(G156,Cables!$A:$A,0))-1+MIN(MAX(IFERROR(MATCH(LN(E156),INDEX(Attenuation!$J:$J,INDEX(Cables!$AO:$AO,MATCH(G156,Cables!$A:$A,0))):INDEX(Attenuation!$J:$J,INDEX(Cables!$AO:$AO,MATCH(G156,Cables!$A:$A,0))+INDEX(Cables!$AP:$AP,MATCH(G156,Cables!$A:$A,0))-1),1),1),1),INDEX(Cables!$AP:$AP,MATCH(G156,Cables!$A:$A,0))-1))):INDEX(Attenuation!$J:$J,(INDEX(Cables!$AO:$AO,MATCH(G156,Cables!$A:$A,0))-1+MIN(MAX(IFERROR(MATCH(LN(E156),INDEX(Attenuation!$J:$J,INDEX(Cables!$AO:$AO,MATCH(G156,Cables!$A:$A,0))):INDEX(Attenuation!$J:$J,INDEX(Cables!$AO:$AO,MATCH(G156,Cables!$A:$A,0))+INDEX(Cables!$AP:$AP,MATCH(G156,Cables!$A:$A,0))-1),1),1),1),INDEX(Cables!$AP:$AP,MATCH(G156,Cables!$A:$A,0))-1))+1)))*0.3048)</f>
        <v>6.9916549309350371</v>
      </c>
      <c r="J156" s="44">
        <f t="shared" si="2"/>
        <v>0</v>
      </c>
      <c r="K156" s="40" t="str">
        <f>IF(G156="","Doğrulanmadı",IF(ABS(J156)&lt;=0.1,"Uyumlu (±%10)",IF(ABS(J156)&lt;=0.25,"Fark %10-25","Fark &gt;%25"))&amp;IF(OR(D156&lt;INDEX(Cables!$AQ:$AQ,MATCH(G156,Cables!$A:$A,0)),E156&gt;INDEX(Cables!$AR:$AR,MATCH(G156,Cables!$A:$A,0)))," · ekstrapolasyon",""))</f>
        <v>Uyumlu (±%10)</v>
      </c>
    </row>
    <row r="157" spans="1:11" x14ac:dyDescent="0.25">
      <c r="A157" s="37" t="s">
        <v>3012</v>
      </c>
      <c r="B157" s="40" t="str">
        <f>INDEX(Legacy_Index!$D:$D,MATCH(A157,Legacy_Index!$A:$A,0))</f>
        <v>RG213/U Messi and Paoloni</v>
      </c>
      <c r="C157" s="37" t="s">
        <v>3120</v>
      </c>
      <c r="D157" s="37">
        <v>1200</v>
      </c>
      <c r="E157" s="37">
        <v>1300</v>
      </c>
      <c r="F157" s="37">
        <v>8.4</v>
      </c>
      <c r="G157" s="40" t="str">
        <f>IF(INDEX(Legacy_Index!$G:$G,MATCH(A157,Legacy_Index!$A:$A,0))="","",INDEX(Legacy_Index!$G:$G,MATCH(A157,Legacy_Index!$A:$A,0)))</f>
        <v>MP-RG213U</v>
      </c>
      <c r="H157" s="43">
        <f>IF(G157="","",EXP(FORECAST(LN(D157),INDEX(Attenuation!$K:$K,(INDEX(Cables!$AO:$AO,MATCH(G157,Cables!$A:$A,0))-1+MIN(MAX(IFERROR(MATCH(LN(D157),INDEX(Attenuation!$J:$J,INDEX(Cables!$AO:$AO,MATCH(G157,Cables!$A:$A,0))):INDEX(Attenuation!$J:$J,INDEX(Cables!$AO:$AO,MATCH(G157,Cables!$A:$A,0))+INDEX(Cables!$AP:$AP,MATCH(G157,Cables!$A:$A,0))-1),1),1),1),INDEX(Cables!$AP:$AP,MATCH(G157,Cables!$A:$A,0))-1))):INDEX(Attenuation!$K:$K,(INDEX(Cables!$AO:$AO,MATCH(G157,Cables!$A:$A,0))-1+MIN(MAX(IFERROR(MATCH(LN(D157),INDEX(Attenuation!$J:$J,INDEX(Cables!$AO:$AO,MATCH(G157,Cables!$A:$A,0))):INDEX(Attenuation!$J:$J,INDEX(Cables!$AO:$AO,MATCH(G157,Cables!$A:$A,0))+INDEX(Cables!$AP:$AP,MATCH(G157,Cables!$A:$A,0))-1),1),1),1),INDEX(Cables!$AP:$AP,MATCH(G157,Cables!$A:$A,0))-1))+1),INDEX(Attenuation!$J:$J,(INDEX(Cables!$AO:$AO,MATCH(G157,Cables!$A:$A,0))-1+MIN(MAX(IFERROR(MATCH(LN(D157),INDEX(Attenuation!$J:$J,INDEX(Cables!$AO:$AO,MATCH(G157,Cables!$A:$A,0))):INDEX(Attenuation!$J:$J,INDEX(Cables!$AO:$AO,MATCH(G157,Cables!$A:$A,0))+INDEX(Cables!$AP:$AP,MATCH(G157,Cables!$A:$A,0))-1),1),1),1),INDEX(Cables!$AP:$AP,MATCH(G157,Cables!$A:$A,0))-1))):INDEX(Attenuation!$J:$J,(INDEX(Cables!$AO:$AO,MATCH(G157,Cables!$A:$A,0))-1+MIN(MAX(IFERROR(MATCH(LN(D157),INDEX(Attenuation!$J:$J,INDEX(Cables!$AO:$AO,MATCH(G157,Cables!$A:$A,0))):INDEX(Attenuation!$J:$J,INDEX(Cables!$AO:$AO,MATCH(G157,Cables!$A:$A,0))+INDEX(Cables!$AP:$AP,MATCH(G157,Cables!$A:$A,0))-1),1),1),1),INDEX(Cables!$AP:$AP,MATCH(G157,Cables!$A:$A,0))-1))+1)))*0.3048)</f>
        <v>8.0226901636396324</v>
      </c>
      <c r="I157" s="43">
        <f>IF(G157="","",EXP(FORECAST(LN(E157),INDEX(Attenuation!$K:$K,(INDEX(Cables!$AO:$AO,MATCH(G157,Cables!$A:$A,0))-1+MIN(MAX(IFERROR(MATCH(LN(E157),INDEX(Attenuation!$J:$J,INDEX(Cables!$AO:$AO,MATCH(G157,Cables!$A:$A,0))):INDEX(Attenuation!$J:$J,INDEX(Cables!$AO:$AO,MATCH(G157,Cables!$A:$A,0))+INDEX(Cables!$AP:$AP,MATCH(G157,Cables!$A:$A,0))-1),1),1),1),INDEX(Cables!$AP:$AP,MATCH(G157,Cables!$A:$A,0))-1))):INDEX(Attenuation!$K:$K,(INDEX(Cables!$AO:$AO,MATCH(G157,Cables!$A:$A,0))-1+MIN(MAX(IFERROR(MATCH(LN(E157),INDEX(Attenuation!$J:$J,INDEX(Cables!$AO:$AO,MATCH(G157,Cables!$A:$A,0))):INDEX(Attenuation!$J:$J,INDEX(Cables!$AO:$AO,MATCH(G157,Cables!$A:$A,0))+INDEX(Cables!$AP:$AP,MATCH(G157,Cables!$A:$A,0))-1),1),1),1),INDEX(Cables!$AP:$AP,MATCH(G157,Cables!$A:$A,0))-1))+1),INDEX(Attenuation!$J:$J,(INDEX(Cables!$AO:$AO,MATCH(G157,Cables!$A:$A,0))-1+MIN(MAX(IFERROR(MATCH(LN(E157),INDEX(Attenuation!$J:$J,INDEX(Cables!$AO:$AO,MATCH(G157,Cables!$A:$A,0))):INDEX(Attenuation!$J:$J,INDEX(Cables!$AO:$AO,MATCH(G157,Cables!$A:$A,0))+INDEX(Cables!$AP:$AP,MATCH(G157,Cables!$A:$A,0))-1),1),1),1),INDEX(Cables!$AP:$AP,MATCH(G157,Cables!$A:$A,0))-1))):INDEX(Attenuation!$J:$J,(INDEX(Cables!$AO:$AO,MATCH(G157,Cables!$A:$A,0))-1+MIN(MAX(IFERROR(MATCH(LN(E157),INDEX(Attenuation!$J:$J,INDEX(Cables!$AO:$AO,MATCH(G157,Cables!$A:$A,0))):INDEX(Attenuation!$J:$J,INDEX(Cables!$AO:$AO,MATCH(G157,Cables!$A:$A,0))+INDEX(Cables!$AP:$AP,MATCH(G157,Cables!$A:$A,0))-1),1),1),1),INDEX(Cables!$AP:$AP,MATCH(G157,Cables!$A:$A,0))-1))+1)))*0.3048)</f>
        <v>8.4284762830510527</v>
      </c>
      <c r="J157" s="44">
        <f t="shared" si="2"/>
        <v>0</v>
      </c>
      <c r="K157" s="40" t="str">
        <f>IF(G157="","Doğrulanmadı",IF(ABS(J157)&lt;=0.1,"Uyumlu (±%10)",IF(ABS(J157)&lt;=0.25,"Fark %10-25","Fark &gt;%25"))&amp;IF(OR(D157&lt;INDEX(Cables!$AQ:$AQ,MATCH(G157,Cables!$A:$A,0)),E157&gt;INDEX(Cables!$AR:$AR,MATCH(G157,Cables!$A:$A,0)))," · ekstrapolasyon",""))</f>
        <v>Uyumlu (±%10) · ekstrapolasyon</v>
      </c>
    </row>
    <row r="158" spans="1:11" x14ac:dyDescent="0.25">
      <c r="A158" s="37" t="s">
        <v>3014</v>
      </c>
      <c r="B158" s="40" t="str">
        <f>INDEX(Legacy_Index!$D:$D,MATCH(A158,Legacy_Index!$A:$A,0))</f>
        <v>1/4" Superflex (CELLFLEX SCF14-50J)</v>
      </c>
      <c r="C158" s="37" t="s">
        <v>3113</v>
      </c>
      <c r="D158" s="37">
        <v>70</v>
      </c>
      <c r="E158" s="37">
        <v>100</v>
      </c>
      <c r="F158" s="37">
        <v>1.3</v>
      </c>
      <c r="G158" s="40" t="str">
        <f>IF(INDEX(Legacy_Index!$G:$G,MATCH(A158,Legacy_Index!$A:$A,0))="","",INDEX(Legacy_Index!$G:$G,MATCH(A158,Legacy_Index!$A:$A,0)))</f>
        <v>RFS-SCF14-50J</v>
      </c>
      <c r="H158" s="43">
        <f>IF(G158="","",EXP(FORECAST(LN(D158),INDEX(Attenuation!$K:$K,(INDEX(Cables!$AO:$AO,MATCH(G158,Cables!$A:$A,0))-1+MIN(MAX(IFERROR(MATCH(LN(D158),INDEX(Attenuation!$J:$J,INDEX(Cables!$AO:$AO,MATCH(G158,Cables!$A:$A,0))):INDEX(Attenuation!$J:$J,INDEX(Cables!$AO:$AO,MATCH(G158,Cables!$A:$A,0))+INDEX(Cables!$AP:$AP,MATCH(G158,Cables!$A:$A,0))-1),1),1),1),INDEX(Cables!$AP:$AP,MATCH(G158,Cables!$A:$A,0))-1))):INDEX(Attenuation!$K:$K,(INDEX(Cables!$AO:$AO,MATCH(G158,Cables!$A:$A,0))-1+MIN(MAX(IFERROR(MATCH(LN(D158),INDEX(Attenuation!$J:$J,INDEX(Cables!$AO:$AO,MATCH(G158,Cables!$A:$A,0))):INDEX(Attenuation!$J:$J,INDEX(Cables!$AO:$AO,MATCH(G158,Cables!$A:$A,0))+INDEX(Cables!$AP:$AP,MATCH(G158,Cables!$A:$A,0))-1),1),1),1),INDEX(Cables!$AP:$AP,MATCH(G158,Cables!$A:$A,0))-1))+1),INDEX(Attenuation!$J:$J,(INDEX(Cables!$AO:$AO,MATCH(G158,Cables!$A:$A,0))-1+MIN(MAX(IFERROR(MATCH(LN(D158),INDEX(Attenuation!$J:$J,INDEX(Cables!$AO:$AO,MATCH(G158,Cables!$A:$A,0))):INDEX(Attenuation!$J:$J,INDEX(Cables!$AO:$AO,MATCH(G158,Cables!$A:$A,0))+INDEX(Cables!$AP:$AP,MATCH(G158,Cables!$A:$A,0))-1),1),1),1),INDEX(Cables!$AP:$AP,MATCH(G158,Cables!$A:$A,0))-1))):INDEX(Attenuation!$J:$J,(INDEX(Cables!$AO:$AO,MATCH(G158,Cables!$A:$A,0))-1+MIN(MAX(IFERROR(MATCH(LN(D158),INDEX(Attenuation!$J:$J,INDEX(Cables!$AO:$AO,MATCH(G158,Cables!$A:$A,0))):INDEX(Attenuation!$J:$J,INDEX(Cables!$AO:$AO,MATCH(G158,Cables!$A:$A,0))+INDEX(Cables!$AP:$AP,MATCH(G158,Cables!$A:$A,0))-1),1),1),1),INDEX(Cables!$AP:$AP,MATCH(G158,Cables!$A:$A,0))-1))+1)))*0.3048)</f>
        <v>1.4817883666650755</v>
      </c>
      <c r="I158" s="43">
        <f>IF(G158="","",EXP(FORECAST(LN(E158),INDEX(Attenuation!$K:$K,(INDEX(Cables!$AO:$AO,MATCH(G158,Cables!$A:$A,0))-1+MIN(MAX(IFERROR(MATCH(LN(E158),INDEX(Attenuation!$J:$J,INDEX(Cables!$AO:$AO,MATCH(G158,Cables!$A:$A,0))):INDEX(Attenuation!$J:$J,INDEX(Cables!$AO:$AO,MATCH(G158,Cables!$A:$A,0))+INDEX(Cables!$AP:$AP,MATCH(G158,Cables!$A:$A,0))-1),1),1),1),INDEX(Cables!$AP:$AP,MATCH(G158,Cables!$A:$A,0))-1))):INDEX(Attenuation!$K:$K,(INDEX(Cables!$AO:$AO,MATCH(G158,Cables!$A:$A,0))-1+MIN(MAX(IFERROR(MATCH(LN(E158),INDEX(Attenuation!$J:$J,INDEX(Cables!$AO:$AO,MATCH(G158,Cables!$A:$A,0))):INDEX(Attenuation!$J:$J,INDEX(Cables!$AO:$AO,MATCH(G158,Cables!$A:$A,0))+INDEX(Cables!$AP:$AP,MATCH(G158,Cables!$A:$A,0))-1),1),1),1),INDEX(Cables!$AP:$AP,MATCH(G158,Cables!$A:$A,0))-1))+1),INDEX(Attenuation!$J:$J,(INDEX(Cables!$AO:$AO,MATCH(G158,Cables!$A:$A,0))-1+MIN(MAX(IFERROR(MATCH(LN(E158),INDEX(Attenuation!$J:$J,INDEX(Cables!$AO:$AO,MATCH(G158,Cables!$A:$A,0))):INDEX(Attenuation!$J:$J,INDEX(Cables!$AO:$AO,MATCH(G158,Cables!$A:$A,0))+INDEX(Cables!$AP:$AP,MATCH(G158,Cables!$A:$A,0))-1),1),1),1),INDEX(Cables!$AP:$AP,MATCH(G158,Cables!$A:$A,0))-1))):INDEX(Attenuation!$J:$J,(INDEX(Cables!$AO:$AO,MATCH(G158,Cables!$A:$A,0))-1+MIN(MAX(IFERROR(MATCH(LN(E158),INDEX(Attenuation!$J:$J,INDEX(Cables!$AO:$AO,MATCH(G158,Cables!$A:$A,0))):INDEX(Attenuation!$J:$J,INDEX(Cables!$AO:$AO,MATCH(G158,Cables!$A:$A,0))+INDEX(Cables!$AP:$AP,MATCH(G158,Cables!$A:$A,0))-1),1),1),1),INDEX(Cables!$AP:$AP,MATCH(G158,Cables!$A:$A,0))-1))+1)))*0.3048)</f>
        <v>1.7739360000000006</v>
      </c>
      <c r="J158" s="44">
        <f t="shared" si="2"/>
        <v>-0.12268173428450502</v>
      </c>
      <c r="K158" s="40" t="str">
        <f>IF(G158="","Doğrulanmadı",IF(ABS(J158)&lt;=0.1,"Uyumlu (±%10)",IF(ABS(J158)&lt;=0.25,"Fark %10-25","Fark &gt;%25"))&amp;IF(OR(D158&lt;INDEX(Cables!$AQ:$AQ,MATCH(G158,Cables!$A:$A,0)),E158&gt;INDEX(Cables!$AR:$AR,MATCH(G158,Cables!$A:$A,0)))," · ekstrapolasyon",""))</f>
        <v>Fark %10-25</v>
      </c>
    </row>
    <row r="159" spans="1:11" x14ac:dyDescent="0.25">
      <c r="A159" s="37" t="s">
        <v>3014</v>
      </c>
      <c r="B159" s="40" t="str">
        <f>INDEX(Legacy_Index!$D:$D,MATCH(A159,Legacy_Index!$A:$A,0))</f>
        <v>1/4" Superflex (CELLFLEX SCF14-50J)</v>
      </c>
      <c r="C159" s="37" t="s">
        <v>3114</v>
      </c>
      <c r="D159" s="37">
        <v>148</v>
      </c>
      <c r="E159" s="37">
        <v>174</v>
      </c>
      <c r="F159" s="37">
        <v>2.2000000000000002</v>
      </c>
      <c r="G159" s="40" t="str">
        <f>IF(INDEX(Legacy_Index!$G:$G,MATCH(A159,Legacy_Index!$A:$A,0))="","",INDEX(Legacy_Index!$G:$G,MATCH(A159,Legacy_Index!$A:$A,0)))</f>
        <v>RFS-SCF14-50J</v>
      </c>
      <c r="H159" s="43">
        <f>IF(G159="","",EXP(FORECAST(LN(D159),INDEX(Attenuation!$K:$K,(INDEX(Cables!$AO:$AO,MATCH(G159,Cables!$A:$A,0))-1+MIN(MAX(IFERROR(MATCH(LN(D159),INDEX(Attenuation!$J:$J,INDEX(Cables!$AO:$AO,MATCH(G159,Cables!$A:$A,0))):INDEX(Attenuation!$J:$J,INDEX(Cables!$AO:$AO,MATCH(G159,Cables!$A:$A,0))+INDEX(Cables!$AP:$AP,MATCH(G159,Cables!$A:$A,0))-1),1),1),1),INDEX(Cables!$AP:$AP,MATCH(G159,Cables!$A:$A,0))-1))):INDEX(Attenuation!$K:$K,(INDEX(Cables!$AO:$AO,MATCH(G159,Cables!$A:$A,0))-1+MIN(MAX(IFERROR(MATCH(LN(D159),INDEX(Attenuation!$J:$J,INDEX(Cables!$AO:$AO,MATCH(G159,Cables!$A:$A,0))):INDEX(Attenuation!$J:$J,INDEX(Cables!$AO:$AO,MATCH(G159,Cables!$A:$A,0))+INDEX(Cables!$AP:$AP,MATCH(G159,Cables!$A:$A,0))-1),1),1),1),INDEX(Cables!$AP:$AP,MATCH(G159,Cables!$A:$A,0))-1))+1),INDEX(Attenuation!$J:$J,(INDEX(Cables!$AO:$AO,MATCH(G159,Cables!$A:$A,0))-1+MIN(MAX(IFERROR(MATCH(LN(D159),INDEX(Attenuation!$J:$J,INDEX(Cables!$AO:$AO,MATCH(G159,Cables!$A:$A,0))):INDEX(Attenuation!$J:$J,INDEX(Cables!$AO:$AO,MATCH(G159,Cables!$A:$A,0))+INDEX(Cables!$AP:$AP,MATCH(G159,Cables!$A:$A,0))-1),1),1),1),INDEX(Cables!$AP:$AP,MATCH(G159,Cables!$A:$A,0))-1))):INDEX(Attenuation!$J:$J,(INDEX(Cables!$AO:$AO,MATCH(G159,Cables!$A:$A,0))-1+MIN(MAX(IFERROR(MATCH(LN(D159),INDEX(Attenuation!$J:$J,INDEX(Cables!$AO:$AO,MATCH(G159,Cables!$A:$A,0))):INDEX(Attenuation!$J:$J,INDEX(Cables!$AO:$AO,MATCH(G159,Cables!$A:$A,0))+INDEX(Cables!$AP:$AP,MATCH(G159,Cables!$A:$A,0))-1),1),1),1),INDEX(Cables!$AP:$AP,MATCH(G159,Cables!$A:$A,0))-1))+1)))*0.3048)</f>
        <v>2.1727706203127415</v>
      </c>
      <c r="I159" s="43">
        <f>IF(G159="","",EXP(FORECAST(LN(E159),INDEX(Attenuation!$K:$K,(INDEX(Cables!$AO:$AO,MATCH(G159,Cables!$A:$A,0))-1+MIN(MAX(IFERROR(MATCH(LN(E159),INDEX(Attenuation!$J:$J,INDEX(Cables!$AO:$AO,MATCH(G159,Cables!$A:$A,0))):INDEX(Attenuation!$J:$J,INDEX(Cables!$AO:$AO,MATCH(G159,Cables!$A:$A,0))+INDEX(Cables!$AP:$AP,MATCH(G159,Cables!$A:$A,0))-1),1),1),1),INDEX(Cables!$AP:$AP,MATCH(G159,Cables!$A:$A,0))-1))):INDEX(Attenuation!$K:$K,(INDEX(Cables!$AO:$AO,MATCH(G159,Cables!$A:$A,0))-1+MIN(MAX(IFERROR(MATCH(LN(E159),INDEX(Attenuation!$J:$J,INDEX(Cables!$AO:$AO,MATCH(G159,Cables!$A:$A,0))):INDEX(Attenuation!$J:$J,INDEX(Cables!$AO:$AO,MATCH(G159,Cables!$A:$A,0))+INDEX(Cables!$AP:$AP,MATCH(G159,Cables!$A:$A,0))-1),1),1),1),INDEX(Cables!$AP:$AP,MATCH(G159,Cables!$A:$A,0))-1))+1),INDEX(Attenuation!$J:$J,(INDEX(Cables!$AO:$AO,MATCH(G159,Cables!$A:$A,0))-1+MIN(MAX(IFERROR(MATCH(LN(E159),INDEX(Attenuation!$J:$J,INDEX(Cables!$AO:$AO,MATCH(G159,Cables!$A:$A,0))):INDEX(Attenuation!$J:$J,INDEX(Cables!$AO:$AO,MATCH(G159,Cables!$A:$A,0))+INDEX(Cables!$AP:$AP,MATCH(G159,Cables!$A:$A,0))-1),1),1),1),INDEX(Cables!$AP:$AP,MATCH(G159,Cables!$A:$A,0))-1))):INDEX(Attenuation!$J:$J,(INDEX(Cables!$AO:$AO,MATCH(G159,Cables!$A:$A,0))-1+MIN(MAX(IFERROR(MATCH(LN(E159),INDEX(Attenuation!$J:$J,INDEX(Cables!$AO:$AO,MATCH(G159,Cables!$A:$A,0))):INDEX(Attenuation!$J:$J,INDEX(Cables!$AO:$AO,MATCH(G159,Cables!$A:$A,0))+INDEX(Cables!$AP:$AP,MATCH(G159,Cables!$A:$A,0))-1),1),1),1),INDEX(Cables!$AP:$AP,MATCH(G159,Cables!$A:$A,0))-1))+1)))*0.3048)</f>
        <v>2.3625087962810079</v>
      </c>
      <c r="J159" s="44">
        <f t="shared" si="2"/>
        <v>0</v>
      </c>
      <c r="K159" s="40" t="str">
        <f>IF(G159="","Doğrulanmadı",IF(ABS(J159)&lt;=0.1,"Uyumlu (±%10)",IF(ABS(J159)&lt;=0.25,"Fark %10-25","Fark &gt;%25"))&amp;IF(OR(D159&lt;INDEX(Cables!$AQ:$AQ,MATCH(G159,Cables!$A:$A,0)),E159&gt;INDEX(Cables!$AR:$AR,MATCH(G159,Cables!$A:$A,0)))," · ekstrapolasyon",""))</f>
        <v>Uyumlu (±%10)</v>
      </c>
    </row>
    <row r="160" spans="1:11" x14ac:dyDescent="0.25">
      <c r="A160" s="37" t="s">
        <v>3014</v>
      </c>
      <c r="B160" s="40" t="str">
        <f>INDEX(Legacy_Index!$D:$D,MATCH(A160,Legacy_Index!$A:$A,0))</f>
        <v>1/4" Superflex (CELLFLEX SCF14-50J)</v>
      </c>
      <c r="C160" s="37" t="s">
        <v>3115</v>
      </c>
      <c r="D160" s="37">
        <v>400</v>
      </c>
      <c r="E160" s="37">
        <v>520</v>
      </c>
      <c r="F160" s="37">
        <v>4.2</v>
      </c>
      <c r="G160" s="40" t="str">
        <f>IF(INDEX(Legacy_Index!$G:$G,MATCH(A160,Legacy_Index!$A:$A,0))="","",INDEX(Legacy_Index!$G:$G,MATCH(A160,Legacy_Index!$A:$A,0)))</f>
        <v>RFS-SCF14-50J</v>
      </c>
      <c r="H160" s="43">
        <f>IF(G160="","",EXP(FORECAST(LN(D160),INDEX(Attenuation!$K:$K,(INDEX(Cables!$AO:$AO,MATCH(G160,Cables!$A:$A,0))-1+MIN(MAX(IFERROR(MATCH(LN(D160),INDEX(Attenuation!$J:$J,INDEX(Cables!$AO:$AO,MATCH(G160,Cables!$A:$A,0))):INDEX(Attenuation!$J:$J,INDEX(Cables!$AO:$AO,MATCH(G160,Cables!$A:$A,0))+INDEX(Cables!$AP:$AP,MATCH(G160,Cables!$A:$A,0))-1),1),1),1),INDEX(Cables!$AP:$AP,MATCH(G160,Cables!$A:$A,0))-1))):INDEX(Attenuation!$K:$K,(INDEX(Cables!$AO:$AO,MATCH(G160,Cables!$A:$A,0))-1+MIN(MAX(IFERROR(MATCH(LN(D160),INDEX(Attenuation!$J:$J,INDEX(Cables!$AO:$AO,MATCH(G160,Cables!$A:$A,0))):INDEX(Attenuation!$J:$J,INDEX(Cables!$AO:$AO,MATCH(G160,Cables!$A:$A,0))+INDEX(Cables!$AP:$AP,MATCH(G160,Cables!$A:$A,0))-1),1),1),1),INDEX(Cables!$AP:$AP,MATCH(G160,Cables!$A:$A,0))-1))+1),INDEX(Attenuation!$J:$J,(INDEX(Cables!$AO:$AO,MATCH(G160,Cables!$A:$A,0))-1+MIN(MAX(IFERROR(MATCH(LN(D160),INDEX(Attenuation!$J:$J,INDEX(Cables!$AO:$AO,MATCH(G160,Cables!$A:$A,0))):INDEX(Attenuation!$J:$J,INDEX(Cables!$AO:$AO,MATCH(G160,Cables!$A:$A,0))+INDEX(Cables!$AP:$AP,MATCH(G160,Cables!$A:$A,0))-1),1),1),1),INDEX(Cables!$AP:$AP,MATCH(G160,Cables!$A:$A,0))-1))):INDEX(Attenuation!$J:$J,(INDEX(Cables!$AO:$AO,MATCH(G160,Cables!$A:$A,0))-1+MIN(MAX(IFERROR(MATCH(LN(D160),INDEX(Attenuation!$J:$J,INDEX(Cables!$AO:$AO,MATCH(G160,Cables!$A:$A,0))):INDEX(Attenuation!$J:$J,INDEX(Cables!$AO:$AO,MATCH(G160,Cables!$A:$A,0))+INDEX(Cables!$AP:$AP,MATCH(G160,Cables!$A:$A,0))-1),1),1),1),INDEX(Cables!$AP:$AP,MATCH(G160,Cables!$A:$A,0))-1))+1)))*0.3048)</f>
        <v>3.6483102804881011</v>
      </c>
      <c r="I160" s="43">
        <f>IF(G160="","",EXP(FORECAST(LN(E160),INDEX(Attenuation!$K:$K,(INDEX(Cables!$AO:$AO,MATCH(G160,Cables!$A:$A,0))-1+MIN(MAX(IFERROR(MATCH(LN(E160),INDEX(Attenuation!$J:$J,INDEX(Cables!$AO:$AO,MATCH(G160,Cables!$A:$A,0))):INDEX(Attenuation!$J:$J,INDEX(Cables!$AO:$AO,MATCH(G160,Cables!$A:$A,0))+INDEX(Cables!$AP:$AP,MATCH(G160,Cables!$A:$A,0))-1),1),1),1),INDEX(Cables!$AP:$AP,MATCH(G160,Cables!$A:$A,0))-1))):INDEX(Attenuation!$K:$K,(INDEX(Cables!$AO:$AO,MATCH(G160,Cables!$A:$A,0))-1+MIN(MAX(IFERROR(MATCH(LN(E160),INDEX(Attenuation!$J:$J,INDEX(Cables!$AO:$AO,MATCH(G160,Cables!$A:$A,0))):INDEX(Attenuation!$J:$J,INDEX(Cables!$AO:$AO,MATCH(G160,Cables!$A:$A,0))+INDEX(Cables!$AP:$AP,MATCH(G160,Cables!$A:$A,0))-1),1),1),1),INDEX(Cables!$AP:$AP,MATCH(G160,Cables!$A:$A,0))-1))+1),INDEX(Attenuation!$J:$J,(INDEX(Cables!$AO:$AO,MATCH(G160,Cables!$A:$A,0))-1+MIN(MAX(IFERROR(MATCH(LN(E160),INDEX(Attenuation!$J:$J,INDEX(Cables!$AO:$AO,MATCH(G160,Cables!$A:$A,0))):INDEX(Attenuation!$J:$J,INDEX(Cables!$AO:$AO,MATCH(G160,Cables!$A:$A,0))+INDEX(Cables!$AP:$AP,MATCH(G160,Cables!$A:$A,0))-1),1),1),1),INDEX(Cables!$AP:$AP,MATCH(G160,Cables!$A:$A,0))-1))):INDEX(Attenuation!$J:$J,(INDEX(Cables!$AO:$AO,MATCH(G160,Cables!$A:$A,0))-1+MIN(MAX(IFERROR(MATCH(LN(E160),INDEX(Attenuation!$J:$J,INDEX(Cables!$AO:$AO,MATCH(G160,Cables!$A:$A,0))):INDEX(Attenuation!$J:$J,INDEX(Cables!$AO:$AO,MATCH(G160,Cables!$A:$A,0))+INDEX(Cables!$AP:$AP,MATCH(G160,Cables!$A:$A,0))-1),1),1),1),INDEX(Cables!$AP:$AP,MATCH(G160,Cables!$A:$A,0))-1))+1)))*0.3048)</f>
        <v>4.1900583202859742</v>
      </c>
      <c r="J160" s="44">
        <f t="shared" si="2"/>
        <v>2.3726828970120906E-3</v>
      </c>
      <c r="K160" s="40" t="str">
        <f>IF(G160="","Doğrulanmadı",IF(ABS(J160)&lt;=0.1,"Uyumlu (±%10)",IF(ABS(J160)&lt;=0.25,"Fark %10-25","Fark &gt;%25"))&amp;IF(OR(D160&lt;INDEX(Cables!$AQ:$AQ,MATCH(G160,Cables!$A:$A,0)),E160&gt;INDEX(Cables!$AR:$AR,MATCH(G160,Cables!$A:$A,0)))," · ekstrapolasyon",""))</f>
        <v>Uyumlu (±%10)</v>
      </c>
    </row>
    <row r="161" spans="1:11" x14ac:dyDescent="0.25">
      <c r="A161" s="37" t="s">
        <v>3014</v>
      </c>
      <c r="B161" s="40" t="str">
        <f>INDEX(Legacy_Index!$D:$D,MATCH(A161,Legacy_Index!$A:$A,0))</f>
        <v>1/4" Superflex (CELLFLEX SCF14-50J)</v>
      </c>
      <c r="C161" s="37" t="s">
        <v>3116</v>
      </c>
      <c r="D161" s="37">
        <v>700</v>
      </c>
      <c r="E161" s="37">
        <v>960</v>
      </c>
      <c r="F161" s="37">
        <v>5.6</v>
      </c>
      <c r="G161" s="40" t="str">
        <f>IF(INDEX(Legacy_Index!$G:$G,MATCH(A161,Legacy_Index!$A:$A,0))="","",INDEX(Legacy_Index!$G:$G,MATCH(A161,Legacy_Index!$A:$A,0)))</f>
        <v>RFS-SCF14-50J</v>
      </c>
      <c r="H161" s="43">
        <f>IF(G161="","",EXP(FORECAST(LN(D161),INDEX(Attenuation!$K:$K,(INDEX(Cables!$AO:$AO,MATCH(G161,Cables!$A:$A,0))-1+MIN(MAX(IFERROR(MATCH(LN(D161),INDEX(Attenuation!$J:$J,INDEX(Cables!$AO:$AO,MATCH(G161,Cables!$A:$A,0))):INDEX(Attenuation!$J:$J,INDEX(Cables!$AO:$AO,MATCH(G161,Cables!$A:$A,0))+INDEX(Cables!$AP:$AP,MATCH(G161,Cables!$A:$A,0))-1),1),1),1),INDEX(Cables!$AP:$AP,MATCH(G161,Cables!$A:$A,0))-1))):INDEX(Attenuation!$K:$K,(INDEX(Cables!$AO:$AO,MATCH(G161,Cables!$A:$A,0))-1+MIN(MAX(IFERROR(MATCH(LN(D161),INDEX(Attenuation!$J:$J,INDEX(Cables!$AO:$AO,MATCH(G161,Cables!$A:$A,0))):INDEX(Attenuation!$J:$J,INDEX(Cables!$AO:$AO,MATCH(G161,Cables!$A:$A,0))+INDEX(Cables!$AP:$AP,MATCH(G161,Cables!$A:$A,0))-1),1),1),1),INDEX(Cables!$AP:$AP,MATCH(G161,Cables!$A:$A,0))-1))+1),INDEX(Attenuation!$J:$J,(INDEX(Cables!$AO:$AO,MATCH(G161,Cables!$A:$A,0))-1+MIN(MAX(IFERROR(MATCH(LN(D161),INDEX(Attenuation!$J:$J,INDEX(Cables!$AO:$AO,MATCH(G161,Cables!$A:$A,0))):INDEX(Attenuation!$J:$J,INDEX(Cables!$AO:$AO,MATCH(G161,Cables!$A:$A,0))+INDEX(Cables!$AP:$AP,MATCH(G161,Cables!$A:$A,0))-1),1),1),1),INDEX(Cables!$AP:$AP,MATCH(G161,Cables!$A:$A,0))-1))):INDEX(Attenuation!$J:$J,(INDEX(Cables!$AO:$AO,MATCH(G161,Cables!$A:$A,0))-1+MIN(MAX(IFERROR(MATCH(LN(D161),INDEX(Attenuation!$J:$J,INDEX(Cables!$AO:$AO,MATCH(G161,Cables!$A:$A,0))):INDEX(Attenuation!$J:$J,INDEX(Cables!$AO:$AO,MATCH(G161,Cables!$A:$A,0))+INDEX(Cables!$AP:$AP,MATCH(G161,Cables!$A:$A,0))-1),1),1),1),INDEX(Cables!$AP:$AP,MATCH(G161,Cables!$A:$A,0))-1))+1)))*0.3048)</f>
        <v>4.9072799999999992</v>
      </c>
      <c r="I161" s="43">
        <f>IF(G161="","",EXP(FORECAST(LN(E161),INDEX(Attenuation!$K:$K,(INDEX(Cables!$AO:$AO,MATCH(G161,Cables!$A:$A,0))-1+MIN(MAX(IFERROR(MATCH(LN(E161),INDEX(Attenuation!$J:$J,INDEX(Cables!$AO:$AO,MATCH(G161,Cables!$A:$A,0))):INDEX(Attenuation!$J:$J,INDEX(Cables!$AO:$AO,MATCH(G161,Cables!$A:$A,0))+INDEX(Cables!$AP:$AP,MATCH(G161,Cables!$A:$A,0))-1),1),1),1),INDEX(Cables!$AP:$AP,MATCH(G161,Cables!$A:$A,0))-1))):INDEX(Attenuation!$K:$K,(INDEX(Cables!$AO:$AO,MATCH(G161,Cables!$A:$A,0))-1+MIN(MAX(IFERROR(MATCH(LN(E161),INDEX(Attenuation!$J:$J,INDEX(Cables!$AO:$AO,MATCH(G161,Cables!$A:$A,0))):INDEX(Attenuation!$J:$J,INDEX(Cables!$AO:$AO,MATCH(G161,Cables!$A:$A,0))+INDEX(Cables!$AP:$AP,MATCH(G161,Cables!$A:$A,0))-1),1),1),1),INDEX(Cables!$AP:$AP,MATCH(G161,Cables!$A:$A,0))-1))+1),INDEX(Attenuation!$J:$J,(INDEX(Cables!$AO:$AO,MATCH(G161,Cables!$A:$A,0))-1+MIN(MAX(IFERROR(MATCH(LN(E161),INDEX(Attenuation!$J:$J,INDEX(Cables!$AO:$AO,MATCH(G161,Cables!$A:$A,0))):INDEX(Attenuation!$J:$J,INDEX(Cables!$AO:$AO,MATCH(G161,Cables!$A:$A,0))+INDEX(Cables!$AP:$AP,MATCH(G161,Cables!$A:$A,0))-1),1),1),1),INDEX(Cables!$AP:$AP,MATCH(G161,Cables!$A:$A,0))-1))):INDEX(Attenuation!$J:$J,(INDEX(Cables!$AO:$AO,MATCH(G161,Cables!$A:$A,0))-1+MIN(MAX(IFERROR(MATCH(LN(E161),INDEX(Attenuation!$J:$J,INDEX(Cables!$AO:$AO,MATCH(G161,Cables!$A:$A,0))):INDEX(Attenuation!$J:$J,INDEX(Cables!$AO:$AO,MATCH(G161,Cables!$A:$A,0))+INDEX(Cables!$AP:$AP,MATCH(G161,Cables!$A:$A,0))-1),1),1),1),INDEX(Cables!$AP:$AP,MATCH(G161,Cables!$A:$A,0))-1))+1)))*0.3048)</f>
        <v>5.8159090761670491</v>
      </c>
      <c r="J161" s="44">
        <f t="shared" si="2"/>
        <v>0</v>
      </c>
      <c r="K161" s="40" t="str">
        <f>IF(G161="","Doğrulanmadı",IF(ABS(J161)&lt;=0.1,"Uyumlu (±%10)",IF(ABS(J161)&lt;=0.25,"Fark %10-25","Fark &gt;%25"))&amp;IF(OR(D161&lt;INDEX(Cables!$AQ:$AQ,MATCH(G161,Cables!$A:$A,0)),E161&gt;INDEX(Cables!$AR:$AR,MATCH(G161,Cables!$A:$A,0)))," · ekstrapolasyon",""))</f>
        <v>Uyumlu (±%10)</v>
      </c>
    </row>
    <row r="162" spans="1:11" x14ac:dyDescent="0.25">
      <c r="A162" s="37" t="s">
        <v>3014</v>
      </c>
      <c r="B162" s="40" t="str">
        <f>INDEX(Legacy_Index!$D:$D,MATCH(A162,Legacy_Index!$A:$A,0))</f>
        <v>1/4" Superflex (CELLFLEX SCF14-50J)</v>
      </c>
      <c r="C162" s="37" t="s">
        <v>3121</v>
      </c>
      <c r="D162" s="37">
        <v>2400</v>
      </c>
      <c r="E162" s="37">
        <v>2500</v>
      </c>
      <c r="F162" s="37">
        <v>9.9</v>
      </c>
      <c r="G162" s="40" t="str">
        <f>IF(INDEX(Legacy_Index!$G:$G,MATCH(A162,Legacy_Index!$A:$A,0))="","",INDEX(Legacy_Index!$G:$G,MATCH(A162,Legacy_Index!$A:$A,0)))</f>
        <v>RFS-SCF14-50J</v>
      </c>
      <c r="H162" s="43">
        <f>IF(G162="","",EXP(FORECAST(LN(D162),INDEX(Attenuation!$K:$K,(INDEX(Cables!$AO:$AO,MATCH(G162,Cables!$A:$A,0))-1+MIN(MAX(IFERROR(MATCH(LN(D162),INDEX(Attenuation!$J:$J,INDEX(Cables!$AO:$AO,MATCH(G162,Cables!$A:$A,0))):INDEX(Attenuation!$J:$J,INDEX(Cables!$AO:$AO,MATCH(G162,Cables!$A:$A,0))+INDEX(Cables!$AP:$AP,MATCH(G162,Cables!$A:$A,0))-1),1),1),1),INDEX(Cables!$AP:$AP,MATCH(G162,Cables!$A:$A,0))-1))):INDEX(Attenuation!$K:$K,(INDEX(Cables!$AO:$AO,MATCH(G162,Cables!$A:$A,0))-1+MIN(MAX(IFERROR(MATCH(LN(D162),INDEX(Attenuation!$J:$J,INDEX(Cables!$AO:$AO,MATCH(G162,Cables!$A:$A,0))):INDEX(Attenuation!$J:$J,INDEX(Cables!$AO:$AO,MATCH(G162,Cables!$A:$A,0))+INDEX(Cables!$AP:$AP,MATCH(G162,Cables!$A:$A,0))-1),1),1),1),INDEX(Cables!$AP:$AP,MATCH(G162,Cables!$A:$A,0))-1))+1),INDEX(Attenuation!$J:$J,(INDEX(Cables!$AO:$AO,MATCH(G162,Cables!$A:$A,0))-1+MIN(MAX(IFERROR(MATCH(LN(D162),INDEX(Attenuation!$J:$J,INDEX(Cables!$AO:$AO,MATCH(G162,Cables!$A:$A,0))):INDEX(Attenuation!$J:$J,INDEX(Cables!$AO:$AO,MATCH(G162,Cables!$A:$A,0))+INDEX(Cables!$AP:$AP,MATCH(G162,Cables!$A:$A,0))-1),1),1),1),INDEX(Cables!$AP:$AP,MATCH(G162,Cables!$A:$A,0))-1))):INDEX(Attenuation!$J:$J,(INDEX(Cables!$AO:$AO,MATCH(G162,Cables!$A:$A,0))-1+MIN(MAX(IFERROR(MATCH(LN(D162),INDEX(Attenuation!$J:$J,INDEX(Cables!$AO:$AO,MATCH(G162,Cables!$A:$A,0))):INDEX(Attenuation!$J:$J,INDEX(Cables!$AO:$AO,MATCH(G162,Cables!$A:$A,0))+INDEX(Cables!$AP:$AP,MATCH(G162,Cables!$A:$A,0))-1),1),1),1),INDEX(Cables!$AP:$AP,MATCH(G162,Cables!$A:$A,0))-1))+1)))*0.3048)</f>
        <v>9.6225359999999913</v>
      </c>
      <c r="I162" s="43">
        <f>IF(G162="","",EXP(FORECAST(LN(E162),INDEX(Attenuation!$K:$K,(INDEX(Cables!$AO:$AO,MATCH(G162,Cables!$A:$A,0))-1+MIN(MAX(IFERROR(MATCH(LN(E162),INDEX(Attenuation!$J:$J,INDEX(Cables!$AO:$AO,MATCH(G162,Cables!$A:$A,0))):INDEX(Attenuation!$J:$J,INDEX(Cables!$AO:$AO,MATCH(G162,Cables!$A:$A,0))+INDEX(Cables!$AP:$AP,MATCH(G162,Cables!$A:$A,0))-1),1),1),1),INDEX(Cables!$AP:$AP,MATCH(G162,Cables!$A:$A,0))-1))):INDEX(Attenuation!$K:$K,(INDEX(Cables!$AO:$AO,MATCH(G162,Cables!$A:$A,0))-1+MIN(MAX(IFERROR(MATCH(LN(E162),INDEX(Attenuation!$J:$J,INDEX(Cables!$AO:$AO,MATCH(G162,Cables!$A:$A,0))):INDEX(Attenuation!$J:$J,INDEX(Cables!$AO:$AO,MATCH(G162,Cables!$A:$A,0))+INDEX(Cables!$AP:$AP,MATCH(G162,Cables!$A:$A,0))-1),1),1),1),INDEX(Cables!$AP:$AP,MATCH(G162,Cables!$A:$A,0))-1))+1),INDEX(Attenuation!$J:$J,(INDEX(Cables!$AO:$AO,MATCH(G162,Cables!$A:$A,0))-1+MIN(MAX(IFERROR(MATCH(LN(E162),INDEX(Attenuation!$J:$J,INDEX(Cables!$AO:$AO,MATCH(G162,Cables!$A:$A,0))):INDEX(Attenuation!$J:$J,INDEX(Cables!$AO:$AO,MATCH(G162,Cables!$A:$A,0))+INDEX(Cables!$AP:$AP,MATCH(G162,Cables!$A:$A,0))-1),1),1),1),INDEX(Cables!$AP:$AP,MATCH(G162,Cables!$A:$A,0))-1))):INDEX(Attenuation!$J:$J,(INDEX(Cables!$AO:$AO,MATCH(G162,Cables!$A:$A,0))-1+MIN(MAX(IFERROR(MATCH(LN(E162),INDEX(Attenuation!$J:$J,INDEX(Cables!$AO:$AO,MATCH(G162,Cables!$A:$A,0))):INDEX(Attenuation!$J:$J,INDEX(Cables!$AO:$AO,MATCH(G162,Cables!$A:$A,0))+INDEX(Cables!$AP:$AP,MATCH(G162,Cables!$A:$A,0))-1),1),1),1),INDEX(Cables!$AP:$AP,MATCH(G162,Cables!$A:$A,0))-1))+1)))*0.3048)</f>
        <v>9.8458008369367604</v>
      </c>
      <c r="J162" s="44">
        <f t="shared" si="2"/>
        <v>5.5047998594395242E-3</v>
      </c>
      <c r="K162" s="40" t="str">
        <f>IF(G162="","Doğrulanmadı",IF(ABS(J162)&lt;=0.1,"Uyumlu (±%10)",IF(ABS(J162)&lt;=0.25,"Fark %10-25","Fark &gt;%25"))&amp;IF(OR(D162&lt;INDEX(Cables!$AQ:$AQ,MATCH(G162,Cables!$A:$A,0)),E162&gt;INDEX(Cables!$AR:$AR,MATCH(G162,Cables!$A:$A,0)))," · ekstrapolasyon",""))</f>
        <v>Uyumlu (±%10)</v>
      </c>
    </row>
    <row r="163" spans="1:11" x14ac:dyDescent="0.25">
      <c r="A163" s="37" t="s">
        <v>3014</v>
      </c>
      <c r="B163" s="40" t="str">
        <f>INDEX(Legacy_Index!$D:$D,MATCH(A163,Legacy_Index!$A:$A,0))</f>
        <v>1/4" Superflex (CELLFLEX SCF14-50J)</v>
      </c>
      <c r="C163" s="37" t="s">
        <v>3122</v>
      </c>
      <c r="D163" s="37">
        <v>5725</v>
      </c>
      <c r="E163" s="37">
        <v>5875</v>
      </c>
      <c r="F163" s="37">
        <v>15.8</v>
      </c>
      <c r="G163" s="40" t="str">
        <f>IF(INDEX(Legacy_Index!$G:$G,MATCH(A163,Legacy_Index!$A:$A,0))="","",INDEX(Legacy_Index!$G:$G,MATCH(A163,Legacy_Index!$A:$A,0)))</f>
        <v>RFS-SCF14-50J</v>
      </c>
      <c r="H163" s="43">
        <f>IF(G163="","",EXP(FORECAST(LN(D163),INDEX(Attenuation!$K:$K,(INDEX(Cables!$AO:$AO,MATCH(G163,Cables!$A:$A,0))-1+MIN(MAX(IFERROR(MATCH(LN(D163),INDEX(Attenuation!$J:$J,INDEX(Cables!$AO:$AO,MATCH(G163,Cables!$A:$A,0))):INDEX(Attenuation!$J:$J,INDEX(Cables!$AO:$AO,MATCH(G163,Cables!$A:$A,0))+INDEX(Cables!$AP:$AP,MATCH(G163,Cables!$A:$A,0))-1),1),1),1),INDEX(Cables!$AP:$AP,MATCH(G163,Cables!$A:$A,0))-1))):INDEX(Attenuation!$K:$K,(INDEX(Cables!$AO:$AO,MATCH(G163,Cables!$A:$A,0))-1+MIN(MAX(IFERROR(MATCH(LN(D163),INDEX(Attenuation!$J:$J,INDEX(Cables!$AO:$AO,MATCH(G163,Cables!$A:$A,0))):INDEX(Attenuation!$J:$J,INDEX(Cables!$AO:$AO,MATCH(G163,Cables!$A:$A,0))+INDEX(Cables!$AP:$AP,MATCH(G163,Cables!$A:$A,0))-1),1),1),1),INDEX(Cables!$AP:$AP,MATCH(G163,Cables!$A:$A,0))-1))+1),INDEX(Attenuation!$J:$J,(INDEX(Cables!$AO:$AO,MATCH(G163,Cables!$A:$A,0))-1+MIN(MAX(IFERROR(MATCH(LN(D163),INDEX(Attenuation!$J:$J,INDEX(Cables!$AO:$AO,MATCH(G163,Cables!$A:$A,0))):INDEX(Attenuation!$J:$J,INDEX(Cables!$AO:$AO,MATCH(G163,Cables!$A:$A,0))+INDEX(Cables!$AP:$AP,MATCH(G163,Cables!$A:$A,0))-1),1),1),1),INDEX(Cables!$AP:$AP,MATCH(G163,Cables!$A:$A,0))-1))):INDEX(Attenuation!$J:$J,(INDEX(Cables!$AO:$AO,MATCH(G163,Cables!$A:$A,0))-1+MIN(MAX(IFERROR(MATCH(LN(D163),INDEX(Attenuation!$J:$J,INDEX(Cables!$AO:$AO,MATCH(G163,Cables!$A:$A,0))):INDEX(Attenuation!$J:$J,INDEX(Cables!$AO:$AO,MATCH(G163,Cables!$A:$A,0))+INDEX(Cables!$AP:$AP,MATCH(G163,Cables!$A:$A,0))-1),1),1),1),INDEX(Cables!$AP:$AP,MATCH(G163,Cables!$A:$A,0))-1))+1)))*0.3048)</f>
        <v>15.90338742318535</v>
      </c>
      <c r="I163" s="43">
        <f>IF(G163="","",EXP(FORECAST(LN(E163),INDEX(Attenuation!$K:$K,(INDEX(Cables!$AO:$AO,MATCH(G163,Cables!$A:$A,0))-1+MIN(MAX(IFERROR(MATCH(LN(E163),INDEX(Attenuation!$J:$J,INDEX(Cables!$AO:$AO,MATCH(G163,Cables!$A:$A,0))):INDEX(Attenuation!$J:$J,INDEX(Cables!$AO:$AO,MATCH(G163,Cables!$A:$A,0))+INDEX(Cables!$AP:$AP,MATCH(G163,Cables!$A:$A,0))-1),1),1),1),INDEX(Cables!$AP:$AP,MATCH(G163,Cables!$A:$A,0))-1))):INDEX(Attenuation!$K:$K,(INDEX(Cables!$AO:$AO,MATCH(G163,Cables!$A:$A,0))-1+MIN(MAX(IFERROR(MATCH(LN(E163),INDEX(Attenuation!$J:$J,INDEX(Cables!$AO:$AO,MATCH(G163,Cables!$A:$A,0))):INDEX(Attenuation!$J:$J,INDEX(Cables!$AO:$AO,MATCH(G163,Cables!$A:$A,0))+INDEX(Cables!$AP:$AP,MATCH(G163,Cables!$A:$A,0))-1),1),1),1),INDEX(Cables!$AP:$AP,MATCH(G163,Cables!$A:$A,0))-1))+1),INDEX(Attenuation!$J:$J,(INDEX(Cables!$AO:$AO,MATCH(G163,Cables!$A:$A,0))-1+MIN(MAX(IFERROR(MATCH(LN(E163),INDEX(Attenuation!$J:$J,INDEX(Cables!$AO:$AO,MATCH(G163,Cables!$A:$A,0))):INDEX(Attenuation!$J:$J,INDEX(Cables!$AO:$AO,MATCH(G163,Cables!$A:$A,0))+INDEX(Cables!$AP:$AP,MATCH(G163,Cables!$A:$A,0))-1),1),1),1),INDEX(Cables!$AP:$AP,MATCH(G163,Cables!$A:$A,0))-1))):INDEX(Attenuation!$J:$J,(INDEX(Cables!$AO:$AO,MATCH(G163,Cables!$A:$A,0))-1+MIN(MAX(IFERROR(MATCH(LN(E163),INDEX(Attenuation!$J:$J,INDEX(Cables!$AO:$AO,MATCH(G163,Cables!$A:$A,0))):INDEX(Attenuation!$J:$J,INDEX(Cables!$AO:$AO,MATCH(G163,Cables!$A:$A,0))+INDEX(Cables!$AP:$AP,MATCH(G163,Cables!$A:$A,0))-1),1),1),1),INDEX(Cables!$AP:$AP,MATCH(G163,Cables!$A:$A,0))-1))+1)))*0.3048)</f>
        <v>16.156925535386264</v>
      </c>
      <c r="J163" s="44">
        <f t="shared" si="2"/>
        <v>-6.5009686574460934E-3</v>
      </c>
      <c r="K163" s="40" t="str">
        <f>IF(G163="","Doğrulanmadı",IF(ABS(J163)&lt;=0.1,"Uyumlu (±%10)",IF(ABS(J163)&lt;=0.25,"Fark %10-25","Fark &gt;%25"))&amp;IF(OR(D163&lt;INDEX(Cables!$AQ:$AQ,MATCH(G163,Cables!$A:$A,0)),E163&gt;INDEX(Cables!$AR:$AR,MATCH(G163,Cables!$A:$A,0)))," · ekstrapolasyon",""))</f>
        <v>Uyumlu (±%10)</v>
      </c>
    </row>
    <row r="164" spans="1:11" x14ac:dyDescent="0.25">
      <c r="A164" s="37" t="s">
        <v>3016</v>
      </c>
      <c r="B164" s="40" t="str">
        <f>INDEX(Legacy_Index!$D:$D,MATCH(A164,Legacy_Index!$A:$A,0))</f>
        <v>ULTRAFLEX 7™ Messi and Paoloni</v>
      </c>
      <c r="C164" s="37" t="s">
        <v>3117</v>
      </c>
      <c r="D164" s="37">
        <v>1</v>
      </c>
      <c r="E164" s="37">
        <v>10</v>
      </c>
      <c r="F164" s="37">
        <v>0.5</v>
      </c>
      <c r="G164" s="40" t="str">
        <f>IF(INDEX(Legacy_Index!$G:$G,MATCH(A164,Legacy_Index!$A:$A,0))="","",INDEX(Legacy_Index!$G:$G,MATCH(A164,Legacy_Index!$A:$A,0)))</f>
        <v>MP-ULTRAFLEX7</v>
      </c>
      <c r="H164" s="43">
        <f>IF(G164="","",EXP(FORECAST(LN(D164),INDEX(Attenuation!$K:$K,(INDEX(Cables!$AO:$AO,MATCH(G164,Cables!$A:$A,0))-1+MIN(MAX(IFERROR(MATCH(LN(D164),INDEX(Attenuation!$J:$J,INDEX(Cables!$AO:$AO,MATCH(G164,Cables!$A:$A,0))):INDEX(Attenuation!$J:$J,INDEX(Cables!$AO:$AO,MATCH(G164,Cables!$A:$A,0))+INDEX(Cables!$AP:$AP,MATCH(G164,Cables!$A:$A,0))-1),1),1),1),INDEX(Cables!$AP:$AP,MATCH(G164,Cables!$A:$A,0))-1))):INDEX(Attenuation!$K:$K,(INDEX(Cables!$AO:$AO,MATCH(G164,Cables!$A:$A,0))-1+MIN(MAX(IFERROR(MATCH(LN(D164),INDEX(Attenuation!$J:$J,INDEX(Cables!$AO:$AO,MATCH(G164,Cables!$A:$A,0))):INDEX(Attenuation!$J:$J,INDEX(Cables!$AO:$AO,MATCH(G164,Cables!$A:$A,0))+INDEX(Cables!$AP:$AP,MATCH(G164,Cables!$A:$A,0))-1),1),1),1),INDEX(Cables!$AP:$AP,MATCH(G164,Cables!$A:$A,0))-1))+1),INDEX(Attenuation!$J:$J,(INDEX(Cables!$AO:$AO,MATCH(G164,Cables!$A:$A,0))-1+MIN(MAX(IFERROR(MATCH(LN(D164),INDEX(Attenuation!$J:$J,INDEX(Cables!$AO:$AO,MATCH(G164,Cables!$A:$A,0))):INDEX(Attenuation!$J:$J,INDEX(Cables!$AO:$AO,MATCH(G164,Cables!$A:$A,0))+INDEX(Cables!$AP:$AP,MATCH(G164,Cables!$A:$A,0))-1),1),1),1),INDEX(Cables!$AP:$AP,MATCH(G164,Cables!$A:$A,0))-1))):INDEX(Attenuation!$J:$J,(INDEX(Cables!$AO:$AO,MATCH(G164,Cables!$A:$A,0))-1+MIN(MAX(IFERROR(MATCH(LN(D164),INDEX(Attenuation!$J:$J,INDEX(Cables!$AO:$AO,MATCH(G164,Cables!$A:$A,0))):INDEX(Attenuation!$J:$J,INDEX(Cables!$AO:$AO,MATCH(G164,Cables!$A:$A,0))+INDEX(Cables!$AP:$AP,MATCH(G164,Cables!$A:$A,0))-1),1),1),1),INDEX(Cables!$AP:$AP,MATCH(G164,Cables!$A:$A,0))-1))+1)))*0.3048)</f>
        <v>0.28925346737121127</v>
      </c>
      <c r="I164" s="43">
        <f>IF(G164="","",EXP(FORECAST(LN(E164),INDEX(Attenuation!$K:$K,(INDEX(Cables!$AO:$AO,MATCH(G164,Cables!$A:$A,0))-1+MIN(MAX(IFERROR(MATCH(LN(E164),INDEX(Attenuation!$J:$J,INDEX(Cables!$AO:$AO,MATCH(G164,Cables!$A:$A,0))):INDEX(Attenuation!$J:$J,INDEX(Cables!$AO:$AO,MATCH(G164,Cables!$A:$A,0))+INDEX(Cables!$AP:$AP,MATCH(G164,Cables!$A:$A,0))-1),1),1),1),INDEX(Cables!$AP:$AP,MATCH(G164,Cables!$A:$A,0))-1))):INDEX(Attenuation!$K:$K,(INDEX(Cables!$AO:$AO,MATCH(G164,Cables!$A:$A,0))-1+MIN(MAX(IFERROR(MATCH(LN(E164),INDEX(Attenuation!$J:$J,INDEX(Cables!$AO:$AO,MATCH(G164,Cables!$A:$A,0))):INDEX(Attenuation!$J:$J,INDEX(Cables!$AO:$AO,MATCH(G164,Cables!$A:$A,0))+INDEX(Cables!$AP:$AP,MATCH(G164,Cables!$A:$A,0))-1),1),1),1),INDEX(Cables!$AP:$AP,MATCH(G164,Cables!$A:$A,0))-1))+1),INDEX(Attenuation!$J:$J,(INDEX(Cables!$AO:$AO,MATCH(G164,Cables!$A:$A,0))-1+MIN(MAX(IFERROR(MATCH(LN(E164),INDEX(Attenuation!$J:$J,INDEX(Cables!$AO:$AO,MATCH(G164,Cables!$A:$A,0))):INDEX(Attenuation!$J:$J,INDEX(Cables!$AO:$AO,MATCH(G164,Cables!$A:$A,0))+INDEX(Cables!$AP:$AP,MATCH(G164,Cables!$A:$A,0))-1),1),1),1),INDEX(Cables!$AP:$AP,MATCH(G164,Cables!$A:$A,0))-1))):INDEX(Attenuation!$J:$J,(INDEX(Cables!$AO:$AO,MATCH(G164,Cables!$A:$A,0))-1+MIN(MAX(IFERROR(MATCH(LN(E164),INDEX(Attenuation!$J:$J,INDEX(Cables!$AO:$AO,MATCH(G164,Cables!$A:$A,0))):INDEX(Attenuation!$J:$J,INDEX(Cables!$AO:$AO,MATCH(G164,Cables!$A:$A,0))+INDEX(Cables!$AP:$AP,MATCH(G164,Cables!$A:$A,0))-1),1),1),1),INDEX(Cables!$AP:$AP,MATCH(G164,Cables!$A:$A,0))-1))+1)))*0.3048)</f>
        <v>0.57912000000000008</v>
      </c>
      <c r="J164" s="44">
        <f t="shared" si="2"/>
        <v>0</v>
      </c>
      <c r="K164" s="40" t="str">
        <f>IF(G164="","Doğrulanmadı",IF(ABS(J164)&lt;=0.1,"Uyumlu (±%10)",IF(ABS(J164)&lt;=0.25,"Fark %10-25","Fark &gt;%25"))&amp;IF(OR(D164&lt;INDEX(Cables!$AQ:$AQ,MATCH(G164,Cables!$A:$A,0)),E164&gt;INDEX(Cables!$AR:$AR,MATCH(G164,Cables!$A:$A,0)))," · ekstrapolasyon",""))</f>
        <v>Uyumlu (±%10) · ekstrapolasyon</v>
      </c>
    </row>
    <row r="165" spans="1:11" x14ac:dyDescent="0.25">
      <c r="A165" s="37" t="s">
        <v>3016</v>
      </c>
      <c r="B165" s="40" t="str">
        <f>INDEX(Legacy_Index!$D:$D,MATCH(A165,Legacy_Index!$A:$A,0))</f>
        <v>ULTRAFLEX 7™ Messi and Paoloni</v>
      </c>
      <c r="C165" s="37" t="s">
        <v>3118</v>
      </c>
      <c r="D165" s="37">
        <v>30</v>
      </c>
      <c r="E165" s="37">
        <v>50</v>
      </c>
      <c r="F165" s="37">
        <v>1.1000000000000001</v>
      </c>
      <c r="G165" s="40" t="str">
        <f>IF(INDEX(Legacy_Index!$G:$G,MATCH(A165,Legacy_Index!$A:$A,0))="","",INDEX(Legacy_Index!$G:$G,MATCH(A165,Legacy_Index!$A:$A,0)))</f>
        <v>MP-ULTRAFLEX7</v>
      </c>
      <c r="H165" s="43">
        <f>IF(G165="","",EXP(FORECAST(LN(D165),INDEX(Attenuation!$K:$K,(INDEX(Cables!$AO:$AO,MATCH(G165,Cables!$A:$A,0))-1+MIN(MAX(IFERROR(MATCH(LN(D165),INDEX(Attenuation!$J:$J,INDEX(Cables!$AO:$AO,MATCH(G165,Cables!$A:$A,0))):INDEX(Attenuation!$J:$J,INDEX(Cables!$AO:$AO,MATCH(G165,Cables!$A:$A,0))+INDEX(Cables!$AP:$AP,MATCH(G165,Cables!$A:$A,0))-1),1),1),1),INDEX(Cables!$AP:$AP,MATCH(G165,Cables!$A:$A,0))-1))):INDEX(Attenuation!$K:$K,(INDEX(Cables!$AO:$AO,MATCH(G165,Cables!$A:$A,0))-1+MIN(MAX(IFERROR(MATCH(LN(D165),INDEX(Attenuation!$J:$J,INDEX(Cables!$AO:$AO,MATCH(G165,Cables!$A:$A,0))):INDEX(Attenuation!$J:$J,INDEX(Cables!$AO:$AO,MATCH(G165,Cables!$A:$A,0))+INDEX(Cables!$AP:$AP,MATCH(G165,Cables!$A:$A,0))-1),1),1),1),INDEX(Cables!$AP:$AP,MATCH(G165,Cables!$A:$A,0))-1))+1),INDEX(Attenuation!$J:$J,(INDEX(Cables!$AO:$AO,MATCH(G165,Cables!$A:$A,0))-1+MIN(MAX(IFERROR(MATCH(LN(D165),INDEX(Attenuation!$J:$J,INDEX(Cables!$AO:$AO,MATCH(G165,Cables!$A:$A,0))):INDEX(Attenuation!$J:$J,INDEX(Cables!$AO:$AO,MATCH(G165,Cables!$A:$A,0))+INDEX(Cables!$AP:$AP,MATCH(G165,Cables!$A:$A,0))-1),1),1),1),INDEX(Cables!$AP:$AP,MATCH(G165,Cables!$A:$A,0))-1))):INDEX(Attenuation!$J:$J,(INDEX(Cables!$AO:$AO,MATCH(G165,Cables!$A:$A,0))-1+MIN(MAX(IFERROR(MATCH(LN(D165),INDEX(Attenuation!$J:$J,INDEX(Cables!$AO:$AO,MATCH(G165,Cables!$A:$A,0))):INDEX(Attenuation!$J:$J,INDEX(Cables!$AO:$AO,MATCH(G165,Cables!$A:$A,0))+INDEX(Cables!$AP:$AP,MATCH(G165,Cables!$A:$A,0))-1),1),1),1),INDEX(Cables!$AP:$AP,MATCH(G165,Cables!$A:$A,0))-1))+1)))*0.3048)</f>
        <v>0.94624312160706703</v>
      </c>
      <c r="I165" s="43">
        <f>IF(G165="","",EXP(FORECAST(LN(E165),INDEX(Attenuation!$K:$K,(INDEX(Cables!$AO:$AO,MATCH(G165,Cables!$A:$A,0))-1+MIN(MAX(IFERROR(MATCH(LN(E165),INDEX(Attenuation!$J:$J,INDEX(Cables!$AO:$AO,MATCH(G165,Cables!$A:$A,0))):INDEX(Attenuation!$J:$J,INDEX(Cables!$AO:$AO,MATCH(G165,Cables!$A:$A,0))+INDEX(Cables!$AP:$AP,MATCH(G165,Cables!$A:$A,0))-1),1),1),1),INDEX(Cables!$AP:$AP,MATCH(G165,Cables!$A:$A,0))-1))):INDEX(Attenuation!$K:$K,(INDEX(Cables!$AO:$AO,MATCH(G165,Cables!$A:$A,0))-1+MIN(MAX(IFERROR(MATCH(LN(E165),INDEX(Attenuation!$J:$J,INDEX(Cables!$AO:$AO,MATCH(G165,Cables!$A:$A,0))):INDEX(Attenuation!$J:$J,INDEX(Cables!$AO:$AO,MATCH(G165,Cables!$A:$A,0))+INDEX(Cables!$AP:$AP,MATCH(G165,Cables!$A:$A,0))-1),1),1),1),INDEX(Cables!$AP:$AP,MATCH(G165,Cables!$A:$A,0))-1))+1),INDEX(Attenuation!$J:$J,(INDEX(Cables!$AO:$AO,MATCH(G165,Cables!$A:$A,0))-1+MIN(MAX(IFERROR(MATCH(LN(E165),INDEX(Attenuation!$J:$J,INDEX(Cables!$AO:$AO,MATCH(G165,Cables!$A:$A,0))):INDEX(Attenuation!$J:$J,INDEX(Cables!$AO:$AO,MATCH(G165,Cables!$A:$A,0))+INDEX(Cables!$AP:$AP,MATCH(G165,Cables!$A:$A,0))-1),1),1),1),INDEX(Cables!$AP:$AP,MATCH(G165,Cables!$A:$A,0))-1))):INDEX(Attenuation!$J:$J,(INDEX(Cables!$AO:$AO,MATCH(G165,Cables!$A:$A,0))-1+MIN(MAX(IFERROR(MATCH(LN(E165),INDEX(Attenuation!$J:$J,INDEX(Cables!$AO:$AO,MATCH(G165,Cables!$A:$A,0))):INDEX(Attenuation!$J:$J,INDEX(Cables!$AO:$AO,MATCH(G165,Cables!$A:$A,0))+INDEX(Cables!$AP:$AP,MATCH(G165,Cables!$A:$A,0))-1),1),1),1),INDEX(Cables!$AP:$AP,MATCH(G165,Cables!$A:$A,0))-1))+1)))*0.3048)</f>
        <v>1.2191999999999998</v>
      </c>
      <c r="J165" s="44">
        <f t="shared" si="2"/>
        <v>0</v>
      </c>
      <c r="K165" s="40" t="str">
        <f>IF(G165="","Doğrulanmadı",IF(ABS(J165)&lt;=0.1,"Uyumlu (±%10)",IF(ABS(J165)&lt;=0.25,"Fark %10-25","Fark &gt;%25"))&amp;IF(OR(D165&lt;INDEX(Cables!$AQ:$AQ,MATCH(G165,Cables!$A:$A,0)),E165&gt;INDEX(Cables!$AR:$AR,MATCH(G165,Cables!$A:$A,0)))," · ekstrapolasyon",""))</f>
        <v>Uyumlu (±%10)</v>
      </c>
    </row>
    <row r="166" spans="1:11" x14ac:dyDescent="0.25">
      <c r="A166" s="37" t="s">
        <v>3016</v>
      </c>
      <c r="B166" s="40" t="str">
        <f>INDEX(Legacy_Index!$D:$D,MATCH(A166,Legacy_Index!$A:$A,0))</f>
        <v>ULTRAFLEX 7™ Messi and Paoloni</v>
      </c>
      <c r="C166" s="37" t="s">
        <v>3113</v>
      </c>
      <c r="D166" s="37">
        <v>70</v>
      </c>
      <c r="E166" s="37">
        <v>100</v>
      </c>
      <c r="F166" s="37">
        <v>1.5</v>
      </c>
      <c r="G166" s="40" t="str">
        <f>IF(INDEX(Legacy_Index!$G:$G,MATCH(A166,Legacy_Index!$A:$A,0))="","",INDEX(Legacy_Index!$G:$G,MATCH(A166,Legacy_Index!$A:$A,0)))</f>
        <v>MP-ULTRAFLEX7</v>
      </c>
      <c r="H166" s="43">
        <f>IF(G166="","",EXP(FORECAST(LN(D166),INDEX(Attenuation!$K:$K,(INDEX(Cables!$AO:$AO,MATCH(G166,Cables!$A:$A,0))-1+MIN(MAX(IFERROR(MATCH(LN(D166),INDEX(Attenuation!$J:$J,INDEX(Cables!$AO:$AO,MATCH(G166,Cables!$A:$A,0))):INDEX(Attenuation!$J:$J,INDEX(Cables!$AO:$AO,MATCH(G166,Cables!$A:$A,0))+INDEX(Cables!$AP:$AP,MATCH(G166,Cables!$A:$A,0))-1),1),1),1),INDEX(Cables!$AP:$AP,MATCH(G166,Cables!$A:$A,0))-1))):INDEX(Attenuation!$K:$K,(INDEX(Cables!$AO:$AO,MATCH(G166,Cables!$A:$A,0))-1+MIN(MAX(IFERROR(MATCH(LN(D166),INDEX(Attenuation!$J:$J,INDEX(Cables!$AO:$AO,MATCH(G166,Cables!$A:$A,0))):INDEX(Attenuation!$J:$J,INDEX(Cables!$AO:$AO,MATCH(G166,Cables!$A:$A,0))+INDEX(Cables!$AP:$AP,MATCH(G166,Cables!$A:$A,0))-1),1),1),1),INDEX(Cables!$AP:$AP,MATCH(G166,Cables!$A:$A,0))-1))+1),INDEX(Attenuation!$J:$J,(INDEX(Cables!$AO:$AO,MATCH(G166,Cables!$A:$A,0))-1+MIN(MAX(IFERROR(MATCH(LN(D166),INDEX(Attenuation!$J:$J,INDEX(Cables!$AO:$AO,MATCH(G166,Cables!$A:$A,0))):INDEX(Attenuation!$J:$J,INDEX(Cables!$AO:$AO,MATCH(G166,Cables!$A:$A,0))+INDEX(Cables!$AP:$AP,MATCH(G166,Cables!$A:$A,0))-1),1),1),1),INDEX(Cables!$AP:$AP,MATCH(G166,Cables!$A:$A,0))-1))):INDEX(Attenuation!$J:$J,(INDEX(Cables!$AO:$AO,MATCH(G166,Cables!$A:$A,0))-1+MIN(MAX(IFERROR(MATCH(LN(D166),INDEX(Attenuation!$J:$J,INDEX(Cables!$AO:$AO,MATCH(G166,Cables!$A:$A,0))):INDEX(Attenuation!$J:$J,INDEX(Cables!$AO:$AO,MATCH(G166,Cables!$A:$A,0))+INDEX(Cables!$AP:$AP,MATCH(G166,Cables!$A:$A,0))-1),1),1),1),INDEX(Cables!$AP:$AP,MATCH(G166,Cables!$A:$A,0))-1))+1)))*0.3048)</f>
        <v>1.460183078718567</v>
      </c>
      <c r="I166" s="43">
        <f>IF(G166="","",EXP(FORECAST(LN(E166),INDEX(Attenuation!$K:$K,(INDEX(Cables!$AO:$AO,MATCH(G166,Cables!$A:$A,0))-1+MIN(MAX(IFERROR(MATCH(LN(E166),INDEX(Attenuation!$J:$J,INDEX(Cables!$AO:$AO,MATCH(G166,Cables!$A:$A,0))):INDEX(Attenuation!$J:$J,INDEX(Cables!$AO:$AO,MATCH(G166,Cables!$A:$A,0))+INDEX(Cables!$AP:$AP,MATCH(G166,Cables!$A:$A,0))-1),1),1),1),INDEX(Cables!$AP:$AP,MATCH(G166,Cables!$A:$A,0))-1))):INDEX(Attenuation!$K:$K,(INDEX(Cables!$AO:$AO,MATCH(G166,Cables!$A:$A,0))-1+MIN(MAX(IFERROR(MATCH(LN(E166),INDEX(Attenuation!$J:$J,INDEX(Cables!$AO:$AO,MATCH(G166,Cables!$A:$A,0))):INDEX(Attenuation!$J:$J,INDEX(Cables!$AO:$AO,MATCH(G166,Cables!$A:$A,0))+INDEX(Cables!$AP:$AP,MATCH(G166,Cables!$A:$A,0))-1),1),1),1),INDEX(Cables!$AP:$AP,MATCH(G166,Cables!$A:$A,0))-1))+1),INDEX(Attenuation!$J:$J,(INDEX(Cables!$AO:$AO,MATCH(G166,Cables!$A:$A,0))-1+MIN(MAX(IFERROR(MATCH(LN(E166),INDEX(Attenuation!$J:$J,INDEX(Cables!$AO:$AO,MATCH(G166,Cables!$A:$A,0))):INDEX(Attenuation!$J:$J,INDEX(Cables!$AO:$AO,MATCH(G166,Cables!$A:$A,0))+INDEX(Cables!$AP:$AP,MATCH(G166,Cables!$A:$A,0))-1),1),1),1),INDEX(Cables!$AP:$AP,MATCH(G166,Cables!$A:$A,0))-1))):INDEX(Attenuation!$J:$J,(INDEX(Cables!$AO:$AO,MATCH(G166,Cables!$A:$A,0))-1+MIN(MAX(IFERROR(MATCH(LN(E166),INDEX(Attenuation!$J:$J,INDEX(Cables!$AO:$AO,MATCH(G166,Cables!$A:$A,0))):INDEX(Attenuation!$J:$J,INDEX(Cables!$AO:$AO,MATCH(G166,Cables!$A:$A,0))+INDEX(Cables!$AP:$AP,MATCH(G166,Cables!$A:$A,0))-1),1),1),1),INDEX(Cables!$AP:$AP,MATCH(G166,Cables!$A:$A,0))-1))+1)))*0.3048)</f>
        <v>1.7678399999999999</v>
      </c>
      <c r="J166" s="44">
        <f t="shared" si="2"/>
        <v>0</v>
      </c>
      <c r="K166" s="40" t="str">
        <f>IF(G166="","Doğrulanmadı",IF(ABS(J166)&lt;=0.1,"Uyumlu (±%10)",IF(ABS(J166)&lt;=0.25,"Fark %10-25","Fark &gt;%25"))&amp;IF(OR(D166&lt;INDEX(Cables!$AQ:$AQ,MATCH(G166,Cables!$A:$A,0)),E166&gt;INDEX(Cables!$AR:$AR,MATCH(G166,Cables!$A:$A,0)))," · ekstrapolasyon",""))</f>
        <v>Uyumlu (±%10)</v>
      </c>
    </row>
    <row r="167" spans="1:11" x14ac:dyDescent="0.25">
      <c r="A167" s="37" t="s">
        <v>3016</v>
      </c>
      <c r="B167" s="40" t="str">
        <f>INDEX(Legacy_Index!$D:$D,MATCH(A167,Legacy_Index!$A:$A,0))</f>
        <v>ULTRAFLEX 7™ Messi and Paoloni</v>
      </c>
      <c r="C167" s="37" t="s">
        <v>3114</v>
      </c>
      <c r="D167" s="37">
        <v>148</v>
      </c>
      <c r="E167" s="37">
        <v>174</v>
      </c>
      <c r="F167" s="37">
        <v>2.1</v>
      </c>
      <c r="G167" s="40" t="str">
        <f>IF(INDEX(Legacy_Index!$G:$G,MATCH(A167,Legacy_Index!$A:$A,0))="","",INDEX(Legacy_Index!$G:$G,MATCH(A167,Legacy_Index!$A:$A,0)))</f>
        <v>MP-ULTRAFLEX7</v>
      </c>
      <c r="H167" s="43">
        <f>IF(G167="","",EXP(FORECAST(LN(D167),INDEX(Attenuation!$K:$K,(INDEX(Cables!$AO:$AO,MATCH(G167,Cables!$A:$A,0))-1+MIN(MAX(IFERROR(MATCH(LN(D167),INDEX(Attenuation!$J:$J,INDEX(Cables!$AO:$AO,MATCH(G167,Cables!$A:$A,0))):INDEX(Attenuation!$J:$J,INDEX(Cables!$AO:$AO,MATCH(G167,Cables!$A:$A,0))+INDEX(Cables!$AP:$AP,MATCH(G167,Cables!$A:$A,0))-1),1),1),1),INDEX(Cables!$AP:$AP,MATCH(G167,Cables!$A:$A,0))-1))):INDEX(Attenuation!$K:$K,(INDEX(Cables!$AO:$AO,MATCH(G167,Cables!$A:$A,0))-1+MIN(MAX(IFERROR(MATCH(LN(D167),INDEX(Attenuation!$J:$J,INDEX(Cables!$AO:$AO,MATCH(G167,Cables!$A:$A,0))):INDEX(Attenuation!$J:$J,INDEX(Cables!$AO:$AO,MATCH(G167,Cables!$A:$A,0))+INDEX(Cables!$AP:$AP,MATCH(G167,Cables!$A:$A,0))-1),1),1),1),INDEX(Cables!$AP:$AP,MATCH(G167,Cables!$A:$A,0))-1))+1),INDEX(Attenuation!$J:$J,(INDEX(Cables!$AO:$AO,MATCH(G167,Cables!$A:$A,0))-1+MIN(MAX(IFERROR(MATCH(LN(D167),INDEX(Attenuation!$J:$J,INDEX(Cables!$AO:$AO,MATCH(G167,Cables!$A:$A,0))):INDEX(Attenuation!$J:$J,INDEX(Cables!$AO:$AO,MATCH(G167,Cables!$A:$A,0))+INDEX(Cables!$AP:$AP,MATCH(G167,Cables!$A:$A,0))-1),1),1),1),INDEX(Cables!$AP:$AP,MATCH(G167,Cables!$A:$A,0))-1))):INDEX(Attenuation!$J:$J,(INDEX(Cables!$AO:$AO,MATCH(G167,Cables!$A:$A,0))-1+MIN(MAX(IFERROR(MATCH(LN(D167),INDEX(Attenuation!$J:$J,INDEX(Cables!$AO:$AO,MATCH(G167,Cables!$A:$A,0))):INDEX(Attenuation!$J:$J,INDEX(Cables!$AO:$AO,MATCH(G167,Cables!$A:$A,0))+INDEX(Cables!$AP:$AP,MATCH(G167,Cables!$A:$A,0))-1),1),1),1),INDEX(Cables!$AP:$AP,MATCH(G167,Cables!$A:$A,0))-1))+1)))*0.3048)</f>
        <v>2.1336172330393413</v>
      </c>
      <c r="I167" s="43">
        <f>IF(G167="","",EXP(FORECAST(LN(E167),INDEX(Attenuation!$K:$K,(INDEX(Cables!$AO:$AO,MATCH(G167,Cables!$A:$A,0))-1+MIN(MAX(IFERROR(MATCH(LN(E167),INDEX(Attenuation!$J:$J,INDEX(Cables!$AO:$AO,MATCH(G167,Cables!$A:$A,0))):INDEX(Attenuation!$J:$J,INDEX(Cables!$AO:$AO,MATCH(G167,Cables!$A:$A,0))+INDEX(Cables!$AP:$AP,MATCH(G167,Cables!$A:$A,0))-1),1),1),1),INDEX(Cables!$AP:$AP,MATCH(G167,Cables!$A:$A,0))-1))):INDEX(Attenuation!$K:$K,(INDEX(Cables!$AO:$AO,MATCH(G167,Cables!$A:$A,0))-1+MIN(MAX(IFERROR(MATCH(LN(E167),INDEX(Attenuation!$J:$J,INDEX(Cables!$AO:$AO,MATCH(G167,Cables!$A:$A,0))):INDEX(Attenuation!$J:$J,INDEX(Cables!$AO:$AO,MATCH(G167,Cables!$A:$A,0))+INDEX(Cables!$AP:$AP,MATCH(G167,Cables!$A:$A,0))-1),1),1),1),INDEX(Cables!$AP:$AP,MATCH(G167,Cables!$A:$A,0))-1))+1),INDEX(Attenuation!$J:$J,(INDEX(Cables!$AO:$AO,MATCH(G167,Cables!$A:$A,0))-1+MIN(MAX(IFERROR(MATCH(LN(E167),INDEX(Attenuation!$J:$J,INDEX(Cables!$AO:$AO,MATCH(G167,Cables!$A:$A,0))):INDEX(Attenuation!$J:$J,INDEX(Cables!$AO:$AO,MATCH(G167,Cables!$A:$A,0))+INDEX(Cables!$AP:$AP,MATCH(G167,Cables!$A:$A,0))-1),1),1),1),INDEX(Cables!$AP:$AP,MATCH(G167,Cables!$A:$A,0))-1))):INDEX(Attenuation!$J:$J,(INDEX(Cables!$AO:$AO,MATCH(G167,Cables!$A:$A,0))-1+MIN(MAX(IFERROR(MATCH(LN(E167),INDEX(Attenuation!$J:$J,INDEX(Cables!$AO:$AO,MATCH(G167,Cables!$A:$A,0))):INDEX(Attenuation!$J:$J,INDEX(Cables!$AO:$AO,MATCH(G167,Cables!$A:$A,0))+INDEX(Cables!$AP:$AP,MATCH(G167,Cables!$A:$A,0))-1),1),1),1),INDEX(Cables!$AP:$AP,MATCH(G167,Cables!$A:$A,0))-1))+1)))*0.3048)</f>
        <v>2.3229997050841553</v>
      </c>
      <c r="J167" s="44">
        <f t="shared" si="2"/>
        <v>-1.5755981212925096E-2</v>
      </c>
      <c r="K167" s="40" t="str">
        <f>IF(G167="","Doğrulanmadı",IF(ABS(J167)&lt;=0.1,"Uyumlu (±%10)",IF(ABS(J167)&lt;=0.25,"Fark %10-25","Fark &gt;%25"))&amp;IF(OR(D167&lt;INDEX(Cables!$AQ:$AQ,MATCH(G167,Cables!$A:$A,0)),E167&gt;INDEX(Cables!$AR:$AR,MATCH(G167,Cables!$A:$A,0)))," · ekstrapolasyon",""))</f>
        <v>Uyumlu (±%10)</v>
      </c>
    </row>
    <row r="168" spans="1:11" x14ac:dyDescent="0.25">
      <c r="A168" s="37" t="s">
        <v>3016</v>
      </c>
      <c r="B168" s="40" t="str">
        <f>INDEX(Legacy_Index!$D:$D,MATCH(A168,Legacy_Index!$A:$A,0))</f>
        <v>ULTRAFLEX 7™ Messi and Paoloni</v>
      </c>
      <c r="C168" s="37" t="s">
        <v>3119</v>
      </c>
      <c r="D168" s="37">
        <v>220</v>
      </c>
      <c r="E168" s="37">
        <v>220</v>
      </c>
      <c r="F168" s="37">
        <v>2.6</v>
      </c>
      <c r="G168" s="40" t="str">
        <f>IF(INDEX(Legacy_Index!$G:$G,MATCH(A168,Legacy_Index!$A:$A,0))="","",INDEX(Legacy_Index!$G:$G,MATCH(A168,Legacy_Index!$A:$A,0)))</f>
        <v>MP-ULTRAFLEX7</v>
      </c>
      <c r="H168" s="43">
        <f>IF(G168="","",EXP(FORECAST(LN(D168),INDEX(Attenuation!$K:$K,(INDEX(Cables!$AO:$AO,MATCH(G168,Cables!$A:$A,0))-1+MIN(MAX(IFERROR(MATCH(LN(D168),INDEX(Attenuation!$J:$J,INDEX(Cables!$AO:$AO,MATCH(G168,Cables!$A:$A,0))):INDEX(Attenuation!$J:$J,INDEX(Cables!$AO:$AO,MATCH(G168,Cables!$A:$A,0))+INDEX(Cables!$AP:$AP,MATCH(G168,Cables!$A:$A,0))-1),1),1),1),INDEX(Cables!$AP:$AP,MATCH(G168,Cables!$A:$A,0))-1))):INDEX(Attenuation!$K:$K,(INDEX(Cables!$AO:$AO,MATCH(G168,Cables!$A:$A,0))-1+MIN(MAX(IFERROR(MATCH(LN(D168),INDEX(Attenuation!$J:$J,INDEX(Cables!$AO:$AO,MATCH(G168,Cables!$A:$A,0))):INDEX(Attenuation!$J:$J,INDEX(Cables!$AO:$AO,MATCH(G168,Cables!$A:$A,0))+INDEX(Cables!$AP:$AP,MATCH(G168,Cables!$A:$A,0))-1),1),1),1),INDEX(Cables!$AP:$AP,MATCH(G168,Cables!$A:$A,0))-1))+1),INDEX(Attenuation!$J:$J,(INDEX(Cables!$AO:$AO,MATCH(G168,Cables!$A:$A,0))-1+MIN(MAX(IFERROR(MATCH(LN(D168),INDEX(Attenuation!$J:$J,INDEX(Cables!$AO:$AO,MATCH(G168,Cables!$A:$A,0))):INDEX(Attenuation!$J:$J,INDEX(Cables!$AO:$AO,MATCH(G168,Cables!$A:$A,0))+INDEX(Cables!$AP:$AP,MATCH(G168,Cables!$A:$A,0))-1),1),1),1),INDEX(Cables!$AP:$AP,MATCH(G168,Cables!$A:$A,0))-1))):INDEX(Attenuation!$J:$J,(INDEX(Cables!$AO:$AO,MATCH(G168,Cables!$A:$A,0))-1+MIN(MAX(IFERROR(MATCH(LN(D168),INDEX(Attenuation!$J:$J,INDEX(Cables!$AO:$AO,MATCH(G168,Cables!$A:$A,0))):INDEX(Attenuation!$J:$J,INDEX(Cables!$AO:$AO,MATCH(G168,Cables!$A:$A,0))+INDEX(Cables!$AP:$AP,MATCH(G168,Cables!$A:$A,0))-1),1),1),1),INDEX(Cables!$AP:$AP,MATCH(G168,Cables!$A:$A,0))-1))+1)))*0.3048)</f>
        <v>2.6276271667721569</v>
      </c>
      <c r="I168" s="43">
        <f>IF(G168="","",EXP(FORECAST(LN(E168),INDEX(Attenuation!$K:$K,(INDEX(Cables!$AO:$AO,MATCH(G168,Cables!$A:$A,0))-1+MIN(MAX(IFERROR(MATCH(LN(E168),INDEX(Attenuation!$J:$J,INDEX(Cables!$AO:$AO,MATCH(G168,Cables!$A:$A,0))):INDEX(Attenuation!$J:$J,INDEX(Cables!$AO:$AO,MATCH(G168,Cables!$A:$A,0))+INDEX(Cables!$AP:$AP,MATCH(G168,Cables!$A:$A,0))-1),1),1),1),INDEX(Cables!$AP:$AP,MATCH(G168,Cables!$A:$A,0))-1))):INDEX(Attenuation!$K:$K,(INDEX(Cables!$AO:$AO,MATCH(G168,Cables!$A:$A,0))-1+MIN(MAX(IFERROR(MATCH(LN(E168),INDEX(Attenuation!$J:$J,INDEX(Cables!$AO:$AO,MATCH(G168,Cables!$A:$A,0))):INDEX(Attenuation!$J:$J,INDEX(Cables!$AO:$AO,MATCH(G168,Cables!$A:$A,0))+INDEX(Cables!$AP:$AP,MATCH(G168,Cables!$A:$A,0))-1),1),1),1),INDEX(Cables!$AP:$AP,MATCH(G168,Cables!$A:$A,0))-1))+1),INDEX(Attenuation!$J:$J,(INDEX(Cables!$AO:$AO,MATCH(G168,Cables!$A:$A,0))-1+MIN(MAX(IFERROR(MATCH(LN(E168),INDEX(Attenuation!$J:$J,INDEX(Cables!$AO:$AO,MATCH(G168,Cables!$A:$A,0))):INDEX(Attenuation!$J:$J,INDEX(Cables!$AO:$AO,MATCH(G168,Cables!$A:$A,0))+INDEX(Cables!$AP:$AP,MATCH(G168,Cables!$A:$A,0))-1),1),1),1),INDEX(Cables!$AP:$AP,MATCH(G168,Cables!$A:$A,0))-1))):INDEX(Attenuation!$J:$J,(INDEX(Cables!$AO:$AO,MATCH(G168,Cables!$A:$A,0))-1+MIN(MAX(IFERROR(MATCH(LN(E168),INDEX(Attenuation!$J:$J,INDEX(Cables!$AO:$AO,MATCH(G168,Cables!$A:$A,0))):INDEX(Attenuation!$J:$J,INDEX(Cables!$AO:$AO,MATCH(G168,Cables!$A:$A,0))+INDEX(Cables!$AP:$AP,MATCH(G168,Cables!$A:$A,0))-1),1),1),1),INDEX(Cables!$AP:$AP,MATCH(G168,Cables!$A:$A,0))-1))+1)))*0.3048)</f>
        <v>2.6276271667721569</v>
      </c>
      <c r="J168" s="44">
        <f t="shared" si="2"/>
        <v>-1.051411216991438E-2</v>
      </c>
      <c r="K168" s="40" t="str">
        <f>IF(G168="","Doğrulanmadı",IF(ABS(J168)&lt;=0.1,"Uyumlu (±%10)",IF(ABS(J168)&lt;=0.25,"Fark %10-25","Fark &gt;%25"))&amp;IF(OR(D168&lt;INDEX(Cables!$AQ:$AQ,MATCH(G168,Cables!$A:$A,0)),E168&gt;INDEX(Cables!$AR:$AR,MATCH(G168,Cables!$A:$A,0)))," · ekstrapolasyon",""))</f>
        <v>Uyumlu (±%10)</v>
      </c>
    </row>
    <row r="169" spans="1:11" x14ac:dyDescent="0.25">
      <c r="A169" s="37" t="s">
        <v>3016</v>
      </c>
      <c r="B169" s="40" t="str">
        <f>INDEX(Legacy_Index!$D:$D,MATCH(A169,Legacy_Index!$A:$A,0))</f>
        <v>ULTRAFLEX 7™ Messi and Paoloni</v>
      </c>
      <c r="C169" s="37" t="s">
        <v>3115</v>
      </c>
      <c r="D169" s="37">
        <v>400</v>
      </c>
      <c r="E169" s="37">
        <v>520</v>
      </c>
      <c r="F169" s="37">
        <v>3.7</v>
      </c>
      <c r="G169" s="40" t="str">
        <f>IF(INDEX(Legacy_Index!$G:$G,MATCH(A169,Legacy_Index!$A:$A,0))="","",INDEX(Legacy_Index!$G:$G,MATCH(A169,Legacy_Index!$A:$A,0)))</f>
        <v>MP-ULTRAFLEX7</v>
      </c>
      <c r="H169" s="43">
        <f>IF(G169="","",EXP(FORECAST(LN(D169),INDEX(Attenuation!$K:$K,(INDEX(Cables!$AO:$AO,MATCH(G169,Cables!$A:$A,0))-1+MIN(MAX(IFERROR(MATCH(LN(D169),INDEX(Attenuation!$J:$J,INDEX(Cables!$AO:$AO,MATCH(G169,Cables!$A:$A,0))):INDEX(Attenuation!$J:$J,INDEX(Cables!$AO:$AO,MATCH(G169,Cables!$A:$A,0))+INDEX(Cables!$AP:$AP,MATCH(G169,Cables!$A:$A,0))-1),1),1),1),INDEX(Cables!$AP:$AP,MATCH(G169,Cables!$A:$A,0))-1))):INDEX(Attenuation!$K:$K,(INDEX(Cables!$AO:$AO,MATCH(G169,Cables!$A:$A,0))-1+MIN(MAX(IFERROR(MATCH(LN(D169),INDEX(Attenuation!$J:$J,INDEX(Cables!$AO:$AO,MATCH(G169,Cables!$A:$A,0))):INDEX(Attenuation!$J:$J,INDEX(Cables!$AO:$AO,MATCH(G169,Cables!$A:$A,0))+INDEX(Cables!$AP:$AP,MATCH(G169,Cables!$A:$A,0))-1),1),1),1),INDEX(Cables!$AP:$AP,MATCH(G169,Cables!$A:$A,0))-1))+1),INDEX(Attenuation!$J:$J,(INDEX(Cables!$AO:$AO,MATCH(G169,Cables!$A:$A,0))-1+MIN(MAX(IFERROR(MATCH(LN(D169),INDEX(Attenuation!$J:$J,INDEX(Cables!$AO:$AO,MATCH(G169,Cables!$A:$A,0))):INDEX(Attenuation!$J:$J,INDEX(Cables!$AO:$AO,MATCH(G169,Cables!$A:$A,0))+INDEX(Cables!$AP:$AP,MATCH(G169,Cables!$A:$A,0))-1),1),1),1),INDEX(Cables!$AP:$AP,MATCH(G169,Cables!$A:$A,0))-1))):INDEX(Attenuation!$J:$J,(INDEX(Cables!$AO:$AO,MATCH(G169,Cables!$A:$A,0))-1+MIN(MAX(IFERROR(MATCH(LN(D169),INDEX(Attenuation!$J:$J,INDEX(Cables!$AO:$AO,MATCH(G169,Cables!$A:$A,0))):INDEX(Attenuation!$J:$J,INDEX(Cables!$AO:$AO,MATCH(G169,Cables!$A:$A,0))+INDEX(Cables!$AP:$AP,MATCH(G169,Cables!$A:$A,0))-1),1),1),1),INDEX(Cables!$AP:$AP,MATCH(G169,Cables!$A:$A,0))-1))+1)))*0.3048)</f>
        <v>3.5966400000000003</v>
      </c>
      <c r="I169" s="43">
        <f>IF(G169="","",EXP(FORECAST(LN(E169),INDEX(Attenuation!$K:$K,(INDEX(Cables!$AO:$AO,MATCH(G169,Cables!$A:$A,0))-1+MIN(MAX(IFERROR(MATCH(LN(E169),INDEX(Attenuation!$J:$J,INDEX(Cables!$AO:$AO,MATCH(G169,Cables!$A:$A,0))):INDEX(Attenuation!$J:$J,INDEX(Cables!$AO:$AO,MATCH(G169,Cables!$A:$A,0))+INDEX(Cables!$AP:$AP,MATCH(G169,Cables!$A:$A,0))-1),1),1),1),INDEX(Cables!$AP:$AP,MATCH(G169,Cables!$A:$A,0))-1))):INDEX(Attenuation!$K:$K,(INDEX(Cables!$AO:$AO,MATCH(G169,Cables!$A:$A,0))-1+MIN(MAX(IFERROR(MATCH(LN(E169),INDEX(Attenuation!$J:$J,INDEX(Cables!$AO:$AO,MATCH(G169,Cables!$A:$A,0))):INDEX(Attenuation!$J:$J,INDEX(Cables!$AO:$AO,MATCH(G169,Cables!$A:$A,0))+INDEX(Cables!$AP:$AP,MATCH(G169,Cables!$A:$A,0))-1),1),1),1),INDEX(Cables!$AP:$AP,MATCH(G169,Cables!$A:$A,0))-1))+1),INDEX(Attenuation!$J:$J,(INDEX(Cables!$AO:$AO,MATCH(G169,Cables!$A:$A,0))-1+MIN(MAX(IFERROR(MATCH(LN(E169),INDEX(Attenuation!$J:$J,INDEX(Cables!$AO:$AO,MATCH(G169,Cables!$A:$A,0))):INDEX(Attenuation!$J:$J,INDEX(Cables!$AO:$AO,MATCH(G169,Cables!$A:$A,0))+INDEX(Cables!$AP:$AP,MATCH(G169,Cables!$A:$A,0))-1),1),1),1),INDEX(Cables!$AP:$AP,MATCH(G169,Cables!$A:$A,0))-1))):INDEX(Attenuation!$J:$J,(INDEX(Cables!$AO:$AO,MATCH(G169,Cables!$A:$A,0))-1+MIN(MAX(IFERROR(MATCH(LN(E169),INDEX(Attenuation!$J:$J,INDEX(Cables!$AO:$AO,MATCH(G169,Cables!$A:$A,0))):INDEX(Attenuation!$J:$J,INDEX(Cables!$AO:$AO,MATCH(G169,Cables!$A:$A,0))+INDEX(Cables!$AP:$AP,MATCH(G169,Cables!$A:$A,0))-1),1),1),1),INDEX(Cables!$AP:$AP,MATCH(G169,Cables!$A:$A,0))-1))+1)))*0.3048)</f>
        <v>4.1468871052762859</v>
      </c>
      <c r="J169" s="44">
        <f t="shared" si="2"/>
        <v>0</v>
      </c>
      <c r="K169" s="40" t="str">
        <f>IF(G169="","Doğrulanmadı",IF(ABS(J169)&lt;=0.1,"Uyumlu (±%10)",IF(ABS(J169)&lt;=0.25,"Fark %10-25","Fark &gt;%25"))&amp;IF(OR(D169&lt;INDEX(Cables!$AQ:$AQ,MATCH(G169,Cables!$A:$A,0)),E169&gt;INDEX(Cables!$AR:$AR,MATCH(G169,Cables!$A:$A,0)))," · ekstrapolasyon",""))</f>
        <v>Uyumlu (±%10)</v>
      </c>
    </row>
    <row r="170" spans="1:11" x14ac:dyDescent="0.25">
      <c r="A170" s="37" t="s">
        <v>3016</v>
      </c>
      <c r="B170" s="40" t="str">
        <f>INDEX(Legacy_Index!$D:$D,MATCH(A170,Legacy_Index!$A:$A,0))</f>
        <v>ULTRAFLEX 7™ Messi and Paoloni</v>
      </c>
      <c r="C170" s="37" t="s">
        <v>3116</v>
      </c>
      <c r="D170" s="37">
        <v>700</v>
      </c>
      <c r="E170" s="37">
        <v>960</v>
      </c>
      <c r="F170" s="37">
        <v>5.2</v>
      </c>
      <c r="G170" s="40" t="str">
        <f>IF(INDEX(Legacy_Index!$G:$G,MATCH(A170,Legacy_Index!$A:$A,0))="","",INDEX(Legacy_Index!$G:$G,MATCH(A170,Legacy_Index!$A:$A,0)))</f>
        <v>MP-ULTRAFLEX7</v>
      </c>
      <c r="H170" s="43">
        <f>IF(G170="","",EXP(FORECAST(LN(D170),INDEX(Attenuation!$K:$K,(INDEX(Cables!$AO:$AO,MATCH(G170,Cables!$A:$A,0))-1+MIN(MAX(IFERROR(MATCH(LN(D170),INDEX(Attenuation!$J:$J,INDEX(Cables!$AO:$AO,MATCH(G170,Cables!$A:$A,0))):INDEX(Attenuation!$J:$J,INDEX(Cables!$AO:$AO,MATCH(G170,Cables!$A:$A,0))+INDEX(Cables!$AP:$AP,MATCH(G170,Cables!$A:$A,0))-1),1),1),1),INDEX(Cables!$AP:$AP,MATCH(G170,Cables!$A:$A,0))-1))):INDEX(Attenuation!$K:$K,(INDEX(Cables!$AO:$AO,MATCH(G170,Cables!$A:$A,0))-1+MIN(MAX(IFERROR(MATCH(LN(D170),INDEX(Attenuation!$J:$J,INDEX(Cables!$AO:$AO,MATCH(G170,Cables!$A:$A,0))):INDEX(Attenuation!$J:$J,INDEX(Cables!$AO:$AO,MATCH(G170,Cables!$A:$A,0))+INDEX(Cables!$AP:$AP,MATCH(G170,Cables!$A:$A,0))-1),1),1),1),INDEX(Cables!$AP:$AP,MATCH(G170,Cables!$A:$A,0))-1))+1),INDEX(Attenuation!$J:$J,(INDEX(Cables!$AO:$AO,MATCH(G170,Cables!$A:$A,0))-1+MIN(MAX(IFERROR(MATCH(LN(D170),INDEX(Attenuation!$J:$J,INDEX(Cables!$AO:$AO,MATCH(G170,Cables!$A:$A,0))):INDEX(Attenuation!$J:$J,INDEX(Cables!$AO:$AO,MATCH(G170,Cables!$A:$A,0))+INDEX(Cables!$AP:$AP,MATCH(G170,Cables!$A:$A,0))-1),1),1),1),INDEX(Cables!$AP:$AP,MATCH(G170,Cables!$A:$A,0))-1))):INDEX(Attenuation!$J:$J,(INDEX(Cables!$AO:$AO,MATCH(G170,Cables!$A:$A,0))-1+MIN(MAX(IFERROR(MATCH(LN(D170),INDEX(Attenuation!$J:$J,INDEX(Cables!$AO:$AO,MATCH(G170,Cables!$A:$A,0))):INDEX(Attenuation!$J:$J,INDEX(Cables!$AO:$AO,MATCH(G170,Cables!$A:$A,0))+INDEX(Cables!$AP:$AP,MATCH(G170,Cables!$A:$A,0))-1),1),1),1),INDEX(Cables!$AP:$AP,MATCH(G170,Cables!$A:$A,0))-1))+1)))*0.3048)</f>
        <v>4.8555019550130663</v>
      </c>
      <c r="I170" s="43">
        <f>IF(G170="","",EXP(FORECAST(LN(E170),INDEX(Attenuation!$K:$K,(INDEX(Cables!$AO:$AO,MATCH(G170,Cables!$A:$A,0))-1+MIN(MAX(IFERROR(MATCH(LN(E170),INDEX(Attenuation!$J:$J,INDEX(Cables!$AO:$AO,MATCH(G170,Cables!$A:$A,0))):INDEX(Attenuation!$J:$J,INDEX(Cables!$AO:$AO,MATCH(G170,Cables!$A:$A,0))+INDEX(Cables!$AP:$AP,MATCH(G170,Cables!$A:$A,0))-1),1),1),1),INDEX(Cables!$AP:$AP,MATCH(G170,Cables!$A:$A,0))-1))):INDEX(Attenuation!$K:$K,(INDEX(Cables!$AO:$AO,MATCH(G170,Cables!$A:$A,0))-1+MIN(MAX(IFERROR(MATCH(LN(E170),INDEX(Attenuation!$J:$J,INDEX(Cables!$AO:$AO,MATCH(G170,Cables!$A:$A,0))):INDEX(Attenuation!$J:$J,INDEX(Cables!$AO:$AO,MATCH(G170,Cables!$A:$A,0))+INDEX(Cables!$AP:$AP,MATCH(G170,Cables!$A:$A,0))-1),1),1),1),INDEX(Cables!$AP:$AP,MATCH(G170,Cables!$A:$A,0))-1))+1),INDEX(Attenuation!$J:$J,(INDEX(Cables!$AO:$AO,MATCH(G170,Cables!$A:$A,0))-1+MIN(MAX(IFERROR(MATCH(LN(E170),INDEX(Attenuation!$J:$J,INDEX(Cables!$AO:$AO,MATCH(G170,Cables!$A:$A,0))):INDEX(Attenuation!$J:$J,INDEX(Cables!$AO:$AO,MATCH(G170,Cables!$A:$A,0))+INDEX(Cables!$AP:$AP,MATCH(G170,Cables!$A:$A,0))-1),1),1),1),INDEX(Cables!$AP:$AP,MATCH(G170,Cables!$A:$A,0))-1))):INDEX(Attenuation!$J:$J,(INDEX(Cables!$AO:$AO,MATCH(G170,Cables!$A:$A,0))-1+MIN(MAX(IFERROR(MATCH(LN(E170),INDEX(Attenuation!$J:$J,INDEX(Cables!$AO:$AO,MATCH(G170,Cables!$A:$A,0))):INDEX(Attenuation!$J:$J,INDEX(Cables!$AO:$AO,MATCH(G170,Cables!$A:$A,0))+INDEX(Cables!$AP:$AP,MATCH(G170,Cables!$A:$A,0))-1),1),1),1),INDEX(Cables!$AP:$AP,MATCH(G170,Cables!$A:$A,0))-1))+1)))*0.3048)</f>
        <v>5.7538256682972175</v>
      </c>
      <c r="J170" s="44">
        <f t="shared" si="2"/>
        <v>0</v>
      </c>
      <c r="K170" s="40" t="str">
        <f>IF(G170="","Doğrulanmadı",IF(ABS(J170)&lt;=0.1,"Uyumlu (±%10)",IF(ABS(J170)&lt;=0.25,"Fark %10-25","Fark &gt;%25"))&amp;IF(OR(D170&lt;INDEX(Cables!$AQ:$AQ,MATCH(G170,Cables!$A:$A,0)),E170&gt;INDEX(Cables!$AR:$AR,MATCH(G170,Cables!$A:$A,0)))," · ekstrapolasyon",""))</f>
        <v>Uyumlu (±%10)</v>
      </c>
    </row>
    <row r="171" spans="1:11" x14ac:dyDescent="0.25">
      <c r="A171" s="37" t="s">
        <v>3016</v>
      </c>
      <c r="B171" s="40" t="str">
        <f>INDEX(Legacy_Index!$D:$D,MATCH(A171,Legacy_Index!$A:$A,0))</f>
        <v>ULTRAFLEX 7™ Messi and Paoloni</v>
      </c>
      <c r="C171" s="37" t="s">
        <v>3120</v>
      </c>
      <c r="D171" s="37">
        <v>1200</v>
      </c>
      <c r="E171" s="37">
        <v>1300</v>
      </c>
      <c r="F171" s="37">
        <v>6.8</v>
      </c>
      <c r="G171" s="40" t="str">
        <f>IF(INDEX(Legacy_Index!$G:$G,MATCH(A171,Legacy_Index!$A:$A,0))="","",INDEX(Legacy_Index!$G:$G,MATCH(A171,Legacy_Index!$A:$A,0)))</f>
        <v>MP-ULTRAFLEX7</v>
      </c>
      <c r="H171" s="43">
        <f>IF(G171="","",EXP(FORECAST(LN(D171),INDEX(Attenuation!$K:$K,(INDEX(Cables!$AO:$AO,MATCH(G171,Cables!$A:$A,0))-1+MIN(MAX(IFERROR(MATCH(LN(D171),INDEX(Attenuation!$J:$J,INDEX(Cables!$AO:$AO,MATCH(G171,Cables!$A:$A,0))):INDEX(Attenuation!$J:$J,INDEX(Cables!$AO:$AO,MATCH(G171,Cables!$A:$A,0))+INDEX(Cables!$AP:$AP,MATCH(G171,Cables!$A:$A,0))-1),1),1),1),INDEX(Cables!$AP:$AP,MATCH(G171,Cables!$A:$A,0))-1))):INDEX(Attenuation!$K:$K,(INDEX(Cables!$AO:$AO,MATCH(G171,Cables!$A:$A,0))-1+MIN(MAX(IFERROR(MATCH(LN(D171),INDEX(Attenuation!$J:$J,INDEX(Cables!$AO:$AO,MATCH(G171,Cables!$A:$A,0))):INDEX(Attenuation!$J:$J,INDEX(Cables!$AO:$AO,MATCH(G171,Cables!$A:$A,0))+INDEX(Cables!$AP:$AP,MATCH(G171,Cables!$A:$A,0))-1),1),1),1),INDEX(Cables!$AP:$AP,MATCH(G171,Cables!$A:$A,0))-1))+1),INDEX(Attenuation!$J:$J,(INDEX(Cables!$AO:$AO,MATCH(G171,Cables!$A:$A,0))-1+MIN(MAX(IFERROR(MATCH(LN(D171),INDEX(Attenuation!$J:$J,INDEX(Cables!$AO:$AO,MATCH(G171,Cables!$A:$A,0))):INDEX(Attenuation!$J:$J,INDEX(Cables!$AO:$AO,MATCH(G171,Cables!$A:$A,0))+INDEX(Cables!$AP:$AP,MATCH(G171,Cables!$A:$A,0))-1),1),1),1),INDEX(Cables!$AP:$AP,MATCH(G171,Cables!$A:$A,0))-1))):INDEX(Attenuation!$J:$J,(INDEX(Cables!$AO:$AO,MATCH(G171,Cables!$A:$A,0))-1+MIN(MAX(IFERROR(MATCH(LN(D171),INDEX(Attenuation!$J:$J,INDEX(Cables!$AO:$AO,MATCH(G171,Cables!$A:$A,0))):INDEX(Attenuation!$J:$J,INDEX(Cables!$AO:$AO,MATCH(G171,Cables!$A:$A,0))+INDEX(Cables!$AP:$AP,MATCH(G171,Cables!$A:$A,0))-1),1),1),1),INDEX(Cables!$AP:$AP,MATCH(G171,Cables!$A:$A,0))-1))+1)))*0.3048)</f>
        <v>6.5117078546918297</v>
      </c>
      <c r="I171" s="43">
        <f>IF(G171="","",EXP(FORECAST(LN(E171),INDEX(Attenuation!$K:$K,(INDEX(Cables!$AO:$AO,MATCH(G171,Cables!$A:$A,0))-1+MIN(MAX(IFERROR(MATCH(LN(E171),INDEX(Attenuation!$J:$J,INDEX(Cables!$AO:$AO,MATCH(G171,Cables!$A:$A,0))):INDEX(Attenuation!$J:$J,INDEX(Cables!$AO:$AO,MATCH(G171,Cables!$A:$A,0))+INDEX(Cables!$AP:$AP,MATCH(G171,Cables!$A:$A,0))-1),1),1),1),INDEX(Cables!$AP:$AP,MATCH(G171,Cables!$A:$A,0))-1))):INDEX(Attenuation!$K:$K,(INDEX(Cables!$AO:$AO,MATCH(G171,Cables!$A:$A,0))-1+MIN(MAX(IFERROR(MATCH(LN(E171),INDEX(Attenuation!$J:$J,INDEX(Cables!$AO:$AO,MATCH(G171,Cables!$A:$A,0))):INDEX(Attenuation!$J:$J,INDEX(Cables!$AO:$AO,MATCH(G171,Cables!$A:$A,0))+INDEX(Cables!$AP:$AP,MATCH(G171,Cables!$A:$A,0))-1),1),1),1),INDEX(Cables!$AP:$AP,MATCH(G171,Cables!$A:$A,0))-1))+1),INDEX(Attenuation!$J:$J,(INDEX(Cables!$AO:$AO,MATCH(G171,Cables!$A:$A,0))-1+MIN(MAX(IFERROR(MATCH(LN(E171),INDEX(Attenuation!$J:$J,INDEX(Cables!$AO:$AO,MATCH(G171,Cables!$A:$A,0))):INDEX(Attenuation!$J:$J,INDEX(Cables!$AO:$AO,MATCH(G171,Cables!$A:$A,0))+INDEX(Cables!$AP:$AP,MATCH(G171,Cables!$A:$A,0))-1),1),1),1),INDEX(Cables!$AP:$AP,MATCH(G171,Cables!$A:$A,0))-1))):INDEX(Attenuation!$J:$J,(INDEX(Cables!$AO:$AO,MATCH(G171,Cables!$A:$A,0))-1+MIN(MAX(IFERROR(MATCH(LN(E171),INDEX(Attenuation!$J:$J,INDEX(Cables!$AO:$AO,MATCH(G171,Cables!$A:$A,0))):INDEX(Attenuation!$J:$J,INDEX(Cables!$AO:$AO,MATCH(G171,Cables!$A:$A,0))+INDEX(Cables!$AP:$AP,MATCH(G171,Cables!$A:$A,0))-1),1),1),1),INDEX(Cables!$AP:$AP,MATCH(G171,Cables!$A:$A,0))-1))+1)))*0.3048)</f>
        <v>6.809645537258346</v>
      </c>
      <c r="J171" s="44">
        <f t="shared" si="2"/>
        <v>0</v>
      </c>
      <c r="K171" s="40" t="str">
        <f>IF(G171="","Doğrulanmadı",IF(ABS(J171)&lt;=0.1,"Uyumlu (±%10)",IF(ABS(J171)&lt;=0.25,"Fark %10-25","Fark &gt;%25"))&amp;IF(OR(D171&lt;INDEX(Cables!$AQ:$AQ,MATCH(G171,Cables!$A:$A,0)),E171&gt;INDEX(Cables!$AR:$AR,MATCH(G171,Cables!$A:$A,0)))," · ekstrapolasyon",""))</f>
        <v>Uyumlu (±%10)</v>
      </c>
    </row>
    <row r="172" spans="1:11" x14ac:dyDescent="0.25">
      <c r="A172" s="37" t="s">
        <v>3016</v>
      </c>
      <c r="B172" s="40" t="str">
        <f>INDEX(Legacy_Index!$D:$D,MATCH(A172,Legacy_Index!$A:$A,0))</f>
        <v>ULTRAFLEX 7™ Messi and Paoloni</v>
      </c>
      <c r="C172" s="37" t="s">
        <v>3121</v>
      </c>
      <c r="D172" s="37">
        <v>2400</v>
      </c>
      <c r="E172" s="37">
        <v>2500</v>
      </c>
      <c r="F172" s="37">
        <v>9.8000000000000007</v>
      </c>
      <c r="G172" s="40" t="str">
        <f>IF(INDEX(Legacy_Index!$G:$G,MATCH(A172,Legacy_Index!$A:$A,0))="","",INDEX(Legacy_Index!$G:$G,MATCH(A172,Legacy_Index!$A:$A,0)))</f>
        <v>MP-ULTRAFLEX7</v>
      </c>
      <c r="H172" s="43">
        <f>IF(G172="","",EXP(FORECAST(LN(D172),INDEX(Attenuation!$K:$K,(INDEX(Cables!$AO:$AO,MATCH(G172,Cables!$A:$A,0))-1+MIN(MAX(IFERROR(MATCH(LN(D172),INDEX(Attenuation!$J:$J,INDEX(Cables!$AO:$AO,MATCH(G172,Cables!$A:$A,0))):INDEX(Attenuation!$J:$J,INDEX(Cables!$AO:$AO,MATCH(G172,Cables!$A:$A,0))+INDEX(Cables!$AP:$AP,MATCH(G172,Cables!$A:$A,0))-1),1),1),1),INDEX(Cables!$AP:$AP,MATCH(G172,Cables!$A:$A,0))-1))):INDEX(Attenuation!$K:$K,(INDEX(Cables!$AO:$AO,MATCH(G172,Cables!$A:$A,0))-1+MIN(MAX(IFERROR(MATCH(LN(D172),INDEX(Attenuation!$J:$J,INDEX(Cables!$AO:$AO,MATCH(G172,Cables!$A:$A,0))):INDEX(Attenuation!$J:$J,INDEX(Cables!$AO:$AO,MATCH(G172,Cables!$A:$A,0))+INDEX(Cables!$AP:$AP,MATCH(G172,Cables!$A:$A,0))-1),1),1),1),INDEX(Cables!$AP:$AP,MATCH(G172,Cables!$A:$A,0))-1))+1),INDEX(Attenuation!$J:$J,(INDEX(Cables!$AO:$AO,MATCH(G172,Cables!$A:$A,0))-1+MIN(MAX(IFERROR(MATCH(LN(D172),INDEX(Attenuation!$J:$J,INDEX(Cables!$AO:$AO,MATCH(G172,Cables!$A:$A,0))):INDEX(Attenuation!$J:$J,INDEX(Cables!$AO:$AO,MATCH(G172,Cables!$A:$A,0))+INDEX(Cables!$AP:$AP,MATCH(G172,Cables!$A:$A,0))-1),1),1),1),INDEX(Cables!$AP:$AP,MATCH(G172,Cables!$A:$A,0))-1))):INDEX(Attenuation!$J:$J,(INDEX(Cables!$AO:$AO,MATCH(G172,Cables!$A:$A,0))-1+MIN(MAX(IFERROR(MATCH(LN(D172),INDEX(Attenuation!$J:$J,INDEX(Cables!$AO:$AO,MATCH(G172,Cables!$A:$A,0))):INDEX(Attenuation!$J:$J,INDEX(Cables!$AO:$AO,MATCH(G172,Cables!$A:$A,0))+INDEX(Cables!$AP:$AP,MATCH(G172,Cables!$A:$A,0))-1),1),1),1),INDEX(Cables!$AP:$AP,MATCH(G172,Cables!$A:$A,0))-1))+1)))*0.3048)</f>
        <v>9.8450399999999973</v>
      </c>
      <c r="I172" s="43">
        <f>IF(G172="","",EXP(FORECAST(LN(E172),INDEX(Attenuation!$K:$K,(INDEX(Cables!$AO:$AO,MATCH(G172,Cables!$A:$A,0))-1+MIN(MAX(IFERROR(MATCH(LN(E172),INDEX(Attenuation!$J:$J,INDEX(Cables!$AO:$AO,MATCH(G172,Cables!$A:$A,0))):INDEX(Attenuation!$J:$J,INDEX(Cables!$AO:$AO,MATCH(G172,Cables!$A:$A,0))+INDEX(Cables!$AP:$AP,MATCH(G172,Cables!$A:$A,0))-1),1),1),1),INDEX(Cables!$AP:$AP,MATCH(G172,Cables!$A:$A,0))-1))):INDEX(Attenuation!$K:$K,(INDEX(Cables!$AO:$AO,MATCH(G172,Cables!$A:$A,0))-1+MIN(MAX(IFERROR(MATCH(LN(E172),INDEX(Attenuation!$J:$J,INDEX(Cables!$AO:$AO,MATCH(G172,Cables!$A:$A,0))):INDEX(Attenuation!$J:$J,INDEX(Cables!$AO:$AO,MATCH(G172,Cables!$A:$A,0))+INDEX(Cables!$AP:$AP,MATCH(G172,Cables!$A:$A,0))-1),1),1),1),INDEX(Cables!$AP:$AP,MATCH(G172,Cables!$A:$A,0))-1))+1),INDEX(Attenuation!$J:$J,(INDEX(Cables!$AO:$AO,MATCH(G172,Cables!$A:$A,0))-1+MIN(MAX(IFERROR(MATCH(LN(E172),INDEX(Attenuation!$J:$J,INDEX(Cables!$AO:$AO,MATCH(G172,Cables!$A:$A,0))):INDEX(Attenuation!$J:$J,INDEX(Cables!$AO:$AO,MATCH(G172,Cables!$A:$A,0))+INDEX(Cables!$AP:$AP,MATCH(G172,Cables!$A:$A,0))-1),1),1),1),INDEX(Cables!$AP:$AP,MATCH(G172,Cables!$A:$A,0))-1))):INDEX(Attenuation!$J:$J,(INDEX(Cables!$AO:$AO,MATCH(G172,Cables!$A:$A,0))-1+MIN(MAX(IFERROR(MATCH(LN(E172),INDEX(Attenuation!$J:$J,INDEX(Cables!$AO:$AO,MATCH(G172,Cables!$A:$A,0))):INDEX(Attenuation!$J:$J,INDEX(Cables!$AO:$AO,MATCH(G172,Cables!$A:$A,0))+INDEX(Cables!$AP:$AP,MATCH(G172,Cables!$A:$A,0))-1),1),1),1),INDEX(Cables!$AP:$AP,MATCH(G172,Cables!$A:$A,0))-1))+1)))*0.3048)</f>
        <v>10.052501500037414</v>
      </c>
      <c r="J172" s="44">
        <f t="shared" si="2"/>
        <v>-4.5748925347176561E-3</v>
      </c>
      <c r="K172" s="40" t="str">
        <f>IF(G172="","Doğrulanmadı",IF(ABS(J172)&lt;=0.1,"Uyumlu (±%10)",IF(ABS(J172)&lt;=0.25,"Fark %10-25","Fark &gt;%25"))&amp;IF(OR(D172&lt;INDEX(Cables!$AQ:$AQ,MATCH(G172,Cables!$A:$A,0)),E172&gt;INDEX(Cables!$AR:$AR,MATCH(G172,Cables!$A:$A,0)))," · ekstrapolasyon",""))</f>
        <v>Uyumlu (±%10)</v>
      </c>
    </row>
    <row r="173" spans="1:11" x14ac:dyDescent="0.25">
      <c r="A173" s="37" t="s">
        <v>3016</v>
      </c>
      <c r="B173" s="40" t="str">
        <f>INDEX(Legacy_Index!$D:$D,MATCH(A173,Legacy_Index!$A:$A,0))</f>
        <v>ULTRAFLEX 7™ Messi and Paoloni</v>
      </c>
      <c r="C173" s="37" t="s">
        <v>3122</v>
      </c>
      <c r="D173" s="37">
        <v>5725</v>
      </c>
      <c r="E173" s="37">
        <v>5875</v>
      </c>
      <c r="F173" s="37">
        <v>15.5</v>
      </c>
      <c r="G173" s="40" t="str">
        <f>IF(INDEX(Legacy_Index!$G:$G,MATCH(A173,Legacy_Index!$A:$A,0))="","",INDEX(Legacy_Index!$G:$G,MATCH(A173,Legacy_Index!$A:$A,0)))</f>
        <v>MP-ULTRAFLEX7</v>
      </c>
      <c r="H173" s="43">
        <f>IF(G173="","",EXP(FORECAST(LN(D173),INDEX(Attenuation!$K:$K,(INDEX(Cables!$AO:$AO,MATCH(G173,Cables!$A:$A,0))-1+MIN(MAX(IFERROR(MATCH(LN(D173),INDEX(Attenuation!$J:$J,INDEX(Cables!$AO:$AO,MATCH(G173,Cables!$A:$A,0))):INDEX(Attenuation!$J:$J,INDEX(Cables!$AO:$AO,MATCH(G173,Cables!$A:$A,0))+INDEX(Cables!$AP:$AP,MATCH(G173,Cables!$A:$A,0))-1),1),1),1),INDEX(Cables!$AP:$AP,MATCH(G173,Cables!$A:$A,0))-1))):INDEX(Attenuation!$K:$K,(INDEX(Cables!$AO:$AO,MATCH(G173,Cables!$A:$A,0))-1+MIN(MAX(IFERROR(MATCH(LN(D173),INDEX(Attenuation!$J:$J,INDEX(Cables!$AO:$AO,MATCH(G173,Cables!$A:$A,0))):INDEX(Attenuation!$J:$J,INDEX(Cables!$AO:$AO,MATCH(G173,Cables!$A:$A,0))+INDEX(Cables!$AP:$AP,MATCH(G173,Cables!$A:$A,0))-1),1),1),1),INDEX(Cables!$AP:$AP,MATCH(G173,Cables!$A:$A,0))-1))+1),INDEX(Attenuation!$J:$J,(INDEX(Cables!$AO:$AO,MATCH(G173,Cables!$A:$A,0))-1+MIN(MAX(IFERROR(MATCH(LN(D173),INDEX(Attenuation!$J:$J,INDEX(Cables!$AO:$AO,MATCH(G173,Cables!$A:$A,0))):INDEX(Attenuation!$J:$J,INDEX(Cables!$AO:$AO,MATCH(G173,Cables!$A:$A,0))+INDEX(Cables!$AP:$AP,MATCH(G173,Cables!$A:$A,0))-1),1),1),1),INDEX(Cables!$AP:$AP,MATCH(G173,Cables!$A:$A,0))-1))):INDEX(Attenuation!$J:$J,(INDEX(Cables!$AO:$AO,MATCH(G173,Cables!$A:$A,0))-1+MIN(MAX(IFERROR(MATCH(LN(D173),INDEX(Attenuation!$J:$J,INDEX(Cables!$AO:$AO,MATCH(G173,Cables!$A:$A,0))):INDEX(Attenuation!$J:$J,INDEX(Cables!$AO:$AO,MATCH(G173,Cables!$A:$A,0))+INDEX(Cables!$AP:$AP,MATCH(G173,Cables!$A:$A,0))-1),1),1),1),INDEX(Cables!$AP:$AP,MATCH(G173,Cables!$A:$A,0))-1))+1)))*0.3048)</f>
        <v>16.364581471861623</v>
      </c>
      <c r="I173" s="43">
        <f>IF(G173="","",EXP(FORECAST(LN(E173),INDEX(Attenuation!$K:$K,(INDEX(Cables!$AO:$AO,MATCH(G173,Cables!$A:$A,0))-1+MIN(MAX(IFERROR(MATCH(LN(E173),INDEX(Attenuation!$J:$J,INDEX(Cables!$AO:$AO,MATCH(G173,Cables!$A:$A,0))):INDEX(Attenuation!$J:$J,INDEX(Cables!$AO:$AO,MATCH(G173,Cables!$A:$A,0))+INDEX(Cables!$AP:$AP,MATCH(G173,Cables!$A:$A,0))-1),1),1),1),INDEX(Cables!$AP:$AP,MATCH(G173,Cables!$A:$A,0))-1))):INDEX(Attenuation!$K:$K,(INDEX(Cables!$AO:$AO,MATCH(G173,Cables!$A:$A,0))-1+MIN(MAX(IFERROR(MATCH(LN(E173),INDEX(Attenuation!$J:$J,INDEX(Cables!$AO:$AO,MATCH(G173,Cables!$A:$A,0))):INDEX(Attenuation!$J:$J,INDEX(Cables!$AO:$AO,MATCH(G173,Cables!$A:$A,0))+INDEX(Cables!$AP:$AP,MATCH(G173,Cables!$A:$A,0))-1),1),1),1),INDEX(Cables!$AP:$AP,MATCH(G173,Cables!$A:$A,0))-1))+1),INDEX(Attenuation!$J:$J,(INDEX(Cables!$AO:$AO,MATCH(G173,Cables!$A:$A,0))-1+MIN(MAX(IFERROR(MATCH(LN(E173),INDEX(Attenuation!$J:$J,INDEX(Cables!$AO:$AO,MATCH(G173,Cables!$A:$A,0))):INDEX(Attenuation!$J:$J,INDEX(Cables!$AO:$AO,MATCH(G173,Cables!$A:$A,0))+INDEX(Cables!$AP:$AP,MATCH(G173,Cables!$A:$A,0))-1),1),1),1),INDEX(Cables!$AP:$AP,MATCH(G173,Cables!$A:$A,0))-1))):INDEX(Attenuation!$J:$J,(INDEX(Cables!$AO:$AO,MATCH(G173,Cables!$A:$A,0))-1+MIN(MAX(IFERROR(MATCH(LN(E173),INDEX(Attenuation!$J:$J,INDEX(Cables!$AO:$AO,MATCH(G173,Cables!$A:$A,0))):INDEX(Attenuation!$J:$J,INDEX(Cables!$AO:$AO,MATCH(G173,Cables!$A:$A,0))+INDEX(Cables!$AP:$AP,MATCH(G173,Cables!$A:$A,0))-1),1),1),1),INDEX(Cables!$AP:$AP,MATCH(G173,Cables!$A:$A,0))-1))+1)))*0.3048)</f>
        <v>16.633377904472397</v>
      </c>
      <c r="J173" s="44">
        <f t="shared" si="2"/>
        <v>-5.2832482966230665E-2</v>
      </c>
      <c r="K173" s="40" t="str">
        <f>IF(G173="","Doğrulanmadı",IF(ABS(J173)&lt;=0.1,"Uyumlu (±%10)",IF(ABS(J173)&lt;=0.25,"Fark %10-25","Fark &gt;%25"))&amp;IF(OR(D173&lt;INDEX(Cables!$AQ:$AQ,MATCH(G173,Cables!$A:$A,0)),E173&gt;INDEX(Cables!$AR:$AR,MATCH(G173,Cables!$A:$A,0)))," · ekstrapolasyon",""))</f>
        <v>Uyumlu (±%10)</v>
      </c>
    </row>
    <row r="174" spans="1:11" x14ac:dyDescent="0.25">
      <c r="A174" s="37" t="s">
        <v>3018</v>
      </c>
      <c r="B174" s="40" t="str">
        <f>INDEX(Legacy_Index!$D:$D,MATCH(A174,Legacy_Index!$A:$A,0))</f>
        <v>3/8" RF9914</v>
      </c>
      <c r="C174" s="37" t="s">
        <v>3117</v>
      </c>
      <c r="D174" s="37">
        <v>1</v>
      </c>
      <c r="E174" s="37">
        <v>10</v>
      </c>
      <c r="F174" s="37">
        <v>0.45</v>
      </c>
      <c r="G174" s="40" t="str">
        <f>IF(INDEX(Legacy_Index!$G:$G,MATCH(A174,Legacy_Index!$A:$A,0))="","",INDEX(Legacy_Index!$G:$G,MATCH(A174,Legacy_Index!$A:$A,0)))</f>
        <v>BEL-9914</v>
      </c>
      <c r="H174" s="43">
        <f>IF(G174="","",EXP(FORECAST(LN(D174),INDEX(Attenuation!$K:$K,(INDEX(Cables!$AO:$AO,MATCH(G174,Cables!$A:$A,0))-1+MIN(MAX(IFERROR(MATCH(LN(D174),INDEX(Attenuation!$J:$J,INDEX(Cables!$AO:$AO,MATCH(G174,Cables!$A:$A,0))):INDEX(Attenuation!$J:$J,INDEX(Cables!$AO:$AO,MATCH(G174,Cables!$A:$A,0))+INDEX(Cables!$AP:$AP,MATCH(G174,Cables!$A:$A,0))-1),1),1),1),INDEX(Cables!$AP:$AP,MATCH(G174,Cables!$A:$A,0))-1))):INDEX(Attenuation!$K:$K,(INDEX(Cables!$AO:$AO,MATCH(G174,Cables!$A:$A,0))-1+MIN(MAX(IFERROR(MATCH(LN(D174),INDEX(Attenuation!$J:$J,INDEX(Cables!$AO:$AO,MATCH(G174,Cables!$A:$A,0))):INDEX(Attenuation!$J:$J,INDEX(Cables!$AO:$AO,MATCH(G174,Cables!$A:$A,0))+INDEX(Cables!$AP:$AP,MATCH(G174,Cables!$A:$A,0))-1),1),1),1),INDEX(Cables!$AP:$AP,MATCH(G174,Cables!$A:$A,0))-1))+1),INDEX(Attenuation!$J:$J,(INDEX(Cables!$AO:$AO,MATCH(G174,Cables!$A:$A,0))-1+MIN(MAX(IFERROR(MATCH(LN(D174),INDEX(Attenuation!$J:$J,INDEX(Cables!$AO:$AO,MATCH(G174,Cables!$A:$A,0))):INDEX(Attenuation!$J:$J,INDEX(Cables!$AO:$AO,MATCH(G174,Cables!$A:$A,0))+INDEX(Cables!$AP:$AP,MATCH(G174,Cables!$A:$A,0))-1),1),1),1),INDEX(Cables!$AP:$AP,MATCH(G174,Cables!$A:$A,0))-1))):INDEX(Attenuation!$J:$J,(INDEX(Cables!$AO:$AO,MATCH(G174,Cables!$A:$A,0))-1+MIN(MAX(IFERROR(MATCH(LN(D174),INDEX(Attenuation!$J:$J,INDEX(Cables!$AO:$AO,MATCH(G174,Cables!$A:$A,0))):INDEX(Attenuation!$J:$J,INDEX(Cables!$AO:$AO,MATCH(G174,Cables!$A:$A,0))+INDEX(Cables!$AP:$AP,MATCH(G174,Cables!$A:$A,0))-1),1),1),1),INDEX(Cables!$AP:$AP,MATCH(G174,Cables!$A:$A,0))-1))+1)))*0.3048)</f>
        <v>0.23825493744511234</v>
      </c>
      <c r="I174" s="43">
        <f>IF(G174="","",EXP(FORECAST(LN(E174),INDEX(Attenuation!$K:$K,(INDEX(Cables!$AO:$AO,MATCH(G174,Cables!$A:$A,0))-1+MIN(MAX(IFERROR(MATCH(LN(E174),INDEX(Attenuation!$J:$J,INDEX(Cables!$AO:$AO,MATCH(G174,Cables!$A:$A,0))):INDEX(Attenuation!$J:$J,INDEX(Cables!$AO:$AO,MATCH(G174,Cables!$A:$A,0))+INDEX(Cables!$AP:$AP,MATCH(G174,Cables!$A:$A,0))-1),1),1),1),INDEX(Cables!$AP:$AP,MATCH(G174,Cables!$A:$A,0))-1))):INDEX(Attenuation!$K:$K,(INDEX(Cables!$AO:$AO,MATCH(G174,Cables!$A:$A,0))-1+MIN(MAX(IFERROR(MATCH(LN(E174),INDEX(Attenuation!$J:$J,INDEX(Cables!$AO:$AO,MATCH(G174,Cables!$A:$A,0))):INDEX(Attenuation!$J:$J,INDEX(Cables!$AO:$AO,MATCH(G174,Cables!$A:$A,0))+INDEX(Cables!$AP:$AP,MATCH(G174,Cables!$A:$A,0))-1),1),1),1),INDEX(Cables!$AP:$AP,MATCH(G174,Cables!$A:$A,0))-1))+1),INDEX(Attenuation!$J:$J,(INDEX(Cables!$AO:$AO,MATCH(G174,Cables!$A:$A,0))-1+MIN(MAX(IFERROR(MATCH(LN(E174),INDEX(Attenuation!$J:$J,INDEX(Cables!$AO:$AO,MATCH(G174,Cables!$A:$A,0))):INDEX(Attenuation!$J:$J,INDEX(Cables!$AO:$AO,MATCH(G174,Cables!$A:$A,0))+INDEX(Cables!$AP:$AP,MATCH(G174,Cables!$A:$A,0))-1),1),1),1),INDEX(Cables!$AP:$AP,MATCH(G174,Cables!$A:$A,0))-1))):INDEX(Attenuation!$J:$J,(INDEX(Cables!$AO:$AO,MATCH(G174,Cables!$A:$A,0))-1+MIN(MAX(IFERROR(MATCH(LN(E174),INDEX(Attenuation!$J:$J,INDEX(Cables!$AO:$AO,MATCH(G174,Cables!$A:$A,0))):INDEX(Attenuation!$J:$J,INDEX(Cables!$AO:$AO,MATCH(G174,Cables!$A:$A,0))+INDEX(Cables!$AP:$AP,MATCH(G174,Cables!$A:$A,0))-1),1),1),1),INDEX(Cables!$AP:$AP,MATCH(G174,Cables!$A:$A,0))-1))+1)))*0.3048)</f>
        <v>0.50000000000000011</v>
      </c>
      <c r="J174" s="44">
        <f t="shared" si="2"/>
        <v>0</v>
      </c>
      <c r="K174" s="40" t="str">
        <f>IF(G174="","Doğrulanmadı",IF(ABS(J174)&lt;=0.1,"Uyumlu (±%10)",IF(ABS(J174)&lt;=0.25,"Fark %10-25","Fark &gt;%25"))&amp;IF(OR(D174&lt;INDEX(Cables!$AQ:$AQ,MATCH(G174,Cables!$A:$A,0)),E174&gt;INDEX(Cables!$AR:$AR,MATCH(G174,Cables!$A:$A,0)))," · ekstrapolasyon",""))</f>
        <v>Uyumlu (±%10) · ekstrapolasyon</v>
      </c>
    </row>
    <row r="175" spans="1:11" x14ac:dyDescent="0.25">
      <c r="A175" s="37" t="s">
        <v>3018</v>
      </c>
      <c r="B175" s="40" t="str">
        <f>INDEX(Legacy_Index!$D:$D,MATCH(A175,Legacy_Index!$A:$A,0))</f>
        <v>3/8" RF9914</v>
      </c>
      <c r="C175" s="37" t="s">
        <v>3118</v>
      </c>
      <c r="D175" s="37">
        <v>30</v>
      </c>
      <c r="E175" s="37">
        <v>50</v>
      </c>
      <c r="F175" s="37">
        <v>1</v>
      </c>
      <c r="G175" s="40" t="str">
        <f>IF(INDEX(Legacy_Index!$G:$G,MATCH(A175,Legacy_Index!$A:$A,0))="","",INDEX(Legacy_Index!$G:$G,MATCH(A175,Legacy_Index!$A:$A,0)))</f>
        <v>BEL-9914</v>
      </c>
      <c r="H175" s="43">
        <f>IF(G175="","",EXP(FORECAST(LN(D175),INDEX(Attenuation!$K:$K,(INDEX(Cables!$AO:$AO,MATCH(G175,Cables!$A:$A,0))-1+MIN(MAX(IFERROR(MATCH(LN(D175),INDEX(Attenuation!$J:$J,INDEX(Cables!$AO:$AO,MATCH(G175,Cables!$A:$A,0))):INDEX(Attenuation!$J:$J,INDEX(Cables!$AO:$AO,MATCH(G175,Cables!$A:$A,0))+INDEX(Cables!$AP:$AP,MATCH(G175,Cables!$A:$A,0))-1),1),1),1),INDEX(Cables!$AP:$AP,MATCH(G175,Cables!$A:$A,0))-1))):INDEX(Attenuation!$K:$K,(INDEX(Cables!$AO:$AO,MATCH(G175,Cables!$A:$A,0))-1+MIN(MAX(IFERROR(MATCH(LN(D175),INDEX(Attenuation!$J:$J,INDEX(Cables!$AO:$AO,MATCH(G175,Cables!$A:$A,0))):INDEX(Attenuation!$J:$J,INDEX(Cables!$AO:$AO,MATCH(G175,Cables!$A:$A,0))+INDEX(Cables!$AP:$AP,MATCH(G175,Cables!$A:$A,0))-1),1),1),1),INDEX(Cables!$AP:$AP,MATCH(G175,Cables!$A:$A,0))-1))+1),INDEX(Attenuation!$J:$J,(INDEX(Cables!$AO:$AO,MATCH(G175,Cables!$A:$A,0))-1+MIN(MAX(IFERROR(MATCH(LN(D175),INDEX(Attenuation!$J:$J,INDEX(Cables!$AO:$AO,MATCH(G175,Cables!$A:$A,0))):INDEX(Attenuation!$J:$J,INDEX(Cables!$AO:$AO,MATCH(G175,Cables!$A:$A,0))+INDEX(Cables!$AP:$AP,MATCH(G175,Cables!$A:$A,0))-1),1),1),1),INDEX(Cables!$AP:$AP,MATCH(G175,Cables!$A:$A,0))-1))):INDEX(Attenuation!$J:$J,(INDEX(Cables!$AO:$AO,MATCH(G175,Cables!$A:$A,0))-1+MIN(MAX(IFERROR(MATCH(LN(D175),INDEX(Attenuation!$J:$J,INDEX(Cables!$AO:$AO,MATCH(G175,Cables!$A:$A,0))):INDEX(Attenuation!$J:$J,INDEX(Cables!$AO:$AO,MATCH(G175,Cables!$A:$A,0))+INDEX(Cables!$AP:$AP,MATCH(G175,Cables!$A:$A,0))-1),1),1),1),INDEX(Cables!$AP:$AP,MATCH(G175,Cables!$A:$A,0))-1))+1)))*0.3048)</f>
        <v>0.80251829926201945</v>
      </c>
      <c r="I175" s="43">
        <f>IF(G175="","",EXP(FORECAST(LN(E175),INDEX(Attenuation!$K:$K,(INDEX(Cables!$AO:$AO,MATCH(G175,Cables!$A:$A,0))-1+MIN(MAX(IFERROR(MATCH(LN(E175),INDEX(Attenuation!$J:$J,INDEX(Cables!$AO:$AO,MATCH(G175,Cables!$A:$A,0))):INDEX(Attenuation!$J:$J,INDEX(Cables!$AO:$AO,MATCH(G175,Cables!$A:$A,0))+INDEX(Cables!$AP:$AP,MATCH(G175,Cables!$A:$A,0))-1),1),1),1),INDEX(Cables!$AP:$AP,MATCH(G175,Cables!$A:$A,0))-1))):INDEX(Attenuation!$K:$K,(INDEX(Cables!$AO:$AO,MATCH(G175,Cables!$A:$A,0))-1+MIN(MAX(IFERROR(MATCH(LN(E175),INDEX(Attenuation!$J:$J,INDEX(Cables!$AO:$AO,MATCH(G175,Cables!$A:$A,0))):INDEX(Attenuation!$J:$J,INDEX(Cables!$AO:$AO,MATCH(G175,Cables!$A:$A,0))+INDEX(Cables!$AP:$AP,MATCH(G175,Cables!$A:$A,0))-1),1),1),1),INDEX(Cables!$AP:$AP,MATCH(G175,Cables!$A:$A,0))-1))+1),INDEX(Attenuation!$J:$J,(INDEX(Cables!$AO:$AO,MATCH(G175,Cables!$A:$A,0))-1+MIN(MAX(IFERROR(MATCH(LN(E175),INDEX(Attenuation!$J:$J,INDEX(Cables!$AO:$AO,MATCH(G175,Cables!$A:$A,0))):INDEX(Attenuation!$J:$J,INDEX(Cables!$AO:$AO,MATCH(G175,Cables!$A:$A,0))+INDEX(Cables!$AP:$AP,MATCH(G175,Cables!$A:$A,0))-1),1),1),1),INDEX(Cables!$AP:$AP,MATCH(G175,Cables!$A:$A,0))-1))):INDEX(Attenuation!$J:$J,(INDEX(Cables!$AO:$AO,MATCH(G175,Cables!$A:$A,0))-1+MIN(MAX(IFERROR(MATCH(LN(E175),INDEX(Attenuation!$J:$J,INDEX(Cables!$AO:$AO,MATCH(G175,Cables!$A:$A,0))):INDEX(Attenuation!$J:$J,INDEX(Cables!$AO:$AO,MATCH(G175,Cables!$A:$A,0))+INDEX(Cables!$AP:$AP,MATCH(G175,Cables!$A:$A,0))-1),1),1),1),INDEX(Cables!$AP:$AP,MATCH(G175,Cables!$A:$A,0))-1))+1)))*0.3048)</f>
        <v>0.99999999999999989</v>
      </c>
      <c r="J175" s="44">
        <f t="shared" si="2"/>
        <v>0</v>
      </c>
      <c r="K175" s="40" t="str">
        <f>IF(G175="","Doğrulanmadı",IF(ABS(J175)&lt;=0.1,"Uyumlu (±%10)",IF(ABS(J175)&lt;=0.25,"Fark %10-25","Fark &gt;%25"))&amp;IF(OR(D175&lt;INDEX(Cables!$AQ:$AQ,MATCH(G175,Cables!$A:$A,0)),E175&gt;INDEX(Cables!$AR:$AR,MATCH(G175,Cables!$A:$A,0)))," · ekstrapolasyon",""))</f>
        <v>Uyumlu (±%10)</v>
      </c>
    </row>
    <row r="176" spans="1:11" x14ac:dyDescent="0.25">
      <c r="A176" s="37" t="s">
        <v>3018</v>
      </c>
      <c r="B176" s="40" t="str">
        <f>INDEX(Legacy_Index!$D:$D,MATCH(A176,Legacy_Index!$A:$A,0))</f>
        <v>3/8" RF9914</v>
      </c>
      <c r="C176" s="37" t="s">
        <v>3113</v>
      </c>
      <c r="D176" s="37">
        <v>70</v>
      </c>
      <c r="E176" s="37">
        <v>100</v>
      </c>
      <c r="F176" s="37">
        <v>1.5</v>
      </c>
      <c r="G176" s="40" t="str">
        <f>IF(INDEX(Legacy_Index!$G:$G,MATCH(A176,Legacy_Index!$A:$A,0))="","",INDEX(Legacy_Index!$G:$G,MATCH(A176,Legacy_Index!$A:$A,0)))</f>
        <v>BEL-9914</v>
      </c>
      <c r="H176" s="43">
        <f>IF(G176="","",EXP(FORECAST(LN(D176),INDEX(Attenuation!$K:$K,(INDEX(Cables!$AO:$AO,MATCH(G176,Cables!$A:$A,0))-1+MIN(MAX(IFERROR(MATCH(LN(D176),INDEX(Attenuation!$J:$J,INDEX(Cables!$AO:$AO,MATCH(G176,Cables!$A:$A,0))):INDEX(Attenuation!$J:$J,INDEX(Cables!$AO:$AO,MATCH(G176,Cables!$A:$A,0))+INDEX(Cables!$AP:$AP,MATCH(G176,Cables!$A:$A,0))-1),1),1),1),INDEX(Cables!$AP:$AP,MATCH(G176,Cables!$A:$A,0))-1))):INDEX(Attenuation!$K:$K,(INDEX(Cables!$AO:$AO,MATCH(G176,Cables!$A:$A,0))-1+MIN(MAX(IFERROR(MATCH(LN(D176),INDEX(Attenuation!$J:$J,INDEX(Cables!$AO:$AO,MATCH(G176,Cables!$A:$A,0))):INDEX(Attenuation!$J:$J,INDEX(Cables!$AO:$AO,MATCH(G176,Cables!$A:$A,0))+INDEX(Cables!$AP:$AP,MATCH(G176,Cables!$A:$A,0))-1),1),1),1),INDEX(Cables!$AP:$AP,MATCH(G176,Cables!$A:$A,0))-1))+1),INDEX(Attenuation!$J:$J,(INDEX(Cables!$AO:$AO,MATCH(G176,Cables!$A:$A,0))-1+MIN(MAX(IFERROR(MATCH(LN(D176),INDEX(Attenuation!$J:$J,INDEX(Cables!$AO:$AO,MATCH(G176,Cables!$A:$A,0))):INDEX(Attenuation!$J:$J,INDEX(Cables!$AO:$AO,MATCH(G176,Cables!$A:$A,0))+INDEX(Cables!$AP:$AP,MATCH(G176,Cables!$A:$A,0))-1),1),1),1),INDEX(Cables!$AP:$AP,MATCH(G176,Cables!$A:$A,0))-1))):INDEX(Attenuation!$J:$J,(INDEX(Cables!$AO:$AO,MATCH(G176,Cables!$A:$A,0))-1+MIN(MAX(IFERROR(MATCH(LN(D176),INDEX(Attenuation!$J:$J,INDEX(Cables!$AO:$AO,MATCH(G176,Cables!$A:$A,0))):INDEX(Attenuation!$J:$J,INDEX(Cables!$AO:$AO,MATCH(G176,Cables!$A:$A,0))+INDEX(Cables!$AP:$AP,MATCH(G176,Cables!$A:$A,0))-1),1),1),1),INDEX(Cables!$AP:$AP,MATCH(G176,Cables!$A:$A,0))-1))+1)))*0.3048)</f>
        <v>1.177428296372574</v>
      </c>
      <c r="I176" s="43">
        <f>IF(G176="","",EXP(FORECAST(LN(E176),INDEX(Attenuation!$K:$K,(INDEX(Cables!$AO:$AO,MATCH(G176,Cables!$A:$A,0))-1+MIN(MAX(IFERROR(MATCH(LN(E176),INDEX(Attenuation!$J:$J,INDEX(Cables!$AO:$AO,MATCH(G176,Cables!$A:$A,0))):INDEX(Attenuation!$J:$J,INDEX(Cables!$AO:$AO,MATCH(G176,Cables!$A:$A,0))+INDEX(Cables!$AP:$AP,MATCH(G176,Cables!$A:$A,0))-1),1),1),1),INDEX(Cables!$AP:$AP,MATCH(G176,Cables!$A:$A,0))-1))):INDEX(Attenuation!$K:$K,(INDEX(Cables!$AO:$AO,MATCH(G176,Cables!$A:$A,0))-1+MIN(MAX(IFERROR(MATCH(LN(E176),INDEX(Attenuation!$J:$J,INDEX(Cables!$AO:$AO,MATCH(G176,Cables!$A:$A,0))):INDEX(Attenuation!$J:$J,INDEX(Cables!$AO:$AO,MATCH(G176,Cables!$A:$A,0))+INDEX(Cables!$AP:$AP,MATCH(G176,Cables!$A:$A,0))-1),1),1),1),INDEX(Cables!$AP:$AP,MATCH(G176,Cables!$A:$A,0))-1))+1),INDEX(Attenuation!$J:$J,(INDEX(Cables!$AO:$AO,MATCH(G176,Cables!$A:$A,0))-1+MIN(MAX(IFERROR(MATCH(LN(E176),INDEX(Attenuation!$J:$J,INDEX(Cables!$AO:$AO,MATCH(G176,Cables!$A:$A,0))):INDEX(Attenuation!$J:$J,INDEX(Cables!$AO:$AO,MATCH(G176,Cables!$A:$A,0))+INDEX(Cables!$AP:$AP,MATCH(G176,Cables!$A:$A,0))-1),1),1),1),INDEX(Cables!$AP:$AP,MATCH(G176,Cables!$A:$A,0))-1))):INDEX(Attenuation!$J:$J,(INDEX(Cables!$AO:$AO,MATCH(G176,Cables!$A:$A,0))-1+MIN(MAX(IFERROR(MATCH(LN(E176),INDEX(Attenuation!$J:$J,INDEX(Cables!$AO:$AO,MATCH(G176,Cables!$A:$A,0))):INDEX(Attenuation!$J:$J,INDEX(Cables!$AO:$AO,MATCH(G176,Cables!$A:$A,0))+INDEX(Cables!$AP:$AP,MATCH(G176,Cables!$A:$A,0))-1),1),1),1),INDEX(Cables!$AP:$AP,MATCH(G176,Cables!$A:$A,0))-1))+1)))*0.3048)</f>
        <v>1.4000000000000001</v>
      </c>
      <c r="J176" s="44">
        <f t="shared" si="2"/>
        <v>7.1428571428571397E-2</v>
      </c>
      <c r="K176" s="40" t="str">
        <f>IF(G176="","Doğrulanmadı",IF(ABS(J176)&lt;=0.1,"Uyumlu (±%10)",IF(ABS(J176)&lt;=0.25,"Fark %10-25","Fark &gt;%25"))&amp;IF(OR(D176&lt;INDEX(Cables!$AQ:$AQ,MATCH(G176,Cables!$A:$A,0)),E176&gt;INDEX(Cables!$AR:$AR,MATCH(G176,Cables!$A:$A,0)))," · ekstrapolasyon",""))</f>
        <v>Uyumlu (±%10)</v>
      </c>
    </row>
    <row r="177" spans="1:11" x14ac:dyDescent="0.25">
      <c r="A177" s="37" t="s">
        <v>3018</v>
      </c>
      <c r="B177" s="40" t="str">
        <f>INDEX(Legacy_Index!$D:$D,MATCH(A177,Legacy_Index!$A:$A,0))</f>
        <v>3/8" RF9914</v>
      </c>
      <c r="C177" s="37" t="s">
        <v>3114</v>
      </c>
      <c r="D177" s="37">
        <v>148</v>
      </c>
      <c r="E177" s="37">
        <v>174</v>
      </c>
      <c r="F177" s="37">
        <v>1.65</v>
      </c>
      <c r="G177" s="40" t="str">
        <f>IF(INDEX(Legacy_Index!$G:$G,MATCH(A177,Legacy_Index!$A:$A,0))="","",INDEX(Legacy_Index!$G:$G,MATCH(A177,Legacy_Index!$A:$A,0)))</f>
        <v>BEL-9914</v>
      </c>
      <c r="H177" s="43">
        <f>IF(G177="","",EXP(FORECAST(LN(D177),INDEX(Attenuation!$K:$K,(INDEX(Cables!$AO:$AO,MATCH(G177,Cables!$A:$A,0))-1+MIN(MAX(IFERROR(MATCH(LN(D177),INDEX(Attenuation!$J:$J,INDEX(Cables!$AO:$AO,MATCH(G177,Cables!$A:$A,0))):INDEX(Attenuation!$J:$J,INDEX(Cables!$AO:$AO,MATCH(G177,Cables!$A:$A,0))+INDEX(Cables!$AP:$AP,MATCH(G177,Cables!$A:$A,0))-1),1),1),1),INDEX(Cables!$AP:$AP,MATCH(G177,Cables!$A:$A,0))-1))):INDEX(Attenuation!$K:$K,(INDEX(Cables!$AO:$AO,MATCH(G177,Cables!$A:$A,0))-1+MIN(MAX(IFERROR(MATCH(LN(D177),INDEX(Attenuation!$J:$J,INDEX(Cables!$AO:$AO,MATCH(G177,Cables!$A:$A,0))):INDEX(Attenuation!$J:$J,INDEX(Cables!$AO:$AO,MATCH(G177,Cables!$A:$A,0))+INDEX(Cables!$AP:$AP,MATCH(G177,Cables!$A:$A,0))-1),1),1),1),INDEX(Cables!$AP:$AP,MATCH(G177,Cables!$A:$A,0))-1))+1),INDEX(Attenuation!$J:$J,(INDEX(Cables!$AO:$AO,MATCH(G177,Cables!$A:$A,0))-1+MIN(MAX(IFERROR(MATCH(LN(D177),INDEX(Attenuation!$J:$J,INDEX(Cables!$AO:$AO,MATCH(G177,Cables!$A:$A,0))):INDEX(Attenuation!$J:$J,INDEX(Cables!$AO:$AO,MATCH(G177,Cables!$A:$A,0))+INDEX(Cables!$AP:$AP,MATCH(G177,Cables!$A:$A,0))-1),1),1),1),INDEX(Cables!$AP:$AP,MATCH(G177,Cables!$A:$A,0))-1))):INDEX(Attenuation!$J:$J,(INDEX(Cables!$AO:$AO,MATCH(G177,Cables!$A:$A,0))-1+MIN(MAX(IFERROR(MATCH(LN(D177),INDEX(Attenuation!$J:$J,INDEX(Cables!$AO:$AO,MATCH(G177,Cables!$A:$A,0))):INDEX(Attenuation!$J:$J,INDEX(Cables!$AO:$AO,MATCH(G177,Cables!$A:$A,0))+INDEX(Cables!$AP:$AP,MATCH(G177,Cables!$A:$A,0))-1),1),1),1),INDEX(Cables!$AP:$AP,MATCH(G177,Cables!$A:$A,0))-1))+1)))*0.3048)</f>
        <v>1.6138376359913733</v>
      </c>
      <c r="I177" s="43">
        <f>IF(G177="","",EXP(FORECAST(LN(E177),INDEX(Attenuation!$K:$K,(INDEX(Cables!$AO:$AO,MATCH(G177,Cables!$A:$A,0))-1+MIN(MAX(IFERROR(MATCH(LN(E177),INDEX(Attenuation!$J:$J,INDEX(Cables!$AO:$AO,MATCH(G177,Cables!$A:$A,0))):INDEX(Attenuation!$J:$J,INDEX(Cables!$AO:$AO,MATCH(G177,Cables!$A:$A,0))+INDEX(Cables!$AP:$AP,MATCH(G177,Cables!$A:$A,0))-1),1),1),1),INDEX(Cables!$AP:$AP,MATCH(G177,Cables!$A:$A,0))-1))):INDEX(Attenuation!$K:$K,(INDEX(Cables!$AO:$AO,MATCH(G177,Cables!$A:$A,0))-1+MIN(MAX(IFERROR(MATCH(LN(E177),INDEX(Attenuation!$J:$J,INDEX(Cables!$AO:$AO,MATCH(G177,Cables!$A:$A,0))):INDEX(Attenuation!$J:$J,INDEX(Cables!$AO:$AO,MATCH(G177,Cables!$A:$A,0))+INDEX(Cables!$AP:$AP,MATCH(G177,Cables!$A:$A,0))-1),1),1),1),INDEX(Cables!$AP:$AP,MATCH(G177,Cables!$A:$A,0))-1))+1),INDEX(Attenuation!$J:$J,(INDEX(Cables!$AO:$AO,MATCH(G177,Cables!$A:$A,0))-1+MIN(MAX(IFERROR(MATCH(LN(E177),INDEX(Attenuation!$J:$J,INDEX(Cables!$AO:$AO,MATCH(G177,Cables!$A:$A,0))):INDEX(Attenuation!$J:$J,INDEX(Cables!$AO:$AO,MATCH(G177,Cables!$A:$A,0))+INDEX(Cables!$AP:$AP,MATCH(G177,Cables!$A:$A,0))-1),1),1),1),INDEX(Cables!$AP:$AP,MATCH(G177,Cables!$A:$A,0))-1))):INDEX(Attenuation!$J:$J,(INDEX(Cables!$AO:$AO,MATCH(G177,Cables!$A:$A,0))-1+MIN(MAX(IFERROR(MATCH(LN(E177),INDEX(Attenuation!$J:$J,INDEX(Cables!$AO:$AO,MATCH(G177,Cables!$A:$A,0))):INDEX(Attenuation!$J:$J,INDEX(Cables!$AO:$AO,MATCH(G177,Cables!$A:$A,0))+INDEX(Cables!$AP:$AP,MATCH(G177,Cables!$A:$A,0))-1),1),1),1),INDEX(Cables!$AP:$AP,MATCH(G177,Cables!$A:$A,0))-1))+1)))*0.3048)</f>
        <v>1.7113703196044734</v>
      </c>
      <c r="J177" s="44">
        <f t="shared" si="2"/>
        <v>0</v>
      </c>
      <c r="K177" s="40" t="str">
        <f>IF(G177="","Doğrulanmadı",IF(ABS(J177)&lt;=0.1,"Uyumlu (±%10)",IF(ABS(J177)&lt;=0.25,"Fark %10-25","Fark &gt;%25"))&amp;IF(OR(D177&lt;INDEX(Cables!$AQ:$AQ,MATCH(G177,Cables!$A:$A,0)),E177&gt;INDEX(Cables!$AR:$AR,MATCH(G177,Cables!$A:$A,0)))," · ekstrapolasyon",""))</f>
        <v>Uyumlu (±%10)</v>
      </c>
    </row>
    <row r="178" spans="1:11" x14ac:dyDescent="0.25">
      <c r="A178" s="37" t="s">
        <v>3018</v>
      </c>
      <c r="B178" s="40" t="str">
        <f>INDEX(Legacy_Index!$D:$D,MATCH(A178,Legacy_Index!$A:$A,0))</f>
        <v>3/8" RF9914</v>
      </c>
      <c r="C178" s="37" t="s">
        <v>3119</v>
      </c>
      <c r="D178" s="37">
        <v>220</v>
      </c>
      <c r="E178" s="37">
        <v>220</v>
      </c>
      <c r="F178" s="37">
        <v>2.1</v>
      </c>
      <c r="G178" s="40" t="str">
        <f>IF(INDEX(Legacy_Index!$G:$G,MATCH(A178,Legacy_Index!$A:$A,0))="","",INDEX(Legacy_Index!$G:$G,MATCH(A178,Legacy_Index!$A:$A,0)))</f>
        <v>BEL-9914</v>
      </c>
      <c r="H178" s="43">
        <f>IF(G178="","",EXP(FORECAST(LN(D178),INDEX(Attenuation!$K:$K,(INDEX(Cables!$AO:$AO,MATCH(G178,Cables!$A:$A,0))-1+MIN(MAX(IFERROR(MATCH(LN(D178),INDEX(Attenuation!$J:$J,INDEX(Cables!$AO:$AO,MATCH(G178,Cables!$A:$A,0))):INDEX(Attenuation!$J:$J,INDEX(Cables!$AO:$AO,MATCH(G178,Cables!$A:$A,0))+INDEX(Cables!$AP:$AP,MATCH(G178,Cables!$A:$A,0))-1),1),1),1),INDEX(Cables!$AP:$AP,MATCH(G178,Cables!$A:$A,0))-1))):INDEX(Attenuation!$K:$K,(INDEX(Cables!$AO:$AO,MATCH(G178,Cables!$A:$A,0))-1+MIN(MAX(IFERROR(MATCH(LN(D178),INDEX(Attenuation!$J:$J,INDEX(Cables!$AO:$AO,MATCH(G178,Cables!$A:$A,0))):INDEX(Attenuation!$J:$J,INDEX(Cables!$AO:$AO,MATCH(G178,Cables!$A:$A,0))+INDEX(Cables!$AP:$AP,MATCH(G178,Cables!$A:$A,0))-1),1),1),1),INDEX(Cables!$AP:$AP,MATCH(G178,Cables!$A:$A,0))-1))+1),INDEX(Attenuation!$J:$J,(INDEX(Cables!$AO:$AO,MATCH(G178,Cables!$A:$A,0))-1+MIN(MAX(IFERROR(MATCH(LN(D178),INDEX(Attenuation!$J:$J,INDEX(Cables!$AO:$AO,MATCH(G178,Cables!$A:$A,0))):INDEX(Attenuation!$J:$J,INDEX(Cables!$AO:$AO,MATCH(G178,Cables!$A:$A,0))+INDEX(Cables!$AP:$AP,MATCH(G178,Cables!$A:$A,0))-1),1),1),1),INDEX(Cables!$AP:$AP,MATCH(G178,Cables!$A:$A,0))-1))):INDEX(Attenuation!$J:$J,(INDEX(Cables!$AO:$AO,MATCH(G178,Cables!$A:$A,0))-1+MIN(MAX(IFERROR(MATCH(LN(D178),INDEX(Attenuation!$J:$J,INDEX(Cables!$AO:$AO,MATCH(G178,Cables!$A:$A,0))):INDEX(Attenuation!$J:$J,INDEX(Cables!$AO:$AO,MATCH(G178,Cables!$A:$A,0))+INDEX(Cables!$AP:$AP,MATCH(G178,Cables!$A:$A,0))-1),1),1),1),INDEX(Cables!$AP:$AP,MATCH(G178,Cables!$A:$A,0))-1))+1)))*0.3048)</f>
        <v>1.8933544893207166</v>
      </c>
      <c r="I178" s="43">
        <f>IF(G178="","",EXP(FORECAST(LN(E178),INDEX(Attenuation!$K:$K,(INDEX(Cables!$AO:$AO,MATCH(G178,Cables!$A:$A,0))-1+MIN(MAX(IFERROR(MATCH(LN(E178),INDEX(Attenuation!$J:$J,INDEX(Cables!$AO:$AO,MATCH(G178,Cables!$A:$A,0))):INDEX(Attenuation!$J:$J,INDEX(Cables!$AO:$AO,MATCH(G178,Cables!$A:$A,0))+INDEX(Cables!$AP:$AP,MATCH(G178,Cables!$A:$A,0))-1),1),1),1),INDEX(Cables!$AP:$AP,MATCH(G178,Cables!$A:$A,0))-1))):INDEX(Attenuation!$K:$K,(INDEX(Cables!$AO:$AO,MATCH(G178,Cables!$A:$A,0))-1+MIN(MAX(IFERROR(MATCH(LN(E178),INDEX(Attenuation!$J:$J,INDEX(Cables!$AO:$AO,MATCH(G178,Cables!$A:$A,0))):INDEX(Attenuation!$J:$J,INDEX(Cables!$AO:$AO,MATCH(G178,Cables!$A:$A,0))+INDEX(Cables!$AP:$AP,MATCH(G178,Cables!$A:$A,0))-1),1),1),1),INDEX(Cables!$AP:$AP,MATCH(G178,Cables!$A:$A,0))-1))+1),INDEX(Attenuation!$J:$J,(INDEX(Cables!$AO:$AO,MATCH(G178,Cables!$A:$A,0))-1+MIN(MAX(IFERROR(MATCH(LN(E178),INDEX(Attenuation!$J:$J,INDEX(Cables!$AO:$AO,MATCH(G178,Cables!$A:$A,0))):INDEX(Attenuation!$J:$J,INDEX(Cables!$AO:$AO,MATCH(G178,Cables!$A:$A,0))+INDEX(Cables!$AP:$AP,MATCH(G178,Cables!$A:$A,0))-1),1),1),1),INDEX(Cables!$AP:$AP,MATCH(G178,Cables!$A:$A,0))-1))):INDEX(Attenuation!$J:$J,(INDEX(Cables!$AO:$AO,MATCH(G178,Cables!$A:$A,0))-1+MIN(MAX(IFERROR(MATCH(LN(E178),INDEX(Attenuation!$J:$J,INDEX(Cables!$AO:$AO,MATCH(G178,Cables!$A:$A,0))):INDEX(Attenuation!$J:$J,INDEX(Cables!$AO:$AO,MATCH(G178,Cables!$A:$A,0))+INDEX(Cables!$AP:$AP,MATCH(G178,Cables!$A:$A,0))-1),1),1),1),INDEX(Cables!$AP:$AP,MATCH(G178,Cables!$A:$A,0))-1))+1)))*0.3048)</f>
        <v>1.8933544893207166</v>
      </c>
      <c r="J178" s="44">
        <f t="shared" si="2"/>
        <v>0.10914253608864466</v>
      </c>
      <c r="K178" s="40" t="str">
        <f>IF(G178="","Doğrulanmadı",IF(ABS(J178)&lt;=0.1,"Uyumlu (±%10)",IF(ABS(J178)&lt;=0.25,"Fark %10-25","Fark &gt;%25"))&amp;IF(OR(D178&lt;INDEX(Cables!$AQ:$AQ,MATCH(G178,Cables!$A:$A,0)),E178&gt;INDEX(Cables!$AR:$AR,MATCH(G178,Cables!$A:$A,0)))," · ekstrapolasyon",""))</f>
        <v>Fark %10-25</v>
      </c>
    </row>
    <row r="179" spans="1:11" x14ac:dyDescent="0.25">
      <c r="A179" s="37" t="s">
        <v>3018</v>
      </c>
      <c r="B179" s="40" t="str">
        <f>INDEX(Legacy_Index!$D:$D,MATCH(A179,Legacy_Index!$A:$A,0))</f>
        <v>3/8" RF9914</v>
      </c>
      <c r="C179" s="37" t="s">
        <v>3115</v>
      </c>
      <c r="D179" s="37">
        <v>400</v>
      </c>
      <c r="E179" s="37">
        <v>520</v>
      </c>
      <c r="F179" s="37">
        <v>3.1</v>
      </c>
      <c r="G179" s="40" t="str">
        <f>IF(INDEX(Legacy_Index!$G:$G,MATCH(A179,Legacy_Index!$A:$A,0))="","",INDEX(Legacy_Index!$G:$G,MATCH(A179,Legacy_Index!$A:$A,0)))</f>
        <v>BEL-9914</v>
      </c>
      <c r="H179" s="43">
        <f>IF(G179="","",EXP(FORECAST(LN(D179),INDEX(Attenuation!$K:$K,(INDEX(Cables!$AO:$AO,MATCH(G179,Cables!$A:$A,0))-1+MIN(MAX(IFERROR(MATCH(LN(D179),INDEX(Attenuation!$J:$J,INDEX(Cables!$AO:$AO,MATCH(G179,Cables!$A:$A,0))):INDEX(Attenuation!$J:$J,INDEX(Cables!$AO:$AO,MATCH(G179,Cables!$A:$A,0))+INDEX(Cables!$AP:$AP,MATCH(G179,Cables!$A:$A,0))-1),1),1),1),INDEX(Cables!$AP:$AP,MATCH(G179,Cables!$A:$A,0))-1))):INDEX(Attenuation!$K:$K,(INDEX(Cables!$AO:$AO,MATCH(G179,Cables!$A:$A,0))-1+MIN(MAX(IFERROR(MATCH(LN(D179),INDEX(Attenuation!$J:$J,INDEX(Cables!$AO:$AO,MATCH(G179,Cables!$A:$A,0))):INDEX(Attenuation!$J:$J,INDEX(Cables!$AO:$AO,MATCH(G179,Cables!$A:$A,0))+INDEX(Cables!$AP:$AP,MATCH(G179,Cables!$A:$A,0))-1),1),1),1),INDEX(Cables!$AP:$AP,MATCH(G179,Cables!$A:$A,0))-1))+1),INDEX(Attenuation!$J:$J,(INDEX(Cables!$AO:$AO,MATCH(G179,Cables!$A:$A,0))-1+MIN(MAX(IFERROR(MATCH(LN(D179),INDEX(Attenuation!$J:$J,INDEX(Cables!$AO:$AO,MATCH(G179,Cables!$A:$A,0))):INDEX(Attenuation!$J:$J,INDEX(Cables!$AO:$AO,MATCH(G179,Cables!$A:$A,0))+INDEX(Cables!$AP:$AP,MATCH(G179,Cables!$A:$A,0))-1),1),1),1),INDEX(Cables!$AP:$AP,MATCH(G179,Cables!$A:$A,0))-1))):INDEX(Attenuation!$J:$J,(INDEX(Cables!$AO:$AO,MATCH(G179,Cables!$A:$A,0))-1+MIN(MAX(IFERROR(MATCH(LN(D179),INDEX(Attenuation!$J:$J,INDEX(Cables!$AO:$AO,MATCH(G179,Cables!$A:$A,0))):INDEX(Attenuation!$J:$J,INDEX(Cables!$AO:$AO,MATCH(G179,Cables!$A:$A,0))+INDEX(Cables!$AP:$AP,MATCH(G179,Cables!$A:$A,0))-1),1),1),1),INDEX(Cables!$AP:$AP,MATCH(G179,Cables!$A:$A,0))-1))+1)))*0.3048)</f>
        <v>2.6000000000000019</v>
      </c>
      <c r="I179" s="43">
        <f>IF(G179="","",EXP(FORECAST(LN(E179),INDEX(Attenuation!$K:$K,(INDEX(Cables!$AO:$AO,MATCH(G179,Cables!$A:$A,0))-1+MIN(MAX(IFERROR(MATCH(LN(E179),INDEX(Attenuation!$J:$J,INDEX(Cables!$AO:$AO,MATCH(G179,Cables!$A:$A,0))):INDEX(Attenuation!$J:$J,INDEX(Cables!$AO:$AO,MATCH(G179,Cables!$A:$A,0))+INDEX(Cables!$AP:$AP,MATCH(G179,Cables!$A:$A,0))-1),1),1),1),INDEX(Cables!$AP:$AP,MATCH(G179,Cables!$A:$A,0))-1))):INDEX(Attenuation!$K:$K,(INDEX(Cables!$AO:$AO,MATCH(G179,Cables!$A:$A,0))-1+MIN(MAX(IFERROR(MATCH(LN(E179),INDEX(Attenuation!$J:$J,INDEX(Cables!$AO:$AO,MATCH(G179,Cables!$A:$A,0))):INDEX(Attenuation!$J:$J,INDEX(Cables!$AO:$AO,MATCH(G179,Cables!$A:$A,0))+INDEX(Cables!$AP:$AP,MATCH(G179,Cables!$A:$A,0))-1),1),1),1),INDEX(Cables!$AP:$AP,MATCH(G179,Cables!$A:$A,0))-1))+1),INDEX(Attenuation!$J:$J,(INDEX(Cables!$AO:$AO,MATCH(G179,Cables!$A:$A,0))-1+MIN(MAX(IFERROR(MATCH(LN(E179),INDEX(Attenuation!$J:$J,INDEX(Cables!$AO:$AO,MATCH(G179,Cables!$A:$A,0))):INDEX(Attenuation!$J:$J,INDEX(Cables!$AO:$AO,MATCH(G179,Cables!$A:$A,0))+INDEX(Cables!$AP:$AP,MATCH(G179,Cables!$A:$A,0))-1),1),1),1),INDEX(Cables!$AP:$AP,MATCH(G179,Cables!$A:$A,0))-1))):INDEX(Attenuation!$J:$J,(INDEX(Cables!$AO:$AO,MATCH(G179,Cables!$A:$A,0))-1+MIN(MAX(IFERROR(MATCH(LN(E179),INDEX(Attenuation!$J:$J,INDEX(Cables!$AO:$AO,MATCH(G179,Cables!$A:$A,0))):INDEX(Attenuation!$J:$J,INDEX(Cables!$AO:$AO,MATCH(G179,Cables!$A:$A,0))+INDEX(Cables!$AP:$AP,MATCH(G179,Cables!$A:$A,0))-1),1),1),1),INDEX(Cables!$AP:$AP,MATCH(G179,Cables!$A:$A,0))-1))+1)))*0.3048)</f>
        <v>3.0285349667954993</v>
      </c>
      <c r="J179" s="44">
        <f t="shared" si="2"/>
        <v>2.3597229019322929E-2</v>
      </c>
      <c r="K179" s="40" t="str">
        <f>IF(G179="","Doğrulanmadı",IF(ABS(J179)&lt;=0.1,"Uyumlu (±%10)",IF(ABS(J179)&lt;=0.25,"Fark %10-25","Fark &gt;%25"))&amp;IF(OR(D179&lt;INDEX(Cables!$AQ:$AQ,MATCH(G179,Cables!$A:$A,0)),E179&gt;INDEX(Cables!$AR:$AR,MATCH(G179,Cables!$A:$A,0)))," · ekstrapolasyon",""))</f>
        <v>Uyumlu (±%10)</v>
      </c>
    </row>
    <row r="180" spans="1:11" x14ac:dyDescent="0.25">
      <c r="A180" s="37" t="s">
        <v>3018</v>
      </c>
      <c r="B180" s="40" t="str">
        <f>INDEX(Legacy_Index!$D:$D,MATCH(A180,Legacy_Index!$A:$A,0))</f>
        <v>3/8" RF9914</v>
      </c>
      <c r="C180" s="37" t="s">
        <v>3116</v>
      </c>
      <c r="D180" s="37">
        <v>700</v>
      </c>
      <c r="E180" s="37">
        <v>960</v>
      </c>
      <c r="F180" s="37">
        <v>4.9000000000000004</v>
      </c>
      <c r="G180" s="40" t="str">
        <f>IF(INDEX(Legacy_Index!$G:$G,MATCH(A180,Legacy_Index!$A:$A,0))="","",INDEX(Legacy_Index!$G:$G,MATCH(A180,Legacy_Index!$A:$A,0)))</f>
        <v>BEL-9914</v>
      </c>
      <c r="H180" s="43">
        <f>IF(G180="","",EXP(FORECAST(LN(D180),INDEX(Attenuation!$K:$K,(INDEX(Cables!$AO:$AO,MATCH(G180,Cables!$A:$A,0))-1+MIN(MAX(IFERROR(MATCH(LN(D180),INDEX(Attenuation!$J:$J,INDEX(Cables!$AO:$AO,MATCH(G180,Cables!$A:$A,0))):INDEX(Attenuation!$J:$J,INDEX(Cables!$AO:$AO,MATCH(G180,Cables!$A:$A,0))+INDEX(Cables!$AP:$AP,MATCH(G180,Cables!$A:$A,0))-1),1),1),1),INDEX(Cables!$AP:$AP,MATCH(G180,Cables!$A:$A,0))-1))):INDEX(Attenuation!$K:$K,(INDEX(Cables!$AO:$AO,MATCH(G180,Cables!$A:$A,0))-1+MIN(MAX(IFERROR(MATCH(LN(D180),INDEX(Attenuation!$J:$J,INDEX(Cables!$AO:$AO,MATCH(G180,Cables!$A:$A,0))):INDEX(Attenuation!$J:$J,INDEX(Cables!$AO:$AO,MATCH(G180,Cables!$A:$A,0))+INDEX(Cables!$AP:$AP,MATCH(G180,Cables!$A:$A,0))-1),1),1),1),INDEX(Cables!$AP:$AP,MATCH(G180,Cables!$A:$A,0))-1))+1),INDEX(Attenuation!$J:$J,(INDEX(Cables!$AO:$AO,MATCH(G180,Cables!$A:$A,0))-1+MIN(MAX(IFERROR(MATCH(LN(D180),INDEX(Attenuation!$J:$J,INDEX(Cables!$AO:$AO,MATCH(G180,Cables!$A:$A,0))):INDEX(Attenuation!$J:$J,INDEX(Cables!$AO:$AO,MATCH(G180,Cables!$A:$A,0))+INDEX(Cables!$AP:$AP,MATCH(G180,Cables!$A:$A,0))-1),1),1),1),INDEX(Cables!$AP:$AP,MATCH(G180,Cables!$A:$A,0))-1))):INDEX(Attenuation!$J:$J,(INDEX(Cables!$AO:$AO,MATCH(G180,Cables!$A:$A,0))-1+MIN(MAX(IFERROR(MATCH(LN(D180),INDEX(Attenuation!$J:$J,INDEX(Cables!$AO:$AO,MATCH(G180,Cables!$A:$A,0))):INDEX(Attenuation!$J:$J,INDEX(Cables!$AO:$AO,MATCH(G180,Cables!$A:$A,0))+INDEX(Cables!$AP:$AP,MATCH(G180,Cables!$A:$A,0))-1),1),1),1),INDEX(Cables!$AP:$AP,MATCH(G180,Cables!$A:$A,0))-1))+1)))*0.3048)</f>
        <v>3.6000000000000019</v>
      </c>
      <c r="I180" s="43">
        <f>IF(G180="","",EXP(FORECAST(LN(E180),INDEX(Attenuation!$K:$K,(INDEX(Cables!$AO:$AO,MATCH(G180,Cables!$A:$A,0))-1+MIN(MAX(IFERROR(MATCH(LN(E180),INDEX(Attenuation!$J:$J,INDEX(Cables!$AO:$AO,MATCH(G180,Cables!$A:$A,0))):INDEX(Attenuation!$J:$J,INDEX(Cables!$AO:$AO,MATCH(G180,Cables!$A:$A,0))+INDEX(Cables!$AP:$AP,MATCH(G180,Cables!$A:$A,0))-1),1),1),1),INDEX(Cables!$AP:$AP,MATCH(G180,Cables!$A:$A,0))-1))):INDEX(Attenuation!$K:$K,(INDEX(Cables!$AO:$AO,MATCH(G180,Cables!$A:$A,0))-1+MIN(MAX(IFERROR(MATCH(LN(E180),INDEX(Attenuation!$J:$J,INDEX(Cables!$AO:$AO,MATCH(G180,Cables!$A:$A,0))):INDEX(Attenuation!$J:$J,INDEX(Cables!$AO:$AO,MATCH(G180,Cables!$A:$A,0))+INDEX(Cables!$AP:$AP,MATCH(G180,Cables!$A:$A,0))-1),1),1),1),INDEX(Cables!$AP:$AP,MATCH(G180,Cables!$A:$A,0))-1))+1),INDEX(Attenuation!$J:$J,(INDEX(Cables!$AO:$AO,MATCH(G180,Cables!$A:$A,0))-1+MIN(MAX(IFERROR(MATCH(LN(E180),INDEX(Attenuation!$J:$J,INDEX(Cables!$AO:$AO,MATCH(G180,Cables!$A:$A,0))):INDEX(Attenuation!$J:$J,INDEX(Cables!$AO:$AO,MATCH(G180,Cables!$A:$A,0))+INDEX(Cables!$AP:$AP,MATCH(G180,Cables!$A:$A,0))-1),1),1),1),INDEX(Cables!$AP:$AP,MATCH(G180,Cables!$A:$A,0))-1))):INDEX(Attenuation!$J:$J,(INDEX(Cables!$AO:$AO,MATCH(G180,Cables!$A:$A,0))-1+MIN(MAX(IFERROR(MATCH(LN(E180),INDEX(Attenuation!$J:$J,INDEX(Cables!$AO:$AO,MATCH(G180,Cables!$A:$A,0))):INDEX(Attenuation!$J:$J,INDEX(Cables!$AO:$AO,MATCH(G180,Cables!$A:$A,0))+INDEX(Cables!$AP:$AP,MATCH(G180,Cables!$A:$A,0))-1),1),1),1),INDEX(Cables!$AP:$AP,MATCH(G180,Cables!$A:$A,0))-1))+1)))*0.3048)</f>
        <v>4.2812444319601237</v>
      </c>
      <c r="J180" s="44">
        <f t="shared" si="2"/>
        <v>0.14452703597598271</v>
      </c>
      <c r="K180" s="40" t="str">
        <f>IF(G180="","Doğrulanmadı",IF(ABS(J180)&lt;=0.1,"Uyumlu (±%10)",IF(ABS(J180)&lt;=0.25,"Fark %10-25","Fark &gt;%25"))&amp;IF(OR(D180&lt;INDEX(Cables!$AQ:$AQ,MATCH(G180,Cables!$A:$A,0)),E180&gt;INDEX(Cables!$AR:$AR,MATCH(G180,Cables!$A:$A,0)))," · ekstrapolasyon",""))</f>
        <v>Fark %10-25</v>
      </c>
    </row>
    <row r="181" spans="1:11" x14ac:dyDescent="0.25">
      <c r="A181" s="37" t="s">
        <v>3018</v>
      </c>
      <c r="B181" s="40" t="str">
        <f>INDEX(Legacy_Index!$D:$D,MATCH(A181,Legacy_Index!$A:$A,0))</f>
        <v>3/8" RF9914</v>
      </c>
      <c r="C181" s="37" t="s">
        <v>3120</v>
      </c>
      <c r="D181" s="37">
        <v>1200</v>
      </c>
      <c r="E181" s="37">
        <v>1300</v>
      </c>
      <c r="F181" s="37">
        <v>5.5</v>
      </c>
      <c r="G181" s="40" t="str">
        <f>IF(INDEX(Legacy_Index!$G:$G,MATCH(A181,Legacy_Index!$A:$A,0))="","",INDEX(Legacy_Index!$G:$G,MATCH(A181,Legacy_Index!$A:$A,0)))</f>
        <v>BEL-9914</v>
      </c>
      <c r="H181" s="43">
        <f>IF(G181="","",EXP(FORECAST(LN(D181),INDEX(Attenuation!$K:$K,(INDEX(Cables!$AO:$AO,MATCH(G181,Cables!$A:$A,0))-1+MIN(MAX(IFERROR(MATCH(LN(D181),INDEX(Attenuation!$J:$J,INDEX(Cables!$AO:$AO,MATCH(G181,Cables!$A:$A,0))):INDEX(Attenuation!$J:$J,INDEX(Cables!$AO:$AO,MATCH(G181,Cables!$A:$A,0))+INDEX(Cables!$AP:$AP,MATCH(G181,Cables!$A:$A,0))-1),1),1),1),INDEX(Cables!$AP:$AP,MATCH(G181,Cables!$A:$A,0))-1))):INDEX(Attenuation!$K:$K,(INDEX(Cables!$AO:$AO,MATCH(G181,Cables!$A:$A,0))-1+MIN(MAX(IFERROR(MATCH(LN(D181),INDEX(Attenuation!$J:$J,INDEX(Cables!$AO:$AO,MATCH(G181,Cables!$A:$A,0))):INDEX(Attenuation!$J:$J,INDEX(Cables!$AO:$AO,MATCH(G181,Cables!$A:$A,0))+INDEX(Cables!$AP:$AP,MATCH(G181,Cables!$A:$A,0))-1),1),1),1),INDEX(Cables!$AP:$AP,MATCH(G181,Cables!$A:$A,0))-1))+1),INDEX(Attenuation!$J:$J,(INDEX(Cables!$AO:$AO,MATCH(G181,Cables!$A:$A,0))-1+MIN(MAX(IFERROR(MATCH(LN(D181),INDEX(Attenuation!$J:$J,INDEX(Cables!$AO:$AO,MATCH(G181,Cables!$A:$A,0))):INDEX(Attenuation!$J:$J,INDEX(Cables!$AO:$AO,MATCH(G181,Cables!$A:$A,0))+INDEX(Cables!$AP:$AP,MATCH(G181,Cables!$A:$A,0))-1),1),1),1),INDEX(Cables!$AP:$AP,MATCH(G181,Cables!$A:$A,0))-1))):INDEX(Attenuation!$J:$J,(INDEX(Cables!$AO:$AO,MATCH(G181,Cables!$A:$A,0))-1+MIN(MAX(IFERROR(MATCH(LN(D181),INDEX(Attenuation!$J:$J,INDEX(Cables!$AO:$AO,MATCH(G181,Cables!$A:$A,0))):INDEX(Attenuation!$J:$J,INDEX(Cables!$AO:$AO,MATCH(G181,Cables!$A:$A,0))+INDEX(Cables!$AP:$AP,MATCH(G181,Cables!$A:$A,0))-1),1),1),1),INDEX(Cables!$AP:$AP,MATCH(G181,Cables!$A:$A,0))-1))+1)))*0.3048)</f>
        <v>4.8643997863462136</v>
      </c>
      <c r="I181" s="43">
        <f>IF(G181="","",EXP(FORECAST(LN(E181),INDEX(Attenuation!$K:$K,(INDEX(Cables!$AO:$AO,MATCH(G181,Cables!$A:$A,0))-1+MIN(MAX(IFERROR(MATCH(LN(E181),INDEX(Attenuation!$J:$J,INDEX(Cables!$AO:$AO,MATCH(G181,Cables!$A:$A,0))):INDEX(Attenuation!$J:$J,INDEX(Cables!$AO:$AO,MATCH(G181,Cables!$A:$A,0))+INDEX(Cables!$AP:$AP,MATCH(G181,Cables!$A:$A,0))-1),1),1),1),INDEX(Cables!$AP:$AP,MATCH(G181,Cables!$A:$A,0))-1))):INDEX(Attenuation!$K:$K,(INDEX(Cables!$AO:$AO,MATCH(G181,Cables!$A:$A,0))-1+MIN(MAX(IFERROR(MATCH(LN(E181),INDEX(Attenuation!$J:$J,INDEX(Cables!$AO:$AO,MATCH(G181,Cables!$A:$A,0))):INDEX(Attenuation!$J:$J,INDEX(Cables!$AO:$AO,MATCH(G181,Cables!$A:$A,0))+INDEX(Cables!$AP:$AP,MATCH(G181,Cables!$A:$A,0))-1),1),1),1),INDEX(Cables!$AP:$AP,MATCH(G181,Cables!$A:$A,0))-1))+1),INDEX(Attenuation!$J:$J,(INDEX(Cables!$AO:$AO,MATCH(G181,Cables!$A:$A,0))-1+MIN(MAX(IFERROR(MATCH(LN(E181),INDEX(Attenuation!$J:$J,INDEX(Cables!$AO:$AO,MATCH(G181,Cables!$A:$A,0))):INDEX(Attenuation!$J:$J,INDEX(Cables!$AO:$AO,MATCH(G181,Cables!$A:$A,0))+INDEX(Cables!$AP:$AP,MATCH(G181,Cables!$A:$A,0))-1),1),1),1),INDEX(Cables!$AP:$AP,MATCH(G181,Cables!$A:$A,0))-1))):INDEX(Attenuation!$J:$J,(INDEX(Cables!$AO:$AO,MATCH(G181,Cables!$A:$A,0))-1+MIN(MAX(IFERROR(MATCH(LN(E181),INDEX(Attenuation!$J:$J,INDEX(Cables!$AO:$AO,MATCH(G181,Cables!$A:$A,0))):INDEX(Attenuation!$J:$J,INDEX(Cables!$AO:$AO,MATCH(G181,Cables!$A:$A,0))+INDEX(Cables!$AP:$AP,MATCH(G181,Cables!$A:$A,0))-1),1),1),1),INDEX(Cables!$AP:$AP,MATCH(G181,Cables!$A:$A,0))-1))+1)))*0.3048)</f>
        <v>5.0834695715592622</v>
      </c>
      <c r="J181" s="44">
        <f t="shared" si="2"/>
        <v>8.1938216129220365E-2</v>
      </c>
      <c r="K181" s="40" t="str">
        <f>IF(G181="","Doğrulanmadı",IF(ABS(J181)&lt;=0.1,"Uyumlu (±%10)",IF(ABS(J181)&lt;=0.25,"Fark %10-25","Fark &gt;%25"))&amp;IF(OR(D181&lt;INDEX(Cables!$AQ:$AQ,MATCH(G181,Cables!$A:$A,0)),E181&gt;INDEX(Cables!$AR:$AR,MATCH(G181,Cables!$A:$A,0)))," · ekstrapolasyon",""))</f>
        <v>Uyumlu (±%10)</v>
      </c>
    </row>
    <row r="182" spans="1:11" x14ac:dyDescent="0.25">
      <c r="A182" s="37" t="s">
        <v>3021</v>
      </c>
      <c r="B182" s="40" t="str">
        <f>INDEX(Legacy_Index!$D:$D,MATCH(A182,Legacy_Index!$A:$A,0))</f>
        <v>3/8" Belden H1000</v>
      </c>
      <c r="C182" s="37" t="s">
        <v>3117</v>
      </c>
      <c r="D182" s="37">
        <v>1</v>
      </c>
      <c r="E182" s="37">
        <v>10</v>
      </c>
      <c r="F182" s="37">
        <v>0.4</v>
      </c>
      <c r="G182" s="40" t="str">
        <f>IF(INDEX(Legacy_Index!$G:$G,MATCH(A182,Legacy_Index!$A:$A,0))="","",INDEX(Legacy_Index!$G:$G,MATCH(A182,Legacy_Index!$A:$A,0)))</f>
        <v>BEL-H1000C1</v>
      </c>
      <c r="H182" s="43">
        <f>IF(G182="","",EXP(FORECAST(LN(D182),INDEX(Attenuation!$K:$K,(INDEX(Cables!$AO:$AO,MATCH(G182,Cables!$A:$A,0))-1+MIN(MAX(IFERROR(MATCH(LN(D182),INDEX(Attenuation!$J:$J,INDEX(Cables!$AO:$AO,MATCH(G182,Cables!$A:$A,0))):INDEX(Attenuation!$J:$J,INDEX(Cables!$AO:$AO,MATCH(G182,Cables!$A:$A,0))+INDEX(Cables!$AP:$AP,MATCH(G182,Cables!$A:$A,0))-1),1),1),1),INDEX(Cables!$AP:$AP,MATCH(G182,Cables!$A:$A,0))-1))):INDEX(Attenuation!$K:$K,(INDEX(Cables!$AO:$AO,MATCH(G182,Cables!$A:$A,0))-1+MIN(MAX(IFERROR(MATCH(LN(D182),INDEX(Attenuation!$J:$J,INDEX(Cables!$AO:$AO,MATCH(G182,Cables!$A:$A,0))):INDEX(Attenuation!$J:$J,INDEX(Cables!$AO:$AO,MATCH(G182,Cables!$A:$A,0))+INDEX(Cables!$AP:$AP,MATCH(G182,Cables!$A:$A,0))-1),1),1),1),INDEX(Cables!$AP:$AP,MATCH(G182,Cables!$A:$A,0))-1))+1),INDEX(Attenuation!$J:$J,(INDEX(Cables!$AO:$AO,MATCH(G182,Cables!$A:$A,0))-1+MIN(MAX(IFERROR(MATCH(LN(D182),INDEX(Attenuation!$J:$J,INDEX(Cables!$AO:$AO,MATCH(G182,Cables!$A:$A,0))):INDEX(Attenuation!$J:$J,INDEX(Cables!$AO:$AO,MATCH(G182,Cables!$A:$A,0))+INDEX(Cables!$AP:$AP,MATCH(G182,Cables!$A:$A,0))-1),1),1),1),INDEX(Cables!$AP:$AP,MATCH(G182,Cables!$A:$A,0))-1))):INDEX(Attenuation!$J:$J,(INDEX(Cables!$AO:$AO,MATCH(G182,Cables!$A:$A,0))-1+MIN(MAX(IFERROR(MATCH(LN(D182),INDEX(Attenuation!$J:$J,INDEX(Cables!$AO:$AO,MATCH(G182,Cables!$A:$A,0))):INDEX(Attenuation!$J:$J,INDEX(Cables!$AO:$AO,MATCH(G182,Cables!$A:$A,0))+INDEX(Cables!$AP:$AP,MATCH(G182,Cables!$A:$A,0))-1),1),1),1),INDEX(Cables!$AP:$AP,MATCH(G182,Cables!$A:$A,0))-1))+1)))*0.3048)</f>
        <v>0.10158222153866341</v>
      </c>
      <c r="I182" s="43">
        <f>IF(G182="","",EXP(FORECAST(LN(E182),INDEX(Attenuation!$K:$K,(INDEX(Cables!$AO:$AO,MATCH(G182,Cables!$A:$A,0))-1+MIN(MAX(IFERROR(MATCH(LN(E182),INDEX(Attenuation!$J:$J,INDEX(Cables!$AO:$AO,MATCH(G182,Cables!$A:$A,0))):INDEX(Attenuation!$J:$J,INDEX(Cables!$AO:$AO,MATCH(G182,Cables!$A:$A,0))+INDEX(Cables!$AP:$AP,MATCH(G182,Cables!$A:$A,0))-1),1),1),1),INDEX(Cables!$AP:$AP,MATCH(G182,Cables!$A:$A,0))-1))):INDEX(Attenuation!$K:$K,(INDEX(Cables!$AO:$AO,MATCH(G182,Cables!$A:$A,0))-1+MIN(MAX(IFERROR(MATCH(LN(E182),INDEX(Attenuation!$J:$J,INDEX(Cables!$AO:$AO,MATCH(G182,Cables!$A:$A,0))):INDEX(Attenuation!$J:$J,INDEX(Cables!$AO:$AO,MATCH(G182,Cables!$A:$A,0))+INDEX(Cables!$AP:$AP,MATCH(G182,Cables!$A:$A,0))-1),1),1),1),INDEX(Cables!$AP:$AP,MATCH(G182,Cables!$A:$A,0))-1))+1),INDEX(Attenuation!$J:$J,(INDEX(Cables!$AO:$AO,MATCH(G182,Cables!$A:$A,0))-1+MIN(MAX(IFERROR(MATCH(LN(E182),INDEX(Attenuation!$J:$J,INDEX(Cables!$AO:$AO,MATCH(G182,Cables!$A:$A,0))):INDEX(Attenuation!$J:$J,INDEX(Cables!$AO:$AO,MATCH(G182,Cables!$A:$A,0))+INDEX(Cables!$AP:$AP,MATCH(G182,Cables!$A:$A,0))-1),1),1),1),INDEX(Cables!$AP:$AP,MATCH(G182,Cables!$A:$A,0))-1))):INDEX(Attenuation!$J:$J,(INDEX(Cables!$AO:$AO,MATCH(G182,Cables!$A:$A,0))-1+MIN(MAX(IFERROR(MATCH(LN(E182),INDEX(Attenuation!$J:$J,INDEX(Cables!$AO:$AO,MATCH(G182,Cables!$A:$A,0))):INDEX(Attenuation!$J:$J,INDEX(Cables!$AO:$AO,MATCH(G182,Cables!$A:$A,0))+INDEX(Cables!$AP:$AP,MATCH(G182,Cables!$A:$A,0))-1),1),1),1),INDEX(Cables!$AP:$AP,MATCH(G182,Cables!$A:$A,0))-1))+1)))*0.3048)</f>
        <v>0.355537775385322</v>
      </c>
      <c r="J182" s="44">
        <f t="shared" si="2"/>
        <v>0.12505626038327744</v>
      </c>
      <c r="K182" s="40" t="str">
        <f>IF(G182="","Doğrulanmadı",IF(ABS(J182)&lt;=0.1,"Uyumlu (±%10)",IF(ABS(J182)&lt;=0.25,"Fark %10-25","Fark &gt;%25"))&amp;IF(OR(D182&lt;INDEX(Cables!$AQ:$AQ,MATCH(G182,Cables!$A:$A,0)),E182&gt;INDEX(Cables!$AR:$AR,MATCH(G182,Cables!$A:$A,0)))," · ekstrapolasyon",""))</f>
        <v>Fark %10-25 · ekstrapolasyon</v>
      </c>
    </row>
    <row r="183" spans="1:11" x14ac:dyDescent="0.25">
      <c r="A183" s="37" t="s">
        <v>3021</v>
      </c>
      <c r="B183" s="40" t="str">
        <f>INDEX(Legacy_Index!$D:$D,MATCH(A183,Legacy_Index!$A:$A,0))</f>
        <v>3/8" Belden H1000</v>
      </c>
      <c r="C183" s="37" t="s">
        <v>3118</v>
      </c>
      <c r="D183" s="37">
        <v>30</v>
      </c>
      <c r="E183" s="37">
        <v>50</v>
      </c>
      <c r="F183" s="37">
        <v>0.92</v>
      </c>
      <c r="G183" s="40" t="str">
        <f>IF(INDEX(Legacy_Index!$G:$G,MATCH(A183,Legacy_Index!$A:$A,0))="","",INDEX(Legacy_Index!$G:$G,MATCH(A183,Legacy_Index!$A:$A,0)))</f>
        <v>BEL-H1000C1</v>
      </c>
      <c r="H183" s="43">
        <f>IF(G183="","",EXP(FORECAST(LN(D183),INDEX(Attenuation!$K:$K,(INDEX(Cables!$AO:$AO,MATCH(G183,Cables!$A:$A,0))-1+MIN(MAX(IFERROR(MATCH(LN(D183),INDEX(Attenuation!$J:$J,INDEX(Cables!$AO:$AO,MATCH(G183,Cables!$A:$A,0))):INDEX(Attenuation!$J:$J,INDEX(Cables!$AO:$AO,MATCH(G183,Cables!$A:$A,0))+INDEX(Cables!$AP:$AP,MATCH(G183,Cables!$A:$A,0))-1),1),1),1),INDEX(Cables!$AP:$AP,MATCH(G183,Cables!$A:$A,0))-1))):INDEX(Attenuation!$K:$K,(INDEX(Cables!$AO:$AO,MATCH(G183,Cables!$A:$A,0))-1+MIN(MAX(IFERROR(MATCH(LN(D183),INDEX(Attenuation!$J:$J,INDEX(Cables!$AO:$AO,MATCH(G183,Cables!$A:$A,0))):INDEX(Attenuation!$J:$J,INDEX(Cables!$AO:$AO,MATCH(G183,Cables!$A:$A,0))+INDEX(Cables!$AP:$AP,MATCH(G183,Cables!$A:$A,0))-1),1),1),1),INDEX(Cables!$AP:$AP,MATCH(G183,Cables!$A:$A,0))-1))+1),INDEX(Attenuation!$J:$J,(INDEX(Cables!$AO:$AO,MATCH(G183,Cables!$A:$A,0))-1+MIN(MAX(IFERROR(MATCH(LN(D183),INDEX(Attenuation!$J:$J,INDEX(Cables!$AO:$AO,MATCH(G183,Cables!$A:$A,0))):INDEX(Attenuation!$J:$J,INDEX(Cables!$AO:$AO,MATCH(G183,Cables!$A:$A,0))+INDEX(Cables!$AP:$AP,MATCH(G183,Cables!$A:$A,0))-1),1),1),1),INDEX(Cables!$AP:$AP,MATCH(G183,Cables!$A:$A,0))-1))):INDEX(Attenuation!$J:$J,(INDEX(Cables!$AO:$AO,MATCH(G183,Cables!$A:$A,0))-1+MIN(MAX(IFERROR(MATCH(LN(D183),INDEX(Attenuation!$J:$J,INDEX(Cables!$AO:$AO,MATCH(G183,Cables!$A:$A,0))):INDEX(Attenuation!$J:$J,INDEX(Cables!$AO:$AO,MATCH(G183,Cables!$A:$A,0))+INDEX(Cables!$AP:$AP,MATCH(G183,Cables!$A:$A,0))-1),1),1),1),INDEX(Cables!$AP:$AP,MATCH(G183,Cables!$A:$A,0))-1))+1)))*0.3048)</f>
        <v>0.64635658642881544</v>
      </c>
      <c r="I183" s="43">
        <f>IF(G183="","",EXP(FORECAST(LN(E183),INDEX(Attenuation!$K:$K,(INDEX(Cables!$AO:$AO,MATCH(G183,Cables!$A:$A,0))-1+MIN(MAX(IFERROR(MATCH(LN(E183),INDEX(Attenuation!$J:$J,INDEX(Cables!$AO:$AO,MATCH(G183,Cables!$A:$A,0))):INDEX(Attenuation!$J:$J,INDEX(Cables!$AO:$AO,MATCH(G183,Cables!$A:$A,0))+INDEX(Cables!$AP:$AP,MATCH(G183,Cables!$A:$A,0))-1),1),1),1),INDEX(Cables!$AP:$AP,MATCH(G183,Cables!$A:$A,0))-1))):INDEX(Attenuation!$K:$K,(INDEX(Cables!$AO:$AO,MATCH(G183,Cables!$A:$A,0))-1+MIN(MAX(IFERROR(MATCH(LN(E183),INDEX(Attenuation!$J:$J,INDEX(Cables!$AO:$AO,MATCH(G183,Cables!$A:$A,0))):INDEX(Attenuation!$J:$J,INDEX(Cables!$AO:$AO,MATCH(G183,Cables!$A:$A,0))+INDEX(Cables!$AP:$AP,MATCH(G183,Cables!$A:$A,0))-1),1),1),1),INDEX(Cables!$AP:$AP,MATCH(G183,Cables!$A:$A,0))-1))+1),INDEX(Attenuation!$J:$J,(INDEX(Cables!$AO:$AO,MATCH(G183,Cables!$A:$A,0))-1+MIN(MAX(IFERROR(MATCH(LN(E183),INDEX(Attenuation!$J:$J,INDEX(Cables!$AO:$AO,MATCH(G183,Cables!$A:$A,0))):INDEX(Attenuation!$J:$J,INDEX(Cables!$AO:$AO,MATCH(G183,Cables!$A:$A,0))+INDEX(Cables!$AP:$AP,MATCH(G183,Cables!$A:$A,0))-1),1),1),1),INDEX(Cables!$AP:$AP,MATCH(G183,Cables!$A:$A,0))-1))):INDEX(Attenuation!$J:$J,(INDEX(Cables!$AO:$AO,MATCH(G183,Cables!$A:$A,0))-1+MIN(MAX(IFERROR(MATCH(LN(E183),INDEX(Attenuation!$J:$J,INDEX(Cables!$AO:$AO,MATCH(G183,Cables!$A:$A,0))):INDEX(Attenuation!$J:$J,INDEX(Cables!$AO:$AO,MATCH(G183,Cables!$A:$A,0))+INDEX(Cables!$AP:$AP,MATCH(G183,Cables!$A:$A,0))-1),1),1),1),INDEX(Cables!$AP:$AP,MATCH(G183,Cables!$A:$A,0))-1))+1)))*0.3048)</f>
        <v>0.85343999999999998</v>
      </c>
      <c r="J183" s="44">
        <f t="shared" si="2"/>
        <v>7.7990251218597706E-2</v>
      </c>
      <c r="K183" s="40" t="str">
        <f>IF(G183="","Doğrulanmadı",IF(ABS(J183)&lt;=0.1,"Uyumlu (±%10)",IF(ABS(J183)&lt;=0.25,"Fark %10-25","Fark &gt;%25"))&amp;IF(OR(D183&lt;INDEX(Cables!$AQ:$AQ,MATCH(G183,Cables!$A:$A,0)),E183&gt;INDEX(Cables!$AR:$AR,MATCH(G183,Cables!$A:$A,0)))," · ekstrapolasyon",""))</f>
        <v>Uyumlu (±%10)</v>
      </c>
    </row>
    <row r="184" spans="1:11" x14ac:dyDescent="0.25">
      <c r="A184" s="37" t="s">
        <v>3021</v>
      </c>
      <c r="B184" s="40" t="str">
        <f>INDEX(Legacy_Index!$D:$D,MATCH(A184,Legacy_Index!$A:$A,0))</f>
        <v>3/8" Belden H1000</v>
      </c>
      <c r="C184" s="37" t="s">
        <v>3113</v>
      </c>
      <c r="D184" s="37">
        <v>70</v>
      </c>
      <c r="E184" s="37">
        <v>100</v>
      </c>
      <c r="F184" s="37">
        <v>1.2</v>
      </c>
      <c r="G184" s="40" t="str">
        <f>IF(INDEX(Legacy_Index!$G:$G,MATCH(A184,Legacy_Index!$A:$A,0))="","",INDEX(Legacy_Index!$G:$G,MATCH(A184,Legacy_Index!$A:$A,0)))</f>
        <v>BEL-H1000C1</v>
      </c>
      <c r="H184" s="43">
        <f>IF(G184="","",EXP(FORECAST(LN(D184),INDEX(Attenuation!$K:$K,(INDEX(Cables!$AO:$AO,MATCH(G184,Cables!$A:$A,0))-1+MIN(MAX(IFERROR(MATCH(LN(D184),INDEX(Attenuation!$J:$J,INDEX(Cables!$AO:$AO,MATCH(G184,Cables!$A:$A,0))):INDEX(Attenuation!$J:$J,INDEX(Cables!$AO:$AO,MATCH(G184,Cables!$A:$A,0))+INDEX(Cables!$AP:$AP,MATCH(G184,Cables!$A:$A,0))-1),1),1),1),INDEX(Cables!$AP:$AP,MATCH(G184,Cables!$A:$A,0))-1))):INDEX(Attenuation!$K:$K,(INDEX(Cables!$AO:$AO,MATCH(G184,Cables!$A:$A,0))-1+MIN(MAX(IFERROR(MATCH(LN(D184),INDEX(Attenuation!$J:$J,INDEX(Cables!$AO:$AO,MATCH(G184,Cables!$A:$A,0))):INDEX(Attenuation!$J:$J,INDEX(Cables!$AO:$AO,MATCH(G184,Cables!$A:$A,0))+INDEX(Cables!$AP:$AP,MATCH(G184,Cables!$A:$A,0))-1),1),1),1),INDEX(Cables!$AP:$AP,MATCH(G184,Cables!$A:$A,0))-1))+1),INDEX(Attenuation!$J:$J,(INDEX(Cables!$AO:$AO,MATCH(G184,Cables!$A:$A,0))-1+MIN(MAX(IFERROR(MATCH(LN(D184),INDEX(Attenuation!$J:$J,INDEX(Cables!$AO:$AO,MATCH(G184,Cables!$A:$A,0))):INDEX(Attenuation!$J:$J,INDEX(Cables!$AO:$AO,MATCH(G184,Cables!$A:$A,0))+INDEX(Cables!$AP:$AP,MATCH(G184,Cables!$A:$A,0))-1),1),1),1),INDEX(Cables!$AP:$AP,MATCH(G184,Cables!$A:$A,0))-1))):INDEX(Attenuation!$J:$J,(INDEX(Cables!$AO:$AO,MATCH(G184,Cables!$A:$A,0))-1+MIN(MAX(IFERROR(MATCH(LN(D184),INDEX(Attenuation!$J:$J,INDEX(Cables!$AO:$AO,MATCH(G184,Cables!$A:$A,0))):INDEX(Attenuation!$J:$J,INDEX(Cables!$AO:$AO,MATCH(G184,Cables!$A:$A,0))+INDEX(Cables!$AP:$AP,MATCH(G184,Cables!$A:$A,0))-1),1),1),1),INDEX(Cables!$AP:$AP,MATCH(G184,Cables!$A:$A,0))-1))+1)))*0.3048)</f>
        <v>1.0147675265500193</v>
      </c>
      <c r="I184" s="43">
        <f>IF(G184="","",EXP(FORECAST(LN(E184),INDEX(Attenuation!$K:$K,(INDEX(Cables!$AO:$AO,MATCH(G184,Cables!$A:$A,0))-1+MIN(MAX(IFERROR(MATCH(LN(E184),INDEX(Attenuation!$J:$J,INDEX(Cables!$AO:$AO,MATCH(G184,Cables!$A:$A,0))):INDEX(Attenuation!$J:$J,INDEX(Cables!$AO:$AO,MATCH(G184,Cables!$A:$A,0))+INDEX(Cables!$AP:$AP,MATCH(G184,Cables!$A:$A,0))-1),1),1),1),INDEX(Cables!$AP:$AP,MATCH(G184,Cables!$A:$A,0))-1))):INDEX(Attenuation!$K:$K,(INDEX(Cables!$AO:$AO,MATCH(G184,Cables!$A:$A,0))-1+MIN(MAX(IFERROR(MATCH(LN(E184),INDEX(Attenuation!$J:$J,INDEX(Cables!$AO:$AO,MATCH(G184,Cables!$A:$A,0))):INDEX(Attenuation!$J:$J,INDEX(Cables!$AO:$AO,MATCH(G184,Cables!$A:$A,0))+INDEX(Cables!$AP:$AP,MATCH(G184,Cables!$A:$A,0))-1),1),1),1),INDEX(Cables!$AP:$AP,MATCH(G184,Cables!$A:$A,0))-1))+1),INDEX(Attenuation!$J:$J,(INDEX(Cables!$AO:$AO,MATCH(G184,Cables!$A:$A,0))-1+MIN(MAX(IFERROR(MATCH(LN(E184),INDEX(Attenuation!$J:$J,INDEX(Cables!$AO:$AO,MATCH(G184,Cables!$A:$A,0))):INDEX(Attenuation!$J:$J,INDEX(Cables!$AO:$AO,MATCH(G184,Cables!$A:$A,0))+INDEX(Cables!$AP:$AP,MATCH(G184,Cables!$A:$A,0))-1),1),1),1),INDEX(Cables!$AP:$AP,MATCH(G184,Cables!$A:$A,0))-1))):INDEX(Attenuation!$J:$J,(INDEX(Cables!$AO:$AO,MATCH(G184,Cables!$A:$A,0))-1+MIN(MAX(IFERROR(MATCH(LN(E184),INDEX(Attenuation!$J:$J,INDEX(Cables!$AO:$AO,MATCH(G184,Cables!$A:$A,0))):INDEX(Attenuation!$J:$J,INDEX(Cables!$AO:$AO,MATCH(G184,Cables!$A:$A,0))+INDEX(Cables!$AP:$AP,MATCH(G184,Cables!$A:$A,0))-1),1),1),1),INDEX(Cables!$AP:$AP,MATCH(G184,Cables!$A:$A,0))-1))+1)))*0.3048)</f>
        <v>1.2192000000000003</v>
      </c>
      <c r="J184" s="44">
        <f t="shared" si="2"/>
        <v>0</v>
      </c>
      <c r="K184" s="40" t="str">
        <f>IF(G184="","Doğrulanmadı",IF(ABS(J184)&lt;=0.1,"Uyumlu (±%10)",IF(ABS(J184)&lt;=0.25,"Fark %10-25","Fark &gt;%25"))&amp;IF(OR(D184&lt;INDEX(Cables!$AQ:$AQ,MATCH(G184,Cables!$A:$A,0)),E184&gt;INDEX(Cables!$AR:$AR,MATCH(G184,Cables!$A:$A,0)))," · ekstrapolasyon",""))</f>
        <v>Uyumlu (±%10)</v>
      </c>
    </row>
    <row r="185" spans="1:11" x14ac:dyDescent="0.25">
      <c r="A185" s="37" t="s">
        <v>3021</v>
      </c>
      <c r="B185" s="40" t="str">
        <f>INDEX(Legacy_Index!$D:$D,MATCH(A185,Legacy_Index!$A:$A,0))</f>
        <v>3/8" Belden H1000</v>
      </c>
      <c r="C185" s="37" t="s">
        <v>3114</v>
      </c>
      <c r="D185" s="37">
        <v>148</v>
      </c>
      <c r="E185" s="37">
        <v>174</v>
      </c>
      <c r="F185" s="37">
        <v>1.6</v>
      </c>
      <c r="G185" s="40" t="str">
        <f>IF(INDEX(Legacy_Index!$G:$G,MATCH(A185,Legacy_Index!$A:$A,0))="","",INDEX(Legacy_Index!$G:$G,MATCH(A185,Legacy_Index!$A:$A,0)))</f>
        <v>BEL-H1000C1</v>
      </c>
      <c r="H185" s="43">
        <f>IF(G185="","",EXP(FORECAST(LN(D185),INDEX(Attenuation!$K:$K,(INDEX(Cables!$AO:$AO,MATCH(G185,Cables!$A:$A,0))-1+MIN(MAX(IFERROR(MATCH(LN(D185),INDEX(Attenuation!$J:$J,INDEX(Cables!$AO:$AO,MATCH(G185,Cables!$A:$A,0))):INDEX(Attenuation!$J:$J,INDEX(Cables!$AO:$AO,MATCH(G185,Cables!$A:$A,0))+INDEX(Cables!$AP:$AP,MATCH(G185,Cables!$A:$A,0))-1),1),1),1),INDEX(Cables!$AP:$AP,MATCH(G185,Cables!$A:$A,0))-1))):INDEX(Attenuation!$K:$K,(INDEX(Cables!$AO:$AO,MATCH(G185,Cables!$A:$A,0))-1+MIN(MAX(IFERROR(MATCH(LN(D185),INDEX(Attenuation!$J:$J,INDEX(Cables!$AO:$AO,MATCH(G185,Cables!$A:$A,0))):INDEX(Attenuation!$J:$J,INDEX(Cables!$AO:$AO,MATCH(G185,Cables!$A:$A,0))+INDEX(Cables!$AP:$AP,MATCH(G185,Cables!$A:$A,0))-1),1),1),1),INDEX(Cables!$AP:$AP,MATCH(G185,Cables!$A:$A,0))-1))+1),INDEX(Attenuation!$J:$J,(INDEX(Cables!$AO:$AO,MATCH(G185,Cables!$A:$A,0))-1+MIN(MAX(IFERROR(MATCH(LN(D185),INDEX(Attenuation!$J:$J,INDEX(Cables!$AO:$AO,MATCH(G185,Cables!$A:$A,0))):INDEX(Attenuation!$J:$J,INDEX(Cables!$AO:$AO,MATCH(G185,Cables!$A:$A,0))+INDEX(Cables!$AP:$AP,MATCH(G185,Cables!$A:$A,0))-1),1),1),1),INDEX(Cables!$AP:$AP,MATCH(G185,Cables!$A:$A,0))-1))):INDEX(Attenuation!$J:$J,(INDEX(Cables!$AO:$AO,MATCH(G185,Cables!$A:$A,0))-1+MIN(MAX(IFERROR(MATCH(LN(D185),INDEX(Attenuation!$J:$J,INDEX(Cables!$AO:$AO,MATCH(G185,Cables!$A:$A,0))):INDEX(Attenuation!$J:$J,INDEX(Cables!$AO:$AO,MATCH(G185,Cables!$A:$A,0))+INDEX(Cables!$AP:$AP,MATCH(G185,Cables!$A:$A,0))-1),1),1),1),INDEX(Cables!$AP:$AP,MATCH(G185,Cables!$A:$A,0))-1))+1)))*0.3048)</f>
        <v>1.4896087231486541</v>
      </c>
      <c r="I185" s="43">
        <f>IF(G185="","",EXP(FORECAST(LN(E185),INDEX(Attenuation!$K:$K,(INDEX(Cables!$AO:$AO,MATCH(G185,Cables!$A:$A,0))-1+MIN(MAX(IFERROR(MATCH(LN(E185),INDEX(Attenuation!$J:$J,INDEX(Cables!$AO:$AO,MATCH(G185,Cables!$A:$A,0))):INDEX(Attenuation!$J:$J,INDEX(Cables!$AO:$AO,MATCH(G185,Cables!$A:$A,0))+INDEX(Cables!$AP:$AP,MATCH(G185,Cables!$A:$A,0))-1),1),1),1),INDEX(Cables!$AP:$AP,MATCH(G185,Cables!$A:$A,0))-1))):INDEX(Attenuation!$K:$K,(INDEX(Cables!$AO:$AO,MATCH(G185,Cables!$A:$A,0))-1+MIN(MAX(IFERROR(MATCH(LN(E185),INDEX(Attenuation!$J:$J,INDEX(Cables!$AO:$AO,MATCH(G185,Cables!$A:$A,0))):INDEX(Attenuation!$J:$J,INDEX(Cables!$AO:$AO,MATCH(G185,Cables!$A:$A,0))+INDEX(Cables!$AP:$AP,MATCH(G185,Cables!$A:$A,0))-1),1),1),1),INDEX(Cables!$AP:$AP,MATCH(G185,Cables!$A:$A,0))-1))+1),INDEX(Attenuation!$J:$J,(INDEX(Cables!$AO:$AO,MATCH(G185,Cables!$A:$A,0))-1+MIN(MAX(IFERROR(MATCH(LN(E185),INDEX(Attenuation!$J:$J,INDEX(Cables!$AO:$AO,MATCH(G185,Cables!$A:$A,0))):INDEX(Attenuation!$J:$J,INDEX(Cables!$AO:$AO,MATCH(G185,Cables!$A:$A,0))+INDEX(Cables!$AP:$AP,MATCH(G185,Cables!$A:$A,0))-1),1),1),1),INDEX(Cables!$AP:$AP,MATCH(G185,Cables!$A:$A,0))-1))):INDEX(Attenuation!$J:$J,(INDEX(Cables!$AO:$AO,MATCH(G185,Cables!$A:$A,0))-1+MIN(MAX(IFERROR(MATCH(LN(E185),INDEX(Attenuation!$J:$J,INDEX(Cables!$AO:$AO,MATCH(G185,Cables!$A:$A,0))):INDEX(Attenuation!$J:$J,INDEX(Cables!$AO:$AO,MATCH(G185,Cables!$A:$A,0))+INDEX(Cables!$AP:$AP,MATCH(G185,Cables!$A:$A,0))-1),1),1),1),INDEX(Cables!$AP:$AP,MATCH(G185,Cables!$A:$A,0))-1))+1)))*0.3048)</f>
        <v>1.61802958997513</v>
      </c>
      <c r="J185" s="44">
        <f t="shared" si="2"/>
        <v>0</v>
      </c>
      <c r="K185" s="40" t="str">
        <f>IF(G185="","Doğrulanmadı",IF(ABS(J185)&lt;=0.1,"Uyumlu (±%10)",IF(ABS(J185)&lt;=0.25,"Fark %10-25","Fark &gt;%25"))&amp;IF(OR(D185&lt;INDEX(Cables!$AQ:$AQ,MATCH(G185,Cables!$A:$A,0)),E185&gt;INDEX(Cables!$AR:$AR,MATCH(G185,Cables!$A:$A,0)))," · ekstrapolasyon",""))</f>
        <v>Uyumlu (±%10)</v>
      </c>
    </row>
    <row r="186" spans="1:11" x14ac:dyDescent="0.25">
      <c r="A186" s="37" t="s">
        <v>3021</v>
      </c>
      <c r="B186" s="40" t="str">
        <f>INDEX(Legacy_Index!$D:$D,MATCH(A186,Legacy_Index!$A:$A,0))</f>
        <v>3/8" Belden H1000</v>
      </c>
      <c r="C186" s="37" t="s">
        <v>3119</v>
      </c>
      <c r="D186" s="37">
        <v>220</v>
      </c>
      <c r="E186" s="37">
        <v>220</v>
      </c>
      <c r="F186" s="37">
        <v>2</v>
      </c>
      <c r="G186" s="40" t="str">
        <f>IF(INDEX(Legacy_Index!$G:$G,MATCH(A186,Legacy_Index!$A:$A,0))="","",INDEX(Legacy_Index!$G:$G,MATCH(A186,Legacy_Index!$A:$A,0)))</f>
        <v>BEL-H1000C1</v>
      </c>
      <c r="H186" s="43">
        <f>IF(G186="","",EXP(FORECAST(LN(D186),INDEX(Attenuation!$K:$K,(INDEX(Cables!$AO:$AO,MATCH(G186,Cables!$A:$A,0))-1+MIN(MAX(IFERROR(MATCH(LN(D186),INDEX(Attenuation!$J:$J,INDEX(Cables!$AO:$AO,MATCH(G186,Cables!$A:$A,0))):INDEX(Attenuation!$J:$J,INDEX(Cables!$AO:$AO,MATCH(G186,Cables!$A:$A,0))+INDEX(Cables!$AP:$AP,MATCH(G186,Cables!$A:$A,0))-1),1),1),1),INDEX(Cables!$AP:$AP,MATCH(G186,Cables!$A:$A,0))-1))):INDEX(Attenuation!$K:$K,(INDEX(Cables!$AO:$AO,MATCH(G186,Cables!$A:$A,0))-1+MIN(MAX(IFERROR(MATCH(LN(D186),INDEX(Attenuation!$J:$J,INDEX(Cables!$AO:$AO,MATCH(G186,Cables!$A:$A,0))):INDEX(Attenuation!$J:$J,INDEX(Cables!$AO:$AO,MATCH(G186,Cables!$A:$A,0))+INDEX(Cables!$AP:$AP,MATCH(G186,Cables!$A:$A,0))-1),1),1),1),INDEX(Cables!$AP:$AP,MATCH(G186,Cables!$A:$A,0))-1))+1),INDEX(Attenuation!$J:$J,(INDEX(Cables!$AO:$AO,MATCH(G186,Cables!$A:$A,0))-1+MIN(MAX(IFERROR(MATCH(LN(D186),INDEX(Attenuation!$J:$J,INDEX(Cables!$AO:$AO,MATCH(G186,Cables!$A:$A,0))):INDEX(Attenuation!$J:$J,INDEX(Cables!$AO:$AO,MATCH(G186,Cables!$A:$A,0))+INDEX(Cables!$AP:$AP,MATCH(G186,Cables!$A:$A,0))-1),1),1),1),INDEX(Cables!$AP:$AP,MATCH(G186,Cables!$A:$A,0))-1))):INDEX(Attenuation!$J:$J,(INDEX(Cables!$AO:$AO,MATCH(G186,Cables!$A:$A,0))-1+MIN(MAX(IFERROR(MATCH(LN(D186),INDEX(Attenuation!$J:$J,INDEX(Cables!$AO:$AO,MATCH(G186,Cables!$A:$A,0))):INDEX(Attenuation!$J:$J,INDEX(Cables!$AO:$AO,MATCH(G186,Cables!$A:$A,0))+INDEX(Cables!$AP:$AP,MATCH(G186,Cables!$A:$A,0))-1),1),1),1),INDEX(Cables!$AP:$AP,MATCH(G186,Cables!$A:$A,0))-1))+1)))*0.3048)</f>
        <v>1.8325085977338829</v>
      </c>
      <c r="I186" s="43">
        <f>IF(G186="","",EXP(FORECAST(LN(E186),INDEX(Attenuation!$K:$K,(INDEX(Cables!$AO:$AO,MATCH(G186,Cables!$A:$A,0))-1+MIN(MAX(IFERROR(MATCH(LN(E186),INDEX(Attenuation!$J:$J,INDEX(Cables!$AO:$AO,MATCH(G186,Cables!$A:$A,0))):INDEX(Attenuation!$J:$J,INDEX(Cables!$AO:$AO,MATCH(G186,Cables!$A:$A,0))+INDEX(Cables!$AP:$AP,MATCH(G186,Cables!$A:$A,0))-1),1),1),1),INDEX(Cables!$AP:$AP,MATCH(G186,Cables!$A:$A,0))-1))):INDEX(Attenuation!$K:$K,(INDEX(Cables!$AO:$AO,MATCH(G186,Cables!$A:$A,0))-1+MIN(MAX(IFERROR(MATCH(LN(E186),INDEX(Attenuation!$J:$J,INDEX(Cables!$AO:$AO,MATCH(G186,Cables!$A:$A,0))):INDEX(Attenuation!$J:$J,INDEX(Cables!$AO:$AO,MATCH(G186,Cables!$A:$A,0))+INDEX(Cables!$AP:$AP,MATCH(G186,Cables!$A:$A,0))-1),1),1),1),INDEX(Cables!$AP:$AP,MATCH(G186,Cables!$A:$A,0))-1))+1),INDEX(Attenuation!$J:$J,(INDEX(Cables!$AO:$AO,MATCH(G186,Cables!$A:$A,0))-1+MIN(MAX(IFERROR(MATCH(LN(E186),INDEX(Attenuation!$J:$J,INDEX(Cables!$AO:$AO,MATCH(G186,Cables!$A:$A,0))):INDEX(Attenuation!$J:$J,INDEX(Cables!$AO:$AO,MATCH(G186,Cables!$A:$A,0))+INDEX(Cables!$AP:$AP,MATCH(G186,Cables!$A:$A,0))-1),1),1),1),INDEX(Cables!$AP:$AP,MATCH(G186,Cables!$A:$A,0))-1))):INDEX(Attenuation!$J:$J,(INDEX(Cables!$AO:$AO,MATCH(G186,Cables!$A:$A,0))-1+MIN(MAX(IFERROR(MATCH(LN(E186),INDEX(Attenuation!$J:$J,INDEX(Cables!$AO:$AO,MATCH(G186,Cables!$A:$A,0))):INDEX(Attenuation!$J:$J,INDEX(Cables!$AO:$AO,MATCH(G186,Cables!$A:$A,0))+INDEX(Cables!$AP:$AP,MATCH(G186,Cables!$A:$A,0))-1),1),1),1),INDEX(Cables!$AP:$AP,MATCH(G186,Cables!$A:$A,0))-1))+1)))*0.3048)</f>
        <v>1.8325085977338829</v>
      </c>
      <c r="J186" s="44">
        <f t="shared" si="2"/>
        <v>9.1400063537622867E-2</v>
      </c>
      <c r="K186" s="40" t="str">
        <f>IF(G186="","Doğrulanmadı",IF(ABS(J186)&lt;=0.1,"Uyumlu (±%10)",IF(ABS(J186)&lt;=0.25,"Fark %10-25","Fark &gt;%25"))&amp;IF(OR(D186&lt;INDEX(Cables!$AQ:$AQ,MATCH(G186,Cables!$A:$A,0)),E186&gt;INDEX(Cables!$AR:$AR,MATCH(G186,Cables!$A:$A,0)))," · ekstrapolasyon",""))</f>
        <v>Uyumlu (±%10)</v>
      </c>
    </row>
    <row r="187" spans="1:11" x14ac:dyDescent="0.25">
      <c r="A187" s="37" t="s">
        <v>3021</v>
      </c>
      <c r="B187" s="40" t="str">
        <f>INDEX(Legacy_Index!$D:$D,MATCH(A187,Legacy_Index!$A:$A,0))</f>
        <v>3/8" Belden H1000</v>
      </c>
      <c r="C187" s="37" t="s">
        <v>3115</v>
      </c>
      <c r="D187" s="37">
        <v>400</v>
      </c>
      <c r="E187" s="37">
        <v>520</v>
      </c>
      <c r="F187" s="37">
        <v>3.05</v>
      </c>
      <c r="G187" s="40" t="str">
        <f>IF(INDEX(Legacy_Index!$G:$G,MATCH(A187,Legacy_Index!$A:$A,0))="","",INDEX(Legacy_Index!$G:$G,MATCH(A187,Legacy_Index!$A:$A,0)))</f>
        <v>BEL-H1000C1</v>
      </c>
      <c r="H187" s="43">
        <f>IF(G187="","",EXP(FORECAST(LN(D187),INDEX(Attenuation!$K:$K,(INDEX(Cables!$AO:$AO,MATCH(G187,Cables!$A:$A,0))-1+MIN(MAX(IFERROR(MATCH(LN(D187),INDEX(Attenuation!$J:$J,INDEX(Cables!$AO:$AO,MATCH(G187,Cables!$A:$A,0))):INDEX(Attenuation!$J:$J,INDEX(Cables!$AO:$AO,MATCH(G187,Cables!$A:$A,0))+INDEX(Cables!$AP:$AP,MATCH(G187,Cables!$A:$A,0))-1),1),1),1),INDEX(Cables!$AP:$AP,MATCH(G187,Cables!$A:$A,0))-1))):INDEX(Attenuation!$K:$K,(INDEX(Cables!$AO:$AO,MATCH(G187,Cables!$A:$A,0))-1+MIN(MAX(IFERROR(MATCH(LN(D187),INDEX(Attenuation!$J:$J,INDEX(Cables!$AO:$AO,MATCH(G187,Cables!$A:$A,0))):INDEX(Attenuation!$J:$J,INDEX(Cables!$AO:$AO,MATCH(G187,Cables!$A:$A,0))+INDEX(Cables!$AP:$AP,MATCH(G187,Cables!$A:$A,0))-1),1),1),1),INDEX(Cables!$AP:$AP,MATCH(G187,Cables!$A:$A,0))-1))+1),INDEX(Attenuation!$J:$J,(INDEX(Cables!$AO:$AO,MATCH(G187,Cables!$A:$A,0))-1+MIN(MAX(IFERROR(MATCH(LN(D187),INDEX(Attenuation!$J:$J,INDEX(Cables!$AO:$AO,MATCH(G187,Cables!$A:$A,0))):INDEX(Attenuation!$J:$J,INDEX(Cables!$AO:$AO,MATCH(G187,Cables!$A:$A,0))+INDEX(Cables!$AP:$AP,MATCH(G187,Cables!$A:$A,0))-1),1),1),1),INDEX(Cables!$AP:$AP,MATCH(G187,Cables!$A:$A,0))-1))):INDEX(Attenuation!$J:$J,(INDEX(Cables!$AO:$AO,MATCH(G187,Cables!$A:$A,0))-1+MIN(MAX(IFERROR(MATCH(LN(D187),INDEX(Attenuation!$J:$J,INDEX(Cables!$AO:$AO,MATCH(G187,Cables!$A:$A,0))):INDEX(Attenuation!$J:$J,INDEX(Cables!$AO:$AO,MATCH(G187,Cables!$A:$A,0))+INDEX(Cables!$AP:$AP,MATCH(G187,Cables!$A:$A,0))-1),1),1),1),INDEX(Cables!$AP:$AP,MATCH(G187,Cables!$A:$A,0))-1))+1)))*0.3048)</f>
        <v>2.5603200000000004</v>
      </c>
      <c r="I187" s="43">
        <f>IF(G187="","",EXP(FORECAST(LN(E187),INDEX(Attenuation!$K:$K,(INDEX(Cables!$AO:$AO,MATCH(G187,Cables!$A:$A,0))-1+MIN(MAX(IFERROR(MATCH(LN(E187),INDEX(Attenuation!$J:$J,INDEX(Cables!$AO:$AO,MATCH(G187,Cables!$A:$A,0))):INDEX(Attenuation!$J:$J,INDEX(Cables!$AO:$AO,MATCH(G187,Cables!$A:$A,0))+INDEX(Cables!$AP:$AP,MATCH(G187,Cables!$A:$A,0))-1),1),1),1),INDEX(Cables!$AP:$AP,MATCH(G187,Cables!$A:$A,0))-1))):INDEX(Attenuation!$K:$K,(INDEX(Cables!$AO:$AO,MATCH(G187,Cables!$A:$A,0))-1+MIN(MAX(IFERROR(MATCH(LN(E187),INDEX(Attenuation!$J:$J,INDEX(Cables!$AO:$AO,MATCH(G187,Cables!$A:$A,0))):INDEX(Attenuation!$J:$J,INDEX(Cables!$AO:$AO,MATCH(G187,Cables!$A:$A,0))+INDEX(Cables!$AP:$AP,MATCH(G187,Cables!$A:$A,0))-1),1),1),1),INDEX(Cables!$AP:$AP,MATCH(G187,Cables!$A:$A,0))-1))+1),INDEX(Attenuation!$J:$J,(INDEX(Cables!$AO:$AO,MATCH(G187,Cables!$A:$A,0))-1+MIN(MAX(IFERROR(MATCH(LN(E187),INDEX(Attenuation!$J:$J,INDEX(Cables!$AO:$AO,MATCH(G187,Cables!$A:$A,0))):INDEX(Attenuation!$J:$J,INDEX(Cables!$AO:$AO,MATCH(G187,Cables!$A:$A,0))+INDEX(Cables!$AP:$AP,MATCH(G187,Cables!$A:$A,0))-1),1),1),1),INDEX(Cables!$AP:$AP,MATCH(G187,Cables!$A:$A,0))-1))):INDEX(Attenuation!$J:$J,(INDEX(Cables!$AO:$AO,MATCH(G187,Cables!$A:$A,0))-1+MIN(MAX(IFERROR(MATCH(LN(E187),INDEX(Attenuation!$J:$J,INDEX(Cables!$AO:$AO,MATCH(G187,Cables!$A:$A,0))):INDEX(Attenuation!$J:$J,INDEX(Cables!$AO:$AO,MATCH(G187,Cables!$A:$A,0))+INDEX(Cables!$AP:$AP,MATCH(G187,Cables!$A:$A,0))-1),1),1),1),INDEX(Cables!$AP:$AP,MATCH(G187,Cables!$A:$A,0))-1))+1)))*0.3048)</f>
        <v>2.9580247303305915</v>
      </c>
      <c r="J187" s="44">
        <f t="shared" si="2"/>
        <v>3.109347556371822E-2</v>
      </c>
      <c r="K187" s="40" t="str">
        <f>IF(G187="","Doğrulanmadı",IF(ABS(J187)&lt;=0.1,"Uyumlu (±%10)",IF(ABS(J187)&lt;=0.25,"Fark %10-25","Fark &gt;%25"))&amp;IF(OR(D187&lt;INDEX(Cables!$AQ:$AQ,MATCH(G187,Cables!$A:$A,0)),E187&gt;INDEX(Cables!$AR:$AR,MATCH(G187,Cables!$A:$A,0)))," · ekstrapolasyon",""))</f>
        <v>Uyumlu (±%10)</v>
      </c>
    </row>
    <row r="188" spans="1:11" x14ac:dyDescent="0.25">
      <c r="A188" s="37" t="s">
        <v>3021</v>
      </c>
      <c r="B188" s="40" t="str">
        <f>INDEX(Legacy_Index!$D:$D,MATCH(A188,Legacy_Index!$A:$A,0))</f>
        <v>3/8" Belden H1000</v>
      </c>
      <c r="C188" s="37" t="s">
        <v>3116</v>
      </c>
      <c r="D188" s="37">
        <v>700</v>
      </c>
      <c r="E188" s="37">
        <v>960</v>
      </c>
      <c r="F188" s="37">
        <v>4.3</v>
      </c>
      <c r="G188" s="40" t="str">
        <f>IF(INDEX(Legacy_Index!$G:$G,MATCH(A188,Legacy_Index!$A:$A,0))="","",INDEX(Legacy_Index!$G:$G,MATCH(A188,Legacy_Index!$A:$A,0)))</f>
        <v>BEL-H1000C1</v>
      </c>
      <c r="H188" s="43">
        <f>IF(G188="","",EXP(FORECAST(LN(D188),INDEX(Attenuation!$K:$K,(INDEX(Cables!$AO:$AO,MATCH(G188,Cables!$A:$A,0))-1+MIN(MAX(IFERROR(MATCH(LN(D188),INDEX(Attenuation!$J:$J,INDEX(Cables!$AO:$AO,MATCH(G188,Cables!$A:$A,0))):INDEX(Attenuation!$J:$J,INDEX(Cables!$AO:$AO,MATCH(G188,Cables!$A:$A,0))+INDEX(Cables!$AP:$AP,MATCH(G188,Cables!$A:$A,0))-1),1),1),1),INDEX(Cables!$AP:$AP,MATCH(G188,Cables!$A:$A,0))-1))):INDEX(Attenuation!$K:$K,(INDEX(Cables!$AO:$AO,MATCH(G188,Cables!$A:$A,0))-1+MIN(MAX(IFERROR(MATCH(LN(D188),INDEX(Attenuation!$J:$J,INDEX(Cables!$AO:$AO,MATCH(G188,Cables!$A:$A,0))):INDEX(Attenuation!$J:$J,INDEX(Cables!$AO:$AO,MATCH(G188,Cables!$A:$A,0))+INDEX(Cables!$AP:$AP,MATCH(G188,Cables!$A:$A,0))-1),1),1),1),INDEX(Cables!$AP:$AP,MATCH(G188,Cables!$A:$A,0))-1))+1),INDEX(Attenuation!$J:$J,(INDEX(Cables!$AO:$AO,MATCH(G188,Cables!$A:$A,0))-1+MIN(MAX(IFERROR(MATCH(LN(D188),INDEX(Attenuation!$J:$J,INDEX(Cables!$AO:$AO,MATCH(G188,Cables!$A:$A,0))):INDEX(Attenuation!$J:$J,INDEX(Cables!$AO:$AO,MATCH(G188,Cables!$A:$A,0))+INDEX(Cables!$AP:$AP,MATCH(G188,Cables!$A:$A,0))-1),1),1),1),INDEX(Cables!$AP:$AP,MATCH(G188,Cables!$A:$A,0))-1))):INDEX(Attenuation!$J:$J,(INDEX(Cables!$AO:$AO,MATCH(G188,Cables!$A:$A,0))-1+MIN(MAX(IFERROR(MATCH(LN(D188),INDEX(Attenuation!$J:$J,INDEX(Cables!$AO:$AO,MATCH(G188,Cables!$A:$A,0))):INDEX(Attenuation!$J:$J,INDEX(Cables!$AO:$AO,MATCH(G188,Cables!$A:$A,0))+INDEX(Cables!$AP:$AP,MATCH(G188,Cables!$A:$A,0))-1),1),1),1),INDEX(Cables!$AP:$AP,MATCH(G188,Cables!$A:$A,0))-1))+1)))*0.3048)</f>
        <v>3.483571525461882</v>
      </c>
      <c r="I188" s="43">
        <f>IF(G188="","",EXP(FORECAST(LN(E188),INDEX(Attenuation!$K:$K,(INDEX(Cables!$AO:$AO,MATCH(G188,Cables!$A:$A,0))-1+MIN(MAX(IFERROR(MATCH(LN(E188),INDEX(Attenuation!$J:$J,INDEX(Cables!$AO:$AO,MATCH(G188,Cables!$A:$A,0))):INDEX(Attenuation!$J:$J,INDEX(Cables!$AO:$AO,MATCH(G188,Cables!$A:$A,0))+INDEX(Cables!$AP:$AP,MATCH(G188,Cables!$A:$A,0))-1),1),1),1),INDEX(Cables!$AP:$AP,MATCH(G188,Cables!$A:$A,0))-1))):INDEX(Attenuation!$K:$K,(INDEX(Cables!$AO:$AO,MATCH(G188,Cables!$A:$A,0))-1+MIN(MAX(IFERROR(MATCH(LN(E188),INDEX(Attenuation!$J:$J,INDEX(Cables!$AO:$AO,MATCH(G188,Cables!$A:$A,0))):INDEX(Attenuation!$J:$J,INDEX(Cables!$AO:$AO,MATCH(G188,Cables!$A:$A,0))+INDEX(Cables!$AP:$AP,MATCH(G188,Cables!$A:$A,0))-1),1),1),1),INDEX(Cables!$AP:$AP,MATCH(G188,Cables!$A:$A,0))-1))+1),INDEX(Attenuation!$J:$J,(INDEX(Cables!$AO:$AO,MATCH(G188,Cables!$A:$A,0))-1+MIN(MAX(IFERROR(MATCH(LN(E188),INDEX(Attenuation!$J:$J,INDEX(Cables!$AO:$AO,MATCH(G188,Cables!$A:$A,0))):INDEX(Attenuation!$J:$J,INDEX(Cables!$AO:$AO,MATCH(G188,Cables!$A:$A,0))+INDEX(Cables!$AP:$AP,MATCH(G188,Cables!$A:$A,0))-1),1),1),1),INDEX(Cables!$AP:$AP,MATCH(G188,Cables!$A:$A,0))-1))):INDEX(Attenuation!$J:$J,(INDEX(Cables!$AO:$AO,MATCH(G188,Cables!$A:$A,0))-1+MIN(MAX(IFERROR(MATCH(LN(E188),INDEX(Attenuation!$J:$J,INDEX(Cables!$AO:$AO,MATCH(G188,Cables!$A:$A,0))):INDEX(Attenuation!$J:$J,INDEX(Cables!$AO:$AO,MATCH(G188,Cables!$A:$A,0))+INDEX(Cables!$AP:$AP,MATCH(G188,Cables!$A:$A,0))-1),1),1),1),INDEX(Cables!$AP:$AP,MATCH(G188,Cables!$A:$A,0))-1))+1)))*0.3048)</f>
        <v>4.1673266951320018</v>
      </c>
      <c r="J188" s="44">
        <f t="shared" si="2"/>
        <v>3.1836550041295819E-2</v>
      </c>
      <c r="K188" s="40" t="str">
        <f>IF(G188="","Doğrulanmadı",IF(ABS(J188)&lt;=0.1,"Uyumlu (±%10)",IF(ABS(J188)&lt;=0.25,"Fark %10-25","Fark &gt;%25"))&amp;IF(OR(D188&lt;INDEX(Cables!$AQ:$AQ,MATCH(G188,Cables!$A:$A,0)),E188&gt;INDEX(Cables!$AR:$AR,MATCH(G188,Cables!$A:$A,0)))," · ekstrapolasyon",""))</f>
        <v>Uyumlu (±%10)</v>
      </c>
    </row>
    <row r="189" spans="1:11" x14ac:dyDescent="0.25">
      <c r="A189" s="37" t="s">
        <v>3021</v>
      </c>
      <c r="B189" s="40" t="str">
        <f>INDEX(Legacy_Index!$D:$D,MATCH(A189,Legacy_Index!$A:$A,0))</f>
        <v>3/8" Belden H1000</v>
      </c>
      <c r="C189" s="37" t="s">
        <v>3120</v>
      </c>
      <c r="D189" s="37">
        <v>1200</v>
      </c>
      <c r="E189" s="37">
        <v>1300</v>
      </c>
      <c r="F189" s="37">
        <v>4.75</v>
      </c>
      <c r="G189" s="40" t="str">
        <f>IF(INDEX(Legacy_Index!$G:$G,MATCH(A189,Legacy_Index!$A:$A,0))="","",INDEX(Legacy_Index!$G:$G,MATCH(A189,Legacy_Index!$A:$A,0)))</f>
        <v>BEL-H1000C1</v>
      </c>
      <c r="H189" s="43">
        <f>IF(G189="","",EXP(FORECAST(LN(D189),INDEX(Attenuation!$K:$K,(INDEX(Cables!$AO:$AO,MATCH(G189,Cables!$A:$A,0))-1+MIN(MAX(IFERROR(MATCH(LN(D189),INDEX(Attenuation!$J:$J,INDEX(Cables!$AO:$AO,MATCH(G189,Cables!$A:$A,0))):INDEX(Attenuation!$J:$J,INDEX(Cables!$AO:$AO,MATCH(G189,Cables!$A:$A,0))+INDEX(Cables!$AP:$AP,MATCH(G189,Cables!$A:$A,0))-1),1),1),1),INDEX(Cables!$AP:$AP,MATCH(G189,Cables!$A:$A,0))-1))):INDEX(Attenuation!$K:$K,(INDEX(Cables!$AO:$AO,MATCH(G189,Cables!$A:$A,0))-1+MIN(MAX(IFERROR(MATCH(LN(D189),INDEX(Attenuation!$J:$J,INDEX(Cables!$AO:$AO,MATCH(G189,Cables!$A:$A,0))):INDEX(Attenuation!$J:$J,INDEX(Cables!$AO:$AO,MATCH(G189,Cables!$A:$A,0))+INDEX(Cables!$AP:$AP,MATCH(G189,Cables!$A:$A,0))-1),1),1),1),INDEX(Cables!$AP:$AP,MATCH(G189,Cables!$A:$A,0))-1))+1),INDEX(Attenuation!$J:$J,(INDEX(Cables!$AO:$AO,MATCH(G189,Cables!$A:$A,0))-1+MIN(MAX(IFERROR(MATCH(LN(D189),INDEX(Attenuation!$J:$J,INDEX(Cables!$AO:$AO,MATCH(G189,Cables!$A:$A,0))):INDEX(Attenuation!$J:$J,INDEX(Cables!$AO:$AO,MATCH(G189,Cables!$A:$A,0))+INDEX(Cables!$AP:$AP,MATCH(G189,Cables!$A:$A,0))-1),1),1),1),INDEX(Cables!$AP:$AP,MATCH(G189,Cables!$A:$A,0))-1))):INDEX(Attenuation!$J:$J,(INDEX(Cables!$AO:$AO,MATCH(G189,Cables!$A:$A,0))-1+MIN(MAX(IFERROR(MATCH(LN(D189),INDEX(Attenuation!$J:$J,INDEX(Cables!$AO:$AO,MATCH(G189,Cables!$A:$A,0))):INDEX(Attenuation!$J:$J,INDEX(Cables!$AO:$AO,MATCH(G189,Cables!$A:$A,0))+INDEX(Cables!$AP:$AP,MATCH(G189,Cables!$A:$A,0))-1),1),1),1),INDEX(Cables!$AP:$AP,MATCH(G189,Cables!$A:$A,0))-1))+1)))*0.3048)</f>
        <v>4.749769329884761</v>
      </c>
      <c r="I189" s="43">
        <f>IF(G189="","",EXP(FORECAST(LN(E189),INDEX(Attenuation!$K:$K,(INDEX(Cables!$AO:$AO,MATCH(G189,Cables!$A:$A,0))-1+MIN(MAX(IFERROR(MATCH(LN(E189),INDEX(Attenuation!$J:$J,INDEX(Cables!$AO:$AO,MATCH(G189,Cables!$A:$A,0))):INDEX(Attenuation!$J:$J,INDEX(Cables!$AO:$AO,MATCH(G189,Cables!$A:$A,0))+INDEX(Cables!$AP:$AP,MATCH(G189,Cables!$A:$A,0))-1),1),1),1),INDEX(Cables!$AP:$AP,MATCH(G189,Cables!$A:$A,0))-1))):INDEX(Attenuation!$K:$K,(INDEX(Cables!$AO:$AO,MATCH(G189,Cables!$A:$A,0))-1+MIN(MAX(IFERROR(MATCH(LN(E189),INDEX(Attenuation!$J:$J,INDEX(Cables!$AO:$AO,MATCH(G189,Cables!$A:$A,0))):INDEX(Attenuation!$J:$J,INDEX(Cables!$AO:$AO,MATCH(G189,Cables!$A:$A,0))+INDEX(Cables!$AP:$AP,MATCH(G189,Cables!$A:$A,0))-1),1),1),1),INDEX(Cables!$AP:$AP,MATCH(G189,Cables!$A:$A,0))-1))+1),INDEX(Attenuation!$J:$J,(INDEX(Cables!$AO:$AO,MATCH(G189,Cables!$A:$A,0))-1+MIN(MAX(IFERROR(MATCH(LN(E189),INDEX(Attenuation!$J:$J,INDEX(Cables!$AO:$AO,MATCH(G189,Cables!$A:$A,0))):INDEX(Attenuation!$J:$J,INDEX(Cables!$AO:$AO,MATCH(G189,Cables!$A:$A,0))+INDEX(Cables!$AP:$AP,MATCH(G189,Cables!$A:$A,0))-1),1),1),1),INDEX(Cables!$AP:$AP,MATCH(G189,Cables!$A:$A,0))-1))):INDEX(Attenuation!$J:$J,(INDEX(Cables!$AO:$AO,MATCH(G189,Cables!$A:$A,0))-1+MIN(MAX(IFERROR(MATCH(LN(E189),INDEX(Attenuation!$J:$J,INDEX(Cables!$AO:$AO,MATCH(G189,Cables!$A:$A,0))):INDEX(Attenuation!$J:$J,INDEX(Cables!$AO:$AO,MATCH(G189,Cables!$A:$A,0))+INDEX(Cables!$AP:$AP,MATCH(G189,Cables!$A:$A,0))-1),1),1),1),INDEX(Cables!$AP:$AP,MATCH(G189,Cables!$A:$A,0))-1))+1)))*0.3048)</f>
        <v>4.9785157209002788</v>
      </c>
      <c r="J189" s="44">
        <f t="shared" si="2"/>
        <v>0</v>
      </c>
      <c r="K189" s="40" t="str">
        <f>IF(G189="","Doğrulanmadı",IF(ABS(J189)&lt;=0.1,"Uyumlu (±%10)",IF(ABS(J189)&lt;=0.25,"Fark %10-25","Fark &gt;%25"))&amp;IF(OR(D189&lt;INDEX(Cables!$AQ:$AQ,MATCH(G189,Cables!$A:$A,0)),E189&gt;INDEX(Cables!$AR:$AR,MATCH(G189,Cables!$A:$A,0)))," · ekstrapolasyon",""))</f>
        <v>Uyumlu (±%10)</v>
      </c>
    </row>
    <row r="190" spans="1:11" x14ac:dyDescent="0.25">
      <c r="A190" s="37" t="s">
        <v>3021</v>
      </c>
      <c r="B190" s="40" t="str">
        <f>INDEX(Legacy_Index!$D:$D,MATCH(A190,Legacy_Index!$A:$A,0))</f>
        <v>3/8" Belden H1000</v>
      </c>
      <c r="C190" s="37" t="s">
        <v>3121</v>
      </c>
      <c r="D190" s="37">
        <v>2400</v>
      </c>
      <c r="E190" s="37">
        <v>2500</v>
      </c>
      <c r="F190" s="37">
        <v>7.4</v>
      </c>
      <c r="G190" s="40" t="str">
        <f>IF(INDEX(Legacy_Index!$G:$G,MATCH(A190,Legacy_Index!$A:$A,0))="","",INDEX(Legacy_Index!$G:$G,MATCH(A190,Legacy_Index!$A:$A,0)))</f>
        <v>BEL-H1000C1</v>
      </c>
      <c r="H190" s="43">
        <f>IF(G190="","",EXP(FORECAST(LN(D190),INDEX(Attenuation!$K:$K,(INDEX(Cables!$AO:$AO,MATCH(G190,Cables!$A:$A,0))-1+MIN(MAX(IFERROR(MATCH(LN(D190),INDEX(Attenuation!$J:$J,INDEX(Cables!$AO:$AO,MATCH(G190,Cables!$A:$A,0))):INDEX(Attenuation!$J:$J,INDEX(Cables!$AO:$AO,MATCH(G190,Cables!$A:$A,0))+INDEX(Cables!$AP:$AP,MATCH(G190,Cables!$A:$A,0))-1),1),1),1),INDEX(Cables!$AP:$AP,MATCH(G190,Cables!$A:$A,0))-1))):INDEX(Attenuation!$K:$K,(INDEX(Cables!$AO:$AO,MATCH(G190,Cables!$A:$A,0))-1+MIN(MAX(IFERROR(MATCH(LN(D190),INDEX(Attenuation!$J:$J,INDEX(Cables!$AO:$AO,MATCH(G190,Cables!$A:$A,0))):INDEX(Attenuation!$J:$J,INDEX(Cables!$AO:$AO,MATCH(G190,Cables!$A:$A,0))+INDEX(Cables!$AP:$AP,MATCH(G190,Cables!$A:$A,0))-1),1),1),1),INDEX(Cables!$AP:$AP,MATCH(G190,Cables!$A:$A,0))-1))+1),INDEX(Attenuation!$J:$J,(INDEX(Cables!$AO:$AO,MATCH(G190,Cables!$A:$A,0))-1+MIN(MAX(IFERROR(MATCH(LN(D190),INDEX(Attenuation!$J:$J,INDEX(Cables!$AO:$AO,MATCH(G190,Cables!$A:$A,0))):INDEX(Attenuation!$J:$J,INDEX(Cables!$AO:$AO,MATCH(G190,Cables!$A:$A,0))+INDEX(Cables!$AP:$AP,MATCH(G190,Cables!$A:$A,0))-1),1),1),1),INDEX(Cables!$AP:$AP,MATCH(G190,Cables!$A:$A,0))-1))):INDEX(Attenuation!$J:$J,(INDEX(Cables!$AO:$AO,MATCH(G190,Cables!$A:$A,0))-1+MIN(MAX(IFERROR(MATCH(LN(D190),INDEX(Attenuation!$J:$J,INDEX(Cables!$AO:$AO,MATCH(G190,Cables!$A:$A,0))):INDEX(Attenuation!$J:$J,INDEX(Cables!$AO:$AO,MATCH(G190,Cables!$A:$A,0))+INDEX(Cables!$AP:$AP,MATCH(G190,Cables!$A:$A,0))-1),1),1),1),INDEX(Cables!$AP:$AP,MATCH(G190,Cables!$A:$A,0))-1))+1)))*0.3048)</f>
        <v>7.1932799999999952</v>
      </c>
      <c r="I190" s="43">
        <f>IF(G190="","",EXP(FORECAST(LN(E190),INDEX(Attenuation!$K:$K,(INDEX(Cables!$AO:$AO,MATCH(G190,Cables!$A:$A,0))-1+MIN(MAX(IFERROR(MATCH(LN(E190),INDEX(Attenuation!$J:$J,INDEX(Cables!$AO:$AO,MATCH(G190,Cables!$A:$A,0))):INDEX(Attenuation!$J:$J,INDEX(Cables!$AO:$AO,MATCH(G190,Cables!$A:$A,0))+INDEX(Cables!$AP:$AP,MATCH(G190,Cables!$A:$A,0))-1),1),1),1),INDEX(Cables!$AP:$AP,MATCH(G190,Cables!$A:$A,0))-1))):INDEX(Attenuation!$K:$K,(INDEX(Cables!$AO:$AO,MATCH(G190,Cables!$A:$A,0))-1+MIN(MAX(IFERROR(MATCH(LN(E190),INDEX(Attenuation!$J:$J,INDEX(Cables!$AO:$AO,MATCH(G190,Cables!$A:$A,0))):INDEX(Attenuation!$J:$J,INDEX(Cables!$AO:$AO,MATCH(G190,Cables!$A:$A,0))+INDEX(Cables!$AP:$AP,MATCH(G190,Cables!$A:$A,0))-1),1),1),1),INDEX(Cables!$AP:$AP,MATCH(G190,Cables!$A:$A,0))-1))+1),INDEX(Attenuation!$J:$J,(INDEX(Cables!$AO:$AO,MATCH(G190,Cables!$A:$A,0))-1+MIN(MAX(IFERROR(MATCH(LN(E190),INDEX(Attenuation!$J:$J,INDEX(Cables!$AO:$AO,MATCH(G190,Cables!$A:$A,0))):INDEX(Attenuation!$J:$J,INDEX(Cables!$AO:$AO,MATCH(G190,Cables!$A:$A,0))+INDEX(Cables!$AP:$AP,MATCH(G190,Cables!$A:$A,0))-1),1),1),1),INDEX(Cables!$AP:$AP,MATCH(G190,Cables!$A:$A,0))-1))):INDEX(Attenuation!$J:$J,(INDEX(Cables!$AO:$AO,MATCH(G190,Cables!$A:$A,0))-1+MIN(MAX(IFERROR(MATCH(LN(E190),INDEX(Attenuation!$J:$J,INDEX(Cables!$AO:$AO,MATCH(G190,Cables!$A:$A,0))):INDEX(Attenuation!$J:$J,INDEX(Cables!$AO:$AO,MATCH(G190,Cables!$A:$A,0))+INDEX(Cables!$AP:$AP,MATCH(G190,Cables!$A:$A,0))-1),1),1),1),INDEX(Cables!$AP:$AP,MATCH(G190,Cables!$A:$A,0))-1))+1)))*0.3048)</f>
        <v>7.3798637714002329</v>
      </c>
      <c r="J190" s="44">
        <f t="shared" si="2"/>
        <v>2.7285366266249778E-3</v>
      </c>
      <c r="K190" s="40" t="str">
        <f>IF(G190="","Doğrulanmadı",IF(ABS(J190)&lt;=0.1,"Uyumlu (±%10)",IF(ABS(J190)&lt;=0.25,"Fark %10-25","Fark &gt;%25"))&amp;IF(OR(D190&lt;INDEX(Cables!$AQ:$AQ,MATCH(G190,Cables!$A:$A,0)),E190&gt;INDEX(Cables!$AR:$AR,MATCH(G190,Cables!$A:$A,0)))," · ekstrapolasyon",""))</f>
        <v>Uyumlu (±%10)</v>
      </c>
    </row>
    <row r="191" spans="1:11" x14ac:dyDescent="0.25">
      <c r="A191" s="37" t="s">
        <v>3024</v>
      </c>
      <c r="B191" s="40" t="str">
        <f>INDEX(Legacy_Index!$D:$D,MATCH(A191,Legacy_Index!$A:$A,0))</f>
        <v>RG8 Type (Ericsson TZC 500)</v>
      </c>
      <c r="C191" s="37" t="s">
        <v>3114</v>
      </c>
      <c r="D191" s="37">
        <v>148</v>
      </c>
      <c r="E191" s="37">
        <v>174</v>
      </c>
      <c r="F191" s="37">
        <v>1.88</v>
      </c>
      <c r="G191" s="40" t="str">
        <f>IF(INDEX(Legacy_Index!$G:$G,MATCH(A191,Legacy_Index!$A:$A,0))="","",INDEX(Legacy_Index!$G:$G,MATCH(A191,Legacy_Index!$A:$A,0)))</f>
        <v>ERI-TZC50032</v>
      </c>
      <c r="H191" s="43">
        <f>IF(G191="","",EXP(FORECAST(LN(D191),INDEX(Attenuation!$K:$K,(INDEX(Cables!$AO:$AO,MATCH(G191,Cables!$A:$A,0))-1+MIN(MAX(IFERROR(MATCH(LN(D191),INDEX(Attenuation!$J:$J,INDEX(Cables!$AO:$AO,MATCH(G191,Cables!$A:$A,0))):INDEX(Attenuation!$J:$J,INDEX(Cables!$AO:$AO,MATCH(G191,Cables!$A:$A,0))+INDEX(Cables!$AP:$AP,MATCH(G191,Cables!$A:$A,0))-1),1),1),1),INDEX(Cables!$AP:$AP,MATCH(G191,Cables!$A:$A,0))-1))):INDEX(Attenuation!$K:$K,(INDEX(Cables!$AO:$AO,MATCH(G191,Cables!$A:$A,0))-1+MIN(MAX(IFERROR(MATCH(LN(D191),INDEX(Attenuation!$J:$J,INDEX(Cables!$AO:$AO,MATCH(G191,Cables!$A:$A,0))):INDEX(Attenuation!$J:$J,INDEX(Cables!$AO:$AO,MATCH(G191,Cables!$A:$A,0))+INDEX(Cables!$AP:$AP,MATCH(G191,Cables!$A:$A,0))-1),1),1),1),INDEX(Cables!$AP:$AP,MATCH(G191,Cables!$A:$A,0))-1))+1),INDEX(Attenuation!$J:$J,(INDEX(Cables!$AO:$AO,MATCH(G191,Cables!$A:$A,0))-1+MIN(MAX(IFERROR(MATCH(LN(D191),INDEX(Attenuation!$J:$J,INDEX(Cables!$AO:$AO,MATCH(G191,Cables!$A:$A,0))):INDEX(Attenuation!$J:$J,INDEX(Cables!$AO:$AO,MATCH(G191,Cables!$A:$A,0))+INDEX(Cables!$AP:$AP,MATCH(G191,Cables!$A:$A,0))-1),1),1),1),INDEX(Cables!$AP:$AP,MATCH(G191,Cables!$A:$A,0))-1))):INDEX(Attenuation!$J:$J,(INDEX(Cables!$AO:$AO,MATCH(G191,Cables!$A:$A,0))-1+MIN(MAX(IFERROR(MATCH(LN(D191),INDEX(Attenuation!$J:$J,INDEX(Cables!$AO:$AO,MATCH(G191,Cables!$A:$A,0))):INDEX(Attenuation!$J:$J,INDEX(Cables!$AO:$AO,MATCH(G191,Cables!$A:$A,0))+INDEX(Cables!$AP:$AP,MATCH(G191,Cables!$A:$A,0))-1),1),1),1),INDEX(Cables!$AP:$AP,MATCH(G191,Cables!$A:$A,0))-1))+1)))*0.3048)</f>
        <v>1.87432775585752</v>
      </c>
      <c r="I191" s="43">
        <f>IF(G191="","",EXP(FORECAST(LN(E191),INDEX(Attenuation!$K:$K,(INDEX(Cables!$AO:$AO,MATCH(G191,Cables!$A:$A,0))-1+MIN(MAX(IFERROR(MATCH(LN(E191),INDEX(Attenuation!$J:$J,INDEX(Cables!$AO:$AO,MATCH(G191,Cables!$A:$A,0))):INDEX(Attenuation!$J:$J,INDEX(Cables!$AO:$AO,MATCH(G191,Cables!$A:$A,0))+INDEX(Cables!$AP:$AP,MATCH(G191,Cables!$A:$A,0))-1),1),1),1),INDEX(Cables!$AP:$AP,MATCH(G191,Cables!$A:$A,0))-1))):INDEX(Attenuation!$K:$K,(INDEX(Cables!$AO:$AO,MATCH(G191,Cables!$A:$A,0))-1+MIN(MAX(IFERROR(MATCH(LN(E191),INDEX(Attenuation!$J:$J,INDEX(Cables!$AO:$AO,MATCH(G191,Cables!$A:$A,0))):INDEX(Attenuation!$J:$J,INDEX(Cables!$AO:$AO,MATCH(G191,Cables!$A:$A,0))+INDEX(Cables!$AP:$AP,MATCH(G191,Cables!$A:$A,0))-1),1),1),1),INDEX(Cables!$AP:$AP,MATCH(G191,Cables!$A:$A,0))-1))+1),INDEX(Attenuation!$J:$J,(INDEX(Cables!$AO:$AO,MATCH(G191,Cables!$A:$A,0))-1+MIN(MAX(IFERROR(MATCH(LN(E191),INDEX(Attenuation!$J:$J,INDEX(Cables!$AO:$AO,MATCH(G191,Cables!$A:$A,0))):INDEX(Attenuation!$J:$J,INDEX(Cables!$AO:$AO,MATCH(G191,Cables!$A:$A,0))+INDEX(Cables!$AP:$AP,MATCH(G191,Cables!$A:$A,0))-1),1),1),1),INDEX(Cables!$AP:$AP,MATCH(G191,Cables!$A:$A,0))-1))):INDEX(Attenuation!$J:$J,(INDEX(Cables!$AO:$AO,MATCH(G191,Cables!$A:$A,0))-1+MIN(MAX(IFERROR(MATCH(LN(E191),INDEX(Attenuation!$J:$J,INDEX(Cables!$AO:$AO,MATCH(G191,Cables!$A:$A,0))):INDEX(Attenuation!$J:$J,INDEX(Cables!$AO:$AO,MATCH(G191,Cables!$A:$A,0))+INDEX(Cables!$AP:$AP,MATCH(G191,Cables!$A:$A,0))-1),1),1),1),INDEX(Cables!$AP:$AP,MATCH(G191,Cables!$A:$A,0))-1))+1)))*0.3048)</f>
        <v>2.0134843818771859</v>
      </c>
      <c r="J191" s="44">
        <f t="shared" si="2"/>
        <v>0</v>
      </c>
      <c r="K191" s="40" t="str">
        <f>IF(G191="","Doğrulanmadı",IF(ABS(J191)&lt;=0.1,"Uyumlu (±%10)",IF(ABS(J191)&lt;=0.25,"Fark %10-25","Fark &gt;%25"))&amp;IF(OR(D191&lt;INDEX(Cables!$AQ:$AQ,MATCH(G191,Cables!$A:$A,0)),E191&gt;INDEX(Cables!$AR:$AR,MATCH(G191,Cables!$A:$A,0)))," · ekstrapolasyon",""))</f>
        <v>Uyumlu (±%10)</v>
      </c>
    </row>
    <row r="192" spans="1:11" x14ac:dyDescent="0.25">
      <c r="A192" s="37" t="s">
        <v>3024</v>
      </c>
      <c r="B192" s="40" t="str">
        <f>INDEX(Legacy_Index!$D:$D,MATCH(A192,Legacy_Index!$A:$A,0))</f>
        <v>RG8 Type (Ericsson TZC 500)</v>
      </c>
      <c r="C192" s="37" t="s">
        <v>3115</v>
      </c>
      <c r="D192" s="37">
        <v>400</v>
      </c>
      <c r="E192" s="37">
        <v>520</v>
      </c>
      <c r="F192" s="37">
        <v>3</v>
      </c>
      <c r="G192" s="40" t="str">
        <f>IF(INDEX(Legacy_Index!$G:$G,MATCH(A192,Legacy_Index!$A:$A,0))="","",INDEX(Legacy_Index!$G:$G,MATCH(A192,Legacy_Index!$A:$A,0)))</f>
        <v>ERI-TZC50032</v>
      </c>
      <c r="H192" s="43">
        <f>IF(G192="","",EXP(FORECAST(LN(D192),INDEX(Attenuation!$K:$K,(INDEX(Cables!$AO:$AO,MATCH(G192,Cables!$A:$A,0))-1+MIN(MAX(IFERROR(MATCH(LN(D192),INDEX(Attenuation!$J:$J,INDEX(Cables!$AO:$AO,MATCH(G192,Cables!$A:$A,0))):INDEX(Attenuation!$J:$J,INDEX(Cables!$AO:$AO,MATCH(G192,Cables!$A:$A,0))+INDEX(Cables!$AP:$AP,MATCH(G192,Cables!$A:$A,0))-1),1),1),1),INDEX(Cables!$AP:$AP,MATCH(G192,Cables!$A:$A,0))-1))):INDEX(Attenuation!$K:$K,(INDEX(Cables!$AO:$AO,MATCH(G192,Cables!$A:$A,0))-1+MIN(MAX(IFERROR(MATCH(LN(D192),INDEX(Attenuation!$J:$J,INDEX(Cables!$AO:$AO,MATCH(G192,Cables!$A:$A,0))):INDEX(Attenuation!$J:$J,INDEX(Cables!$AO:$AO,MATCH(G192,Cables!$A:$A,0))+INDEX(Cables!$AP:$AP,MATCH(G192,Cables!$A:$A,0))-1),1),1),1),INDEX(Cables!$AP:$AP,MATCH(G192,Cables!$A:$A,0))-1))+1),INDEX(Attenuation!$J:$J,(INDEX(Cables!$AO:$AO,MATCH(G192,Cables!$A:$A,0))-1+MIN(MAX(IFERROR(MATCH(LN(D192),INDEX(Attenuation!$J:$J,INDEX(Cables!$AO:$AO,MATCH(G192,Cables!$A:$A,0))):INDEX(Attenuation!$J:$J,INDEX(Cables!$AO:$AO,MATCH(G192,Cables!$A:$A,0))+INDEX(Cables!$AP:$AP,MATCH(G192,Cables!$A:$A,0))-1),1),1),1),INDEX(Cables!$AP:$AP,MATCH(G192,Cables!$A:$A,0))-1))):INDEX(Attenuation!$J:$J,(INDEX(Cables!$AO:$AO,MATCH(G192,Cables!$A:$A,0))-1+MIN(MAX(IFERROR(MATCH(LN(D192),INDEX(Attenuation!$J:$J,INDEX(Cables!$AO:$AO,MATCH(G192,Cables!$A:$A,0))):INDEX(Attenuation!$J:$J,INDEX(Cables!$AO:$AO,MATCH(G192,Cables!$A:$A,0))+INDEX(Cables!$AP:$AP,MATCH(G192,Cables!$A:$A,0))-1),1),1),1),INDEX(Cables!$AP:$AP,MATCH(G192,Cables!$A:$A,0))-1))+1)))*0.3048)</f>
        <v>2.9486501619119165</v>
      </c>
      <c r="I192" s="43">
        <f>IF(G192="","",EXP(FORECAST(LN(E192),INDEX(Attenuation!$K:$K,(INDEX(Cables!$AO:$AO,MATCH(G192,Cables!$A:$A,0))-1+MIN(MAX(IFERROR(MATCH(LN(E192),INDEX(Attenuation!$J:$J,INDEX(Cables!$AO:$AO,MATCH(G192,Cables!$A:$A,0))):INDEX(Attenuation!$J:$J,INDEX(Cables!$AO:$AO,MATCH(G192,Cables!$A:$A,0))+INDEX(Cables!$AP:$AP,MATCH(G192,Cables!$A:$A,0))-1),1),1),1),INDEX(Cables!$AP:$AP,MATCH(G192,Cables!$A:$A,0))-1))):INDEX(Attenuation!$K:$K,(INDEX(Cables!$AO:$AO,MATCH(G192,Cables!$A:$A,0))-1+MIN(MAX(IFERROR(MATCH(LN(E192),INDEX(Attenuation!$J:$J,INDEX(Cables!$AO:$AO,MATCH(G192,Cables!$A:$A,0))):INDEX(Attenuation!$J:$J,INDEX(Cables!$AO:$AO,MATCH(G192,Cables!$A:$A,0))+INDEX(Cables!$AP:$AP,MATCH(G192,Cables!$A:$A,0))-1),1),1),1),INDEX(Cables!$AP:$AP,MATCH(G192,Cables!$A:$A,0))-1))+1),INDEX(Attenuation!$J:$J,(INDEX(Cables!$AO:$AO,MATCH(G192,Cables!$A:$A,0))-1+MIN(MAX(IFERROR(MATCH(LN(E192),INDEX(Attenuation!$J:$J,INDEX(Cables!$AO:$AO,MATCH(G192,Cables!$A:$A,0))):INDEX(Attenuation!$J:$J,INDEX(Cables!$AO:$AO,MATCH(G192,Cables!$A:$A,0))+INDEX(Cables!$AP:$AP,MATCH(G192,Cables!$A:$A,0))-1),1),1),1),INDEX(Cables!$AP:$AP,MATCH(G192,Cables!$A:$A,0))-1))):INDEX(Attenuation!$J:$J,(INDEX(Cables!$AO:$AO,MATCH(G192,Cables!$A:$A,0))-1+MIN(MAX(IFERROR(MATCH(LN(E192),INDEX(Attenuation!$J:$J,INDEX(Cables!$AO:$AO,MATCH(G192,Cables!$A:$A,0))):INDEX(Attenuation!$J:$J,INDEX(Cables!$AO:$AO,MATCH(G192,Cables!$A:$A,0))+INDEX(Cables!$AP:$AP,MATCH(G192,Cables!$A:$A,0))-1),1),1),1),INDEX(Cables!$AP:$AP,MATCH(G192,Cables!$A:$A,0))-1))+1)))*0.3048)</f>
        <v>3.3982173096667103</v>
      </c>
      <c r="J192" s="44">
        <f t="shared" si="2"/>
        <v>0</v>
      </c>
      <c r="K192" s="40" t="str">
        <f>IF(G192="","Doğrulanmadı",IF(ABS(J192)&lt;=0.1,"Uyumlu (±%10)",IF(ABS(J192)&lt;=0.25,"Fark %10-25","Fark &gt;%25"))&amp;IF(OR(D192&lt;INDEX(Cables!$AQ:$AQ,MATCH(G192,Cables!$A:$A,0)),E192&gt;INDEX(Cables!$AR:$AR,MATCH(G192,Cables!$A:$A,0)))," · ekstrapolasyon",""))</f>
        <v>Uyumlu (±%10)</v>
      </c>
    </row>
    <row r="193" spans="1:11" x14ac:dyDescent="0.25">
      <c r="A193" s="37" t="s">
        <v>3024</v>
      </c>
      <c r="B193" s="40" t="str">
        <f>INDEX(Legacy_Index!$D:$D,MATCH(A193,Legacy_Index!$A:$A,0))</f>
        <v>RG8 Type (Ericsson TZC 500)</v>
      </c>
      <c r="C193" s="37" t="s">
        <v>3116</v>
      </c>
      <c r="D193" s="37">
        <v>700</v>
      </c>
      <c r="E193" s="37">
        <v>960</v>
      </c>
      <c r="F193" s="37">
        <v>4.5</v>
      </c>
      <c r="G193" s="40" t="str">
        <f>IF(INDEX(Legacy_Index!$G:$G,MATCH(A193,Legacy_Index!$A:$A,0))="","",INDEX(Legacy_Index!$G:$G,MATCH(A193,Legacy_Index!$A:$A,0)))</f>
        <v>ERI-TZC50032</v>
      </c>
      <c r="H193" s="43">
        <f>IF(G193="","",EXP(FORECAST(LN(D193),INDEX(Attenuation!$K:$K,(INDEX(Cables!$AO:$AO,MATCH(G193,Cables!$A:$A,0))-1+MIN(MAX(IFERROR(MATCH(LN(D193),INDEX(Attenuation!$J:$J,INDEX(Cables!$AO:$AO,MATCH(G193,Cables!$A:$A,0))):INDEX(Attenuation!$J:$J,INDEX(Cables!$AO:$AO,MATCH(G193,Cables!$A:$A,0))+INDEX(Cables!$AP:$AP,MATCH(G193,Cables!$A:$A,0))-1),1),1),1),INDEX(Cables!$AP:$AP,MATCH(G193,Cables!$A:$A,0))-1))):INDEX(Attenuation!$K:$K,(INDEX(Cables!$AO:$AO,MATCH(G193,Cables!$A:$A,0))-1+MIN(MAX(IFERROR(MATCH(LN(D193),INDEX(Attenuation!$J:$J,INDEX(Cables!$AO:$AO,MATCH(G193,Cables!$A:$A,0))):INDEX(Attenuation!$J:$J,INDEX(Cables!$AO:$AO,MATCH(G193,Cables!$A:$A,0))+INDEX(Cables!$AP:$AP,MATCH(G193,Cables!$A:$A,0))-1),1),1),1),INDEX(Cables!$AP:$AP,MATCH(G193,Cables!$A:$A,0))-1))+1),INDEX(Attenuation!$J:$J,(INDEX(Cables!$AO:$AO,MATCH(G193,Cables!$A:$A,0))-1+MIN(MAX(IFERROR(MATCH(LN(D193),INDEX(Attenuation!$J:$J,INDEX(Cables!$AO:$AO,MATCH(G193,Cables!$A:$A,0))):INDEX(Attenuation!$J:$J,INDEX(Cables!$AO:$AO,MATCH(G193,Cables!$A:$A,0))+INDEX(Cables!$AP:$AP,MATCH(G193,Cables!$A:$A,0))-1),1),1),1),INDEX(Cables!$AP:$AP,MATCH(G193,Cables!$A:$A,0))-1))):INDEX(Attenuation!$J:$J,(INDEX(Cables!$AO:$AO,MATCH(G193,Cables!$A:$A,0))-1+MIN(MAX(IFERROR(MATCH(LN(D193),INDEX(Attenuation!$J:$J,INDEX(Cables!$AO:$AO,MATCH(G193,Cables!$A:$A,0))):INDEX(Attenuation!$J:$J,INDEX(Cables!$AO:$AO,MATCH(G193,Cables!$A:$A,0))+INDEX(Cables!$AP:$AP,MATCH(G193,Cables!$A:$A,0))-1),1),1),1),INDEX(Cables!$AP:$AP,MATCH(G193,Cables!$A:$A,0))-1))+1)))*0.3048)</f>
        <v>3.9909277731863058</v>
      </c>
      <c r="I193" s="43">
        <f>IF(G193="","",EXP(FORECAST(LN(E193),INDEX(Attenuation!$K:$K,(INDEX(Cables!$AO:$AO,MATCH(G193,Cables!$A:$A,0))-1+MIN(MAX(IFERROR(MATCH(LN(E193),INDEX(Attenuation!$J:$J,INDEX(Cables!$AO:$AO,MATCH(G193,Cables!$A:$A,0))):INDEX(Attenuation!$J:$J,INDEX(Cables!$AO:$AO,MATCH(G193,Cables!$A:$A,0))+INDEX(Cables!$AP:$AP,MATCH(G193,Cables!$A:$A,0))-1),1),1),1),INDEX(Cables!$AP:$AP,MATCH(G193,Cables!$A:$A,0))-1))):INDEX(Attenuation!$K:$K,(INDEX(Cables!$AO:$AO,MATCH(G193,Cables!$A:$A,0))-1+MIN(MAX(IFERROR(MATCH(LN(E193),INDEX(Attenuation!$J:$J,INDEX(Cables!$AO:$AO,MATCH(G193,Cables!$A:$A,0))):INDEX(Attenuation!$J:$J,INDEX(Cables!$AO:$AO,MATCH(G193,Cables!$A:$A,0))+INDEX(Cables!$AP:$AP,MATCH(G193,Cables!$A:$A,0))-1),1),1),1),INDEX(Cables!$AP:$AP,MATCH(G193,Cables!$A:$A,0))-1))+1),INDEX(Attenuation!$J:$J,(INDEX(Cables!$AO:$AO,MATCH(G193,Cables!$A:$A,0))-1+MIN(MAX(IFERROR(MATCH(LN(E193),INDEX(Attenuation!$J:$J,INDEX(Cables!$AO:$AO,MATCH(G193,Cables!$A:$A,0))):INDEX(Attenuation!$J:$J,INDEX(Cables!$AO:$AO,MATCH(G193,Cables!$A:$A,0))+INDEX(Cables!$AP:$AP,MATCH(G193,Cables!$A:$A,0))-1),1),1),1),INDEX(Cables!$AP:$AP,MATCH(G193,Cables!$A:$A,0))-1))):INDEX(Attenuation!$J:$J,(INDEX(Cables!$AO:$AO,MATCH(G193,Cables!$A:$A,0))-1+MIN(MAX(IFERROR(MATCH(LN(E193),INDEX(Attenuation!$J:$J,INDEX(Cables!$AO:$AO,MATCH(G193,Cables!$A:$A,0))):INDEX(Attenuation!$J:$J,INDEX(Cables!$AO:$AO,MATCH(G193,Cables!$A:$A,0))+INDEX(Cables!$AP:$AP,MATCH(G193,Cables!$A:$A,0))-1),1),1),1),INDEX(Cables!$AP:$AP,MATCH(G193,Cables!$A:$A,0))-1))+1)))*0.3048)</f>
        <v>4.7175022512767653</v>
      </c>
      <c r="J193" s="44">
        <f t="shared" si="2"/>
        <v>0</v>
      </c>
      <c r="K193" s="40" t="str">
        <f>IF(G193="","Doğrulanmadı",IF(ABS(J193)&lt;=0.1,"Uyumlu (±%10)",IF(ABS(J193)&lt;=0.25,"Fark %10-25","Fark &gt;%25"))&amp;IF(OR(D193&lt;INDEX(Cables!$AQ:$AQ,MATCH(G193,Cables!$A:$A,0)),E193&gt;INDEX(Cables!$AR:$AR,MATCH(G193,Cables!$A:$A,0)))," · ekstrapolasyon",""))</f>
        <v>Uyumlu (±%10)</v>
      </c>
    </row>
    <row r="194" spans="1:11" x14ac:dyDescent="0.25">
      <c r="A194" s="37" t="s">
        <v>3024</v>
      </c>
      <c r="B194" s="40" t="str">
        <f>INDEX(Legacy_Index!$D:$D,MATCH(A194,Legacy_Index!$A:$A,0))</f>
        <v>RG8 Type (Ericsson TZC 500)</v>
      </c>
      <c r="C194" s="37" t="s">
        <v>3121</v>
      </c>
      <c r="D194" s="37">
        <v>2400</v>
      </c>
      <c r="E194" s="37">
        <v>2500</v>
      </c>
      <c r="F194" s="37">
        <v>7.7</v>
      </c>
      <c r="G194" s="40" t="str">
        <f>IF(INDEX(Legacy_Index!$G:$G,MATCH(A194,Legacy_Index!$A:$A,0))="","",INDEX(Legacy_Index!$G:$G,MATCH(A194,Legacy_Index!$A:$A,0)))</f>
        <v>ERI-TZC50032</v>
      </c>
      <c r="H194" s="43">
        <f>IF(G194="","",EXP(FORECAST(LN(D194),INDEX(Attenuation!$K:$K,(INDEX(Cables!$AO:$AO,MATCH(G194,Cables!$A:$A,0))-1+MIN(MAX(IFERROR(MATCH(LN(D194),INDEX(Attenuation!$J:$J,INDEX(Cables!$AO:$AO,MATCH(G194,Cables!$A:$A,0))):INDEX(Attenuation!$J:$J,INDEX(Cables!$AO:$AO,MATCH(G194,Cables!$A:$A,0))+INDEX(Cables!$AP:$AP,MATCH(G194,Cables!$A:$A,0))-1),1),1),1),INDEX(Cables!$AP:$AP,MATCH(G194,Cables!$A:$A,0))-1))):INDEX(Attenuation!$K:$K,(INDEX(Cables!$AO:$AO,MATCH(G194,Cables!$A:$A,0))-1+MIN(MAX(IFERROR(MATCH(LN(D194),INDEX(Attenuation!$J:$J,INDEX(Cables!$AO:$AO,MATCH(G194,Cables!$A:$A,0))):INDEX(Attenuation!$J:$J,INDEX(Cables!$AO:$AO,MATCH(G194,Cables!$A:$A,0))+INDEX(Cables!$AP:$AP,MATCH(G194,Cables!$A:$A,0))-1),1),1),1),INDEX(Cables!$AP:$AP,MATCH(G194,Cables!$A:$A,0))-1))+1),INDEX(Attenuation!$J:$J,(INDEX(Cables!$AO:$AO,MATCH(G194,Cables!$A:$A,0))-1+MIN(MAX(IFERROR(MATCH(LN(D194),INDEX(Attenuation!$J:$J,INDEX(Cables!$AO:$AO,MATCH(G194,Cables!$A:$A,0))):INDEX(Attenuation!$J:$J,INDEX(Cables!$AO:$AO,MATCH(G194,Cables!$A:$A,0))+INDEX(Cables!$AP:$AP,MATCH(G194,Cables!$A:$A,0))-1),1),1),1),INDEX(Cables!$AP:$AP,MATCH(G194,Cables!$A:$A,0))-1))):INDEX(Attenuation!$J:$J,(INDEX(Cables!$AO:$AO,MATCH(G194,Cables!$A:$A,0))-1+MIN(MAX(IFERROR(MATCH(LN(D194),INDEX(Attenuation!$J:$J,INDEX(Cables!$AO:$AO,MATCH(G194,Cables!$A:$A,0))):INDEX(Attenuation!$J:$J,INDEX(Cables!$AO:$AO,MATCH(G194,Cables!$A:$A,0))+INDEX(Cables!$AP:$AP,MATCH(G194,Cables!$A:$A,0))-1),1),1),1),INDEX(Cables!$AP:$AP,MATCH(G194,Cables!$A:$A,0))-1))+1)))*0.3048)</f>
        <v>8.1984713449326385</v>
      </c>
      <c r="I194" s="43">
        <f>IF(G194="","",EXP(FORECAST(LN(E194),INDEX(Attenuation!$K:$K,(INDEX(Cables!$AO:$AO,MATCH(G194,Cables!$A:$A,0))-1+MIN(MAX(IFERROR(MATCH(LN(E194),INDEX(Attenuation!$J:$J,INDEX(Cables!$AO:$AO,MATCH(G194,Cables!$A:$A,0))):INDEX(Attenuation!$J:$J,INDEX(Cables!$AO:$AO,MATCH(G194,Cables!$A:$A,0))+INDEX(Cables!$AP:$AP,MATCH(G194,Cables!$A:$A,0))-1),1),1),1),INDEX(Cables!$AP:$AP,MATCH(G194,Cables!$A:$A,0))-1))):INDEX(Attenuation!$K:$K,(INDEX(Cables!$AO:$AO,MATCH(G194,Cables!$A:$A,0))-1+MIN(MAX(IFERROR(MATCH(LN(E194),INDEX(Attenuation!$J:$J,INDEX(Cables!$AO:$AO,MATCH(G194,Cables!$A:$A,0))):INDEX(Attenuation!$J:$J,INDEX(Cables!$AO:$AO,MATCH(G194,Cables!$A:$A,0))+INDEX(Cables!$AP:$AP,MATCH(G194,Cables!$A:$A,0))-1),1),1),1),INDEX(Cables!$AP:$AP,MATCH(G194,Cables!$A:$A,0))-1))+1),INDEX(Attenuation!$J:$J,(INDEX(Cables!$AO:$AO,MATCH(G194,Cables!$A:$A,0))-1+MIN(MAX(IFERROR(MATCH(LN(E194),INDEX(Attenuation!$J:$J,INDEX(Cables!$AO:$AO,MATCH(G194,Cables!$A:$A,0))):INDEX(Attenuation!$J:$J,INDEX(Cables!$AO:$AO,MATCH(G194,Cables!$A:$A,0))+INDEX(Cables!$AP:$AP,MATCH(G194,Cables!$A:$A,0))-1),1),1),1),INDEX(Cables!$AP:$AP,MATCH(G194,Cables!$A:$A,0))-1))):INDEX(Attenuation!$J:$J,(INDEX(Cables!$AO:$AO,MATCH(G194,Cables!$A:$A,0))-1+MIN(MAX(IFERROR(MATCH(LN(E194),INDEX(Attenuation!$J:$J,INDEX(Cables!$AO:$AO,MATCH(G194,Cables!$A:$A,0))):INDEX(Attenuation!$J:$J,INDEX(Cables!$AO:$AO,MATCH(G194,Cables!$A:$A,0))+INDEX(Cables!$AP:$AP,MATCH(G194,Cables!$A:$A,0))-1),1),1),1),INDEX(Cables!$AP:$AP,MATCH(G194,Cables!$A:$A,0))-1))+1)))*0.3048)</f>
        <v>8.4915486836962852</v>
      </c>
      <c r="J194" s="44">
        <f t="shared" ref="J194:J257" si="3">IF(G194="","",IF(F194&lt;H194,F194/H194-1,IF(F194&gt;I194,F194/I194-1,0)))</f>
        <v>-6.0800522921963585E-2</v>
      </c>
      <c r="K194" s="40" t="str">
        <f>IF(G194="","Doğrulanmadı",IF(ABS(J194)&lt;=0.1,"Uyumlu (±%10)",IF(ABS(J194)&lt;=0.25,"Fark %10-25","Fark &gt;%25"))&amp;IF(OR(D194&lt;INDEX(Cables!$AQ:$AQ,MATCH(G194,Cables!$A:$A,0)),E194&gt;INDEX(Cables!$AR:$AR,MATCH(G194,Cables!$A:$A,0)))," · ekstrapolasyon",""))</f>
        <v>Uyumlu (±%10) · ekstrapolasyon</v>
      </c>
    </row>
    <row r="195" spans="1:11" x14ac:dyDescent="0.25">
      <c r="A195" s="37" t="s">
        <v>3027</v>
      </c>
      <c r="B195" s="40" t="str">
        <f>INDEX(Legacy_Index!$D:$D,MATCH(A195,Legacy_Index!$A:$A,0))</f>
        <v>3/8" BURY-FLEX™ Davis RF</v>
      </c>
      <c r="C195" s="37" t="s">
        <v>3117</v>
      </c>
      <c r="D195" s="37">
        <v>1</v>
      </c>
      <c r="E195" s="37">
        <v>10</v>
      </c>
      <c r="F195" s="37">
        <v>0.4</v>
      </c>
      <c r="G195" s="40" t="str">
        <f>IF(INDEX(Legacy_Index!$G:$G,MATCH(A195,Legacy_Index!$A:$A,0))="","",INDEX(Legacy_Index!$G:$G,MATCH(A195,Legacy_Index!$A:$A,0)))</f>
        <v>DAV-BURYFLEX</v>
      </c>
      <c r="H195" s="43">
        <f>IF(G195="","",EXP(FORECAST(LN(D195),INDEX(Attenuation!$K:$K,(INDEX(Cables!$AO:$AO,MATCH(G195,Cables!$A:$A,0))-1+MIN(MAX(IFERROR(MATCH(LN(D195),INDEX(Attenuation!$J:$J,INDEX(Cables!$AO:$AO,MATCH(G195,Cables!$A:$A,0))):INDEX(Attenuation!$J:$J,INDEX(Cables!$AO:$AO,MATCH(G195,Cables!$A:$A,0))+INDEX(Cables!$AP:$AP,MATCH(G195,Cables!$A:$A,0))-1),1),1),1),INDEX(Cables!$AP:$AP,MATCH(G195,Cables!$A:$A,0))-1))):INDEX(Attenuation!$K:$K,(INDEX(Cables!$AO:$AO,MATCH(G195,Cables!$A:$A,0))-1+MIN(MAX(IFERROR(MATCH(LN(D195),INDEX(Attenuation!$J:$J,INDEX(Cables!$AO:$AO,MATCH(G195,Cables!$A:$A,0))):INDEX(Attenuation!$J:$J,INDEX(Cables!$AO:$AO,MATCH(G195,Cables!$A:$A,0))+INDEX(Cables!$AP:$AP,MATCH(G195,Cables!$A:$A,0))-1),1),1),1),INDEX(Cables!$AP:$AP,MATCH(G195,Cables!$A:$A,0))-1))+1),INDEX(Attenuation!$J:$J,(INDEX(Cables!$AO:$AO,MATCH(G195,Cables!$A:$A,0))-1+MIN(MAX(IFERROR(MATCH(LN(D195),INDEX(Attenuation!$J:$J,INDEX(Cables!$AO:$AO,MATCH(G195,Cables!$A:$A,0))):INDEX(Attenuation!$J:$J,INDEX(Cables!$AO:$AO,MATCH(G195,Cables!$A:$A,0))+INDEX(Cables!$AP:$AP,MATCH(G195,Cables!$A:$A,0))-1),1),1),1),INDEX(Cables!$AP:$AP,MATCH(G195,Cables!$A:$A,0))-1))):INDEX(Attenuation!$J:$J,(INDEX(Cables!$AO:$AO,MATCH(G195,Cables!$A:$A,0))-1+MIN(MAX(IFERROR(MATCH(LN(D195),INDEX(Attenuation!$J:$J,INDEX(Cables!$AO:$AO,MATCH(G195,Cables!$A:$A,0))):INDEX(Attenuation!$J:$J,INDEX(Cables!$AO:$AO,MATCH(G195,Cables!$A:$A,0))+INDEX(Cables!$AP:$AP,MATCH(G195,Cables!$A:$A,0))-1),1),1),1),INDEX(Cables!$AP:$AP,MATCH(G195,Cables!$A:$A,0))-1))+1)))*0.3048)</f>
        <v>0.25207971580267197</v>
      </c>
      <c r="I195" s="43">
        <f>IF(G195="","",EXP(FORECAST(LN(E195),INDEX(Attenuation!$K:$K,(INDEX(Cables!$AO:$AO,MATCH(G195,Cables!$A:$A,0))-1+MIN(MAX(IFERROR(MATCH(LN(E195),INDEX(Attenuation!$J:$J,INDEX(Cables!$AO:$AO,MATCH(G195,Cables!$A:$A,0))):INDEX(Attenuation!$J:$J,INDEX(Cables!$AO:$AO,MATCH(G195,Cables!$A:$A,0))+INDEX(Cables!$AP:$AP,MATCH(G195,Cables!$A:$A,0))-1),1),1),1),INDEX(Cables!$AP:$AP,MATCH(G195,Cables!$A:$A,0))-1))):INDEX(Attenuation!$K:$K,(INDEX(Cables!$AO:$AO,MATCH(G195,Cables!$A:$A,0))-1+MIN(MAX(IFERROR(MATCH(LN(E195),INDEX(Attenuation!$J:$J,INDEX(Cables!$AO:$AO,MATCH(G195,Cables!$A:$A,0))):INDEX(Attenuation!$J:$J,INDEX(Cables!$AO:$AO,MATCH(G195,Cables!$A:$A,0))+INDEX(Cables!$AP:$AP,MATCH(G195,Cables!$A:$A,0))-1),1),1),1),INDEX(Cables!$AP:$AP,MATCH(G195,Cables!$A:$A,0))-1))+1),INDEX(Attenuation!$J:$J,(INDEX(Cables!$AO:$AO,MATCH(G195,Cables!$A:$A,0))-1+MIN(MAX(IFERROR(MATCH(LN(E195),INDEX(Attenuation!$J:$J,INDEX(Cables!$AO:$AO,MATCH(G195,Cables!$A:$A,0))):INDEX(Attenuation!$J:$J,INDEX(Cables!$AO:$AO,MATCH(G195,Cables!$A:$A,0))+INDEX(Cables!$AP:$AP,MATCH(G195,Cables!$A:$A,0))-1),1),1),1),INDEX(Cables!$AP:$AP,MATCH(G195,Cables!$A:$A,0))-1))):INDEX(Attenuation!$J:$J,(INDEX(Cables!$AO:$AO,MATCH(G195,Cables!$A:$A,0))-1+MIN(MAX(IFERROR(MATCH(LN(E195),INDEX(Attenuation!$J:$J,INDEX(Cables!$AO:$AO,MATCH(G195,Cables!$A:$A,0))):INDEX(Attenuation!$J:$J,INDEX(Cables!$AO:$AO,MATCH(G195,Cables!$A:$A,0))+INDEX(Cables!$AP:$AP,MATCH(G195,Cables!$A:$A,0))-1),1),1),1),INDEX(Cables!$AP:$AP,MATCH(G195,Cables!$A:$A,0))-1))+1)))*0.3048)</f>
        <v>0.60000000000000009</v>
      </c>
      <c r="J195" s="44">
        <f t="shared" si="3"/>
        <v>0</v>
      </c>
      <c r="K195" s="40" t="str">
        <f>IF(G195="","Doğrulanmadı",IF(ABS(J195)&lt;=0.1,"Uyumlu (±%10)",IF(ABS(J195)&lt;=0.25,"Fark %10-25","Fark &gt;%25"))&amp;IF(OR(D195&lt;INDEX(Cables!$AQ:$AQ,MATCH(G195,Cables!$A:$A,0)),E195&gt;INDEX(Cables!$AR:$AR,MATCH(G195,Cables!$A:$A,0)))," · ekstrapolasyon",""))</f>
        <v>Uyumlu (±%10) · ekstrapolasyon</v>
      </c>
    </row>
    <row r="196" spans="1:11" x14ac:dyDescent="0.25">
      <c r="A196" s="37" t="s">
        <v>3027</v>
      </c>
      <c r="B196" s="40" t="str">
        <f>INDEX(Legacy_Index!$D:$D,MATCH(A196,Legacy_Index!$A:$A,0))</f>
        <v>3/8" BURY-FLEX™ Davis RF</v>
      </c>
      <c r="C196" s="37" t="s">
        <v>3118</v>
      </c>
      <c r="D196" s="37">
        <v>30</v>
      </c>
      <c r="E196" s="37">
        <v>50</v>
      </c>
      <c r="F196" s="37">
        <v>1.1000000000000001</v>
      </c>
      <c r="G196" s="40" t="str">
        <f>IF(INDEX(Legacy_Index!$G:$G,MATCH(A196,Legacy_Index!$A:$A,0))="","",INDEX(Legacy_Index!$G:$G,MATCH(A196,Legacy_Index!$A:$A,0)))</f>
        <v>DAV-BURYFLEX</v>
      </c>
      <c r="H196" s="43">
        <f>IF(G196="","",EXP(FORECAST(LN(D196),INDEX(Attenuation!$K:$K,(INDEX(Cables!$AO:$AO,MATCH(G196,Cables!$A:$A,0))-1+MIN(MAX(IFERROR(MATCH(LN(D196),INDEX(Attenuation!$J:$J,INDEX(Cables!$AO:$AO,MATCH(G196,Cables!$A:$A,0))):INDEX(Attenuation!$J:$J,INDEX(Cables!$AO:$AO,MATCH(G196,Cables!$A:$A,0))+INDEX(Cables!$AP:$AP,MATCH(G196,Cables!$A:$A,0))-1),1),1),1),INDEX(Cables!$AP:$AP,MATCH(G196,Cables!$A:$A,0))-1))):INDEX(Attenuation!$K:$K,(INDEX(Cables!$AO:$AO,MATCH(G196,Cables!$A:$A,0))-1+MIN(MAX(IFERROR(MATCH(LN(D196),INDEX(Attenuation!$J:$J,INDEX(Cables!$AO:$AO,MATCH(G196,Cables!$A:$A,0))):INDEX(Attenuation!$J:$J,INDEX(Cables!$AO:$AO,MATCH(G196,Cables!$A:$A,0))+INDEX(Cables!$AP:$AP,MATCH(G196,Cables!$A:$A,0))-1),1),1),1),INDEX(Cables!$AP:$AP,MATCH(G196,Cables!$A:$A,0))-1))+1),INDEX(Attenuation!$J:$J,(INDEX(Cables!$AO:$AO,MATCH(G196,Cables!$A:$A,0))-1+MIN(MAX(IFERROR(MATCH(LN(D196),INDEX(Attenuation!$J:$J,INDEX(Cables!$AO:$AO,MATCH(G196,Cables!$A:$A,0))):INDEX(Attenuation!$J:$J,INDEX(Cables!$AO:$AO,MATCH(G196,Cables!$A:$A,0))+INDEX(Cables!$AP:$AP,MATCH(G196,Cables!$A:$A,0))-1),1),1),1),INDEX(Cables!$AP:$AP,MATCH(G196,Cables!$A:$A,0))-1))):INDEX(Attenuation!$J:$J,(INDEX(Cables!$AO:$AO,MATCH(G196,Cables!$A:$A,0))-1+MIN(MAX(IFERROR(MATCH(LN(D196),INDEX(Attenuation!$J:$J,INDEX(Cables!$AO:$AO,MATCH(G196,Cables!$A:$A,0))):INDEX(Attenuation!$J:$J,INDEX(Cables!$AO:$AO,MATCH(G196,Cables!$A:$A,0))+INDEX(Cables!$AP:$AP,MATCH(G196,Cables!$A:$A,0))-1),1),1),1),INDEX(Cables!$AP:$AP,MATCH(G196,Cables!$A:$A,0))-1))+1)))*0.3048)</f>
        <v>0.90748924010307408</v>
      </c>
      <c r="I196" s="43">
        <f>IF(G196="","",EXP(FORECAST(LN(E196),INDEX(Attenuation!$K:$K,(INDEX(Cables!$AO:$AO,MATCH(G196,Cables!$A:$A,0))-1+MIN(MAX(IFERROR(MATCH(LN(E196),INDEX(Attenuation!$J:$J,INDEX(Cables!$AO:$AO,MATCH(G196,Cables!$A:$A,0))):INDEX(Attenuation!$J:$J,INDEX(Cables!$AO:$AO,MATCH(G196,Cables!$A:$A,0))+INDEX(Cables!$AP:$AP,MATCH(G196,Cables!$A:$A,0))-1),1),1),1),INDEX(Cables!$AP:$AP,MATCH(G196,Cables!$A:$A,0))-1))):INDEX(Attenuation!$K:$K,(INDEX(Cables!$AO:$AO,MATCH(G196,Cables!$A:$A,0))-1+MIN(MAX(IFERROR(MATCH(LN(E196),INDEX(Attenuation!$J:$J,INDEX(Cables!$AO:$AO,MATCH(G196,Cables!$A:$A,0))):INDEX(Attenuation!$J:$J,INDEX(Cables!$AO:$AO,MATCH(G196,Cables!$A:$A,0))+INDEX(Cables!$AP:$AP,MATCH(G196,Cables!$A:$A,0))-1),1),1),1),INDEX(Cables!$AP:$AP,MATCH(G196,Cables!$A:$A,0))-1))+1),INDEX(Attenuation!$J:$J,(INDEX(Cables!$AO:$AO,MATCH(G196,Cables!$A:$A,0))-1+MIN(MAX(IFERROR(MATCH(LN(E196),INDEX(Attenuation!$J:$J,INDEX(Cables!$AO:$AO,MATCH(G196,Cables!$A:$A,0))):INDEX(Attenuation!$J:$J,INDEX(Cables!$AO:$AO,MATCH(G196,Cables!$A:$A,0))+INDEX(Cables!$AP:$AP,MATCH(G196,Cables!$A:$A,0))-1),1),1),1),INDEX(Cables!$AP:$AP,MATCH(G196,Cables!$A:$A,0))-1))):INDEX(Attenuation!$J:$J,(INDEX(Cables!$AO:$AO,MATCH(G196,Cables!$A:$A,0))-1+MIN(MAX(IFERROR(MATCH(LN(E196),INDEX(Attenuation!$J:$J,INDEX(Cables!$AO:$AO,MATCH(G196,Cables!$A:$A,0))):INDEX(Attenuation!$J:$J,INDEX(Cables!$AO:$AO,MATCH(G196,Cables!$A:$A,0))+INDEX(Cables!$AP:$AP,MATCH(G196,Cables!$A:$A,0))-1),1),1),1),INDEX(Cables!$AP:$AP,MATCH(G196,Cables!$A:$A,0))-1))+1)))*0.3048)</f>
        <v>1.1000000000000001</v>
      </c>
      <c r="J196" s="44">
        <f t="shared" si="3"/>
        <v>0</v>
      </c>
      <c r="K196" s="40" t="str">
        <f>IF(G196="","Doğrulanmadı",IF(ABS(J196)&lt;=0.1,"Uyumlu (±%10)",IF(ABS(J196)&lt;=0.25,"Fark %10-25","Fark &gt;%25"))&amp;IF(OR(D196&lt;INDEX(Cables!$AQ:$AQ,MATCH(G196,Cables!$A:$A,0)),E196&gt;INDEX(Cables!$AR:$AR,MATCH(G196,Cables!$A:$A,0)))," · ekstrapolasyon",""))</f>
        <v>Uyumlu (±%10)</v>
      </c>
    </row>
    <row r="197" spans="1:11" x14ac:dyDescent="0.25">
      <c r="A197" s="37" t="s">
        <v>3027</v>
      </c>
      <c r="B197" s="40" t="str">
        <f>INDEX(Legacy_Index!$D:$D,MATCH(A197,Legacy_Index!$A:$A,0))</f>
        <v>3/8" BURY-FLEX™ Davis RF</v>
      </c>
      <c r="C197" s="37" t="s">
        <v>3113</v>
      </c>
      <c r="D197" s="37">
        <v>70</v>
      </c>
      <c r="E197" s="37">
        <v>100</v>
      </c>
      <c r="F197" s="37">
        <v>1.45</v>
      </c>
      <c r="G197" s="40" t="str">
        <f>IF(INDEX(Legacy_Index!$G:$G,MATCH(A197,Legacy_Index!$A:$A,0))="","",INDEX(Legacy_Index!$G:$G,MATCH(A197,Legacy_Index!$A:$A,0)))</f>
        <v>DAV-BURYFLEX</v>
      </c>
      <c r="H197" s="43">
        <f>IF(G197="","",EXP(FORECAST(LN(D197),INDEX(Attenuation!$K:$K,(INDEX(Cables!$AO:$AO,MATCH(G197,Cables!$A:$A,0))-1+MIN(MAX(IFERROR(MATCH(LN(D197),INDEX(Attenuation!$J:$J,INDEX(Cables!$AO:$AO,MATCH(G197,Cables!$A:$A,0))):INDEX(Attenuation!$J:$J,INDEX(Cables!$AO:$AO,MATCH(G197,Cables!$A:$A,0))+INDEX(Cables!$AP:$AP,MATCH(G197,Cables!$A:$A,0))-1),1),1),1),INDEX(Cables!$AP:$AP,MATCH(G197,Cables!$A:$A,0))-1))):INDEX(Attenuation!$K:$K,(INDEX(Cables!$AO:$AO,MATCH(G197,Cables!$A:$A,0))-1+MIN(MAX(IFERROR(MATCH(LN(D197),INDEX(Attenuation!$J:$J,INDEX(Cables!$AO:$AO,MATCH(G197,Cables!$A:$A,0))):INDEX(Attenuation!$J:$J,INDEX(Cables!$AO:$AO,MATCH(G197,Cables!$A:$A,0))+INDEX(Cables!$AP:$AP,MATCH(G197,Cables!$A:$A,0))-1),1),1),1),INDEX(Cables!$AP:$AP,MATCH(G197,Cables!$A:$A,0))-1))+1),INDEX(Attenuation!$J:$J,(INDEX(Cables!$AO:$AO,MATCH(G197,Cables!$A:$A,0))-1+MIN(MAX(IFERROR(MATCH(LN(D197),INDEX(Attenuation!$J:$J,INDEX(Cables!$AO:$AO,MATCH(G197,Cables!$A:$A,0))):INDEX(Attenuation!$J:$J,INDEX(Cables!$AO:$AO,MATCH(G197,Cables!$A:$A,0))+INDEX(Cables!$AP:$AP,MATCH(G197,Cables!$A:$A,0))-1),1),1),1),INDEX(Cables!$AP:$AP,MATCH(G197,Cables!$A:$A,0))-1))):INDEX(Attenuation!$J:$J,(INDEX(Cables!$AO:$AO,MATCH(G197,Cables!$A:$A,0))-1+MIN(MAX(IFERROR(MATCH(LN(D197),INDEX(Attenuation!$J:$J,INDEX(Cables!$AO:$AO,MATCH(G197,Cables!$A:$A,0))):INDEX(Attenuation!$J:$J,INDEX(Cables!$AO:$AO,MATCH(G197,Cables!$A:$A,0))+INDEX(Cables!$AP:$AP,MATCH(G197,Cables!$A:$A,0))-1),1),1),1),INDEX(Cables!$AP:$AP,MATCH(G197,Cables!$A:$A,0))-1))+1)))*0.3048)</f>
        <v>1.2787303896219133</v>
      </c>
      <c r="I197" s="43">
        <f>IF(G197="","",EXP(FORECAST(LN(E197),INDEX(Attenuation!$K:$K,(INDEX(Cables!$AO:$AO,MATCH(G197,Cables!$A:$A,0))-1+MIN(MAX(IFERROR(MATCH(LN(E197),INDEX(Attenuation!$J:$J,INDEX(Cables!$AO:$AO,MATCH(G197,Cables!$A:$A,0))):INDEX(Attenuation!$J:$J,INDEX(Cables!$AO:$AO,MATCH(G197,Cables!$A:$A,0))+INDEX(Cables!$AP:$AP,MATCH(G197,Cables!$A:$A,0))-1),1),1),1),INDEX(Cables!$AP:$AP,MATCH(G197,Cables!$A:$A,0))-1))):INDEX(Attenuation!$K:$K,(INDEX(Cables!$AO:$AO,MATCH(G197,Cables!$A:$A,0))-1+MIN(MAX(IFERROR(MATCH(LN(E197),INDEX(Attenuation!$J:$J,INDEX(Cables!$AO:$AO,MATCH(G197,Cables!$A:$A,0))):INDEX(Attenuation!$J:$J,INDEX(Cables!$AO:$AO,MATCH(G197,Cables!$A:$A,0))+INDEX(Cables!$AP:$AP,MATCH(G197,Cables!$A:$A,0))-1),1),1),1),INDEX(Cables!$AP:$AP,MATCH(G197,Cables!$A:$A,0))-1))+1),INDEX(Attenuation!$J:$J,(INDEX(Cables!$AO:$AO,MATCH(G197,Cables!$A:$A,0))-1+MIN(MAX(IFERROR(MATCH(LN(E197),INDEX(Attenuation!$J:$J,INDEX(Cables!$AO:$AO,MATCH(G197,Cables!$A:$A,0))):INDEX(Attenuation!$J:$J,INDEX(Cables!$AO:$AO,MATCH(G197,Cables!$A:$A,0))+INDEX(Cables!$AP:$AP,MATCH(G197,Cables!$A:$A,0))-1),1),1),1),INDEX(Cables!$AP:$AP,MATCH(G197,Cables!$A:$A,0))-1))):INDEX(Attenuation!$J:$J,(INDEX(Cables!$AO:$AO,MATCH(G197,Cables!$A:$A,0))-1+MIN(MAX(IFERROR(MATCH(LN(E197),INDEX(Attenuation!$J:$J,INDEX(Cables!$AO:$AO,MATCH(G197,Cables!$A:$A,0))):INDEX(Attenuation!$J:$J,INDEX(Cables!$AO:$AO,MATCH(G197,Cables!$A:$A,0))+INDEX(Cables!$AP:$AP,MATCH(G197,Cables!$A:$A,0))-1),1),1),1),INDEX(Cables!$AP:$AP,MATCH(G197,Cables!$A:$A,0))-1))+1)))*0.3048)</f>
        <v>1.5000000000000007</v>
      </c>
      <c r="J197" s="44">
        <f t="shared" si="3"/>
        <v>0</v>
      </c>
      <c r="K197" s="40" t="str">
        <f>IF(G197="","Doğrulanmadı",IF(ABS(J197)&lt;=0.1,"Uyumlu (±%10)",IF(ABS(J197)&lt;=0.25,"Fark %10-25","Fark &gt;%25"))&amp;IF(OR(D197&lt;INDEX(Cables!$AQ:$AQ,MATCH(G197,Cables!$A:$A,0)),E197&gt;INDEX(Cables!$AR:$AR,MATCH(G197,Cables!$A:$A,0)))," · ekstrapolasyon",""))</f>
        <v>Uyumlu (±%10)</v>
      </c>
    </row>
    <row r="198" spans="1:11" x14ac:dyDescent="0.25">
      <c r="A198" s="37" t="s">
        <v>3027</v>
      </c>
      <c r="B198" s="40" t="str">
        <f>INDEX(Legacy_Index!$D:$D,MATCH(A198,Legacy_Index!$A:$A,0))</f>
        <v>3/8" BURY-FLEX™ Davis RF</v>
      </c>
      <c r="C198" s="37" t="s">
        <v>3114</v>
      </c>
      <c r="D198" s="37">
        <v>148</v>
      </c>
      <c r="E198" s="37">
        <v>174</v>
      </c>
      <c r="F198" s="37">
        <v>1.65</v>
      </c>
      <c r="G198" s="40" t="str">
        <f>IF(INDEX(Legacy_Index!$G:$G,MATCH(A198,Legacy_Index!$A:$A,0))="","",INDEX(Legacy_Index!$G:$G,MATCH(A198,Legacy_Index!$A:$A,0)))</f>
        <v>DAV-BURYFLEX</v>
      </c>
      <c r="H198" s="43">
        <f>IF(G198="","",EXP(FORECAST(LN(D198),INDEX(Attenuation!$K:$K,(INDEX(Cables!$AO:$AO,MATCH(G198,Cables!$A:$A,0))-1+MIN(MAX(IFERROR(MATCH(LN(D198),INDEX(Attenuation!$J:$J,INDEX(Cables!$AO:$AO,MATCH(G198,Cables!$A:$A,0))):INDEX(Attenuation!$J:$J,INDEX(Cables!$AO:$AO,MATCH(G198,Cables!$A:$A,0))+INDEX(Cables!$AP:$AP,MATCH(G198,Cables!$A:$A,0))-1),1),1),1),INDEX(Cables!$AP:$AP,MATCH(G198,Cables!$A:$A,0))-1))):INDEX(Attenuation!$K:$K,(INDEX(Cables!$AO:$AO,MATCH(G198,Cables!$A:$A,0))-1+MIN(MAX(IFERROR(MATCH(LN(D198),INDEX(Attenuation!$J:$J,INDEX(Cables!$AO:$AO,MATCH(G198,Cables!$A:$A,0))):INDEX(Attenuation!$J:$J,INDEX(Cables!$AO:$AO,MATCH(G198,Cables!$A:$A,0))+INDEX(Cables!$AP:$AP,MATCH(G198,Cables!$A:$A,0))-1),1),1),1),INDEX(Cables!$AP:$AP,MATCH(G198,Cables!$A:$A,0))-1))+1),INDEX(Attenuation!$J:$J,(INDEX(Cables!$AO:$AO,MATCH(G198,Cables!$A:$A,0))-1+MIN(MAX(IFERROR(MATCH(LN(D198),INDEX(Attenuation!$J:$J,INDEX(Cables!$AO:$AO,MATCH(G198,Cables!$A:$A,0))):INDEX(Attenuation!$J:$J,INDEX(Cables!$AO:$AO,MATCH(G198,Cables!$A:$A,0))+INDEX(Cables!$AP:$AP,MATCH(G198,Cables!$A:$A,0))-1),1),1),1),INDEX(Cables!$AP:$AP,MATCH(G198,Cables!$A:$A,0))-1))):INDEX(Attenuation!$J:$J,(INDEX(Cables!$AO:$AO,MATCH(G198,Cables!$A:$A,0))-1+MIN(MAX(IFERROR(MATCH(LN(D198),INDEX(Attenuation!$J:$J,INDEX(Cables!$AO:$AO,MATCH(G198,Cables!$A:$A,0))):INDEX(Attenuation!$J:$J,INDEX(Cables!$AO:$AO,MATCH(G198,Cables!$A:$A,0))+INDEX(Cables!$AP:$AP,MATCH(G198,Cables!$A:$A,0))-1),1),1),1),INDEX(Cables!$AP:$AP,MATCH(G198,Cables!$A:$A,0))-1))+1)))*0.3048)</f>
        <v>1.7650469239350912</v>
      </c>
      <c r="I198" s="43">
        <f>IF(G198="","",EXP(FORECAST(LN(E198),INDEX(Attenuation!$K:$K,(INDEX(Cables!$AO:$AO,MATCH(G198,Cables!$A:$A,0))-1+MIN(MAX(IFERROR(MATCH(LN(E198),INDEX(Attenuation!$J:$J,INDEX(Cables!$AO:$AO,MATCH(G198,Cables!$A:$A,0))):INDEX(Attenuation!$J:$J,INDEX(Cables!$AO:$AO,MATCH(G198,Cables!$A:$A,0))+INDEX(Cables!$AP:$AP,MATCH(G198,Cables!$A:$A,0))-1),1),1),1),INDEX(Cables!$AP:$AP,MATCH(G198,Cables!$A:$A,0))-1))):INDEX(Attenuation!$K:$K,(INDEX(Cables!$AO:$AO,MATCH(G198,Cables!$A:$A,0))-1+MIN(MAX(IFERROR(MATCH(LN(E198),INDEX(Attenuation!$J:$J,INDEX(Cables!$AO:$AO,MATCH(G198,Cables!$A:$A,0))):INDEX(Attenuation!$J:$J,INDEX(Cables!$AO:$AO,MATCH(G198,Cables!$A:$A,0))+INDEX(Cables!$AP:$AP,MATCH(G198,Cables!$A:$A,0))-1),1),1),1),INDEX(Cables!$AP:$AP,MATCH(G198,Cables!$A:$A,0))-1))+1),INDEX(Attenuation!$J:$J,(INDEX(Cables!$AO:$AO,MATCH(G198,Cables!$A:$A,0))-1+MIN(MAX(IFERROR(MATCH(LN(E198),INDEX(Attenuation!$J:$J,INDEX(Cables!$AO:$AO,MATCH(G198,Cables!$A:$A,0))):INDEX(Attenuation!$J:$J,INDEX(Cables!$AO:$AO,MATCH(G198,Cables!$A:$A,0))+INDEX(Cables!$AP:$AP,MATCH(G198,Cables!$A:$A,0))-1),1),1),1),INDEX(Cables!$AP:$AP,MATCH(G198,Cables!$A:$A,0))-1))):INDEX(Attenuation!$J:$J,(INDEX(Cables!$AO:$AO,MATCH(G198,Cables!$A:$A,0))-1+MIN(MAX(IFERROR(MATCH(LN(E198),INDEX(Attenuation!$J:$J,INDEX(Cables!$AO:$AO,MATCH(G198,Cables!$A:$A,0))):INDEX(Attenuation!$J:$J,INDEX(Cables!$AO:$AO,MATCH(G198,Cables!$A:$A,0))+INDEX(Cables!$AP:$AP,MATCH(G198,Cables!$A:$A,0))-1),1),1),1),INDEX(Cables!$AP:$AP,MATCH(G198,Cables!$A:$A,0))-1))+1)))*0.3048)</f>
        <v>1.8876793177111586</v>
      </c>
      <c r="J198" s="44">
        <f t="shared" si="3"/>
        <v>-6.5180660284429925E-2</v>
      </c>
      <c r="K198" s="40" t="str">
        <f>IF(G198="","Doğrulanmadı",IF(ABS(J198)&lt;=0.1,"Uyumlu (±%10)",IF(ABS(J198)&lt;=0.25,"Fark %10-25","Fark &gt;%25"))&amp;IF(OR(D198&lt;INDEX(Cables!$AQ:$AQ,MATCH(G198,Cables!$A:$A,0)),E198&gt;INDEX(Cables!$AR:$AR,MATCH(G198,Cables!$A:$A,0)))," · ekstrapolasyon",""))</f>
        <v>Uyumlu (±%10)</v>
      </c>
    </row>
    <row r="199" spans="1:11" x14ac:dyDescent="0.25">
      <c r="A199" s="37" t="s">
        <v>3027</v>
      </c>
      <c r="B199" s="40" t="str">
        <f>INDEX(Legacy_Index!$D:$D,MATCH(A199,Legacy_Index!$A:$A,0))</f>
        <v>3/8" BURY-FLEX™ Davis RF</v>
      </c>
      <c r="C199" s="37" t="s">
        <v>3119</v>
      </c>
      <c r="D199" s="37">
        <v>220</v>
      </c>
      <c r="E199" s="37">
        <v>220</v>
      </c>
      <c r="F199" s="37">
        <v>2.1</v>
      </c>
      <c r="G199" s="40" t="str">
        <f>IF(INDEX(Legacy_Index!$G:$G,MATCH(A199,Legacy_Index!$A:$A,0))="","",INDEX(Legacy_Index!$G:$G,MATCH(A199,Legacy_Index!$A:$A,0)))</f>
        <v>DAV-BURYFLEX</v>
      </c>
      <c r="H199" s="43">
        <f>IF(G199="","",EXP(FORECAST(LN(D199),INDEX(Attenuation!$K:$K,(INDEX(Cables!$AO:$AO,MATCH(G199,Cables!$A:$A,0))-1+MIN(MAX(IFERROR(MATCH(LN(D199),INDEX(Attenuation!$J:$J,INDEX(Cables!$AO:$AO,MATCH(G199,Cables!$A:$A,0))):INDEX(Attenuation!$J:$J,INDEX(Cables!$AO:$AO,MATCH(G199,Cables!$A:$A,0))+INDEX(Cables!$AP:$AP,MATCH(G199,Cables!$A:$A,0))-1),1),1),1),INDEX(Cables!$AP:$AP,MATCH(G199,Cables!$A:$A,0))-1))):INDEX(Attenuation!$K:$K,(INDEX(Cables!$AO:$AO,MATCH(G199,Cables!$A:$A,0))-1+MIN(MAX(IFERROR(MATCH(LN(D199),INDEX(Attenuation!$J:$J,INDEX(Cables!$AO:$AO,MATCH(G199,Cables!$A:$A,0))):INDEX(Attenuation!$J:$J,INDEX(Cables!$AO:$AO,MATCH(G199,Cables!$A:$A,0))+INDEX(Cables!$AP:$AP,MATCH(G199,Cables!$A:$A,0))-1),1),1),1),INDEX(Cables!$AP:$AP,MATCH(G199,Cables!$A:$A,0))-1))+1),INDEX(Attenuation!$J:$J,(INDEX(Cables!$AO:$AO,MATCH(G199,Cables!$A:$A,0))-1+MIN(MAX(IFERROR(MATCH(LN(D199),INDEX(Attenuation!$J:$J,INDEX(Cables!$AO:$AO,MATCH(G199,Cables!$A:$A,0))):INDEX(Attenuation!$J:$J,INDEX(Cables!$AO:$AO,MATCH(G199,Cables!$A:$A,0))+INDEX(Cables!$AP:$AP,MATCH(G199,Cables!$A:$A,0))-1),1),1),1),INDEX(Cables!$AP:$AP,MATCH(G199,Cables!$A:$A,0))-1))):INDEX(Attenuation!$J:$J,(INDEX(Cables!$AO:$AO,MATCH(G199,Cables!$A:$A,0))-1+MIN(MAX(IFERROR(MATCH(LN(D199),INDEX(Attenuation!$J:$J,INDEX(Cables!$AO:$AO,MATCH(G199,Cables!$A:$A,0))):INDEX(Attenuation!$J:$J,INDEX(Cables!$AO:$AO,MATCH(G199,Cables!$A:$A,0))+INDEX(Cables!$AP:$AP,MATCH(G199,Cables!$A:$A,0))-1),1),1),1),INDEX(Cables!$AP:$AP,MATCH(G199,Cables!$A:$A,0))-1))+1)))*0.3048)</f>
        <v>2.0947061871450581</v>
      </c>
      <c r="I199" s="43">
        <f>IF(G199="","",EXP(FORECAST(LN(E199),INDEX(Attenuation!$K:$K,(INDEX(Cables!$AO:$AO,MATCH(G199,Cables!$A:$A,0))-1+MIN(MAX(IFERROR(MATCH(LN(E199),INDEX(Attenuation!$J:$J,INDEX(Cables!$AO:$AO,MATCH(G199,Cables!$A:$A,0))):INDEX(Attenuation!$J:$J,INDEX(Cables!$AO:$AO,MATCH(G199,Cables!$A:$A,0))+INDEX(Cables!$AP:$AP,MATCH(G199,Cables!$A:$A,0))-1),1),1),1),INDEX(Cables!$AP:$AP,MATCH(G199,Cables!$A:$A,0))-1))):INDEX(Attenuation!$K:$K,(INDEX(Cables!$AO:$AO,MATCH(G199,Cables!$A:$A,0))-1+MIN(MAX(IFERROR(MATCH(LN(E199),INDEX(Attenuation!$J:$J,INDEX(Cables!$AO:$AO,MATCH(G199,Cables!$A:$A,0))):INDEX(Attenuation!$J:$J,INDEX(Cables!$AO:$AO,MATCH(G199,Cables!$A:$A,0))+INDEX(Cables!$AP:$AP,MATCH(G199,Cables!$A:$A,0))-1),1),1),1),INDEX(Cables!$AP:$AP,MATCH(G199,Cables!$A:$A,0))-1))+1),INDEX(Attenuation!$J:$J,(INDEX(Cables!$AO:$AO,MATCH(G199,Cables!$A:$A,0))-1+MIN(MAX(IFERROR(MATCH(LN(E199),INDEX(Attenuation!$J:$J,INDEX(Cables!$AO:$AO,MATCH(G199,Cables!$A:$A,0))):INDEX(Attenuation!$J:$J,INDEX(Cables!$AO:$AO,MATCH(G199,Cables!$A:$A,0))+INDEX(Cables!$AP:$AP,MATCH(G199,Cables!$A:$A,0))-1),1),1),1),INDEX(Cables!$AP:$AP,MATCH(G199,Cables!$A:$A,0))-1))):INDEX(Attenuation!$J:$J,(INDEX(Cables!$AO:$AO,MATCH(G199,Cables!$A:$A,0))-1+MIN(MAX(IFERROR(MATCH(LN(E199),INDEX(Attenuation!$J:$J,INDEX(Cables!$AO:$AO,MATCH(G199,Cables!$A:$A,0))):INDEX(Attenuation!$J:$J,INDEX(Cables!$AO:$AO,MATCH(G199,Cables!$A:$A,0))+INDEX(Cables!$AP:$AP,MATCH(G199,Cables!$A:$A,0))-1),1),1),1),INDEX(Cables!$AP:$AP,MATCH(G199,Cables!$A:$A,0))-1))+1)))*0.3048)</f>
        <v>2.0947061871450581</v>
      </c>
      <c r="J199" s="44">
        <f t="shared" si="3"/>
        <v>2.5272340758000222E-3</v>
      </c>
      <c r="K199" s="40" t="str">
        <f>IF(G199="","Doğrulanmadı",IF(ABS(J199)&lt;=0.1,"Uyumlu (±%10)",IF(ABS(J199)&lt;=0.25,"Fark %10-25","Fark &gt;%25"))&amp;IF(OR(D199&lt;INDEX(Cables!$AQ:$AQ,MATCH(G199,Cables!$A:$A,0)),E199&gt;INDEX(Cables!$AR:$AR,MATCH(G199,Cables!$A:$A,0)))," · ekstrapolasyon",""))</f>
        <v>Uyumlu (±%10)</v>
      </c>
    </row>
    <row r="200" spans="1:11" x14ac:dyDescent="0.25">
      <c r="A200" s="37" t="s">
        <v>3027</v>
      </c>
      <c r="B200" s="40" t="str">
        <f>INDEX(Legacy_Index!$D:$D,MATCH(A200,Legacy_Index!$A:$A,0))</f>
        <v>3/8" BURY-FLEX™ Davis RF</v>
      </c>
      <c r="C200" s="37" t="s">
        <v>3115</v>
      </c>
      <c r="D200" s="37">
        <v>400</v>
      </c>
      <c r="E200" s="37">
        <v>520</v>
      </c>
      <c r="F200" s="37">
        <v>3</v>
      </c>
      <c r="G200" s="40" t="str">
        <f>IF(INDEX(Legacy_Index!$G:$G,MATCH(A200,Legacy_Index!$A:$A,0))="","",INDEX(Legacy_Index!$G:$G,MATCH(A200,Legacy_Index!$A:$A,0)))</f>
        <v>DAV-BURYFLEX</v>
      </c>
      <c r="H200" s="43">
        <f>IF(G200="","",EXP(FORECAST(LN(D200),INDEX(Attenuation!$K:$K,(INDEX(Cables!$AO:$AO,MATCH(G200,Cables!$A:$A,0))-1+MIN(MAX(IFERROR(MATCH(LN(D200),INDEX(Attenuation!$J:$J,INDEX(Cables!$AO:$AO,MATCH(G200,Cables!$A:$A,0))):INDEX(Attenuation!$J:$J,INDEX(Cables!$AO:$AO,MATCH(G200,Cables!$A:$A,0))+INDEX(Cables!$AP:$AP,MATCH(G200,Cables!$A:$A,0))-1),1),1),1),INDEX(Cables!$AP:$AP,MATCH(G200,Cables!$A:$A,0))-1))):INDEX(Attenuation!$K:$K,(INDEX(Cables!$AO:$AO,MATCH(G200,Cables!$A:$A,0))-1+MIN(MAX(IFERROR(MATCH(LN(D200),INDEX(Attenuation!$J:$J,INDEX(Cables!$AO:$AO,MATCH(G200,Cables!$A:$A,0))):INDEX(Attenuation!$J:$J,INDEX(Cables!$AO:$AO,MATCH(G200,Cables!$A:$A,0))+INDEX(Cables!$AP:$AP,MATCH(G200,Cables!$A:$A,0))-1),1),1),1),INDEX(Cables!$AP:$AP,MATCH(G200,Cables!$A:$A,0))-1))+1),INDEX(Attenuation!$J:$J,(INDEX(Cables!$AO:$AO,MATCH(G200,Cables!$A:$A,0))-1+MIN(MAX(IFERROR(MATCH(LN(D200),INDEX(Attenuation!$J:$J,INDEX(Cables!$AO:$AO,MATCH(G200,Cables!$A:$A,0))):INDEX(Attenuation!$J:$J,INDEX(Cables!$AO:$AO,MATCH(G200,Cables!$A:$A,0))+INDEX(Cables!$AP:$AP,MATCH(G200,Cables!$A:$A,0))-1),1),1),1),INDEX(Cables!$AP:$AP,MATCH(G200,Cables!$A:$A,0))-1))):INDEX(Attenuation!$J:$J,(INDEX(Cables!$AO:$AO,MATCH(G200,Cables!$A:$A,0))-1+MIN(MAX(IFERROR(MATCH(LN(D200),INDEX(Attenuation!$J:$J,INDEX(Cables!$AO:$AO,MATCH(G200,Cables!$A:$A,0))):INDEX(Attenuation!$J:$J,INDEX(Cables!$AO:$AO,MATCH(G200,Cables!$A:$A,0))+INDEX(Cables!$AP:$AP,MATCH(G200,Cables!$A:$A,0))-1),1),1),1),INDEX(Cables!$AP:$AP,MATCH(G200,Cables!$A:$A,0))-1))+1)))*0.3048)</f>
        <v>2.7999999999999989</v>
      </c>
      <c r="I200" s="43">
        <f>IF(G200="","",EXP(FORECAST(LN(E200),INDEX(Attenuation!$K:$K,(INDEX(Cables!$AO:$AO,MATCH(G200,Cables!$A:$A,0))-1+MIN(MAX(IFERROR(MATCH(LN(E200),INDEX(Attenuation!$J:$J,INDEX(Cables!$AO:$AO,MATCH(G200,Cables!$A:$A,0))):INDEX(Attenuation!$J:$J,INDEX(Cables!$AO:$AO,MATCH(G200,Cables!$A:$A,0))+INDEX(Cables!$AP:$AP,MATCH(G200,Cables!$A:$A,0))-1),1),1),1),INDEX(Cables!$AP:$AP,MATCH(G200,Cables!$A:$A,0))-1))):INDEX(Attenuation!$K:$K,(INDEX(Cables!$AO:$AO,MATCH(G200,Cables!$A:$A,0))-1+MIN(MAX(IFERROR(MATCH(LN(E200),INDEX(Attenuation!$J:$J,INDEX(Cables!$AO:$AO,MATCH(G200,Cables!$A:$A,0))):INDEX(Attenuation!$J:$J,INDEX(Cables!$AO:$AO,MATCH(G200,Cables!$A:$A,0))+INDEX(Cables!$AP:$AP,MATCH(G200,Cables!$A:$A,0))-1),1),1),1),INDEX(Cables!$AP:$AP,MATCH(G200,Cables!$A:$A,0))-1))+1),INDEX(Attenuation!$J:$J,(INDEX(Cables!$AO:$AO,MATCH(G200,Cables!$A:$A,0))-1+MIN(MAX(IFERROR(MATCH(LN(E200),INDEX(Attenuation!$J:$J,INDEX(Cables!$AO:$AO,MATCH(G200,Cables!$A:$A,0))):INDEX(Attenuation!$J:$J,INDEX(Cables!$AO:$AO,MATCH(G200,Cables!$A:$A,0))+INDEX(Cables!$AP:$AP,MATCH(G200,Cables!$A:$A,0))-1),1),1),1),INDEX(Cables!$AP:$AP,MATCH(G200,Cables!$A:$A,0))-1))):INDEX(Attenuation!$J:$J,(INDEX(Cables!$AO:$AO,MATCH(G200,Cables!$A:$A,0))-1+MIN(MAX(IFERROR(MATCH(LN(E200),INDEX(Attenuation!$J:$J,INDEX(Cables!$AO:$AO,MATCH(G200,Cables!$A:$A,0))):INDEX(Attenuation!$J:$J,INDEX(Cables!$AO:$AO,MATCH(G200,Cables!$A:$A,0))+INDEX(Cables!$AP:$AP,MATCH(G200,Cables!$A:$A,0))-1),1),1),1),INDEX(Cables!$AP:$AP,MATCH(G200,Cables!$A:$A,0))-1))+1)))*0.3048)</f>
        <v>3.2705865541877581</v>
      </c>
      <c r="J200" s="44">
        <f t="shared" si="3"/>
        <v>0</v>
      </c>
      <c r="K200" s="40" t="str">
        <f>IF(G200="","Doğrulanmadı",IF(ABS(J200)&lt;=0.1,"Uyumlu (±%10)",IF(ABS(J200)&lt;=0.25,"Fark %10-25","Fark &gt;%25"))&amp;IF(OR(D200&lt;INDEX(Cables!$AQ:$AQ,MATCH(G200,Cables!$A:$A,0)),E200&gt;INDEX(Cables!$AR:$AR,MATCH(G200,Cables!$A:$A,0)))," · ekstrapolasyon",""))</f>
        <v>Uyumlu (±%10)</v>
      </c>
    </row>
    <row r="201" spans="1:11" x14ac:dyDescent="0.25">
      <c r="A201" s="37" t="s">
        <v>3027</v>
      </c>
      <c r="B201" s="40" t="str">
        <f>INDEX(Legacy_Index!$D:$D,MATCH(A201,Legacy_Index!$A:$A,0))</f>
        <v>3/8" BURY-FLEX™ Davis RF</v>
      </c>
      <c r="C201" s="37" t="s">
        <v>3116</v>
      </c>
      <c r="D201" s="37">
        <v>700</v>
      </c>
      <c r="E201" s="37">
        <v>960</v>
      </c>
      <c r="F201" s="37">
        <v>4.8</v>
      </c>
      <c r="G201" s="40" t="str">
        <f>IF(INDEX(Legacy_Index!$G:$G,MATCH(A201,Legacy_Index!$A:$A,0))="","",INDEX(Legacy_Index!$G:$G,MATCH(A201,Legacy_Index!$A:$A,0)))</f>
        <v>DAV-BURYFLEX</v>
      </c>
      <c r="H201" s="43">
        <f>IF(G201="","",EXP(FORECAST(LN(D201),INDEX(Attenuation!$K:$K,(INDEX(Cables!$AO:$AO,MATCH(G201,Cables!$A:$A,0))-1+MIN(MAX(IFERROR(MATCH(LN(D201),INDEX(Attenuation!$J:$J,INDEX(Cables!$AO:$AO,MATCH(G201,Cables!$A:$A,0))):INDEX(Attenuation!$J:$J,INDEX(Cables!$AO:$AO,MATCH(G201,Cables!$A:$A,0))+INDEX(Cables!$AP:$AP,MATCH(G201,Cables!$A:$A,0))-1),1),1),1),INDEX(Cables!$AP:$AP,MATCH(G201,Cables!$A:$A,0))-1))):INDEX(Attenuation!$K:$K,(INDEX(Cables!$AO:$AO,MATCH(G201,Cables!$A:$A,0))-1+MIN(MAX(IFERROR(MATCH(LN(D201),INDEX(Attenuation!$J:$J,INDEX(Cables!$AO:$AO,MATCH(G201,Cables!$A:$A,0))):INDEX(Attenuation!$J:$J,INDEX(Cables!$AO:$AO,MATCH(G201,Cables!$A:$A,0))+INDEX(Cables!$AP:$AP,MATCH(G201,Cables!$A:$A,0))-1),1),1),1),INDEX(Cables!$AP:$AP,MATCH(G201,Cables!$A:$A,0))-1))+1),INDEX(Attenuation!$J:$J,(INDEX(Cables!$AO:$AO,MATCH(G201,Cables!$A:$A,0))-1+MIN(MAX(IFERROR(MATCH(LN(D201),INDEX(Attenuation!$J:$J,INDEX(Cables!$AO:$AO,MATCH(G201,Cables!$A:$A,0))):INDEX(Attenuation!$J:$J,INDEX(Cables!$AO:$AO,MATCH(G201,Cables!$A:$A,0))+INDEX(Cables!$AP:$AP,MATCH(G201,Cables!$A:$A,0))-1),1),1),1),INDEX(Cables!$AP:$AP,MATCH(G201,Cables!$A:$A,0))-1))):INDEX(Attenuation!$J:$J,(INDEX(Cables!$AO:$AO,MATCH(G201,Cables!$A:$A,0))-1+MIN(MAX(IFERROR(MATCH(LN(D201),INDEX(Attenuation!$J:$J,INDEX(Cables!$AO:$AO,MATCH(G201,Cables!$A:$A,0))):INDEX(Attenuation!$J:$J,INDEX(Cables!$AO:$AO,MATCH(G201,Cables!$A:$A,0))+INDEX(Cables!$AP:$AP,MATCH(G201,Cables!$A:$A,0))-1),1),1),1),INDEX(Cables!$AP:$AP,MATCH(G201,Cables!$A:$A,0))-1))+1)))*0.3048)</f>
        <v>3.8999999999999986</v>
      </c>
      <c r="I201" s="43">
        <f>IF(G201="","",EXP(FORECAST(LN(E201),INDEX(Attenuation!$K:$K,(INDEX(Cables!$AO:$AO,MATCH(G201,Cables!$A:$A,0))-1+MIN(MAX(IFERROR(MATCH(LN(E201),INDEX(Attenuation!$J:$J,INDEX(Cables!$AO:$AO,MATCH(G201,Cables!$A:$A,0))):INDEX(Attenuation!$J:$J,INDEX(Cables!$AO:$AO,MATCH(G201,Cables!$A:$A,0))+INDEX(Cables!$AP:$AP,MATCH(G201,Cables!$A:$A,0))-1),1),1),1),INDEX(Cables!$AP:$AP,MATCH(G201,Cables!$A:$A,0))-1))):INDEX(Attenuation!$K:$K,(INDEX(Cables!$AO:$AO,MATCH(G201,Cables!$A:$A,0))-1+MIN(MAX(IFERROR(MATCH(LN(E201),INDEX(Attenuation!$J:$J,INDEX(Cables!$AO:$AO,MATCH(G201,Cables!$A:$A,0))):INDEX(Attenuation!$J:$J,INDEX(Cables!$AO:$AO,MATCH(G201,Cables!$A:$A,0))+INDEX(Cables!$AP:$AP,MATCH(G201,Cables!$A:$A,0))-1),1),1),1),INDEX(Cables!$AP:$AP,MATCH(G201,Cables!$A:$A,0))-1))+1),INDEX(Attenuation!$J:$J,(INDEX(Cables!$AO:$AO,MATCH(G201,Cables!$A:$A,0))-1+MIN(MAX(IFERROR(MATCH(LN(E201),INDEX(Attenuation!$J:$J,INDEX(Cables!$AO:$AO,MATCH(G201,Cables!$A:$A,0))):INDEX(Attenuation!$J:$J,INDEX(Cables!$AO:$AO,MATCH(G201,Cables!$A:$A,0))+INDEX(Cables!$AP:$AP,MATCH(G201,Cables!$A:$A,0))-1),1),1),1),INDEX(Cables!$AP:$AP,MATCH(G201,Cables!$A:$A,0))-1))):INDEX(Attenuation!$J:$J,(INDEX(Cables!$AO:$AO,MATCH(G201,Cables!$A:$A,0))-1+MIN(MAX(IFERROR(MATCH(LN(E201),INDEX(Attenuation!$J:$J,INDEX(Cables!$AO:$AO,MATCH(G201,Cables!$A:$A,0))):INDEX(Attenuation!$J:$J,INDEX(Cables!$AO:$AO,MATCH(G201,Cables!$A:$A,0))+INDEX(Cables!$AP:$AP,MATCH(G201,Cables!$A:$A,0))-1),1),1),1),INDEX(Cables!$AP:$AP,MATCH(G201,Cables!$A:$A,0))-1))+1)))*0.3048)</f>
        <v>4.6408767730432947</v>
      </c>
      <c r="J201" s="44">
        <f t="shared" si="3"/>
        <v>3.4287319991122889E-2</v>
      </c>
      <c r="K201" s="40" t="str">
        <f>IF(G201="","Doğrulanmadı",IF(ABS(J201)&lt;=0.1,"Uyumlu (±%10)",IF(ABS(J201)&lt;=0.25,"Fark %10-25","Fark &gt;%25"))&amp;IF(OR(D201&lt;INDEX(Cables!$AQ:$AQ,MATCH(G201,Cables!$A:$A,0)),E201&gt;INDEX(Cables!$AR:$AR,MATCH(G201,Cables!$A:$A,0)))," · ekstrapolasyon",""))</f>
        <v>Uyumlu (±%10)</v>
      </c>
    </row>
    <row r="202" spans="1:11" x14ac:dyDescent="0.25">
      <c r="A202" s="37" t="s">
        <v>3027</v>
      </c>
      <c r="B202" s="40" t="str">
        <f>INDEX(Legacy_Index!$D:$D,MATCH(A202,Legacy_Index!$A:$A,0))</f>
        <v>3/8" BURY-FLEX™ Davis RF</v>
      </c>
      <c r="C202" s="37" t="s">
        <v>3120</v>
      </c>
      <c r="D202" s="37">
        <v>1200</v>
      </c>
      <c r="E202" s="37">
        <v>1300</v>
      </c>
      <c r="F202" s="37">
        <v>5.5</v>
      </c>
      <c r="G202" s="40" t="str">
        <f>IF(INDEX(Legacy_Index!$G:$G,MATCH(A202,Legacy_Index!$A:$A,0))="","",INDEX(Legacy_Index!$G:$G,MATCH(A202,Legacy_Index!$A:$A,0)))</f>
        <v>DAV-BURYFLEX</v>
      </c>
      <c r="H202" s="43">
        <f>IF(G202="","",EXP(FORECAST(LN(D202),INDEX(Attenuation!$K:$K,(INDEX(Cables!$AO:$AO,MATCH(G202,Cables!$A:$A,0))-1+MIN(MAX(IFERROR(MATCH(LN(D202),INDEX(Attenuation!$J:$J,INDEX(Cables!$AO:$AO,MATCH(G202,Cables!$A:$A,0))):INDEX(Attenuation!$J:$J,INDEX(Cables!$AO:$AO,MATCH(G202,Cables!$A:$A,0))+INDEX(Cables!$AP:$AP,MATCH(G202,Cables!$A:$A,0))-1),1),1),1),INDEX(Cables!$AP:$AP,MATCH(G202,Cables!$A:$A,0))-1))):INDEX(Attenuation!$K:$K,(INDEX(Cables!$AO:$AO,MATCH(G202,Cables!$A:$A,0))-1+MIN(MAX(IFERROR(MATCH(LN(D202),INDEX(Attenuation!$J:$J,INDEX(Cables!$AO:$AO,MATCH(G202,Cables!$A:$A,0))):INDEX(Attenuation!$J:$J,INDEX(Cables!$AO:$AO,MATCH(G202,Cables!$A:$A,0))+INDEX(Cables!$AP:$AP,MATCH(G202,Cables!$A:$A,0))-1),1),1),1),INDEX(Cables!$AP:$AP,MATCH(G202,Cables!$A:$A,0))-1))+1),INDEX(Attenuation!$J:$J,(INDEX(Cables!$AO:$AO,MATCH(G202,Cables!$A:$A,0))-1+MIN(MAX(IFERROR(MATCH(LN(D202),INDEX(Attenuation!$J:$J,INDEX(Cables!$AO:$AO,MATCH(G202,Cables!$A:$A,0))):INDEX(Attenuation!$J:$J,INDEX(Cables!$AO:$AO,MATCH(G202,Cables!$A:$A,0))+INDEX(Cables!$AP:$AP,MATCH(G202,Cables!$A:$A,0))-1),1),1),1),INDEX(Cables!$AP:$AP,MATCH(G202,Cables!$A:$A,0))-1))):INDEX(Attenuation!$J:$J,(INDEX(Cables!$AO:$AO,MATCH(G202,Cables!$A:$A,0))-1+MIN(MAX(IFERROR(MATCH(LN(D202),INDEX(Attenuation!$J:$J,INDEX(Cables!$AO:$AO,MATCH(G202,Cables!$A:$A,0))):INDEX(Attenuation!$J:$J,INDEX(Cables!$AO:$AO,MATCH(G202,Cables!$A:$A,0))+INDEX(Cables!$AP:$AP,MATCH(G202,Cables!$A:$A,0))-1),1),1),1),INDEX(Cables!$AP:$AP,MATCH(G202,Cables!$A:$A,0))-1))+1)))*0.3048)</f>
        <v>5.5799796470165681</v>
      </c>
      <c r="I202" s="43">
        <f>IF(G202="","",EXP(FORECAST(LN(E202),INDEX(Attenuation!$K:$K,(INDEX(Cables!$AO:$AO,MATCH(G202,Cables!$A:$A,0))-1+MIN(MAX(IFERROR(MATCH(LN(E202),INDEX(Attenuation!$J:$J,INDEX(Cables!$AO:$AO,MATCH(G202,Cables!$A:$A,0))):INDEX(Attenuation!$J:$J,INDEX(Cables!$AO:$AO,MATCH(G202,Cables!$A:$A,0))+INDEX(Cables!$AP:$AP,MATCH(G202,Cables!$A:$A,0))-1),1),1),1),INDEX(Cables!$AP:$AP,MATCH(G202,Cables!$A:$A,0))-1))):INDEX(Attenuation!$K:$K,(INDEX(Cables!$AO:$AO,MATCH(G202,Cables!$A:$A,0))-1+MIN(MAX(IFERROR(MATCH(LN(E202),INDEX(Attenuation!$J:$J,INDEX(Cables!$AO:$AO,MATCH(G202,Cables!$A:$A,0))):INDEX(Attenuation!$J:$J,INDEX(Cables!$AO:$AO,MATCH(G202,Cables!$A:$A,0))+INDEX(Cables!$AP:$AP,MATCH(G202,Cables!$A:$A,0))-1),1),1),1),INDEX(Cables!$AP:$AP,MATCH(G202,Cables!$A:$A,0))-1))+1),INDEX(Attenuation!$J:$J,(INDEX(Cables!$AO:$AO,MATCH(G202,Cables!$A:$A,0))-1+MIN(MAX(IFERROR(MATCH(LN(E202),INDEX(Attenuation!$J:$J,INDEX(Cables!$AO:$AO,MATCH(G202,Cables!$A:$A,0))):INDEX(Attenuation!$J:$J,INDEX(Cables!$AO:$AO,MATCH(G202,Cables!$A:$A,0))+INDEX(Cables!$AP:$AP,MATCH(G202,Cables!$A:$A,0))-1),1),1),1),INDEX(Cables!$AP:$AP,MATCH(G202,Cables!$A:$A,0))-1))):INDEX(Attenuation!$J:$J,(INDEX(Cables!$AO:$AO,MATCH(G202,Cables!$A:$A,0))-1+MIN(MAX(IFERROR(MATCH(LN(E202),INDEX(Attenuation!$J:$J,INDEX(Cables!$AO:$AO,MATCH(G202,Cables!$A:$A,0))):INDEX(Attenuation!$J:$J,INDEX(Cables!$AO:$AO,MATCH(G202,Cables!$A:$A,0))+INDEX(Cables!$AP:$AP,MATCH(G202,Cables!$A:$A,0))-1),1),1),1),INDEX(Cables!$AP:$AP,MATCH(G202,Cables!$A:$A,0))-1))+1)))*0.3048)</f>
        <v>5.9612961931990371</v>
      </c>
      <c r="J202" s="44">
        <f t="shared" si="3"/>
        <v>-1.4333322355276068E-2</v>
      </c>
      <c r="K202" s="40" t="str">
        <f>IF(G202="","Doğrulanmadı",IF(ABS(J202)&lt;=0.1,"Uyumlu (±%10)",IF(ABS(J202)&lt;=0.25,"Fark %10-25","Fark &gt;%25"))&amp;IF(OR(D202&lt;INDEX(Cables!$AQ:$AQ,MATCH(G202,Cables!$A:$A,0)),E202&gt;INDEX(Cables!$AR:$AR,MATCH(G202,Cables!$A:$A,0)))," · ekstrapolasyon",""))</f>
        <v>Uyumlu (±%10) · ekstrapolasyon</v>
      </c>
    </row>
    <row r="203" spans="1:11" x14ac:dyDescent="0.25">
      <c r="A203" s="37" t="s">
        <v>3029</v>
      </c>
      <c r="B203" s="40" t="str">
        <f>INDEX(Legacy_Index!$D:$D,MATCH(A203,Legacy_Index!$A:$A,0))</f>
        <v>RG213 FOAM</v>
      </c>
      <c r="C203" s="37" t="s">
        <v>3118</v>
      </c>
      <c r="D203" s="37">
        <v>30</v>
      </c>
      <c r="E203" s="37">
        <v>50</v>
      </c>
      <c r="F203" s="37">
        <v>1.1499999999999999</v>
      </c>
      <c r="G203" s="40" t="str">
        <f>IF(INDEX(Legacy_Index!$G:$G,MATCH(A203,Legacy_Index!$A:$A,0))="","",INDEX(Legacy_Index!$G:$G,MATCH(A203,Legacy_Index!$A:$A,0)))</f>
        <v>BEL-9914</v>
      </c>
      <c r="H203" s="43">
        <f>IF(G203="","",EXP(FORECAST(LN(D203),INDEX(Attenuation!$K:$K,(INDEX(Cables!$AO:$AO,MATCH(G203,Cables!$A:$A,0))-1+MIN(MAX(IFERROR(MATCH(LN(D203),INDEX(Attenuation!$J:$J,INDEX(Cables!$AO:$AO,MATCH(G203,Cables!$A:$A,0))):INDEX(Attenuation!$J:$J,INDEX(Cables!$AO:$AO,MATCH(G203,Cables!$A:$A,0))+INDEX(Cables!$AP:$AP,MATCH(G203,Cables!$A:$A,0))-1),1),1),1),INDEX(Cables!$AP:$AP,MATCH(G203,Cables!$A:$A,0))-1))):INDEX(Attenuation!$K:$K,(INDEX(Cables!$AO:$AO,MATCH(G203,Cables!$A:$A,0))-1+MIN(MAX(IFERROR(MATCH(LN(D203),INDEX(Attenuation!$J:$J,INDEX(Cables!$AO:$AO,MATCH(G203,Cables!$A:$A,0))):INDEX(Attenuation!$J:$J,INDEX(Cables!$AO:$AO,MATCH(G203,Cables!$A:$A,0))+INDEX(Cables!$AP:$AP,MATCH(G203,Cables!$A:$A,0))-1),1),1),1),INDEX(Cables!$AP:$AP,MATCH(G203,Cables!$A:$A,0))-1))+1),INDEX(Attenuation!$J:$J,(INDEX(Cables!$AO:$AO,MATCH(G203,Cables!$A:$A,0))-1+MIN(MAX(IFERROR(MATCH(LN(D203),INDEX(Attenuation!$J:$J,INDEX(Cables!$AO:$AO,MATCH(G203,Cables!$A:$A,0))):INDEX(Attenuation!$J:$J,INDEX(Cables!$AO:$AO,MATCH(G203,Cables!$A:$A,0))+INDEX(Cables!$AP:$AP,MATCH(G203,Cables!$A:$A,0))-1),1),1),1),INDEX(Cables!$AP:$AP,MATCH(G203,Cables!$A:$A,0))-1))):INDEX(Attenuation!$J:$J,(INDEX(Cables!$AO:$AO,MATCH(G203,Cables!$A:$A,0))-1+MIN(MAX(IFERROR(MATCH(LN(D203),INDEX(Attenuation!$J:$J,INDEX(Cables!$AO:$AO,MATCH(G203,Cables!$A:$A,0))):INDEX(Attenuation!$J:$J,INDEX(Cables!$AO:$AO,MATCH(G203,Cables!$A:$A,0))+INDEX(Cables!$AP:$AP,MATCH(G203,Cables!$A:$A,0))-1),1),1),1),INDEX(Cables!$AP:$AP,MATCH(G203,Cables!$A:$A,0))-1))+1)))*0.3048)</f>
        <v>0.80251829926201945</v>
      </c>
      <c r="I203" s="43">
        <f>IF(G203="","",EXP(FORECAST(LN(E203),INDEX(Attenuation!$K:$K,(INDEX(Cables!$AO:$AO,MATCH(G203,Cables!$A:$A,0))-1+MIN(MAX(IFERROR(MATCH(LN(E203),INDEX(Attenuation!$J:$J,INDEX(Cables!$AO:$AO,MATCH(G203,Cables!$A:$A,0))):INDEX(Attenuation!$J:$J,INDEX(Cables!$AO:$AO,MATCH(G203,Cables!$A:$A,0))+INDEX(Cables!$AP:$AP,MATCH(G203,Cables!$A:$A,0))-1),1),1),1),INDEX(Cables!$AP:$AP,MATCH(G203,Cables!$A:$A,0))-1))):INDEX(Attenuation!$K:$K,(INDEX(Cables!$AO:$AO,MATCH(G203,Cables!$A:$A,0))-1+MIN(MAX(IFERROR(MATCH(LN(E203),INDEX(Attenuation!$J:$J,INDEX(Cables!$AO:$AO,MATCH(G203,Cables!$A:$A,0))):INDEX(Attenuation!$J:$J,INDEX(Cables!$AO:$AO,MATCH(G203,Cables!$A:$A,0))+INDEX(Cables!$AP:$AP,MATCH(G203,Cables!$A:$A,0))-1),1),1),1),INDEX(Cables!$AP:$AP,MATCH(G203,Cables!$A:$A,0))-1))+1),INDEX(Attenuation!$J:$J,(INDEX(Cables!$AO:$AO,MATCH(G203,Cables!$A:$A,0))-1+MIN(MAX(IFERROR(MATCH(LN(E203),INDEX(Attenuation!$J:$J,INDEX(Cables!$AO:$AO,MATCH(G203,Cables!$A:$A,0))):INDEX(Attenuation!$J:$J,INDEX(Cables!$AO:$AO,MATCH(G203,Cables!$A:$A,0))+INDEX(Cables!$AP:$AP,MATCH(G203,Cables!$A:$A,0))-1),1),1),1),INDEX(Cables!$AP:$AP,MATCH(G203,Cables!$A:$A,0))-1))):INDEX(Attenuation!$J:$J,(INDEX(Cables!$AO:$AO,MATCH(G203,Cables!$A:$A,0))-1+MIN(MAX(IFERROR(MATCH(LN(E203),INDEX(Attenuation!$J:$J,INDEX(Cables!$AO:$AO,MATCH(G203,Cables!$A:$A,0))):INDEX(Attenuation!$J:$J,INDEX(Cables!$AO:$AO,MATCH(G203,Cables!$A:$A,0))+INDEX(Cables!$AP:$AP,MATCH(G203,Cables!$A:$A,0))-1),1),1),1),INDEX(Cables!$AP:$AP,MATCH(G203,Cables!$A:$A,0))-1))+1)))*0.3048)</f>
        <v>0.99999999999999989</v>
      </c>
      <c r="J203" s="44">
        <f t="shared" si="3"/>
        <v>0.15000000000000013</v>
      </c>
      <c r="K203" s="40" t="str">
        <f>IF(G203="","Doğrulanmadı",IF(ABS(J203)&lt;=0.1,"Uyumlu (±%10)",IF(ABS(J203)&lt;=0.25,"Fark %10-25","Fark &gt;%25"))&amp;IF(OR(D203&lt;INDEX(Cables!$AQ:$AQ,MATCH(G203,Cables!$A:$A,0)),E203&gt;INDEX(Cables!$AR:$AR,MATCH(G203,Cables!$A:$A,0)))," · ekstrapolasyon",""))</f>
        <v>Fark %10-25</v>
      </c>
    </row>
    <row r="204" spans="1:11" x14ac:dyDescent="0.25">
      <c r="A204" s="37" t="s">
        <v>3029</v>
      </c>
      <c r="B204" s="40" t="str">
        <f>INDEX(Legacy_Index!$D:$D,MATCH(A204,Legacy_Index!$A:$A,0))</f>
        <v>RG213 FOAM</v>
      </c>
      <c r="C204" s="37" t="s">
        <v>3114</v>
      </c>
      <c r="D204" s="37">
        <v>148</v>
      </c>
      <c r="E204" s="37">
        <v>174</v>
      </c>
      <c r="F204" s="37">
        <v>1.55</v>
      </c>
      <c r="G204" s="40" t="str">
        <f>IF(INDEX(Legacy_Index!$G:$G,MATCH(A204,Legacy_Index!$A:$A,0))="","",INDEX(Legacy_Index!$G:$G,MATCH(A204,Legacy_Index!$A:$A,0)))</f>
        <v>BEL-9914</v>
      </c>
      <c r="H204" s="43">
        <f>IF(G204="","",EXP(FORECAST(LN(D204),INDEX(Attenuation!$K:$K,(INDEX(Cables!$AO:$AO,MATCH(G204,Cables!$A:$A,0))-1+MIN(MAX(IFERROR(MATCH(LN(D204),INDEX(Attenuation!$J:$J,INDEX(Cables!$AO:$AO,MATCH(G204,Cables!$A:$A,0))):INDEX(Attenuation!$J:$J,INDEX(Cables!$AO:$AO,MATCH(G204,Cables!$A:$A,0))+INDEX(Cables!$AP:$AP,MATCH(G204,Cables!$A:$A,0))-1),1),1),1),INDEX(Cables!$AP:$AP,MATCH(G204,Cables!$A:$A,0))-1))):INDEX(Attenuation!$K:$K,(INDEX(Cables!$AO:$AO,MATCH(G204,Cables!$A:$A,0))-1+MIN(MAX(IFERROR(MATCH(LN(D204),INDEX(Attenuation!$J:$J,INDEX(Cables!$AO:$AO,MATCH(G204,Cables!$A:$A,0))):INDEX(Attenuation!$J:$J,INDEX(Cables!$AO:$AO,MATCH(G204,Cables!$A:$A,0))+INDEX(Cables!$AP:$AP,MATCH(G204,Cables!$A:$A,0))-1),1),1),1),INDEX(Cables!$AP:$AP,MATCH(G204,Cables!$A:$A,0))-1))+1),INDEX(Attenuation!$J:$J,(INDEX(Cables!$AO:$AO,MATCH(G204,Cables!$A:$A,0))-1+MIN(MAX(IFERROR(MATCH(LN(D204),INDEX(Attenuation!$J:$J,INDEX(Cables!$AO:$AO,MATCH(G204,Cables!$A:$A,0))):INDEX(Attenuation!$J:$J,INDEX(Cables!$AO:$AO,MATCH(G204,Cables!$A:$A,0))+INDEX(Cables!$AP:$AP,MATCH(G204,Cables!$A:$A,0))-1),1),1),1),INDEX(Cables!$AP:$AP,MATCH(G204,Cables!$A:$A,0))-1))):INDEX(Attenuation!$J:$J,(INDEX(Cables!$AO:$AO,MATCH(G204,Cables!$A:$A,0))-1+MIN(MAX(IFERROR(MATCH(LN(D204),INDEX(Attenuation!$J:$J,INDEX(Cables!$AO:$AO,MATCH(G204,Cables!$A:$A,0))):INDEX(Attenuation!$J:$J,INDEX(Cables!$AO:$AO,MATCH(G204,Cables!$A:$A,0))+INDEX(Cables!$AP:$AP,MATCH(G204,Cables!$A:$A,0))-1),1),1),1),INDEX(Cables!$AP:$AP,MATCH(G204,Cables!$A:$A,0))-1))+1)))*0.3048)</f>
        <v>1.6138376359913733</v>
      </c>
      <c r="I204" s="43">
        <f>IF(G204="","",EXP(FORECAST(LN(E204),INDEX(Attenuation!$K:$K,(INDEX(Cables!$AO:$AO,MATCH(G204,Cables!$A:$A,0))-1+MIN(MAX(IFERROR(MATCH(LN(E204),INDEX(Attenuation!$J:$J,INDEX(Cables!$AO:$AO,MATCH(G204,Cables!$A:$A,0))):INDEX(Attenuation!$J:$J,INDEX(Cables!$AO:$AO,MATCH(G204,Cables!$A:$A,0))+INDEX(Cables!$AP:$AP,MATCH(G204,Cables!$A:$A,0))-1),1),1),1),INDEX(Cables!$AP:$AP,MATCH(G204,Cables!$A:$A,0))-1))):INDEX(Attenuation!$K:$K,(INDEX(Cables!$AO:$AO,MATCH(G204,Cables!$A:$A,0))-1+MIN(MAX(IFERROR(MATCH(LN(E204),INDEX(Attenuation!$J:$J,INDEX(Cables!$AO:$AO,MATCH(G204,Cables!$A:$A,0))):INDEX(Attenuation!$J:$J,INDEX(Cables!$AO:$AO,MATCH(G204,Cables!$A:$A,0))+INDEX(Cables!$AP:$AP,MATCH(G204,Cables!$A:$A,0))-1),1),1),1),INDEX(Cables!$AP:$AP,MATCH(G204,Cables!$A:$A,0))-1))+1),INDEX(Attenuation!$J:$J,(INDEX(Cables!$AO:$AO,MATCH(G204,Cables!$A:$A,0))-1+MIN(MAX(IFERROR(MATCH(LN(E204),INDEX(Attenuation!$J:$J,INDEX(Cables!$AO:$AO,MATCH(G204,Cables!$A:$A,0))):INDEX(Attenuation!$J:$J,INDEX(Cables!$AO:$AO,MATCH(G204,Cables!$A:$A,0))+INDEX(Cables!$AP:$AP,MATCH(G204,Cables!$A:$A,0))-1),1),1),1),INDEX(Cables!$AP:$AP,MATCH(G204,Cables!$A:$A,0))-1))):INDEX(Attenuation!$J:$J,(INDEX(Cables!$AO:$AO,MATCH(G204,Cables!$A:$A,0))-1+MIN(MAX(IFERROR(MATCH(LN(E204),INDEX(Attenuation!$J:$J,INDEX(Cables!$AO:$AO,MATCH(G204,Cables!$A:$A,0))):INDEX(Attenuation!$J:$J,INDEX(Cables!$AO:$AO,MATCH(G204,Cables!$A:$A,0))+INDEX(Cables!$AP:$AP,MATCH(G204,Cables!$A:$A,0))-1),1),1),1),INDEX(Cables!$AP:$AP,MATCH(G204,Cables!$A:$A,0))-1))+1)))*0.3048)</f>
        <v>1.7113703196044734</v>
      </c>
      <c r="J204" s="44">
        <f t="shared" si="3"/>
        <v>-3.9556417924383136E-2</v>
      </c>
      <c r="K204" s="40" t="str">
        <f>IF(G204="","Doğrulanmadı",IF(ABS(J204)&lt;=0.1,"Uyumlu (±%10)",IF(ABS(J204)&lt;=0.25,"Fark %10-25","Fark &gt;%25"))&amp;IF(OR(D204&lt;INDEX(Cables!$AQ:$AQ,MATCH(G204,Cables!$A:$A,0)),E204&gt;INDEX(Cables!$AR:$AR,MATCH(G204,Cables!$A:$A,0)))," · ekstrapolasyon",""))</f>
        <v>Uyumlu (±%10)</v>
      </c>
    </row>
    <row r="205" spans="1:11" x14ac:dyDescent="0.25">
      <c r="A205" s="37" t="s">
        <v>3029</v>
      </c>
      <c r="B205" s="40" t="str">
        <f>INDEX(Legacy_Index!$D:$D,MATCH(A205,Legacy_Index!$A:$A,0))</f>
        <v>RG213 FOAM</v>
      </c>
      <c r="C205" s="37" t="s">
        <v>3115</v>
      </c>
      <c r="D205" s="37">
        <v>400</v>
      </c>
      <c r="E205" s="37">
        <v>520</v>
      </c>
      <c r="F205" s="37">
        <v>2.9</v>
      </c>
      <c r="G205" s="40" t="str">
        <f>IF(INDEX(Legacy_Index!$G:$G,MATCH(A205,Legacy_Index!$A:$A,0))="","",INDEX(Legacy_Index!$G:$G,MATCH(A205,Legacy_Index!$A:$A,0)))</f>
        <v>BEL-9914</v>
      </c>
      <c r="H205" s="43">
        <f>IF(G205="","",EXP(FORECAST(LN(D205),INDEX(Attenuation!$K:$K,(INDEX(Cables!$AO:$AO,MATCH(G205,Cables!$A:$A,0))-1+MIN(MAX(IFERROR(MATCH(LN(D205),INDEX(Attenuation!$J:$J,INDEX(Cables!$AO:$AO,MATCH(G205,Cables!$A:$A,0))):INDEX(Attenuation!$J:$J,INDEX(Cables!$AO:$AO,MATCH(G205,Cables!$A:$A,0))+INDEX(Cables!$AP:$AP,MATCH(G205,Cables!$A:$A,0))-1),1),1),1),INDEX(Cables!$AP:$AP,MATCH(G205,Cables!$A:$A,0))-1))):INDEX(Attenuation!$K:$K,(INDEX(Cables!$AO:$AO,MATCH(G205,Cables!$A:$A,0))-1+MIN(MAX(IFERROR(MATCH(LN(D205),INDEX(Attenuation!$J:$J,INDEX(Cables!$AO:$AO,MATCH(G205,Cables!$A:$A,0))):INDEX(Attenuation!$J:$J,INDEX(Cables!$AO:$AO,MATCH(G205,Cables!$A:$A,0))+INDEX(Cables!$AP:$AP,MATCH(G205,Cables!$A:$A,0))-1),1),1),1),INDEX(Cables!$AP:$AP,MATCH(G205,Cables!$A:$A,0))-1))+1),INDEX(Attenuation!$J:$J,(INDEX(Cables!$AO:$AO,MATCH(G205,Cables!$A:$A,0))-1+MIN(MAX(IFERROR(MATCH(LN(D205),INDEX(Attenuation!$J:$J,INDEX(Cables!$AO:$AO,MATCH(G205,Cables!$A:$A,0))):INDEX(Attenuation!$J:$J,INDEX(Cables!$AO:$AO,MATCH(G205,Cables!$A:$A,0))+INDEX(Cables!$AP:$AP,MATCH(G205,Cables!$A:$A,0))-1),1),1),1),INDEX(Cables!$AP:$AP,MATCH(G205,Cables!$A:$A,0))-1))):INDEX(Attenuation!$J:$J,(INDEX(Cables!$AO:$AO,MATCH(G205,Cables!$A:$A,0))-1+MIN(MAX(IFERROR(MATCH(LN(D205),INDEX(Attenuation!$J:$J,INDEX(Cables!$AO:$AO,MATCH(G205,Cables!$A:$A,0))):INDEX(Attenuation!$J:$J,INDEX(Cables!$AO:$AO,MATCH(G205,Cables!$A:$A,0))+INDEX(Cables!$AP:$AP,MATCH(G205,Cables!$A:$A,0))-1),1),1),1),INDEX(Cables!$AP:$AP,MATCH(G205,Cables!$A:$A,0))-1))+1)))*0.3048)</f>
        <v>2.6000000000000019</v>
      </c>
      <c r="I205" s="43">
        <f>IF(G205="","",EXP(FORECAST(LN(E205),INDEX(Attenuation!$K:$K,(INDEX(Cables!$AO:$AO,MATCH(G205,Cables!$A:$A,0))-1+MIN(MAX(IFERROR(MATCH(LN(E205),INDEX(Attenuation!$J:$J,INDEX(Cables!$AO:$AO,MATCH(G205,Cables!$A:$A,0))):INDEX(Attenuation!$J:$J,INDEX(Cables!$AO:$AO,MATCH(G205,Cables!$A:$A,0))+INDEX(Cables!$AP:$AP,MATCH(G205,Cables!$A:$A,0))-1),1),1),1),INDEX(Cables!$AP:$AP,MATCH(G205,Cables!$A:$A,0))-1))):INDEX(Attenuation!$K:$K,(INDEX(Cables!$AO:$AO,MATCH(G205,Cables!$A:$A,0))-1+MIN(MAX(IFERROR(MATCH(LN(E205),INDEX(Attenuation!$J:$J,INDEX(Cables!$AO:$AO,MATCH(G205,Cables!$A:$A,0))):INDEX(Attenuation!$J:$J,INDEX(Cables!$AO:$AO,MATCH(G205,Cables!$A:$A,0))+INDEX(Cables!$AP:$AP,MATCH(G205,Cables!$A:$A,0))-1),1),1),1),INDEX(Cables!$AP:$AP,MATCH(G205,Cables!$A:$A,0))-1))+1),INDEX(Attenuation!$J:$J,(INDEX(Cables!$AO:$AO,MATCH(G205,Cables!$A:$A,0))-1+MIN(MAX(IFERROR(MATCH(LN(E205),INDEX(Attenuation!$J:$J,INDEX(Cables!$AO:$AO,MATCH(G205,Cables!$A:$A,0))):INDEX(Attenuation!$J:$J,INDEX(Cables!$AO:$AO,MATCH(G205,Cables!$A:$A,0))+INDEX(Cables!$AP:$AP,MATCH(G205,Cables!$A:$A,0))-1),1),1),1),INDEX(Cables!$AP:$AP,MATCH(G205,Cables!$A:$A,0))-1))):INDEX(Attenuation!$J:$J,(INDEX(Cables!$AO:$AO,MATCH(G205,Cables!$A:$A,0))-1+MIN(MAX(IFERROR(MATCH(LN(E205),INDEX(Attenuation!$J:$J,INDEX(Cables!$AO:$AO,MATCH(G205,Cables!$A:$A,0))):INDEX(Attenuation!$J:$J,INDEX(Cables!$AO:$AO,MATCH(G205,Cables!$A:$A,0))+INDEX(Cables!$AP:$AP,MATCH(G205,Cables!$A:$A,0))-1),1),1),1),INDEX(Cables!$AP:$AP,MATCH(G205,Cables!$A:$A,0))-1))+1)))*0.3048)</f>
        <v>3.0285349667954993</v>
      </c>
      <c r="J205" s="44">
        <f t="shared" si="3"/>
        <v>0</v>
      </c>
      <c r="K205" s="40" t="str">
        <f>IF(G205="","Doğrulanmadı",IF(ABS(J205)&lt;=0.1,"Uyumlu (±%10)",IF(ABS(J205)&lt;=0.25,"Fark %10-25","Fark &gt;%25"))&amp;IF(OR(D205&lt;INDEX(Cables!$AQ:$AQ,MATCH(G205,Cables!$A:$A,0)),E205&gt;INDEX(Cables!$AR:$AR,MATCH(G205,Cables!$A:$A,0)))," · ekstrapolasyon",""))</f>
        <v>Uyumlu (±%10)</v>
      </c>
    </row>
    <row r="206" spans="1:11" x14ac:dyDescent="0.25">
      <c r="A206" s="37" t="s">
        <v>3029</v>
      </c>
      <c r="B206" s="40" t="str">
        <f>INDEX(Legacy_Index!$D:$D,MATCH(A206,Legacy_Index!$A:$A,0))</f>
        <v>RG213 FOAM</v>
      </c>
      <c r="C206" s="37" t="s">
        <v>3120</v>
      </c>
      <c r="D206" s="37">
        <v>1200</v>
      </c>
      <c r="E206" s="37">
        <v>1300</v>
      </c>
      <c r="F206" s="37">
        <v>5.72</v>
      </c>
      <c r="G206" s="40" t="str">
        <f>IF(INDEX(Legacy_Index!$G:$G,MATCH(A206,Legacy_Index!$A:$A,0))="","",INDEX(Legacy_Index!$G:$G,MATCH(A206,Legacy_Index!$A:$A,0)))</f>
        <v>BEL-9914</v>
      </c>
      <c r="H206" s="43">
        <f>IF(G206="","",EXP(FORECAST(LN(D206),INDEX(Attenuation!$K:$K,(INDEX(Cables!$AO:$AO,MATCH(G206,Cables!$A:$A,0))-1+MIN(MAX(IFERROR(MATCH(LN(D206),INDEX(Attenuation!$J:$J,INDEX(Cables!$AO:$AO,MATCH(G206,Cables!$A:$A,0))):INDEX(Attenuation!$J:$J,INDEX(Cables!$AO:$AO,MATCH(G206,Cables!$A:$A,0))+INDEX(Cables!$AP:$AP,MATCH(G206,Cables!$A:$A,0))-1),1),1),1),INDEX(Cables!$AP:$AP,MATCH(G206,Cables!$A:$A,0))-1))):INDEX(Attenuation!$K:$K,(INDEX(Cables!$AO:$AO,MATCH(G206,Cables!$A:$A,0))-1+MIN(MAX(IFERROR(MATCH(LN(D206),INDEX(Attenuation!$J:$J,INDEX(Cables!$AO:$AO,MATCH(G206,Cables!$A:$A,0))):INDEX(Attenuation!$J:$J,INDEX(Cables!$AO:$AO,MATCH(G206,Cables!$A:$A,0))+INDEX(Cables!$AP:$AP,MATCH(G206,Cables!$A:$A,0))-1),1),1),1),INDEX(Cables!$AP:$AP,MATCH(G206,Cables!$A:$A,0))-1))+1),INDEX(Attenuation!$J:$J,(INDEX(Cables!$AO:$AO,MATCH(G206,Cables!$A:$A,0))-1+MIN(MAX(IFERROR(MATCH(LN(D206),INDEX(Attenuation!$J:$J,INDEX(Cables!$AO:$AO,MATCH(G206,Cables!$A:$A,0))):INDEX(Attenuation!$J:$J,INDEX(Cables!$AO:$AO,MATCH(G206,Cables!$A:$A,0))+INDEX(Cables!$AP:$AP,MATCH(G206,Cables!$A:$A,0))-1),1),1),1),INDEX(Cables!$AP:$AP,MATCH(G206,Cables!$A:$A,0))-1))):INDEX(Attenuation!$J:$J,(INDEX(Cables!$AO:$AO,MATCH(G206,Cables!$A:$A,0))-1+MIN(MAX(IFERROR(MATCH(LN(D206),INDEX(Attenuation!$J:$J,INDEX(Cables!$AO:$AO,MATCH(G206,Cables!$A:$A,0))):INDEX(Attenuation!$J:$J,INDEX(Cables!$AO:$AO,MATCH(G206,Cables!$A:$A,0))+INDEX(Cables!$AP:$AP,MATCH(G206,Cables!$A:$A,0))-1),1),1),1),INDEX(Cables!$AP:$AP,MATCH(G206,Cables!$A:$A,0))-1))+1)))*0.3048)</f>
        <v>4.8643997863462136</v>
      </c>
      <c r="I206" s="43">
        <f>IF(G206="","",EXP(FORECAST(LN(E206),INDEX(Attenuation!$K:$K,(INDEX(Cables!$AO:$AO,MATCH(G206,Cables!$A:$A,0))-1+MIN(MAX(IFERROR(MATCH(LN(E206),INDEX(Attenuation!$J:$J,INDEX(Cables!$AO:$AO,MATCH(G206,Cables!$A:$A,0))):INDEX(Attenuation!$J:$J,INDEX(Cables!$AO:$AO,MATCH(G206,Cables!$A:$A,0))+INDEX(Cables!$AP:$AP,MATCH(G206,Cables!$A:$A,0))-1),1),1),1),INDEX(Cables!$AP:$AP,MATCH(G206,Cables!$A:$A,0))-1))):INDEX(Attenuation!$K:$K,(INDEX(Cables!$AO:$AO,MATCH(G206,Cables!$A:$A,0))-1+MIN(MAX(IFERROR(MATCH(LN(E206),INDEX(Attenuation!$J:$J,INDEX(Cables!$AO:$AO,MATCH(G206,Cables!$A:$A,0))):INDEX(Attenuation!$J:$J,INDEX(Cables!$AO:$AO,MATCH(G206,Cables!$A:$A,0))+INDEX(Cables!$AP:$AP,MATCH(G206,Cables!$A:$A,0))-1),1),1),1),INDEX(Cables!$AP:$AP,MATCH(G206,Cables!$A:$A,0))-1))+1),INDEX(Attenuation!$J:$J,(INDEX(Cables!$AO:$AO,MATCH(G206,Cables!$A:$A,0))-1+MIN(MAX(IFERROR(MATCH(LN(E206),INDEX(Attenuation!$J:$J,INDEX(Cables!$AO:$AO,MATCH(G206,Cables!$A:$A,0))):INDEX(Attenuation!$J:$J,INDEX(Cables!$AO:$AO,MATCH(G206,Cables!$A:$A,0))+INDEX(Cables!$AP:$AP,MATCH(G206,Cables!$A:$A,0))-1),1),1),1),INDEX(Cables!$AP:$AP,MATCH(G206,Cables!$A:$A,0))-1))):INDEX(Attenuation!$J:$J,(INDEX(Cables!$AO:$AO,MATCH(G206,Cables!$A:$A,0))-1+MIN(MAX(IFERROR(MATCH(LN(E206),INDEX(Attenuation!$J:$J,INDEX(Cables!$AO:$AO,MATCH(G206,Cables!$A:$A,0))):INDEX(Attenuation!$J:$J,INDEX(Cables!$AO:$AO,MATCH(G206,Cables!$A:$A,0))+INDEX(Cables!$AP:$AP,MATCH(G206,Cables!$A:$A,0))-1),1),1),1),INDEX(Cables!$AP:$AP,MATCH(G206,Cables!$A:$A,0))-1))+1)))*0.3048)</f>
        <v>5.0834695715592622</v>
      </c>
      <c r="J206" s="44">
        <f t="shared" si="3"/>
        <v>0.12521574477438913</v>
      </c>
      <c r="K206" s="40" t="str">
        <f>IF(G206="","Doğrulanmadı",IF(ABS(J206)&lt;=0.1,"Uyumlu (±%10)",IF(ABS(J206)&lt;=0.25,"Fark %10-25","Fark &gt;%25"))&amp;IF(OR(D206&lt;INDEX(Cables!$AQ:$AQ,MATCH(G206,Cables!$A:$A,0)),E206&gt;INDEX(Cables!$AR:$AR,MATCH(G206,Cables!$A:$A,0)))," · ekstrapolasyon",""))</f>
        <v>Fark %10-25</v>
      </c>
    </row>
    <row r="207" spans="1:11" x14ac:dyDescent="0.25">
      <c r="A207" s="37" t="s">
        <v>3029</v>
      </c>
      <c r="B207" s="40" t="str">
        <f>INDEX(Legacy_Index!$D:$D,MATCH(A207,Legacy_Index!$A:$A,0))</f>
        <v>RG213 FOAM</v>
      </c>
      <c r="C207" s="37" t="s">
        <v>3121</v>
      </c>
      <c r="D207" s="37">
        <v>2400</v>
      </c>
      <c r="E207" s="37">
        <v>2500</v>
      </c>
      <c r="F207" s="37">
        <v>7.23</v>
      </c>
      <c r="G207" s="40" t="str">
        <f>IF(INDEX(Legacy_Index!$G:$G,MATCH(A207,Legacy_Index!$A:$A,0))="","",INDEX(Legacy_Index!$G:$G,MATCH(A207,Legacy_Index!$A:$A,0)))</f>
        <v>BEL-9914</v>
      </c>
      <c r="H207" s="43">
        <f>IF(G207="","",EXP(FORECAST(LN(D207),INDEX(Attenuation!$K:$K,(INDEX(Cables!$AO:$AO,MATCH(G207,Cables!$A:$A,0))-1+MIN(MAX(IFERROR(MATCH(LN(D207),INDEX(Attenuation!$J:$J,INDEX(Cables!$AO:$AO,MATCH(G207,Cables!$A:$A,0))):INDEX(Attenuation!$J:$J,INDEX(Cables!$AO:$AO,MATCH(G207,Cables!$A:$A,0))+INDEX(Cables!$AP:$AP,MATCH(G207,Cables!$A:$A,0))-1),1),1),1),INDEX(Cables!$AP:$AP,MATCH(G207,Cables!$A:$A,0))-1))):INDEX(Attenuation!$K:$K,(INDEX(Cables!$AO:$AO,MATCH(G207,Cables!$A:$A,0))-1+MIN(MAX(IFERROR(MATCH(LN(D207),INDEX(Attenuation!$J:$J,INDEX(Cables!$AO:$AO,MATCH(G207,Cables!$A:$A,0))):INDEX(Attenuation!$J:$J,INDEX(Cables!$AO:$AO,MATCH(G207,Cables!$A:$A,0))+INDEX(Cables!$AP:$AP,MATCH(G207,Cables!$A:$A,0))-1),1),1),1),INDEX(Cables!$AP:$AP,MATCH(G207,Cables!$A:$A,0))-1))+1),INDEX(Attenuation!$J:$J,(INDEX(Cables!$AO:$AO,MATCH(G207,Cables!$A:$A,0))-1+MIN(MAX(IFERROR(MATCH(LN(D207),INDEX(Attenuation!$J:$J,INDEX(Cables!$AO:$AO,MATCH(G207,Cables!$A:$A,0))):INDEX(Attenuation!$J:$J,INDEX(Cables!$AO:$AO,MATCH(G207,Cables!$A:$A,0))+INDEX(Cables!$AP:$AP,MATCH(G207,Cables!$A:$A,0))-1),1),1),1),INDEX(Cables!$AP:$AP,MATCH(G207,Cables!$A:$A,0))-1))):INDEX(Attenuation!$J:$J,(INDEX(Cables!$AO:$AO,MATCH(G207,Cables!$A:$A,0))-1+MIN(MAX(IFERROR(MATCH(LN(D207),INDEX(Attenuation!$J:$J,INDEX(Cables!$AO:$AO,MATCH(G207,Cables!$A:$A,0))):INDEX(Attenuation!$J:$J,INDEX(Cables!$AO:$AO,MATCH(G207,Cables!$A:$A,0))+INDEX(Cables!$AP:$AP,MATCH(G207,Cables!$A:$A,0))-1),1),1),1),INDEX(Cables!$AP:$AP,MATCH(G207,Cables!$A:$A,0))-1))+1)))*0.3048)</f>
        <v>7.306205675646118</v>
      </c>
      <c r="I207" s="43">
        <f>IF(G207="","",EXP(FORECAST(LN(E207),INDEX(Attenuation!$K:$K,(INDEX(Cables!$AO:$AO,MATCH(G207,Cables!$A:$A,0))-1+MIN(MAX(IFERROR(MATCH(LN(E207),INDEX(Attenuation!$J:$J,INDEX(Cables!$AO:$AO,MATCH(G207,Cables!$A:$A,0))):INDEX(Attenuation!$J:$J,INDEX(Cables!$AO:$AO,MATCH(G207,Cables!$A:$A,0))+INDEX(Cables!$AP:$AP,MATCH(G207,Cables!$A:$A,0))-1),1),1),1),INDEX(Cables!$AP:$AP,MATCH(G207,Cables!$A:$A,0))-1))):INDEX(Attenuation!$K:$K,(INDEX(Cables!$AO:$AO,MATCH(G207,Cables!$A:$A,0))-1+MIN(MAX(IFERROR(MATCH(LN(E207),INDEX(Attenuation!$J:$J,INDEX(Cables!$AO:$AO,MATCH(G207,Cables!$A:$A,0))):INDEX(Attenuation!$J:$J,INDEX(Cables!$AO:$AO,MATCH(G207,Cables!$A:$A,0))+INDEX(Cables!$AP:$AP,MATCH(G207,Cables!$A:$A,0))-1),1),1),1),INDEX(Cables!$AP:$AP,MATCH(G207,Cables!$A:$A,0))-1))+1),INDEX(Attenuation!$J:$J,(INDEX(Cables!$AO:$AO,MATCH(G207,Cables!$A:$A,0))-1+MIN(MAX(IFERROR(MATCH(LN(E207),INDEX(Attenuation!$J:$J,INDEX(Cables!$AO:$AO,MATCH(G207,Cables!$A:$A,0))):INDEX(Attenuation!$J:$J,INDEX(Cables!$AO:$AO,MATCH(G207,Cables!$A:$A,0))+INDEX(Cables!$AP:$AP,MATCH(G207,Cables!$A:$A,0))-1),1),1),1),INDEX(Cables!$AP:$AP,MATCH(G207,Cables!$A:$A,0))-1))):INDEX(Attenuation!$J:$J,(INDEX(Cables!$AO:$AO,MATCH(G207,Cables!$A:$A,0))-1+MIN(MAX(IFERROR(MATCH(LN(E207),INDEX(Attenuation!$J:$J,INDEX(Cables!$AO:$AO,MATCH(G207,Cables!$A:$A,0))):INDEX(Attenuation!$J:$J,INDEX(Cables!$AO:$AO,MATCH(G207,Cables!$A:$A,0))+INDEX(Cables!$AP:$AP,MATCH(G207,Cables!$A:$A,0))-1),1),1),1),INDEX(Cables!$AP:$AP,MATCH(G207,Cables!$A:$A,0))-1))+1)))*0.3048)</f>
        <v>7.5000000000000062</v>
      </c>
      <c r="J207" s="44">
        <f t="shared" si="3"/>
        <v>-1.0430266957873191E-2</v>
      </c>
      <c r="K207" s="40" t="str">
        <f>IF(G207="","Doğrulanmadı",IF(ABS(J207)&lt;=0.1,"Uyumlu (±%10)",IF(ABS(J207)&lt;=0.25,"Fark %10-25","Fark &gt;%25"))&amp;IF(OR(D207&lt;INDEX(Cables!$AQ:$AQ,MATCH(G207,Cables!$A:$A,0)),E207&gt;INDEX(Cables!$AR:$AR,MATCH(G207,Cables!$A:$A,0)))," · ekstrapolasyon",""))</f>
        <v>Uyumlu (±%10)</v>
      </c>
    </row>
    <row r="208" spans="1:11" x14ac:dyDescent="0.25">
      <c r="A208" s="37" t="s">
        <v>3032</v>
      </c>
      <c r="B208" s="40" t="str">
        <f>INDEX(Legacy_Index!$D:$D,MATCH(A208,Legacy_Index!$A:$A,0))</f>
        <v>RG8 Type (Ericsson TZC 500)</v>
      </c>
      <c r="C208" s="37" t="s">
        <v>3117</v>
      </c>
      <c r="D208" s="37">
        <v>1</v>
      </c>
      <c r="E208" s="37">
        <v>10</v>
      </c>
      <c r="F208" s="37">
        <v>0.3</v>
      </c>
      <c r="G208" s="40" t="str">
        <f>IF(INDEX(Legacy_Index!$G:$G,MATCH(A208,Legacy_Index!$A:$A,0))="","",INDEX(Legacy_Index!$G:$G,MATCH(A208,Legacy_Index!$A:$A,0)))</f>
        <v>ERI-TZC50032</v>
      </c>
      <c r="H208" s="43">
        <f>IF(G208="","",EXP(FORECAST(LN(D208),INDEX(Attenuation!$K:$K,(INDEX(Cables!$AO:$AO,MATCH(G208,Cables!$A:$A,0))-1+MIN(MAX(IFERROR(MATCH(LN(D208),INDEX(Attenuation!$J:$J,INDEX(Cables!$AO:$AO,MATCH(G208,Cables!$A:$A,0))):INDEX(Attenuation!$J:$J,INDEX(Cables!$AO:$AO,MATCH(G208,Cables!$A:$A,0))+INDEX(Cables!$AP:$AP,MATCH(G208,Cables!$A:$A,0))-1),1),1),1),INDEX(Cables!$AP:$AP,MATCH(G208,Cables!$A:$A,0))-1))):INDEX(Attenuation!$K:$K,(INDEX(Cables!$AO:$AO,MATCH(G208,Cables!$A:$A,0))-1+MIN(MAX(IFERROR(MATCH(LN(D208),INDEX(Attenuation!$J:$J,INDEX(Cables!$AO:$AO,MATCH(G208,Cables!$A:$A,0))):INDEX(Attenuation!$J:$J,INDEX(Cables!$AO:$AO,MATCH(G208,Cables!$A:$A,0))+INDEX(Cables!$AP:$AP,MATCH(G208,Cables!$A:$A,0))-1),1),1),1),INDEX(Cables!$AP:$AP,MATCH(G208,Cables!$A:$A,0))-1))+1),INDEX(Attenuation!$J:$J,(INDEX(Cables!$AO:$AO,MATCH(G208,Cables!$A:$A,0))-1+MIN(MAX(IFERROR(MATCH(LN(D208),INDEX(Attenuation!$J:$J,INDEX(Cables!$AO:$AO,MATCH(G208,Cables!$A:$A,0))):INDEX(Attenuation!$J:$J,INDEX(Cables!$AO:$AO,MATCH(G208,Cables!$A:$A,0))+INDEX(Cables!$AP:$AP,MATCH(G208,Cables!$A:$A,0))-1),1),1),1),INDEX(Cables!$AP:$AP,MATCH(G208,Cables!$A:$A,0))-1))):INDEX(Attenuation!$J:$J,(INDEX(Cables!$AO:$AO,MATCH(G208,Cables!$A:$A,0))-1+MIN(MAX(IFERROR(MATCH(LN(D208),INDEX(Attenuation!$J:$J,INDEX(Cables!$AO:$AO,MATCH(G208,Cables!$A:$A,0))):INDEX(Attenuation!$J:$J,INDEX(Cables!$AO:$AO,MATCH(G208,Cables!$A:$A,0))+INDEX(Cables!$AP:$AP,MATCH(G208,Cables!$A:$A,0))-1),1),1),1),INDEX(Cables!$AP:$AP,MATCH(G208,Cables!$A:$A,0))-1))+1)))*0.3048)</f>
        <v>0.20534750404085722</v>
      </c>
      <c r="I208" s="43">
        <f>IF(G208="","",EXP(FORECAST(LN(E208),INDEX(Attenuation!$K:$K,(INDEX(Cables!$AO:$AO,MATCH(G208,Cables!$A:$A,0))-1+MIN(MAX(IFERROR(MATCH(LN(E208),INDEX(Attenuation!$J:$J,INDEX(Cables!$AO:$AO,MATCH(G208,Cables!$A:$A,0))):INDEX(Attenuation!$J:$J,INDEX(Cables!$AO:$AO,MATCH(G208,Cables!$A:$A,0))+INDEX(Cables!$AP:$AP,MATCH(G208,Cables!$A:$A,0))-1),1),1),1),INDEX(Cables!$AP:$AP,MATCH(G208,Cables!$A:$A,0))-1))):INDEX(Attenuation!$K:$K,(INDEX(Cables!$AO:$AO,MATCH(G208,Cables!$A:$A,0))-1+MIN(MAX(IFERROR(MATCH(LN(E208),INDEX(Attenuation!$J:$J,INDEX(Cables!$AO:$AO,MATCH(G208,Cables!$A:$A,0))):INDEX(Attenuation!$J:$J,INDEX(Cables!$AO:$AO,MATCH(G208,Cables!$A:$A,0))+INDEX(Cables!$AP:$AP,MATCH(G208,Cables!$A:$A,0))-1),1),1),1),INDEX(Cables!$AP:$AP,MATCH(G208,Cables!$A:$A,0))-1))+1),INDEX(Attenuation!$J:$J,(INDEX(Cables!$AO:$AO,MATCH(G208,Cables!$A:$A,0))-1+MIN(MAX(IFERROR(MATCH(LN(E208),INDEX(Attenuation!$J:$J,INDEX(Cables!$AO:$AO,MATCH(G208,Cables!$A:$A,0))):INDEX(Attenuation!$J:$J,INDEX(Cables!$AO:$AO,MATCH(G208,Cables!$A:$A,0))+INDEX(Cables!$AP:$AP,MATCH(G208,Cables!$A:$A,0))-1),1),1),1),INDEX(Cables!$AP:$AP,MATCH(G208,Cables!$A:$A,0))-1))):INDEX(Attenuation!$J:$J,(INDEX(Cables!$AO:$AO,MATCH(G208,Cables!$A:$A,0))-1+MIN(MAX(IFERROR(MATCH(LN(E208),INDEX(Attenuation!$J:$J,INDEX(Cables!$AO:$AO,MATCH(G208,Cables!$A:$A,0))):INDEX(Attenuation!$J:$J,INDEX(Cables!$AO:$AO,MATCH(G208,Cables!$A:$A,0))+INDEX(Cables!$AP:$AP,MATCH(G208,Cables!$A:$A,0))-1),1),1),1),INDEX(Cables!$AP:$AP,MATCH(G208,Cables!$A:$A,0))-1))+1)))*0.3048)</f>
        <v>0.56884831737940911</v>
      </c>
      <c r="J208" s="44">
        <f t="shared" si="3"/>
        <v>0</v>
      </c>
      <c r="K208" s="40" t="str">
        <f>IF(G208="","Doğrulanmadı",IF(ABS(J208)&lt;=0.1,"Uyumlu (±%10)",IF(ABS(J208)&lt;=0.25,"Fark %10-25","Fark &gt;%25"))&amp;IF(OR(D208&lt;INDEX(Cables!$AQ:$AQ,MATCH(G208,Cables!$A:$A,0)),E208&gt;INDEX(Cables!$AR:$AR,MATCH(G208,Cables!$A:$A,0)))," · ekstrapolasyon",""))</f>
        <v>Uyumlu (±%10) · ekstrapolasyon</v>
      </c>
    </row>
    <row r="209" spans="1:11" x14ac:dyDescent="0.25">
      <c r="A209" s="37" t="s">
        <v>3032</v>
      </c>
      <c r="B209" s="40" t="str">
        <f>INDEX(Legacy_Index!$D:$D,MATCH(A209,Legacy_Index!$A:$A,0))</f>
        <v>RG8 Type (Ericsson TZC 500)</v>
      </c>
      <c r="C209" s="37" t="s">
        <v>3118</v>
      </c>
      <c r="D209" s="37">
        <v>30</v>
      </c>
      <c r="E209" s="37">
        <v>50</v>
      </c>
      <c r="F209" s="37">
        <v>0.85</v>
      </c>
      <c r="G209" s="40" t="str">
        <f>IF(INDEX(Legacy_Index!$G:$G,MATCH(A209,Legacy_Index!$A:$A,0))="","",INDEX(Legacy_Index!$G:$G,MATCH(A209,Legacy_Index!$A:$A,0)))</f>
        <v>ERI-TZC50032</v>
      </c>
      <c r="H209" s="43">
        <f>IF(G209="","",EXP(FORECAST(LN(D209),INDEX(Attenuation!$K:$K,(INDEX(Cables!$AO:$AO,MATCH(G209,Cables!$A:$A,0))-1+MIN(MAX(IFERROR(MATCH(LN(D209),INDEX(Attenuation!$J:$J,INDEX(Cables!$AO:$AO,MATCH(G209,Cables!$A:$A,0))):INDEX(Attenuation!$J:$J,INDEX(Cables!$AO:$AO,MATCH(G209,Cables!$A:$A,0))+INDEX(Cables!$AP:$AP,MATCH(G209,Cables!$A:$A,0))-1),1),1),1),INDEX(Cables!$AP:$AP,MATCH(G209,Cables!$A:$A,0))-1))):INDEX(Attenuation!$K:$K,(INDEX(Cables!$AO:$AO,MATCH(G209,Cables!$A:$A,0))-1+MIN(MAX(IFERROR(MATCH(LN(D209),INDEX(Attenuation!$J:$J,INDEX(Cables!$AO:$AO,MATCH(G209,Cables!$A:$A,0))):INDEX(Attenuation!$J:$J,INDEX(Cables!$AO:$AO,MATCH(G209,Cables!$A:$A,0))+INDEX(Cables!$AP:$AP,MATCH(G209,Cables!$A:$A,0))-1),1),1),1),INDEX(Cables!$AP:$AP,MATCH(G209,Cables!$A:$A,0))-1))+1),INDEX(Attenuation!$J:$J,(INDEX(Cables!$AO:$AO,MATCH(G209,Cables!$A:$A,0))-1+MIN(MAX(IFERROR(MATCH(LN(D209),INDEX(Attenuation!$J:$J,INDEX(Cables!$AO:$AO,MATCH(G209,Cables!$A:$A,0))):INDEX(Attenuation!$J:$J,INDEX(Cables!$AO:$AO,MATCH(G209,Cables!$A:$A,0))+INDEX(Cables!$AP:$AP,MATCH(G209,Cables!$A:$A,0))-1),1),1),1),INDEX(Cables!$AP:$AP,MATCH(G209,Cables!$A:$A,0))-1))):INDEX(Attenuation!$J:$J,(INDEX(Cables!$AO:$AO,MATCH(G209,Cables!$A:$A,0))-1+MIN(MAX(IFERROR(MATCH(LN(D209),INDEX(Attenuation!$J:$J,INDEX(Cables!$AO:$AO,MATCH(G209,Cables!$A:$A,0))):INDEX(Attenuation!$J:$J,INDEX(Cables!$AO:$AO,MATCH(G209,Cables!$A:$A,0))+INDEX(Cables!$AP:$AP,MATCH(G209,Cables!$A:$A,0))-1),1),1),1),INDEX(Cables!$AP:$AP,MATCH(G209,Cables!$A:$A,0))-1))+1)))*0.3048)</f>
        <v>0.92496648394736114</v>
      </c>
      <c r="I209" s="43">
        <f>IF(G209="","",EXP(FORECAST(LN(E209),INDEX(Attenuation!$K:$K,(INDEX(Cables!$AO:$AO,MATCH(G209,Cables!$A:$A,0))-1+MIN(MAX(IFERROR(MATCH(LN(E209),INDEX(Attenuation!$J:$J,INDEX(Cables!$AO:$AO,MATCH(G209,Cables!$A:$A,0))):INDEX(Attenuation!$J:$J,INDEX(Cables!$AO:$AO,MATCH(G209,Cables!$A:$A,0))+INDEX(Cables!$AP:$AP,MATCH(G209,Cables!$A:$A,0))-1),1),1),1),INDEX(Cables!$AP:$AP,MATCH(G209,Cables!$A:$A,0))-1))):INDEX(Attenuation!$K:$K,(INDEX(Cables!$AO:$AO,MATCH(G209,Cables!$A:$A,0))-1+MIN(MAX(IFERROR(MATCH(LN(E209),INDEX(Attenuation!$J:$J,INDEX(Cables!$AO:$AO,MATCH(G209,Cables!$A:$A,0))):INDEX(Attenuation!$J:$J,INDEX(Cables!$AO:$AO,MATCH(G209,Cables!$A:$A,0))+INDEX(Cables!$AP:$AP,MATCH(G209,Cables!$A:$A,0))-1),1),1),1),INDEX(Cables!$AP:$AP,MATCH(G209,Cables!$A:$A,0))-1))+1),INDEX(Attenuation!$J:$J,(INDEX(Cables!$AO:$AO,MATCH(G209,Cables!$A:$A,0))-1+MIN(MAX(IFERROR(MATCH(LN(E209),INDEX(Attenuation!$J:$J,INDEX(Cables!$AO:$AO,MATCH(G209,Cables!$A:$A,0))):INDEX(Attenuation!$J:$J,INDEX(Cables!$AO:$AO,MATCH(G209,Cables!$A:$A,0))+INDEX(Cables!$AP:$AP,MATCH(G209,Cables!$A:$A,0))-1),1),1),1),INDEX(Cables!$AP:$AP,MATCH(G209,Cables!$A:$A,0))-1))):INDEX(Attenuation!$J:$J,(INDEX(Cables!$AO:$AO,MATCH(G209,Cables!$A:$A,0))-1+MIN(MAX(IFERROR(MATCH(LN(E209),INDEX(Attenuation!$J:$J,INDEX(Cables!$AO:$AO,MATCH(G209,Cables!$A:$A,0))):INDEX(Attenuation!$J:$J,INDEX(Cables!$AO:$AO,MATCH(G209,Cables!$A:$A,0))+INDEX(Cables!$AP:$AP,MATCH(G209,Cables!$A:$A,0))-1),1),1),1),INDEX(Cables!$AP:$AP,MATCH(G209,Cables!$A:$A,0))-1))+1)))*0.3048)</f>
        <v>1.1595664251296434</v>
      </c>
      <c r="J209" s="44">
        <f t="shared" si="3"/>
        <v>-8.1047784161255576E-2</v>
      </c>
      <c r="K209" s="40" t="str">
        <f>IF(G209="","Doğrulanmadı",IF(ABS(J209)&lt;=0.1,"Uyumlu (±%10)",IF(ABS(J209)&lt;=0.25,"Fark %10-25","Fark &gt;%25"))&amp;IF(OR(D209&lt;INDEX(Cables!$AQ:$AQ,MATCH(G209,Cables!$A:$A,0)),E209&gt;INDEX(Cables!$AR:$AR,MATCH(G209,Cables!$A:$A,0)))," · ekstrapolasyon",""))</f>
        <v>Uyumlu (±%10) · ekstrapolasyon</v>
      </c>
    </row>
    <row r="210" spans="1:11" x14ac:dyDescent="0.25">
      <c r="A210" s="37" t="s">
        <v>3032</v>
      </c>
      <c r="B210" s="40" t="str">
        <f>INDEX(Legacy_Index!$D:$D,MATCH(A210,Legacy_Index!$A:$A,0))</f>
        <v>RG8 Type (Ericsson TZC 500)</v>
      </c>
      <c r="C210" s="37" t="s">
        <v>3113</v>
      </c>
      <c r="D210" s="37">
        <v>70</v>
      </c>
      <c r="E210" s="37">
        <v>100</v>
      </c>
      <c r="F210" s="37">
        <v>1.3</v>
      </c>
      <c r="G210" s="40" t="str">
        <f>IF(INDEX(Legacy_Index!$G:$G,MATCH(A210,Legacy_Index!$A:$A,0))="","",INDEX(Legacy_Index!$G:$G,MATCH(A210,Legacy_Index!$A:$A,0)))</f>
        <v>ERI-TZC50032</v>
      </c>
      <c r="H210" s="43">
        <f>IF(G210="","",EXP(FORECAST(LN(D210),INDEX(Attenuation!$K:$K,(INDEX(Cables!$AO:$AO,MATCH(G210,Cables!$A:$A,0))-1+MIN(MAX(IFERROR(MATCH(LN(D210),INDEX(Attenuation!$J:$J,INDEX(Cables!$AO:$AO,MATCH(G210,Cables!$A:$A,0))):INDEX(Attenuation!$J:$J,INDEX(Cables!$AO:$AO,MATCH(G210,Cables!$A:$A,0))+INDEX(Cables!$AP:$AP,MATCH(G210,Cables!$A:$A,0))-1),1),1),1),INDEX(Cables!$AP:$AP,MATCH(G210,Cables!$A:$A,0))-1))):INDEX(Attenuation!$K:$K,(INDEX(Cables!$AO:$AO,MATCH(G210,Cables!$A:$A,0))-1+MIN(MAX(IFERROR(MATCH(LN(D210),INDEX(Attenuation!$J:$J,INDEX(Cables!$AO:$AO,MATCH(G210,Cables!$A:$A,0))):INDEX(Attenuation!$J:$J,INDEX(Cables!$AO:$AO,MATCH(G210,Cables!$A:$A,0))+INDEX(Cables!$AP:$AP,MATCH(G210,Cables!$A:$A,0))-1),1),1),1),INDEX(Cables!$AP:$AP,MATCH(G210,Cables!$A:$A,0))-1))+1),INDEX(Attenuation!$J:$J,(INDEX(Cables!$AO:$AO,MATCH(G210,Cables!$A:$A,0))-1+MIN(MAX(IFERROR(MATCH(LN(D210),INDEX(Attenuation!$J:$J,INDEX(Cables!$AO:$AO,MATCH(G210,Cables!$A:$A,0))):INDEX(Attenuation!$J:$J,INDEX(Cables!$AO:$AO,MATCH(G210,Cables!$A:$A,0))+INDEX(Cables!$AP:$AP,MATCH(G210,Cables!$A:$A,0))-1),1),1),1),INDEX(Cables!$AP:$AP,MATCH(G210,Cables!$A:$A,0))-1))):INDEX(Attenuation!$J:$J,(INDEX(Cables!$AO:$AO,MATCH(G210,Cables!$A:$A,0))-1+MIN(MAX(IFERROR(MATCH(LN(D210),INDEX(Attenuation!$J:$J,INDEX(Cables!$AO:$AO,MATCH(G210,Cables!$A:$A,0))):INDEX(Attenuation!$J:$J,INDEX(Cables!$AO:$AO,MATCH(G210,Cables!$A:$A,0))+INDEX(Cables!$AP:$AP,MATCH(G210,Cables!$A:$A,0))-1),1),1),1),INDEX(Cables!$AP:$AP,MATCH(G210,Cables!$A:$A,0))-1))+1)))*0.3048)</f>
        <v>1.3457311891905896</v>
      </c>
      <c r="I210" s="43">
        <f>IF(G210="","",EXP(FORECAST(LN(E210),INDEX(Attenuation!$K:$K,(INDEX(Cables!$AO:$AO,MATCH(G210,Cables!$A:$A,0))-1+MIN(MAX(IFERROR(MATCH(LN(E210),INDEX(Attenuation!$J:$J,INDEX(Cables!$AO:$AO,MATCH(G210,Cables!$A:$A,0))):INDEX(Attenuation!$J:$J,INDEX(Cables!$AO:$AO,MATCH(G210,Cables!$A:$A,0))+INDEX(Cables!$AP:$AP,MATCH(G210,Cables!$A:$A,0))-1),1),1),1),INDEX(Cables!$AP:$AP,MATCH(G210,Cables!$A:$A,0))-1))):INDEX(Attenuation!$K:$K,(INDEX(Cables!$AO:$AO,MATCH(G210,Cables!$A:$A,0))-1+MIN(MAX(IFERROR(MATCH(LN(E210),INDEX(Attenuation!$J:$J,INDEX(Cables!$AO:$AO,MATCH(G210,Cables!$A:$A,0))):INDEX(Attenuation!$J:$J,INDEX(Cables!$AO:$AO,MATCH(G210,Cables!$A:$A,0))+INDEX(Cables!$AP:$AP,MATCH(G210,Cables!$A:$A,0))-1),1),1),1),INDEX(Cables!$AP:$AP,MATCH(G210,Cables!$A:$A,0))-1))+1),INDEX(Attenuation!$J:$J,(INDEX(Cables!$AO:$AO,MATCH(G210,Cables!$A:$A,0))-1+MIN(MAX(IFERROR(MATCH(LN(E210),INDEX(Attenuation!$J:$J,INDEX(Cables!$AO:$AO,MATCH(G210,Cables!$A:$A,0))):INDEX(Attenuation!$J:$J,INDEX(Cables!$AO:$AO,MATCH(G210,Cables!$A:$A,0))+INDEX(Cables!$AP:$AP,MATCH(G210,Cables!$A:$A,0))-1),1),1),1),INDEX(Cables!$AP:$AP,MATCH(G210,Cables!$A:$A,0))-1))):INDEX(Attenuation!$J:$J,(INDEX(Cables!$AO:$AO,MATCH(G210,Cables!$A:$A,0))-1+MIN(MAX(IFERROR(MATCH(LN(E210),INDEX(Attenuation!$J:$J,INDEX(Cables!$AO:$AO,MATCH(G210,Cables!$A:$A,0))):INDEX(Attenuation!$J:$J,INDEX(Cables!$AO:$AO,MATCH(G210,Cables!$A:$A,0))+INDEX(Cables!$AP:$AP,MATCH(G210,Cables!$A:$A,0))-1),1),1),1),INDEX(Cables!$AP:$AP,MATCH(G210,Cables!$A:$A,0))-1))+1)))*0.3048)</f>
        <v>1.5758088207441849</v>
      </c>
      <c r="J210" s="44">
        <f t="shared" si="3"/>
        <v>-3.3982410126122797E-2</v>
      </c>
      <c r="K210" s="40" t="str">
        <f>IF(G210="","Doğrulanmadı",IF(ABS(J210)&lt;=0.1,"Uyumlu (±%10)",IF(ABS(J210)&lt;=0.25,"Fark %10-25","Fark &gt;%25"))&amp;IF(OR(D210&lt;INDEX(Cables!$AQ:$AQ,MATCH(G210,Cables!$A:$A,0)),E210&gt;INDEX(Cables!$AR:$AR,MATCH(G210,Cables!$A:$A,0)))," · ekstrapolasyon",""))</f>
        <v>Uyumlu (±%10) · ekstrapolasyon</v>
      </c>
    </row>
    <row r="211" spans="1:11" x14ac:dyDescent="0.25">
      <c r="A211" s="37" t="s">
        <v>3032</v>
      </c>
      <c r="B211" s="40" t="str">
        <f>INDEX(Legacy_Index!$D:$D,MATCH(A211,Legacy_Index!$A:$A,0))</f>
        <v>RG8 Type (Ericsson TZC 500)</v>
      </c>
      <c r="C211" s="37" t="s">
        <v>3114</v>
      </c>
      <c r="D211" s="37">
        <v>148</v>
      </c>
      <c r="E211" s="37">
        <v>174</v>
      </c>
      <c r="F211" s="37">
        <v>1.65</v>
      </c>
      <c r="G211" s="40" t="str">
        <f>IF(INDEX(Legacy_Index!$G:$G,MATCH(A211,Legacy_Index!$A:$A,0))="","",INDEX(Legacy_Index!$G:$G,MATCH(A211,Legacy_Index!$A:$A,0)))</f>
        <v>ERI-TZC50032</v>
      </c>
      <c r="H211" s="43">
        <f>IF(G211="","",EXP(FORECAST(LN(D211),INDEX(Attenuation!$K:$K,(INDEX(Cables!$AO:$AO,MATCH(G211,Cables!$A:$A,0))-1+MIN(MAX(IFERROR(MATCH(LN(D211),INDEX(Attenuation!$J:$J,INDEX(Cables!$AO:$AO,MATCH(G211,Cables!$A:$A,0))):INDEX(Attenuation!$J:$J,INDEX(Cables!$AO:$AO,MATCH(G211,Cables!$A:$A,0))+INDEX(Cables!$AP:$AP,MATCH(G211,Cables!$A:$A,0))-1),1),1),1),INDEX(Cables!$AP:$AP,MATCH(G211,Cables!$A:$A,0))-1))):INDEX(Attenuation!$K:$K,(INDEX(Cables!$AO:$AO,MATCH(G211,Cables!$A:$A,0))-1+MIN(MAX(IFERROR(MATCH(LN(D211),INDEX(Attenuation!$J:$J,INDEX(Cables!$AO:$AO,MATCH(G211,Cables!$A:$A,0))):INDEX(Attenuation!$J:$J,INDEX(Cables!$AO:$AO,MATCH(G211,Cables!$A:$A,0))+INDEX(Cables!$AP:$AP,MATCH(G211,Cables!$A:$A,0))-1),1),1),1),INDEX(Cables!$AP:$AP,MATCH(G211,Cables!$A:$A,0))-1))+1),INDEX(Attenuation!$J:$J,(INDEX(Cables!$AO:$AO,MATCH(G211,Cables!$A:$A,0))-1+MIN(MAX(IFERROR(MATCH(LN(D211),INDEX(Attenuation!$J:$J,INDEX(Cables!$AO:$AO,MATCH(G211,Cables!$A:$A,0))):INDEX(Attenuation!$J:$J,INDEX(Cables!$AO:$AO,MATCH(G211,Cables!$A:$A,0))+INDEX(Cables!$AP:$AP,MATCH(G211,Cables!$A:$A,0))-1),1),1),1),INDEX(Cables!$AP:$AP,MATCH(G211,Cables!$A:$A,0))-1))):INDEX(Attenuation!$J:$J,(INDEX(Cables!$AO:$AO,MATCH(G211,Cables!$A:$A,0))-1+MIN(MAX(IFERROR(MATCH(LN(D211),INDEX(Attenuation!$J:$J,INDEX(Cables!$AO:$AO,MATCH(G211,Cables!$A:$A,0))):INDEX(Attenuation!$J:$J,INDEX(Cables!$AO:$AO,MATCH(G211,Cables!$A:$A,0))+INDEX(Cables!$AP:$AP,MATCH(G211,Cables!$A:$A,0))-1),1),1),1),INDEX(Cables!$AP:$AP,MATCH(G211,Cables!$A:$A,0))-1))+1)))*0.3048)</f>
        <v>1.87432775585752</v>
      </c>
      <c r="I211" s="43">
        <f>IF(G211="","",EXP(FORECAST(LN(E211),INDEX(Attenuation!$K:$K,(INDEX(Cables!$AO:$AO,MATCH(G211,Cables!$A:$A,0))-1+MIN(MAX(IFERROR(MATCH(LN(E211),INDEX(Attenuation!$J:$J,INDEX(Cables!$AO:$AO,MATCH(G211,Cables!$A:$A,0))):INDEX(Attenuation!$J:$J,INDEX(Cables!$AO:$AO,MATCH(G211,Cables!$A:$A,0))+INDEX(Cables!$AP:$AP,MATCH(G211,Cables!$A:$A,0))-1),1),1),1),INDEX(Cables!$AP:$AP,MATCH(G211,Cables!$A:$A,0))-1))):INDEX(Attenuation!$K:$K,(INDEX(Cables!$AO:$AO,MATCH(G211,Cables!$A:$A,0))-1+MIN(MAX(IFERROR(MATCH(LN(E211),INDEX(Attenuation!$J:$J,INDEX(Cables!$AO:$AO,MATCH(G211,Cables!$A:$A,0))):INDEX(Attenuation!$J:$J,INDEX(Cables!$AO:$AO,MATCH(G211,Cables!$A:$A,0))+INDEX(Cables!$AP:$AP,MATCH(G211,Cables!$A:$A,0))-1),1),1),1),INDEX(Cables!$AP:$AP,MATCH(G211,Cables!$A:$A,0))-1))+1),INDEX(Attenuation!$J:$J,(INDEX(Cables!$AO:$AO,MATCH(G211,Cables!$A:$A,0))-1+MIN(MAX(IFERROR(MATCH(LN(E211),INDEX(Attenuation!$J:$J,INDEX(Cables!$AO:$AO,MATCH(G211,Cables!$A:$A,0))):INDEX(Attenuation!$J:$J,INDEX(Cables!$AO:$AO,MATCH(G211,Cables!$A:$A,0))+INDEX(Cables!$AP:$AP,MATCH(G211,Cables!$A:$A,0))-1),1),1),1),INDEX(Cables!$AP:$AP,MATCH(G211,Cables!$A:$A,0))-1))):INDEX(Attenuation!$J:$J,(INDEX(Cables!$AO:$AO,MATCH(G211,Cables!$A:$A,0))-1+MIN(MAX(IFERROR(MATCH(LN(E211),INDEX(Attenuation!$J:$J,INDEX(Cables!$AO:$AO,MATCH(G211,Cables!$A:$A,0))):INDEX(Attenuation!$J:$J,INDEX(Cables!$AO:$AO,MATCH(G211,Cables!$A:$A,0))+INDEX(Cables!$AP:$AP,MATCH(G211,Cables!$A:$A,0))-1),1),1),1),INDEX(Cables!$AP:$AP,MATCH(G211,Cables!$A:$A,0))-1))+1)))*0.3048)</f>
        <v>2.0134843818771859</v>
      </c>
      <c r="J211" s="44">
        <f t="shared" si="3"/>
        <v>-0.11968438025658346</v>
      </c>
      <c r="K211" s="40" t="str">
        <f>IF(G211="","Doğrulanmadı",IF(ABS(J211)&lt;=0.1,"Uyumlu (±%10)",IF(ABS(J211)&lt;=0.25,"Fark %10-25","Fark &gt;%25"))&amp;IF(OR(D211&lt;INDEX(Cables!$AQ:$AQ,MATCH(G211,Cables!$A:$A,0)),E211&gt;INDEX(Cables!$AR:$AR,MATCH(G211,Cables!$A:$A,0)))," · ekstrapolasyon",""))</f>
        <v>Fark %10-25</v>
      </c>
    </row>
    <row r="212" spans="1:11" x14ac:dyDescent="0.25">
      <c r="A212" s="37" t="s">
        <v>3032</v>
      </c>
      <c r="B212" s="40" t="str">
        <f>INDEX(Legacy_Index!$D:$D,MATCH(A212,Legacy_Index!$A:$A,0))</f>
        <v>RG8 Type (Ericsson TZC 500)</v>
      </c>
      <c r="C212" s="37" t="s">
        <v>3119</v>
      </c>
      <c r="D212" s="37">
        <v>220</v>
      </c>
      <c r="E212" s="37">
        <v>220</v>
      </c>
      <c r="F212" s="37">
        <v>1.9</v>
      </c>
      <c r="G212" s="40" t="str">
        <f>IF(INDEX(Legacy_Index!$G:$G,MATCH(A212,Legacy_Index!$A:$A,0))="","",INDEX(Legacy_Index!$G:$G,MATCH(A212,Legacy_Index!$A:$A,0)))</f>
        <v>ERI-TZC50032</v>
      </c>
      <c r="H212" s="43">
        <f>IF(G212="","",EXP(FORECAST(LN(D212),INDEX(Attenuation!$K:$K,(INDEX(Cables!$AO:$AO,MATCH(G212,Cables!$A:$A,0))-1+MIN(MAX(IFERROR(MATCH(LN(D212),INDEX(Attenuation!$J:$J,INDEX(Cables!$AO:$AO,MATCH(G212,Cables!$A:$A,0))):INDEX(Attenuation!$J:$J,INDEX(Cables!$AO:$AO,MATCH(G212,Cables!$A:$A,0))+INDEX(Cables!$AP:$AP,MATCH(G212,Cables!$A:$A,0))-1),1),1),1),INDEX(Cables!$AP:$AP,MATCH(G212,Cables!$A:$A,0))-1))):INDEX(Attenuation!$K:$K,(INDEX(Cables!$AO:$AO,MATCH(G212,Cables!$A:$A,0))-1+MIN(MAX(IFERROR(MATCH(LN(D212),INDEX(Attenuation!$J:$J,INDEX(Cables!$AO:$AO,MATCH(G212,Cables!$A:$A,0))):INDEX(Attenuation!$J:$J,INDEX(Cables!$AO:$AO,MATCH(G212,Cables!$A:$A,0))+INDEX(Cables!$AP:$AP,MATCH(G212,Cables!$A:$A,0))-1),1),1),1),INDEX(Cables!$AP:$AP,MATCH(G212,Cables!$A:$A,0))-1))+1),INDEX(Attenuation!$J:$J,(INDEX(Cables!$AO:$AO,MATCH(G212,Cables!$A:$A,0))-1+MIN(MAX(IFERROR(MATCH(LN(D212),INDEX(Attenuation!$J:$J,INDEX(Cables!$AO:$AO,MATCH(G212,Cables!$A:$A,0))):INDEX(Attenuation!$J:$J,INDEX(Cables!$AO:$AO,MATCH(G212,Cables!$A:$A,0))+INDEX(Cables!$AP:$AP,MATCH(G212,Cables!$A:$A,0))-1),1),1),1),INDEX(Cables!$AP:$AP,MATCH(G212,Cables!$A:$A,0))-1))):INDEX(Attenuation!$J:$J,(INDEX(Cables!$AO:$AO,MATCH(G212,Cables!$A:$A,0))-1+MIN(MAX(IFERROR(MATCH(LN(D212),INDEX(Attenuation!$J:$J,INDEX(Cables!$AO:$AO,MATCH(G212,Cables!$A:$A,0))):INDEX(Attenuation!$J:$J,INDEX(Cables!$AO:$AO,MATCH(G212,Cables!$A:$A,0))+INDEX(Cables!$AP:$AP,MATCH(G212,Cables!$A:$A,0))-1),1),1),1),INDEX(Cables!$AP:$AP,MATCH(G212,Cables!$A:$A,0))-1))+1)))*0.3048)</f>
        <v>2.2337161143241051</v>
      </c>
      <c r="I212" s="43">
        <f>IF(G212="","",EXP(FORECAST(LN(E212),INDEX(Attenuation!$K:$K,(INDEX(Cables!$AO:$AO,MATCH(G212,Cables!$A:$A,0))-1+MIN(MAX(IFERROR(MATCH(LN(E212),INDEX(Attenuation!$J:$J,INDEX(Cables!$AO:$AO,MATCH(G212,Cables!$A:$A,0))):INDEX(Attenuation!$J:$J,INDEX(Cables!$AO:$AO,MATCH(G212,Cables!$A:$A,0))+INDEX(Cables!$AP:$AP,MATCH(G212,Cables!$A:$A,0))-1),1),1),1),INDEX(Cables!$AP:$AP,MATCH(G212,Cables!$A:$A,0))-1))):INDEX(Attenuation!$K:$K,(INDEX(Cables!$AO:$AO,MATCH(G212,Cables!$A:$A,0))-1+MIN(MAX(IFERROR(MATCH(LN(E212),INDEX(Attenuation!$J:$J,INDEX(Cables!$AO:$AO,MATCH(G212,Cables!$A:$A,0))):INDEX(Attenuation!$J:$J,INDEX(Cables!$AO:$AO,MATCH(G212,Cables!$A:$A,0))+INDEX(Cables!$AP:$AP,MATCH(G212,Cables!$A:$A,0))-1),1),1),1),INDEX(Cables!$AP:$AP,MATCH(G212,Cables!$A:$A,0))-1))+1),INDEX(Attenuation!$J:$J,(INDEX(Cables!$AO:$AO,MATCH(G212,Cables!$A:$A,0))-1+MIN(MAX(IFERROR(MATCH(LN(E212),INDEX(Attenuation!$J:$J,INDEX(Cables!$AO:$AO,MATCH(G212,Cables!$A:$A,0))):INDEX(Attenuation!$J:$J,INDEX(Cables!$AO:$AO,MATCH(G212,Cables!$A:$A,0))+INDEX(Cables!$AP:$AP,MATCH(G212,Cables!$A:$A,0))-1),1),1),1),INDEX(Cables!$AP:$AP,MATCH(G212,Cables!$A:$A,0))-1))):INDEX(Attenuation!$J:$J,(INDEX(Cables!$AO:$AO,MATCH(G212,Cables!$A:$A,0))-1+MIN(MAX(IFERROR(MATCH(LN(E212),INDEX(Attenuation!$J:$J,INDEX(Cables!$AO:$AO,MATCH(G212,Cables!$A:$A,0))):INDEX(Attenuation!$J:$J,INDEX(Cables!$AO:$AO,MATCH(G212,Cables!$A:$A,0))+INDEX(Cables!$AP:$AP,MATCH(G212,Cables!$A:$A,0))-1),1),1),1),INDEX(Cables!$AP:$AP,MATCH(G212,Cables!$A:$A,0))-1))+1)))*0.3048)</f>
        <v>2.2337161143241051</v>
      </c>
      <c r="J212" s="44">
        <f t="shared" si="3"/>
        <v>-0.1493995195647696</v>
      </c>
      <c r="K212" s="40" t="str">
        <f>IF(G212="","Doğrulanmadı",IF(ABS(J212)&lt;=0.1,"Uyumlu (±%10)",IF(ABS(J212)&lt;=0.25,"Fark %10-25","Fark &gt;%25"))&amp;IF(OR(D212&lt;INDEX(Cables!$AQ:$AQ,MATCH(G212,Cables!$A:$A,0)),E212&gt;INDEX(Cables!$AR:$AR,MATCH(G212,Cables!$A:$A,0)))," · ekstrapolasyon",""))</f>
        <v>Fark %10-25</v>
      </c>
    </row>
    <row r="213" spans="1:11" x14ac:dyDescent="0.25">
      <c r="A213" s="37" t="s">
        <v>3032</v>
      </c>
      <c r="B213" s="40" t="str">
        <f>INDEX(Legacy_Index!$D:$D,MATCH(A213,Legacy_Index!$A:$A,0))</f>
        <v>RG8 Type (Ericsson TZC 500)</v>
      </c>
      <c r="C213" s="37" t="s">
        <v>3115</v>
      </c>
      <c r="D213" s="37">
        <v>400</v>
      </c>
      <c r="E213" s="37">
        <v>520</v>
      </c>
      <c r="F213" s="37">
        <v>2.8</v>
      </c>
      <c r="G213" s="40" t="str">
        <f>IF(INDEX(Legacy_Index!$G:$G,MATCH(A213,Legacy_Index!$A:$A,0))="","",INDEX(Legacy_Index!$G:$G,MATCH(A213,Legacy_Index!$A:$A,0)))</f>
        <v>ERI-TZC50032</v>
      </c>
      <c r="H213" s="43">
        <f>IF(G213="","",EXP(FORECAST(LN(D213),INDEX(Attenuation!$K:$K,(INDEX(Cables!$AO:$AO,MATCH(G213,Cables!$A:$A,0))-1+MIN(MAX(IFERROR(MATCH(LN(D213),INDEX(Attenuation!$J:$J,INDEX(Cables!$AO:$AO,MATCH(G213,Cables!$A:$A,0))):INDEX(Attenuation!$J:$J,INDEX(Cables!$AO:$AO,MATCH(G213,Cables!$A:$A,0))+INDEX(Cables!$AP:$AP,MATCH(G213,Cables!$A:$A,0))-1),1),1),1),INDEX(Cables!$AP:$AP,MATCH(G213,Cables!$A:$A,0))-1))):INDEX(Attenuation!$K:$K,(INDEX(Cables!$AO:$AO,MATCH(G213,Cables!$A:$A,0))-1+MIN(MAX(IFERROR(MATCH(LN(D213),INDEX(Attenuation!$J:$J,INDEX(Cables!$AO:$AO,MATCH(G213,Cables!$A:$A,0))):INDEX(Attenuation!$J:$J,INDEX(Cables!$AO:$AO,MATCH(G213,Cables!$A:$A,0))+INDEX(Cables!$AP:$AP,MATCH(G213,Cables!$A:$A,0))-1),1),1),1),INDEX(Cables!$AP:$AP,MATCH(G213,Cables!$A:$A,0))-1))+1),INDEX(Attenuation!$J:$J,(INDEX(Cables!$AO:$AO,MATCH(G213,Cables!$A:$A,0))-1+MIN(MAX(IFERROR(MATCH(LN(D213),INDEX(Attenuation!$J:$J,INDEX(Cables!$AO:$AO,MATCH(G213,Cables!$A:$A,0))):INDEX(Attenuation!$J:$J,INDEX(Cables!$AO:$AO,MATCH(G213,Cables!$A:$A,0))+INDEX(Cables!$AP:$AP,MATCH(G213,Cables!$A:$A,0))-1),1),1),1),INDEX(Cables!$AP:$AP,MATCH(G213,Cables!$A:$A,0))-1))):INDEX(Attenuation!$J:$J,(INDEX(Cables!$AO:$AO,MATCH(G213,Cables!$A:$A,0))-1+MIN(MAX(IFERROR(MATCH(LN(D213),INDEX(Attenuation!$J:$J,INDEX(Cables!$AO:$AO,MATCH(G213,Cables!$A:$A,0))):INDEX(Attenuation!$J:$J,INDEX(Cables!$AO:$AO,MATCH(G213,Cables!$A:$A,0))+INDEX(Cables!$AP:$AP,MATCH(G213,Cables!$A:$A,0))-1),1),1),1),INDEX(Cables!$AP:$AP,MATCH(G213,Cables!$A:$A,0))-1))+1)))*0.3048)</f>
        <v>2.9486501619119165</v>
      </c>
      <c r="I213" s="43">
        <f>IF(G213="","",EXP(FORECAST(LN(E213),INDEX(Attenuation!$K:$K,(INDEX(Cables!$AO:$AO,MATCH(G213,Cables!$A:$A,0))-1+MIN(MAX(IFERROR(MATCH(LN(E213),INDEX(Attenuation!$J:$J,INDEX(Cables!$AO:$AO,MATCH(G213,Cables!$A:$A,0))):INDEX(Attenuation!$J:$J,INDEX(Cables!$AO:$AO,MATCH(G213,Cables!$A:$A,0))+INDEX(Cables!$AP:$AP,MATCH(G213,Cables!$A:$A,0))-1),1),1),1),INDEX(Cables!$AP:$AP,MATCH(G213,Cables!$A:$A,0))-1))):INDEX(Attenuation!$K:$K,(INDEX(Cables!$AO:$AO,MATCH(G213,Cables!$A:$A,0))-1+MIN(MAX(IFERROR(MATCH(LN(E213),INDEX(Attenuation!$J:$J,INDEX(Cables!$AO:$AO,MATCH(G213,Cables!$A:$A,0))):INDEX(Attenuation!$J:$J,INDEX(Cables!$AO:$AO,MATCH(G213,Cables!$A:$A,0))+INDEX(Cables!$AP:$AP,MATCH(G213,Cables!$A:$A,0))-1),1),1),1),INDEX(Cables!$AP:$AP,MATCH(G213,Cables!$A:$A,0))-1))+1),INDEX(Attenuation!$J:$J,(INDEX(Cables!$AO:$AO,MATCH(G213,Cables!$A:$A,0))-1+MIN(MAX(IFERROR(MATCH(LN(E213),INDEX(Attenuation!$J:$J,INDEX(Cables!$AO:$AO,MATCH(G213,Cables!$A:$A,0))):INDEX(Attenuation!$J:$J,INDEX(Cables!$AO:$AO,MATCH(G213,Cables!$A:$A,0))+INDEX(Cables!$AP:$AP,MATCH(G213,Cables!$A:$A,0))-1),1),1),1),INDEX(Cables!$AP:$AP,MATCH(G213,Cables!$A:$A,0))-1))):INDEX(Attenuation!$J:$J,(INDEX(Cables!$AO:$AO,MATCH(G213,Cables!$A:$A,0))-1+MIN(MAX(IFERROR(MATCH(LN(E213),INDEX(Attenuation!$J:$J,INDEX(Cables!$AO:$AO,MATCH(G213,Cables!$A:$A,0))):INDEX(Attenuation!$J:$J,INDEX(Cables!$AO:$AO,MATCH(G213,Cables!$A:$A,0))+INDEX(Cables!$AP:$AP,MATCH(G213,Cables!$A:$A,0))-1),1),1),1),INDEX(Cables!$AP:$AP,MATCH(G213,Cables!$A:$A,0))-1))+1)))*0.3048)</f>
        <v>3.3982173096667103</v>
      </c>
      <c r="J213" s="44">
        <f t="shared" si="3"/>
        <v>-5.0412952961341295E-2</v>
      </c>
      <c r="K213" s="40" t="str">
        <f>IF(G213="","Doğrulanmadı",IF(ABS(J213)&lt;=0.1,"Uyumlu (±%10)",IF(ABS(J213)&lt;=0.25,"Fark %10-25","Fark &gt;%25"))&amp;IF(OR(D213&lt;INDEX(Cables!$AQ:$AQ,MATCH(G213,Cables!$A:$A,0)),E213&gt;INDEX(Cables!$AR:$AR,MATCH(G213,Cables!$A:$A,0)))," · ekstrapolasyon",""))</f>
        <v>Uyumlu (±%10)</v>
      </c>
    </row>
    <row r="214" spans="1:11" x14ac:dyDescent="0.25">
      <c r="A214" s="37" t="s">
        <v>3032</v>
      </c>
      <c r="B214" s="40" t="str">
        <f>INDEX(Legacy_Index!$D:$D,MATCH(A214,Legacy_Index!$A:$A,0))</f>
        <v>RG8 Type (Ericsson TZC 500)</v>
      </c>
      <c r="C214" s="37" t="s">
        <v>3116</v>
      </c>
      <c r="D214" s="37">
        <v>700</v>
      </c>
      <c r="E214" s="37">
        <v>960</v>
      </c>
      <c r="F214" s="37">
        <v>4.5</v>
      </c>
      <c r="G214" s="40" t="str">
        <f>IF(INDEX(Legacy_Index!$G:$G,MATCH(A214,Legacy_Index!$A:$A,0))="","",INDEX(Legacy_Index!$G:$G,MATCH(A214,Legacy_Index!$A:$A,0)))</f>
        <v>ERI-TZC50032</v>
      </c>
      <c r="H214" s="43">
        <f>IF(G214="","",EXP(FORECAST(LN(D214),INDEX(Attenuation!$K:$K,(INDEX(Cables!$AO:$AO,MATCH(G214,Cables!$A:$A,0))-1+MIN(MAX(IFERROR(MATCH(LN(D214),INDEX(Attenuation!$J:$J,INDEX(Cables!$AO:$AO,MATCH(G214,Cables!$A:$A,0))):INDEX(Attenuation!$J:$J,INDEX(Cables!$AO:$AO,MATCH(G214,Cables!$A:$A,0))+INDEX(Cables!$AP:$AP,MATCH(G214,Cables!$A:$A,0))-1),1),1),1),INDEX(Cables!$AP:$AP,MATCH(G214,Cables!$A:$A,0))-1))):INDEX(Attenuation!$K:$K,(INDEX(Cables!$AO:$AO,MATCH(G214,Cables!$A:$A,0))-1+MIN(MAX(IFERROR(MATCH(LN(D214),INDEX(Attenuation!$J:$J,INDEX(Cables!$AO:$AO,MATCH(G214,Cables!$A:$A,0))):INDEX(Attenuation!$J:$J,INDEX(Cables!$AO:$AO,MATCH(G214,Cables!$A:$A,0))+INDEX(Cables!$AP:$AP,MATCH(G214,Cables!$A:$A,0))-1),1),1),1),INDEX(Cables!$AP:$AP,MATCH(G214,Cables!$A:$A,0))-1))+1),INDEX(Attenuation!$J:$J,(INDEX(Cables!$AO:$AO,MATCH(G214,Cables!$A:$A,0))-1+MIN(MAX(IFERROR(MATCH(LN(D214),INDEX(Attenuation!$J:$J,INDEX(Cables!$AO:$AO,MATCH(G214,Cables!$A:$A,0))):INDEX(Attenuation!$J:$J,INDEX(Cables!$AO:$AO,MATCH(G214,Cables!$A:$A,0))+INDEX(Cables!$AP:$AP,MATCH(G214,Cables!$A:$A,0))-1),1),1),1),INDEX(Cables!$AP:$AP,MATCH(G214,Cables!$A:$A,0))-1))):INDEX(Attenuation!$J:$J,(INDEX(Cables!$AO:$AO,MATCH(G214,Cables!$A:$A,0))-1+MIN(MAX(IFERROR(MATCH(LN(D214),INDEX(Attenuation!$J:$J,INDEX(Cables!$AO:$AO,MATCH(G214,Cables!$A:$A,0))):INDEX(Attenuation!$J:$J,INDEX(Cables!$AO:$AO,MATCH(G214,Cables!$A:$A,0))+INDEX(Cables!$AP:$AP,MATCH(G214,Cables!$A:$A,0))-1),1),1),1),INDEX(Cables!$AP:$AP,MATCH(G214,Cables!$A:$A,0))-1))+1)))*0.3048)</f>
        <v>3.9909277731863058</v>
      </c>
      <c r="I214" s="43">
        <f>IF(G214="","",EXP(FORECAST(LN(E214),INDEX(Attenuation!$K:$K,(INDEX(Cables!$AO:$AO,MATCH(G214,Cables!$A:$A,0))-1+MIN(MAX(IFERROR(MATCH(LN(E214),INDEX(Attenuation!$J:$J,INDEX(Cables!$AO:$AO,MATCH(G214,Cables!$A:$A,0))):INDEX(Attenuation!$J:$J,INDEX(Cables!$AO:$AO,MATCH(G214,Cables!$A:$A,0))+INDEX(Cables!$AP:$AP,MATCH(G214,Cables!$A:$A,0))-1),1),1),1),INDEX(Cables!$AP:$AP,MATCH(G214,Cables!$A:$A,0))-1))):INDEX(Attenuation!$K:$K,(INDEX(Cables!$AO:$AO,MATCH(G214,Cables!$A:$A,0))-1+MIN(MAX(IFERROR(MATCH(LN(E214),INDEX(Attenuation!$J:$J,INDEX(Cables!$AO:$AO,MATCH(G214,Cables!$A:$A,0))):INDEX(Attenuation!$J:$J,INDEX(Cables!$AO:$AO,MATCH(G214,Cables!$A:$A,0))+INDEX(Cables!$AP:$AP,MATCH(G214,Cables!$A:$A,0))-1),1),1),1),INDEX(Cables!$AP:$AP,MATCH(G214,Cables!$A:$A,0))-1))+1),INDEX(Attenuation!$J:$J,(INDEX(Cables!$AO:$AO,MATCH(G214,Cables!$A:$A,0))-1+MIN(MAX(IFERROR(MATCH(LN(E214),INDEX(Attenuation!$J:$J,INDEX(Cables!$AO:$AO,MATCH(G214,Cables!$A:$A,0))):INDEX(Attenuation!$J:$J,INDEX(Cables!$AO:$AO,MATCH(G214,Cables!$A:$A,0))+INDEX(Cables!$AP:$AP,MATCH(G214,Cables!$A:$A,0))-1),1),1),1),INDEX(Cables!$AP:$AP,MATCH(G214,Cables!$A:$A,0))-1))):INDEX(Attenuation!$J:$J,(INDEX(Cables!$AO:$AO,MATCH(G214,Cables!$A:$A,0))-1+MIN(MAX(IFERROR(MATCH(LN(E214),INDEX(Attenuation!$J:$J,INDEX(Cables!$AO:$AO,MATCH(G214,Cables!$A:$A,0))):INDEX(Attenuation!$J:$J,INDEX(Cables!$AO:$AO,MATCH(G214,Cables!$A:$A,0))+INDEX(Cables!$AP:$AP,MATCH(G214,Cables!$A:$A,0))-1),1),1),1),INDEX(Cables!$AP:$AP,MATCH(G214,Cables!$A:$A,0))-1))+1)))*0.3048)</f>
        <v>4.7175022512767653</v>
      </c>
      <c r="J214" s="44">
        <f t="shared" si="3"/>
        <v>0</v>
      </c>
      <c r="K214" s="40" t="str">
        <f>IF(G214="","Doğrulanmadı",IF(ABS(J214)&lt;=0.1,"Uyumlu (±%10)",IF(ABS(J214)&lt;=0.25,"Fark %10-25","Fark &gt;%25"))&amp;IF(OR(D214&lt;INDEX(Cables!$AQ:$AQ,MATCH(G214,Cables!$A:$A,0)),E214&gt;INDEX(Cables!$AR:$AR,MATCH(G214,Cables!$A:$A,0)))," · ekstrapolasyon",""))</f>
        <v>Uyumlu (±%10)</v>
      </c>
    </row>
    <row r="215" spans="1:11" x14ac:dyDescent="0.25">
      <c r="A215" s="37" t="s">
        <v>3032</v>
      </c>
      <c r="B215" s="40" t="str">
        <f>INDEX(Legacy_Index!$D:$D,MATCH(A215,Legacy_Index!$A:$A,0))</f>
        <v>RG8 Type (Ericsson TZC 500)</v>
      </c>
      <c r="C215" s="37" t="s">
        <v>3120</v>
      </c>
      <c r="D215" s="37">
        <v>1200</v>
      </c>
      <c r="E215" s="37">
        <v>1300</v>
      </c>
      <c r="F215" s="37">
        <v>5.2</v>
      </c>
      <c r="G215" s="40" t="str">
        <f>IF(INDEX(Legacy_Index!$G:$G,MATCH(A215,Legacy_Index!$A:$A,0))="","",INDEX(Legacy_Index!$G:$G,MATCH(A215,Legacy_Index!$A:$A,0)))</f>
        <v>ERI-TZC50032</v>
      </c>
      <c r="H215" s="43">
        <f>IF(G215="","",EXP(FORECAST(LN(D215),INDEX(Attenuation!$K:$K,(INDEX(Cables!$AO:$AO,MATCH(G215,Cables!$A:$A,0))-1+MIN(MAX(IFERROR(MATCH(LN(D215),INDEX(Attenuation!$J:$J,INDEX(Cables!$AO:$AO,MATCH(G215,Cables!$A:$A,0))):INDEX(Attenuation!$J:$J,INDEX(Cables!$AO:$AO,MATCH(G215,Cables!$A:$A,0))+INDEX(Cables!$AP:$AP,MATCH(G215,Cables!$A:$A,0))-1),1),1),1),INDEX(Cables!$AP:$AP,MATCH(G215,Cables!$A:$A,0))-1))):INDEX(Attenuation!$K:$K,(INDEX(Cables!$AO:$AO,MATCH(G215,Cables!$A:$A,0))-1+MIN(MAX(IFERROR(MATCH(LN(D215),INDEX(Attenuation!$J:$J,INDEX(Cables!$AO:$AO,MATCH(G215,Cables!$A:$A,0))):INDEX(Attenuation!$J:$J,INDEX(Cables!$AO:$AO,MATCH(G215,Cables!$A:$A,0))+INDEX(Cables!$AP:$AP,MATCH(G215,Cables!$A:$A,0))-1),1),1),1),INDEX(Cables!$AP:$AP,MATCH(G215,Cables!$A:$A,0))-1))+1),INDEX(Attenuation!$J:$J,(INDEX(Cables!$AO:$AO,MATCH(G215,Cables!$A:$A,0))-1+MIN(MAX(IFERROR(MATCH(LN(D215),INDEX(Attenuation!$J:$J,INDEX(Cables!$AO:$AO,MATCH(G215,Cables!$A:$A,0))):INDEX(Attenuation!$J:$J,INDEX(Cables!$AO:$AO,MATCH(G215,Cables!$A:$A,0))+INDEX(Cables!$AP:$AP,MATCH(G215,Cables!$A:$A,0))-1),1),1),1),INDEX(Cables!$AP:$AP,MATCH(G215,Cables!$A:$A,0))-1))):INDEX(Attenuation!$J:$J,(INDEX(Cables!$AO:$AO,MATCH(G215,Cables!$A:$A,0))-1+MIN(MAX(IFERROR(MATCH(LN(D215),INDEX(Attenuation!$J:$J,INDEX(Cables!$AO:$AO,MATCH(G215,Cables!$A:$A,0))):INDEX(Attenuation!$J:$J,INDEX(Cables!$AO:$AO,MATCH(G215,Cables!$A:$A,0))+INDEX(Cables!$AP:$AP,MATCH(G215,Cables!$A:$A,0))-1),1),1),1),INDEX(Cables!$AP:$AP,MATCH(G215,Cables!$A:$A,0))-1))+1)))*0.3048)</f>
        <v>5.257204079435672</v>
      </c>
      <c r="I215" s="43">
        <f>IF(G215="","",EXP(FORECAST(LN(E215),INDEX(Attenuation!$K:$K,(INDEX(Cables!$AO:$AO,MATCH(G215,Cables!$A:$A,0))-1+MIN(MAX(IFERROR(MATCH(LN(E215),INDEX(Attenuation!$J:$J,INDEX(Cables!$AO:$AO,MATCH(G215,Cables!$A:$A,0))):INDEX(Attenuation!$J:$J,INDEX(Cables!$AO:$AO,MATCH(G215,Cables!$A:$A,0))+INDEX(Cables!$AP:$AP,MATCH(G215,Cables!$A:$A,0))-1),1),1),1),INDEX(Cables!$AP:$AP,MATCH(G215,Cables!$A:$A,0))-1))):INDEX(Attenuation!$K:$K,(INDEX(Cables!$AO:$AO,MATCH(G215,Cables!$A:$A,0))-1+MIN(MAX(IFERROR(MATCH(LN(E215),INDEX(Attenuation!$J:$J,INDEX(Cables!$AO:$AO,MATCH(G215,Cables!$A:$A,0))):INDEX(Attenuation!$J:$J,INDEX(Cables!$AO:$AO,MATCH(G215,Cables!$A:$A,0))+INDEX(Cables!$AP:$AP,MATCH(G215,Cables!$A:$A,0))-1),1),1),1),INDEX(Cables!$AP:$AP,MATCH(G215,Cables!$A:$A,0))-1))+1),INDEX(Attenuation!$J:$J,(INDEX(Cables!$AO:$AO,MATCH(G215,Cables!$A:$A,0))-1+MIN(MAX(IFERROR(MATCH(LN(E215),INDEX(Attenuation!$J:$J,INDEX(Cables!$AO:$AO,MATCH(G215,Cables!$A:$A,0))):INDEX(Attenuation!$J:$J,INDEX(Cables!$AO:$AO,MATCH(G215,Cables!$A:$A,0))+INDEX(Cables!$AP:$AP,MATCH(G215,Cables!$A:$A,0))-1),1),1),1),INDEX(Cables!$AP:$AP,MATCH(G215,Cables!$A:$A,0))-1))):INDEX(Attenuation!$J:$J,(INDEX(Cables!$AO:$AO,MATCH(G215,Cables!$A:$A,0))-1+MIN(MAX(IFERROR(MATCH(LN(E215),INDEX(Attenuation!$J:$J,INDEX(Cables!$AO:$AO,MATCH(G215,Cables!$A:$A,0))):INDEX(Attenuation!$J:$J,INDEX(Cables!$AO:$AO,MATCH(G215,Cables!$A:$A,0))+INDEX(Cables!$AP:$AP,MATCH(G215,Cables!$A:$A,0))-1),1),1),1),INDEX(Cables!$AP:$AP,MATCH(G215,Cables!$A:$A,0))-1))+1)))*0.3048)</f>
        <v>5.4654924055231513</v>
      </c>
      <c r="J215" s="44">
        <f t="shared" si="3"/>
        <v>-1.0881084046068135E-2</v>
      </c>
      <c r="K215" s="40" t="str">
        <f>IF(G215="","Doğrulanmadı",IF(ABS(J215)&lt;=0.1,"Uyumlu (±%10)",IF(ABS(J215)&lt;=0.25,"Fark %10-25","Fark &gt;%25"))&amp;IF(OR(D215&lt;INDEX(Cables!$AQ:$AQ,MATCH(G215,Cables!$A:$A,0)),E215&gt;INDEX(Cables!$AR:$AR,MATCH(G215,Cables!$A:$A,0)))," · ekstrapolasyon",""))</f>
        <v>Uyumlu (±%10)</v>
      </c>
    </row>
    <row r="216" spans="1:11" x14ac:dyDescent="0.25">
      <c r="A216" s="37" t="s">
        <v>3032</v>
      </c>
      <c r="B216" s="40" t="str">
        <f>INDEX(Legacy_Index!$D:$D,MATCH(A216,Legacy_Index!$A:$A,0))</f>
        <v>RG8 Type (Ericsson TZC 500)</v>
      </c>
      <c r="C216" s="37" t="s">
        <v>3121</v>
      </c>
      <c r="D216" s="37">
        <v>2400</v>
      </c>
      <c r="E216" s="37">
        <v>2500</v>
      </c>
      <c r="F216" s="37">
        <v>7.7</v>
      </c>
      <c r="G216" s="40" t="str">
        <f>IF(INDEX(Legacy_Index!$G:$G,MATCH(A216,Legacy_Index!$A:$A,0))="","",INDEX(Legacy_Index!$G:$G,MATCH(A216,Legacy_Index!$A:$A,0)))</f>
        <v>ERI-TZC50032</v>
      </c>
      <c r="H216" s="43">
        <f>IF(G216="","",EXP(FORECAST(LN(D216),INDEX(Attenuation!$K:$K,(INDEX(Cables!$AO:$AO,MATCH(G216,Cables!$A:$A,0))-1+MIN(MAX(IFERROR(MATCH(LN(D216),INDEX(Attenuation!$J:$J,INDEX(Cables!$AO:$AO,MATCH(G216,Cables!$A:$A,0))):INDEX(Attenuation!$J:$J,INDEX(Cables!$AO:$AO,MATCH(G216,Cables!$A:$A,0))+INDEX(Cables!$AP:$AP,MATCH(G216,Cables!$A:$A,0))-1),1),1),1),INDEX(Cables!$AP:$AP,MATCH(G216,Cables!$A:$A,0))-1))):INDEX(Attenuation!$K:$K,(INDEX(Cables!$AO:$AO,MATCH(G216,Cables!$A:$A,0))-1+MIN(MAX(IFERROR(MATCH(LN(D216),INDEX(Attenuation!$J:$J,INDEX(Cables!$AO:$AO,MATCH(G216,Cables!$A:$A,0))):INDEX(Attenuation!$J:$J,INDEX(Cables!$AO:$AO,MATCH(G216,Cables!$A:$A,0))+INDEX(Cables!$AP:$AP,MATCH(G216,Cables!$A:$A,0))-1),1),1),1),INDEX(Cables!$AP:$AP,MATCH(G216,Cables!$A:$A,0))-1))+1),INDEX(Attenuation!$J:$J,(INDEX(Cables!$AO:$AO,MATCH(G216,Cables!$A:$A,0))-1+MIN(MAX(IFERROR(MATCH(LN(D216),INDEX(Attenuation!$J:$J,INDEX(Cables!$AO:$AO,MATCH(G216,Cables!$A:$A,0))):INDEX(Attenuation!$J:$J,INDEX(Cables!$AO:$AO,MATCH(G216,Cables!$A:$A,0))+INDEX(Cables!$AP:$AP,MATCH(G216,Cables!$A:$A,0))-1),1),1),1),INDEX(Cables!$AP:$AP,MATCH(G216,Cables!$A:$A,0))-1))):INDEX(Attenuation!$J:$J,(INDEX(Cables!$AO:$AO,MATCH(G216,Cables!$A:$A,0))-1+MIN(MAX(IFERROR(MATCH(LN(D216),INDEX(Attenuation!$J:$J,INDEX(Cables!$AO:$AO,MATCH(G216,Cables!$A:$A,0))):INDEX(Attenuation!$J:$J,INDEX(Cables!$AO:$AO,MATCH(G216,Cables!$A:$A,0))+INDEX(Cables!$AP:$AP,MATCH(G216,Cables!$A:$A,0))-1),1),1),1),INDEX(Cables!$AP:$AP,MATCH(G216,Cables!$A:$A,0))-1))+1)))*0.3048)</f>
        <v>8.1984713449326385</v>
      </c>
      <c r="I216" s="43">
        <f>IF(G216="","",EXP(FORECAST(LN(E216),INDEX(Attenuation!$K:$K,(INDEX(Cables!$AO:$AO,MATCH(G216,Cables!$A:$A,0))-1+MIN(MAX(IFERROR(MATCH(LN(E216),INDEX(Attenuation!$J:$J,INDEX(Cables!$AO:$AO,MATCH(G216,Cables!$A:$A,0))):INDEX(Attenuation!$J:$J,INDEX(Cables!$AO:$AO,MATCH(G216,Cables!$A:$A,0))+INDEX(Cables!$AP:$AP,MATCH(G216,Cables!$A:$A,0))-1),1),1),1),INDEX(Cables!$AP:$AP,MATCH(G216,Cables!$A:$A,0))-1))):INDEX(Attenuation!$K:$K,(INDEX(Cables!$AO:$AO,MATCH(G216,Cables!$A:$A,0))-1+MIN(MAX(IFERROR(MATCH(LN(E216),INDEX(Attenuation!$J:$J,INDEX(Cables!$AO:$AO,MATCH(G216,Cables!$A:$A,0))):INDEX(Attenuation!$J:$J,INDEX(Cables!$AO:$AO,MATCH(G216,Cables!$A:$A,0))+INDEX(Cables!$AP:$AP,MATCH(G216,Cables!$A:$A,0))-1),1),1),1),INDEX(Cables!$AP:$AP,MATCH(G216,Cables!$A:$A,0))-1))+1),INDEX(Attenuation!$J:$J,(INDEX(Cables!$AO:$AO,MATCH(G216,Cables!$A:$A,0))-1+MIN(MAX(IFERROR(MATCH(LN(E216),INDEX(Attenuation!$J:$J,INDEX(Cables!$AO:$AO,MATCH(G216,Cables!$A:$A,0))):INDEX(Attenuation!$J:$J,INDEX(Cables!$AO:$AO,MATCH(G216,Cables!$A:$A,0))+INDEX(Cables!$AP:$AP,MATCH(G216,Cables!$A:$A,0))-1),1),1),1),INDEX(Cables!$AP:$AP,MATCH(G216,Cables!$A:$A,0))-1))):INDEX(Attenuation!$J:$J,(INDEX(Cables!$AO:$AO,MATCH(G216,Cables!$A:$A,0))-1+MIN(MAX(IFERROR(MATCH(LN(E216),INDEX(Attenuation!$J:$J,INDEX(Cables!$AO:$AO,MATCH(G216,Cables!$A:$A,0))):INDEX(Attenuation!$J:$J,INDEX(Cables!$AO:$AO,MATCH(G216,Cables!$A:$A,0))+INDEX(Cables!$AP:$AP,MATCH(G216,Cables!$A:$A,0))-1),1),1),1),INDEX(Cables!$AP:$AP,MATCH(G216,Cables!$A:$A,0))-1))+1)))*0.3048)</f>
        <v>8.4915486836962852</v>
      </c>
      <c r="J216" s="44">
        <f t="shared" si="3"/>
        <v>-6.0800522921963585E-2</v>
      </c>
      <c r="K216" s="40" t="str">
        <f>IF(G216="","Doğrulanmadı",IF(ABS(J216)&lt;=0.1,"Uyumlu (±%10)",IF(ABS(J216)&lt;=0.25,"Fark %10-25","Fark &gt;%25"))&amp;IF(OR(D216&lt;INDEX(Cables!$AQ:$AQ,MATCH(G216,Cables!$A:$A,0)),E216&gt;INDEX(Cables!$AR:$AR,MATCH(G216,Cables!$A:$A,0)))," · ekstrapolasyon",""))</f>
        <v>Uyumlu (±%10) · ekstrapolasyon</v>
      </c>
    </row>
    <row r="217" spans="1:11" x14ac:dyDescent="0.25">
      <c r="A217" s="37" t="s">
        <v>3032</v>
      </c>
      <c r="B217" s="40" t="str">
        <f>INDEX(Legacy_Index!$D:$D,MATCH(A217,Legacy_Index!$A:$A,0))</f>
        <v>RG8 Type (Ericsson TZC 500)</v>
      </c>
      <c r="C217" s="37" t="s">
        <v>3122</v>
      </c>
      <c r="D217" s="37">
        <v>5725</v>
      </c>
      <c r="E217" s="37">
        <v>5875</v>
      </c>
      <c r="F217" s="37">
        <v>11.8</v>
      </c>
      <c r="G217" s="40" t="str">
        <f>IF(INDEX(Legacy_Index!$G:$G,MATCH(A217,Legacy_Index!$A:$A,0))="","",INDEX(Legacy_Index!$G:$G,MATCH(A217,Legacy_Index!$A:$A,0)))</f>
        <v>ERI-TZC50032</v>
      </c>
      <c r="H217" s="43">
        <f>IF(G217="","",EXP(FORECAST(LN(D217),INDEX(Attenuation!$K:$K,(INDEX(Cables!$AO:$AO,MATCH(G217,Cables!$A:$A,0))-1+MIN(MAX(IFERROR(MATCH(LN(D217),INDEX(Attenuation!$J:$J,INDEX(Cables!$AO:$AO,MATCH(G217,Cables!$A:$A,0))):INDEX(Attenuation!$J:$J,INDEX(Cables!$AO:$AO,MATCH(G217,Cables!$A:$A,0))+INDEX(Cables!$AP:$AP,MATCH(G217,Cables!$A:$A,0))-1),1),1),1),INDEX(Cables!$AP:$AP,MATCH(G217,Cables!$A:$A,0))-1))):INDEX(Attenuation!$K:$K,(INDEX(Cables!$AO:$AO,MATCH(G217,Cables!$A:$A,0))-1+MIN(MAX(IFERROR(MATCH(LN(D217),INDEX(Attenuation!$J:$J,INDEX(Cables!$AO:$AO,MATCH(G217,Cables!$A:$A,0))):INDEX(Attenuation!$J:$J,INDEX(Cables!$AO:$AO,MATCH(G217,Cables!$A:$A,0))+INDEX(Cables!$AP:$AP,MATCH(G217,Cables!$A:$A,0))-1),1),1),1),INDEX(Cables!$AP:$AP,MATCH(G217,Cables!$A:$A,0))-1))+1),INDEX(Attenuation!$J:$J,(INDEX(Cables!$AO:$AO,MATCH(G217,Cables!$A:$A,0))-1+MIN(MAX(IFERROR(MATCH(LN(D217),INDEX(Attenuation!$J:$J,INDEX(Cables!$AO:$AO,MATCH(G217,Cables!$A:$A,0))):INDEX(Attenuation!$J:$J,INDEX(Cables!$AO:$AO,MATCH(G217,Cables!$A:$A,0))+INDEX(Cables!$AP:$AP,MATCH(G217,Cables!$A:$A,0))-1),1),1),1),INDEX(Cables!$AP:$AP,MATCH(G217,Cables!$A:$A,0))-1))):INDEX(Attenuation!$J:$J,(INDEX(Cables!$AO:$AO,MATCH(G217,Cables!$A:$A,0))-1+MIN(MAX(IFERROR(MATCH(LN(D217),INDEX(Attenuation!$J:$J,INDEX(Cables!$AO:$AO,MATCH(G217,Cables!$A:$A,0))):INDEX(Attenuation!$J:$J,INDEX(Cables!$AO:$AO,MATCH(G217,Cables!$A:$A,0))+INDEX(Cables!$AP:$AP,MATCH(G217,Cables!$A:$A,0))-1),1),1),1),INDEX(Cables!$AP:$AP,MATCH(G217,Cables!$A:$A,0))-1))+1)))*0.3048)</f>
        <v>17.321807290386623</v>
      </c>
      <c r="I217" s="43">
        <f>IF(G217="","",EXP(FORECAST(LN(E217),INDEX(Attenuation!$K:$K,(INDEX(Cables!$AO:$AO,MATCH(G217,Cables!$A:$A,0))-1+MIN(MAX(IFERROR(MATCH(LN(E217),INDEX(Attenuation!$J:$J,INDEX(Cables!$AO:$AO,MATCH(G217,Cables!$A:$A,0))):INDEX(Attenuation!$J:$J,INDEX(Cables!$AO:$AO,MATCH(G217,Cables!$A:$A,0))+INDEX(Cables!$AP:$AP,MATCH(G217,Cables!$A:$A,0))-1),1),1),1),INDEX(Cables!$AP:$AP,MATCH(G217,Cables!$A:$A,0))-1))):INDEX(Attenuation!$K:$K,(INDEX(Cables!$AO:$AO,MATCH(G217,Cables!$A:$A,0))-1+MIN(MAX(IFERROR(MATCH(LN(E217),INDEX(Attenuation!$J:$J,INDEX(Cables!$AO:$AO,MATCH(G217,Cables!$A:$A,0))):INDEX(Attenuation!$J:$J,INDEX(Cables!$AO:$AO,MATCH(G217,Cables!$A:$A,0))+INDEX(Cables!$AP:$AP,MATCH(G217,Cables!$A:$A,0))-1),1),1),1),INDEX(Cables!$AP:$AP,MATCH(G217,Cables!$A:$A,0))-1))+1),INDEX(Attenuation!$J:$J,(INDEX(Cables!$AO:$AO,MATCH(G217,Cables!$A:$A,0))-1+MIN(MAX(IFERROR(MATCH(LN(E217),INDEX(Attenuation!$J:$J,INDEX(Cables!$AO:$AO,MATCH(G217,Cables!$A:$A,0))):INDEX(Attenuation!$J:$J,INDEX(Cables!$AO:$AO,MATCH(G217,Cables!$A:$A,0))+INDEX(Cables!$AP:$AP,MATCH(G217,Cables!$A:$A,0))-1),1),1),1),INDEX(Cables!$AP:$AP,MATCH(G217,Cables!$A:$A,0))-1))):INDEX(Attenuation!$J:$J,(INDEX(Cables!$AO:$AO,MATCH(G217,Cables!$A:$A,0))-1+MIN(MAX(IFERROR(MATCH(LN(E217),INDEX(Attenuation!$J:$J,INDEX(Cables!$AO:$AO,MATCH(G217,Cables!$A:$A,0))):INDEX(Attenuation!$J:$J,INDEX(Cables!$AO:$AO,MATCH(G217,Cables!$A:$A,0))+INDEX(Cables!$AP:$AP,MATCH(G217,Cables!$A:$A,0))-1),1),1),1),INDEX(Cables!$AP:$AP,MATCH(G217,Cables!$A:$A,0))-1))+1)))*0.3048)</f>
        <v>17.711594576324831</v>
      </c>
      <c r="J217" s="44">
        <f t="shared" si="3"/>
        <v>-0.31877778096810683</v>
      </c>
      <c r="K217" s="40" t="str">
        <f>IF(G217="","Doğrulanmadı",IF(ABS(J217)&lt;=0.1,"Uyumlu (±%10)",IF(ABS(J217)&lt;=0.25,"Fark %10-25","Fark &gt;%25"))&amp;IF(OR(D217&lt;INDEX(Cables!$AQ:$AQ,MATCH(G217,Cables!$A:$A,0)),E217&gt;INDEX(Cables!$AR:$AR,MATCH(G217,Cables!$A:$A,0)))," · ekstrapolasyon",""))</f>
        <v>Fark &gt;%25 · ekstrapolasyon</v>
      </c>
    </row>
    <row r="218" spans="1:11" x14ac:dyDescent="0.25">
      <c r="A218" s="37" t="s">
        <v>3034</v>
      </c>
      <c r="B218" s="40" t="str">
        <f>INDEX(Legacy_Index!$D:$D,MATCH(A218,Legacy_Index!$A:$A,0))</f>
        <v>3/8" Superflex (FSJ2-50) (CELLFLEX SCF38-50J)</v>
      </c>
      <c r="C218" s="37" t="s">
        <v>3113</v>
      </c>
      <c r="D218" s="37">
        <v>70</v>
      </c>
      <c r="E218" s="37">
        <v>100</v>
      </c>
      <c r="F218" s="37">
        <v>0.9</v>
      </c>
      <c r="G218" s="40" t="str">
        <f>IF(INDEX(Legacy_Index!$G:$G,MATCH(A218,Legacy_Index!$A:$A,0))="","",INDEX(Legacy_Index!$G:$G,MATCH(A218,Legacy_Index!$A:$A,0)))</f>
        <v>CS-FSJ2-50</v>
      </c>
      <c r="H218" s="43">
        <f>IF(G218="","",EXP(FORECAST(LN(D218),INDEX(Attenuation!$K:$K,(INDEX(Cables!$AO:$AO,MATCH(G218,Cables!$A:$A,0))-1+MIN(MAX(IFERROR(MATCH(LN(D218),INDEX(Attenuation!$J:$J,INDEX(Cables!$AO:$AO,MATCH(G218,Cables!$A:$A,0))):INDEX(Attenuation!$J:$J,INDEX(Cables!$AO:$AO,MATCH(G218,Cables!$A:$A,0))+INDEX(Cables!$AP:$AP,MATCH(G218,Cables!$A:$A,0))-1),1),1),1),INDEX(Cables!$AP:$AP,MATCH(G218,Cables!$A:$A,0))-1))):INDEX(Attenuation!$K:$K,(INDEX(Cables!$AO:$AO,MATCH(G218,Cables!$A:$A,0))-1+MIN(MAX(IFERROR(MATCH(LN(D218),INDEX(Attenuation!$J:$J,INDEX(Cables!$AO:$AO,MATCH(G218,Cables!$A:$A,0))):INDEX(Attenuation!$J:$J,INDEX(Cables!$AO:$AO,MATCH(G218,Cables!$A:$A,0))+INDEX(Cables!$AP:$AP,MATCH(G218,Cables!$A:$A,0))-1),1),1),1),INDEX(Cables!$AP:$AP,MATCH(G218,Cables!$A:$A,0))-1))+1),INDEX(Attenuation!$J:$J,(INDEX(Cables!$AO:$AO,MATCH(G218,Cables!$A:$A,0))-1+MIN(MAX(IFERROR(MATCH(LN(D218),INDEX(Attenuation!$J:$J,INDEX(Cables!$AO:$AO,MATCH(G218,Cables!$A:$A,0))):INDEX(Attenuation!$J:$J,INDEX(Cables!$AO:$AO,MATCH(G218,Cables!$A:$A,0))+INDEX(Cables!$AP:$AP,MATCH(G218,Cables!$A:$A,0))-1),1),1),1),INDEX(Cables!$AP:$AP,MATCH(G218,Cables!$A:$A,0))-1))):INDEX(Attenuation!$J:$J,(INDEX(Cables!$AO:$AO,MATCH(G218,Cables!$A:$A,0))-1+MIN(MAX(IFERROR(MATCH(LN(D218),INDEX(Attenuation!$J:$J,INDEX(Cables!$AO:$AO,MATCH(G218,Cables!$A:$A,0))):INDEX(Attenuation!$J:$J,INDEX(Cables!$AO:$AO,MATCH(G218,Cables!$A:$A,0))+INDEX(Cables!$AP:$AP,MATCH(G218,Cables!$A:$A,0))-1),1),1),1),INDEX(Cables!$AP:$AP,MATCH(G218,Cables!$A:$A,0))-1))+1)))*0.3048)</f>
        <v>1.0004280854554464</v>
      </c>
      <c r="I218" s="43">
        <f>IF(G218="","",EXP(FORECAST(LN(E218),INDEX(Attenuation!$K:$K,(INDEX(Cables!$AO:$AO,MATCH(G218,Cables!$A:$A,0))-1+MIN(MAX(IFERROR(MATCH(LN(E218),INDEX(Attenuation!$J:$J,INDEX(Cables!$AO:$AO,MATCH(G218,Cables!$A:$A,0))):INDEX(Attenuation!$J:$J,INDEX(Cables!$AO:$AO,MATCH(G218,Cables!$A:$A,0))+INDEX(Cables!$AP:$AP,MATCH(G218,Cables!$A:$A,0))-1),1),1),1),INDEX(Cables!$AP:$AP,MATCH(G218,Cables!$A:$A,0))-1))):INDEX(Attenuation!$K:$K,(INDEX(Cables!$AO:$AO,MATCH(G218,Cables!$A:$A,0))-1+MIN(MAX(IFERROR(MATCH(LN(E218),INDEX(Attenuation!$J:$J,INDEX(Cables!$AO:$AO,MATCH(G218,Cables!$A:$A,0))):INDEX(Attenuation!$J:$J,INDEX(Cables!$AO:$AO,MATCH(G218,Cables!$A:$A,0))+INDEX(Cables!$AP:$AP,MATCH(G218,Cables!$A:$A,0))-1),1),1),1),INDEX(Cables!$AP:$AP,MATCH(G218,Cables!$A:$A,0))-1))+1),INDEX(Attenuation!$J:$J,(INDEX(Cables!$AO:$AO,MATCH(G218,Cables!$A:$A,0))-1+MIN(MAX(IFERROR(MATCH(LN(E218),INDEX(Attenuation!$J:$J,INDEX(Cables!$AO:$AO,MATCH(G218,Cables!$A:$A,0))):INDEX(Attenuation!$J:$J,INDEX(Cables!$AO:$AO,MATCH(G218,Cables!$A:$A,0))+INDEX(Cables!$AP:$AP,MATCH(G218,Cables!$A:$A,0))-1),1),1),1),INDEX(Cables!$AP:$AP,MATCH(G218,Cables!$A:$A,0))-1))):INDEX(Attenuation!$J:$J,(INDEX(Cables!$AO:$AO,MATCH(G218,Cables!$A:$A,0))-1+MIN(MAX(IFERROR(MATCH(LN(E218),INDEX(Attenuation!$J:$J,INDEX(Cables!$AO:$AO,MATCH(G218,Cables!$A:$A,0))):INDEX(Attenuation!$J:$J,INDEX(Cables!$AO:$AO,MATCH(G218,Cables!$A:$A,0))+INDEX(Cables!$AP:$AP,MATCH(G218,Cables!$A:$A,0))-1),1),1),1),INDEX(Cables!$AP:$AP,MATCH(G218,Cables!$A:$A,0))-1))+1)))*0.3048)</f>
        <v>1.2018263999999994</v>
      </c>
      <c r="J218" s="44">
        <f t="shared" si="3"/>
        <v>-0.10038511204903477</v>
      </c>
      <c r="K218" s="40" t="str">
        <f>IF(G218="","Doğrulanmadı",IF(ABS(J218)&lt;=0.1,"Uyumlu (±%10)",IF(ABS(J218)&lt;=0.25,"Fark %10-25","Fark &gt;%25"))&amp;IF(OR(D218&lt;INDEX(Cables!$AQ:$AQ,MATCH(G218,Cables!$A:$A,0)),E218&gt;INDEX(Cables!$AR:$AR,MATCH(G218,Cables!$A:$A,0)))," · ekstrapolasyon",""))</f>
        <v>Fark %10-25</v>
      </c>
    </row>
    <row r="219" spans="1:11" x14ac:dyDescent="0.25">
      <c r="A219" s="37" t="s">
        <v>3034</v>
      </c>
      <c r="B219" s="40" t="str">
        <f>INDEX(Legacy_Index!$D:$D,MATCH(A219,Legacy_Index!$A:$A,0))</f>
        <v>3/8" Superflex (FSJ2-50) (CELLFLEX SCF38-50J)</v>
      </c>
      <c r="C219" s="37" t="s">
        <v>3114</v>
      </c>
      <c r="D219" s="37">
        <v>148</v>
      </c>
      <c r="E219" s="37">
        <v>174</v>
      </c>
      <c r="F219" s="37">
        <v>1.5</v>
      </c>
      <c r="G219" s="40" t="str">
        <f>IF(INDEX(Legacy_Index!$G:$G,MATCH(A219,Legacy_Index!$A:$A,0))="","",INDEX(Legacy_Index!$G:$G,MATCH(A219,Legacy_Index!$A:$A,0)))</f>
        <v>CS-FSJ2-50</v>
      </c>
      <c r="H219" s="43">
        <f>IF(G219="","",EXP(FORECAST(LN(D219),INDEX(Attenuation!$K:$K,(INDEX(Cables!$AO:$AO,MATCH(G219,Cables!$A:$A,0))-1+MIN(MAX(IFERROR(MATCH(LN(D219),INDEX(Attenuation!$J:$J,INDEX(Cables!$AO:$AO,MATCH(G219,Cables!$A:$A,0))):INDEX(Attenuation!$J:$J,INDEX(Cables!$AO:$AO,MATCH(G219,Cables!$A:$A,0))+INDEX(Cables!$AP:$AP,MATCH(G219,Cables!$A:$A,0))-1),1),1),1),INDEX(Cables!$AP:$AP,MATCH(G219,Cables!$A:$A,0))-1))):INDEX(Attenuation!$K:$K,(INDEX(Cables!$AO:$AO,MATCH(G219,Cables!$A:$A,0))-1+MIN(MAX(IFERROR(MATCH(LN(D219),INDEX(Attenuation!$J:$J,INDEX(Cables!$AO:$AO,MATCH(G219,Cables!$A:$A,0))):INDEX(Attenuation!$J:$J,INDEX(Cables!$AO:$AO,MATCH(G219,Cables!$A:$A,0))+INDEX(Cables!$AP:$AP,MATCH(G219,Cables!$A:$A,0))-1),1),1),1),INDEX(Cables!$AP:$AP,MATCH(G219,Cables!$A:$A,0))-1))+1),INDEX(Attenuation!$J:$J,(INDEX(Cables!$AO:$AO,MATCH(G219,Cables!$A:$A,0))-1+MIN(MAX(IFERROR(MATCH(LN(D219),INDEX(Attenuation!$J:$J,INDEX(Cables!$AO:$AO,MATCH(G219,Cables!$A:$A,0))):INDEX(Attenuation!$J:$J,INDEX(Cables!$AO:$AO,MATCH(G219,Cables!$A:$A,0))+INDEX(Cables!$AP:$AP,MATCH(G219,Cables!$A:$A,0))-1),1),1),1),INDEX(Cables!$AP:$AP,MATCH(G219,Cables!$A:$A,0))-1))):INDEX(Attenuation!$J:$J,(INDEX(Cables!$AO:$AO,MATCH(G219,Cables!$A:$A,0))-1+MIN(MAX(IFERROR(MATCH(LN(D219),INDEX(Attenuation!$J:$J,INDEX(Cables!$AO:$AO,MATCH(G219,Cables!$A:$A,0))):INDEX(Attenuation!$J:$J,INDEX(Cables!$AO:$AO,MATCH(G219,Cables!$A:$A,0))+INDEX(Cables!$AP:$AP,MATCH(G219,Cables!$A:$A,0))-1),1),1),1),INDEX(Cables!$AP:$AP,MATCH(G219,Cables!$A:$A,0))-1))+1)))*0.3048)</f>
        <v>1.4719709830967866</v>
      </c>
      <c r="I219" s="43">
        <f>IF(G219="","",EXP(FORECAST(LN(E219),INDEX(Attenuation!$K:$K,(INDEX(Cables!$AO:$AO,MATCH(G219,Cables!$A:$A,0))-1+MIN(MAX(IFERROR(MATCH(LN(E219),INDEX(Attenuation!$J:$J,INDEX(Cables!$AO:$AO,MATCH(G219,Cables!$A:$A,0))):INDEX(Attenuation!$J:$J,INDEX(Cables!$AO:$AO,MATCH(G219,Cables!$A:$A,0))+INDEX(Cables!$AP:$AP,MATCH(G219,Cables!$A:$A,0))-1),1),1),1),INDEX(Cables!$AP:$AP,MATCH(G219,Cables!$A:$A,0))-1))):INDEX(Attenuation!$K:$K,(INDEX(Cables!$AO:$AO,MATCH(G219,Cables!$A:$A,0))-1+MIN(MAX(IFERROR(MATCH(LN(E219),INDEX(Attenuation!$J:$J,INDEX(Cables!$AO:$AO,MATCH(G219,Cables!$A:$A,0))):INDEX(Attenuation!$J:$J,INDEX(Cables!$AO:$AO,MATCH(G219,Cables!$A:$A,0))+INDEX(Cables!$AP:$AP,MATCH(G219,Cables!$A:$A,0))-1),1),1),1),INDEX(Cables!$AP:$AP,MATCH(G219,Cables!$A:$A,0))-1))+1),INDEX(Attenuation!$J:$J,(INDEX(Cables!$AO:$AO,MATCH(G219,Cables!$A:$A,0))-1+MIN(MAX(IFERROR(MATCH(LN(E219),INDEX(Attenuation!$J:$J,INDEX(Cables!$AO:$AO,MATCH(G219,Cables!$A:$A,0))):INDEX(Attenuation!$J:$J,INDEX(Cables!$AO:$AO,MATCH(G219,Cables!$A:$A,0))+INDEX(Cables!$AP:$AP,MATCH(G219,Cables!$A:$A,0))-1),1),1),1),INDEX(Cables!$AP:$AP,MATCH(G219,Cables!$A:$A,0))-1))):INDEX(Attenuation!$J:$J,(INDEX(Cables!$AO:$AO,MATCH(G219,Cables!$A:$A,0))-1+MIN(MAX(IFERROR(MATCH(LN(E219),INDEX(Attenuation!$J:$J,INDEX(Cables!$AO:$AO,MATCH(G219,Cables!$A:$A,0))):INDEX(Attenuation!$J:$J,INDEX(Cables!$AO:$AO,MATCH(G219,Cables!$A:$A,0))+INDEX(Cables!$AP:$AP,MATCH(G219,Cables!$A:$A,0))-1),1),1),1),INDEX(Cables!$AP:$AP,MATCH(G219,Cables!$A:$A,0))-1))+1)))*0.3048)</f>
        <v>1.6014191999999996</v>
      </c>
      <c r="J219" s="44">
        <f t="shared" si="3"/>
        <v>0</v>
      </c>
      <c r="K219" s="40" t="str">
        <f>IF(G219="","Doğrulanmadı",IF(ABS(J219)&lt;=0.1,"Uyumlu (±%10)",IF(ABS(J219)&lt;=0.25,"Fark %10-25","Fark &gt;%25"))&amp;IF(OR(D219&lt;INDEX(Cables!$AQ:$AQ,MATCH(G219,Cables!$A:$A,0)),E219&gt;INDEX(Cables!$AR:$AR,MATCH(G219,Cables!$A:$A,0)))," · ekstrapolasyon",""))</f>
        <v>Uyumlu (±%10)</v>
      </c>
    </row>
    <row r="220" spans="1:11" x14ac:dyDescent="0.25">
      <c r="A220" s="37" t="s">
        <v>3034</v>
      </c>
      <c r="B220" s="40" t="str">
        <f>INDEX(Legacy_Index!$D:$D,MATCH(A220,Legacy_Index!$A:$A,0))</f>
        <v>3/8" Superflex (FSJ2-50) (CELLFLEX SCF38-50J)</v>
      </c>
      <c r="C220" s="37" t="s">
        <v>3115</v>
      </c>
      <c r="D220" s="37">
        <v>400</v>
      </c>
      <c r="E220" s="37">
        <v>520</v>
      </c>
      <c r="F220" s="37">
        <v>2.8</v>
      </c>
      <c r="G220" s="40" t="str">
        <f>IF(INDEX(Legacy_Index!$G:$G,MATCH(A220,Legacy_Index!$A:$A,0))="","",INDEX(Legacy_Index!$G:$G,MATCH(A220,Legacy_Index!$A:$A,0)))</f>
        <v>CS-FSJ2-50</v>
      </c>
      <c r="H220" s="43">
        <f>IF(G220="","",EXP(FORECAST(LN(D220),INDEX(Attenuation!$K:$K,(INDEX(Cables!$AO:$AO,MATCH(G220,Cables!$A:$A,0))-1+MIN(MAX(IFERROR(MATCH(LN(D220),INDEX(Attenuation!$J:$J,INDEX(Cables!$AO:$AO,MATCH(G220,Cables!$A:$A,0))):INDEX(Attenuation!$J:$J,INDEX(Cables!$AO:$AO,MATCH(G220,Cables!$A:$A,0))+INDEX(Cables!$AP:$AP,MATCH(G220,Cables!$A:$A,0))-1),1),1),1),INDEX(Cables!$AP:$AP,MATCH(G220,Cables!$A:$A,0))-1))):INDEX(Attenuation!$K:$K,(INDEX(Cables!$AO:$AO,MATCH(G220,Cables!$A:$A,0))-1+MIN(MAX(IFERROR(MATCH(LN(D220),INDEX(Attenuation!$J:$J,INDEX(Cables!$AO:$AO,MATCH(G220,Cables!$A:$A,0))):INDEX(Attenuation!$J:$J,INDEX(Cables!$AO:$AO,MATCH(G220,Cables!$A:$A,0))+INDEX(Cables!$AP:$AP,MATCH(G220,Cables!$A:$A,0))-1),1),1),1),INDEX(Cables!$AP:$AP,MATCH(G220,Cables!$A:$A,0))-1))+1),INDEX(Attenuation!$J:$J,(INDEX(Cables!$AO:$AO,MATCH(G220,Cables!$A:$A,0))-1+MIN(MAX(IFERROR(MATCH(LN(D220),INDEX(Attenuation!$J:$J,INDEX(Cables!$AO:$AO,MATCH(G220,Cables!$A:$A,0))):INDEX(Attenuation!$J:$J,INDEX(Cables!$AO:$AO,MATCH(G220,Cables!$A:$A,0))+INDEX(Cables!$AP:$AP,MATCH(G220,Cables!$A:$A,0))-1),1),1),1),INDEX(Cables!$AP:$AP,MATCH(G220,Cables!$A:$A,0))-1))):INDEX(Attenuation!$J:$J,(INDEX(Cables!$AO:$AO,MATCH(G220,Cables!$A:$A,0))-1+MIN(MAX(IFERROR(MATCH(LN(D220),INDEX(Attenuation!$J:$J,INDEX(Cables!$AO:$AO,MATCH(G220,Cables!$A:$A,0))):INDEX(Attenuation!$J:$J,INDEX(Cables!$AO:$AO,MATCH(G220,Cables!$A:$A,0))+INDEX(Cables!$AP:$AP,MATCH(G220,Cables!$A:$A,0))-1),1),1),1),INDEX(Cables!$AP:$AP,MATCH(G220,Cables!$A:$A,0))-1))+1)))*0.3048)</f>
        <v>2.4804624</v>
      </c>
      <c r="I220" s="43">
        <f>IF(G220="","",EXP(FORECAST(LN(E220),INDEX(Attenuation!$K:$K,(INDEX(Cables!$AO:$AO,MATCH(G220,Cables!$A:$A,0))-1+MIN(MAX(IFERROR(MATCH(LN(E220),INDEX(Attenuation!$J:$J,INDEX(Cables!$AO:$AO,MATCH(G220,Cables!$A:$A,0))):INDEX(Attenuation!$J:$J,INDEX(Cables!$AO:$AO,MATCH(G220,Cables!$A:$A,0))+INDEX(Cables!$AP:$AP,MATCH(G220,Cables!$A:$A,0))-1),1),1),1),INDEX(Cables!$AP:$AP,MATCH(G220,Cables!$A:$A,0))-1))):INDEX(Attenuation!$K:$K,(INDEX(Cables!$AO:$AO,MATCH(G220,Cables!$A:$A,0))-1+MIN(MAX(IFERROR(MATCH(LN(E220),INDEX(Attenuation!$J:$J,INDEX(Cables!$AO:$AO,MATCH(G220,Cables!$A:$A,0))):INDEX(Attenuation!$J:$J,INDEX(Cables!$AO:$AO,MATCH(G220,Cables!$A:$A,0))+INDEX(Cables!$AP:$AP,MATCH(G220,Cables!$A:$A,0))-1),1),1),1),INDEX(Cables!$AP:$AP,MATCH(G220,Cables!$A:$A,0))-1))+1),INDEX(Attenuation!$J:$J,(INDEX(Cables!$AO:$AO,MATCH(G220,Cables!$A:$A,0))-1+MIN(MAX(IFERROR(MATCH(LN(E220),INDEX(Attenuation!$J:$J,INDEX(Cables!$AO:$AO,MATCH(G220,Cables!$A:$A,0))):INDEX(Attenuation!$J:$J,INDEX(Cables!$AO:$AO,MATCH(G220,Cables!$A:$A,0))+INDEX(Cables!$AP:$AP,MATCH(G220,Cables!$A:$A,0))-1),1),1),1),INDEX(Cables!$AP:$AP,MATCH(G220,Cables!$A:$A,0))-1))):INDEX(Attenuation!$J:$J,(INDEX(Cables!$AO:$AO,MATCH(G220,Cables!$A:$A,0))-1+MIN(MAX(IFERROR(MATCH(LN(E220),INDEX(Attenuation!$J:$J,INDEX(Cables!$AO:$AO,MATCH(G220,Cables!$A:$A,0))):INDEX(Attenuation!$J:$J,INDEX(Cables!$AO:$AO,MATCH(G220,Cables!$A:$A,0))+INDEX(Cables!$AP:$AP,MATCH(G220,Cables!$A:$A,0))-1),1),1),1),INDEX(Cables!$AP:$AP,MATCH(G220,Cables!$A:$A,0))-1))+1)))*0.3048)</f>
        <v>2.8530785601129471</v>
      </c>
      <c r="J220" s="44">
        <f t="shared" si="3"/>
        <v>0</v>
      </c>
      <c r="K220" s="40" t="str">
        <f>IF(G220="","Doğrulanmadı",IF(ABS(J220)&lt;=0.1,"Uyumlu (±%10)",IF(ABS(J220)&lt;=0.25,"Fark %10-25","Fark &gt;%25"))&amp;IF(OR(D220&lt;INDEX(Cables!$AQ:$AQ,MATCH(G220,Cables!$A:$A,0)),E220&gt;INDEX(Cables!$AR:$AR,MATCH(G220,Cables!$A:$A,0)))," · ekstrapolasyon",""))</f>
        <v>Uyumlu (±%10)</v>
      </c>
    </row>
    <row r="221" spans="1:11" x14ac:dyDescent="0.25">
      <c r="A221" s="37" t="s">
        <v>3034</v>
      </c>
      <c r="B221" s="40" t="str">
        <f>INDEX(Legacy_Index!$D:$D,MATCH(A221,Legacy_Index!$A:$A,0))</f>
        <v>3/8" Superflex (FSJ2-50) (CELLFLEX SCF38-50J)</v>
      </c>
      <c r="C221" s="37" t="s">
        <v>3116</v>
      </c>
      <c r="D221" s="37">
        <v>700</v>
      </c>
      <c r="E221" s="37">
        <v>960</v>
      </c>
      <c r="F221" s="37">
        <v>3.8</v>
      </c>
      <c r="G221" s="40" t="str">
        <f>IF(INDEX(Legacy_Index!$G:$G,MATCH(A221,Legacy_Index!$A:$A,0))="","",INDEX(Legacy_Index!$G:$G,MATCH(A221,Legacy_Index!$A:$A,0)))</f>
        <v>CS-FSJ2-50</v>
      </c>
      <c r="H221" s="43">
        <f>IF(G221="","",EXP(FORECAST(LN(D221),INDEX(Attenuation!$K:$K,(INDEX(Cables!$AO:$AO,MATCH(G221,Cables!$A:$A,0))-1+MIN(MAX(IFERROR(MATCH(LN(D221),INDEX(Attenuation!$J:$J,INDEX(Cables!$AO:$AO,MATCH(G221,Cables!$A:$A,0))):INDEX(Attenuation!$J:$J,INDEX(Cables!$AO:$AO,MATCH(G221,Cables!$A:$A,0))+INDEX(Cables!$AP:$AP,MATCH(G221,Cables!$A:$A,0))-1),1),1),1),INDEX(Cables!$AP:$AP,MATCH(G221,Cables!$A:$A,0))-1))):INDEX(Attenuation!$K:$K,(INDEX(Cables!$AO:$AO,MATCH(G221,Cables!$A:$A,0))-1+MIN(MAX(IFERROR(MATCH(LN(D221),INDEX(Attenuation!$J:$J,INDEX(Cables!$AO:$AO,MATCH(G221,Cables!$A:$A,0))):INDEX(Attenuation!$J:$J,INDEX(Cables!$AO:$AO,MATCH(G221,Cables!$A:$A,0))+INDEX(Cables!$AP:$AP,MATCH(G221,Cables!$A:$A,0))-1),1),1),1),INDEX(Cables!$AP:$AP,MATCH(G221,Cables!$A:$A,0))-1))+1),INDEX(Attenuation!$J:$J,(INDEX(Cables!$AO:$AO,MATCH(G221,Cables!$A:$A,0))-1+MIN(MAX(IFERROR(MATCH(LN(D221),INDEX(Attenuation!$J:$J,INDEX(Cables!$AO:$AO,MATCH(G221,Cables!$A:$A,0))):INDEX(Attenuation!$J:$J,INDEX(Cables!$AO:$AO,MATCH(G221,Cables!$A:$A,0))+INDEX(Cables!$AP:$AP,MATCH(G221,Cables!$A:$A,0))-1),1),1),1),INDEX(Cables!$AP:$AP,MATCH(G221,Cables!$A:$A,0))-1))):INDEX(Attenuation!$J:$J,(INDEX(Cables!$AO:$AO,MATCH(G221,Cables!$A:$A,0))-1+MIN(MAX(IFERROR(MATCH(LN(D221),INDEX(Attenuation!$J:$J,INDEX(Cables!$AO:$AO,MATCH(G221,Cables!$A:$A,0))):INDEX(Attenuation!$J:$J,INDEX(Cables!$AO:$AO,MATCH(G221,Cables!$A:$A,0))+INDEX(Cables!$AP:$AP,MATCH(G221,Cables!$A:$A,0))-1),1),1),1),INDEX(Cables!$AP:$AP,MATCH(G221,Cables!$A:$A,0))-1))+1)))*0.3048)</f>
        <v>3.3473135999999992</v>
      </c>
      <c r="I221" s="43">
        <f>IF(G221="","",EXP(FORECAST(LN(E221),INDEX(Attenuation!$K:$K,(INDEX(Cables!$AO:$AO,MATCH(G221,Cables!$A:$A,0))-1+MIN(MAX(IFERROR(MATCH(LN(E221),INDEX(Attenuation!$J:$J,INDEX(Cables!$AO:$AO,MATCH(G221,Cables!$A:$A,0))):INDEX(Attenuation!$J:$J,INDEX(Cables!$AO:$AO,MATCH(G221,Cables!$A:$A,0))+INDEX(Cables!$AP:$AP,MATCH(G221,Cables!$A:$A,0))-1),1),1),1),INDEX(Cables!$AP:$AP,MATCH(G221,Cables!$A:$A,0))-1))):INDEX(Attenuation!$K:$K,(INDEX(Cables!$AO:$AO,MATCH(G221,Cables!$A:$A,0))-1+MIN(MAX(IFERROR(MATCH(LN(E221),INDEX(Attenuation!$J:$J,INDEX(Cables!$AO:$AO,MATCH(G221,Cables!$A:$A,0))):INDEX(Attenuation!$J:$J,INDEX(Cables!$AO:$AO,MATCH(G221,Cables!$A:$A,0))+INDEX(Cables!$AP:$AP,MATCH(G221,Cables!$A:$A,0))-1),1),1),1),INDEX(Cables!$AP:$AP,MATCH(G221,Cables!$A:$A,0))-1))+1),INDEX(Attenuation!$J:$J,(INDEX(Cables!$AO:$AO,MATCH(G221,Cables!$A:$A,0))-1+MIN(MAX(IFERROR(MATCH(LN(E221),INDEX(Attenuation!$J:$J,INDEX(Cables!$AO:$AO,MATCH(G221,Cables!$A:$A,0))):INDEX(Attenuation!$J:$J,INDEX(Cables!$AO:$AO,MATCH(G221,Cables!$A:$A,0))+INDEX(Cables!$AP:$AP,MATCH(G221,Cables!$A:$A,0))-1),1),1),1),INDEX(Cables!$AP:$AP,MATCH(G221,Cables!$A:$A,0))-1))):INDEX(Attenuation!$J:$J,(INDEX(Cables!$AO:$AO,MATCH(G221,Cables!$A:$A,0))-1+MIN(MAX(IFERROR(MATCH(LN(E221),INDEX(Attenuation!$J:$J,INDEX(Cables!$AO:$AO,MATCH(G221,Cables!$A:$A,0))):INDEX(Attenuation!$J:$J,INDEX(Cables!$AO:$AO,MATCH(G221,Cables!$A:$A,0))+INDEX(Cables!$AP:$AP,MATCH(G221,Cables!$A:$A,0))-1),1),1),1),INDEX(Cables!$AP:$AP,MATCH(G221,Cables!$A:$A,0))-1))+1)))*0.3048)</f>
        <v>3.9742872000000005</v>
      </c>
      <c r="J221" s="44">
        <f t="shared" si="3"/>
        <v>0</v>
      </c>
      <c r="K221" s="40" t="str">
        <f>IF(G221="","Doğrulanmadı",IF(ABS(J221)&lt;=0.1,"Uyumlu (±%10)",IF(ABS(J221)&lt;=0.25,"Fark %10-25","Fark &gt;%25"))&amp;IF(OR(D221&lt;INDEX(Cables!$AQ:$AQ,MATCH(G221,Cables!$A:$A,0)),E221&gt;INDEX(Cables!$AR:$AR,MATCH(G221,Cables!$A:$A,0)))," · ekstrapolasyon",""))</f>
        <v>Uyumlu (±%10)</v>
      </c>
    </row>
    <row r="222" spans="1:11" x14ac:dyDescent="0.25">
      <c r="A222" s="37" t="s">
        <v>3034</v>
      </c>
      <c r="B222" s="40" t="str">
        <f>INDEX(Legacy_Index!$D:$D,MATCH(A222,Legacy_Index!$A:$A,0))</f>
        <v>3/8" Superflex (FSJ2-50) (CELLFLEX SCF38-50J)</v>
      </c>
      <c r="C222" s="37" t="s">
        <v>3121</v>
      </c>
      <c r="D222" s="37">
        <v>2400</v>
      </c>
      <c r="E222" s="37">
        <v>2500</v>
      </c>
      <c r="F222" s="37">
        <v>6.9</v>
      </c>
      <c r="G222" s="40" t="str">
        <f>IF(INDEX(Legacy_Index!$G:$G,MATCH(A222,Legacy_Index!$A:$A,0))="","",INDEX(Legacy_Index!$G:$G,MATCH(A222,Legacy_Index!$A:$A,0)))</f>
        <v>CS-FSJ2-50</v>
      </c>
      <c r="H222" s="43">
        <f>IF(G222="","",EXP(FORECAST(LN(D222),INDEX(Attenuation!$K:$K,(INDEX(Cables!$AO:$AO,MATCH(G222,Cables!$A:$A,0))-1+MIN(MAX(IFERROR(MATCH(LN(D222),INDEX(Attenuation!$J:$J,INDEX(Cables!$AO:$AO,MATCH(G222,Cables!$A:$A,0))):INDEX(Attenuation!$J:$J,INDEX(Cables!$AO:$AO,MATCH(G222,Cables!$A:$A,0))+INDEX(Cables!$AP:$AP,MATCH(G222,Cables!$A:$A,0))-1),1),1),1),INDEX(Cables!$AP:$AP,MATCH(G222,Cables!$A:$A,0))-1))):INDEX(Attenuation!$K:$K,(INDEX(Cables!$AO:$AO,MATCH(G222,Cables!$A:$A,0))-1+MIN(MAX(IFERROR(MATCH(LN(D222),INDEX(Attenuation!$J:$J,INDEX(Cables!$AO:$AO,MATCH(G222,Cables!$A:$A,0))):INDEX(Attenuation!$J:$J,INDEX(Cables!$AO:$AO,MATCH(G222,Cables!$A:$A,0))+INDEX(Cables!$AP:$AP,MATCH(G222,Cables!$A:$A,0))-1),1),1),1),INDEX(Cables!$AP:$AP,MATCH(G222,Cables!$A:$A,0))-1))+1),INDEX(Attenuation!$J:$J,(INDEX(Cables!$AO:$AO,MATCH(G222,Cables!$A:$A,0))-1+MIN(MAX(IFERROR(MATCH(LN(D222),INDEX(Attenuation!$J:$J,INDEX(Cables!$AO:$AO,MATCH(G222,Cables!$A:$A,0))):INDEX(Attenuation!$J:$J,INDEX(Cables!$AO:$AO,MATCH(G222,Cables!$A:$A,0))+INDEX(Cables!$AP:$AP,MATCH(G222,Cables!$A:$A,0))-1),1),1),1),INDEX(Cables!$AP:$AP,MATCH(G222,Cables!$A:$A,0))-1))):INDEX(Attenuation!$J:$J,(INDEX(Cables!$AO:$AO,MATCH(G222,Cables!$A:$A,0))-1+MIN(MAX(IFERROR(MATCH(LN(D222),INDEX(Attenuation!$J:$J,INDEX(Cables!$AO:$AO,MATCH(G222,Cables!$A:$A,0))):INDEX(Attenuation!$J:$J,INDEX(Cables!$AO:$AO,MATCH(G222,Cables!$A:$A,0))+INDEX(Cables!$AP:$AP,MATCH(G222,Cables!$A:$A,0))-1),1),1),1),INDEX(Cables!$AP:$AP,MATCH(G222,Cables!$A:$A,0))-1))+1)))*0.3048)</f>
        <v>6.6244095572810862</v>
      </c>
      <c r="I222" s="43">
        <f>IF(G222="","",EXP(FORECAST(LN(E222),INDEX(Attenuation!$K:$K,(INDEX(Cables!$AO:$AO,MATCH(G222,Cables!$A:$A,0))-1+MIN(MAX(IFERROR(MATCH(LN(E222),INDEX(Attenuation!$J:$J,INDEX(Cables!$AO:$AO,MATCH(G222,Cables!$A:$A,0))):INDEX(Attenuation!$J:$J,INDEX(Cables!$AO:$AO,MATCH(G222,Cables!$A:$A,0))+INDEX(Cables!$AP:$AP,MATCH(G222,Cables!$A:$A,0))-1),1),1),1),INDEX(Cables!$AP:$AP,MATCH(G222,Cables!$A:$A,0))-1))):INDEX(Attenuation!$K:$K,(INDEX(Cables!$AO:$AO,MATCH(G222,Cables!$A:$A,0))-1+MIN(MAX(IFERROR(MATCH(LN(E222),INDEX(Attenuation!$J:$J,INDEX(Cables!$AO:$AO,MATCH(G222,Cables!$A:$A,0))):INDEX(Attenuation!$J:$J,INDEX(Cables!$AO:$AO,MATCH(G222,Cables!$A:$A,0))+INDEX(Cables!$AP:$AP,MATCH(G222,Cables!$A:$A,0))-1),1),1),1),INDEX(Cables!$AP:$AP,MATCH(G222,Cables!$A:$A,0))-1))+1),INDEX(Attenuation!$J:$J,(INDEX(Cables!$AO:$AO,MATCH(G222,Cables!$A:$A,0))-1+MIN(MAX(IFERROR(MATCH(LN(E222),INDEX(Attenuation!$J:$J,INDEX(Cables!$AO:$AO,MATCH(G222,Cables!$A:$A,0))):INDEX(Attenuation!$J:$J,INDEX(Cables!$AO:$AO,MATCH(G222,Cables!$A:$A,0))+INDEX(Cables!$AP:$AP,MATCH(G222,Cables!$A:$A,0))-1),1),1),1),INDEX(Cables!$AP:$AP,MATCH(G222,Cables!$A:$A,0))-1))):INDEX(Attenuation!$J:$J,(INDEX(Cables!$AO:$AO,MATCH(G222,Cables!$A:$A,0))-1+MIN(MAX(IFERROR(MATCH(LN(E222),INDEX(Attenuation!$J:$J,INDEX(Cables!$AO:$AO,MATCH(G222,Cables!$A:$A,0))):INDEX(Attenuation!$J:$J,INDEX(Cables!$AO:$AO,MATCH(G222,Cables!$A:$A,0))+INDEX(Cables!$AP:$AP,MATCH(G222,Cables!$A:$A,0))-1),1),1),1),INDEX(Cables!$AP:$AP,MATCH(G222,Cables!$A:$A,0))-1))+1)))*0.3048)</f>
        <v>6.7802759999999971</v>
      </c>
      <c r="J222" s="44">
        <f t="shared" si="3"/>
        <v>1.7657688271097483E-2</v>
      </c>
      <c r="K222" s="40" t="str">
        <f>IF(G222="","Doğrulanmadı",IF(ABS(J222)&lt;=0.1,"Uyumlu (±%10)",IF(ABS(J222)&lt;=0.25,"Fark %10-25","Fark &gt;%25"))&amp;IF(OR(D222&lt;INDEX(Cables!$AQ:$AQ,MATCH(G222,Cables!$A:$A,0)),E222&gt;INDEX(Cables!$AR:$AR,MATCH(G222,Cables!$A:$A,0)))," · ekstrapolasyon",""))</f>
        <v>Uyumlu (±%10)</v>
      </c>
    </row>
    <row r="223" spans="1:11" x14ac:dyDescent="0.25">
      <c r="A223" s="37" t="s">
        <v>3034</v>
      </c>
      <c r="B223" s="40" t="str">
        <f>INDEX(Legacy_Index!$D:$D,MATCH(A223,Legacy_Index!$A:$A,0))</f>
        <v>3/8" Superflex (FSJ2-50) (CELLFLEX SCF38-50J)</v>
      </c>
      <c r="C223" s="37" t="s">
        <v>3122</v>
      </c>
      <c r="D223" s="37">
        <v>5725</v>
      </c>
      <c r="E223" s="37">
        <v>5875</v>
      </c>
      <c r="F223" s="37">
        <v>10.9</v>
      </c>
      <c r="G223" s="40" t="str">
        <f>IF(INDEX(Legacy_Index!$G:$G,MATCH(A223,Legacy_Index!$A:$A,0))="","",INDEX(Legacy_Index!$G:$G,MATCH(A223,Legacy_Index!$A:$A,0)))</f>
        <v>CS-FSJ2-50</v>
      </c>
      <c r="H223" s="43">
        <f>IF(G223="","",EXP(FORECAST(LN(D223),INDEX(Attenuation!$K:$K,(INDEX(Cables!$AO:$AO,MATCH(G223,Cables!$A:$A,0))-1+MIN(MAX(IFERROR(MATCH(LN(D223),INDEX(Attenuation!$J:$J,INDEX(Cables!$AO:$AO,MATCH(G223,Cables!$A:$A,0))):INDEX(Attenuation!$J:$J,INDEX(Cables!$AO:$AO,MATCH(G223,Cables!$A:$A,0))+INDEX(Cables!$AP:$AP,MATCH(G223,Cables!$A:$A,0))-1),1),1),1),INDEX(Cables!$AP:$AP,MATCH(G223,Cables!$A:$A,0))-1))):INDEX(Attenuation!$K:$K,(INDEX(Cables!$AO:$AO,MATCH(G223,Cables!$A:$A,0))-1+MIN(MAX(IFERROR(MATCH(LN(D223),INDEX(Attenuation!$J:$J,INDEX(Cables!$AO:$AO,MATCH(G223,Cables!$A:$A,0))):INDEX(Attenuation!$J:$J,INDEX(Cables!$AO:$AO,MATCH(G223,Cables!$A:$A,0))+INDEX(Cables!$AP:$AP,MATCH(G223,Cables!$A:$A,0))-1),1),1),1),INDEX(Cables!$AP:$AP,MATCH(G223,Cables!$A:$A,0))-1))+1),INDEX(Attenuation!$J:$J,(INDEX(Cables!$AO:$AO,MATCH(G223,Cables!$A:$A,0))-1+MIN(MAX(IFERROR(MATCH(LN(D223),INDEX(Attenuation!$J:$J,INDEX(Cables!$AO:$AO,MATCH(G223,Cables!$A:$A,0))):INDEX(Attenuation!$J:$J,INDEX(Cables!$AO:$AO,MATCH(G223,Cables!$A:$A,0))+INDEX(Cables!$AP:$AP,MATCH(G223,Cables!$A:$A,0))-1),1),1),1),INDEX(Cables!$AP:$AP,MATCH(G223,Cables!$A:$A,0))-1))):INDEX(Attenuation!$J:$J,(INDEX(Cables!$AO:$AO,MATCH(G223,Cables!$A:$A,0))-1+MIN(MAX(IFERROR(MATCH(LN(D223),INDEX(Attenuation!$J:$J,INDEX(Cables!$AO:$AO,MATCH(G223,Cables!$A:$A,0))):INDEX(Attenuation!$J:$J,INDEX(Cables!$AO:$AO,MATCH(G223,Cables!$A:$A,0))+INDEX(Cables!$AP:$AP,MATCH(G223,Cables!$A:$A,0))-1),1),1),1),INDEX(Cables!$AP:$AP,MATCH(G223,Cables!$A:$A,0))-1))+1)))*0.3048)</f>
        <v>11.010306209536417</v>
      </c>
      <c r="I223" s="43">
        <f>IF(G223="","",EXP(FORECAST(LN(E223),INDEX(Attenuation!$K:$K,(INDEX(Cables!$AO:$AO,MATCH(G223,Cables!$A:$A,0))-1+MIN(MAX(IFERROR(MATCH(LN(E223),INDEX(Attenuation!$J:$J,INDEX(Cables!$AO:$AO,MATCH(G223,Cables!$A:$A,0))):INDEX(Attenuation!$J:$J,INDEX(Cables!$AO:$AO,MATCH(G223,Cables!$A:$A,0))+INDEX(Cables!$AP:$AP,MATCH(G223,Cables!$A:$A,0))-1),1),1),1),INDEX(Cables!$AP:$AP,MATCH(G223,Cables!$A:$A,0))-1))):INDEX(Attenuation!$K:$K,(INDEX(Cables!$AO:$AO,MATCH(G223,Cables!$A:$A,0))-1+MIN(MAX(IFERROR(MATCH(LN(E223),INDEX(Attenuation!$J:$J,INDEX(Cables!$AO:$AO,MATCH(G223,Cables!$A:$A,0))):INDEX(Attenuation!$J:$J,INDEX(Cables!$AO:$AO,MATCH(G223,Cables!$A:$A,0))+INDEX(Cables!$AP:$AP,MATCH(G223,Cables!$A:$A,0))-1),1),1),1),INDEX(Cables!$AP:$AP,MATCH(G223,Cables!$A:$A,0))-1))+1),INDEX(Attenuation!$J:$J,(INDEX(Cables!$AO:$AO,MATCH(G223,Cables!$A:$A,0))-1+MIN(MAX(IFERROR(MATCH(LN(E223),INDEX(Attenuation!$J:$J,INDEX(Cables!$AO:$AO,MATCH(G223,Cables!$A:$A,0))):INDEX(Attenuation!$J:$J,INDEX(Cables!$AO:$AO,MATCH(G223,Cables!$A:$A,0))+INDEX(Cables!$AP:$AP,MATCH(G223,Cables!$A:$A,0))-1),1),1),1),INDEX(Cables!$AP:$AP,MATCH(G223,Cables!$A:$A,0))-1))):INDEX(Attenuation!$J:$J,(INDEX(Cables!$AO:$AO,MATCH(G223,Cables!$A:$A,0))-1+MIN(MAX(IFERROR(MATCH(LN(E223),INDEX(Attenuation!$J:$J,INDEX(Cables!$AO:$AO,MATCH(G223,Cables!$A:$A,0))):INDEX(Attenuation!$J:$J,INDEX(Cables!$AO:$AO,MATCH(G223,Cables!$A:$A,0))+INDEX(Cables!$AP:$AP,MATCH(G223,Cables!$A:$A,0))-1),1),1),1),INDEX(Cables!$AP:$AP,MATCH(G223,Cables!$A:$A,0))-1))+1)))*0.3048)</f>
        <v>11.182768501984153</v>
      </c>
      <c r="J223" s="44">
        <f t="shared" si="3"/>
        <v>-1.001845066224194E-2</v>
      </c>
      <c r="K223" s="40" t="str">
        <f>IF(G223="","Doğrulanmadı",IF(ABS(J223)&lt;=0.1,"Uyumlu (±%10)",IF(ABS(J223)&lt;=0.25,"Fark %10-25","Fark &gt;%25"))&amp;IF(OR(D223&lt;INDEX(Cables!$AQ:$AQ,MATCH(G223,Cables!$A:$A,0)),E223&gt;INDEX(Cables!$AR:$AR,MATCH(G223,Cables!$A:$A,0)))," · ekstrapolasyon",""))</f>
        <v>Uyumlu (±%10)</v>
      </c>
    </row>
    <row r="224" spans="1:11" x14ac:dyDescent="0.25">
      <c r="A224" s="37" t="s">
        <v>3037</v>
      </c>
      <c r="B224" s="40" t="str">
        <f>INDEX(Legacy_Index!$D:$D,MATCH(A224,Legacy_Index!$A:$A,0))</f>
        <v>ULTRAFLEX 10™ Messi and Paoloni</v>
      </c>
      <c r="C224" s="37" t="s">
        <v>3117</v>
      </c>
      <c r="D224" s="37">
        <v>1</v>
      </c>
      <c r="E224" s="37">
        <v>10</v>
      </c>
      <c r="F224" s="37">
        <v>0.3</v>
      </c>
      <c r="G224" s="40" t="str">
        <f>IF(INDEX(Legacy_Index!$G:$G,MATCH(A224,Legacy_Index!$A:$A,0))="","",INDEX(Legacy_Index!$G:$G,MATCH(A224,Legacy_Index!$A:$A,0)))</f>
        <v>MP-ULTRAFLEX10</v>
      </c>
      <c r="H224" s="43">
        <f>IF(G224="","",EXP(FORECAST(LN(D224),INDEX(Attenuation!$K:$K,(INDEX(Cables!$AO:$AO,MATCH(G224,Cables!$A:$A,0))-1+MIN(MAX(IFERROR(MATCH(LN(D224),INDEX(Attenuation!$J:$J,INDEX(Cables!$AO:$AO,MATCH(G224,Cables!$A:$A,0))):INDEX(Attenuation!$J:$J,INDEX(Cables!$AO:$AO,MATCH(G224,Cables!$A:$A,0))+INDEX(Cables!$AP:$AP,MATCH(G224,Cables!$A:$A,0))-1),1),1),1),INDEX(Cables!$AP:$AP,MATCH(G224,Cables!$A:$A,0))-1))):INDEX(Attenuation!$K:$K,(INDEX(Cables!$AO:$AO,MATCH(G224,Cables!$A:$A,0))-1+MIN(MAX(IFERROR(MATCH(LN(D224),INDEX(Attenuation!$J:$J,INDEX(Cables!$AO:$AO,MATCH(G224,Cables!$A:$A,0))):INDEX(Attenuation!$J:$J,INDEX(Cables!$AO:$AO,MATCH(G224,Cables!$A:$A,0))+INDEX(Cables!$AP:$AP,MATCH(G224,Cables!$A:$A,0))-1),1),1),1),INDEX(Cables!$AP:$AP,MATCH(G224,Cables!$A:$A,0))-1))+1),INDEX(Attenuation!$J:$J,(INDEX(Cables!$AO:$AO,MATCH(G224,Cables!$A:$A,0))-1+MIN(MAX(IFERROR(MATCH(LN(D224),INDEX(Attenuation!$J:$J,INDEX(Cables!$AO:$AO,MATCH(G224,Cables!$A:$A,0))):INDEX(Attenuation!$J:$J,INDEX(Cables!$AO:$AO,MATCH(G224,Cables!$A:$A,0))+INDEX(Cables!$AP:$AP,MATCH(G224,Cables!$A:$A,0))-1),1),1),1),INDEX(Cables!$AP:$AP,MATCH(G224,Cables!$A:$A,0))-1))):INDEX(Attenuation!$J:$J,(INDEX(Cables!$AO:$AO,MATCH(G224,Cables!$A:$A,0))-1+MIN(MAX(IFERROR(MATCH(LN(D224),INDEX(Attenuation!$J:$J,INDEX(Cables!$AO:$AO,MATCH(G224,Cables!$A:$A,0))):INDEX(Attenuation!$J:$J,INDEX(Cables!$AO:$AO,MATCH(G224,Cables!$A:$A,0))+INDEX(Cables!$AP:$AP,MATCH(G224,Cables!$A:$A,0))-1),1),1),1),INDEX(Cables!$AP:$AP,MATCH(G224,Cables!$A:$A,0))-1))+1)))*0.3048)</f>
        <v>0.20019080817206544</v>
      </c>
      <c r="I224" s="43">
        <f>IF(G224="","",EXP(FORECAST(LN(E224),INDEX(Attenuation!$K:$K,(INDEX(Cables!$AO:$AO,MATCH(G224,Cables!$A:$A,0))-1+MIN(MAX(IFERROR(MATCH(LN(E224),INDEX(Attenuation!$J:$J,INDEX(Cables!$AO:$AO,MATCH(G224,Cables!$A:$A,0))):INDEX(Attenuation!$J:$J,INDEX(Cables!$AO:$AO,MATCH(G224,Cables!$A:$A,0))+INDEX(Cables!$AP:$AP,MATCH(G224,Cables!$A:$A,0))-1),1),1),1),INDEX(Cables!$AP:$AP,MATCH(G224,Cables!$A:$A,0))-1))):INDEX(Attenuation!$K:$K,(INDEX(Cables!$AO:$AO,MATCH(G224,Cables!$A:$A,0))-1+MIN(MAX(IFERROR(MATCH(LN(E224),INDEX(Attenuation!$J:$J,INDEX(Cables!$AO:$AO,MATCH(G224,Cables!$A:$A,0))):INDEX(Attenuation!$J:$J,INDEX(Cables!$AO:$AO,MATCH(G224,Cables!$A:$A,0))+INDEX(Cables!$AP:$AP,MATCH(G224,Cables!$A:$A,0))-1),1),1),1),INDEX(Cables!$AP:$AP,MATCH(G224,Cables!$A:$A,0))-1))+1),INDEX(Attenuation!$J:$J,(INDEX(Cables!$AO:$AO,MATCH(G224,Cables!$A:$A,0))-1+MIN(MAX(IFERROR(MATCH(LN(E224),INDEX(Attenuation!$J:$J,INDEX(Cables!$AO:$AO,MATCH(G224,Cables!$A:$A,0))):INDEX(Attenuation!$J:$J,INDEX(Cables!$AO:$AO,MATCH(G224,Cables!$A:$A,0))+INDEX(Cables!$AP:$AP,MATCH(G224,Cables!$A:$A,0))-1),1),1),1),INDEX(Cables!$AP:$AP,MATCH(G224,Cables!$A:$A,0))-1))):INDEX(Attenuation!$J:$J,(INDEX(Cables!$AO:$AO,MATCH(G224,Cables!$A:$A,0))-1+MIN(MAX(IFERROR(MATCH(LN(E224),INDEX(Attenuation!$J:$J,INDEX(Cables!$AO:$AO,MATCH(G224,Cables!$A:$A,0))):INDEX(Attenuation!$J:$J,INDEX(Cables!$AO:$AO,MATCH(G224,Cables!$A:$A,0))+INDEX(Cables!$AP:$AP,MATCH(G224,Cables!$A:$A,0))-1),1),1),1),INDEX(Cables!$AP:$AP,MATCH(G224,Cables!$A:$A,0))-1))+1)))*0.3048)</f>
        <v>0.39624000000000004</v>
      </c>
      <c r="J224" s="44">
        <f t="shared" si="3"/>
        <v>0</v>
      </c>
      <c r="K224" s="40" t="str">
        <f>IF(G224="","Doğrulanmadı",IF(ABS(J224)&lt;=0.1,"Uyumlu (±%10)",IF(ABS(J224)&lt;=0.25,"Fark %10-25","Fark &gt;%25"))&amp;IF(OR(D224&lt;INDEX(Cables!$AQ:$AQ,MATCH(G224,Cables!$A:$A,0)),E224&gt;INDEX(Cables!$AR:$AR,MATCH(G224,Cables!$A:$A,0)))," · ekstrapolasyon",""))</f>
        <v>Uyumlu (±%10) · ekstrapolasyon</v>
      </c>
    </row>
    <row r="225" spans="1:11" x14ac:dyDescent="0.25">
      <c r="A225" s="37" t="s">
        <v>3037</v>
      </c>
      <c r="B225" s="40" t="str">
        <f>INDEX(Legacy_Index!$D:$D,MATCH(A225,Legacy_Index!$A:$A,0))</f>
        <v>ULTRAFLEX 10™ Messi and Paoloni</v>
      </c>
      <c r="C225" s="37" t="s">
        <v>3118</v>
      </c>
      <c r="D225" s="37">
        <v>30</v>
      </c>
      <c r="E225" s="37">
        <v>50</v>
      </c>
      <c r="F225" s="37">
        <v>0.7</v>
      </c>
      <c r="G225" s="40" t="str">
        <f>IF(INDEX(Legacy_Index!$G:$G,MATCH(A225,Legacy_Index!$A:$A,0))="","",INDEX(Legacy_Index!$G:$G,MATCH(A225,Legacy_Index!$A:$A,0)))</f>
        <v>MP-ULTRAFLEX10</v>
      </c>
      <c r="H225" s="43">
        <f>IF(G225="","",EXP(FORECAST(LN(D225),INDEX(Attenuation!$K:$K,(INDEX(Cables!$AO:$AO,MATCH(G225,Cables!$A:$A,0))-1+MIN(MAX(IFERROR(MATCH(LN(D225),INDEX(Attenuation!$J:$J,INDEX(Cables!$AO:$AO,MATCH(G225,Cables!$A:$A,0))):INDEX(Attenuation!$J:$J,INDEX(Cables!$AO:$AO,MATCH(G225,Cables!$A:$A,0))+INDEX(Cables!$AP:$AP,MATCH(G225,Cables!$A:$A,0))-1),1),1),1),INDEX(Cables!$AP:$AP,MATCH(G225,Cables!$A:$A,0))-1))):INDEX(Attenuation!$K:$K,(INDEX(Cables!$AO:$AO,MATCH(G225,Cables!$A:$A,0))-1+MIN(MAX(IFERROR(MATCH(LN(D225),INDEX(Attenuation!$J:$J,INDEX(Cables!$AO:$AO,MATCH(G225,Cables!$A:$A,0))):INDEX(Attenuation!$J:$J,INDEX(Cables!$AO:$AO,MATCH(G225,Cables!$A:$A,0))+INDEX(Cables!$AP:$AP,MATCH(G225,Cables!$A:$A,0))-1),1),1),1),INDEX(Cables!$AP:$AP,MATCH(G225,Cables!$A:$A,0))-1))+1),INDEX(Attenuation!$J:$J,(INDEX(Cables!$AO:$AO,MATCH(G225,Cables!$A:$A,0))-1+MIN(MAX(IFERROR(MATCH(LN(D225),INDEX(Attenuation!$J:$J,INDEX(Cables!$AO:$AO,MATCH(G225,Cables!$A:$A,0))):INDEX(Attenuation!$J:$J,INDEX(Cables!$AO:$AO,MATCH(G225,Cables!$A:$A,0))+INDEX(Cables!$AP:$AP,MATCH(G225,Cables!$A:$A,0))-1),1),1),1),INDEX(Cables!$AP:$AP,MATCH(G225,Cables!$A:$A,0))-1))):INDEX(Attenuation!$J:$J,(INDEX(Cables!$AO:$AO,MATCH(G225,Cables!$A:$A,0))-1+MIN(MAX(IFERROR(MATCH(LN(D225),INDEX(Attenuation!$J:$J,INDEX(Cables!$AO:$AO,MATCH(G225,Cables!$A:$A,0))):INDEX(Attenuation!$J:$J,INDEX(Cables!$AO:$AO,MATCH(G225,Cables!$A:$A,0))+INDEX(Cables!$AP:$AP,MATCH(G225,Cables!$A:$A,0))-1),1),1),1),INDEX(Cables!$AP:$AP,MATCH(G225,Cables!$A:$A,0))-1))+1)))*0.3048)</f>
        <v>0.63176190395855214</v>
      </c>
      <c r="I225" s="43">
        <f>IF(G225="","",EXP(FORECAST(LN(E225),INDEX(Attenuation!$K:$K,(INDEX(Cables!$AO:$AO,MATCH(G225,Cables!$A:$A,0))-1+MIN(MAX(IFERROR(MATCH(LN(E225),INDEX(Attenuation!$J:$J,INDEX(Cables!$AO:$AO,MATCH(G225,Cables!$A:$A,0))):INDEX(Attenuation!$J:$J,INDEX(Cables!$AO:$AO,MATCH(G225,Cables!$A:$A,0))+INDEX(Cables!$AP:$AP,MATCH(G225,Cables!$A:$A,0))-1),1),1),1),INDEX(Cables!$AP:$AP,MATCH(G225,Cables!$A:$A,0))-1))):INDEX(Attenuation!$K:$K,(INDEX(Cables!$AO:$AO,MATCH(G225,Cables!$A:$A,0))-1+MIN(MAX(IFERROR(MATCH(LN(E225),INDEX(Attenuation!$J:$J,INDEX(Cables!$AO:$AO,MATCH(G225,Cables!$A:$A,0))):INDEX(Attenuation!$J:$J,INDEX(Cables!$AO:$AO,MATCH(G225,Cables!$A:$A,0))+INDEX(Cables!$AP:$AP,MATCH(G225,Cables!$A:$A,0))-1),1),1),1),INDEX(Cables!$AP:$AP,MATCH(G225,Cables!$A:$A,0))-1))+1),INDEX(Attenuation!$J:$J,(INDEX(Cables!$AO:$AO,MATCH(G225,Cables!$A:$A,0))-1+MIN(MAX(IFERROR(MATCH(LN(E225),INDEX(Attenuation!$J:$J,INDEX(Cables!$AO:$AO,MATCH(G225,Cables!$A:$A,0))):INDEX(Attenuation!$J:$J,INDEX(Cables!$AO:$AO,MATCH(G225,Cables!$A:$A,0))+INDEX(Cables!$AP:$AP,MATCH(G225,Cables!$A:$A,0))-1),1),1),1),INDEX(Cables!$AP:$AP,MATCH(G225,Cables!$A:$A,0))-1))):INDEX(Attenuation!$J:$J,(INDEX(Cables!$AO:$AO,MATCH(G225,Cables!$A:$A,0))-1+MIN(MAX(IFERROR(MATCH(LN(E225),INDEX(Attenuation!$J:$J,INDEX(Cables!$AO:$AO,MATCH(G225,Cables!$A:$A,0))):INDEX(Attenuation!$J:$J,INDEX(Cables!$AO:$AO,MATCH(G225,Cables!$A:$A,0))+INDEX(Cables!$AP:$AP,MATCH(G225,Cables!$A:$A,0))-1),1),1),1),INDEX(Cables!$AP:$AP,MATCH(G225,Cables!$A:$A,0))-1))+1)))*0.3048)</f>
        <v>0.82295999999999969</v>
      </c>
      <c r="J225" s="44">
        <f t="shared" si="3"/>
        <v>0</v>
      </c>
      <c r="K225" s="40" t="str">
        <f>IF(G225="","Doğrulanmadı",IF(ABS(J225)&lt;=0.1,"Uyumlu (±%10)",IF(ABS(J225)&lt;=0.25,"Fark %10-25","Fark &gt;%25"))&amp;IF(OR(D225&lt;INDEX(Cables!$AQ:$AQ,MATCH(G225,Cables!$A:$A,0)),E225&gt;INDEX(Cables!$AR:$AR,MATCH(G225,Cables!$A:$A,0)))," · ekstrapolasyon",""))</f>
        <v>Uyumlu (±%10)</v>
      </c>
    </row>
    <row r="226" spans="1:11" x14ac:dyDescent="0.25">
      <c r="A226" s="37" t="s">
        <v>3037</v>
      </c>
      <c r="B226" s="40" t="str">
        <f>INDEX(Legacy_Index!$D:$D,MATCH(A226,Legacy_Index!$A:$A,0))</f>
        <v>ULTRAFLEX 10™ Messi and Paoloni</v>
      </c>
      <c r="C226" s="37" t="s">
        <v>3113</v>
      </c>
      <c r="D226" s="37">
        <v>70</v>
      </c>
      <c r="E226" s="37">
        <v>100</v>
      </c>
      <c r="F226" s="37">
        <v>1</v>
      </c>
      <c r="G226" s="40" t="str">
        <f>IF(INDEX(Legacy_Index!$G:$G,MATCH(A226,Legacy_Index!$A:$A,0))="","",INDEX(Legacy_Index!$G:$G,MATCH(A226,Legacy_Index!$A:$A,0)))</f>
        <v>MP-ULTRAFLEX10</v>
      </c>
      <c r="H226" s="43">
        <f>IF(G226="","",EXP(FORECAST(LN(D226),INDEX(Attenuation!$K:$K,(INDEX(Cables!$AO:$AO,MATCH(G226,Cables!$A:$A,0))-1+MIN(MAX(IFERROR(MATCH(LN(D226),INDEX(Attenuation!$J:$J,INDEX(Cables!$AO:$AO,MATCH(G226,Cables!$A:$A,0))):INDEX(Attenuation!$J:$J,INDEX(Cables!$AO:$AO,MATCH(G226,Cables!$A:$A,0))+INDEX(Cables!$AP:$AP,MATCH(G226,Cables!$A:$A,0))-1),1),1),1),INDEX(Cables!$AP:$AP,MATCH(G226,Cables!$A:$A,0))-1))):INDEX(Attenuation!$K:$K,(INDEX(Cables!$AO:$AO,MATCH(G226,Cables!$A:$A,0))-1+MIN(MAX(IFERROR(MATCH(LN(D226),INDEX(Attenuation!$J:$J,INDEX(Cables!$AO:$AO,MATCH(G226,Cables!$A:$A,0))):INDEX(Attenuation!$J:$J,INDEX(Cables!$AO:$AO,MATCH(G226,Cables!$A:$A,0))+INDEX(Cables!$AP:$AP,MATCH(G226,Cables!$A:$A,0))-1),1),1),1),INDEX(Cables!$AP:$AP,MATCH(G226,Cables!$A:$A,0))-1))+1),INDEX(Attenuation!$J:$J,(INDEX(Cables!$AO:$AO,MATCH(G226,Cables!$A:$A,0))-1+MIN(MAX(IFERROR(MATCH(LN(D226),INDEX(Attenuation!$J:$J,INDEX(Cables!$AO:$AO,MATCH(G226,Cables!$A:$A,0))):INDEX(Attenuation!$J:$J,INDEX(Cables!$AO:$AO,MATCH(G226,Cables!$A:$A,0))+INDEX(Cables!$AP:$AP,MATCH(G226,Cables!$A:$A,0))-1),1),1),1),INDEX(Cables!$AP:$AP,MATCH(G226,Cables!$A:$A,0))-1))):INDEX(Attenuation!$J:$J,(INDEX(Cables!$AO:$AO,MATCH(G226,Cables!$A:$A,0))-1+MIN(MAX(IFERROR(MATCH(LN(D226),INDEX(Attenuation!$J:$J,INDEX(Cables!$AO:$AO,MATCH(G226,Cables!$A:$A,0))):INDEX(Attenuation!$J:$J,INDEX(Cables!$AO:$AO,MATCH(G226,Cables!$A:$A,0))+INDEX(Cables!$AP:$AP,MATCH(G226,Cables!$A:$A,0))-1),1),1),1),INDEX(Cables!$AP:$AP,MATCH(G226,Cables!$A:$A,0))-1))+1)))*0.3048)</f>
        <v>0.9837886329941673</v>
      </c>
      <c r="I226" s="43">
        <f>IF(G226="","",EXP(FORECAST(LN(E226),INDEX(Attenuation!$K:$K,(INDEX(Cables!$AO:$AO,MATCH(G226,Cables!$A:$A,0))-1+MIN(MAX(IFERROR(MATCH(LN(E226),INDEX(Attenuation!$J:$J,INDEX(Cables!$AO:$AO,MATCH(G226,Cables!$A:$A,0))):INDEX(Attenuation!$J:$J,INDEX(Cables!$AO:$AO,MATCH(G226,Cables!$A:$A,0))+INDEX(Cables!$AP:$AP,MATCH(G226,Cables!$A:$A,0))-1),1),1),1),INDEX(Cables!$AP:$AP,MATCH(G226,Cables!$A:$A,0))-1))):INDEX(Attenuation!$K:$K,(INDEX(Cables!$AO:$AO,MATCH(G226,Cables!$A:$A,0))-1+MIN(MAX(IFERROR(MATCH(LN(E226),INDEX(Attenuation!$J:$J,INDEX(Cables!$AO:$AO,MATCH(G226,Cables!$A:$A,0))):INDEX(Attenuation!$J:$J,INDEX(Cables!$AO:$AO,MATCH(G226,Cables!$A:$A,0))+INDEX(Cables!$AP:$AP,MATCH(G226,Cables!$A:$A,0))-1),1),1),1),INDEX(Cables!$AP:$AP,MATCH(G226,Cables!$A:$A,0))-1))+1),INDEX(Attenuation!$J:$J,(INDEX(Cables!$AO:$AO,MATCH(G226,Cables!$A:$A,0))-1+MIN(MAX(IFERROR(MATCH(LN(E226),INDEX(Attenuation!$J:$J,INDEX(Cables!$AO:$AO,MATCH(G226,Cables!$A:$A,0))):INDEX(Attenuation!$J:$J,INDEX(Cables!$AO:$AO,MATCH(G226,Cables!$A:$A,0))+INDEX(Cables!$AP:$AP,MATCH(G226,Cables!$A:$A,0))-1),1),1),1),INDEX(Cables!$AP:$AP,MATCH(G226,Cables!$A:$A,0))-1))):INDEX(Attenuation!$J:$J,(INDEX(Cables!$AO:$AO,MATCH(G226,Cables!$A:$A,0))-1+MIN(MAX(IFERROR(MATCH(LN(E226),INDEX(Attenuation!$J:$J,INDEX(Cables!$AO:$AO,MATCH(G226,Cables!$A:$A,0))):INDEX(Attenuation!$J:$J,INDEX(Cables!$AO:$AO,MATCH(G226,Cables!$A:$A,0))+INDEX(Cables!$AP:$AP,MATCH(G226,Cables!$A:$A,0))-1),1),1),1),INDEX(Cables!$AP:$AP,MATCH(G226,Cables!$A:$A,0))-1))+1)))*0.3048)</f>
        <v>1.1887199999999996</v>
      </c>
      <c r="J226" s="44">
        <f t="shared" si="3"/>
        <v>0</v>
      </c>
      <c r="K226" s="40" t="str">
        <f>IF(G226="","Doğrulanmadı",IF(ABS(J226)&lt;=0.1,"Uyumlu (±%10)",IF(ABS(J226)&lt;=0.25,"Fark %10-25","Fark &gt;%25"))&amp;IF(OR(D226&lt;INDEX(Cables!$AQ:$AQ,MATCH(G226,Cables!$A:$A,0)),E226&gt;INDEX(Cables!$AR:$AR,MATCH(G226,Cables!$A:$A,0)))," · ekstrapolasyon",""))</f>
        <v>Uyumlu (±%10)</v>
      </c>
    </row>
    <row r="227" spans="1:11" x14ac:dyDescent="0.25">
      <c r="A227" s="37" t="s">
        <v>3037</v>
      </c>
      <c r="B227" s="40" t="str">
        <f>INDEX(Legacy_Index!$D:$D,MATCH(A227,Legacy_Index!$A:$A,0))</f>
        <v>ULTRAFLEX 10™ Messi and Paoloni</v>
      </c>
      <c r="C227" s="37" t="s">
        <v>3114</v>
      </c>
      <c r="D227" s="37">
        <v>148</v>
      </c>
      <c r="E227" s="37">
        <v>174</v>
      </c>
      <c r="F227" s="37">
        <v>1.5</v>
      </c>
      <c r="G227" s="40" t="str">
        <f>IF(INDEX(Legacy_Index!$G:$G,MATCH(A227,Legacy_Index!$A:$A,0))="","",INDEX(Legacy_Index!$G:$G,MATCH(A227,Legacy_Index!$A:$A,0)))</f>
        <v>MP-ULTRAFLEX10</v>
      </c>
      <c r="H227" s="43">
        <f>IF(G227="","",EXP(FORECAST(LN(D227),INDEX(Attenuation!$K:$K,(INDEX(Cables!$AO:$AO,MATCH(G227,Cables!$A:$A,0))-1+MIN(MAX(IFERROR(MATCH(LN(D227),INDEX(Attenuation!$J:$J,INDEX(Cables!$AO:$AO,MATCH(G227,Cables!$A:$A,0))):INDEX(Attenuation!$J:$J,INDEX(Cables!$AO:$AO,MATCH(G227,Cables!$A:$A,0))+INDEX(Cables!$AP:$AP,MATCH(G227,Cables!$A:$A,0))-1),1),1),1),INDEX(Cables!$AP:$AP,MATCH(G227,Cables!$A:$A,0))-1))):INDEX(Attenuation!$K:$K,(INDEX(Cables!$AO:$AO,MATCH(G227,Cables!$A:$A,0))-1+MIN(MAX(IFERROR(MATCH(LN(D227),INDEX(Attenuation!$J:$J,INDEX(Cables!$AO:$AO,MATCH(G227,Cables!$A:$A,0))):INDEX(Attenuation!$J:$J,INDEX(Cables!$AO:$AO,MATCH(G227,Cables!$A:$A,0))+INDEX(Cables!$AP:$AP,MATCH(G227,Cables!$A:$A,0))-1),1),1),1),INDEX(Cables!$AP:$AP,MATCH(G227,Cables!$A:$A,0))-1))+1),INDEX(Attenuation!$J:$J,(INDEX(Cables!$AO:$AO,MATCH(G227,Cables!$A:$A,0))-1+MIN(MAX(IFERROR(MATCH(LN(D227),INDEX(Attenuation!$J:$J,INDEX(Cables!$AO:$AO,MATCH(G227,Cables!$A:$A,0))):INDEX(Attenuation!$J:$J,INDEX(Cables!$AO:$AO,MATCH(G227,Cables!$A:$A,0))+INDEX(Cables!$AP:$AP,MATCH(G227,Cables!$A:$A,0))-1),1),1),1),INDEX(Cables!$AP:$AP,MATCH(G227,Cables!$A:$A,0))-1))):INDEX(Attenuation!$J:$J,(INDEX(Cables!$AO:$AO,MATCH(G227,Cables!$A:$A,0))-1+MIN(MAX(IFERROR(MATCH(LN(D227),INDEX(Attenuation!$J:$J,INDEX(Cables!$AO:$AO,MATCH(G227,Cables!$A:$A,0))):INDEX(Attenuation!$J:$J,INDEX(Cables!$AO:$AO,MATCH(G227,Cables!$A:$A,0))+INDEX(Cables!$AP:$AP,MATCH(G227,Cables!$A:$A,0))-1),1),1),1),INDEX(Cables!$AP:$AP,MATCH(G227,Cables!$A:$A,0))-1))+1)))*0.3048)</f>
        <v>1.4557951382545191</v>
      </c>
      <c r="I227" s="43">
        <f>IF(G227="","",EXP(FORECAST(LN(E227),INDEX(Attenuation!$K:$K,(INDEX(Cables!$AO:$AO,MATCH(G227,Cables!$A:$A,0))-1+MIN(MAX(IFERROR(MATCH(LN(E227),INDEX(Attenuation!$J:$J,INDEX(Cables!$AO:$AO,MATCH(G227,Cables!$A:$A,0))):INDEX(Attenuation!$J:$J,INDEX(Cables!$AO:$AO,MATCH(G227,Cables!$A:$A,0))+INDEX(Cables!$AP:$AP,MATCH(G227,Cables!$A:$A,0))-1),1),1),1),INDEX(Cables!$AP:$AP,MATCH(G227,Cables!$A:$A,0))-1))):INDEX(Attenuation!$K:$K,(INDEX(Cables!$AO:$AO,MATCH(G227,Cables!$A:$A,0))-1+MIN(MAX(IFERROR(MATCH(LN(E227),INDEX(Attenuation!$J:$J,INDEX(Cables!$AO:$AO,MATCH(G227,Cables!$A:$A,0))):INDEX(Attenuation!$J:$J,INDEX(Cables!$AO:$AO,MATCH(G227,Cables!$A:$A,0))+INDEX(Cables!$AP:$AP,MATCH(G227,Cables!$A:$A,0))-1),1),1),1),INDEX(Cables!$AP:$AP,MATCH(G227,Cables!$A:$A,0))-1))+1),INDEX(Attenuation!$J:$J,(INDEX(Cables!$AO:$AO,MATCH(G227,Cables!$A:$A,0))-1+MIN(MAX(IFERROR(MATCH(LN(E227),INDEX(Attenuation!$J:$J,INDEX(Cables!$AO:$AO,MATCH(G227,Cables!$A:$A,0))):INDEX(Attenuation!$J:$J,INDEX(Cables!$AO:$AO,MATCH(G227,Cables!$A:$A,0))+INDEX(Cables!$AP:$AP,MATCH(G227,Cables!$A:$A,0))-1),1),1),1),INDEX(Cables!$AP:$AP,MATCH(G227,Cables!$A:$A,0))-1))):INDEX(Attenuation!$J:$J,(INDEX(Cables!$AO:$AO,MATCH(G227,Cables!$A:$A,0))-1+MIN(MAX(IFERROR(MATCH(LN(E227),INDEX(Attenuation!$J:$J,INDEX(Cables!$AO:$AO,MATCH(G227,Cables!$A:$A,0))):INDEX(Attenuation!$J:$J,INDEX(Cables!$AO:$AO,MATCH(G227,Cables!$A:$A,0))+INDEX(Cables!$AP:$AP,MATCH(G227,Cables!$A:$A,0))-1),1),1),1),INDEX(Cables!$AP:$AP,MATCH(G227,Cables!$A:$A,0))-1))+1)))*0.3048)</f>
        <v>1.6009375991741974</v>
      </c>
      <c r="J227" s="44">
        <f t="shared" si="3"/>
        <v>0</v>
      </c>
      <c r="K227" s="40" t="str">
        <f>IF(G227="","Doğrulanmadı",IF(ABS(J227)&lt;=0.1,"Uyumlu (±%10)",IF(ABS(J227)&lt;=0.25,"Fark %10-25","Fark &gt;%25"))&amp;IF(OR(D227&lt;INDEX(Cables!$AQ:$AQ,MATCH(G227,Cables!$A:$A,0)),E227&gt;INDEX(Cables!$AR:$AR,MATCH(G227,Cables!$A:$A,0)))," · ekstrapolasyon",""))</f>
        <v>Uyumlu (±%10)</v>
      </c>
    </row>
    <row r="228" spans="1:11" x14ac:dyDescent="0.25">
      <c r="A228" s="37" t="s">
        <v>3037</v>
      </c>
      <c r="B228" s="40" t="str">
        <f>INDEX(Legacy_Index!$D:$D,MATCH(A228,Legacy_Index!$A:$A,0))</f>
        <v>ULTRAFLEX 10™ Messi and Paoloni</v>
      </c>
      <c r="C228" s="37" t="s">
        <v>3119</v>
      </c>
      <c r="D228" s="37">
        <v>220</v>
      </c>
      <c r="E228" s="37">
        <v>220</v>
      </c>
      <c r="F228" s="37">
        <v>1.8</v>
      </c>
      <c r="G228" s="40" t="str">
        <f>IF(INDEX(Legacy_Index!$G:$G,MATCH(A228,Legacy_Index!$A:$A,0))="","",INDEX(Legacy_Index!$G:$G,MATCH(A228,Legacy_Index!$A:$A,0)))</f>
        <v>MP-ULTRAFLEX10</v>
      </c>
      <c r="H228" s="43">
        <f>IF(G228="","",EXP(FORECAST(LN(D228),INDEX(Attenuation!$K:$K,(INDEX(Cables!$AO:$AO,MATCH(G228,Cables!$A:$A,0))-1+MIN(MAX(IFERROR(MATCH(LN(D228),INDEX(Attenuation!$J:$J,INDEX(Cables!$AO:$AO,MATCH(G228,Cables!$A:$A,0))):INDEX(Attenuation!$J:$J,INDEX(Cables!$AO:$AO,MATCH(G228,Cables!$A:$A,0))+INDEX(Cables!$AP:$AP,MATCH(G228,Cables!$A:$A,0))-1),1),1),1),INDEX(Cables!$AP:$AP,MATCH(G228,Cables!$A:$A,0))-1))):INDEX(Attenuation!$K:$K,(INDEX(Cables!$AO:$AO,MATCH(G228,Cables!$A:$A,0))-1+MIN(MAX(IFERROR(MATCH(LN(D228),INDEX(Attenuation!$J:$J,INDEX(Cables!$AO:$AO,MATCH(G228,Cables!$A:$A,0))):INDEX(Attenuation!$J:$J,INDEX(Cables!$AO:$AO,MATCH(G228,Cables!$A:$A,0))+INDEX(Cables!$AP:$AP,MATCH(G228,Cables!$A:$A,0))-1),1),1),1),INDEX(Cables!$AP:$AP,MATCH(G228,Cables!$A:$A,0))-1))+1),INDEX(Attenuation!$J:$J,(INDEX(Cables!$AO:$AO,MATCH(G228,Cables!$A:$A,0))-1+MIN(MAX(IFERROR(MATCH(LN(D228),INDEX(Attenuation!$J:$J,INDEX(Cables!$AO:$AO,MATCH(G228,Cables!$A:$A,0))):INDEX(Attenuation!$J:$J,INDEX(Cables!$AO:$AO,MATCH(G228,Cables!$A:$A,0))+INDEX(Cables!$AP:$AP,MATCH(G228,Cables!$A:$A,0))-1),1),1),1),INDEX(Cables!$AP:$AP,MATCH(G228,Cables!$A:$A,0))-1))):INDEX(Attenuation!$J:$J,(INDEX(Cables!$AO:$AO,MATCH(G228,Cables!$A:$A,0))-1+MIN(MAX(IFERROR(MATCH(LN(D228),INDEX(Attenuation!$J:$J,INDEX(Cables!$AO:$AO,MATCH(G228,Cables!$A:$A,0))):INDEX(Attenuation!$J:$J,INDEX(Cables!$AO:$AO,MATCH(G228,Cables!$A:$A,0))+INDEX(Cables!$AP:$AP,MATCH(G228,Cables!$A:$A,0))-1),1),1),1),INDEX(Cables!$AP:$AP,MATCH(G228,Cables!$A:$A,0))-1))+1)))*0.3048)</f>
        <v>1.8294933637316293</v>
      </c>
      <c r="I228" s="43">
        <f>IF(G228="","",EXP(FORECAST(LN(E228),INDEX(Attenuation!$K:$K,(INDEX(Cables!$AO:$AO,MATCH(G228,Cables!$A:$A,0))-1+MIN(MAX(IFERROR(MATCH(LN(E228),INDEX(Attenuation!$J:$J,INDEX(Cables!$AO:$AO,MATCH(G228,Cables!$A:$A,0))):INDEX(Attenuation!$J:$J,INDEX(Cables!$AO:$AO,MATCH(G228,Cables!$A:$A,0))+INDEX(Cables!$AP:$AP,MATCH(G228,Cables!$A:$A,0))-1),1),1),1),INDEX(Cables!$AP:$AP,MATCH(G228,Cables!$A:$A,0))-1))):INDEX(Attenuation!$K:$K,(INDEX(Cables!$AO:$AO,MATCH(G228,Cables!$A:$A,0))-1+MIN(MAX(IFERROR(MATCH(LN(E228),INDEX(Attenuation!$J:$J,INDEX(Cables!$AO:$AO,MATCH(G228,Cables!$A:$A,0))):INDEX(Attenuation!$J:$J,INDEX(Cables!$AO:$AO,MATCH(G228,Cables!$A:$A,0))+INDEX(Cables!$AP:$AP,MATCH(G228,Cables!$A:$A,0))-1),1),1),1),INDEX(Cables!$AP:$AP,MATCH(G228,Cables!$A:$A,0))-1))+1),INDEX(Attenuation!$J:$J,(INDEX(Cables!$AO:$AO,MATCH(G228,Cables!$A:$A,0))-1+MIN(MAX(IFERROR(MATCH(LN(E228),INDEX(Attenuation!$J:$J,INDEX(Cables!$AO:$AO,MATCH(G228,Cables!$A:$A,0))):INDEX(Attenuation!$J:$J,INDEX(Cables!$AO:$AO,MATCH(G228,Cables!$A:$A,0))+INDEX(Cables!$AP:$AP,MATCH(G228,Cables!$A:$A,0))-1),1),1),1),INDEX(Cables!$AP:$AP,MATCH(G228,Cables!$A:$A,0))-1))):INDEX(Attenuation!$J:$J,(INDEX(Cables!$AO:$AO,MATCH(G228,Cables!$A:$A,0))-1+MIN(MAX(IFERROR(MATCH(LN(E228),INDEX(Attenuation!$J:$J,INDEX(Cables!$AO:$AO,MATCH(G228,Cables!$A:$A,0))):INDEX(Attenuation!$J:$J,INDEX(Cables!$AO:$AO,MATCH(G228,Cables!$A:$A,0))+INDEX(Cables!$AP:$AP,MATCH(G228,Cables!$A:$A,0))-1),1),1),1),INDEX(Cables!$AP:$AP,MATCH(G228,Cables!$A:$A,0))-1))+1)))*0.3048)</f>
        <v>1.8294933637316293</v>
      </c>
      <c r="J228" s="44">
        <f t="shared" si="3"/>
        <v>-1.6121055324011424E-2</v>
      </c>
      <c r="K228" s="40" t="str">
        <f>IF(G228="","Doğrulanmadı",IF(ABS(J228)&lt;=0.1,"Uyumlu (±%10)",IF(ABS(J228)&lt;=0.25,"Fark %10-25","Fark &gt;%25"))&amp;IF(OR(D228&lt;INDEX(Cables!$AQ:$AQ,MATCH(G228,Cables!$A:$A,0)),E228&gt;INDEX(Cables!$AR:$AR,MATCH(G228,Cables!$A:$A,0)))," · ekstrapolasyon",""))</f>
        <v>Uyumlu (±%10)</v>
      </c>
    </row>
    <row r="229" spans="1:11" x14ac:dyDescent="0.25">
      <c r="A229" s="37" t="s">
        <v>3037</v>
      </c>
      <c r="B229" s="40" t="str">
        <f>INDEX(Legacy_Index!$D:$D,MATCH(A229,Legacy_Index!$A:$A,0))</f>
        <v>ULTRAFLEX 10™ Messi and Paoloni</v>
      </c>
      <c r="C229" s="37" t="s">
        <v>3115</v>
      </c>
      <c r="D229" s="37">
        <v>400</v>
      </c>
      <c r="E229" s="37">
        <v>520</v>
      </c>
      <c r="F229" s="37">
        <v>2.7</v>
      </c>
      <c r="G229" s="40" t="str">
        <f>IF(INDEX(Legacy_Index!$G:$G,MATCH(A229,Legacy_Index!$A:$A,0))="","",INDEX(Legacy_Index!$G:$G,MATCH(A229,Legacy_Index!$A:$A,0)))</f>
        <v>MP-ULTRAFLEX10</v>
      </c>
      <c r="H229" s="43">
        <f>IF(G229="","",EXP(FORECAST(LN(D229),INDEX(Attenuation!$K:$K,(INDEX(Cables!$AO:$AO,MATCH(G229,Cables!$A:$A,0))-1+MIN(MAX(IFERROR(MATCH(LN(D229),INDEX(Attenuation!$J:$J,INDEX(Cables!$AO:$AO,MATCH(G229,Cables!$A:$A,0))):INDEX(Attenuation!$J:$J,INDEX(Cables!$AO:$AO,MATCH(G229,Cables!$A:$A,0))+INDEX(Cables!$AP:$AP,MATCH(G229,Cables!$A:$A,0))-1),1),1),1),INDEX(Cables!$AP:$AP,MATCH(G229,Cables!$A:$A,0))-1))):INDEX(Attenuation!$K:$K,(INDEX(Cables!$AO:$AO,MATCH(G229,Cables!$A:$A,0))-1+MIN(MAX(IFERROR(MATCH(LN(D229),INDEX(Attenuation!$J:$J,INDEX(Cables!$AO:$AO,MATCH(G229,Cables!$A:$A,0))):INDEX(Attenuation!$J:$J,INDEX(Cables!$AO:$AO,MATCH(G229,Cables!$A:$A,0))+INDEX(Cables!$AP:$AP,MATCH(G229,Cables!$A:$A,0))-1),1),1),1),INDEX(Cables!$AP:$AP,MATCH(G229,Cables!$A:$A,0))-1))+1),INDEX(Attenuation!$J:$J,(INDEX(Cables!$AO:$AO,MATCH(G229,Cables!$A:$A,0))-1+MIN(MAX(IFERROR(MATCH(LN(D229),INDEX(Attenuation!$J:$J,INDEX(Cables!$AO:$AO,MATCH(G229,Cables!$A:$A,0))):INDEX(Attenuation!$J:$J,INDEX(Cables!$AO:$AO,MATCH(G229,Cables!$A:$A,0))+INDEX(Cables!$AP:$AP,MATCH(G229,Cables!$A:$A,0))-1),1),1),1),INDEX(Cables!$AP:$AP,MATCH(G229,Cables!$A:$A,0))-1))):INDEX(Attenuation!$J:$J,(INDEX(Cables!$AO:$AO,MATCH(G229,Cables!$A:$A,0))-1+MIN(MAX(IFERROR(MATCH(LN(D229),INDEX(Attenuation!$J:$J,INDEX(Cables!$AO:$AO,MATCH(G229,Cables!$A:$A,0))):INDEX(Attenuation!$J:$J,INDEX(Cables!$AO:$AO,MATCH(G229,Cables!$A:$A,0))+INDEX(Cables!$AP:$AP,MATCH(G229,Cables!$A:$A,0))-1),1),1),1),INDEX(Cables!$AP:$AP,MATCH(G229,Cables!$A:$A,0))-1))+1)))*0.3048)</f>
        <v>2.5298400000000005</v>
      </c>
      <c r="I229" s="43">
        <f>IF(G229="","",EXP(FORECAST(LN(E229),INDEX(Attenuation!$K:$K,(INDEX(Cables!$AO:$AO,MATCH(G229,Cables!$A:$A,0))-1+MIN(MAX(IFERROR(MATCH(LN(E229),INDEX(Attenuation!$J:$J,INDEX(Cables!$AO:$AO,MATCH(G229,Cables!$A:$A,0))):INDEX(Attenuation!$J:$J,INDEX(Cables!$AO:$AO,MATCH(G229,Cables!$A:$A,0))+INDEX(Cables!$AP:$AP,MATCH(G229,Cables!$A:$A,0))-1),1),1),1),INDEX(Cables!$AP:$AP,MATCH(G229,Cables!$A:$A,0))-1))):INDEX(Attenuation!$K:$K,(INDEX(Cables!$AO:$AO,MATCH(G229,Cables!$A:$A,0))-1+MIN(MAX(IFERROR(MATCH(LN(E229),INDEX(Attenuation!$J:$J,INDEX(Cables!$AO:$AO,MATCH(G229,Cables!$A:$A,0))):INDEX(Attenuation!$J:$J,INDEX(Cables!$AO:$AO,MATCH(G229,Cables!$A:$A,0))+INDEX(Cables!$AP:$AP,MATCH(G229,Cables!$A:$A,0))-1),1),1),1),INDEX(Cables!$AP:$AP,MATCH(G229,Cables!$A:$A,0))-1))+1),INDEX(Attenuation!$J:$J,(INDEX(Cables!$AO:$AO,MATCH(G229,Cables!$A:$A,0))-1+MIN(MAX(IFERROR(MATCH(LN(E229),INDEX(Attenuation!$J:$J,INDEX(Cables!$AO:$AO,MATCH(G229,Cables!$A:$A,0))):INDEX(Attenuation!$J:$J,INDEX(Cables!$AO:$AO,MATCH(G229,Cables!$A:$A,0))+INDEX(Cables!$AP:$AP,MATCH(G229,Cables!$A:$A,0))-1),1),1),1),INDEX(Cables!$AP:$AP,MATCH(G229,Cables!$A:$A,0))-1))):INDEX(Attenuation!$J:$J,(INDEX(Cables!$AO:$AO,MATCH(G229,Cables!$A:$A,0))-1+MIN(MAX(IFERROR(MATCH(LN(E229),INDEX(Attenuation!$J:$J,INDEX(Cables!$AO:$AO,MATCH(G229,Cables!$A:$A,0))):INDEX(Attenuation!$J:$J,INDEX(Cables!$AO:$AO,MATCH(G229,Cables!$A:$A,0))+INDEX(Cables!$AP:$AP,MATCH(G229,Cables!$A:$A,0))-1),1),1),1),INDEX(Cables!$AP:$AP,MATCH(G229,Cables!$A:$A,0))-1))+1)))*0.3048)</f>
        <v>2.9100878203487737</v>
      </c>
      <c r="J229" s="44">
        <f t="shared" si="3"/>
        <v>0</v>
      </c>
      <c r="K229" s="40" t="str">
        <f>IF(G229="","Doğrulanmadı",IF(ABS(J229)&lt;=0.1,"Uyumlu (±%10)",IF(ABS(J229)&lt;=0.25,"Fark %10-25","Fark &gt;%25"))&amp;IF(OR(D229&lt;INDEX(Cables!$AQ:$AQ,MATCH(G229,Cables!$A:$A,0)),E229&gt;INDEX(Cables!$AR:$AR,MATCH(G229,Cables!$A:$A,0)))," · ekstrapolasyon",""))</f>
        <v>Uyumlu (±%10)</v>
      </c>
    </row>
    <row r="230" spans="1:11" x14ac:dyDescent="0.25">
      <c r="A230" s="37" t="s">
        <v>3037</v>
      </c>
      <c r="B230" s="40" t="str">
        <f>INDEX(Legacy_Index!$D:$D,MATCH(A230,Legacy_Index!$A:$A,0))</f>
        <v>ULTRAFLEX 10™ Messi and Paoloni</v>
      </c>
      <c r="C230" s="37" t="s">
        <v>3116</v>
      </c>
      <c r="D230" s="37">
        <v>700</v>
      </c>
      <c r="E230" s="37">
        <v>960</v>
      </c>
      <c r="F230" s="37">
        <v>3.7</v>
      </c>
      <c r="G230" s="40" t="str">
        <f>IF(INDEX(Legacy_Index!$G:$G,MATCH(A230,Legacy_Index!$A:$A,0))="","",INDEX(Legacy_Index!$G:$G,MATCH(A230,Legacy_Index!$A:$A,0)))</f>
        <v>MP-ULTRAFLEX10</v>
      </c>
      <c r="H230" s="43">
        <f>IF(G230="","",EXP(FORECAST(LN(D230),INDEX(Attenuation!$K:$K,(INDEX(Cables!$AO:$AO,MATCH(G230,Cables!$A:$A,0))-1+MIN(MAX(IFERROR(MATCH(LN(D230),INDEX(Attenuation!$J:$J,INDEX(Cables!$AO:$AO,MATCH(G230,Cables!$A:$A,0))):INDEX(Attenuation!$J:$J,INDEX(Cables!$AO:$AO,MATCH(G230,Cables!$A:$A,0))+INDEX(Cables!$AP:$AP,MATCH(G230,Cables!$A:$A,0))-1),1),1),1),INDEX(Cables!$AP:$AP,MATCH(G230,Cables!$A:$A,0))-1))):INDEX(Attenuation!$K:$K,(INDEX(Cables!$AO:$AO,MATCH(G230,Cables!$A:$A,0))-1+MIN(MAX(IFERROR(MATCH(LN(D230),INDEX(Attenuation!$J:$J,INDEX(Cables!$AO:$AO,MATCH(G230,Cables!$A:$A,0))):INDEX(Attenuation!$J:$J,INDEX(Cables!$AO:$AO,MATCH(G230,Cables!$A:$A,0))+INDEX(Cables!$AP:$AP,MATCH(G230,Cables!$A:$A,0))-1),1),1),1),INDEX(Cables!$AP:$AP,MATCH(G230,Cables!$A:$A,0))-1))+1),INDEX(Attenuation!$J:$J,(INDEX(Cables!$AO:$AO,MATCH(G230,Cables!$A:$A,0))-1+MIN(MAX(IFERROR(MATCH(LN(D230),INDEX(Attenuation!$J:$J,INDEX(Cables!$AO:$AO,MATCH(G230,Cables!$A:$A,0))):INDEX(Attenuation!$J:$J,INDEX(Cables!$AO:$AO,MATCH(G230,Cables!$A:$A,0))+INDEX(Cables!$AP:$AP,MATCH(G230,Cables!$A:$A,0))-1),1),1),1),INDEX(Cables!$AP:$AP,MATCH(G230,Cables!$A:$A,0))-1))):INDEX(Attenuation!$J:$J,(INDEX(Cables!$AO:$AO,MATCH(G230,Cables!$A:$A,0))-1+MIN(MAX(IFERROR(MATCH(LN(D230),INDEX(Attenuation!$J:$J,INDEX(Cables!$AO:$AO,MATCH(G230,Cables!$A:$A,0))):INDEX(Attenuation!$J:$J,INDEX(Cables!$AO:$AO,MATCH(G230,Cables!$A:$A,0))+INDEX(Cables!$AP:$AP,MATCH(G230,Cables!$A:$A,0))-1),1),1),1),INDEX(Cables!$AP:$AP,MATCH(G230,Cables!$A:$A,0))-1))+1)))*0.3048)</f>
        <v>3.4269346368975073</v>
      </c>
      <c r="I230" s="43">
        <f>IF(G230="","",EXP(FORECAST(LN(E230),INDEX(Attenuation!$K:$K,(INDEX(Cables!$AO:$AO,MATCH(G230,Cables!$A:$A,0))-1+MIN(MAX(IFERROR(MATCH(LN(E230),INDEX(Attenuation!$J:$J,INDEX(Cables!$AO:$AO,MATCH(G230,Cables!$A:$A,0))):INDEX(Attenuation!$J:$J,INDEX(Cables!$AO:$AO,MATCH(G230,Cables!$A:$A,0))+INDEX(Cables!$AP:$AP,MATCH(G230,Cables!$A:$A,0))-1),1),1),1),INDEX(Cables!$AP:$AP,MATCH(G230,Cables!$A:$A,0))-1))):INDEX(Attenuation!$K:$K,(INDEX(Cables!$AO:$AO,MATCH(G230,Cables!$A:$A,0))-1+MIN(MAX(IFERROR(MATCH(LN(E230),INDEX(Attenuation!$J:$J,INDEX(Cables!$AO:$AO,MATCH(G230,Cables!$A:$A,0))):INDEX(Attenuation!$J:$J,INDEX(Cables!$AO:$AO,MATCH(G230,Cables!$A:$A,0))+INDEX(Cables!$AP:$AP,MATCH(G230,Cables!$A:$A,0))-1),1),1),1),INDEX(Cables!$AP:$AP,MATCH(G230,Cables!$A:$A,0))-1))+1),INDEX(Attenuation!$J:$J,(INDEX(Cables!$AO:$AO,MATCH(G230,Cables!$A:$A,0))-1+MIN(MAX(IFERROR(MATCH(LN(E230),INDEX(Attenuation!$J:$J,INDEX(Cables!$AO:$AO,MATCH(G230,Cables!$A:$A,0))):INDEX(Attenuation!$J:$J,INDEX(Cables!$AO:$AO,MATCH(G230,Cables!$A:$A,0))+INDEX(Cables!$AP:$AP,MATCH(G230,Cables!$A:$A,0))-1),1),1),1),INDEX(Cables!$AP:$AP,MATCH(G230,Cables!$A:$A,0))-1))):INDEX(Attenuation!$J:$J,(INDEX(Cables!$AO:$AO,MATCH(G230,Cables!$A:$A,0))-1+MIN(MAX(IFERROR(MATCH(LN(E230),INDEX(Attenuation!$J:$J,INDEX(Cables!$AO:$AO,MATCH(G230,Cables!$A:$A,0))):INDEX(Attenuation!$J:$J,INDEX(Cables!$AO:$AO,MATCH(G230,Cables!$A:$A,0))+INDEX(Cables!$AP:$AP,MATCH(G230,Cables!$A:$A,0))-1),1),1),1),INDEX(Cables!$AP:$AP,MATCH(G230,Cables!$A:$A,0))-1))+1)))*0.3048)</f>
        <v>4.1062869575475016</v>
      </c>
      <c r="J230" s="44">
        <f t="shared" si="3"/>
        <v>0</v>
      </c>
      <c r="K230" s="40" t="str">
        <f>IF(G230="","Doğrulanmadı",IF(ABS(J230)&lt;=0.1,"Uyumlu (±%10)",IF(ABS(J230)&lt;=0.25,"Fark %10-25","Fark &gt;%25"))&amp;IF(OR(D230&lt;INDEX(Cables!$AQ:$AQ,MATCH(G230,Cables!$A:$A,0)),E230&gt;INDEX(Cables!$AR:$AR,MATCH(G230,Cables!$A:$A,0)))," · ekstrapolasyon",""))</f>
        <v>Uyumlu (±%10)</v>
      </c>
    </row>
    <row r="231" spans="1:11" x14ac:dyDescent="0.25">
      <c r="A231" s="37" t="s">
        <v>3037</v>
      </c>
      <c r="B231" s="40" t="str">
        <f>INDEX(Legacy_Index!$D:$D,MATCH(A231,Legacy_Index!$A:$A,0))</f>
        <v>ULTRAFLEX 10™ Messi and Paoloni</v>
      </c>
      <c r="C231" s="37" t="s">
        <v>3120</v>
      </c>
      <c r="D231" s="37">
        <v>1200</v>
      </c>
      <c r="E231" s="37">
        <v>1300</v>
      </c>
      <c r="F231" s="37">
        <v>5</v>
      </c>
      <c r="G231" s="40" t="str">
        <f>IF(INDEX(Legacy_Index!$G:$G,MATCH(A231,Legacy_Index!$A:$A,0))="","",INDEX(Legacy_Index!$G:$G,MATCH(A231,Legacy_Index!$A:$A,0)))</f>
        <v>MP-ULTRAFLEX10</v>
      </c>
      <c r="H231" s="43">
        <f>IF(G231="","",EXP(FORECAST(LN(D231),INDEX(Attenuation!$K:$K,(INDEX(Cables!$AO:$AO,MATCH(G231,Cables!$A:$A,0))-1+MIN(MAX(IFERROR(MATCH(LN(D231),INDEX(Attenuation!$J:$J,INDEX(Cables!$AO:$AO,MATCH(G231,Cables!$A:$A,0))):INDEX(Attenuation!$J:$J,INDEX(Cables!$AO:$AO,MATCH(G231,Cables!$A:$A,0))+INDEX(Cables!$AP:$AP,MATCH(G231,Cables!$A:$A,0))-1),1),1),1),INDEX(Cables!$AP:$AP,MATCH(G231,Cables!$A:$A,0))-1))):INDEX(Attenuation!$K:$K,(INDEX(Cables!$AO:$AO,MATCH(G231,Cables!$A:$A,0))-1+MIN(MAX(IFERROR(MATCH(LN(D231),INDEX(Attenuation!$J:$J,INDEX(Cables!$AO:$AO,MATCH(G231,Cables!$A:$A,0))):INDEX(Attenuation!$J:$J,INDEX(Cables!$AO:$AO,MATCH(G231,Cables!$A:$A,0))+INDEX(Cables!$AP:$AP,MATCH(G231,Cables!$A:$A,0))-1),1),1),1),INDEX(Cables!$AP:$AP,MATCH(G231,Cables!$A:$A,0))-1))+1),INDEX(Attenuation!$J:$J,(INDEX(Cables!$AO:$AO,MATCH(G231,Cables!$A:$A,0))-1+MIN(MAX(IFERROR(MATCH(LN(D231),INDEX(Attenuation!$J:$J,INDEX(Cables!$AO:$AO,MATCH(G231,Cables!$A:$A,0))):INDEX(Attenuation!$J:$J,INDEX(Cables!$AO:$AO,MATCH(G231,Cables!$A:$A,0))+INDEX(Cables!$AP:$AP,MATCH(G231,Cables!$A:$A,0))-1),1),1),1),INDEX(Cables!$AP:$AP,MATCH(G231,Cables!$A:$A,0))-1))):INDEX(Attenuation!$J:$J,(INDEX(Cables!$AO:$AO,MATCH(G231,Cables!$A:$A,0))-1+MIN(MAX(IFERROR(MATCH(LN(D231),INDEX(Attenuation!$J:$J,INDEX(Cables!$AO:$AO,MATCH(G231,Cables!$A:$A,0))):INDEX(Attenuation!$J:$J,INDEX(Cables!$AO:$AO,MATCH(G231,Cables!$A:$A,0))+INDEX(Cables!$AP:$AP,MATCH(G231,Cables!$A:$A,0))-1),1),1),1),INDEX(Cables!$AP:$AP,MATCH(G231,Cables!$A:$A,0))-1))+1)))*0.3048)</f>
        <v>4.7490587752483853</v>
      </c>
      <c r="I231" s="43">
        <f>IF(G231="","",EXP(FORECAST(LN(E231),INDEX(Attenuation!$K:$K,(INDEX(Cables!$AO:$AO,MATCH(G231,Cables!$A:$A,0))-1+MIN(MAX(IFERROR(MATCH(LN(E231),INDEX(Attenuation!$J:$J,INDEX(Cables!$AO:$AO,MATCH(G231,Cables!$A:$A,0))):INDEX(Attenuation!$J:$J,INDEX(Cables!$AO:$AO,MATCH(G231,Cables!$A:$A,0))+INDEX(Cables!$AP:$AP,MATCH(G231,Cables!$A:$A,0))-1),1),1),1),INDEX(Cables!$AP:$AP,MATCH(G231,Cables!$A:$A,0))-1))):INDEX(Attenuation!$K:$K,(INDEX(Cables!$AO:$AO,MATCH(G231,Cables!$A:$A,0))-1+MIN(MAX(IFERROR(MATCH(LN(E231),INDEX(Attenuation!$J:$J,INDEX(Cables!$AO:$AO,MATCH(G231,Cables!$A:$A,0))):INDEX(Attenuation!$J:$J,INDEX(Cables!$AO:$AO,MATCH(G231,Cables!$A:$A,0))+INDEX(Cables!$AP:$AP,MATCH(G231,Cables!$A:$A,0))-1),1),1),1),INDEX(Cables!$AP:$AP,MATCH(G231,Cables!$A:$A,0))-1))+1),INDEX(Attenuation!$J:$J,(INDEX(Cables!$AO:$AO,MATCH(G231,Cables!$A:$A,0))-1+MIN(MAX(IFERROR(MATCH(LN(E231),INDEX(Attenuation!$J:$J,INDEX(Cables!$AO:$AO,MATCH(G231,Cables!$A:$A,0))):INDEX(Attenuation!$J:$J,INDEX(Cables!$AO:$AO,MATCH(G231,Cables!$A:$A,0))+INDEX(Cables!$AP:$AP,MATCH(G231,Cables!$A:$A,0))-1),1),1),1),INDEX(Cables!$AP:$AP,MATCH(G231,Cables!$A:$A,0))-1))):INDEX(Attenuation!$J:$J,(INDEX(Cables!$AO:$AO,MATCH(G231,Cables!$A:$A,0))-1+MIN(MAX(IFERROR(MATCH(LN(E231),INDEX(Attenuation!$J:$J,INDEX(Cables!$AO:$AO,MATCH(G231,Cables!$A:$A,0))):INDEX(Attenuation!$J:$J,INDEX(Cables!$AO:$AO,MATCH(G231,Cables!$A:$A,0))+INDEX(Cables!$AP:$AP,MATCH(G231,Cables!$A:$A,0))-1),1),1),1),INDEX(Cables!$AP:$AP,MATCH(G231,Cables!$A:$A,0))-1))+1)))*0.3048)</f>
        <v>5.0079331642824574</v>
      </c>
      <c r="J231" s="44">
        <f t="shared" si="3"/>
        <v>0</v>
      </c>
      <c r="K231" s="40" t="str">
        <f>IF(G231="","Doğrulanmadı",IF(ABS(J231)&lt;=0.1,"Uyumlu (±%10)",IF(ABS(J231)&lt;=0.25,"Fark %10-25","Fark &gt;%25"))&amp;IF(OR(D231&lt;INDEX(Cables!$AQ:$AQ,MATCH(G231,Cables!$A:$A,0)),E231&gt;INDEX(Cables!$AR:$AR,MATCH(G231,Cables!$A:$A,0)))," · ekstrapolasyon",""))</f>
        <v>Uyumlu (±%10)</v>
      </c>
    </row>
    <row r="232" spans="1:11" x14ac:dyDescent="0.25">
      <c r="A232" s="37" t="s">
        <v>3037</v>
      </c>
      <c r="B232" s="40" t="str">
        <f>INDEX(Legacy_Index!$D:$D,MATCH(A232,Legacy_Index!$A:$A,0))</f>
        <v>ULTRAFLEX 10™ Messi and Paoloni</v>
      </c>
      <c r="C232" s="37" t="s">
        <v>3121</v>
      </c>
      <c r="D232" s="37">
        <v>2400</v>
      </c>
      <c r="E232" s="37">
        <v>2500</v>
      </c>
      <c r="F232" s="37">
        <v>7.2</v>
      </c>
      <c r="G232" s="40" t="str">
        <f>IF(INDEX(Legacy_Index!$G:$G,MATCH(A232,Legacy_Index!$A:$A,0))="","",INDEX(Legacy_Index!$G:$G,MATCH(A232,Legacy_Index!$A:$A,0)))</f>
        <v>MP-ULTRAFLEX10</v>
      </c>
      <c r="H232" s="43">
        <f>IF(G232="","",EXP(FORECAST(LN(D232),INDEX(Attenuation!$K:$K,(INDEX(Cables!$AO:$AO,MATCH(G232,Cables!$A:$A,0))-1+MIN(MAX(IFERROR(MATCH(LN(D232),INDEX(Attenuation!$J:$J,INDEX(Cables!$AO:$AO,MATCH(G232,Cables!$A:$A,0))):INDEX(Attenuation!$J:$J,INDEX(Cables!$AO:$AO,MATCH(G232,Cables!$A:$A,0))+INDEX(Cables!$AP:$AP,MATCH(G232,Cables!$A:$A,0))-1),1),1),1),INDEX(Cables!$AP:$AP,MATCH(G232,Cables!$A:$A,0))-1))):INDEX(Attenuation!$K:$K,(INDEX(Cables!$AO:$AO,MATCH(G232,Cables!$A:$A,0))-1+MIN(MAX(IFERROR(MATCH(LN(D232),INDEX(Attenuation!$J:$J,INDEX(Cables!$AO:$AO,MATCH(G232,Cables!$A:$A,0))):INDEX(Attenuation!$J:$J,INDEX(Cables!$AO:$AO,MATCH(G232,Cables!$A:$A,0))+INDEX(Cables!$AP:$AP,MATCH(G232,Cables!$A:$A,0))-1),1),1),1),INDEX(Cables!$AP:$AP,MATCH(G232,Cables!$A:$A,0))-1))+1),INDEX(Attenuation!$J:$J,(INDEX(Cables!$AO:$AO,MATCH(G232,Cables!$A:$A,0))-1+MIN(MAX(IFERROR(MATCH(LN(D232),INDEX(Attenuation!$J:$J,INDEX(Cables!$AO:$AO,MATCH(G232,Cables!$A:$A,0))):INDEX(Attenuation!$J:$J,INDEX(Cables!$AO:$AO,MATCH(G232,Cables!$A:$A,0))+INDEX(Cables!$AP:$AP,MATCH(G232,Cables!$A:$A,0))-1),1),1),1),INDEX(Cables!$AP:$AP,MATCH(G232,Cables!$A:$A,0))-1))):INDEX(Attenuation!$J:$J,(INDEX(Cables!$AO:$AO,MATCH(G232,Cables!$A:$A,0))-1+MIN(MAX(IFERROR(MATCH(LN(D232),INDEX(Attenuation!$J:$J,INDEX(Cables!$AO:$AO,MATCH(G232,Cables!$A:$A,0))):INDEX(Attenuation!$J:$J,INDEX(Cables!$AO:$AO,MATCH(G232,Cables!$A:$A,0))+INDEX(Cables!$AP:$AP,MATCH(G232,Cables!$A:$A,0))-1),1),1),1),INDEX(Cables!$AP:$AP,MATCH(G232,Cables!$A:$A,0))-1))+1)))*0.3048)</f>
        <v>7.2237600000000013</v>
      </c>
      <c r="I232" s="43">
        <f>IF(G232="","",EXP(FORECAST(LN(E232),INDEX(Attenuation!$K:$K,(INDEX(Cables!$AO:$AO,MATCH(G232,Cables!$A:$A,0))-1+MIN(MAX(IFERROR(MATCH(LN(E232),INDEX(Attenuation!$J:$J,INDEX(Cables!$AO:$AO,MATCH(G232,Cables!$A:$A,0))):INDEX(Attenuation!$J:$J,INDEX(Cables!$AO:$AO,MATCH(G232,Cables!$A:$A,0))+INDEX(Cables!$AP:$AP,MATCH(G232,Cables!$A:$A,0))-1),1),1),1),INDEX(Cables!$AP:$AP,MATCH(G232,Cables!$A:$A,0))-1))):INDEX(Attenuation!$K:$K,(INDEX(Cables!$AO:$AO,MATCH(G232,Cables!$A:$A,0))-1+MIN(MAX(IFERROR(MATCH(LN(E232),INDEX(Attenuation!$J:$J,INDEX(Cables!$AO:$AO,MATCH(G232,Cables!$A:$A,0))):INDEX(Attenuation!$J:$J,INDEX(Cables!$AO:$AO,MATCH(G232,Cables!$A:$A,0))+INDEX(Cables!$AP:$AP,MATCH(G232,Cables!$A:$A,0))-1),1),1),1),INDEX(Cables!$AP:$AP,MATCH(G232,Cables!$A:$A,0))-1))+1),INDEX(Attenuation!$J:$J,(INDEX(Cables!$AO:$AO,MATCH(G232,Cables!$A:$A,0))-1+MIN(MAX(IFERROR(MATCH(LN(E232),INDEX(Attenuation!$J:$J,INDEX(Cables!$AO:$AO,MATCH(G232,Cables!$A:$A,0))):INDEX(Attenuation!$J:$J,INDEX(Cables!$AO:$AO,MATCH(G232,Cables!$A:$A,0))+INDEX(Cables!$AP:$AP,MATCH(G232,Cables!$A:$A,0))-1),1),1),1),INDEX(Cables!$AP:$AP,MATCH(G232,Cables!$A:$A,0))-1))):INDEX(Attenuation!$J:$J,(INDEX(Cables!$AO:$AO,MATCH(G232,Cables!$A:$A,0))-1+MIN(MAX(IFERROR(MATCH(LN(E232),INDEX(Attenuation!$J:$J,INDEX(Cables!$AO:$AO,MATCH(G232,Cables!$A:$A,0))):INDEX(Attenuation!$J:$J,INDEX(Cables!$AO:$AO,MATCH(G232,Cables!$A:$A,0))+INDEX(Cables!$AP:$AP,MATCH(G232,Cables!$A:$A,0))-1),1),1),1),INDEX(Cables!$AP:$AP,MATCH(G232,Cables!$A:$A,0))-1))+1)))*0.3048)</f>
        <v>7.4130763324509736</v>
      </c>
      <c r="J232" s="44">
        <f t="shared" si="3"/>
        <v>-3.2891458187981337E-3</v>
      </c>
      <c r="K232" s="40" t="str">
        <f>IF(G232="","Doğrulanmadı",IF(ABS(J232)&lt;=0.1,"Uyumlu (±%10)",IF(ABS(J232)&lt;=0.25,"Fark %10-25","Fark &gt;%25"))&amp;IF(OR(D232&lt;INDEX(Cables!$AQ:$AQ,MATCH(G232,Cables!$A:$A,0)),E232&gt;INDEX(Cables!$AR:$AR,MATCH(G232,Cables!$A:$A,0)))," · ekstrapolasyon",""))</f>
        <v>Uyumlu (±%10)</v>
      </c>
    </row>
    <row r="233" spans="1:11" x14ac:dyDescent="0.25">
      <c r="A233" s="37" t="s">
        <v>3037</v>
      </c>
      <c r="B233" s="40" t="str">
        <f>INDEX(Legacy_Index!$D:$D,MATCH(A233,Legacy_Index!$A:$A,0))</f>
        <v>ULTRAFLEX 10™ Messi and Paoloni</v>
      </c>
      <c r="C233" s="37" t="s">
        <v>3122</v>
      </c>
      <c r="D233" s="37">
        <v>5725</v>
      </c>
      <c r="E233" s="37">
        <v>5875</v>
      </c>
      <c r="F233" s="37">
        <v>11.8</v>
      </c>
      <c r="G233" s="40" t="str">
        <f>IF(INDEX(Legacy_Index!$G:$G,MATCH(A233,Legacy_Index!$A:$A,0))="","",INDEX(Legacy_Index!$G:$G,MATCH(A233,Legacy_Index!$A:$A,0)))</f>
        <v>MP-ULTRAFLEX10</v>
      </c>
      <c r="H233" s="43">
        <f>IF(G233="","",EXP(FORECAST(LN(D233),INDEX(Attenuation!$K:$K,(INDEX(Cables!$AO:$AO,MATCH(G233,Cables!$A:$A,0))-1+MIN(MAX(IFERROR(MATCH(LN(D233),INDEX(Attenuation!$J:$J,INDEX(Cables!$AO:$AO,MATCH(G233,Cables!$A:$A,0))):INDEX(Attenuation!$J:$J,INDEX(Cables!$AO:$AO,MATCH(G233,Cables!$A:$A,0))+INDEX(Cables!$AP:$AP,MATCH(G233,Cables!$A:$A,0))-1),1),1),1),INDEX(Cables!$AP:$AP,MATCH(G233,Cables!$A:$A,0))-1))):INDEX(Attenuation!$K:$K,(INDEX(Cables!$AO:$AO,MATCH(G233,Cables!$A:$A,0))-1+MIN(MAX(IFERROR(MATCH(LN(D233),INDEX(Attenuation!$J:$J,INDEX(Cables!$AO:$AO,MATCH(G233,Cables!$A:$A,0))):INDEX(Attenuation!$J:$J,INDEX(Cables!$AO:$AO,MATCH(G233,Cables!$A:$A,0))+INDEX(Cables!$AP:$AP,MATCH(G233,Cables!$A:$A,0))-1),1),1),1),INDEX(Cables!$AP:$AP,MATCH(G233,Cables!$A:$A,0))-1))+1),INDEX(Attenuation!$J:$J,(INDEX(Cables!$AO:$AO,MATCH(G233,Cables!$A:$A,0))-1+MIN(MAX(IFERROR(MATCH(LN(D233),INDEX(Attenuation!$J:$J,INDEX(Cables!$AO:$AO,MATCH(G233,Cables!$A:$A,0))):INDEX(Attenuation!$J:$J,INDEX(Cables!$AO:$AO,MATCH(G233,Cables!$A:$A,0))+INDEX(Cables!$AP:$AP,MATCH(G233,Cables!$A:$A,0))-1),1),1),1),INDEX(Cables!$AP:$AP,MATCH(G233,Cables!$A:$A,0))-1))):INDEX(Attenuation!$J:$J,(INDEX(Cables!$AO:$AO,MATCH(G233,Cables!$A:$A,0))-1+MIN(MAX(IFERROR(MATCH(LN(D233),INDEX(Attenuation!$J:$J,INDEX(Cables!$AO:$AO,MATCH(G233,Cables!$A:$A,0))):INDEX(Attenuation!$J:$J,INDEX(Cables!$AO:$AO,MATCH(G233,Cables!$A:$A,0))+INDEX(Cables!$AP:$AP,MATCH(G233,Cables!$A:$A,0))-1),1),1),1),INDEX(Cables!$AP:$AP,MATCH(G233,Cables!$A:$A,0))-1))+1)))*0.3048)</f>
        <v>13.102198855439404</v>
      </c>
      <c r="I233" s="43">
        <f>IF(G233="","",EXP(FORECAST(LN(E233),INDEX(Attenuation!$K:$K,(INDEX(Cables!$AO:$AO,MATCH(G233,Cables!$A:$A,0))-1+MIN(MAX(IFERROR(MATCH(LN(E233),INDEX(Attenuation!$J:$J,INDEX(Cables!$AO:$AO,MATCH(G233,Cables!$A:$A,0))):INDEX(Attenuation!$J:$J,INDEX(Cables!$AO:$AO,MATCH(G233,Cables!$A:$A,0))+INDEX(Cables!$AP:$AP,MATCH(G233,Cables!$A:$A,0))-1),1),1),1),INDEX(Cables!$AP:$AP,MATCH(G233,Cables!$A:$A,0))-1))):INDEX(Attenuation!$K:$K,(INDEX(Cables!$AO:$AO,MATCH(G233,Cables!$A:$A,0))-1+MIN(MAX(IFERROR(MATCH(LN(E233),INDEX(Attenuation!$J:$J,INDEX(Cables!$AO:$AO,MATCH(G233,Cables!$A:$A,0))):INDEX(Attenuation!$J:$J,INDEX(Cables!$AO:$AO,MATCH(G233,Cables!$A:$A,0))+INDEX(Cables!$AP:$AP,MATCH(G233,Cables!$A:$A,0))-1),1),1),1),INDEX(Cables!$AP:$AP,MATCH(G233,Cables!$A:$A,0))-1))+1),INDEX(Attenuation!$J:$J,(INDEX(Cables!$AO:$AO,MATCH(G233,Cables!$A:$A,0))-1+MIN(MAX(IFERROR(MATCH(LN(E233),INDEX(Attenuation!$J:$J,INDEX(Cables!$AO:$AO,MATCH(G233,Cables!$A:$A,0))):INDEX(Attenuation!$J:$J,INDEX(Cables!$AO:$AO,MATCH(G233,Cables!$A:$A,0))+INDEX(Cables!$AP:$AP,MATCH(G233,Cables!$A:$A,0))-1),1),1),1),INDEX(Cables!$AP:$AP,MATCH(G233,Cables!$A:$A,0))-1))):INDEX(Attenuation!$J:$J,(INDEX(Cables!$AO:$AO,MATCH(G233,Cables!$A:$A,0))-1+MIN(MAX(IFERROR(MATCH(LN(E233),INDEX(Attenuation!$J:$J,INDEX(Cables!$AO:$AO,MATCH(G233,Cables!$A:$A,0))):INDEX(Attenuation!$J:$J,INDEX(Cables!$AO:$AO,MATCH(G233,Cables!$A:$A,0))+INDEX(Cables!$AP:$AP,MATCH(G233,Cables!$A:$A,0))-1),1),1),1),INDEX(Cables!$AP:$AP,MATCH(G233,Cables!$A:$A,0))-1))+1)))*0.3048)</f>
        <v>13.354575474206742</v>
      </c>
      <c r="J233" s="44">
        <f t="shared" si="3"/>
        <v>-9.9387810382590369E-2</v>
      </c>
      <c r="K233" s="40" t="str">
        <f>IF(G233="","Doğrulanmadı",IF(ABS(J233)&lt;=0.1,"Uyumlu (±%10)",IF(ABS(J233)&lt;=0.25,"Fark %10-25","Fark &gt;%25"))&amp;IF(OR(D233&lt;INDEX(Cables!$AQ:$AQ,MATCH(G233,Cables!$A:$A,0)),E233&gt;INDEX(Cables!$AR:$AR,MATCH(G233,Cables!$A:$A,0)))," · ekstrapolasyon",""))</f>
        <v>Uyumlu (±%10)</v>
      </c>
    </row>
    <row r="234" spans="1:11" x14ac:dyDescent="0.25">
      <c r="A234" s="37" t="s">
        <v>3039</v>
      </c>
      <c r="B234" s="40" t="str">
        <f>INDEX(Legacy_Index!$D:$D,MATCH(A234,Legacy_Index!$A:$A,0))</f>
        <v>LMR400</v>
      </c>
      <c r="C234" s="37" t="s">
        <v>3118</v>
      </c>
      <c r="D234" s="37">
        <v>30</v>
      </c>
      <c r="E234" s="37">
        <v>50</v>
      </c>
      <c r="F234" s="37">
        <v>0.85</v>
      </c>
      <c r="G234" s="40" t="str">
        <f>IF(INDEX(Legacy_Index!$G:$G,MATCH(A234,Legacy_Index!$A:$A,0))="","",INDEX(Legacy_Index!$G:$G,MATCH(A234,Legacy_Index!$A:$A,0)))</f>
        <v>TMS-LMR400</v>
      </c>
      <c r="H234" s="43">
        <f>IF(G234="","",EXP(FORECAST(LN(D234),INDEX(Attenuation!$K:$K,(INDEX(Cables!$AO:$AO,MATCH(G234,Cables!$A:$A,0))-1+MIN(MAX(IFERROR(MATCH(LN(D234),INDEX(Attenuation!$J:$J,INDEX(Cables!$AO:$AO,MATCH(G234,Cables!$A:$A,0))):INDEX(Attenuation!$J:$J,INDEX(Cables!$AO:$AO,MATCH(G234,Cables!$A:$A,0))+INDEX(Cables!$AP:$AP,MATCH(G234,Cables!$A:$A,0))-1),1),1),1),INDEX(Cables!$AP:$AP,MATCH(G234,Cables!$A:$A,0))-1))):INDEX(Attenuation!$K:$K,(INDEX(Cables!$AO:$AO,MATCH(G234,Cables!$A:$A,0))-1+MIN(MAX(IFERROR(MATCH(LN(D234),INDEX(Attenuation!$J:$J,INDEX(Cables!$AO:$AO,MATCH(G234,Cables!$A:$A,0))):INDEX(Attenuation!$J:$J,INDEX(Cables!$AO:$AO,MATCH(G234,Cables!$A:$A,0))+INDEX(Cables!$AP:$AP,MATCH(G234,Cables!$A:$A,0))-1),1),1),1),INDEX(Cables!$AP:$AP,MATCH(G234,Cables!$A:$A,0))-1))+1),INDEX(Attenuation!$J:$J,(INDEX(Cables!$AO:$AO,MATCH(G234,Cables!$A:$A,0))-1+MIN(MAX(IFERROR(MATCH(LN(D234),INDEX(Attenuation!$J:$J,INDEX(Cables!$AO:$AO,MATCH(G234,Cables!$A:$A,0))):INDEX(Attenuation!$J:$J,INDEX(Cables!$AO:$AO,MATCH(G234,Cables!$A:$A,0))+INDEX(Cables!$AP:$AP,MATCH(G234,Cables!$A:$A,0))-1),1),1),1),INDEX(Cables!$AP:$AP,MATCH(G234,Cables!$A:$A,0))-1))):INDEX(Attenuation!$J:$J,(INDEX(Cables!$AO:$AO,MATCH(G234,Cables!$A:$A,0))-1+MIN(MAX(IFERROR(MATCH(LN(D234),INDEX(Attenuation!$J:$J,INDEX(Cables!$AO:$AO,MATCH(G234,Cables!$A:$A,0))):INDEX(Attenuation!$J:$J,INDEX(Cables!$AO:$AO,MATCH(G234,Cables!$A:$A,0))+INDEX(Cables!$AP:$AP,MATCH(G234,Cables!$A:$A,0))-1),1),1),1),INDEX(Cables!$AP:$AP,MATCH(G234,Cables!$A:$A,0))-1))+1)))*0.3048)</f>
        <v>0.70000000000000007</v>
      </c>
      <c r="I234" s="43">
        <f>IF(G234="","",EXP(FORECAST(LN(E234),INDEX(Attenuation!$K:$K,(INDEX(Cables!$AO:$AO,MATCH(G234,Cables!$A:$A,0))-1+MIN(MAX(IFERROR(MATCH(LN(E234),INDEX(Attenuation!$J:$J,INDEX(Cables!$AO:$AO,MATCH(G234,Cables!$A:$A,0))):INDEX(Attenuation!$J:$J,INDEX(Cables!$AO:$AO,MATCH(G234,Cables!$A:$A,0))+INDEX(Cables!$AP:$AP,MATCH(G234,Cables!$A:$A,0))-1),1),1),1),INDEX(Cables!$AP:$AP,MATCH(G234,Cables!$A:$A,0))-1))):INDEX(Attenuation!$K:$K,(INDEX(Cables!$AO:$AO,MATCH(G234,Cables!$A:$A,0))-1+MIN(MAX(IFERROR(MATCH(LN(E234),INDEX(Attenuation!$J:$J,INDEX(Cables!$AO:$AO,MATCH(G234,Cables!$A:$A,0))):INDEX(Attenuation!$J:$J,INDEX(Cables!$AO:$AO,MATCH(G234,Cables!$A:$A,0))+INDEX(Cables!$AP:$AP,MATCH(G234,Cables!$A:$A,0))-1),1),1),1),INDEX(Cables!$AP:$AP,MATCH(G234,Cables!$A:$A,0))-1))+1),INDEX(Attenuation!$J:$J,(INDEX(Cables!$AO:$AO,MATCH(G234,Cables!$A:$A,0))-1+MIN(MAX(IFERROR(MATCH(LN(E234),INDEX(Attenuation!$J:$J,INDEX(Cables!$AO:$AO,MATCH(G234,Cables!$A:$A,0))):INDEX(Attenuation!$J:$J,INDEX(Cables!$AO:$AO,MATCH(G234,Cables!$A:$A,0))+INDEX(Cables!$AP:$AP,MATCH(G234,Cables!$A:$A,0))-1),1),1),1),INDEX(Cables!$AP:$AP,MATCH(G234,Cables!$A:$A,0))-1))):INDEX(Attenuation!$J:$J,(INDEX(Cables!$AO:$AO,MATCH(G234,Cables!$A:$A,0))-1+MIN(MAX(IFERROR(MATCH(LN(E234),INDEX(Attenuation!$J:$J,INDEX(Cables!$AO:$AO,MATCH(G234,Cables!$A:$A,0))):INDEX(Attenuation!$J:$J,INDEX(Cables!$AO:$AO,MATCH(G234,Cables!$A:$A,0))+INDEX(Cables!$AP:$AP,MATCH(G234,Cables!$A:$A,0))-1),1),1),1),INDEX(Cables!$AP:$AP,MATCH(G234,Cables!$A:$A,0))-1))+1)))*0.3048)</f>
        <v>0.90000000000000024</v>
      </c>
      <c r="J234" s="44">
        <f t="shared" si="3"/>
        <v>0</v>
      </c>
      <c r="K234" s="40" t="str">
        <f>IF(G234="","Doğrulanmadı",IF(ABS(J234)&lt;=0.1,"Uyumlu (±%10)",IF(ABS(J234)&lt;=0.25,"Fark %10-25","Fark &gt;%25"))&amp;IF(OR(D234&lt;INDEX(Cables!$AQ:$AQ,MATCH(G234,Cables!$A:$A,0)),E234&gt;INDEX(Cables!$AR:$AR,MATCH(G234,Cables!$A:$A,0)))," · ekstrapolasyon",""))</f>
        <v>Uyumlu (±%10)</v>
      </c>
    </row>
    <row r="235" spans="1:11" x14ac:dyDescent="0.25">
      <c r="A235" s="37" t="s">
        <v>3039</v>
      </c>
      <c r="B235" s="40" t="str">
        <f>INDEX(Legacy_Index!$D:$D,MATCH(A235,Legacy_Index!$A:$A,0))</f>
        <v>LMR400</v>
      </c>
      <c r="C235" s="37" t="s">
        <v>3113</v>
      </c>
      <c r="D235" s="37">
        <v>70</v>
      </c>
      <c r="E235" s="37">
        <v>100</v>
      </c>
      <c r="F235" s="37">
        <v>1.1499999999999999</v>
      </c>
      <c r="G235" s="40" t="str">
        <f>IF(INDEX(Legacy_Index!$G:$G,MATCH(A235,Legacy_Index!$A:$A,0))="","",INDEX(Legacy_Index!$G:$G,MATCH(A235,Legacy_Index!$A:$A,0)))</f>
        <v>TMS-LMR400</v>
      </c>
      <c r="H235" s="43">
        <f>IF(G235="","",EXP(FORECAST(LN(D235),INDEX(Attenuation!$K:$K,(INDEX(Cables!$AO:$AO,MATCH(G235,Cables!$A:$A,0))-1+MIN(MAX(IFERROR(MATCH(LN(D235),INDEX(Attenuation!$J:$J,INDEX(Cables!$AO:$AO,MATCH(G235,Cables!$A:$A,0))):INDEX(Attenuation!$J:$J,INDEX(Cables!$AO:$AO,MATCH(G235,Cables!$A:$A,0))+INDEX(Cables!$AP:$AP,MATCH(G235,Cables!$A:$A,0))-1),1),1),1),INDEX(Cables!$AP:$AP,MATCH(G235,Cables!$A:$A,0))-1))):INDEX(Attenuation!$K:$K,(INDEX(Cables!$AO:$AO,MATCH(G235,Cables!$A:$A,0))-1+MIN(MAX(IFERROR(MATCH(LN(D235),INDEX(Attenuation!$J:$J,INDEX(Cables!$AO:$AO,MATCH(G235,Cables!$A:$A,0))):INDEX(Attenuation!$J:$J,INDEX(Cables!$AO:$AO,MATCH(G235,Cables!$A:$A,0))+INDEX(Cables!$AP:$AP,MATCH(G235,Cables!$A:$A,0))-1),1),1),1),INDEX(Cables!$AP:$AP,MATCH(G235,Cables!$A:$A,0))-1))+1),INDEX(Attenuation!$J:$J,(INDEX(Cables!$AO:$AO,MATCH(G235,Cables!$A:$A,0))-1+MIN(MAX(IFERROR(MATCH(LN(D235),INDEX(Attenuation!$J:$J,INDEX(Cables!$AO:$AO,MATCH(G235,Cables!$A:$A,0))):INDEX(Attenuation!$J:$J,INDEX(Cables!$AO:$AO,MATCH(G235,Cables!$A:$A,0))+INDEX(Cables!$AP:$AP,MATCH(G235,Cables!$A:$A,0))-1),1),1),1),INDEX(Cables!$AP:$AP,MATCH(G235,Cables!$A:$A,0))-1))):INDEX(Attenuation!$J:$J,(INDEX(Cables!$AO:$AO,MATCH(G235,Cables!$A:$A,0))-1+MIN(MAX(IFERROR(MATCH(LN(D235),INDEX(Attenuation!$J:$J,INDEX(Cables!$AO:$AO,MATCH(G235,Cables!$A:$A,0))):INDEX(Attenuation!$J:$J,INDEX(Cables!$AO:$AO,MATCH(G235,Cables!$A:$A,0))+INDEX(Cables!$AP:$AP,MATCH(G235,Cables!$A:$A,0))-1),1),1),1),INDEX(Cables!$AP:$AP,MATCH(G235,Cables!$A:$A,0))-1))+1)))*0.3048)</f>
        <v>1.0524177800733017</v>
      </c>
      <c r="I235" s="43">
        <f>IF(G235="","",EXP(FORECAST(LN(E235),INDEX(Attenuation!$K:$K,(INDEX(Cables!$AO:$AO,MATCH(G235,Cables!$A:$A,0))-1+MIN(MAX(IFERROR(MATCH(LN(E235),INDEX(Attenuation!$J:$J,INDEX(Cables!$AO:$AO,MATCH(G235,Cables!$A:$A,0))):INDEX(Attenuation!$J:$J,INDEX(Cables!$AO:$AO,MATCH(G235,Cables!$A:$A,0))+INDEX(Cables!$AP:$AP,MATCH(G235,Cables!$A:$A,0))-1),1),1),1),INDEX(Cables!$AP:$AP,MATCH(G235,Cables!$A:$A,0))-1))):INDEX(Attenuation!$K:$K,(INDEX(Cables!$AO:$AO,MATCH(G235,Cables!$A:$A,0))-1+MIN(MAX(IFERROR(MATCH(LN(E235),INDEX(Attenuation!$J:$J,INDEX(Cables!$AO:$AO,MATCH(G235,Cables!$A:$A,0))):INDEX(Attenuation!$J:$J,INDEX(Cables!$AO:$AO,MATCH(G235,Cables!$A:$A,0))+INDEX(Cables!$AP:$AP,MATCH(G235,Cables!$A:$A,0))-1),1),1),1),INDEX(Cables!$AP:$AP,MATCH(G235,Cables!$A:$A,0))-1))+1),INDEX(Attenuation!$J:$J,(INDEX(Cables!$AO:$AO,MATCH(G235,Cables!$A:$A,0))-1+MIN(MAX(IFERROR(MATCH(LN(E235),INDEX(Attenuation!$J:$J,INDEX(Cables!$AO:$AO,MATCH(G235,Cables!$A:$A,0))):INDEX(Attenuation!$J:$J,INDEX(Cables!$AO:$AO,MATCH(G235,Cables!$A:$A,0))+INDEX(Cables!$AP:$AP,MATCH(G235,Cables!$A:$A,0))-1),1),1),1),INDEX(Cables!$AP:$AP,MATCH(G235,Cables!$A:$A,0))-1))):INDEX(Attenuation!$J:$J,(INDEX(Cables!$AO:$AO,MATCH(G235,Cables!$A:$A,0))-1+MIN(MAX(IFERROR(MATCH(LN(E235),INDEX(Attenuation!$J:$J,INDEX(Cables!$AO:$AO,MATCH(G235,Cables!$A:$A,0))):INDEX(Attenuation!$J:$J,INDEX(Cables!$AO:$AO,MATCH(G235,Cables!$A:$A,0))+INDEX(Cables!$AP:$AP,MATCH(G235,Cables!$A:$A,0))-1),1),1),1),INDEX(Cables!$AP:$AP,MATCH(G235,Cables!$A:$A,0))-1))+1)))*0.3048)</f>
        <v>1.2422628173066423</v>
      </c>
      <c r="J235" s="44">
        <f t="shared" si="3"/>
        <v>0</v>
      </c>
      <c r="K235" s="40" t="str">
        <f>IF(G235="","Doğrulanmadı",IF(ABS(J235)&lt;=0.1,"Uyumlu (±%10)",IF(ABS(J235)&lt;=0.25,"Fark %10-25","Fark &gt;%25"))&amp;IF(OR(D235&lt;INDEX(Cables!$AQ:$AQ,MATCH(G235,Cables!$A:$A,0)),E235&gt;INDEX(Cables!$AR:$AR,MATCH(G235,Cables!$A:$A,0)))," · ekstrapolasyon",""))</f>
        <v>Uyumlu (±%10)</v>
      </c>
    </row>
    <row r="236" spans="1:11" x14ac:dyDescent="0.25">
      <c r="A236" s="37" t="s">
        <v>3039</v>
      </c>
      <c r="B236" s="40" t="str">
        <f>INDEX(Legacy_Index!$D:$D,MATCH(A236,Legacy_Index!$A:$A,0))</f>
        <v>LMR400</v>
      </c>
      <c r="C236" s="37" t="s">
        <v>3114</v>
      </c>
      <c r="D236" s="37">
        <v>148</v>
      </c>
      <c r="E236" s="37">
        <v>174</v>
      </c>
      <c r="F236" s="37">
        <v>1.5</v>
      </c>
      <c r="G236" s="40" t="str">
        <f>IF(INDEX(Legacy_Index!$G:$G,MATCH(A236,Legacy_Index!$A:$A,0))="","",INDEX(Legacy_Index!$G:$G,MATCH(A236,Legacy_Index!$A:$A,0)))</f>
        <v>TMS-LMR400</v>
      </c>
      <c r="H236" s="43">
        <f>IF(G236="","",EXP(FORECAST(LN(D236),INDEX(Attenuation!$K:$K,(INDEX(Cables!$AO:$AO,MATCH(G236,Cables!$A:$A,0))-1+MIN(MAX(IFERROR(MATCH(LN(D236),INDEX(Attenuation!$J:$J,INDEX(Cables!$AO:$AO,MATCH(G236,Cables!$A:$A,0))):INDEX(Attenuation!$J:$J,INDEX(Cables!$AO:$AO,MATCH(G236,Cables!$A:$A,0))+INDEX(Cables!$AP:$AP,MATCH(G236,Cables!$A:$A,0))-1),1),1),1),INDEX(Cables!$AP:$AP,MATCH(G236,Cables!$A:$A,0))-1))):INDEX(Attenuation!$K:$K,(INDEX(Cables!$AO:$AO,MATCH(G236,Cables!$A:$A,0))-1+MIN(MAX(IFERROR(MATCH(LN(D236),INDEX(Attenuation!$J:$J,INDEX(Cables!$AO:$AO,MATCH(G236,Cables!$A:$A,0))):INDEX(Attenuation!$J:$J,INDEX(Cables!$AO:$AO,MATCH(G236,Cables!$A:$A,0))+INDEX(Cables!$AP:$AP,MATCH(G236,Cables!$A:$A,0))-1),1),1),1),INDEX(Cables!$AP:$AP,MATCH(G236,Cables!$A:$A,0))-1))+1),INDEX(Attenuation!$J:$J,(INDEX(Cables!$AO:$AO,MATCH(G236,Cables!$A:$A,0))-1+MIN(MAX(IFERROR(MATCH(LN(D236),INDEX(Attenuation!$J:$J,INDEX(Cables!$AO:$AO,MATCH(G236,Cables!$A:$A,0))):INDEX(Attenuation!$J:$J,INDEX(Cables!$AO:$AO,MATCH(G236,Cables!$A:$A,0))+INDEX(Cables!$AP:$AP,MATCH(G236,Cables!$A:$A,0))-1),1),1),1),INDEX(Cables!$AP:$AP,MATCH(G236,Cables!$A:$A,0))-1))):INDEX(Attenuation!$J:$J,(INDEX(Cables!$AO:$AO,MATCH(G236,Cables!$A:$A,0))-1+MIN(MAX(IFERROR(MATCH(LN(D236),INDEX(Attenuation!$J:$J,INDEX(Cables!$AO:$AO,MATCH(G236,Cables!$A:$A,0))):INDEX(Attenuation!$J:$J,INDEX(Cables!$AO:$AO,MATCH(G236,Cables!$A:$A,0))+INDEX(Cables!$AP:$AP,MATCH(G236,Cables!$A:$A,0))-1),1),1),1),INDEX(Cables!$AP:$AP,MATCH(G236,Cables!$A:$A,0))-1))+1)))*0.3048)</f>
        <v>1.4906671316071216</v>
      </c>
      <c r="I236" s="43">
        <f>IF(G236="","",EXP(FORECAST(LN(E236),INDEX(Attenuation!$K:$K,(INDEX(Cables!$AO:$AO,MATCH(G236,Cables!$A:$A,0))-1+MIN(MAX(IFERROR(MATCH(LN(E236),INDEX(Attenuation!$J:$J,INDEX(Cables!$AO:$AO,MATCH(G236,Cables!$A:$A,0))):INDEX(Attenuation!$J:$J,INDEX(Cables!$AO:$AO,MATCH(G236,Cables!$A:$A,0))+INDEX(Cables!$AP:$AP,MATCH(G236,Cables!$A:$A,0))-1),1),1),1),INDEX(Cables!$AP:$AP,MATCH(G236,Cables!$A:$A,0))-1))):INDEX(Attenuation!$K:$K,(INDEX(Cables!$AO:$AO,MATCH(G236,Cables!$A:$A,0))-1+MIN(MAX(IFERROR(MATCH(LN(E236),INDEX(Attenuation!$J:$J,INDEX(Cables!$AO:$AO,MATCH(G236,Cables!$A:$A,0))):INDEX(Attenuation!$J:$J,INDEX(Cables!$AO:$AO,MATCH(G236,Cables!$A:$A,0))+INDEX(Cables!$AP:$AP,MATCH(G236,Cables!$A:$A,0))-1),1),1),1),INDEX(Cables!$AP:$AP,MATCH(G236,Cables!$A:$A,0))-1))+1),INDEX(Attenuation!$J:$J,(INDEX(Cables!$AO:$AO,MATCH(G236,Cables!$A:$A,0))-1+MIN(MAX(IFERROR(MATCH(LN(E236),INDEX(Attenuation!$J:$J,INDEX(Cables!$AO:$AO,MATCH(G236,Cables!$A:$A,0))):INDEX(Attenuation!$J:$J,INDEX(Cables!$AO:$AO,MATCH(G236,Cables!$A:$A,0))+INDEX(Cables!$AP:$AP,MATCH(G236,Cables!$A:$A,0))-1),1),1),1),INDEX(Cables!$AP:$AP,MATCH(G236,Cables!$A:$A,0))-1))):INDEX(Attenuation!$J:$J,(INDEX(Cables!$AO:$AO,MATCH(G236,Cables!$A:$A,0))-1+MIN(MAX(IFERROR(MATCH(LN(E236),INDEX(Attenuation!$J:$J,INDEX(Cables!$AO:$AO,MATCH(G236,Cables!$A:$A,0))):INDEX(Attenuation!$J:$J,INDEX(Cables!$AO:$AO,MATCH(G236,Cables!$A:$A,0))+INDEX(Cables!$AP:$AP,MATCH(G236,Cables!$A:$A,0))-1),1),1),1),INDEX(Cables!$AP:$AP,MATCH(G236,Cables!$A:$A,0))-1))+1)))*0.3048)</f>
        <v>1.6439012779460072</v>
      </c>
      <c r="J236" s="44">
        <f t="shared" si="3"/>
        <v>0</v>
      </c>
      <c r="K236" s="40" t="str">
        <f>IF(G236="","Doğrulanmadı",IF(ABS(J236)&lt;=0.1,"Uyumlu (±%10)",IF(ABS(J236)&lt;=0.25,"Fark %10-25","Fark &gt;%25"))&amp;IF(OR(D236&lt;INDEX(Cables!$AQ:$AQ,MATCH(G236,Cables!$A:$A,0)),E236&gt;INDEX(Cables!$AR:$AR,MATCH(G236,Cables!$A:$A,0)))," · ekstrapolasyon",""))</f>
        <v>Uyumlu (±%10)</v>
      </c>
    </row>
    <row r="237" spans="1:11" x14ac:dyDescent="0.25">
      <c r="A237" s="37" t="s">
        <v>3039</v>
      </c>
      <c r="B237" s="40" t="str">
        <f>INDEX(Legacy_Index!$D:$D,MATCH(A237,Legacy_Index!$A:$A,0))</f>
        <v>LMR400</v>
      </c>
      <c r="C237" s="37" t="s">
        <v>3119</v>
      </c>
      <c r="D237" s="37">
        <v>220</v>
      </c>
      <c r="E237" s="37">
        <v>220</v>
      </c>
      <c r="F237" s="37">
        <v>1.8</v>
      </c>
      <c r="G237" s="40" t="str">
        <f>IF(INDEX(Legacy_Index!$G:$G,MATCH(A237,Legacy_Index!$A:$A,0))="","",INDEX(Legacy_Index!$G:$G,MATCH(A237,Legacy_Index!$A:$A,0)))</f>
        <v>TMS-LMR400</v>
      </c>
      <c r="H237" s="43">
        <f>IF(G237="","",EXP(FORECAST(LN(D237),INDEX(Attenuation!$K:$K,(INDEX(Cables!$AO:$AO,MATCH(G237,Cables!$A:$A,0))-1+MIN(MAX(IFERROR(MATCH(LN(D237),INDEX(Attenuation!$J:$J,INDEX(Cables!$AO:$AO,MATCH(G237,Cables!$A:$A,0))):INDEX(Attenuation!$J:$J,INDEX(Cables!$AO:$AO,MATCH(G237,Cables!$A:$A,0))+INDEX(Cables!$AP:$AP,MATCH(G237,Cables!$A:$A,0))-1),1),1),1),INDEX(Cables!$AP:$AP,MATCH(G237,Cables!$A:$A,0))-1))):INDEX(Attenuation!$K:$K,(INDEX(Cables!$AO:$AO,MATCH(G237,Cables!$A:$A,0))-1+MIN(MAX(IFERROR(MATCH(LN(D237),INDEX(Attenuation!$J:$J,INDEX(Cables!$AO:$AO,MATCH(G237,Cables!$A:$A,0))):INDEX(Attenuation!$J:$J,INDEX(Cables!$AO:$AO,MATCH(G237,Cables!$A:$A,0))+INDEX(Cables!$AP:$AP,MATCH(G237,Cables!$A:$A,0))-1),1),1),1),INDEX(Cables!$AP:$AP,MATCH(G237,Cables!$A:$A,0))-1))+1),INDEX(Attenuation!$J:$J,(INDEX(Cables!$AO:$AO,MATCH(G237,Cables!$A:$A,0))-1+MIN(MAX(IFERROR(MATCH(LN(D237),INDEX(Attenuation!$J:$J,INDEX(Cables!$AO:$AO,MATCH(G237,Cables!$A:$A,0))):INDEX(Attenuation!$J:$J,INDEX(Cables!$AO:$AO,MATCH(G237,Cables!$A:$A,0))+INDEX(Cables!$AP:$AP,MATCH(G237,Cables!$A:$A,0))-1),1),1),1),INDEX(Cables!$AP:$AP,MATCH(G237,Cables!$A:$A,0))-1))):INDEX(Attenuation!$J:$J,(INDEX(Cables!$AO:$AO,MATCH(G237,Cables!$A:$A,0))-1+MIN(MAX(IFERROR(MATCH(LN(D237),INDEX(Attenuation!$J:$J,INDEX(Cables!$AO:$AO,MATCH(G237,Cables!$A:$A,0))):INDEX(Attenuation!$J:$J,INDEX(Cables!$AO:$AO,MATCH(G237,Cables!$A:$A,0))+INDEX(Cables!$AP:$AP,MATCH(G237,Cables!$A:$A,0))-1),1),1),1),INDEX(Cables!$AP:$AP,MATCH(G237,Cables!$A:$A,0))-1))+1)))*0.3048)</f>
        <v>1.9</v>
      </c>
      <c r="I237" s="43">
        <f>IF(G237="","",EXP(FORECAST(LN(E237),INDEX(Attenuation!$K:$K,(INDEX(Cables!$AO:$AO,MATCH(G237,Cables!$A:$A,0))-1+MIN(MAX(IFERROR(MATCH(LN(E237),INDEX(Attenuation!$J:$J,INDEX(Cables!$AO:$AO,MATCH(G237,Cables!$A:$A,0))):INDEX(Attenuation!$J:$J,INDEX(Cables!$AO:$AO,MATCH(G237,Cables!$A:$A,0))+INDEX(Cables!$AP:$AP,MATCH(G237,Cables!$A:$A,0))-1),1),1),1),INDEX(Cables!$AP:$AP,MATCH(G237,Cables!$A:$A,0))-1))):INDEX(Attenuation!$K:$K,(INDEX(Cables!$AO:$AO,MATCH(G237,Cables!$A:$A,0))-1+MIN(MAX(IFERROR(MATCH(LN(E237),INDEX(Attenuation!$J:$J,INDEX(Cables!$AO:$AO,MATCH(G237,Cables!$A:$A,0))):INDEX(Attenuation!$J:$J,INDEX(Cables!$AO:$AO,MATCH(G237,Cables!$A:$A,0))+INDEX(Cables!$AP:$AP,MATCH(G237,Cables!$A:$A,0))-1),1),1),1),INDEX(Cables!$AP:$AP,MATCH(G237,Cables!$A:$A,0))-1))+1),INDEX(Attenuation!$J:$J,(INDEX(Cables!$AO:$AO,MATCH(G237,Cables!$A:$A,0))-1+MIN(MAX(IFERROR(MATCH(LN(E237),INDEX(Attenuation!$J:$J,INDEX(Cables!$AO:$AO,MATCH(G237,Cables!$A:$A,0))):INDEX(Attenuation!$J:$J,INDEX(Cables!$AO:$AO,MATCH(G237,Cables!$A:$A,0))+INDEX(Cables!$AP:$AP,MATCH(G237,Cables!$A:$A,0))-1),1),1),1),INDEX(Cables!$AP:$AP,MATCH(G237,Cables!$A:$A,0))-1))):INDEX(Attenuation!$J:$J,(INDEX(Cables!$AO:$AO,MATCH(G237,Cables!$A:$A,0))-1+MIN(MAX(IFERROR(MATCH(LN(E237),INDEX(Attenuation!$J:$J,INDEX(Cables!$AO:$AO,MATCH(G237,Cables!$A:$A,0))):INDEX(Attenuation!$J:$J,INDEX(Cables!$AO:$AO,MATCH(G237,Cables!$A:$A,0))+INDEX(Cables!$AP:$AP,MATCH(G237,Cables!$A:$A,0))-1),1),1),1),INDEX(Cables!$AP:$AP,MATCH(G237,Cables!$A:$A,0))-1))+1)))*0.3048)</f>
        <v>1.9</v>
      </c>
      <c r="J237" s="44">
        <f t="shared" si="3"/>
        <v>-5.2631578947368363E-2</v>
      </c>
      <c r="K237" s="40" t="str">
        <f>IF(G237="","Doğrulanmadı",IF(ABS(J237)&lt;=0.1,"Uyumlu (±%10)",IF(ABS(J237)&lt;=0.25,"Fark %10-25","Fark &gt;%25"))&amp;IF(OR(D237&lt;INDEX(Cables!$AQ:$AQ,MATCH(G237,Cables!$A:$A,0)),E237&gt;INDEX(Cables!$AR:$AR,MATCH(G237,Cables!$A:$A,0)))," · ekstrapolasyon",""))</f>
        <v>Uyumlu (±%10)</v>
      </c>
    </row>
    <row r="238" spans="1:11" x14ac:dyDescent="0.25">
      <c r="A238" s="37" t="s">
        <v>3039</v>
      </c>
      <c r="B238" s="40" t="str">
        <f>INDEX(Legacy_Index!$D:$D,MATCH(A238,Legacy_Index!$A:$A,0))</f>
        <v>LMR400</v>
      </c>
      <c r="C238" s="37" t="s">
        <v>3115</v>
      </c>
      <c r="D238" s="37">
        <v>400</v>
      </c>
      <c r="E238" s="37">
        <v>520</v>
      </c>
      <c r="F238" s="37">
        <v>2.7</v>
      </c>
      <c r="G238" s="40" t="str">
        <f>IF(INDEX(Legacy_Index!$G:$G,MATCH(A238,Legacy_Index!$A:$A,0))="","",INDEX(Legacy_Index!$G:$G,MATCH(A238,Legacy_Index!$A:$A,0)))</f>
        <v>TMS-LMR400</v>
      </c>
      <c r="H238" s="43">
        <f>IF(G238="","",EXP(FORECAST(LN(D238),INDEX(Attenuation!$K:$K,(INDEX(Cables!$AO:$AO,MATCH(G238,Cables!$A:$A,0))-1+MIN(MAX(IFERROR(MATCH(LN(D238),INDEX(Attenuation!$J:$J,INDEX(Cables!$AO:$AO,MATCH(G238,Cables!$A:$A,0))):INDEX(Attenuation!$J:$J,INDEX(Cables!$AO:$AO,MATCH(G238,Cables!$A:$A,0))+INDEX(Cables!$AP:$AP,MATCH(G238,Cables!$A:$A,0))-1),1),1),1),INDEX(Cables!$AP:$AP,MATCH(G238,Cables!$A:$A,0))-1))):INDEX(Attenuation!$K:$K,(INDEX(Cables!$AO:$AO,MATCH(G238,Cables!$A:$A,0))-1+MIN(MAX(IFERROR(MATCH(LN(D238),INDEX(Attenuation!$J:$J,INDEX(Cables!$AO:$AO,MATCH(G238,Cables!$A:$A,0))):INDEX(Attenuation!$J:$J,INDEX(Cables!$AO:$AO,MATCH(G238,Cables!$A:$A,0))+INDEX(Cables!$AP:$AP,MATCH(G238,Cables!$A:$A,0))-1),1),1),1),INDEX(Cables!$AP:$AP,MATCH(G238,Cables!$A:$A,0))-1))+1),INDEX(Attenuation!$J:$J,(INDEX(Cables!$AO:$AO,MATCH(G238,Cables!$A:$A,0))-1+MIN(MAX(IFERROR(MATCH(LN(D238),INDEX(Attenuation!$J:$J,INDEX(Cables!$AO:$AO,MATCH(G238,Cables!$A:$A,0))):INDEX(Attenuation!$J:$J,INDEX(Cables!$AO:$AO,MATCH(G238,Cables!$A:$A,0))+INDEX(Cables!$AP:$AP,MATCH(G238,Cables!$A:$A,0))-1),1),1),1),INDEX(Cables!$AP:$AP,MATCH(G238,Cables!$A:$A,0))-1))):INDEX(Attenuation!$J:$J,(INDEX(Cables!$AO:$AO,MATCH(G238,Cables!$A:$A,0))-1+MIN(MAX(IFERROR(MATCH(LN(D238),INDEX(Attenuation!$J:$J,INDEX(Cables!$AO:$AO,MATCH(G238,Cables!$A:$A,0))):INDEX(Attenuation!$J:$J,INDEX(Cables!$AO:$AO,MATCH(G238,Cables!$A:$A,0))+INDEX(Cables!$AP:$AP,MATCH(G238,Cables!$A:$A,0))-1),1),1),1),INDEX(Cables!$AP:$AP,MATCH(G238,Cables!$A:$A,0))-1))+1)))*0.3048)</f>
        <v>2.5482723509434786</v>
      </c>
      <c r="I238" s="43">
        <f>IF(G238="","",EXP(FORECAST(LN(E238),INDEX(Attenuation!$K:$K,(INDEX(Cables!$AO:$AO,MATCH(G238,Cables!$A:$A,0))-1+MIN(MAX(IFERROR(MATCH(LN(E238),INDEX(Attenuation!$J:$J,INDEX(Cables!$AO:$AO,MATCH(G238,Cables!$A:$A,0))):INDEX(Attenuation!$J:$J,INDEX(Cables!$AO:$AO,MATCH(G238,Cables!$A:$A,0))+INDEX(Cables!$AP:$AP,MATCH(G238,Cables!$A:$A,0))-1),1),1),1),INDEX(Cables!$AP:$AP,MATCH(G238,Cables!$A:$A,0))-1))):INDEX(Attenuation!$K:$K,(INDEX(Cables!$AO:$AO,MATCH(G238,Cables!$A:$A,0))-1+MIN(MAX(IFERROR(MATCH(LN(E238),INDEX(Attenuation!$J:$J,INDEX(Cables!$AO:$AO,MATCH(G238,Cables!$A:$A,0))):INDEX(Attenuation!$J:$J,INDEX(Cables!$AO:$AO,MATCH(G238,Cables!$A:$A,0))+INDEX(Cables!$AP:$AP,MATCH(G238,Cables!$A:$A,0))-1),1),1),1),INDEX(Cables!$AP:$AP,MATCH(G238,Cables!$A:$A,0))-1))+1),INDEX(Attenuation!$J:$J,(INDEX(Cables!$AO:$AO,MATCH(G238,Cables!$A:$A,0))-1+MIN(MAX(IFERROR(MATCH(LN(E238),INDEX(Attenuation!$J:$J,INDEX(Cables!$AO:$AO,MATCH(G238,Cables!$A:$A,0))):INDEX(Attenuation!$J:$J,INDEX(Cables!$AO:$AO,MATCH(G238,Cables!$A:$A,0))+INDEX(Cables!$AP:$AP,MATCH(G238,Cables!$A:$A,0))-1),1),1),1),INDEX(Cables!$AP:$AP,MATCH(G238,Cables!$A:$A,0))-1))):INDEX(Attenuation!$J:$J,(INDEX(Cables!$AO:$AO,MATCH(G238,Cables!$A:$A,0))-1+MIN(MAX(IFERROR(MATCH(LN(E238),INDEX(Attenuation!$J:$J,INDEX(Cables!$AO:$AO,MATCH(G238,Cables!$A:$A,0))):INDEX(Attenuation!$J:$J,INDEX(Cables!$AO:$AO,MATCH(G238,Cables!$A:$A,0))+INDEX(Cables!$AP:$AP,MATCH(G238,Cables!$A:$A,0))-1),1),1),1),INDEX(Cables!$AP:$AP,MATCH(G238,Cables!$A:$A,0))-1))+1)))*0.3048)</f>
        <v>2.9171450981713551</v>
      </c>
      <c r="J238" s="44">
        <f t="shared" si="3"/>
        <v>0</v>
      </c>
      <c r="K238" s="40" t="str">
        <f>IF(G238="","Doğrulanmadı",IF(ABS(J238)&lt;=0.1,"Uyumlu (±%10)",IF(ABS(J238)&lt;=0.25,"Fark %10-25","Fark &gt;%25"))&amp;IF(OR(D238&lt;INDEX(Cables!$AQ:$AQ,MATCH(G238,Cables!$A:$A,0)),E238&gt;INDEX(Cables!$AR:$AR,MATCH(G238,Cables!$A:$A,0)))," · ekstrapolasyon",""))</f>
        <v>Uyumlu (±%10)</v>
      </c>
    </row>
    <row r="239" spans="1:11" x14ac:dyDescent="0.25">
      <c r="A239" s="37" t="s">
        <v>3039</v>
      </c>
      <c r="B239" s="40" t="str">
        <f>INDEX(Legacy_Index!$D:$D,MATCH(A239,Legacy_Index!$A:$A,0))</f>
        <v>LMR400</v>
      </c>
      <c r="C239" s="37" t="s">
        <v>3116</v>
      </c>
      <c r="D239" s="37">
        <v>700</v>
      </c>
      <c r="E239" s="37">
        <v>960</v>
      </c>
      <c r="F239" s="37">
        <v>3.9</v>
      </c>
      <c r="G239" s="40" t="str">
        <f>IF(INDEX(Legacy_Index!$G:$G,MATCH(A239,Legacy_Index!$A:$A,0))="","",INDEX(Legacy_Index!$G:$G,MATCH(A239,Legacy_Index!$A:$A,0)))</f>
        <v>TMS-LMR400</v>
      </c>
      <c r="H239" s="43">
        <f>IF(G239="","",EXP(FORECAST(LN(D239),INDEX(Attenuation!$K:$K,(INDEX(Cables!$AO:$AO,MATCH(G239,Cables!$A:$A,0))-1+MIN(MAX(IFERROR(MATCH(LN(D239),INDEX(Attenuation!$J:$J,INDEX(Cables!$AO:$AO,MATCH(G239,Cables!$A:$A,0))):INDEX(Attenuation!$J:$J,INDEX(Cables!$AO:$AO,MATCH(G239,Cables!$A:$A,0))+INDEX(Cables!$AP:$AP,MATCH(G239,Cables!$A:$A,0))-1),1),1),1),INDEX(Cables!$AP:$AP,MATCH(G239,Cables!$A:$A,0))-1))):INDEX(Attenuation!$K:$K,(INDEX(Cables!$AO:$AO,MATCH(G239,Cables!$A:$A,0))-1+MIN(MAX(IFERROR(MATCH(LN(D239),INDEX(Attenuation!$J:$J,INDEX(Cables!$AO:$AO,MATCH(G239,Cables!$A:$A,0))):INDEX(Attenuation!$J:$J,INDEX(Cables!$AO:$AO,MATCH(G239,Cables!$A:$A,0))+INDEX(Cables!$AP:$AP,MATCH(G239,Cables!$A:$A,0))-1),1),1),1),INDEX(Cables!$AP:$AP,MATCH(G239,Cables!$A:$A,0))-1))+1),INDEX(Attenuation!$J:$J,(INDEX(Cables!$AO:$AO,MATCH(G239,Cables!$A:$A,0))-1+MIN(MAX(IFERROR(MATCH(LN(D239),INDEX(Attenuation!$J:$J,INDEX(Cables!$AO:$AO,MATCH(G239,Cables!$A:$A,0))):INDEX(Attenuation!$J:$J,INDEX(Cables!$AO:$AO,MATCH(G239,Cables!$A:$A,0))+INDEX(Cables!$AP:$AP,MATCH(G239,Cables!$A:$A,0))-1),1),1),1),INDEX(Cables!$AP:$AP,MATCH(G239,Cables!$A:$A,0))-1))):INDEX(Attenuation!$J:$J,(INDEX(Cables!$AO:$AO,MATCH(G239,Cables!$A:$A,0))-1+MIN(MAX(IFERROR(MATCH(LN(D239),INDEX(Attenuation!$J:$J,INDEX(Cables!$AO:$AO,MATCH(G239,Cables!$A:$A,0))):INDEX(Attenuation!$J:$J,INDEX(Cables!$AO:$AO,MATCH(G239,Cables!$A:$A,0))+INDEX(Cables!$AP:$AP,MATCH(G239,Cables!$A:$A,0))-1),1),1),1),INDEX(Cables!$AP:$AP,MATCH(G239,Cables!$A:$A,0))-1))+1)))*0.3048)</f>
        <v>3.4200000000000017</v>
      </c>
      <c r="I239" s="43">
        <f>IF(G239="","",EXP(FORECAST(LN(E239),INDEX(Attenuation!$K:$K,(INDEX(Cables!$AO:$AO,MATCH(G239,Cables!$A:$A,0))-1+MIN(MAX(IFERROR(MATCH(LN(E239),INDEX(Attenuation!$J:$J,INDEX(Cables!$AO:$AO,MATCH(G239,Cables!$A:$A,0))):INDEX(Attenuation!$J:$J,INDEX(Cables!$AO:$AO,MATCH(G239,Cables!$A:$A,0))+INDEX(Cables!$AP:$AP,MATCH(G239,Cables!$A:$A,0))-1),1),1),1),INDEX(Cables!$AP:$AP,MATCH(G239,Cables!$A:$A,0))-1))):INDEX(Attenuation!$K:$K,(INDEX(Cables!$AO:$AO,MATCH(G239,Cables!$A:$A,0))-1+MIN(MAX(IFERROR(MATCH(LN(E239),INDEX(Attenuation!$J:$J,INDEX(Cables!$AO:$AO,MATCH(G239,Cables!$A:$A,0))):INDEX(Attenuation!$J:$J,INDEX(Cables!$AO:$AO,MATCH(G239,Cables!$A:$A,0))+INDEX(Cables!$AP:$AP,MATCH(G239,Cables!$A:$A,0))-1),1),1),1),INDEX(Cables!$AP:$AP,MATCH(G239,Cables!$A:$A,0))-1))+1),INDEX(Attenuation!$J:$J,(INDEX(Cables!$AO:$AO,MATCH(G239,Cables!$A:$A,0))-1+MIN(MAX(IFERROR(MATCH(LN(E239),INDEX(Attenuation!$J:$J,INDEX(Cables!$AO:$AO,MATCH(G239,Cables!$A:$A,0))):INDEX(Attenuation!$J:$J,INDEX(Cables!$AO:$AO,MATCH(G239,Cables!$A:$A,0))+INDEX(Cables!$AP:$AP,MATCH(G239,Cables!$A:$A,0))-1),1),1),1),INDEX(Cables!$AP:$AP,MATCH(G239,Cables!$A:$A,0))-1))):INDEX(Attenuation!$J:$J,(INDEX(Cables!$AO:$AO,MATCH(G239,Cables!$A:$A,0))-1+MIN(MAX(IFERROR(MATCH(LN(E239),INDEX(Attenuation!$J:$J,INDEX(Cables!$AO:$AO,MATCH(G239,Cables!$A:$A,0))):INDEX(Attenuation!$J:$J,INDEX(Cables!$AO:$AO,MATCH(G239,Cables!$A:$A,0))+INDEX(Cables!$AP:$AP,MATCH(G239,Cables!$A:$A,0))-1),1),1),1),INDEX(Cables!$AP:$AP,MATCH(G239,Cables!$A:$A,0))-1))+1)))*0.3048)</f>
        <v>4.0344478473028849</v>
      </c>
      <c r="J239" s="44">
        <f t="shared" si="3"/>
        <v>0</v>
      </c>
      <c r="K239" s="40" t="str">
        <f>IF(G239="","Doğrulanmadı",IF(ABS(J239)&lt;=0.1,"Uyumlu (±%10)",IF(ABS(J239)&lt;=0.25,"Fark %10-25","Fark &gt;%25"))&amp;IF(OR(D239&lt;INDEX(Cables!$AQ:$AQ,MATCH(G239,Cables!$A:$A,0)),E239&gt;INDEX(Cables!$AR:$AR,MATCH(G239,Cables!$A:$A,0)))," · ekstrapolasyon",""))</f>
        <v>Uyumlu (±%10)</v>
      </c>
    </row>
    <row r="240" spans="1:11" x14ac:dyDescent="0.25">
      <c r="A240" s="37" t="s">
        <v>3039</v>
      </c>
      <c r="B240" s="40" t="str">
        <f>INDEX(Legacy_Index!$D:$D,MATCH(A240,Legacy_Index!$A:$A,0))</f>
        <v>LMR400</v>
      </c>
      <c r="C240" s="37" t="s">
        <v>3120</v>
      </c>
      <c r="D240" s="37">
        <v>1200</v>
      </c>
      <c r="E240" s="37">
        <v>1300</v>
      </c>
      <c r="F240" s="37">
        <v>4.8</v>
      </c>
      <c r="G240" s="40" t="str">
        <f>IF(INDEX(Legacy_Index!$G:$G,MATCH(A240,Legacy_Index!$A:$A,0))="","",INDEX(Legacy_Index!$G:$G,MATCH(A240,Legacy_Index!$A:$A,0)))</f>
        <v>TMS-LMR400</v>
      </c>
      <c r="H240" s="43">
        <f>IF(G240="","",EXP(FORECAST(LN(D240),INDEX(Attenuation!$K:$K,(INDEX(Cables!$AO:$AO,MATCH(G240,Cables!$A:$A,0))-1+MIN(MAX(IFERROR(MATCH(LN(D240),INDEX(Attenuation!$J:$J,INDEX(Cables!$AO:$AO,MATCH(G240,Cables!$A:$A,0))):INDEX(Attenuation!$J:$J,INDEX(Cables!$AO:$AO,MATCH(G240,Cables!$A:$A,0))+INDEX(Cables!$AP:$AP,MATCH(G240,Cables!$A:$A,0))-1),1),1),1),INDEX(Cables!$AP:$AP,MATCH(G240,Cables!$A:$A,0))-1))):INDEX(Attenuation!$K:$K,(INDEX(Cables!$AO:$AO,MATCH(G240,Cables!$A:$A,0))-1+MIN(MAX(IFERROR(MATCH(LN(D240),INDEX(Attenuation!$J:$J,INDEX(Cables!$AO:$AO,MATCH(G240,Cables!$A:$A,0))):INDEX(Attenuation!$J:$J,INDEX(Cables!$AO:$AO,MATCH(G240,Cables!$A:$A,0))+INDEX(Cables!$AP:$AP,MATCH(G240,Cables!$A:$A,0))-1),1),1),1),INDEX(Cables!$AP:$AP,MATCH(G240,Cables!$A:$A,0))-1))+1),INDEX(Attenuation!$J:$J,(INDEX(Cables!$AO:$AO,MATCH(G240,Cables!$A:$A,0))-1+MIN(MAX(IFERROR(MATCH(LN(D240),INDEX(Attenuation!$J:$J,INDEX(Cables!$AO:$AO,MATCH(G240,Cables!$A:$A,0))):INDEX(Attenuation!$J:$J,INDEX(Cables!$AO:$AO,MATCH(G240,Cables!$A:$A,0))+INDEX(Cables!$AP:$AP,MATCH(G240,Cables!$A:$A,0))-1),1),1),1),INDEX(Cables!$AP:$AP,MATCH(G240,Cables!$A:$A,0))-1))):INDEX(Attenuation!$J:$J,(INDEX(Cables!$AO:$AO,MATCH(G240,Cables!$A:$A,0))-1+MIN(MAX(IFERROR(MATCH(LN(D240),INDEX(Attenuation!$J:$J,INDEX(Cables!$AO:$AO,MATCH(G240,Cables!$A:$A,0))):INDEX(Attenuation!$J:$J,INDEX(Cables!$AO:$AO,MATCH(G240,Cables!$A:$A,0))+INDEX(Cables!$AP:$AP,MATCH(G240,Cables!$A:$A,0))-1),1),1),1),INDEX(Cables!$AP:$AP,MATCH(G240,Cables!$A:$A,0))-1))+1)))*0.3048)</f>
        <v>4.5360427710995745</v>
      </c>
      <c r="I240" s="43">
        <f>IF(G240="","",EXP(FORECAST(LN(E240),INDEX(Attenuation!$K:$K,(INDEX(Cables!$AO:$AO,MATCH(G240,Cables!$A:$A,0))-1+MIN(MAX(IFERROR(MATCH(LN(E240),INDEX(Attenuation!$J:$J,INDEX(Cables!$AO:$AO,MATCH(G240,Cables!$A:$A,0))):INDEX(Attenuation!$J:$J,INDEX(Cables!$AO:$AO,MATCH(G240,Cables!$A:$A,0))+INDEX(Cables!$AP:$AP,MATCH(G240,Cables!$A:$A,0))-1),1),1),1),INDEX(Cables!$AP:$AP,MATCH(G240,Cables!$A:$A,0))-1))):INDEX(Attenuation!$K:$K,(INDEX(Cables!$AO:$AO,MATCH(G240,Cables!$A:$A,0))-1+MIN(MAX(IFERROR(MATCH(LN(E240),INDEX(Attenuation!$J:$J,INDEX(Cables!$AO:$AO,MATCH(G240,Cables!$A:$A,0))):INDEX(Attenuation!$J:$J,INDEX(Cables!$AO:$AO,MATCH(G240,Cables!$A:$A,0))+INDEX(Cables!$AP:$AP,MATCH(G240,Cables!$A:$A,0))-1),1),1),1),INDEX(Cables!$AP:$AP,MATCH(G240,Cables!$A:$A,0))-1))+1),INDEX(Attenuation!$J:$J,(INDEX(Cables!$AO:$AO,MATCH(G240,Cables!$A:$A,0))-1+MIN(MAX(IFERROR(MATCH(LN(E240),INDEX(Attenuation!$J:$J,INDEX(Cables!$AO:$AO,MATCH(G240,Cables!$A:$A,0))):INDEX(Attenuation!$J:$J,INDEX(Cables!$AO:$AO,MATCH(G240,Cables!$A:$A,0))+INDEX(Cables!$AP:$AP,MATCH(G240,Cables!$A:$A,0))-1),1),1),1),INDEX(Cables!$AP:$AP,MATCH(G240,Cables!$A:$A,0))-1))):INDEX(Attenuation!$J:$J,(INDEX(Cables!$AO:$AO,MATCH(G240,Cables!$A:$A,0))-1+MIN(MAX(IFERROR(MATCH(LN(E240),INDEX(Attenuation!$J:$J,INDEX(Cables!$AO:$AO,MATCH(G240,Cables!$A:$A,0))):INDEX(Attenuation!$J:$J,INDEX(Cables!$AO:$AO,MATCH(G240,Cables!$A:$A,0))+INDEX(Cables!$AP:$AP,MATCH(G240,Cables!$A:$A,0))-1),1),1),1),INDEX(Cables!$AP:$AP,MATCH(G240,Cables!$A:$A,0))-1))+1)))*0.3048)</f>
        <v>4.7307797280334141</v>
      </c>
      <c r="J240" s="44">
        <f t="shared" si="3"/>
        <v>1.4631894940363432E-2</v>
      </c>
      <c r="K240" s="40" t="str">
        <f>IF(G240="","Doğrulanmadı",IF(ABS(J240)&lt;=0.1,"Uyumlu (±%10)",IF(ABS(J240)&lt;=0.25,"Fark %10-25","Fark &gt;%25"))&amp;IF(OR(D240&lt;INDEX(Cables!$AQ:$AQ,MATCH(G240,Cables!$A:$A,0)),E240&gt;INDEX(Cables!$AR:$AR,MATCH(G240,Cables!$A:$A,0)))," · ekstrapolasyon",""))</f>
        <v>Uyumlu (±%10)</v>
      </c>
    </row>
    <row r="241" spans="1:11" x14ac:dyDescent="0.25">
      <c r="A241" s="37" t="s">
        <v>3039</v>
      </c>
      <c r="B241" s="40" t="str">
        <f>INDEX(Legacy_Index!$D:$D,MATCH(A241,Legacy_Index!$A:$A,0))</f>
        <v>LMR400</v>
      </c>
      <c r="C241" s="37" t="s">
        <v>3121</v>
      </c>
      <c r="D241" s="37">
        <v>2400</v>
      </c>
      <c r="E241" s="37">
        <v>2500</v>
      </c>
      <c r="F241" s="37">
        <v>6.8</v>
      </c>
      <c r="G241" s="40" t="str">
        <f>IF(INDEX(Legacy_Index!$G:$G,MATCH(A241,Legacy_Index!$A:$A,0))="","",INDEX(Legacy_Index!$G:$G,MATCH(A241,Legacy_Index!$A:$A,0)))</f>
        <v>TMS-LMR400</v>
      </c>
      <c r="H241" s="43">
        <f>IF(G241="","",EXP(FORECAST(LN(D241),INDEX(Attenuation!$K:$K,(INDEX(Cables!$AO:$AO,MATCH(G241,Cables!$A:$A,0))-1+MIN(MAX(IFERROR(MATCH(LN(D241),INDEX(Attenuation!$J:$J,INDEX(Cables!$AO:$AO,MATCH(G241,Cables!$A:$A,0))):INDEX(Attenuation!$J:$J,INDEX(Cables!$AO:$AO,MATCH(G241,Cables!$A:$A,0))+INDEX(Cables!$AP:$AP,MATCH(G241,Cables!$A:$A,0))-1),1),1),1),INDEX(Cables!$AP:$AP,MATCH(G241,Cables!$A:$A,0))-1))):INDEX(Attenuation!$K:$K,(INDEX(Cables!$AO:$AO,MATCH(G241,Cables!$A:$A,0))-1+MIN(MAX(IFERROR(MATCH(LN(D241),INDEX(Attenuation!$J:$J,INDEX(Cables!$AO:$AO,MATCH(G241,Cables!$A:$A,0))):INDEX(Attenuation!$J:$J,INDEX(Cables!$AO:$AO,MATCH(G241,Cables!$A:$A,0))+INDEX(Cables!$AP:$AP,MATCH(G241,Cables!$A:$A,0))-1),1),1),1),INDEX(Cables!$AP:$AP,MATCH(G241,Cables!$A:$A,0))-1))+1),INDEX(Attenuation!$J:$J,(INDEX(Cables!$AO:$AO,MATCH(G241,Cables!$A:$A,0))-1+MIN(MAX(IFERROR(MATCH(LN(D241),INDEX(Attenuation!$J:$J,INDEX(Cables!$AO:$AO,MATCH(G241,Cables!$A:$A,0))):INDEX(Attenuation!$J:$J,INDEX(Cables!$AO:$AO,MATCH(G241,Cables!$A:$A,0))+INDEX(Cables!$AP:$AP,MATCH(G241,Cables!$A:$A,0))-1),1),1),1),INDEX(Cables!$AP:$AP,MATCH(G241,Cables!$A:$A,0))-1))):INDEX(Attenuation!$J:$J,(INDEX(Cables!$AO:$AO,MATCH(G241,Cables!$A:$A,0))-1+MIN(MAX(IFERROR(MATCH(LN(D241),INDEX(Attenuation!$J:$J,INDEX(Cables!$AO:$AO,MATCH(G241,Cables!$A:$A,0))):INDEX(Attenuation!$J:$J,INDEX(Cables!$AO:$AO,MATCH(G241,Cables!$A:$A,0))+INDEX(Cables!$AP:$AP,MATCH(G241,Cables!$A:$A,0))-1),1),1),1),INDEX(Cables!$AP:$AP,MATCH(G241,Cables!$A:$A,0))-1))+1)))*0.3048)</f>
        <v>6.6460666820369099</v>
      </c>
      <c r="I241" s="43">
        <f>IF(G241="","",EXP(FORECAST(LN(E241),INDEX(Attenuation!$K:$K,(INDEX(Cables!$AO:$AO,MATCH(G241,Cables!$A:$A,0))-1+MIN(MAX(IFERROR(MATCH(LN(E241),INDEX(Attenuation!$J:$J,INDEX(Cables!$AO:$AO,MATCH(G241,Cables!$A:$A,0))):INDEX(Attenuation!$J:$J,INDEX(Cables!$AO:$AO,MATCH(G241,Cables!$A:$A,0))+INDEX(Cables!$AP:$AP,MATCH(G241,Cables!$A:$A,0))-1),1),1),1),INDEX(Cables!$AP:$AP,MATCH(G241,Cables!$A:$A,0))-1))):INDEX(Attenuation!$K:$K,(INDEX(Cables!$AO:$AO,MATCH(G241,Cables!$A:$A,0))-1+MIN(MAX(IFERROR(MATCH(LN(E241),INDEX(Attenuation!$J:$J,INDEX(Cables!$AO:$AO,MATCH(G241,Cables!$A:$A,0))):INDEX(Attenuation!$J:$J,INDEX(Cables!$AO:$AO,MATCH(G241,Cables!$A:$A,0))+INDEX(Cables!$AP:$AP,MATCH(G241,Cables!$A:$A,0))-1),1),1),1),INDEX(Cables!$AP:$AP,MATCH(G241,Cables!$A:$A,0))-1))+1),INDEX(Attenuation!$J:$J,(INDEX(Cables!$AO:$AO,MATCH(G241,Cables!$A:$A,0))-1+MIN(MAX(IFERROR(MATCH(LN(E241),INDEX(Attenuation!$J:$J,INDEX(Cables!$AO:$AO,MATCH(G241,Cables!$A:$A,0))):INDEX(Attenuation!$J:$J,INDEX(Cables!$AO:$AO,MATCH(G241,Cables!$A:$A,0))+INDEX(Cables!$AP:$AP,MATCH(G241,Cables!$A:$A,0))-1),1),1),1),INDEX(Cables!$AP:$AP,MATCH(G241,Cables!$A:$A,0))-1))):INDEX(Attenuation!$J:$J,(INDEX(Cables!$AO:$AO,MATCH(G241,Cables!$A:$A,0))-1+MIN(MAX(IFERROR(MATCH(LN(E241),INDEX(Attenuation!$J:$J,INDEX(Cables!$AO:$AO,MATCH(G241,Cables!$A:$A,0))):INDEX(Attenuation!$J:$J,INDEX(Cables!$AO:$AO,MATCH(G241,Cables!$A:$A,0))+INDEX(Cables!$AP:$AP,MATCH(G241,Cables!$A:$A,0))-1),1),1),1),INDEX(Cables!$AP:$AP,MATCH(G241,Cables!$A:$A,0))-1))+1)))*0.3048)</f>
        <v>6.8000000000000025</v>
      </c>
      <c r="J241" s="44">
        <f t="shared" si="3"/>
        <v>0</v>
      </c>
      <c r="K241" s="40" t="str">
        <f>IF(G241="","Doğrulanmadı",IF(ABS(J241)&lt;=0.1,"Uyumlu (±%10)",IF(ABS(J241)&lt;=0.25,"Fark %10-25","Fark &gt;%25"))&amp;IF(OR(D241&lt;INDEX(Cables!$AQ:$AQ,MATCH(G241,Cables!$A:$A,0)),E241&gt;INDEX(Cables!$AR:$AR,MATCH(G241,Cables!$A:$A,0)))," · ekstrapolasyon",""))</f>
        <v>Uyumlu (±%10)</v>
      </c>
    </row>
    <row r="242" spans="1:11" x14ac:dyDescent="0.25">
      <c r="A242" s="37" t="s">
        <v>3039</v>
      </c>
      <c r="B242" s="40" t="str">
        <f>INDEX(Legacy_Index!$D:$D,MATCH(A242,Legacy_Index!$A:$A,0))</f>
        <v>LMR400</v>
      </c>
      <c r="C242" s="37" t="s">
        <v>3122</v>
      </c>
      <c r="D242" s="37">
        <v>5725</v>
      </c>
      <c r="E242" s="37">
        <v>5875</v>
      </c>
      <c r="F242" s="37">
        <v>10.8</v>
      </c>
      <c r="G242" s="40" t="str">
        <f>IF(INDEX(Legacy_Index!$G:$G,MATCH(A242,Legacy_Index!$A:$A,0))="","",INDEX(Legacy_Index!$G:$G,MATCH(A242,Legacy_Index!$A:$A,0)))</f>
        <v>TMS-LMR400</v>
      </c>
      <c r="H242" s="43">
        <f>IF(G242="","",EXP(FORECAST(LN(D242),INDEX(Attenuation!$K:$K,(INDEX(Cables!$AO:$AO,MATCH(G242,Cables!$A:$A,0))-1+MIN(MAX(IFERROR(MATCH(LN(D242),INDEX(Attenuation!$J:$J,INDEX(Cables!$AO:$AO,MATCH(G242,Cables!$A:$A,0))):INDEX(Attenuation!$J:$J,INDEX(Cables!$AO:$AO,MATCH(G242,Cables!$A:$A,0))+INDEX(Cables!$AP:$AP,MATCH(G242,Cables!$A:$A,0))-1),1),1),1),INDEX(Cables!$AP:$AP,MATCH(G242,Cables!$A:$A,0))-1))):INDEX(Attenuation!$K:$K,(INDEX(Cables!$AO:$AO,MATCH(G242,Cables!$A:$A,0))-1+MIN(MAX(IFERROR(MATCH(LN(D242),INDEX(Attenuation!$J:$J,INDEX(Cables!$AO:$AO,MATCH(G242,Cables!$A:$A,0))):INDEX(Attenuation!$J:$J,INDEX(Cables!$AO:$AO,MATCH(G242,Cables!$A:$A,0))+INDEX(Cables!$AP:$AP,MATCH(G242,Cables!$A:$A,0))-1),1),1),1),INDEX(Cables!$AP:$AP,MATCH(G242,Cables!$A:$A,0))-1))+1),INDEX(Attenuation!$J:$J,(INDEX(Cables!$AO:$AO,MATCH(G242,Cables!$A:$A,0))-1+MIN(MAX(IFERROR(MATCH(LN(D242),INDEX(Attenuation!$J:$J,INDEX(Cables!$AO:$AO,MATCH(G242,Cables!$A:$A,0))):INDEX(Attenuation!$J:$J,INDEX(Cables!$AO:$AO,MATCH(G242,Cables!$A:$A,0))+INDEX(Cables!$AP:$AP,MATCH(G242,Cables!$A:$A,0))-1),1),1),1),INDEX(Cables!$AP:$AP,MATCH(G242,Cables!$A:$A,0))-1))):INDEX(Attenuation!$J:$J,(INDEX(Cables!$AO:$AO,MATCH(G242,Cables!$A:$A,0))-1+MIN(MAX(IFERROR(MATCH(LN(D242),INDEX(Attenuation!$J:$J,INDEX(Cables!$AO:$AO,MATCH(G242,Cables!$A:$A,0))):INDEX(Attenuation!$J:$J,INDEX(Cables!$AO:$AO,MATCH(G242,Cables!$A:$A,0))+INDEX(Cables!$AP:$AP,MATCH(G242,Cables!$A:$A,0))-1),1),1),1),INDEX(Cables!$AP:$AP,MATCH(G242,Cables!$A:$A,0))-1))+1)))*0.3048)</f>
        <v>10.723004309615199</v>
      </c>
      <c r="I242" s="43">
        <f>IF(G242="","",EXP(FORECAST(LN(E242),INDEX(Attenuation!$K:$K,(INDEX(Cables!$AO:$AO,MATCH(G242,Cables!$A:$A,0))-1+MIN(MAX(IFERROR(MATCH(LN(E242),INDEX(Attenuation!$J:$J,INDEX(Cables!$AO:$AO,MATCH(G242,Cables!$A:$A,0))):INDEX(Attenuation!$J:$J,INDEX(Cables!$AO:$AO,MATCH(G242,Cables!$A:$A,0))+INDEX(Cables!$AP:$AP,MATCH(G242,Cables!$A:$A,0))-1),1),1),1),INDEX(Cables!$AP:$AP,MATCH(G242,Cables!$A:$A,0))-1))):INDEX(Attenuation!$K:$K,(INDEX(Cables!$AO:$AO,MATCH(G242,Cables!$A:$A,0))-1+MIN(MAX(IFERROR(MATCH(LN(E242),INDEX(Attenuation!$J:$J,INDEX(Cables!$AO:$AO,MATCH(G242,Cables!$A:$A,0))):INDEX(Attenuation!$J:$J,INDEX(Cables!$AO:$AO,MATCH(G242,Cables!$A:$A,0))+INDEX(Cables!$AP:$AP,MATCH(G242,Cables!$A:$A,0))-1),1),1),1),INDEX(Cables!$AP:$AP,MATCH(G242,Cables!$A:$A,0))-1))+1),INDEX(Attenuation!$J:$J,(INDEX(Cables!$AO:$AO,MATCH(G242,Cables!$A:$A,0))-1+MIN(MAX(IFERROR(MATCH(LN(E242),INDEX(Attenuation!$J:$J,INDEX(Cables!$AO:$AO,MATCH(G242,Cables!$A:$A,0))):INDEX(Attenuation!$J:$J,INDEX(Cables!$AO:$AO,MATCH(G242,Cables!$A:$A,0))+INDEX(Cables!$AP:$AP,MATCH(G242,Cables!$A:$A,0))-1),1),1),1),INDEX(Cables!$AP:$AP,MATCH(G242,Cables!$A:$A,0))-1))):INDEX(Attenuation!$J:$J,(INDEX(Cables!$AO:$AO,MATCH(G242,Cables!$A:$A,0))-1+MIN(MAX(IFERROR(MATCH(LN(E242),INDEX(Attenuation!$J:$J,INDEX(Cables!$AO:$AO,MATCH(G242,Cables!$A:$A,0))):INDEX(Attenuation!$J:$J,INDEX(Cables!$AO:$AO,MATCH(G242,Cables!$A:$A,0))+INDEX(Cables!$AP:$AP,MATCH(G242,Cables!$A:$A,0))-1),1),1),1),INDEX(Cables!$AP:$AP,MATCH(G242,Cables!$A:$A,0))-1))+1)))*0.3048)</f>
        <v>10.876548660481673</v>
      </c>
      <c r="J242" s="44">
        <f t="shared" si="3"/>
        <v>0</v>
      </c>
      <c r="K242" s="40" t="str">
        <f>IF(G242="","Doğrulanmadı",IF(ABS(J242)&lt;=0.1,"Uyumlu (±%10)",IF(ABS(J242)&lt;=0.25,"Fark %10-25","Fark &gt;%25"))&amp;IF(OR(D242&lt;INDEX(Cables!$AQ:$AQ,MATCH(G242,Cables!$A:$A,0)),E242&gt;INDEX(Cables!$AR:$AR,MATCH(G242,Cables!$A:$A,0)))," · ekstrapolasyon",""))</f>
        <v>Uyumlu (±%10) · ekstrapolasyon</v>
      </c>
    </row>
    <row r="243" spans="1:11" x14ac:dyDescent="0.25">
      <c r="A243" s="37" t="s">
        <v>3041</v>
      </c>
      <c r="B243" s="40" t="str">
        <f>INDEX(Legacy_Index!$D:$D,MATCH(A243,Legacy_Index!$A:$A,0))</f>
        <v>1/4" HELIAX® (FSJ1-50A)</v>
      </c>
      <c r="C243" s="37" t="s">
        <v>3113</v>
      </c>
      <c r="D243" s="37">
        <v>70</v>
      </c>
      <c r="E243" s="37">
        <v>100</v>
      </c>
      <c r="F243" s="37">
        <v>1.1000000000000001</v>
      </c>
      <c r="G243" s="40" t="str">
        <f>IF(INDEX(Legacy_Index!$G:$G,MATCH(A243,Legacy_Index!$A:$A,0))="","",INDEX(Legacy_Index!$G:$G,MATCH(A243,Legacy_Index!$A:$A,0)))</f>
        <v>CS-FSJ1-50A</v>
      </c>
      <c r="H243" s="43">
        <f>IF(G243="","",EXP(FORECAST(LN(D243),INDEX(Attenuation!$K:$K,(INDEX(Cables!$AO:$AO,MATCH(G243,Cables!$A:$A,0))-1+MIN(MAX(IFERROR(MATCH(LN(D243),INDEX(Attenuation!$J:$J,INDEX(Cables!$AO:$AO,MATCH(G243,Cables!$A:$A,0))):INDEX(Attenuation!$J:$J,INDEX(Cables!$AO:$AO,MATCH(G243,Cables!$A:$A,0))+INDEX(Cables!$AP:$AP,MATCH(G243,Cables!$A:$A,0))-1),1),1),1),INDEX(Cables!$AP:$AP,MATCH(G243,Cables!$A:$A,0))-1))):INDEX(Attenuation!$K:$K,(INDEX(Cables!$AO:$AO,MATCH(G243,Cables!$A:$A,0))-1+MIN(MAX(IFERROR(MATCH(LN(D243),INDEX(Attenuation!$J:$J,INDEX(Cables!$AO:$AO,MATCH(G243,Cables!$A:$A,0))):INDEX(Attenuation!$J:$J,INDEX(Cables!$AO:$AO,MATCH(G243,Cables!$A:$A,0))+INDEX(Cables!$AP:$AP,MATCH(G243,Cables!$A:$A,0))-1),1),1),1),INDEX(Cables!$AP:$AP,MATCH(G243,Cables!$A:$A,0))-1))+1),INDEX(Attenuation!$J:$J,(INDEX(Cables!$AO:$AO,MATCH(G243,Cables!$A:$A,0))-1+MIN(MAX(IFERROR(MATCH(LN(D243),INDEX(Attenuation!$J:$J,INDEX(Cables!$AO:$AO,MATCH(G243,Cables!$A:$A,0))):INDEX(Attenuation!$J:$J,INDEX(Cables!$AO:$AO,MATCH(G243,Cables!$A:$A,0))+INDEX(Cables!$AP:$AP,MATCH(G243,Cables!$A:$A,0))-1),1),1),1),INDEX(Cables!$AP:$AP,MATCH(G243,Cables!$A:$A,0))-1))):INDEX(Attenuation!$J:$J,(INDEX(Cables!$AO:$AO,MATCH(G243,Cables!$A:$A,0))-1+MIN(MAX(IFERROR(MATCH(LN(D243),INDEX(Attenuation!$J:$J,INDEX(Cables!$AO:$AO,MATCH(G243,Cables!$A:$A,0))):INDEX(Attenuation!$J:$J,INDEX(Cables!$AO:$AO,MATCH(G243,Cables!$A:$A,0))+INDEX(Cables!$AP:$AP,MATCH(G243,Cables!$A:$A,0))-1),1),1),1),INDEX(Cables!$AP:$AP,MATCH(G243,Cables!$A:$A,0))-1))+1)))*0.3048)</f>
        <v>1.4963078588339591</v>
      </c>
      <c r="I243" s="43">
        <f>IF(G243="","",EXP(FORECAST(LN(E243),INDEX(Attenuation!$K:$K,(INDEX(Cables!$AO:$AO,MATCH(G243,Cables!$A:$A,0))-1+MIN(MAX(IFERROR(MATCH(LN(E243),INDEX(Attenuation!$J:$J,INDEX(Cables!$AO:$AO,MATCH(G243,Cables!$A:$A,0))):INDEX(Attenuation!$J:$J,INDEX(Cables!$AO:$AO,MATCH(G243,Cables!$A:$A,0))+INDEX(Cables!$AP:$AP,MATCH(G243,Cables!$A:$A,0))-1),1),1),1),INDEX(Cables!$AP:$AP,MATCH(G243,Cables!$A:$A,0))-1))):INDEX(Attenuation!$K:$K,(INDEX(Cables!$AO:$AO,MATCH(G243,Cables!$A:$A,0))-1+MIN(MAX(IFERROR(MATCH(LN(E243),INDEX(Attenuation!$J:$J,INDEX(Cables!$AO:$AO,MATCH(G243,Cables!$A:$A,0))):INDEX(Attenuation!$J:$J,INDEX(Cables!$AO:$AO,MATCH(G243,Cables!$A:$A,0))+INDEX(Cables!$AP:$AP,MATCH(G243,Cables!$A:$A,0))-1),1),1),1),INDEX(Cables!$AP:$AP,MATCH(G243,Cables!$A:$A,0))-1))+1),INDEX(Attenuation!$J:$J,(INDEX(Cables!$AO:$AO,MATCH(G243,Cables!$A:$A,0))-1+MIN(MAX(IFERROR(MATCH(LN(E243),INDEX(Attenuation!$J:$J,INDEX(Cables!$AO:$AO,MATCH(G243,Cables!$A:$A,0))):INDEX(Attenuation!$J:$J,INDEX(Cables!$AO:$AO,MATCH(G243,Cables!$A:$A,0))+INDEX(Cables!$AP:$AP,MATCH(G243,Cables!$A:$A,0))-1),1),1),1),INDEX(Cables!$AP:$AP,MATCH(G243,Cables!$A:$A,0))-1))):INDEX(Attenuation!$J:$J,(INDEX(Cables!$AO:$AO,MATCH(G243,Cables!$A:$A,0))-1+MIN(MAX(IFERROR(MATCH(LN(E243),INDEX(Attenuation!$J:$J,INDEX(Cables!$AO:$AO,MATCH(G243,Cables!$A:$A,0))):INDEX(Attenuation!$J:$J,INDEX(Cables!$AO:$AO,MATCH(G243,Cables!$A:$A,0))+INDEX(Cables!$AP:$AP,MATCH(G243,Cables!$A:$A,0))-1),1),1),1),INDEX(Cables!$AP:$AP,MATCH(G243,Cables!$A:$A,0))-1))+1)))*0.3048)</f>
        <v>1.7949672000000001</v>
      </c>
      <c r="J243" s="44">
        <f t="shared" si="3"/>
        <v>-0.26485716591958108</v>
      </c>
      <c r="K243" s="40" t="str">
        <f>IF(G243="","Doğrulanmadı",IF(ABS(J243)&lt;=0.1,"Uyumlu (±%10)",IF(ABS(J243)&lt;=0.25,"Fark %10-25","Fark &gt;%25"))&amp;IF(OR(D243&lt;INDEX(Cables!$AQ:$AQ,MATCH(G243,Cables!$A:$A,0)),E243&gt;INDEX(Cables!$AR:$AR,MATCH(G243,Cables!$A:$A,0)))," · ekstrapolasyon",""))</f>
        <v>Fark &gt;%25</v>
      </c>
    </row>
    <row r="244" spans="1:11" x14ac:dyDescent="0.25">
      <c r="A244" s="37" t="s">
        <v>3041</v>
      </c>
      <c r="B244" s="40" t="str">
        <f>INDEX(Legacy_Index!$D:$D,MATCH(A244,Legacy_Index!$A:$A,0))</f>
        <v>1/4" HELIAX® (FSJ1-50A)</v>
      </c>
      <c r="C244" s="37" t="s">
        <v>3114</v>
      </c>
      <c r="D244" s="37">
        <v>148</v>
      </c>
      <c r="E244" s="37">
        <v>174</v>
      </c>
      <c r="F244" s="37">
        <v>1.5</v>
      </c>
      <c r="G244" s="40" t="str">
        <f>IF(INDEX(Legacy_Index!$G:$G,MATCH(A244,Legacy_Index!$A:$A,0))="","",INDEX(Legacy_Index!$G:$G,MATCH(A244,Legacy_Index!$A:$A,0)))</f>
        <v>CS-FSJ1-50A</v>
      </c>
      <c r="H244" s="43">
        <f>IF(G244="","",EXP(FORECAST(LN(D244),INDEX(Attenuation!$K:$K,(INDEX(Cables!$AO:$AO,MATCH(G244,Cables!$A:$A,0))-1+MIN(MAX(IFERROR(MATCH(LN(D244),INDEX(Attenuation!$J:$J,INDEX(Cables!$AO:$AO,MATCH(G244,Cables!$A:$A,0))):INDEX(Attenuation!$J:$J,INDEX(Cables!$AO:$AO,MATCH(G244,Cables!$A:$A,0))+INDEX(Cables!$AP:$AP,MATCH(G244,Cables!$A:$A,0))-1),1),1),1),INDEX(Cables!$AP:$AP,MATCH(G244,Cables!$A:$A,0))-1))):INDEX(Attenuation!$K:$K,(INDEX(Cables!$AO:$AO,MATCH(G244,Cables!$A:$A,0))-1+MIN(MAX(IFERROR(MATCH(LN(D244),INDEX(Attenuation!$J:$J,INDEX(Cables!$AO:$AO,MATCH(G244,Cables!$A:$A,0))):INDEX(Attenuation!$J:$J,INDEX(Cables!$AO:$AO,MATCH(G244,Cables!$A:$A,0))+INDEX(Cables!$AP:$AP,MATCH(G244,Cables!$A:$A,0))-1),1),1),1),INDEX(Cables!$AP:$AP,MATCH(G244,Cables!$A:$A,0))-1))+1),INDEX(Attenuation!$J:$J,(INDEX(Cables!$AO:$AO,MATCH(G244,Cables!$A:$A,0))-1+MIN(MAX(IFERROR(MATCH(LN(D244),INDEX(Attenuation!$J:$J,INDEX(Cables!$AO:$AO,MATCH(G244,Cables!$A:$A,0))):INDEX(Attenuation!$J:$J,INDEX(Cables!$AO:$AO,MATCH(G244,Cables!$A:$A,0))+INDEX(Cables!$AP:$AP,MATCH(G244,Cables!$A:$A,0))-1),1),1),1),INDEX(Cables!$AP:$AP,MATCH(G244,Cables!$A:$A,0))-1))):INDEX(Attenuation!$J:$J,(INDEX(Cables!$AO:$AO,MATCH(G244,Cables!$A:$A,0))-1+MIN(MAX(IFERROR(MATCH(LN(D244),INDEX(Attenuation!$J:$J,INDEX(Cables!$AO:$AO,MATCH(G244,Cables!$A:$A,0))):INDEX(Attenuation!$J:$J,INDEX(Cables!$AO:$AO,MATCH(G244,Cables!$A:$A,0))+INDEX(Cables!$AP:$AP,MATCH(G244,Cables!$A:$A,0))-1),1),1),1),INDEX(Cables!$AP:$AP,MATCH(G244,Cables!$A:$A,0))-1))+1)))*0.3048)</f>
        <v>2.1946265886958094</v>
      </c>
      <c r="I244" s="43">
        <f>IF(G244="","",EXP(FORECAST(LN(E244),INDEX(Attenuation!$K:$K,(INDEX(Cables!$AO:$AO,MATCH(G244,Cables!$A:$A,0))-1+MIN(MAX(IFERROR(MATCH(LN(E244),INDEX(Attenuation!$J:$J,INDEX(Cables!$AO:$AO,MATCH(G244,Cables!$A:$A,0))):INDEX(Attenuation!$J:$J,INDEX(Cables!$AO:$AO,MATCH(G244,Cables!$A:$A,0))+INDEX(Cables!$AP:$AP,MATCH(G244,Cables!$A:$A,0))-1),1),1),1),INDEX(Cables!$AP:$AP,MATCH(G244,Cables!$A:$A,0))-1))):INDEX(Attenuation!$K:$K,(INDEX(Cables!$AO:$AO,MATCH(G244,Cables!$A:$A,0))-1+MIN(MAX(IFERROR(MATCH(LN(E244),INDEX(Attenuation!$J:$J,INDEX(Cables!$AO:$AO,MATCH(G244,Cables!$A:$A,0))):INDEX(Attenuation!$J:$J,INDEX(Cables!$AO:$AO,MATCH(G244,Cables!$A:$A,0))+INDEX(Cables!$AP:$AP,MATCH(G244,Cables!$A:$A,0))-1),1),1),1),INDEX(Cables!$AP:$AP,MATCH(G244,Cables!$A:$A,0))-1))+1),INDEX(Attenuation!$J:$J,(INDEX(Cables!$AO:$AO,MATCH(G244,Cables!$A:$A,0))-1+MIN(MAX(IFERROR(MATCH(LN(E244),INDEX(Attenuation!$J:$J,INDEX(Cables!$AO:$AO,MATCH(G244,Cables!$A:$A,0))):INDEX(Attenuation!$J:$J,INDEX(Cables!$AO:$AO,MATCH(G244,Cables!$A:$A,0))+INDEX(Cables!$AP:$AP,MATCH(G244,Cables!$A:$A,0))-1),1),1),1),INDEX(Cables!$AP:$AP,MATCH(G244,Cables!$A:$A,0))-1))):INDEX(Attenuation!$J:$J,(INDEX(Cables!$AO:$AO,MATCH(G244,Cables!$A:$A,0))-1+MIN(MAX(IFERROR(MATCH(LN(E244),INDEX(Attenuation!$J:$J,INDEX(Cables!$AO:$AO,MATCH(G244,Cables!$A:$A,0))):INDEX(Attenuation!$J:$J,INDEX(Cables!$AO:$AO,MATCH(G244,Cables!$A:$A,0))+INDEX(Cables!$AP:$AP,MATCH(G244,Cables!$A:$A,0))-1),1),1),1),INDEX(Cables!$AP:$AP,MATCH(G244,Cables!$A:$A,0))-1))+1)))*0.3048)</f>
        <v>2.3850599999999997</v>
      </c>
      <c r="J244" s="44">
        <f t="shared" si="3"/>
        <v>-0.31651242734127349</v>
      </c>
      <c r="K244" s="40" t="str">
        <f>IF(G244="","Doğrulanmadı",IF(ABS(J244)&lt;=0.1,"Uyumlu (±%10)",IF(ABS(J244)&lt;=0.25,"Fark %10-25","Fark &gt;%25"))&amp;IF(OR(D244&lt;INDEX(Cables!$AQ:$AQ,MATCH(G244,Cables!$A:$A,0)),E244&gt;INDEX(Cables!$AR:$AR,MATCH(G244,Cables!$A:$A,0)))," · ekstrapolasyon",""))</f>
        <v>Fark &gt;%25</v>
      </c>
    </row>
    <row r="245" spans="1:11" x14ac:dyDescent="0.25">
      <c r="A245" s="37" t="s">
        <v>3041</v>
      </c>
      <c r="B245" s="40" t="str">
        <f>INDEX(Legacy_Index!$D:$D,MATCH(A245,Legacy_Index!$A:$A,0))</f>
        <v>1/4" HELIAX® (FSJ1-50A)</v>
      </c>
      <c r="C245" s="37" t="s">
        <v>3115</v>
      </c>
      <c r="D245" s="37">
        <v>400</v>
      </c>
      <c r="E245" s="37">
        <v>520</v>
      </c>
      <c r="F245" s="37">
        <v>2.7</v>
      </c>
      <c r="G245" s="40" t="str">
        <f>IF(INDEX(Legacy_Index!$G:$G,MATCH(A245,Legacy_Index!$A:$A,0))="","",INDEX(Legacy_Index!$G:$G,MATCH(A245,Legacy_Index!$A:$A,0)))</f>
        <v>CS-FSJ1-50A</v>
      </c>
      <c r="H245" s="43">
        <f>IF(G245="","",EXP(FORECAST(LN(D245),INDEX(Attenuation!$K:$K,(INDEX(Cables!$AO:$AO,MATCH(G245,Cables!$A:$A,0))-1+MIN(MAX(IFERROR(MATCH(LN(D245),INDEX(Attenuation!$J:$J,INDEX(Cables!$AO:$AO,MATCH(G245,Cables!$A:$A,0))):INDEX(Attenuation!$J:$J,INDEX(Cables!$AO:$AO,MATCH(G245,Cables!$A:$A,0))+INDEX(Cables!$AP:$AP,MATCH(G245,Cables!$A:$A,0))-1),1),1),1),INDEX(Cables!$AP:$AP,MATCH(G245,Cables!$A:$A,0))-1))):INDEX(Attenuation!$K:$K,(INDEX(Cables!$AO:$AO,MATCH(G245,Cables!$A:$A,0))-1+MIN(MAX(IFERROR(MATCH(LN(D245),INDEX(Attenuation!$J:$J,INDEX(Cables!$AO:$AO,MATCH(G245,Cables!$A:$A,0))):INDEX(Attenuation!$J:$J,INDEX(Cables!$AO:$AO,MATCH(G245,Cables!$A:$A,0))+INDEX(Cables!$AP:$AP,MATCH(G245,Cables!$A:$A,0))-1),1),1),1),INDEX(Cables!$AP:$AP,MATCH(G245,Cables!$A:$A,0))-1))+1),INDEX(Attenuation!$J:$J,(INDEX(Cables!$AO:$AO,MATCH(G245,Cables!$A:$A,0))-1+MIN(MAX(IFERROR(MATCH(LN(D245),INDEX(Attenuation!$J:$J,INDEX(Cables!$AO:$AO,MATCH(G245,Cables!$A:$A,0))):INDEX(Attenuation!$J:$J,INDEX(Cables!$AO:$AO,MATCH(G245,Cables!$A:$A,0))+INDEX(Cables!$AP:$AP,MATCH(G245,Cables!$A:$A,0))-1),1),1),1),INDEX(Cables!$AP:$AP,MATCH(G245,Cables!$A:$A,0))-1))):INDEX(Attenuation!$J:$J,(INDEX(Cables!$AO:$AO,MATCH(G245,Cables!$A:$A,0))-1+MIN(MAX(IFERROR(MATCH(LN(D245),INDEX(Attenuation!$J:$J,INDEX(Cables!$AO:$AO,MATCH(G245,Cables!$A:$A,0))):INDEX(Attenuation!$J:$J,INDEX(Cables!$AO:$AO,MATCH(G245,Cables!$A:$A,0))+INDEX(Cables!$AP:$AP,MATCH(G245,Cables!$A:$A,0))-1),1),1),1),INDEX(Cables!$AP:$AP,MATCH(G245,Cables!$A:$A,0))-1))+1)))*0.3048)</f>
        <v>3.6731448000000002</v>
      </c>
      <c r="I245" s="43">
        <f>IF(G245="","",EXP(FORECAST(LN(E245),INDEX(Attenuation!$K:$K,(INDEX(Cables!$AO:$AO,MATCH(G245,Cables!$A:$A,0))-1+MIN(MAX(IFERROR(MATCH(LN(E245),INDEX(Attenuation!$J:$J,INDEX(Cables!$AO:$AO,MATCH(G245,Cables!$A:$A,0))):INDEX(Attenuation!$J:$J,INDEX(Cables!$AO:$AO,MATCH(G245,Cables!$A:$A,0))+INDEX(Cables!$AP:$AP,MATCH(G245,Cables!$A:$A,0))-1),1),1),1),INDEX(Cables!$AP:$AP,MATCH(G245,Cables!$A:$A,0))-1))):INDEX(Attenuation!$K:$K,(INDEX(Cables!$AO:$AO,MATCH(G245,Cables!$A:$A,0))-1+MIN(MAX(IFERROR(MATCH(LN(E245),INDEX(Attenuation!$J:$J,INDEX(Cables!$AO:$AO,MATCH(G245,Cables!$A:$A,0))):INDEX(Attenuation!$J:$J,INDEX(Cables!$AO:$AO,MATCH(G245,Cables!$A:$A,0))+INDEX(Cables!$AP:$AP,MATCH(G245,Cables!$A:$A,0))-1),1),1),1),INDEX(Cables!$AP:$AP,MATCH(G245,Cables!$A:$A,0))-1))+1),INDEX(Attenuation!$J:$J,(INDEX(Cables!$AO:$AO,MATCH(G245,Cables!$A:$A,0))-1+MIN(MAX(IFERROR(MATCH(LN(E245),INDEX(Attenuation!$J:$J,INDEX(Cables!$AO:$AO,MATCH(G245,Cables!$A:$A,0))):INDEX(Attenuation!$J:$J,INDEX(Cables!$AO:$AO,MATCH(G245,Cables!$A:$A,0))+INDEX(Cables!$AP:$AP,MATCH(G245,Cables!$A:$A,0))-1),1),1),1),INDEX(Cables!$AP:$AP,MATCH(G245,Cables!$A:$A,0))-1))):INDEX(Attenuation!$J:$J,(INDEX(Cables!$AO:$AO,MATCH(G245,Cables!$A:$A,0))-1+MIN(MAX(IFERROR(MATCH(LN(E245),INDEX(Attenuation!$J:$J,INDEX(Cables!$AO:$AO,MATCH(G245,Cables!$A:$A,0))):INDEX(Attenuation!$J:$J,INDEX(Cables!$AO:$AO,MATCH(G245,Cables!$A:$A,0))+INDEX(Cables!$AP:$AP,MATCH(G245,Cables!$A:$A,0))-1),1),1),1),INDEX(Cables!$AP:$AP,MATCH(G245,Cables!$A:$A,0))-1))+1)))*0.3048)</f>
        <v>4.2145829009655467</v>
      </c>
      <c r="J245" s="44">
        <f t="shared" si="3"/>
        <v>-0.26493504966098802</v>
      </c>
      <c r="K245" s="40" t="str">
        <f>IF(G245="","Doğrulanmadı",IF(ABS(J245)&lt;=0.1,"Uyumlu (±%10)",IF(ABS(J245)&lt;=0.25,"Fark %10-25","Fark &gt;%25"))&amp;IF(OR(D245&lt;INDEX(Cables!$AQ:$AQ,MATCH(G245,Cables!$A:$A,0)),E245&gt;INDEX(Cables!$AR:$AR,MATCH(G245,Cables!$A:$A,0)))," · ekstrapolasyon",""))</f>
        <v>Fark &gt;%25</v>
      </c>
    </row>
    <row r="246" spans="1:11" x14ac:dyDescent="0.25">
      <c r="A246" s="37" t="s">
        <v>3041</v>
      </c>
      <c r="B246" s="40" t="str">
        <f>INDEX(Legacy_Index!$D:$D,MATCH(A246,Legacy_Index!$A:$A,0))</f>
        <v>1/4" HELIAX® (FSJ1-50A)</v>
      </c>
      <c r="C246" s="37" t="s">
        <v>3116</v>
      </c>
      <c r="D246" s="37">
        <v>700</v>
      </c>
      <c r="E246" s="37">
        <v>960</v>
      </c>
      <c r="F246" s="37">
        <v>3.6</v>
      </c>
      <c r="G246" s="40" t="str">
        <f>IF(INDEX(Legacy_Index!$G:$G,MATCH(A246,Legacy_Index!$A:$A,0))="","",INDEX(Legacy_Index!$G:$G,MATCH(A246,Legacy_Index!$A:$A,0)))</f>
        <v>CS-FSJ1-50A</v>
      </c>
      <c r="H246" s="43">
        <f>IF(G246="","",EXP(FORECAST(LN(D246),INDEX(Attenuation!$K:$K,(INDEX(Cables!$AO:$AO,MATCH(G246,Cables!$A:$A,0))-1+MIN(MAX(IFERROR(MATCH(LN(D246),INDEX(Attenuation!$J:$J,INDEX(Cables!$AO:$AO,MATCH(G246,Cables!$A:$A,0))):INDEX(Attenuation!$J:$J,INDEX(Cables!$AO:$AO,MATCH(G246,Cables!$A:$A,0))+INDEX(Cables!$AP:$AP,MATCH(G246,Cables!$A:$A,0))-1),1),1),1),INDEX(Cables!$AP:$AP,MATCH(G246,Cables!$A:$A,0))-1))):INDEX(Attenuation!$K:$K,(INDEX(Cables!$AO:$AO,MATCH(G246,Cables!$A:$A,0))-1+MIN(MAX(IFERROR(MATCH(LN(D246),INDEX(Attenuation!$J:$J,INDEX(Cables!$AO:$AO,MATCH(G246,Cables!$A:$A,0))):INDEX(Attenuation!$J:$J,INDEX(Cables!$AO:$AO,MATCH(G246,Cables!$A:$A,0))+INDEX(Cables!$AP:$AP,MATCH(G246,Cables!$A:$A,0))-1),1),1),1),INDEX(Cables!$AP:$AP,MATCH(G246,Cables!$A:$A,0))-1))+1),INDEX(Attenuation!$J:$J,(INDEX(Cables!$AO:$AO,MATCH(G246,Cables!$A:$A,0))-1+MIN(MAX(IFERROR(MATCH(LN(D246),INDEX(Attenuation!$J:$J,INDEX(Cables!$AO:$AO,MATCH(G246,Cables!$A:$A,0))):INDEX(Attenuation!$J:$J,INDEX(Cables!$AO:$AO,MATCH(G246,Cables!$A:$A,0))+INDEX(Cables!$AP:$AP,MATCH(G246,Cables!$A:$A,0))-1),1),1),1),INDEX(Cables!$AP:$AP,MATCH(G246,Cables!$A:$A,0))-1))):INDEX(Attenuation!$J:$J,(INDEX(Cables!$AO:$AO,MATCH(G246,Cables!$A:$A,0))-1+MIN(MAX(IFERROR(MATCH(LN(D246),INDEX(Attenuation!$J:$J,INDEX(Cables!$AO:$AO,MATCH(G246,Cables!$A:$A,0))):INDEX(Attenuation!$J:$J,INDEX(Cables!$AO:$AO,MATCH(G246,Cables!$A:$A,0))+INDEX(Cables!$AP:$AP,MATCH(G246,Cables!$A:$A,0))-1),1),1),1),INDEX(Cables!$AP:$AP,MATCH(G246,Cables!$A:$A,0))-1))+1)))*0.3048)</f>
        <v>4.9301400000000006</v>
      </c>
      <c r="I246" s="43">
        <f>IF(G246="","",EXP(FORECAST(LN(E246),INDEX(Attenuation!$K:$K,(INDEX(Cables!$AO:$AO,MATCH(G246,Cables!$A:$A,0))-1+MIN(MAX(IFERROR(MATCH(LN(E246),INDEX(Attenuation!$J:$J,INDEX(Cables!$AO:$AO,MATCH(G246,Cables!$A:$A,0))):INDEX(Attenuation!$J:$J,INDEX(Cables!$AO:$AO,MATCH(G246,Cables!$A:$A,0))+INDEX(Cables!$AP:$AP,MATCH(G246,Cables!$A:$A,0))-1),1),1),1),INDEX(Cables!$AP:$AP,MATCH(G246,Cables!$A:$A,0))-1))):INDEX(Attenuation!$K:$K,(INDEX(Cables!$AO:$AO,MATCH(G246,Cables!$A:$A,0))-1+MIN(MAX(IFERROR(MATCH(LN(E246),INDEX(Attenuation!$J:$J,INDEX(Cables!$AO:$AO,MATCH(G246,Cables!$A:$A,0))):INDEX(Attenuation!$J:$J,INDEX(Cables!$AO:$AO,MATCH(G246,Cables!$A:$A,0))+INDEX(Cables!$AP:$AP,MATCH(G246,Cables!$A:$A,0))-1),1),1),1),INDEX(Cables!$AP:$AP,MATCH(G246,Cables!$A:$A,0))-1))+1),INDEX(Attenuation!$J:$J,(INDEX(Cables!$AO:$AO,MATCH(G246,Cables!$A:$A,0))-1+MIN(MAX(IFERROR(MATCH(LN(E246),INDEX(Attenuation!$J:$J,INDEX(Cables!$AO:$AO,MATCH(G246,Cables!$A:$A,0))):INDEX(Attenuation!$J:$J,INDEX(Cables!$AO:$AO,MATCH(G246,Cables!$A:$A,0))+INDEX(Cables!$AP:$AP,MATCH(G246,Cables!$A:$A,0))-1),1),1),1),INDEX(Cables!$AP:$AP,MATCH(G246,Cables!$A:$A,0))-1))):INDEX(Attenuation!$J:$J,(INDEX(Cables!$AO:$AO,MATCH(G246,Cables!$A:$A,0))-1+MIN(MAX(IFERROR(MATCH(LN(E246),INDEX(Attenuation!$J:$J,INDEX(Cables!$AO:$AO,MATCH(G246,Cables!$A:$A,0))):INDEX(Attenuation!$J:$J,INDEX(Cables!$AO:$AO,MATCH(G246,Cables!$A:$A,0))+INDEX(Cables!$AP:$AP,MATCH(G246,Cables!$A:$A,0))-1),1),1),1),INDEX(Cables!$AP:$AP,MATCH(G246,Cables!$A:$A,0))-1))+1)))*0.3048)</f>
        <v>5.8320431999999975</v>
      </c>
      <c r="J246" s="44">
        <f t="shared" si="3"/>
        <v>-0.2697976122381921</v>
      </c>
      <c r="K246" s="40" t="str">
        <f>IF(G246="","Doğrulanmadı",IF(ABS(J246)&lt;=0.1,"Uyumlu (±%10)",IF(ABS(J246)&lt;=0.25,"Fark %10-25","Fark &gt;%25"))&amp;IF(OR(D246&lt;INDEX(Cables!$AQ:$AQ,MATCH(G246,Cables!$A:$A,0)),E246&gt;INDEX(Cables!$AR:$AR,MATCH(G246,Cables!$A:$A,0)))," · ekstrapolasyon",""))</f>
        <v>Fark &gt;%25</v>
      </c>
    </row>
    <row r="247" spans="1:11" x14ac:dyDescent="0.25">
      <c r="A247" s="37" t="s">
        <v>3041</v>
      </c>
      <c r="B247" s="40" t="str">
        <f>INDEX(Legacy_Index!$D:$D,MATCH(A247,Legacy_Index!$A:$A,0))</f>
        <v>1/4" HELIAX® (FSJ1-50A)</v>
      </c>
      <c r="C247" s="37" t="s">
        <v>3121</v>
      </c>
      <c r="D247" s="37">
        <v>2400</v>
      </c>
      <c r="E247" s="37">
        <v>2500</v>
      </c>
      <c r="F247" s="37">
        <v>5.8</v>
      </c>
      <c r="G247" s="40" t="str">
        <f>IF(INDEX(Legacy_Index!$G:$G,MATCH(A247,Legacy_Index!$A:$A,0))="","",INDEX(Legacy_Index!$G:$G,MATCH(A247,Legacy_Index!$A:$A,0)))</f>
        <v>CS-FSJ1-50A</v>
      </c>
      <c r="H247" s="43">
        <f>IF(G247="","",EXP(FORECAST(LN(D247),INDEX(Attenuation!$K:$K,(INDEX(Cables!$AO:$AO,MATCH(G247,Cables!$A:$A,0))-1+MIN(MAX(IFERROR(MATCH(LN(D247),INDEX(Attenuation!$J:$J,INDEX(Cables!$AO:$AO,MATCH(G247,Cables!$A:$A,0))):INDEX(Attenuation!$J:$J,INDEX(Cables!$AO:$AO,MATCH(G247,Cables!$A:$A,0))+INDEX(Cables!$AP:$AP,MATCH(G247,Cables!$A:$A,0))-1),1),1),1),INDEX(Cables!$AP:$AP,MATCH(G247,Cables!$A:$A,0))-1))):INDEX(Attenuation!$K:$K,(INDEX(Cables!$AO:$AO,MATCH(G247,Cables!$A:$A,0))-1+MIN(MAX(IFERROR(MATCH(LN(D247),INDEX(Attenuation!$J:$J,INDEX(Cables!$AO:$AO,MATCH(G247,Cables!$A:$A,0))):INDEX(Attenuation!$J:$J,INDEX(Cables!$AO:$AO,MATCH(G247,Cables!$A:$A,0))+INDEX(Cables!$AP:$AP,MATCH(G247,Cables!$A:$A,0))-1),1),1),1),INDEX(Cables!$AP:$AP,MATCH(G247,Cables!$A:$A,0))-1))+1),INDEX(Attenuation!$J:$J,(INDEX(Cables!$AO:$AO,MATCH(G247,Cables!$A:$A,0))-1+MIN(MAX(IFERROR(MATCH(LN(D247),INDEX(Attenuation!$J:$J,INDEX(Cables!$AO:$AO,MATCH(G247,Cables!$A:$A,0))):INDEX(Attenuation!$J:$J,INDEX(Cables!$AO:$AO,MATCH(G247,Cables!$A:$A,0))+INDEX(Cables!$AP:$AP,MATCH(G247,Cables!$A:$A,0))-1),1),1),1),INDEX(Cables!$AP:$AP,MATCH(G247,Cables!$A:$A,0))-1))):INDEX(Attenuation!$J:$J,(INDEX(Cables!$AO:$AO,MATCH(G247,Cables!$A:$A,0))-1+MIN(MAX(IFERROR(MATCH(LN(D247),INDEX(Attenuation!$J:$J,INDEX(Cables!$AO:$AO,MATCH(G247,Cables!$A:$A,0))):INDEX(Attenuation!$J:$J,INDEX(Cables!$AO:$AO,MATCH(G247,Cables!$A:$A,0))+INDEX(Cables!$AP:$AP,MATCH(G247,Cables!$A:$A,0))-1),1),1),1),INDEX(Cables!$AP:$AP,MATCH(G247,Cables!$A:$A,0))-1))+1)))*0.3048)</f>
        <v>9.5881718183668827</v>
      </c>
      <c r="I247" s="43">
        <f>IF(G247="","",EXP(FORECAST(LN(E247),INDEX(Attenuation!$K:$K,(INDEX(Cables!$AO:$AO,MATCH(G247,Cables!$A:$A,0))-1+MIN(MAX(IFERROR(MATCH(LN(E247),INDEX(Attenuation!$J:$J,INDEX(Cables!$AO:$AO,MATCH(G247,Cables!$A:$A,0))):INDEX(Attenuation!$J:$J,INDEX(Cables!$AO:$AO,MATCH(G247,Cables!$A:$A,0))+INDEX(Cables!$AP:$AP,MATCH(G247,Cables!$A:$A,0))-1),1),1),1),INDEX(Cables!$AP:$AP,MATCH(G247,Cables!$A:$A,0))-1))):INDEX(Attenuation!$K:$K,(INDEX(Cables!$AO:$AO,MATCH(G247,Cables!$A:$A,0))-1+MIN(MAX(IFERROR(MATCH(LN(E247),INDEX(Attenuation!$J:$J,INDEX(Cables!$AO:$AO,MATCH(G247,Cables!$A:$A,0))):INDEX(Attenuation!$J:$J,INDEX(Cables!$AO:$AO,MATCH(G247,Cables!$A:$A,0))+INDEX(Cables!$AP:$AP,MATCH(G247,Cables!$A:$A,0))-1),1),1),1),INDEX(Cables!$AP:$AP,MATCH(G247,Cables!$A:$A,0))-1))+1),INDEX(Attenuation!$J:$J,(INDEX(Cables!$AO:$AO,MATCH(G247,Cables!$A:$A,0))-1+MIN(MAX(IFERROR(MATCH(LN(E247),INDEX(Attenuation!$J:$J,INDEX(Cables!$AO:$AO,MATCH(G247,Cables!$A:$A,0))):INDEX(Attenuation!$J:$J,INDEX(Cables!$AO:$AO,MATCH(G247,Cables!$A:$A,0))+INDEX(Cables!$AP:$AP,MATCH(G247,Cables!$A:$A,0))-1),1),1),1),INDEX(Cables!$AP:$AP,MATCH(G247,Cables!$A:$A,0))-1))):INDEX(Attenuation!$J:$J,(INDEX(Cables!$AO:$AO,MATCH(G247,Cables!$A:$A,0))-1+MIN(MAX(IFERROR(MATCH(LN(E247),INDEX(Attenuation!$J:$J,INDEX(Cables!$AO:$AO,MATCH(G247,Cables!$A:$A,0))):INDEX(Attenuation!$J:$J,INDEX(Cables!$AO:$AO,MATCH(G247,Cables!$A:$A,0))+INDEX(Cables!$AP:$AP,MATCH(G247,Cables!$A:$A,0))-1),1),1),1),INDEX(Cables!$AP:$AP,MATCH(G247,Cables!$A:$A,0))-1))+1)))*0.3048)</f>
        <v>9.8066351999999988</v>
      </c>
      <c r="J247" s="44">
        <f t="shared" si="3"/>
        <v>-0.39508801991953746</v>
      </c>
      <c r="K247" s="40" t="str">
        <f>IF(G247="","Doğrulanmadı",IF(ABS(J247)&lt;=0.1,"Uyumlu (±%10)",IF(ABS(J247)&lt;=0.25,"Fark %10-25","Fark &gt;%25"))&amp;IF(OR(D247&lt;INDEX(Cables!$AQ:$AQ,MATCH(G247,Cables!$A:$A,0)),E247&gt;INDEX(Cables!$AR:$AR,MATCH(G247,Cables!$A:$A,0)))," · ekstrapolasyon",""))</f>
        <v>Fark &gt;%25</v>
      </c>
    </row>
    <row r="248" spans="1:11" x14ac:dyDescent="0.25">
      <c r="A248" s="37" t="s">
        <v>3041</v>
      </c>
      <c r="B248" s="40" t="str">
        <f>INDEX(Legacy_Index!$D:$D,MATCH(A248,Legacy_Index!$A:$A,0))</f>
        <v>1/4" HELIAX® (FSJ1-50A)</v>
      </c>
      <c r="C248" s="37" t="s">
        <v>3122</v>
      </c>
      <c r="D248" s="37">
        <v>5725</v>
      </c>
      <c r="E248" s="37">
        <v>5875</v>
      </c>
      <c r="F248" s="37">
        <v>11.2</v>
      </c>
      <c r="G248" s="40" t="str">
        <f>IF(INDEX(Legacy_Index!$G:$G,MATCH(A248,Legacy_Index!$A:$A,0))="","",INDEX(Legacy_Index!$G:$G,MATCH(A248,Legacy_Index!$A:$A,0)))</f>
        <v>CS-FSJ1-50A</v>
      </c>
      <c r="H248" s="43">
        <f>IF(G248="","",EXP(FORECAST(LN(D248),INDEX(Attenuation!$K:$K,(INDEX(Cables!$AO:$AO,MATCH(G248,Cables!$A:$A,0))-1+MIN(MAX(IFERROR(MATCH(LN(D248),INDEX(Attenuation!$J:$J,INDEX(Cables!$AO:$AO,MATCH(G248,Cables!$A:$A,0))):INDEX(Attenuation!$J:$J,INDEX(Cables!$AO:$AO,MATCH(G248,Cables!$A:$A,0))+INDEX(Cables!$AP:$AP,MATCH(G248,Cables!$A:$A,0))-1),1),1),1),INDEX(Cables!$AP:$AP,MATCH(G248,Cables!$A:$A,0))-1))):INDEX(Attenuation!$K:$K,(INDEX(Cables!$AO:$AO,MATCH(G248,Cables!$A:$A,0))-1+MIN(MAX(IFERROR(MATCH(LN(D248),INDEX(Attenuation!$J:$J,INDEX(Cables!$AO:$AO,MATCH(G248,Cables!$A:$A,0))):INDEX(Attenuation!$J:$J,INDEX(Cables!$AO:$AO,MATCH(G248,Cables!$A:$A,0))+INDEX(Cables!$AP:$AP,MATCH(G248,Cables!$A:$A,0))-1),1),1),1),INDEX(Cables!$AP:$AP,MATCH(G248,Cables!$A:$A,0))-1))+1),INDEX(Attenuation!$J:$J,(INDEX(Cables!$AO:$AO,MATCH(G248,Cables!$A:$A,0))-1+MIN(MAX(IFERROR(MATCH(LN(D248),INDEX(Attenuation!$J:$J,INDEX(Cables!$AO:$AO,MATCH(G248,Cables!$A:$A,0))):INDEX(Attenuation!$J:$J,INDEX(Cables!$AO:$AO,MATCH(G248,Cables!$A:$A,0))+INDEX(Cables!$AP:$AP,MATCH(G248,Cables!$A:$A,0))-1),1),1),1),INDEX(Cables!$AP:$AP,MATCH(G248,Cables!$A:$A,0))-1))):INDEX(Attenuation!$J:$J,(INDEX(Cables!$AO:$AO,MATCH(G248,Cables!$A:$A,0))-1+MIN(MAX(IFERROR(MATCH(LN(D248),INDEX(Attenuation!$J:$J,INDEX(Cables!$AO:$AO,MATCH(G248,Cables!$A:$A,0))):INDEX(Attenuation!$J:$J,INDEX(Cables!$AO:$AO,MATCH(G248,Cables!$A:$A,0))+INDEX(Cables!$AP:$AP,MATCH(G248,Cables!$A:$A,0))-1),1),1),1),INDEX(Cables!$AP:$AP,MATCH(G248,Cables!$A:$A,0))-1))+1)))*0.3048)</f>
        <v>15.649595414749561</v>
      </c>
      <c r="I248" s="43">
        <f>IF(G248="","",EXP(FORECAST(LN(E248),INDEX(Attenuation!$K:$K,(INDEX(Cables!$AO:$AO,MATCH(G248,Cables!$A:$A,0))-1+MIN(MAX(IFERROR(MATCH(LN(E248),INDEX(Attenuation!$J:$J,INDEX(Cables!$AO:$AO,MATCH(G248,Cables!$A:$A,0))):INDEX(Attenuation!$J:$J,INDEX(Cables!$AO:$AO,MATCH(G248,Cables!$A:$A,0))+INDEX(Cables!$AP:$AP,MATCH(G248,Cables!$A:$A,0))-1),1),1),1),INDEX(Cables!$AP:$AP,MATCH(G248,Cables!$A:$A,0))-1))):INDEX(Attenuation!$K:$K,(INDEX(Cables!$AO:$AO,MATCH(G248,Cables!$A:$A,0))-1+MIN(MAX(IFERROR(MATCH(LN(E248),INDEX(Attenuation!$J:$J,INDEX(Cables!$AO:$AO,MATCH(G248,Cables!$A:$A,0))):INDEX(Attenuation!$J:$J,INDEX(Cables!$AO:$AO,MATCH(G248,Cables!$A:$A,0))+INDEX(Cables!$AP:$AP,MATCH(G248,Cables!$A:$A,0))-1),1),1),1),INDEX(Cables!$AP:$AP,MATCH(G248,Cables!$A:$A,0))-1))+1),INDEX(Attenuation!$J:$J,(INDEX(Cables!$AO:$AO,MATCH(G248,Cables!$A:$A,0))-1+MIN(MAX(IFERROR(MATCH(LN(E248),INDEX(Attenuation!$J:$J,INDEX(Cables!$AO:$AO,MATCH(G248,Cables!$A:$A,0))):INDEX(Attenuation!$J:$J,INDEX(Cables!$AO:$AO,MATCH(G248,Cables!$A:$A,0))+INDEX(Cables!$AP:$AP,MATCH(G248,Cables!$A:$A,0))-1),1),1),1),INDEX(Cables!$AP:$AP,MATCH(G248,Cables!$A:$A,0))-1))):INDEX(Attenuation!$J:$J,(INDEX(Cables!$AO:$AO,MATCH(G248,Cables!$A:$A,0))-1+MIN(MAX(IFERROR(MATCH(LN(E248),INDEX(Attenuation!$J:$J,INDEX(Cables!$AO:$AO,MATCH(G248,Cables!$A:$A,0))):INDEX(Attenuation!$J:$J,INDEX(Cables!$AO:$AO,MATCH(G248,Cables!$A:$A,0))+INDEX(Cables!$AP:$AP,MATCH(G248,Cables!$A:$A,0))-1),1),1),1),INDEX(Cables!$AP:$AP,MATCH(G248,Cables!$A:$A,0))-1))+1)))*0.3048)</f>
        <v>15.883937793486737</v>
      </c>
      <c r="J248" s="44">
        <f t="shared" si="3"/>
        <v>-0.28432654626686837</v>
      </c>
      <c r="K248" s="40" t="str">
        <f>IF(G248="","Doğrulanmadı",IF(ABS(J248)&lt;=0.1,"Uyumlu (±%10)",IF(ABS(J248)&lt;=0.25,"Fark %10-25","Fark &gt;%25"))&amp;IF(OR(D248&lt;INDEX(Cables!$AQ:$AQ,MATCH(G248,Cables!$A:$A,0)),E248&gt;INDEX(Cables!$AR:$AR,MATCH(G248,Cables!$A:$A,0)))," · ekstrapolasyon",""))</f>
        <v>Fark &gt;%25</v>
      </c>
    </row>
    <row r="249" spans="1:11" x14ac:dyDescent="0.25">
      <c r="A249" s="37" t="s">
        <v>3044</v>
      </c>
      <c r="B249" s="40" t="str">
        <f>INDEX(Legacy_Index!$D:$D,MATCH(A249,Legacy_Index!$A:$A,0))</f>
        <v>HYPERFLEX 10™ Messi and Paoloni</v>
      </c>
      <c r="C249" s="37" t="s">
        <v>3117</v>
      </c>
      <c r="D249" s="37">
        <v>1</v>
      </c>
      <c r="E249" s="37">
        <v>10</v>
      </c>
      <c r="F249" s="37">
        <v>0.3</v>
      </c>
      <c r="G249" s="40" t="str">
        <f>IF(INDEX(Legacy_Index!$G:$G,MATCH(A249,Legacy_Index!$A:$A,0))="","",INDEX(Legacy_Index!$G:$G,MATCH(A249,Legacy_Index!$A:$A,0)))</f>
        <v>MP-HYPERFLEX10</v>
      </c>
      <c r="H249" s="43">
        <f>IF(G249="","",EXP(FORECAST(LN(D249),INDEX(Attenuation!$K:$K,(INDEX(Cables!$AO:$AO,MATCH(G249,Cables!$A:$A,0))-1+MIN(MAX(IFERROR(MATCH(LN(D249),INDEX(Attenuation!$J:$J,INDEX(Cables!$AO:$AO,MATCH(G249,Cables!$A:$A,0))):INDEX(Attenuation!$J:$J,INDEX(Cables!$AO:$AO,MATCH(G249,Cables!$A:$A,0))+INDEX(Cables!$AP:$AP,MATCH(G249,Cables!$A:$A,0))-1),1),1),1),INDEX(Cables!$AP:$AP,MATCH(G249,Cables!$A:$A,0))-1))):INDEX(Attenuation!$K:$K,(INDEX(Cables!$AO:$AO,MATCH(G249,Cables!$A:$A,0))-1+MIN(MAX(IFERROR(MATCH(LN(D249),INDEX(Attenuation!$J:$J,INDEX(Cables!$AO:$AO,MATCH(G249,Cables!$A:$A,0))):INDEX(Attenuation!$J:$J,INDEX(Cables!$AO:$AO,MATCH(G249,Cables!$A:$A,0))+INDEX(Cables!$AP:$AP,MATCH(G249,Cables!$A:$A,0))-1),1),1),1),INDEX(Cables!$AP:$AP,MATCH(G249,Cables!$A:$A,0))-1))+1),INDEX(Attenuation!$J:$J,(INDEX(Cables!$AO:$AO,MATCH(G249,Cables!$A:$A,0))-1+MIN(MAX(IFERROR(MATCH(LN(D249),INDEX(Attenuation!$J:$J,INDEX(Cables!$AO:$AO,MATCH(G249,Cables!$A:$A,0))):INDEX(Attenuation!$J:$J,INDEX(Cables!$AO:$AO,MATCH(G249,Cables!$A:$A,0))+INDEX(Cables!$AP:$AP,MATCH(G249,Cables!$A:$A,0))-1),1),1),1),INDEX(Cables!$AP:$AP,MATCH(G249,Cables!$A:$A,0))-1))):INDEX(Attenuation!$J:$J,(INDEX(Cables!$AO:$AO,MATCH(G249,Cables!$A:$A,0))-1+MIN(MAX(IFERROR(MATCH(LN(D249),INDEX(Attenuation!$J:$J,INDEX(Cables!$AO:$AO,MATCH(G249,Cables!$A:$A,0))):INDEX(Attenuation!$J:$J,INDEX(Cables!$AO:$AO,MATCH(G249,Cables!$A:$A,0))+INDEX(Cables!$AP:$AP,MATCH(G249,Cables!$A:$A,0))-1),1),1),1),INDEX(Cables!$AP:$AP,MATCH(G249,Cables!$A:$A,0))-1))+1)))*0.3048)</f>
        <v>0.20019080817206544</v>
      </c>
      <c r="I249" s="43">
        <f>IF(G249="","",EXP(FORECAST(LN(E249),INDEX(Attenuation!$K:$K,(INDEX(Cables!$AO:$AO,MATCH(G249,Cables!$A:$A,0))-1+MIN(MAX(IFERROR(MATCH(LN(E249),INDEX(Attenuation!$J:$J,INDEX(Cables!$AO:$AO,MATCH(G249,Cables!$A:$A,0))):INDEX(Attenuation!$J:$J,INDEX(Cables!$AO:$AO,MATCH(G249,Cables!$A:$A,0))+INDEX(Cables!$AP:$AP,MATCH(G249,Cables!$A:$A,0))-1),1),1),1),INDEX(Cables!$AP:$AP,MATCH(G249,Cables!$A:$A,0))-1))):INDEX(Attenuation!$K:$K,(INDEX(Cables!$AO:$AO,MATCH(G249,Cables!$A:$A,0))-1+MIN(MAX(IFERROR(MATCH(LN(E249),INDEX(Attenuation!$J:$J,INDEX(Cables!$AO:$AO,MATCH(G249,Cables!$A:$A,0))):INDEX(Attenuation!$J:$J,INDEX(Cables!$AO:$AO,MATCH(G249,Cables!$A:$A,0))+INDEX(Cables!$AP:$AP,MATCH(G249,Cables!$A:$A,0))-1),1),1),1),INDEX(Cables!$AP:$AP,MATCH(G249,Cables!$A:$A,0))-1))+1),INDEX(Attenuation!$J:$J,(INDEX(Cables!$AO:$AO,MATCH(G249,Cables!$A:$A,0))-1+MIN(MAX(IFERROR(MATCH(LN(E249),INDEX(Attenuation!$J:$J,INDEX(Cables!$AO:$AO,MATCH(G249,Cables!$A:$A,0))):INDEX(Attenuation!$J:$J,INDEX(Cables!$AO:$AO,MATCH(G249,Cables!$A:$A,0))+INDEX(Cables!$AP:$AP,MATCH(G249,Cables!$A:$A,0))-1),1),1),1),INDEX(Cables!$AP:$AP,MATCH(G249,Cables!$A:$A,0))-1))):INDEX(Attenuation!$J:$J,(INDEX(Cables!$AO:$AO,MATCH(G249,Cables!$A:$A,0))-1+MIN(MAX(IFERROR(MATCH(LN(E249),INDEX(Attenuation!$J:$J,INDEX(Cables!$AO:$AO,MATCH(G249,Cables!$A:$A,0))):INDEX(Attenuation!$J:$J,INDEX(Cables!$AO:$AO,MATCH(G249,Cables!$A:$A,0))+INDEX(Cables!$AP:$AP,MATCH(G249,Cables!$A:$A,0))-1),1),1),1),INDEX(Cables!$AP:$AP,MATCH(G249,Cables!$A:$A,0))-1))+1)))*0.3048)</f>
        <v>0.39624000000000004</v>
      </c>
      <c r="J249" s="44">
        <f t="shared" si="3"/>
        <v>0</v>
      </c>
      <c r="K249" s="40" t="str">
        <f>IF(G249="","Doğrulanmadı",IF(ABS(J249)&lt;=0.1,"Uyumlu (±%10)",IF(ABS(J249)&lt;=0.25,"Fark %10-25","Fark &gt;%25"))&amp;IF(OR(D249&lt;INDEX(Cables!$AQ:$AQ,MATCH(G249,Cables!$A:$A,0)),E249&gt;INDEX(Cables!$AR:$AR,MATCH(G249,Cables!$A:$A,0)))," · ekstrapolasyon",""))</f>
        <v>Uyumlu (±%10) · ekstrapolasyon</v>
      </c>
    </row>
    <row r="250" spans="1:11" x14ac:dyDescent="0.25">
      <c r="A250" s="37" t="s">
        <v>3044</v>
      </c>
      <c r="B250" s="40" t="str">
        <f>INDEX(Legacy_Index!$D:$D,MATCH(A250,Legacy_Index!$A:$A,0))</f>
        <v>HYPERFLEX 10™ Messi and Paoloni</v>
      </c>
      <c r="C250" s="37" t="s">
        <v>3118</v>
      </c>
      <c r="D250" s="37">
        <v>30</v>
      </c>
      <c r="E250" s="37">
        <v>50</v>
      </c>
      <c r="F250" s="37">
        <v>0.7</v>
      </c>
      <c r="G250" s="40" t="str">
        <f>IF(INDEX(Legacy_Index!$G:$G,MATCH(A250,Legacy_Index!$A:$A,0))="","",INDEX(Legacy_Index!$G:$G,MATCH(A250,Legacy_Index!$A:$A,0)))</f>
        <v>MP-HYPERFLEX10</v>
      </c>
      <c r="H250" s="43">
        <f>IF(G250="","",EXP(FORECAST(LN(D250),INDEX(Attenuation!$K:$K,(INDEX(Cables!$AO:$AO,MATCH(G250,Cables!$A:$A,0))-1+MIN(MAX(IFERROR(MATCH(LN(D250),INDEX(Attenuation!$J:$J,INDEX(Cables!$AO:$AO,MATCH(G250,Cables!$A:$A,0))):INDEX(Attenuation!$J:$J,INDEX(Cables!$AO:$AO,MATCH(G250,Cables!$A:$A,0))+INDEX(Cables!$AP:$AP,MATCH(G250,Cables!$A:$A,0))-1),1),1),1),INDEX(Cables!$AP:$AP,MATCH(G250,Cables!$A:$A,0))-1))):INDEX(Attenuation!$K:$K,(INDEX(Cables!$AO:$AO,MATCH(G250,Cables!$A:$A,0))-1+MIN(MAX(IFERROR(MATCH(LN(D250),INDEX(Attenuation!$J:$J,INDEX(Cables!$AO:$AO,MATCH(G250,Cables!$A:$A,0))):INDEX(Attenuation!$J:$J,INDEX(Cables!$AO:$AO,MATCH(G250,Cables!$A:$A,0))+INDEX(Cables!$AP:$AP,MATCH(G250,Cables!$A:$A,0))-1),1),1),1),INDEX(Cables!$AP:$AP,MATCH(G250,Cables!$A:$A,0))-1))+1),INDEX(Attenuation!$J:$J,(INDEX(Cables!$AO:$AO,MATCH(G250,Cables!$A:$A,0))-1+MIN(MAX(IFERROR(MATCH(LN(D250),INDEX(Attenuation!$J:$J,INDEX(Cables!$AO:$AO,MATCH(G250,Cables!$A:$A,0))):INDEX(Attenuation!$J:$J,INDEX(Cables!$AO:$AO,MATCH(G250,Cables!$A:$A,0))+INDEX(Cables!$AP:$AP,MATCH(G250,Cables!$A:$A,0))-1),1),1),1),INDEX(Cables!$AP:$AP,MATCH(G250,Cables!$A:$A,0))-1))):INDEX(Attenuation!$J:$J,(INDEX(Cables!$AO:$AO,MATCH(G250,Cables!$A:$A,0))-1+MIN(MAX(IFERROR(MATCH(LN(D250),INDEX(Attenuation!$J:$J,INDEX(Cables!$AO:$AO,MATCH(G250,Cables!$A:$A,0))):INDEX(Attenuation!$J:$J,INDEX(Cables!$AO:$AO,MATCH(G250,Cables!$A:$A,0))+INDEX(Cables!$AP:$AP,MATCH(G250,Cables!$A:$A,0))-1),1),1),1),INDEX(Cables!$AP:$AP,MATCH(G250,Cables!$A:$A,0))-1))+1)))*0.3048)</f>
        <v>0.63176190395855214</v>
      </c>
      <c r="I250" s="43">
        <f>IF(G250="","",EXP(FORECAST(LN(E250),INDEX(Attenuation!$K:$K,(INDEX(Cables!$AO:$AO,MATCH(G250,Cables!$A:$A,0))-1+MIN(MAX(IFERROR(MATCH(LN(E250),INDEX(Attenuation!$J:$J,INDEX(Cables!$AO:$AO,MATCH(G250,Cables!$A:$A,0))):INDEX(Attenuation!$J:$J,INDEX(Cables!$AO:$AO,MATCH(G250,Cables!$A:$A,0))+INDEX(Cables!$AP:$AP,MATCH(G250,Cables!$A:$A,0))-1),1),1),1),INDEX(Cables!$AP:$AP,MATCH(G250,Cables!$A:$A,0))-1))):INDEX(Attenuation!$K:$K,(INDEX(Cables!$AO:$AO,MATCH(G250,Cables!$A:$A,0))-1+MIN(MAX(IFERROR(MATCH(LN(E250),INDEX(Attenuation!$J:$J,INDEX(Cables!$AO:$AO,MATCH(G250,Cables!$A:$A,0))):INDEX(Attenuation!$J:$J,INDEX(Cables!$AO:$AO,MATCH(G250,Cables!$A:$A,0))+INDEX(Cables!$AP:$AP,MATCH(G250,Cables!$A:$A,0))-1),1),1),1),INDEX(Cables!$AP:$AP,MATCH(G250,Cables!$A:$A,0))-1))+1),INDEX(Attenuation!$J:$J,(INDEX(Cables!$AO:$AO,MATCH(G250,Cables!$A:$A,0))-1+MIN(MAX(IFERROR(MATCH(LN(E250),INDEX(Attenuation!$J:$J,INDEX(Cables!$AO:$AO,MATCH(G250,Cables!$A:$A,0))):INDEX(Attenuation!$J:$J,INDEX(Cables!$AO:$AO,MATCH(G250,Cables!$A:$A,0))+INDEX(Cables!$AP:$AP,MATCH(G250,Cables!$A:$A,0))-1),1),1),1),INDEX(Cables!$AP:$AP,MATCH(G250,Cables!$A:$A,0))-1))):INDEX(Attenuation!$J:$J,(INDEX(Cables!$AO:$AO,MATCH(G250,Cables!$A:$A,0))-1+MIN(MAX(IFERROR(MATCH(LN(E250),INDEX(Attenuation!$J:$J,INDEX(Cables!$AO:$AO,MATCH(G250,Cables!$A:$A,0))):INDEX(Attenuation!$J:$J,INDEX(Cables!$AO:$AO,MATCH(G250,Cables!$A:$A,0))+INDEX(Cables!$AP:$AP,MATCH(G250,Cables!$A:$A,0))-1),1),1),1),INDEX(Cables!$AP:$AP,MATCH(G250,Cables!$A:$A,0))-1))+1)))*0.3048)</f>
        <v>0.82295999999999969</v>
      </c>
      <c r="J250" s="44">
        <f t="shared" si="3"/>
        <v>0</v>
      </c>
      <c r="K250" s="40" t="str">
        <f>IF(G250="","Doğrulanmadı",IF(ABS(J250)&lt;=0.1,"Uyumlu (±%10)",IF(ABS(J250)&lt;=0.25,"Fark %10-25","Fark &gt;%25"))&amp;IF(OR(D250&lt;INDEX(Cables!$AQ:$AQ,MATCH(G250,Cables!$A:$A,0)),E250&gt;INDEX(Cables!$AR:$AR,MATCH(G250,Cables!$A:$A,0)))," · ekstrapolasyon",""))</f>
        <v>Uyumlu (±%10)</v>
      </c>
    </row>
    <row r="251" spans="1:11" x14ac:dyDescent="0.25">
      <c r="A251" s="37" t="s">
        <v>3044</v>
      </c>
      <c r="B251" s="40" t="str">
        <f>INDEX(Legacy_Index!$D:$D,MATCH(A251,Legacy_Index!$A:$A,0))</f>
        <v>HYPERFLEX 10™ Messi and Paoloni</v>
      </c>
      <c r="C251" s="37" t="s">
        <v>3113</v>
      </c>
      <c r="D251" s="37">
        <v>70</v>
      </c>
      <c r="E251" s="37">
        <v>100</v>
      </c>
      <c r="F251" s="37">
        <v>1</v>
      </c>
      <c r="G251" s="40" t="str">
        <f>IF(INDEX(Legacy_Index!$G:$G,MATCH(A251,Legacy_Index!$A:$A,0))="","",INDEX(Legacy_Index!$G:$G,MATCH(A251,Legacy_Index!$A:$A,0)))</f>
        <v>MP-HYPERFLEX10</v>
      </c>
      <c r="H251" s="43">
        <f>IF(G251="","",EXP(FORECAST(LN(D251),INDEX(Attenuation!$K:$K,(INDEX(Cables!$AO:$AO,MATCH(G251,Cables!$A:$A,0))-1+MIN(MAX(IFERROR(MATCH(LN(D251),INDEX(Attenuation!$J:$J,INDEX(Cables!$AO:$AO,MATCH(G251,Cables!$A:$A,0))):INDEX(Attenuation!$J:$J,INDEX(Cables!$AO:$AO,MATCH(G251,Cables!$A:$A,0))+INDEX(Cables!$AP:$AP,MATCH(G251,Cables!$A:$A,0))-1),1),1),1),INDEX(Cables!$AP:$AP,MATCH(G251,Cables!$A:$A,0))-1))):INDEX(Attenuation!$K:$K,(INDEX(Cables!$AO:$AO,MATCH(G251,Cables!$A:$A,0))-1+MIN(MAX(IFERROR(MATCH(LN(D251),INDEX(Attenuation!$J:$J,INDEX(Cables!$AO:$AO,MATCH(G251,Cables!$A:$A,0))):INDEX(Attenuation!$J:$J,INDEX(Cables!$AO:$AO,MATCH(G251,Cables!$A:$A,0))+INDEX(Cables!$AP:$AP,MATCH(G251,Cables!$A:$A,0))-1),1),1),1),INDEX(Cables!$AP:$AP,MATCH(G251,Cables!$A:$A,0))-1))+1),INDEX(Attenuation!$J:$J,(INDEX(Cables!$AO:$AO,MATCH(G251,Cables!$A:$A,0))-1+MIN(MAX(IFERROR(MATCH(LN(D251),INDEX(Attenuation!$J:$J,INDEX(Cables!$AO:$AO,MATCH(G251,Cables!$A:$A,0))):INDEX(Attenuation!$J:$J,INDEX(Cables!$AO:$AO,MATCH(G251,Cables!$A:$A,0))+INDEX(Cables!$AP:$AP,MATCH(G251,Cables!$A:$A,0))-1),1),1),1),INDEX(Cables!$AP:$AP,MATCH(G251,Cables!$A:$A,0))-1))):INDEX(Attenuation!$J:$J,(INDEX(Cables!$AO:$AO,MATCH(G251,Cables!$A:$A,0))-1+MIN(MAX(IFERROR(MATCH(LN(D251),INDEX(Attenuation!$J:$J,INDEX(Cables!$AO:$AO,MATCH(G251,Cables!$A:$A,0))):INDEX(Attenuation!$J:$J,INDEX(Cables!$AO:$AO,MATCH(G251,Cables!$A:$A,0))+INDEX(Cables!$AP:$AP,MATCH(G251,Cables!$A:$A,0))-1),1),1),1),INDEX(Cables!$AP:$AP,MATCH(G251,Cables!$A:$A,0))-1))+1)))*0.3048)</f>
        <v>0.9837886329941673</v>
      </c>
      <c r="I251" s="43">
        <f>IF(G251="","",EXP(FORECAST(LN(E251),INDEX(Attenuation!$K:$K,(INDEX(Cables!$AO:$AO,MATCH(G251,Cables!$A:$A,0))-1+MIN(MAX(IFERROR(MATCH(LN(E251),INDEX(Attenuation!$J:$J,INDEX(Cables!$AO:$AO,MATCH(G251,Cables!$A:$A,0))):INDEX(Attenuation!$J:$J,INDEX(Cables!$AO:$AO,MATCH(G251,Cables!$A:$A,0))+INDEX(Cables!$AP:$AP,MATCH(G251,Cables!$A:$A,0))-1),1),1),1),INDEX(Cables!$AP:$AP,MATCH(G251,Cables!$A:$A,0))-1))):INDEX(Attenuation!$K:$K,(INDEX(Cables!$AO:$AO,MATCH(G251,Cables!$A:$A,0))-1+MIN(MAX(IFERROR(MATCH(LN(E251),INDEX(Attenuation!$J:$J,INDEX(Cables!$AO:$AO,MATCH(G251,Cables!$A:$A,0))):INDEX(Attenuation!$J:$J,INDEX(Cables!$AO:$AO,MATCH(G251,Cables!$A:$A,0))+INDEX(Cables!$AP:$AP,MATCH(G251,Cables!$A:$A,0))-1),1),1),1),INDEX(Cables!$AP:$AP,MATCH(G251,Cables!$A:$A,0))-1))+1),INDEX(Attenuation!$J:$J,(INDEX(Cables!$AO:$AO,MATCH(G251,Cables!$A:$A,0))-1+MIN(MAX(IFERROR(MATCH(LN(E251),INDEX(Attenuation!$J:$J,INDEX(Cables!$AO:$AO,MATCH(G251,Cables!$A:$A,0))):INDEX(Attenuation!$J:$J,INDEX(Cables!$AO:$AO,MATCH(G251,Cables!$A:$A,0))+INDEX(Cables!$AP:$AP,MATCH(G251,Cables!$A:$A,0))-1),1),1),1),INDEX(Cables!$AP:$AP,MATCH(G251,Cables!$A:$A,0))-1))):INDEX(Attenuation!$J:$J,(INDEX(Cables!$AO:$AO,MATCH(G251,Cables!$A:$A,0))-1+MIN(MAX(IFERROR(MATCH(LN(E251),INDEX(Attenuation!$J:$J,INDEX(Cables!$AO:$AO,MATCH(G251,Cables!$A:$A,0))):INDEX(Attenuation!$J:$J,INDEX(Cables!$AO:$AO,MATCH(G251,Cables!$A:$A,0))+INDEX(Cables!$AP:$AP,MATCH(G251,Cables!$A:$A,0))-1),1),1),1),INDEX(Cables!$AP:$AP,MATCH(G251,Cables!$A:$A,0))-1))+1)))*0.3048)</f>
        <v>1.1887199999999996</v>
      </c>
      <c r="J251" s="44">
        <f t="shared" si="3"/>
        <v>0</v>
      </c>
      <c r="K251" s="40" t="str">
        <f>IF(G251="","Doğrulanmadı",IF(ABS(J251)&lt;=0.1,"Uyumlu (±%10)",IF(ABS(J251)&lt;=0.25,"Fark %10-25","Fark &gt;%25"))&amp;IF(OR(D251&lt;INDEX(Cables!$AQ:$AQ,MATCH(G251,Cables!$A:$A,0)),E251&gt;INDEX(Cables!$AR:$AR,MATCH(G251,Cables!$A:$A,0)))," · ekstrapolasyon",""))</f>
        <v>Uyumlu (±%10)</v>
      </c>
    </row>
    <row r="252" spans="1:11" x14ac:dyDescent="0.25">
      <c r="A252" s="37" t="s">
        <v>3044</v>
      </c>
      <c r="B252" s="40" t="str">
        <f>INDEX(Legacy_Index!$D:$D,MATCH(A252,Legacy_Index!$A:$A,0))</f>
        <v>HYPERFLEX 10™ Messi and Paoloni</v>
      </c>
      <c r="C252" s="37" t="s">
        <v>3114</v>
      </c>
      <c r="D252" s="37">
        <v>148</v>
      </c>
      <c r="E252" s="37">
        <v>174</v>
      </c>
      <c r="F252" s="37">
        <v>1.4</v>
      </c>
      <c r="G252" s="40" t="str">
        <f>IF(INDEX(Legacy_Index!$G:$G,MATCH(A252,Legacy_Index!$A:$A,0))="","",INDEX(Legacy_Index!$G:$G,MATCH(A252,Legacy_Index!$A:$A,0)))</f>
        <v>MP-HYPERFLEX10</v>
      </c>
      <c r="H252" s="43">
        <f>IF(G252="","",EXP(FORECAST(LN(D252),INDEX(Attenuation!$K:$K,(INDEX(Cables!$AO:$AO,MATCH(G252,Cables!$A:$A,0))-1+MIN(MAX(IFERROR(MATCH(LN(D252),INDEX(Attenuation!$J:$J,INDEX(Cables!$AO:$AO,MATCH(G252,Cables!$A:$A,0))):INDEX(Attenuation!$J:$J,INDEX(Cables!$AO:$AO,MATCH(G252,Cables!$A:$A,0))+INDEX(Cables!$AP:$AP,MATCH(G252,Cables!$A:$A,0))-1),1),1),1),INDEX(Cables!$AP:$AP,MATCH(G252,Cables!$A:$A,0))-1))):INDEX(Attenuation!$K:$K,(INDEX(Cables!$AO:$AO,MATCH(G252,Cables!$A:$A,0))-1+MIN(MAX(IFERROR(MATCH(LN(D252),INDEX(Attenuation!$J:$J,INDEX(Cables!$AO:$AO,MATCH(G252,Cables!$A:$A,0))):INDEX(Attenuation!$J:$J,INDEX(Cables!$AO:$AO,MATCH(G252,Cables!$A:$A,0))+INDEX(Cables!$AP:$AP,MATCH(G252,Cables!$A:$A,0))-1),1),1),1),INDEX(Cables!$AP:$AP,MATCH(G252,Cables!$A:$A,0))-1))+1),INDEX(Attenuation!$J:$J,(INDEX(Cables!$AO:$AO,MATCH(G252,Cables!$A:$A,0))-1+MIN(MAX(IFERROR(MATCH(LN(D252),INDEX(Attenuation!$J:$J,INDEX(Cables!$AO:$AO,MATCH(G252,Cables!$A:$A,0))):INDEX(Attenuation!$J:$J,INDEX(Cables!$AO:$AO,MATCH(G252,Cables!$A:$A,0))+INDEX(Cables!$AP:$AP,MATCH(G252,Cables!$A:$A,0))-1),1),1),1),INDEX(Cables!$AP:$AP,MATCH(G252,Cables!$A:$A,0))-1))):INDEX(Attenuation!$J:$J,(INDEX(Cables!$AO:$AO,MATCH(G252,Cables!$A:$A,0))-1+MIN(MAX(IFERROR(MATCH(LN(D252),INDEX(Attenuation!$J:$J,INDEX(Cables!$AO:$AO,MATCH(G252,Cables!$A:$A,0))):INDEX(Attenuation!$J:$J,INDEX(Cables!$AO:$AO,MATCH(G252,Cables!$A:$A,0))+INDEX(Cables!$AP:$AP,MATCH(G252,Cables!$A:$A,0))-1),1),1),1),INDEX(Cables!$AP:$AP,MATCH(G252,Cables!$A:$A,0))-1))+1)))*0.3048)</f>
        <v>1.453647623356022</v>
      </c>
      <c r="I252" s="43">
        <f>IF(G252="","",EXP(FORECAST(LN(E252),INDEX(Attenuation!$K:$K,(INDEX(Cables!$AO:$AO,MATCH(G252,Cables!$A:$A,0))-1+MIN(MAX(IFERROR(MATCH(LN(E252),INDEX(Attenuation!$J:$J,INDEX(Cables!$AO:$AO,MATCH(G252,Cables!$A:$A,0))):INDEX(Attenuation!$J:$J,INDEX(Cables!$AO:$AO,MATCH(G252,Cables!$A:$A,0))+INDEX(Cables!$AP:$AP,MATCH(G252,Cables!$A:$A,0))-1),1),1),1),INDEX(Cables!$AP:$AP,MATCH(G252,Cables!$A:$A,0))-1))):INDEX(Attenuation!$K:$K,(INDEX(Cables!$AO:$AO,MATCH(G252,Cables!$A:$A,0))-1+MIN(MAX(IFERROR(MATCH(LN(E252),INDEX(Attenuation!$J:$J,INDEX(Cables!$AO:$AO,MATCH(G252,Cables!$A:$A,0))):INDEX(Attenuation!$J:$J,INDEX(Cables!$AO:$AO,MATCH(G252,Cables!$A:$A,0))+INDEX(Cables!$AP:$AP,MATCH(G252,Cables!$A:$A,0))-1),1),1),1),INDEX(Cables!$AP:$AP,MATCH(G252,Cables!$A:$A,0))-1))+1),INDEX(Attenuation!$J:$J,(INDEX(Cables!$AO:$AO,MATCH(G252,Cables!$A:$A,0))-1+MIN(MAX(IFERROR(MATCH(LN(E252),INDEX(Attenuation!$J:$J,INDEX(Cables!$AO:$AO,MATCH(G252,Cables!$A:$A,0))):INDEX(Attenuation!$J:$J,INDEX(Cables!$AO:$AO,MATCH(G252,Cables!$A:$A,0))+INDEX(Cables!$AP:$AP,MATCH(G252,Cables!$A:$A,0))-1),1),1),1),INDEX(Cables!$AP:$AP,MATCH(G252,Cables!$A:$A,0))-1))):INDEX(Attenuation!$J:$J,(INDEX(Cables!$AO:$AO,MATCH(G252,Cables!$A:$A,0))-1+MIN(MAX(IFERROR(MATCH(LN(E252),INDEX(Attenuation!$J:$J,INDEX(Cables!$AO:$AO,MATCH(G252,Cables!$A:$A,0))):INDEX(Attenuation!$J:$J,INDEX(Cables!$AO:$AO,MATCH(G252,Cables!$A:$A,0))+INDEX(Cables!$AP:$AP,MATCH(G252,Cables!$A:$A,0))-1),1),1),1),INDEX(Cables!$AP:$AP,MATCH(G252,Cables!$A:$A,0))-1))+1)))*0.3048)</f>
        <v>1.5846970066575017</v>
      </c>
      <c r="J252" s="44">
        <f t="shared" si="3"/>
        <v>-3.6905521320336532E-2</v>
      </c>
      <c r="K252" s="40" t="str">
        <f>IF(G252="","Doğrulanmadı",IF(ABS(J252)&lt;=0.1,"Uyumlu (±%10)",IF(ABS(J252)&lt;=0.25,"Fark %10-25","Fark &gt;%25"))&amp;IF(OR(D252&lt;INDEX(Cables!$AQ:$AQ,MATCH(G252,Cables!$A:$A,0)),E252&gt;INDEX(Cables!$AR:$AR,MATCH(G252,Cables!$A:$A,0)))," · ekstrapolasyon",""))</f>
        <v>Uyumlu (±%10)</v>
      </c>
    </row>
    <row r="253" spans="1:11" x14ac:dyDescent="0.25">
      <c r="A253" s="37" t="s">
        <v>3044</v>
      </c>
      <c r="B253" s="40" t="str">
        <f>INDEX(Legacy_Index!$D:$D,MATCH(A253,Legacy_Index!$A:$A,0))</f>
        <v>HYPERFLEX 10™ Messi and Paoloni</v>
      </c>
      <c r="C253" s="37" t="s">
        <v>3119</v>
      </c>
      <c r="D253" s="37">
        <v>220</v>
      </c>
      <c r="E253" s="37">
        <v>220</v>
      </c>
      <c r="F253" s="37">
        <v>1.7</v>
      </c>
      <c r="G253" s="40" t="str">
        <f>IF(INDEX(Legacy_Index!$G:$G,MATCH(A253,Legacy_Index!$A:$A,0))="","",INDEX(Legacy_Index!$G:$G,MATCH(A253,Legacy_Index!$A:$A,0)))</f>
        <v>MP-HYPERFLEX10</v>
      </c>
      <c r="H253" s="43">
        <f>IF(G253="","",EXP(FORECAST(LN(D253),INDEX(Attenuation!$K:$K,(INDEX(Cables!$AO:$AO,MATCH(G253,Cables!$A:$A,0))-1+MIN(MAX(IFERROR(MATCH(LN(D253),INDEX(Attenuation!$J:$J,INDEX(Cables!$AO:$AO,MATCH(G253,Cables!$A:$A,0))):INDEX(Attenuation!$J:$J,INDEX(Cables!$AO:$AO,MATCH(G253,Cables!$A:$A,0))+INDEX(Cables!$AP:$AP,MATCH(G253,Cables!$A:$A,0))-1),1),1),1),INDEX(Cables!$AP:$AP,MATCH(G253,Cables!$A:$A,0))-1))):INDEX(Attenuation!$K:$K,(INDEX(Cables!$AO:$AO,MATCH(G253,Cables!$A:$A,0))-1+MIN(MAX(IFERROR(MATCH(LN(D253),INDEX(Attenuation!$J:$J,INDEX(Cables!$AO:$AO,MATCH(G253,Cables!$A:$A,0))):INDEX(Attenuation!$J:$J,INDEX(Cables!$AO:$AO,MATCH(G253,Cables!$A:$A,0))+INDEX(Cables!$AP:$AP,MATCH(G253,Cables!$A:$A,0))-1),1),1),1),INDEX(Cables!$AP:$AP,MATCH(G253,Cables!$A:$A,0))-1))+1),INDEX(Attenuation!$J:$J,(INDEX(Cables!$AO:$AO,MATCH(G253,Cables!$A:$A,0))-1+MIN(MAX(IFERROR(MATCH(LN(D253),INDEX(Attenuation!$J:$J,INDEX(Cables!$AO:$AO,MATCH(G253,Cables!$A:$A,0))):INDEX(Attenuation!$J:$J,INDEX(Cables!$AO:$AO,MATCH(G253,Cables!$A:$A,0))+INDEX(Cables!$AP:$AP,MATCH(G253,Cables!$A:$A,0))-1),1),1),1),INDEX(Cables!$AP:$AP,MATCH(G253,Cables!$A:$A,0))-1))):INDEX(Attenuation!$J:$J,(INDEX(Cables!$AO:$AO,MATCH(G253,Cables!$A:$A,0))-1+MIN(MAX(IFERROR(MATCH(LN(D253),INDEX(Attenuation!$J:$J,INDEX(Cables!$AO:$AO,MATCH(G253,Cables!$A:$A,0))):INDEX(Attenuation!$J:$J,INDEX(Cables!$AO:$AO,MATCH(G253,Cables!$A:$A,0))+INDEX(Cables!$AP:$AP,MATCH(G253,Cables!$A:$A,0))-1),1),1),1),INDEX(Cables!$AP:$AP,MATCH(G253,Cables!$A:$A,0))-1))+1)))*0.3048)</f>
        <v>1.8017767388918819</v>
      </c>
      <c r="I253" s="43">
        <f>IF(G253="","",EXP(FORECAST(LN(E253),INDEX(Attenuation!$K:$K,(INDEX(Cables!$AO:$AO,MATCH(G253,Cables!$A:$A,0))-1+MIN(MAX(IFERROR(MATCH(LN(E253),INDEX(Attenuation!$J:$J,INDEX(Cables!$AO:$AO,MATCH(G253,Cables!$A:$A,0))):INDEX(Attenuation!$J:$J,INDEX(Cables!$AO:$AO,MATCH(G253,Cables!$A:$A,0))+INDEX(Cables!$AP:$AP,MATCH(G253,Cables!$A:$A,0))-1),1),1),1),INDEX(Cables!$AP:$AP,MATCH(G253,Cables!$A:$A,0))-1))):INDEX(Attenuation!$K:$K,(INDEX(Cables!$AO:$AO,MATCH(G253,Cables!$A:$A,0))-1+MIN(MAX(IFERROR(MATCH(LN(E253),INDEX(Attenuation!$J:$J,INDEX(Cables!$AO:$AO,MATCH(G253,Cables!$A:$A,0))):INDEX(Attenuation!$J:$J,INDEX(Cables!$AO:$AO,MATCH(G253,Cables!$A:$A,0))+INDEX(Cables!$AP:$AP,MATCH(G253,Cables!$A:$A,0))-1),1),1),1),INDEX(Cables!$AP:$AP,MATCH(G253,Cables!$A:$A,0))-1))+1),INDEX(Attenuation!$J:$J,(INDEX(Cables!$AO:$AO,MATCH(G253,Cables!$A:$A,0))-1+MIN(MAX(IFERROR(MATCH(LN(E253),INDEX(Attenuation!$J:$J,INDEX(Cables!$AO:$AO,MATCH(G253,Cables!$A:$A,0))):INDEX(Attenuation!$J:$J,INDEX(Cables!$AO:$AO,MATCH(G253,Cables!$A:$A,0))+INDEX(Cables!$AP:$AP,MATCH(G253,Cables!$A:$A,0))-1),1),1),1),INDEX(Cables!$AP:$AP,MATCH(G253,Cables!$A:$A,0))-1))):INDEX(Attenuation!$J:$J,(INDEX(Cables!$AO:$AO,MATCH(G253,Cables!$A:$A,0))-1+MIN(MAX(IFERROR(MATCH(LN(E253),INDEX(Attenuation!$J:$J,INDEX(Cables!$AO:$AO,MATCH(G253,Cables!$A:$A,0))):INDEX(Attenuation!$J:$J,INDEX(Cables!$AO:$AO,MATCH(G253,Cables!$A:$A,0))+INDEX(Cables!$AP:$AP,MATCH(G253,Cables!$A:$A,0))-1),1),1),1),INDEX(Cables!$AP:$AP,MATCH(G253,Cables!$A:$A,0))-1))+1)))*0.3048)</f>
        <v>1.8017767388918819</v>
      </c>
      <c r="J253" s="44">
        <f t="shared" si="3"/>
        <v>-5.6486875812636006E-2</v>
      </c>
      <c r="K253" s="40" t="str">
        <f>IF(G253="","Doğrulanmadı",IF(ABS(J253)&lt;=0.1,"Uyumlu (±%10)",IF(ABS(J253)&lt;=0.25,"Fark %10-25","Fark &gt;%25"))&amp;IF(OR(D253&lt;INDEX(Cables!$AQ:$AQ,MATCH(G253,Cables!$A:$A,0)),E253&gt;INDEX(Cables!$AR:$AR,MATCH(G253,Cables!$A:$A,0)))," · ekstrapolasyon",""))</f>
        <v>Uyumlu (±%10)</v>
      </c>
    </row>
    <row r="254" spans="1:11" x14ac:dyDescent="0.25">
      <c r="A254" s="37" t="s">
        <v>3044</v>
      </c>
      <c r="B254" s="40" t="str">
        <f>INDEX(Legacy_Index!$D:$D,MATCH(A254,Legacy_Index!$A:$A,0))</f>
        <v>HYPERFLEX 10™ Messi and Paoloni</v>
      </c>
      <c r="C254" s="37" t="s">
        <v>3115</v>
      </c>
      <c r="D254" s="37">
        <v>400</v>
      </c>
      <c r="E254" s="37">
        <v>520</v>
      </c>
      <c r="F254" s="37">
        <v>2.6</v>
      </c>
      <c r="G254" s="40" t="str">
        <f>IF(INDEX(Legacy_Index!$G:$G,MATCH(A254,Legacy_Index!$A:$A,0))="","",INDEX(Legacy_Index!$G:$G,MATCH(A254,Legacy_Index!$A:$A,0)))</f>
        <v>MP-HYPERFLEX10</v>
      </c>
      <c r="H254" s="43">
        <f>IF(G254="","",EXP(FORECAST(LN(D254),INDEX(Attenuation!$K:$K,(INDEX(Cables!$AO:$AO,MATCH(G254,Cables!$A:$A,0))-1+MIN(MAX(IFERROR(MATCH(LN(D254),INDEX(Attenuation!$J:$J,INDEX(Cables!$AO:$AO,MATCH(G254,Cables!$A:$A,0))):INDEX(Attenuation!$J:$J,INDEX(Cables!$AO:$AO,MATCH(G254,Cables!$A:$A,0))+INDEX(Cables!$AP:$AP,MATCH(G254,Cables!$A:$A,0))-1),1),1),1),INDEX(Cables!$AP:$AP,MATCH(G254,Cables!$A:$A,0))-1))):INDEX(Attenuation!$K:$K,(INDEX(Cables!$AO:$AO,MATCH(G254,Cables!$A:$A,0))-1+MIN(MAX(IFERROR(MATCH(LN(D254),INDEX(Attenuation!$J:$J,INDEX(Cables!$AO:$AO,MATCH(G254,Cables!$A:$A,0))):INDEX(Attenuation!$J:$J,INDEX(Cables!$AO:$AO,MATCH(G254,Cables!$A:$A,0))+INDEX(Cables!$AP:$AP,MATCH(G254,Cables!$A:$A,0))-1),1),1),1),INDEX(Cables!$AP:$AP,MATCH(G254,Cables!$A:$A,0))-1))+1),INDEX(Attenuation!$J:$J,(INDEX(Cables!$AO:$AO,MATCH(G254,Cables!$A:$A,0))-1+MIN(MAX(IFERROR(MATCH(LN(D254),INDEX(Attenuation!$J:$J,INDEX(Cables!$AO:$AO,MATCH(G254,Cables!$A:$A,0))):INDEX(Attenuation!$J:$J,INDEX(Cables!$AO:$AO,MATCH(G254,Cables!$A:$A,0))+INDEX(Cables!$AP:$AP,MATCH(G254,Cables!$A:$A,0))-1),1),1),1),INDEX(Cables!$AP:$AP,MATCH(G254,Cables!$A:$A,0))-1))):INDEX(Attenuation!$J:$J,(INDEX(Cables!$AO:$AO,MATCH(G254,Cables!$A:$A,0))-1+MIN(MAX(IFERROR(MATCH(LN(D254),INDEX(Attenuation!$J:$J,INDEX(Cables!$AO:$AO,MATCH(G254,Cables!$A:$A,0))):INDEX(Attenuation!$J:$J,INDEX(Cables!$AO:$AO,MATCH(G254,Cables!$A:$A,0))+INDEX(Cables!$AP:$AP,MATCH(G254,Cables!$A:$A,0))-1),1),1),1),INDEX(Cables!$AP:$AP,MATCH(G254,Cables!$A:$A,0))-1))+1)))*0.3048)</f>
        <v>2.5298400000000005</v>
      </c>
      <c r="I254" s="43">
        <f>IF(G254="","",EXP(FORECAST(LN(E254),INDEX(Attenuation!$K:$K,(INDEX(Cables!$AO:$AO,MATCH(G254,Cables!$A:$A,0))-1+MIN(MAX(IFERROR(MATCH(LN(E254),INDEX(Attenuation!$J:$J,INDEX(Cables!$AO:$AO,MATCH(G254,Cables!$A:$A,0))):INDEX(Attenuation!$J:$J,INDEX(Cables!$AO:$AO,MATCH(G254,Cables!$A:$A,0))+INDEX(Cables!$AP:$AP,MATCH(G254,Cables!$A:$A,0))-1),1),1),1),INDEX(Cables!$AP:$AP,MATCH(G254,Cables!$A:$A,0))-1))):INDEX(Attenuation!$K:$K,(INDEX(Cables!$AO:$AO,MATCH(G254,Cables!$A:$A,0))-1+MIN(MAX(IFERROR(MATCH(LN(E254),INDEX(Attenuation!$J:$J,INDEX(Cables!$AO:$AO,MATCH(G254,Cables!$A:$A,0))):INDEX(Attenuation!$J:$J,INDEX(Cables!$AO:$AO,MATCH(G254,Cables!$A:$A,0))+INDEX(Cables!$AP:$AP,MATCH(G254,Cables!$A:$A,0))-1),1),1),1),INDEX(Cables!$AP:$AP,MATCH(G254,Cables!$A:$A,0))-1))+1),INDEX(Attenuation!$J:$J,(INDEX(Cables!$AO:$AO,MATCH(G254,Cables!$A:$A,0))-1+MIN(MAX(IFERROR(MATCH(LN(E254),INDEX(Attenuation!$J:$J,INDEX(Cables!$AO:$AO,MATCH(G254,Cables!$A:$A,0))):INDEX(Attenuation!$J:$J,INDEX(Cables!$AO:$AO,MATCH(G254,Cables!$A:$A,0))+INDEX(Cables!$AP:$AP,MATCH(G254,Cables!$A:$A,0))-1),1),1),1),INDEX(Cables!$AP:$AP,MATCH(G254,Cables!$A:$A,0))-1))):INDEX(Attenuation!$J:$J,(INDEX(Cables!$AO:$AO,MATCH(G254,Cables!$A:$A,0))-1+MIN(MAX(IFERROR(MATCH(LN(E254),INDEX(Attenuation!$J:$J,INDEX(Cables!$AO:$AO,MATCH(G254,Cables!$A:$A,0))):INDEX(Attenuation!$J:$J,INDEX(Cables!$AO:$AO,MATCH(G254,Cables!$A:$A,0))+INDEX(Cables!$AP:$AP,MATCH(G254,Cables!$A:$A,0))-1),1),1),1),INDEX(Cables!$AP:$AP,MATCH(G254,Cables!$A:$A,0))-1))+1)))*0.3048)</f>
        <v>2.8952783176171724</v>
      </c>
      <c r="J254" s="44">
        <f t="shared" si="3"/>
        <v>0</v>
      </c>
      <c r="K254" s="40" t="str">
        <f>IF(G254="","Doğrulanmadı",IF(ABS(J254)&lt;=0.1,"Uyumlu (±%10)",IF(ABS(J254)&lt;=0.25,"Fark %10-25","Fark &gt;%25"))&amp;IF(OR(D254&lt;INDEX(Cables!$AQ:$AQ,MATCH(G254,Cables!$A:$A,0)),E254&gt;INDEX(Cables!$AR:$AR,MATCH(G254,Cables!$A:$A,0)))," · ekstrapolasyon",""))</f>
        <v>Uyumlu (±%10)</v>
      </c>
    </row>
    <row r="255" spans="1:11" x14ac:dyDescent="0.25">
      <c r="A255" s="37" t="s">
        <v>3044</v>
      </c>
      <c r="B255" s="40" t="str">
        <f>INDEX(Legacy_Index!$D:$D,MATCH(A255,Legacy_Index!$A:$A,0))</f>
        <v>HYPERFLEX 10™ Messi and Paoloni</v>
      </c>
      <c r="C255" s="37" t="s">
        <v>3116</v>
      </c>
      <c r="D255" s="37">
        <v>700</v>
      </c>
      <c r="E255" s="37">
        <v>960</v>
      </c>
      <c r="F255" s="37">
        <v>3.6</v>
      </c>
      <c r="G255" s="40" t="str">
        <f>IF(INDEX(Legacy_Index!$G:$G,MATCH(A255,Legacy_Index!$A:$A,0))="","",INDEX(Legacy_Index!$G:$G,MATCH(A255,Legacy_Index!$A:$A,0)))</f>
        <v>MP-HYPERFLEX10</v>
      </c>
      <c r="H255" s="43">
        <f>IF(G255="","",EXP(FORECAST(LN(D255),INDEX(Attenuation!$K:$K,(INDEX(Cables!$AO:$AO,MATCH(G255,Cables!$A:$A,0))-1+MIN(MAX(IFERROR(MATCH(LN(D255),INDEX(Attenuation!$J:$J,INDEX(Cables!$AO:$AO,MATCH(G255,Cables!$A:$A,0))):INDEX(Attenuation!$J:$J,INDEX(Cables!$AO:$AO,MATCH(G255,Cables!$A:$A,0))+INDEX(Cables!$AP:$AP,MATCH(G255,Cables!$A:$A,0))-1),1),1),1),INDEX(Cables!$AP:$AP,MATCH(G255,Cables!$A:$A,0))-1))):INDEX(Attenuation!$K:$K,(INDEX(Cables!$AO:$AO,MATCH(G255,Cables!$A:$A,0))-1+MIN(MAX(IFERROR(MATCH(LN(D255),INDEX(Attenuation!$J:$J,INDEX(Cables!$AO:$AO,MATCH(G255,Cables!$A:$A,0))):INDEX(Attenuation!$J:$J,INDEX(Cables!$AO:$AO,MATCH(G255,Cables!$A:$A,0))+INDEX(Cables!$AP:$AP,MATCH(G255,Cables!$A:$A,0))-1),1),1),1),INDEX(Cables!$AP:$AP,MATCH(G255,Cables!$A:$A,0))-1))+1),INDEX(Attenuation!$J:$J,(INDEX(Cables!$AO:$AO,MATCH(G255,Cables!$A:$A,0))-1+MIN(MAX(IFERROR(MATCH(LN(D255),INDEX(Attenuation!$J:$J,INDEX(Cables!$AO:$AO,MATCH(G255,Cables!$A:$A,0))):INDEX(Attenuation!$J:$J,INDEX(Cables!$AO:$AO,MATCH(G255,Cables!$A:$A,0))+INDEX(Cables!$AP:$AP,MATCH(G255,Cables!$A:$A,0))-1),1),1),1),INDEX(Cables!$AP:$AP,MATCH(G255,Cables!$A:$A,0))-1))):INDEX(Attenuation!$J:$J,(INDEX(Cables!$AO:$AO,MATCH(G255,Cables!$A:$A,0))-1+MIN(MAX(IFERROR(MATCH(LN(D255),INDEX(Attenuation!$J:$J,INDEX(Cables!$AO:$AO,MATCH(G255,Cables!$A:$A,0))):INDEX(Attenuation!$J:$J,INDEX(Cables!$AO:$AO,MATCH(G255,Cables!$A:$A,0))+INDEX(Cables!$AP:$AP,MATCH(G255,Cables!$A:$A,0))-1),1),1),1),INDEX(Cables!$AP:$AP,MATCH(G255,Cables!$A:$A,0))-1))+1)))*0.3048)</f>
        <v>3.3823947852070462</v>
      </c>
      <c r="I255" s="43">
        <f>IF(G255="","",EXP(FORECAST(LN(E255),INDEX(Attenuation!$K:$K,(INDEX(Cables!$AO:$AO,MATCH(G255,Cables!$A:$A,0))-1+MIN(MAX(IFERROR(MATCH(LN(E255),INDEX(Attenuation!$J:$J,INDEX(Cables!$AO:$AO,MATCH(G255,Cables!$A:$A,0))):INDEX(Attenuation!$J:$J,INDEX(Cables!$AO:$AO,MATCH(G255,Cables!$A:$A,0))+INDEX(Cables!$AP:$AP,MATCH(G255,Cables!$A:$A,0))-1),1),1),1),INDEX(Cables!$AP:$AP,MATCH(G255,Cables!$A:$A,0))-1))):INDEX(Attenuation!$K:$K,(INDEX(Cables!$AO:$AO,MATCH(G255,Cables!$A:$A,0))-1+MIN(MAX(IFERROR(MATCH(LN(E255),INDEX(Attenuation!$J:$J,INDEX(Cables!$AO:$AO,MATCH(G255,Cables!$A:$A,0))):INDEX(Attenuation!$J:$J,INDEX(Cables!$AO:$AO,MATCH(G255,Cables!$A:$A,0))+INDEX(Cables!$AP:$AP,MATCH(G255,Cables!$A:$A,0))-1),1),1),1),INDEX(Cables!$AP:$AP,MATCH(G255,Cables!$A:$A,0))-1))+1),INDEX(Attenuation!$J:$J,(INDEX(Cables!$AO:$AO,MATCH(G255,Cables!$A:$A,0))-1+MIN(MAX(IFERROR(MATCH(LN(E255),INDEX(Attenuation!$J:$J,INDEX(Cables!$AO:$AO,MATCH(G255,Cables!$A:$A,0))):INDEX(Attenuation!$J:$J,INDEX(Cables!$AO:$AO,MATCH(G255,Cables!$A:$A,0))+INDEX(Cables!$AP:$AP,MATCH(G255,Cables!$A:$A,0))-1),1),1),1),INDEX(Cables!$AP:$AP,MATCH(G255,Cables!$A:$A,0))-1))):INDEX(Attenuation!$J:$J,(INDEX(Cables!$AO:$AO,MATCH(G255,Cables!$A:$A,0))-1+MIN(MAX(IFERROR(MATCH(LN(E255),INDEX(Attenuation!$J:$J,INDEX(Cables!$AO:$AO,MATCH(G255,Cables!$A:$A,0))):INDEX(Attenuation!$J:$J,INDEX(Cables!$AO:$AO,MATCH(G255,Cables!$A:$A,0))+INDEX(Cables!$AP:$AP,MATCH(G255,Cables!$A:$A,0))-1),1),1),1),INDEX(Cables!$AP:$AP,MATCH(G255,Cables!$A:$A,0))-1))+1)))*0.3048)</f>
        <v>3.9965729459143247</v>
      </c>
      <c r="J255" s="44">
        <f t="shared" si="3"/>
        <v>0</v>
      </c>
      <c r="K255" s="40" t="str">
        <f>IF(G255="","Doğrulanmadı",IF(ABS(J255)&lt;=0.1,"Uyumlu (±%10)",IF(ABS(J255)&lt;=0.25,"Fark %10-25","Fark &gt;%25"))&amp;IF(OR(D255&lt;INDEX(Cables!$AQ:$AQ,MATCH(G255,Cables!$A:$A,0)),E255&gt;INDEX(Cables!$AR:$AR,MATCH(G255,Cables!$A:$A,0)))," · ekstrapolasyon",""))</f>
        <v>Uyumlu (±%10)</v>
      </c>
    </row>
    <row r="256" spans="1:11" x14ac:dyDescent="0.25">
      <c r="A256" s="37" t="s">
        <v>3044</v>
      </c>
      <c r="B256" s="40" t="str">
        <f>INDEX(Legacy_Index!$D:$D,MATCH(A256,Legacy_Index!$A:$A,0))</f>
        <v>HYPERFLEX 10™ Messi and Paoloni</v>
      </c>
      <c r="C256" s="37" t="s">
        <v>3120</v>
      </c>
      <c r="D256" s="37">
        <v>1200</v>
      </c>
      <c r="E256" s="37">
        <v>1300</v>
      </c>
      <c r="F256" s="37">
        <v>4.7</v>
      </c>
      <c r="G256" s="40" t="str">
        <f>IF(INDEX(Legacy_Index!$G:$G,MATCH(A256,Legacy_Index!$A:$A,0))="","",INDEX(Legacy_Index!$G:$G,MATCH(A256,Legacy_Index!$A:$A,0)))</f>
        <v>MP-HYPERFLEX10</v>
      </c>
      <c r="H256" s="43">
        <f>IF(G256="","",EXP(FORECAST(LN(D256),INDEX(Attenuation!$K:$K,(INDEX(Cables!$AO:$AO,MATCH(G256,Cables!$A:$A,0))-1+MIN(MAX(IFERROR(MATCH(LN(D256),INDEX(Attenuation!$J:$J,INDEX(Cables!$AO:$AO,MATCH(G256,Cables!$A:$A,0))):INDEX(Attenuation!$J:$J,INDEX(Cables!$AO:$AO,MATCH(G256,Cables!$A:$A,0))+INDEX(Cables!$AP:$AP,MATCH(G256,Cables!$A:$A,0))-1),1),1),1),INDEX(Cables!$AP:$AP,MATCH(G256,Cables!$A:$A,0))-1))):INDEX(Attenuation!$K:$K,(INDEX(Cables!$AO:$AO,MATCH(G256,Cables!$A:$A,0))-1+MIN(MAX(IFERROR(MATCH(LN(D256),INDEX(Attenuation!$J:$J,INDEX(Cables!$AO:$AO,MATCH(G256,Cables!$A:$A,0))):INDEX(Attenuation!$J:$J,INDEX(Cables!$AO:$AO,MATCH(G256,Cables!$A:$A,0))+INDEX(Cables!$AP:$AP,MATCH(G256,Cables!$A:$A,0))-1),1),1),1),INDEX(Cables!$AP:$AP,MATCH(G256,Cables!$A:$A,0))-1))+1),INDEX(Attenuation!$J:$J,(INDEX(Cables!$AO:$AO,MATCH(G256,Cables!$A:$A,0))-1+MIN(MAX(IFERROR(MATCH(LN(D256),INDEX(Attenuation!$J:$J,INDEX(Cables!$AO:$AO,MATCH(G256,Cables!$A:$A,0))):INDEX(Attenuation!$J:$J,INDEX(Cables!$AO:$AO,MATCH(G256,Cables!$A:$A,0))+INDEX(Cables!$AP:$AP,MATCH(G256,Cables!$A:$A,0))-1),1),1),1),INDEX(Cables!$AP:$AP,MATCH(G256,Cables!$A:$A,0))-1))):INDEX(Attenuation!$J:$J,(INDEX(Cables!$AO:$AO,MATCH(G256,Cables!$A:$A,0))-1+MIN(MAX(IFERROR(MATCH(LN(D256),INDEX(Attenuation!$J:$J,INDEX(Cables!$AO:$AO,MATCH(G256,Cables!$A:$A,0))):INDEX(Attenuation!$J:$J,INDEX(Cables!$AO:$AO,MATCH(G256,Cables!$A:$A,0))+INDEX(Cables!$AP:$AP,MATCH(G256,Cables!$A:$A,0))-1),1),1),1),INDEX(Cables!$AP:$AP,MATCH(G256,Cables!$A:$A,0))-1))+1)))*0.3048)</f>
        <v>4.5040463133742703</v>
      </c>
      <c r="I256" s="43">
        <f>IF(G256="","",EXP(FORECAST(LN(E256),INDEX(Attenuation!$K:$K,(INDEX(Cables!$AO:$AO,MATCH(G256,Cables!$A:$A,0))-1+MIN(MAX(IFERROR(MATCH(LN(E256),INDEX(Attenuation!$J:$J,INDEX(Cables!$AO:$AO,MATCH(G256,Cables!$A:$A,0))):INDEX(Attenuation!$J:$J,INDEX(Cables!$AO:$AO,MATCH(G256,Cables!$A:$A,0))+INDEX(Cables!$AP:$AP,MATCH(G256,Cables!$A:$A,0))-1),1),1),1),INDEX(Cables!$AP:$AP,MATCH(G256,Cables!$A:$A,0))-1))):INDEX(Attenuation!$K:$K,(INDEX(Cables!$AO:$AO,MATCH(G256,Cables!$A:$A,0))-1+MIN(MAX(IFERROR(MATCH(LN(E256),INDEX(Attenuation!$J:$J,INDEX(Cables!$AO:$AO,MATCH(G256,Cables!$A:$A,0))):INDEX(Attenuation!$J:$J,INDEX(Cables!$AO:$AO,MATCH(G256,Cables!$A:$A,0))+INDEX(Cables!$AP:$AP,MATCH(G256,Cables!$A:$A,0))-1),1),1),1),INDEX(Cables!$AP:$AP,MATCH(G256,Cables!$A:$A,0))-1))+1),INDEX(Attenuation!$J:$J,(INDEX(Cables!$AO:$AO,MATCH(G256,Cables!$A:$A,0))-1+MIN(MAX(IFERROR(MATCH(LN(E256),INDEX(Attenuation!$J:$J,INDEX(Cables!$AO:$AO,MATCH(G256,Cables!$A:$A,0))):INDEX(Attenuation!$J:$J,INDEX(Cables!$AO:$AO,MATCH(G256,Cables!$A:$A,0))+INDEX(Cables!$AP:$AP,MATCH(G256,Cables!$A:$A,0))-1),1),1),1),INDEX(Cables!$AP:$AP,MATCH(G256,Cables!$A:$A,0))-1))):INDEX(Attenuation!$J:$J,(INDEX(Cables!$AO:$AO,MATCH(G256,Cables!$A:$A,0))-1+MIN(MAX(IFERROR(MATCH(LN(E256),INDEX(Attenuation!$J:$J,INDEX(Cables!$AO:$AO,MATCH(G256,Cables!$A:$A,0))):INDEX(Attenuation!$J:$J,INDEX(Cables!$AO:$AO,MATCH(G256,Cables!$A:$A,0))+INDEX(Cables!$AP:$AP,MATCH(G256,Cables!$A:$A,0))-1),1),1),1),INDEX(Cables!$AP:$AP,MATCH(G256,Cables!$A:$A,0))-1))+1)))*0.3048)</f>
        <v>4.7020857251249604</v>
      </c>
      <c r="J256" s="44">
        <f t="shared" si="3"/>
        <v>0</v>
      </c>
      <c r="K256" s="40" t="str">
        <f>IF(G256="","Doğrulanmadı",IF(ABS(J256)&lt;=0.1,"Uyumlu (±%10)",IF(ABS(J256)&lt;=0.25,"Fark %10-25","Fark &gt;%25"))&amp;IF(OR(D256&lt;INDEX(Cables!$AQ:$AQ,MATCH(G256,Cables!$A:$A,0)),E256&gt;INDEX(Cables!$AR:$AR,MATCH(G256,Cables!$A:$A,0)))," · ekstrapolasyon",""))</f>
        <v>Uyumlu (±%10)</v>
      </c>
    </row>
    <row r="257" spans="1:11" x14ac:dyDescent="0.25">
      <c r="A257" s="37" t="s">
        <v>3044</v>
      </c>
      <c r="B257" s="40" t="str">
        <f>INDEX(Legacy_Index!$D:$D,MATCH(A257,Legacy_Index!$A:$A,0))</f>
        <v>HYPERFLEX 10™ Messi and Paoloni</v>
      </c>
      <c r="C257" s="37" t="s">
        <v>3121</v>
      </c>
      <c r="D257" s="37">
        <v>2400</v>
      </c>
      <c r="E257" s="37">
        <v>2500</v>
      </c>
      <c r="F257" s="37">
        <v>6.6</v>
      </c>
      <c r="G257" s="40" t="str">
        <f>IF(INDEX(Legacy_Index!$G:$G,MATCH(A257,Legacy_Index!$A:$A,0))="","",INDEX(Legacy_Index!$G:$G,MATCH(A257,Legacy_Index!$A:$A,0)))</f>
        <v>MP-HYPERFLEX10</v>
      </c>
      <c r="H257" s="43">
        <f>IF(G257="","",EXP(FORECAST(LN(D257),INDEX(Attenuation!$K:$K,(INDEX(Cables!$AO:$AO,MATCH(G257,Cables!$A:$A,0))-1+MIN(MAX(IFERROR(MATCH(LN(D257),INDEX(Attenuation!$J:$J,INDEX(Cables!$AO:$AO,MATCH(G257,Cables!$A:$A,0))):INDEX(Attenuation!$J:$J,INDEX(Cables!$AO:$AO,MATCH(G257,Cables!$A:$A,0))+INDEX(Cables!$AP:$AP,MATCH(G257,Cables!$A:$A,0))-1),1),1),1),INDEX(Cables!$AP:$AP,MATCH(G257,Cables!$A:$A,0))-1))):INDEX(Attenuation!$K:$K,(INDEX(Cables!$AO:$AO,MATCH(G257,Cables!$A:$A,0))-1+MIN(MAX(IFERROR(MATCH(LN(D257),INDEX(Attenuation!$J:$J,INDEX(Cables!$AO:$AO,MATCH(G257,Cables!$A:$A,0))):INDEX(Attenuation!$J:$J,INDEX(Cables!$AO:$AO,MATCH(G257,Cables!$A:$A,0))+INDEX(Cables!$AP:$AP,MATCH(G257,Cables!$A:$A,0))-1),1),1),1),INDEX(Cables!$AP:$AP,MATCH(G257,Cables!$A:$A,0))-1))+1),INDEX(Attenuation!$J:$J,(INDEX(Cables!$AO:$AO,MATCH(G257,Cables!$A:$A,0))-1+MIN(MAX(IFERROR(MATCH(LN(D257),INDEX(Attenuation!$J:$J,INDEX(Cables!$AO:$AO,MATCH(G257,Cables!$A:$A,0))):INDEX(Attenuation!$J:$J,INDEX(Cables!$AO:$AO,MATCH(G257,Cables!$A:$A,0))+INDEX(Cables!$AP:$AP,MATCH(G257,Cables!$A:$A,0))-1),1),1),1),INDEX(Cables!$AP:$AP,MATCH(G257,Cables!$A:$A,0))-1))):INDEX(Attenuation!$J:$J,(INDEX(Cables!$AO:$AO,MATCH(G257,Cables!$A:$A,0))-1+MIN(MAX(IFERROR(MATCH(LN(D257),INDEX(Attenuation!$J:$J,INDEX(Cables!$AO:$AO,MATCH(G257,Cables!$A:$A,0))):INDEX(Attenuation!$J:$J,INDEX(Cables!$AO:$AO,MATCH(G257,Cables!$A:$A,0))+INDEX(Cables!$AP:$AP,MATCH(G257,Cables!$A:$A,0))-1),1),1),1),INDEX(Cables!$AP:$AP,MATCH(G257,Cables!$A:$A,0))-1))+1)))*0.3048)</f>
        <v>6.6446400000000034</v>
      </c>
      <c r="I257" s="43">
        <f>IF(G257="","",EXP(FORECAST(LN(E257),INDEX(Attenuation!$K:$K,(INDEX(Cables!$AO:$AO,MATCH(G257,Cables!$A:$A,0))-1+MIN(MAX(IFERROR(MATCH(LN(E257),INDEX(Attenuation!$J:$J,INDEX(Cables!$AO:$AO,MATCH(G257,Cables!$A:$A,0))):INDEX(Attenuation!$J:$J,INDEX(Cables!$AO:$AO,MATCH(G257,Cables!$A:$A,0))+INDEX(Cables!$AP:$AP,MATCH(G257,Cables!$A:$A,0))-1),1),1),1),INDEX(Cables!$AP:$AP,MATCH(G257,Cables!$A:$A,0))-1))):INDEX(Attenuation!$K:$K,(INDEX(Cables!$AO:$AO,MATCH(G257,Cables!$A:$A,0))-1+MIN(MAX(IFERROR(MATCH(LN(E257),INDEX(Attenuation!$J:$J,INDEX(Cables!$AO:$AO,MATCH(G257,Cables!$A:$A,0))):INDEX(Attenuation!$J:$J,INDEX(Cables!$AO:$AO,MATCH(G257,Cables!$A:$A,0))+INDEX(Cables!$AP:$AP,MATCH(G257,Cables!$A:$A,0))-1),1),1),1),INDEX(Cables!$AP:$AP,MATCH(G257,Cables!$A:$A,0))-1))+1),INDEX(Attenuation!$J:$J,(INDEX(Cables!$AO:$AO,MATCH(G257,Cables!$A:$A,0))-1+MIN(MAX(IFERROR(MATCH(LN(E257),INDEX(Attenuation!$J:$J,INDEX(Cables!$AO:$AO,MATCH(G257,Cables!$A:$A,0))):INDEX(Attenuation!$J:$J,INDEX(Cables!$AO:$AO,MATCH(G257,Cables!$A:$A,0))+INDEX(Cables!$AP:$AP,MATCH(G257,Cables!$A:$A,0))-1),1),1),1),INDEX(Cables!$AP:$AP,MATCH(G257,Cables!$A:$A,0))-1))):INDEX(Attenuation!$J:$J,(INDEX(Cables!$AO:$AO,MATCH(G257,Cables!$A:$A,0))-1+MIN(MAX(IFERROR(MATCH(LN(E257),INDEX(Attenuation!$J:$J,INDEX(Cables!$AO:$AO,MATCH(G257,Cables!$A:$A,0))):INDEX(Attenuation!$J:$J,INDEX(Cables!$AO:$AO,MATCH(G257,Cables!$A:$A,0))+INDEX(Cables!$AP:$AP,MATCH(G257,Cables!$A:$A,0))-1),1),1),1),INDEX(Cables!$AP:$AP,MATCH(G257,Cables!$A:$A,0))-1))+1)))*0.3048)</f>
        <v>6.7931612007279201</v>
      </c>
      <c r="J257" s="44">
        <f t="shared" si="3"/>
        <v>-6.7181969226329796E-3</v>
      </c>
      <c r="K257" s="40" t="str">
        <f>IF(G257="","Doğrulanmadı",IF(ABS(J257)&lt;=0.1,"Uyumlu (±%10)",IF(ABS(J257)&lt;=0.25,"Fark %10-25","Fark &gt;%25"))&amp;IF(OR(D257&lt;INDEX(Cables!$AQ:$AQ,MATCH(G257,Cables!$A:$A,0)),E257&gt;INDEX(Cables!$AR:$AR,MATCH(G257,Cables!$A:$A,0)))," · ekstrapolasyon",""))</f>
        <v>Uyumlu (±%10)</v>
      </c>
    </row>
    <row r="258" spans="1:11" x14ac:dyDescent="0.25">
      <c r="A258" s="37" t="s">
        <v>3044</v>
      </c>
      <c r="B258" s="40" t="str">
        <f>INDEX(Legacy_Index!$D:$D,MATCH(A258,Legacy_Index!$A:$A,0))</f>
        <v>HYPERFLEX 10™ Messi and Paoloni</v>
      </c>
      <c r="C258" s="37" t="s">
        <v>3122</v>
      </c>
      <c r="D258" s="37">
        <v>5725</v>
      </c>
      <c r="E258" s="37">
        <v>5875</v>
      </c>
      <c r="F258" s="37">
        <v>10</v>
      </c>
      <c r="G258" s="40" t="str">
        <f>IF(INDEX(Legacy_Index!$G:$G,MATCH(A258,Legacy_Index!$A:$A,0))="","",INDEX(Legacy_Index!$G:$G,MATCH(A258,Legacy_Index!$A:$A,0)))</f>
        <v>MP-HYPERFLEX10</v>
      </c>
      <c r="H258" s="43">
        <f>IF(G258="","",EXP(FORECAST(LN(D258),INDEX(Attenuation!$K:$K,(INDEX(Cables!$AO:$AO,MATCH(G258,Cables!$A:$A,0))-1+MIN(MAX(IFERROR(MATCH(LN(D258),INDEX(Attenuation!$J:$J,INDEX(Cables!$AO:$AO,MATCH(G258,Cables!$A:$A,0))):INDEX(Attenuation!$J:$J,INDEX(Cables!$AO:$AO,MATCH(G258,Cables!$A:$A,0))+INDEX(Cables!$AP:$AP,MATCH(G258,Cables!$A:$A,0))-1),1),1),1),INDEX(Cables!$AP:$AP,MATCH(G258,Cables!$A:$A,0))-1))):INDEX(Attenuation!$K:$K,(INDEX(Cables!$AO:$AO,MATCH(G258,Cables!$A:$A,0))-1+MIN(MAX(IFERROR(MATCH(LN(D258),INDEX(Attenuation!$J:$J,INDEX(Cables!$AO:$AO,MATCH(G258,Cables!$A:$A,0))):INDEX(Attenuation!$J:$J,INDEX(Cables!$AO:$AO,MATCH(G258,Cables!$A:$A,0))+INDEX(Cables!$AP:$AP,MATCH(G258,Cables!$A:$A,0))-1),1),1),1),INDEX(Cables!$AP:$AP,MATCH(G258,Cables!$A:$A,0))-1))+1),INDEX(Attenuation!$J:$J,(INDEX(Cables!$AO:$AO,MATCH(G258,Cables!$A:$A,0))-1+MIN(MAX(IFERROR(MATCH(LN(D258),INDEX(Attenuation!$J:$J,INDEX(Cables!$AO:$AO,MATCH(G258,Cables!$A:$A,0))):INDEX(Attenuation!$J:$J,INDEX(Cables!$AO:$AO,MATCH(G258,Cables!$A:$A,0))+INDEX(Cables!$AP:$AP,MATCH(G258,Cables!$A:$A,0))-1),1),1),1),INDEX(Cables!$AP:$AP,MATCH(G258,Cables!$A:$A,0))-1))):INDEX(Attenuation!$J:$J,(INDEX(Cables!$AO:$AO,MATCH(G258,Cables!$A:$A,0))-1+MIN(MAX(IFERROR(MATCH(LN(D258),INDEX(Attenuation!$J:$J,INDEX(Cables!$AO:$AO,MATCH(G258,Cables!$A:$A,0))):INDEX(Attenuation!$J:$J,INDEX(Cables!$AO:$AO,MATCH(G258,Cables!$A:$A,0))+INDEX(Cables!$AP:$AP,MATCH(G258,Cables!$A:$A,0))-1),1),1),1),INDEX(Cables!$AP:$AP,MATCH(G258,Cables!$A:$A,0))-1))+1)))*0.3048)</f>
        <v>10.936937800878237</v>
      </c>
      <c r="I258" s="43">
        <f>IF(G258="","",EXP(FORECAST(LN(E258),INDEX(Attenuation!$K:$K,(INDEX(Cables!$AO:$AO,MATCH(G258,Cables!$A:$A,0))-1+MIN(MAX(IFERROR(MATCH(LN(E258),INDEX(Attenuation!$J:$J,INDEX(Cables!$AO:$AO,MATCH(G258,Cables!$A:$A,0))):INDEX(Attenuation!$J:$J,INDEX(Cables!$AO:$AO,MATCH(G258,Cables!$A:$A,0))+INDEX(Cables!$AP:$AP,MATCH(G258,Cables!$A:$A,0))-1),1),1),1),INDEX(Cables!$AP:$AP,MATCH(G258,Cables!$A:$A,0))-1))):INDEX(Attenuation!$K:$K,(INDEX(Cables!$AO:$AO,MATCH(G258,Cables!$A:$A,0))-1+MIN(MAX(IFERROR(MATCH(LN(E258),INDEX(Attenuation!$J:$J,INDEX(Cables!$AO:$AO,MATCH(G258,Cables!$A:$A,0))):INDEX(Attenuation!$J:$J,INDEX(Cables!$AO:$AO,MATCH(G258,Cables!$A:$A,0))+INDEX(Cables!$AP:$AP,MATCH(G258,Cables!$A:$A,0))-1),1),1),1),INDEX(Cables!$AP:$AP,MATCH(G258,Cables!$A:$A,0))-1))+1),INDEX(Attenuation!$J:$J,(INDEX(Cables!$AO:$AO,MATCH(G258,Cables!$A:$A,0))-1+MIN(MAX(IFERROR(MATCH(LN(E258),INDEX(Attenuation!$J:$J,INDEX(Cables!$AO:$AO,MATCH(G258,Cables!$A:$A,0))):INDEX(Attenuation!$J:$J,INDEX(Cables!$AO:$AO,MATCH(G258,Cables!$A:$A,0))+INDEX(Cables!$AP:$AP,MATCH(G258,Cables!$A:$A,0))-1),1),1),1),INDEX(Cables!$AP:$AP,MATCH(G258,Cables!$A:$A,0))-1))):INDEX(Attenuation!$J:$J,(INDEX(Cables!$AO:$AO,MATCH(G258,Cables!$A:$A,0))-1+MIN(MAX(IFERROR(MATCH(LN(E258),INDEX(Attenuation!$J:$J,INDEX(Cables!$AO:$AO,MATCH(G258,Cables!$A:$A,0))):INDEX(Attenuation!$J:$J,INDEX(Cables!$AO:$AO,MATCH(G258,Cables!$A:$A,0))+INDEX(Cables!$AP:$AP,MATCH(G258,Cables!$A:$A,0))-1),1),1),1),INDEX(Cables!$AP:$AP,MATCH(G258,Cables!$A:$A,0))-1))+1)))*0.3048)</f>
        <v>11.106856004068158</v>
      </c>
      <c r="J258" s="44">
        <f t="shared" ref="J258:J321" si="4">IF(G258="","",IF(F258&lt;H258,F258/H258-1,IF(F258&gt;I258,F258/I258-1,0)))</f>
        <v>-8.5667288041356593E-2</v>
      </c>
      <c r="K258" s="40" t="str">
        <f>IF(G258="","Doğrulanmadı",IF(ABS(J258)&lt;=0.1,"Uyumlu (±%10)",IF(ABS(J258)&lt;=0.25,"Fark %10-25","Fark &gt;%25"))&amp;IF(OR(D258&lt;INDEX(Cables!$AQ:$AQ,MATCH(G258,Cables!$A:$A,0)),E258&gt;INDEX(Cables!$AR:$AR,MATCH(G258,Cables!$A:$A,0)))," · ekstrapolasyon",""))</f>
        <v>Uyumlu (±%10)</v>
      </c>
    </row>
    <row r="259" spans="1:11" x14ac:dyDescent="0.25">
      <c r="A259" s="37" t="s">
        <v>3046</v>
      </c>
      <c r="B259" s="40" t="str">
        <f>INDEX(Legacy_Index!$D:$D,MATCH(A259,Legacy_Index!$A:$A,0))</f>
        <v>AIRBORNE 10™ Messi and Paoloni</v>
      </c>
      <c r="C259" s="37" t="s">
        <v>3117</v>
      </c>
      <c r="D259" s="37">
        <v>1</v>
      </c>
      <c r="E259" s="37">
        <v>10</v>
      </c>
      <c r="F259" s="37">
        <v>0.25</v>
      </c>
      <c r="G259" s="40" t="str">
        <f>IF(INDEX(Legacy_Index!$G:$G,MATCH(A259,Legacy_Index!$A:$A,0))="","",INDEX(Legacy_Index!$G:$G,MATCH(A259,Legacy_Index!$A:$A,0)))</f>
        <v>MP-AIRBORNE10</v>
      </c>
      <c r="H259" s="43">
        <f>IF(G259="","",EXP(FORECAST(LN(D259),INDEX(Attenuation!$K:$K,(INDEX(Cables!$AO:$AO,MATCH(G259,Cables!$A:$A,0))-1+MIN(MAX(IFERROR(MATCH(LN(D259),INDEX(Attenuation!$J:$J,INDEX(Cables!$AO:$AO,MATCH(G259,Cables!$A:$A,0))):INDEX(Attenuation!$J:$J,INDEX(Cables!$AO:$AO,MATCH(G259,Cables!$A:$A,0))+INDEX(Cables!$AP:$AP,MATCH(G259,Cables!$A:$A,0))-1),1),1),1),INDEX(Cables!$AP:$AP,MATCH(G259,Cables!$A:$A,0))-1))):INDEX(Attenuation!$K:$K,(INDEX(Cables!$AO:$AO,MATCH(G259,Cables!$A:$A,0))-1+MIN(MAX(IFERROR(MATCH(LN(D259),INDEX(Attenuation!$J:$J,INDEX(Cables!$AO:$AO,MATCH(G259,Cables!$A:$A,0))):INDEX(Attenuation!$J:$J,INDEX(Cables!$AO:$AO,MATCH(G259,Cables!$A:$A,0))+INDEX(Cables!$AP:$AP,MATCH(G259,Cables!$A:$A,0))-1),1),1),1),INDEX(Cables!$AP:$AP,MATCH(G259,Cables!$A:$A,0))-1))+1),INDEX(Attenuation!$J:$J,(INDEX(Cables!$AO:$AO,MATCH(G259,Cables!$A:$A,0))-1+MIN(MAX(IFERROR(MATCH(LN(D259),INDEX(Attenuation!$J:$J,INDEX(Cables!$AO:$AO,MATCH(G259,Cables!$A:$A,0))):INDEX(Attenuation!$J:$J,INDEX(Cables!$AO:$AO,MATCH(G259,Cables!$A:$A,0))+INDEX(Cables!$AP:$AP,MATCH(G259,Cables!$A:$A,0))-1),1),1),1),INDEX(Cables!$AP:$AP,MATCH(G259,Cables!$A:$A,0))-1))):INDEX(Attenuation!$J:$J,(INDEX(Cables!$AO:$AO,MATCH(G259,Cables!$A:$A,0))-1+MIN(MAX(IFERROR(MATCH(LN(D259),INDEX(Attenuation!$J:$J,INDEX(Cables!$AO:$AO,MATCH(G259,Cables!$A:$A,0))):INDEX(Attenuation!$J:$J,INDEX(Cables!$AO:$AO,MATCH(G259,Cables!$A:$A,0))+INDEX(Cables!$AP:$AP,MATCH(G259,Cables!$A:$A,0))-1),1),1),1),INDEX(Cables!$AP:$AP,MATCH(G259,Cables!$A:$A,0))-1))+1)))*0.3048)</f>
        <v>0.14181762651953336</v>
      </c>
      <c r="I259" s="43">
        <f>IF(G259="","",EXP(FORECAST(LN(E259),INDEX(Attenuation!$K:$K,(INDEX(Cables!$AO:$AO,MATCH(G259,Cables!$A:$A,0))-1+MIN(MAX(IFERROR(MATCH(LN(E259),INDEX(Attenuation!$J:$J,INDEX(Cables!$AO:$AO,MATCH(G259,Cables!$A:$A,0))):INDEX(Attenuation!$J:$J,INDEX(Cables!$AO:$AO,MATCH(G259,Cables!$A:$A,0))+INDEX(Cables!$AP:$AP,MATCH(G259,Cables!$A:$A,0))-1),1),1),1),INDEX(Cables!$AP:$AP,MATCH(G259,Cables!$A:$A,0))-1))):INDEX(Attenuation!$K:$K,(INDEX(Cables!$AO:$AO,MATCH(G259,Cables!$A:$A,0))-1+MIN(MAX(IFERROR(MATCH(LN(E259),INDEX(Attenuation!$J:$J,INDEX(Cables!$AO:$AO,MATCH(G259,Cables!$A:$A,0))):INDEX(Attenuation!$J:$J,INDEX(Cables!$AO:$AO,MATCH(G259,Cables!$A:$A,0))+INDEX(Cables!$AP:$AP,MATCH(G259,Cables!$A:$A,0))-1),1),1),1),INDEX(Cables!$AP:$AP,MATCH(G259,Cables!$A:$A,0))-1))+1),INDEX(Attenuation!$J:$J,(INDEX(Cables!$AO:$AO,MATCH(G259,Cables!$A:$A,0))-1+MIN(MAX(IFERROR(MATCH(LN(E259),INDEX(Attenuation!$J:$J,INDEX(Cables!$AO:$AO,MATCH(G259,Cables!$A:$A,0))):INDEX(Attenuation!$J:$J,INDEX(Cables!$AO:$AO,MATCH(G259,Cables!$A:$A,0))+INDEX(Cables!$AP:$AP,MATCH(G259,Cables!$A:$A,0))-1),1),1),1),INDEX(Cables!$AP:$AP,MATCH(G259,Cables!$A:$A,0))-1))):INDEX(Attenuation!$J:$J,(INDEX(Cables!$AO:$AO,MATCH(G259,Cables!$A:$A,0))-1+MIN(MAX(IFERROR(MATCH(LN(E259),INDEX(Attenuation!$J:$J,INDEX(Cables!$AO:$AO,MATCH(G259,Cables!$A:$A,0))):INDEX(Attenuation!$J:$J,INDEX(Cables!$AO:$AO,MATCH(G259,Cables!$A:$A,0))+INDEX(Cables!$AP:$AP,MATCH(G259,Cables!$A:$A,0))-1),1),1),1),INDEX(Cables!$AP:$AP,MATCH(G259,Cables!$A:$A,0))-1))+1)))*0.3048)</f>
        <v>0.36576000000000003</v>
      </c>
      <c r="J259" s="44">
        <f t="shared" si="4"/>
        <v>0</v>
      </c>
      <c r="K259" s="40" t="str">
        <f>IF(G259="","Doğrulanmadı",IF(ABS(J259)&lt;=0.1,"Uyumlu (±%10)",IF(ABS(J259)&lt;=0.25,"Fark %10-25","Fark &gt;%25"))&amp;IF(OR(D259&lt;INDEX(Cables!$AQ:$AQ,MATCH(G259,Cables!$A:$A,0)),E259&gt;INDEX(Cables!$AR:$AR,MATCH(G259,Cables!$A:$A,0)))," · ekstrapolasyon",""))</f>
        <v>Uyumlu (±%10) · ekstrapolasyon</v>
      </c>
    </row>
    <row r="260" spans="1:11" x14ac:dyDescent="0.25">
      <c r="A260" s="37" t="s">
        <v>3046</v>
      </c>
      <c r="B260" s="40" t="str">
        <f>INDEX(Legacy_Index!$D:$D,MATCH(A260,Legacy_Index!$A:$A,0))</f>
        <v>AIRBORNE 10™ Messi and Paoloni</v>
      </c>
      <c r="C260" s="37" t="s">
        <v>3118</v>
      </c>
      <c r="D260" s="37">
        <v>30</v>
      </c>
      <c r="E260" s="37">
        <v>50</v>
      </c>
      <c r="F260" s="37">
        <v>0.6</v>
      </c>
      <c r="G260" s="40" t="str">
        <f>IF(INDEX(Legacy_Index!$G:$G,MATCH(A260,Legacy_Index!$A:$A,0))="","",INDEX(Legacy_Index!$G:$G,MATCH(A260,Legacy_Index!$A:$A,0)))</f>
        <v>MP-AIRBORNE10</v>
      </c>
      <c r="H260" s="43">
        <f>IF(G260="","",EXP(FORECAST(LN(D260),INDEX(Attenuation!$K:$K,(INDEX(Cables!$AO:$AO,MATCH(G260,Cables!$A:$A,0))-1+MIN(MAX(IFERROR(MATCH(LN(D260),INDEX(Attenuation!$J:$J,INDEX(Cables!$AO:$AO,MATCH(G260,Cables!$A:$A,0))):INDEX(Attenuation!$J:$J,INDEX(Cables!$AO:$AO,MATCH(G260,Cables!$A:$A,0))+INDEX(Cables!$AP:$AP,MATCH(G260,Cables!$A:$A,0))-1),1),1),1),INDEX(Cables!$AP:$AP,MATCH(G260,Cables!$A:$A,0))-1))):INDEX(Attenuation!$K:$K,(INDEX(Cables!$AO:$AO,MATCH(G260,Cables!$A:$A,0))-1+MIN(MAX(IFERROR(MATCH(LN(D260),INDEX(Attenuation!$J:$J,INDEX(Cables!$AO:$AO,MATCH(G260,Cables!$A:$A,0))):INDEX(Attenuation!$J:$J,INDEX(Cables!$AO:$AO,MATCH(G260,Cables!$A:$A,0))+INDEX(Cables!$AP:$AP,MATCH(G260,Cables!$A:$A,0))-1),1),1),1),INDEX(Cables!$AP:$AP,MATCH(G260,Cables!$A:$A,0))-1))+1),INDEX(Attenuation!$J:$J,(INDEX(Cables!$AO:$AO,MATCH(G260,Cables!$A:$A,0))-1+MIN(MAX(IFERROR(MATCH(LN(D260),INDEX(Attenuation!$J:$J,INDEX(Cables!$AO:$AO,MATCH(G260,Cables!$A:$A,0))):INDEX(Attenuation!$J:$J,INDEX(Cables!$AO:$AO,MATCH(G260,Cables!$A:$A,0))+INDEX(Cables!$AP:$AP,MATCH(G260,Cables!$A:$A,0))-1),1),1),1),INDEX(Cables!$AP:$AP,MATCH(G260,Cables!$A:$A,0))-1))):INDEX(Attenuation!$J:$J,(INDEX(Cables!$AO:$AO,MATCH(G260,Cables!$A:$A,0))-1+MIN(MAX(IFERROR(MATCH(LN(D260),INDEX(Attenuation!$J:$J,INDEX(Cables!$AO:$AO,MATCH(G260,Cables!$A:$A,0))):INDEX(Attenuation!$J:$J,INDEX(Cables!$AO:$AO,MATCH(G260,Cables!$A:$A,0))+INDEX(Cables!$AP:$AP,MATCH(G260,Cables!$A:$A,0))-1),1),1),1),INDEX(Cables!$AP:$AP,MATCH(G260,Cables!$A:$A,0))-1))+1)))*0.3048)</f>
        <v>0.59544418080860029</v>
      </c>
      <c r="I260" s="43">
        <f>IF(G260="","",EXP(FORECAST(LN(E260),INDEX(Attenuation!$K:$K,(INDEX(Cables!$AO:$AO,MATCH(G260,Cables!$A:$A,0))-1+MIN(MAX(IFERROR(MATCH(LN(E260),INDEX(Attenuation!$J:$J,INDEX(Cables!$AO:$AO,MATCH(G260,Cables!$A:$A,0))):INDEX(Attenuation!$J:$J,INDEX(Cables!$AO:$AO,MATCH(G260,Cables!$A:$A,0))+INDEX(Cables!$AP:$AP,MATCH(G260,Cables!$A:$A,0))-1),1),1),1),INDEX(Cables!$AP:$AP,MATCH(G260,Cables!$A:$A,0))-1))):INDEX(Attenuation!$K:$K,(INDEX(Cables!$AO:$AO,MATCH(G260,Cables!$A:$A,0))-1+MIN(MAX(IFERROR(MATCH(LN(E260),INDEX(Attenuation!$J:$J,INDEX(Cables!$AO:$AO,MATCH(G260,Cables!$A:$A,0))):INDEX(Attenuation!$J:$J,INDEX(Cables!$AO:$AO,MATCH(G260,Cables!$A:$A,0))+INDEX(Cables!$AP:$AP,MATCH(G260,Cables!$A:$A,0))-1),1),1),1),INDEX(Cables!$AP:$AP,MATCH(G260,Cables!$A:$A,0))-1))+1),INDEX(Attenuation!$J:$J,(INDEX(Cables!$AO:$AO,MATCH(G260,Cables!$A:$A,0))-1+MIN(MAX(IFERROR(MATCH(LN(E260),INDEX(Attenuation!$J:$J,INDEX(Cables!$AO:$AO,MATCH(G260,Cables!$A:$A,0))):INDEX(Attenuation!$J:$J,INDEX(Cables!$AO:$AO,MATCH(G260,Cables!$A:$A,0))+INDEX(Cables!$AP:$AP,MATCH(G260,Cables!$A:$A,0))-1),1),1),1),INDEX(Cables!$AP:$AP,MATCH(G260,Cables!$A:$A,0))-1))):INDEX(Attenuation!$J:$J,(INDEX(Cables!$AO:$AO,MATCH(G260,Cables!$A:$A,0))-1+MIN(MAX(IFERROR(MATCH(LN(E260),INDEX(Attenuation!$J:$J,INDEX(Cables!$AO:$AO,MATCH(G260,Cables!$A:$A,0))):INDEX(Attenuation!$J:$J,INDEX(Cables!$AO:$AO,MATCH(G260,Cables!$A:$A,0))+INDEX(Cables!$AP:$AP,MATCH(G260,Cables!$A:$A,0))-1),1),1),1),INDEX(Cables!$AP:$AP,MATCH(G260,Cables!$A:$A,0))-1))+1)))*0.3048)</f>
        <v>0.73151999999999984</v>
      </c>
      <c r="J260" s="44">
        <f t="shared" si="4"/>
        <v>0</v>
      </c>
      <c r="K260" s="40" t="str">
        <f>IF(G260="","Doğrulanmadı",IF(ABS(J260)&lt;=0.1,"Uyumlu (±%10)",IF(ABS(J260)&lt;=0.25,"Fark %10-25","Fark &gt;%25"))&amp;IF(OR(D260&lt;INDEX(Cables!$AQ:$AQ,MATCH(G260,Cables!$A:$A,0)),E260&gt;INDEX(Cables!$AR:$AR,MATCH(G260,Cables!$A:$A,0)))," · ekstrapolasyon",""))</f>
        <v>Uyumlu (±%10)</v>
      </c>
    </row>
    <row r="261" spans="1:11" x14ac:dyDescent="0.25">
      <c r="A261" s="37" t="s">
        <v>3046</v>
      </c>
      <c r="B261" s="40" t="str">
        <f>INDEX(Legacy_Index!$D:$D,MATCH(A261,Legacy_Index!$A:$A,0))</f>
        <v>AIRBORNE 10™ Messi and Paoloni</v>
      </c>
      <c r="C261" s="37" t="s">
        <v>3113</v>
      </c>
      <c r="D261" s="37">
        <v>70</v>
      </c>
      <c r="E261" s="37">
        <v>100</v>
      </c>
      <c r="F261" s="37">
        <v>0.9</v>
      </c>
      <c r="G261" s="40" t="str">
        <f>IF(INDEX(Legacy_Index!$G:$G,MATCH(A261,Legacy_Index!$A:$A,0))="","",INDEX(Legacy_Index!$G:$G,MATCH(A261,Legacy_Index!$A:$A,0)))</f>
        <v>MP-AIRBORNE10</v>
      </c>
      <c r="H261" s="43">
        <f>IF(G261="","",EXP(FORECAST(LN(D261),INDEX(Attenuation!$K:$K,(INDEX(Cables!$AO:$AO,MATCH(G261,Cables!$A:$A,0))-1+MIN(MAX(IFERROR(MATCH(LN(D261),INDEX(Attenuation!$J:$J,INDEX(Cables!$AO:$AO,MATCH(G261,Cables!$A:$A,0))):INDEX(Attenuation!$J:$J,INDEX(Cables!$AO:$AO,MATCH(G261,Cables!$A:$A,0))+INDEX(Cables!$AP:$AP,MATCH(G261,Cables!$A:$A,0))-1),1),1),1),INDEX(Cables!$AP:$AP,MATCH(G261,Cables!$A:$A,0))-1))):INDEX(Attenuation!$K:$K,(INDEX(Cables!$AO:$AO,MATCH(G261,Cables!$A:$A,0))-1+MIN(MAX(IFERROR(MATCH(LN(D261),INDEX(Attenuation!$J:$J,INDEX(Cables!$AO:$AO,MATCH(G261,Cables!$A:$A,0))):INDEX(Attenuation!$J:$J,INDEX(Cables!$AO:$AO,MATCH(G261,Cables!$A:$A,0))+INDEX(Cables!$AP:$AP,MATCH(G261,Cables!$A:$A,0))-1),1),1),1),INDEX(Cables!$AP:$AP,MATCH(G261,Cables!$A:$A,0))-1))+1),INDEX(Attenuation!$J:$J,(INDEX(Cables!$AO:$AO,MATCH(G261,Cables!$A:$A,0))-1+MIN(MAX(IFERROR(MATCH(LN(D261),INDEX(Attenuation!$J:$J,INDEX(Cables!$AO:$AO,MATCH(G261,Cables!$A:$A,0))):INDEX(Attenuation!$J:$J,INDEX(Cables!$AO:$AO,MATCH(G261,Cables!$A:$A,0))+INDEX(Cables!$AP:$AP,MATCH(G261,Cables!$A:$A,0))-1),1),1),1),INDEX(Cables!$AP:$AP,MATCH(G261,Cables!$A:$A,0))-1))):INDEX(Attenuation!$J:$J,(INDEX(Cables!$AO:$AO,MATCH(G261,Cables!$A:$A,0))-1+MIN(MAX(IFERROR(MATCH(LN(D261),INDEX(Attenuation!$J:$J,INDEX(Cables!$AO:$AO,MATCH(G261,Cables!$A:$A,0))):INDEX(Attenuation!$J:$J,INDEX(Cables!$AO:$AO,MATCH(G261,Cables!$A:$A,0))+INDEX(Cables!$AP:$AP,MATCH(G261,Cables!$A:$A,0))-1),1),1),1),INDEX(Cables!$AP:$AP,MATCH(G261,Cables!$A:$A,0))-1))+1)))*0.3048)</f>
        <v>0.8785504230176473</v>
      </c>
      <c r="I261" s="43">
        <f>IF(G261="","",EXP(FORECAST(LN(E261),INDEX(Attenuation!$K:$K,(INDEX(Cables!$AO:$AO,MATCH(G261,Cables!$A:$A,0))-1+MIN(MAX(IFERROR(MATCH(LN(E261),INDEX(Attenuation!$J:$J,INDEX(Cables!$AO:$AO,MATCH(G261,Cables!$A:$A,0))):INDEX(Attenuation!$J:$J,INDEX(Cables!$AO:$AO,MATCH(G261,Cables!$A:$A,0))+INDEX(Cables!$AP:$AP,MATCH(G261,Cables!$A:$A,0))-1),1),1),1),INDEX(Cables!$AP:$AP,MATCH(G261,Cables!$A:$A,0))-1))):INDEX(Attenuation!$K:$K,(INDEX(Cables!$AO:$AO,MATCH(G261,Cables!$A:$A,0))-1+MIN(MAX(IFERROR(MATCH(LN(E261),INDEX(Attenuation!$J:$J,INDEX(Cables!$AO:$AO,MATCH(G261,Cables!$A:$A,0))):INDEX(Attenuation!$J:$J,INDEX(Cables!$AO:$AO,MATCH(G261,Cables!$A:$A,0))+INDEX(Cables!$AP:$AP,MATCH(G261,Cables!$A:$A,0))-1),1),1),1),INDEX(Cables!$AP:$AP,MATCH(G261,Cables!$A:$A,0))-1))+1),INDEX(Attenuation!$J:$J,(INDEX(Cables!$AO:$AO,MATCH(G261,Cables!$A:$A,0))-1+MIN(MAX(IFERROR(MATCH(LN(E261),INDEX(Attenuation!$J:$J,INDEX(Cables!$AO:$AO,MATCH(G261,Cables!$A:$A,0))):INDEX(Attenuation!$J:$J,INDEX(Cables!$AO:$AO,MATCH(G261,Cables!$A:$A,0))+INDEX(Cables!$AP:$AP,MATCH(G261,Cables!$A:$A,0))-1),1),1),1),INDEX(Cables!$AP:$AP,MATCH(G261,Cables!$A:$A,0))-1))):INDEX(Attenuation!$J:$J,(INDEX(Cables!$AO:$AO,MATCH(G261,Cables!$A:$A,0))-1+MIN(MAX(IFERROR(MATCH(LN(E261),INDEX(Attenuation!$J:$J,INDEX(Cables!$AO:$AO,MATCH(G261,Cables!$A:$A,0))):INDEX(Attenuation!$J:$J,INDEX(Cables!$AO:$AO,MATCH(G261,Cables!$A:$A,0))+INDEX(Cables!$AP:$AP,MATCH(G261,Cables!$A:$A,0))-1),1),1),1),INDEX(Cables!$AP:$AP,MATCH(G261,Cables!$A:$A,0))-1))+1)))*0.3048)</f>
        <v>1.0668</v>
      </c>
      <c r="J261" s="44">
        <f t="shared" si="4"/>
        <v>0</v>
      </c>
      <c r="K261" s="40" t="str">
        <f>IF(G261="","Doğrulanmadı",IF(ABS(J261)&lt;=0.1,"Uyumlu (±%10)",IF(ABS(J261)&lt;=0.25,"Fark %10-25","Fark &gt;%25"))&amp;IF(OR(D261&lt;INDEX(Cables!$AQ:$AQ,MATCH(G261,Cables!$A:$A,0)),E261&gt;INDEX(Cables!$AR:$AR,MATCH(G261,Cables!$A:$A,0)))," · ekstrapolasyon",""))</f>
        <v>Uyumlu (±%10)</v>
      </c>
    </row>
    <row r="262" spans="1:11" x14ac:dyDescent="0.25">
      <c r="A262" s="37" t="s">
        <v>3046</v>
      </c>
      <c r="B262" s="40" t="str">
        <f>INDEX(Legacy_Index!$D:$D,MATCH(A262,Legacy_Index!$A:$A,0))</f>
        <v>AIRBORNE 10™ Messi and Paoloni</v>
      </c>
      <c r="C262" s="37" t="s">
        <v>3114</v>
      </c>
      <c r="D262" s="37">
        <v>148</v>
      </c>
      <c r="E262" s="37">
        <v>174</v>
      </c>
      <c r="F262" s="37">
        <v>1.2</v>
      </c>
      <c r="G262" s="40" t="str">
        <f>IF(INDEX(Legacy_Index!$G:$G,MATCH(A262,Legacy_Index!$A:$A,0))="","",INDEX(Legacy_Index!$G:$G,MATCH(A262,Legacy_Index!$A:$A,0)))</f>
        <v>MP-AIRBORNE10</v>
      </c>
      <c r="H262" s="43">
        <f>IF(G262="","",EXP(FORECAST(LN(D262),INDEX(Attenuation!$K:$K,(INDEX(Cables!$AO:$AO,MATCH(G262,Cables!$A:$A,0))-1+MIN(MAX(IFERROR(MATCH(LN(D262),INDEX(Attenuation!$J:$J,INDEX(Cables!$AO:$AO,MATCH(G262,Cables!$A:$A,0))):INDEX(Attenuation!$J:$J,INDEX(Cables!$AO:$AO,MATCH(G262,Cables!$A:$A,0))+INDEX(Cables!$AP:$AP,MATCH(G262,Cables!$A:$A,0))-1),1),1),1),INDEX(Cables!$AP:$AP,MATCH(G262,Cables!$A:$A,0))-1))):INDEX(Attenuation!$K:$K,(INDEX(Cables!$AO:$AO,MATCH(G262,Cables!$A:$A,0))-1+MIN(MAX(IFERROR(MATCH(LN(D262),INDEX(Attenuation!$J:$J,INDEX(Cables!$AO:$AO,MATCH(G262,Cables!$A:$A,0))):INDEX(Attenuation!$J:$J,INDEX(Cables!$AO:$AO,MATCH(G262,Cables!$A:$A,0))+INDEX(Cables!$AP:$AP,MATCH(G262,Cables!$A:$A,0))-1),1),1),1),INDEX(Cables!$AP:$AP,MATCH(G262,Cables!$A:$A,0))-1))+1),INDEX(Attenuation!$J:$J,(INDEX(Cables!$AO:$AO,MATCH(G262,Cables!$A:$A,0))-1+MIN(MAX(IFERROR(MATCH(LN(D262),INDEX(Attenuation!$J:$J,INDEX(Cables!$AO:$AO,MATCH(G262,Cables!$A:$A,0))):INDEX(Attenuation!$J:$J,INDEX(Cables!$AO:$AO,MATCH(G262,Cables!$A:$A,0))+INDEX(Cables!$AP:$AP,MATCH(G262,Cables!$A:$A,0))-1),1),1),1),INDEX(Cables!$AP:$AP,MATCH(G262,Cables!$A:$A,0))-1))):INDEX(Attenuation!$J:$J,(INDEX(Cables!$AO:$AO,MATCH(G262,Cables!$A:$A,0))-1+MIN(MAX(IFERROR(MATCH(LN(D262),INDEX(Attenuation!$J:$J,INDEX(Cables!$AO:$AO,MATCH(G262,Cables!$A:$A,0))):INDEX(Attenuation!$J:$J,INDEX(Cables!$AO:$AO,MATCH(G262,Cables!$A:$A,0))+INDEX(Cables!$AP:$AP,MATCH(G262,Cables!$A:$A,0))-1),1),1),1),INDEX(Cables!$AP:$AP,MATCH(G262,Cables!$A:$A,0))-1))+1)))*0.3048)</f>
        <v>1.2989120941510039</v>
      </c>
      <c r="I262" s="43">
        <f>IF(G262="","",EXP(FORECAST(LN(E262),INDEX(Attenuation!$K:$K,(INDEX(Cables!$AO:$AO,MATCH(G262,Cables!$A:$A,0))-1+MIN(MAX(IFERROR(MATCH(LN(E262),INDEX(Attenuation!$J:$J,INDEX(Cables!$AO:$AO,MATCH(G262,Cables!$A:$A,0))):INDEX(Attenuation!$J:$J,INDEX(Cables!$AO:$AO,MATCH(G262,Cables!$A:$A,0))+INDEX(Cables!$AP:$AP,MATCH(G262,Cables!$A:$A,0))-1),1),1),1),INDEX(Cables!$AP:$AP,MATCH(G262,Cables!$A:$A,0))-1))):INDEX(Attenuation!$K:$K,(INDEX(Cables!$AO:$AO,MATCH(G262,Cables!$A:$A,0))-1+MIN(MAX(IFERROR(MATCH(LN(E262),INDEX(Attenuation!$J:$J,INDEX(Cables!$AO:$AO,MATCH(G262,Cables!$A:$A,0))):INDEX(Attenuation!$J:$J,INDEX(Cables!$AO:$AO,MATCH(G262,Cables!$A:$A,0))+INDEX(Cables!$AP:$AP,MATCH(G262,Cables!$A:$A,0))-1),1),1),1),INDEX(Cables!$AP:$AP,MATCH(G262,Cables!$A:$A,0))-1))+1),INDEX(Attenuation!$J:$J,(INDEX(Cables!$AO:$AO,MATCH(G262,Cables!$A:$A,0))-1+MIN(MAX(IFERROR(MATCH(LN(E262),INDEX(Attenuation!$J:$J,INDEX(Cables!$AO:$AO,MATCH(G262,Cables!$A:$A,0))):INDEX(Attenuation!$J:$J,INDEX(Cables!$AO:$AO,MATCH(G262,Cables!$A:$A,0))+INDEX(Cables!$AP:$AP,MATCH(G262,Cables!$A:$A,0))-1),1),1),1),INDEX(Cables!$AP:$AP,MATCH(G262,Cables!$A:$A,0))-1))):INDEX(Attenuation!$J:$J,(INDEX(Cables!$AO:$AO,MATCH(G262,Cables!$A:$A,0))-1+MIN(MAX(IFERROR(MATCH(LN(E262),INDEX(Attenuation!$J:$J,INDEX(Cables!$AO:$AO,MATCH(G262,Cables!$A:$A,0))):INDEX(Attenuation!$J:$J,INDEX(Cables!$AO:$AO,MATCH(G262,Cables!$A:$A,0))+INDEX(Cables!$AP:$AP,MATCH(G262,Cables!$A:$A,0))-1),1),1),1),INDEX(Cables!$AP:$AP,MATCH(G262,Cables!$A:$A,0))-1))+1)))*0.3048)</f>
        <v>1.4154184009296087</v>
      </c>
      <c r="J262" s="44">
        <f t="shared" si="4"/>
        <v>-7.614995240740674E-2</v>
      </c>
      <c r="K262" s="40" t="str">
        <f>IF(G262="","Doğrulanmadı",IF(ABS(J262)&lt;=0.1,"Uyumlu (±%10)",IF(ABS(J262)&lt;=0.25,"Fark %10-25","Fark &gt;%25"))&amp;IF(OR(D262&lt;INDEX(Cables!$AQ:$AQ,MATCH(G262,Cables!$A:$A,0)),E262&gt;INDEX(Cables!$AR:$AR,MATCH(G262,Cables!$A:$A,0)))," · ekstrapolasyon",""))</f>
        <v>Uyumlu (±%10)</v>
      </c>
    </row>
    <row r="263" spans="1:11" x14ac:dyDescent="0.25">
      <c r="A263" s="37" t="s">
        <v>3046</v>
      </c>
      <c r="B263" s="40" t="str">
        <f>INDEX(Legacy_Index!$D:$D,MATCH(A263,Legacy_Index!$A:$A,0))</f>
        <v>AIRBORNE 10™ Messi and Paoloni</v>
      </c>
      <c r="C263" s="37" t="s">
        <v>3119</v>
      </c>
      <c r="D263" s="37">
        <v>220</v>
      </c>
      <c r="E263" s="37">
        <v>220</v>
      </c>
      <c r="F263" s="37">
        <v>1.6</v>
      </c>
      <c r="G263" s="40" t="str">
        <f>IF(INDEX(Legacy_Index!$G:$G,MATCH(A263,Legacy_Index!$A:$A,0))="","",INDEX(Legacy_Index!$G:$G,MATCH(A263,Legacy_Index!$A:$A,0)))</f>
        <v>MP-AIRBORNE10</v>
      </c>
      <c r="H263" s="43">
        <f>IF(G263="","",EXP(FORECAST(LN(D263),INDEX(Attenuation!$K:$K,(INDEX(Cables!$AO:$AO,MATCH(G263,Cables!$A:$A,0))-1+MIN(MAX(IFERROR(MATCH(LN(D263),INDEX(Attenuation!$J:$J,INDEX(Cables!$AO:$AO,MATCH(G263,Cables!$A:$A,0))):INDEX(Attenuation!$J:$J,INDEX(Cables!$AO:$AO,MATCH(G263,Cables!$A:$A,0))+INDEX(Cables!$AP:$AP,MATCH(G263,Cables!$A:$A,0))-1),1),1),1),INDEX(Cables!$AP:$AP,MATCH(G263,Cables!$A:$A,0))-1))):INDEX(Attenuation!$K:$K,(INDEX(Cables!$AO:$AO,MATCH(G263,Cables!$A:$A,0))-1+MIN(MAX(IFERROR(MATCH(LN(D263),INDEX(Attenuation!$J:$J,INDEX(Cables!$AO:$AO,MATCH(G263,Cables!$A:$A,0))):INDEX(Attenuation!$J:$J,INDEX(Cables!$AO:$AO,MATCH(G263,Cables!$A:$A,0))+INDEX(Cables!$AP:$AP,MATCH(G263,Cables!$A:$A,0))-1),1),1),1),INDEX(Cables!$AP:$AP,MATCH(G263,Cables!$A:$A,0))-1))+1),INDEX(Attenuation!$J:$J,(INDEX(Cables!$AO:$AO,MATCH(G263,Cables!$A:$A,0))-1+MIN(MAX(IFERROR(MATCH(LN(D263),INDEX(Attenuation!$J:$J,INDEX(Cables!$AO:$AO,MATCH(G263,Cables!$A:$A,0))):INDEX(Attenuation!$J:$J,INDEX(Cables!$AO:$AO,MATCH(G263,Cables!$A:$A,0))+INDEX(Cables!$AP:$AP,MATCH(G263,Cables!$A:$A,0))-1),1),1),1),INDEX(Cables!$AP:$AP,MATCH(G263,Cables!$A:$A,0))-1))):INDEX(Attenuation!$J:$J,(INDEX(Cables!$AO:$AO,MATCH(G263,Cables!$A:$A,0))-1+MIN(MAX(IFERROR(MATCH(LN(D263),INDEX(Attenuation!$J:$J,INDEX(Cables!$AO:$AO,MATCH(G263,Cables!$A:$A,0))):INDEX(Attenuation!$J:$J,INDEX(Cables!$AO:$AO,MATCH(G263,Cables!$A:$A,0))+INDEX(Cables!$AP:$AP,MATCH(G263,Cables!$A:$A,0))-1),1),1),1),INDEX(Cables!$AP:$AP,MATCH(G263,Cables!$A:$A,0))-1))+1)))*0.3048)</f>
        <v>1.6023610059494322</v>
      </c>
      <c r="I263" s="43">
        <f>IF(G263="","",EXP(FORECAST(LN(E263),INDEX(Attenuation!$K:$K,(INDEX(Cables!$AO:$AO,MATCH(G263,Cables!$A:$A,0))-1+MIN(MAX(IFERROR(MATCH(LN(E263),INDEX(Attenuation!$J:$J,INDEX(Cables!$AO:$AO,MATCH(G263,Cables!$A:$A,0))):INDEX(Attenuation!$J:$J,INDEX(Cables!$AO:$AO,MATCH(G263,Cables!$A:$A,0))+INDEX(Cables!$AP:$AP,MATCH(G263,Cables!$A:$A,0))-1),1),1),1),INDEX(Cables!$AP:$AP,MATCH(G263,Cables!$A:$A,0))-1))):INDEX(Attenuation!$K:$K,(INDEX(Cables!$AO:$AO,MATCH(G263,Cables!$A:$A,0))-1+MIN(MAX(IFERROR(MATCH(LN(E263),INDEX(Attenuation!$J:$J,INDEX(Cables!$AO:$AO,MATCH(G263,Cables!$A:$A,0))):INDEX(Attenuation!$J:$J,INDEX(Cables!$AO:$AO,MATCH(G263,Cables!$A:$A,0))+INDEX(Cables!$AP:$AP,MATCH(G263,Cables!$A:$A,0))-1),1),1),1),INDEX(Cables!$AP:$AP,MATCH(G263,Cables!$A:$A,0))-1))+1),INDEX(Attenuation!$J:$J,(INDEX(Cables!$AO:$AO,MATCH(G263,Cables!$A:$A,0))-1+MIN(MAX(IFERROR(MATCH(LN(E263),INDEX(Attenuation!$J:$J,INDEX(Cables!$AO:$AO,MATCH(G263,Cables!$A:$A,0))):INDEX(Attenuation!$J:$J,INDEX(Cables!$AO:$AO,MATCH(G263,Cables!$A:$A,0))+INDEX(Cables!$AP:$AP,MATCH(G263,Cables!$A:$A,0))-1),1),1),1),INDEX(Cables!$AP:$AP,MATCH(G263,Cables!$A:$A,0))-1))):INDEX(Attenuation!$J:$J,(INDEX(Cables!$AO:$AO,MATCH(G263,Cables!$A:$A,0))-1+MIN(MAX(IFERROR(MATCH(LN(E263),INDEX(Attenuation!$J:$J,INDEX(Cables!$AO:$AO,MATCH(G263,Cables!$A:$A,0))):INDEX(Attenuation!$J:$J,INDEX(Cables!$AO:$AO,MATCH(G263,Cables!$A:$A,0))+INDEX(Cables!$AP:$AP,MATCH(G263,Cables!$A:$A,0))-1),1),1),1),INDEX(Cables!$AP:$AP,MATCH(G263,Cables!$A:$A,0))-1))+1)))*0.3048)</f>
        <v>1.6023610059494322</v>
      </c>
      <c r="J263" s="44">
        <f t="shared" si="4"/>
        <v>-1.4734544466983301E-3</v>
      </c>
      <c r="K263" s="40" t="str">
        <f>IF(G263="","Doğrulanmadı",IF(ABS(J263)&lt;=0.1,"Uyumlu (±%10)",IF(ABS(J263)&lt;=0.25,"Fark %10-25","Fark &gt;%25"))&amp;IF(OR(D263&lt;INDEX(Cables!$AQ:$AQ,MATCH(G263,Cables!$A:$A,0)),E263&gt;INDEX(Cables!$AR:$AR,MATCH(G263,Cables!$A:$A,0)))," · ekstrapolasyon",""))</f>
        <v>Uyumlu (±%10)</v>
      </c>
    </row>
    <row r="264" spans="1:11" x14ac:dyDescent="0.25">
      <c r="A264" s="37" t="s">
        <v>3046</v>
      </c>
      <c r="B264" s="40" t="str">
        <f>INDEX(Legacy_Index!$D:$D,MATCH(A264,Legacy_Index!$A:$A,0))</f>
        <v>AIRBORNE 10™ Messi and Paoloni</v>
      </c>
      <c r="C264" s="37" t="s">
        <v>3115</v>
      </c>
      <c r="D264" s="37">
        <v>400</v>
      </c>
      <c r="E264" s="37">
        <v>520</v>
      </c>
      <c r="F264" s="37">
        <v>2.4</v>
      </c>
      <c r="G264" s="40" t="str">
        <f>IF(INDEX(Legacy_Index!$G:$G,MATCH(A264,Legacy_Index!$A:$A,0))="","",INDEX(Legacy_Index!$G:$G,MATCH(A264,Legacy_Index!$A:$A,0)))</f>
        <v>MP-AIRBORNE10</v>
      </c>
      <c r="H264" s="43">
        <f>IF(G264="","",EXP(FORECAST(LN(D264),INDEX(Attenuation!$K:$K,(INDEX(Cables!$AO:$AO,MATCH(G264,Cables!$A:$A,0))-1+MIN(MAX(IFERROR(MATCH(LN(D264),INDEX(Attenuation!$J:$J,INDEX(Cables!$AO:$AO,MATCH(G264,Cables!$A:$A,0))):INDEX(Attenuation!$J:$J,INDEX(Cables!$AO:$AO,MATCH(G264,Cables!$A:$A,0))+INDEX(Cables!$AP:$AP,MATCH(G264,Cables!$A:$A,0))-1),1),1),1),INDEX(Cables!$AP:$AP,MATCH(G264,Cables!$A:$A,0))-1))):INDEX(Attenuation!$K:$K,(INDEX(Cables!$AO:$AO,MATCH(G264,Cables!$A:$A,0))-1+MIN(MAX(IFERROR(MATCH(LN(D264),INDEX(Attenuation!$J:$J,INDEX(Cables!$AO:$AO,MATCH(G264,Cables!$A:$A,0))):INDEX(Attenuation!$J:$J,INDEX(Cables!$AO:$AO,MATCH(G264,Cables!$A:$A,0))+INDEX(Cables!$AP:$AP,MATCH(G264,Cables!$A:$A,0))-1),1),1),1),INDEX(Cables!$AP:$AP,MATCH(G264,Cables!$A:$A,0))-1))+1),INDEX(Attenuation!$J:$J,(INDEX(Cables!$AO:$AO,MATCH(G264,Cables!$A:$A,0))-1+MIN(MAX(IFERROR(MATCH(LN(D264),INDEX(Attenuation!$J:$J,INDEX(Cables!$AO:$AO,MATCH(G264,Cables!$A:$A,0))):INDEX(Attenuation!$J:$J,INDEX(Cables!$AO:$AO,MATCH(G264,Cables!$A:$A,0))+INDEX(Cables!$AP:$AP,MATCH(G264,Cables!$A:$A,0))-1),1),1),1),INDEX(Cables!$AP:$AP,MATCH(G264,Cables!$A:$A,0))-1))):INDEX(Attenuation!$J:$J,(INDEX(Cables!$AO:$AO,MATCH(G264,Cables!$A:$A,0))-1+MIN(MAX(IFERROR(MATCH(LN(D264),INDEX(Attenuation!$J:$J,INDEX(Cables!$AO:$AO,MATCH(G264,Cables!$A:$A,0))):INDEX(Attenuation!$J:$J,INDEX(Cables!$AO:$AO,MATCH(G264,Cables!$A:$A,0))+INDEX(Cables!$AP:$AP,MATCH(G264,Cables!$A:$A,0))-1),1),1),1),INDEX(Cables!$AP:$AP,MATCH(G264,Cables!$A:$A,0))-1))+1)))*0.3048)</f>
        <v>2.1945599999999987</v>
      </c>
      <c r="I264" s="43">
        <f>IF(G264="","",EXP(FORECAST(LN(E264),INDEX(Attenuation!$K:$K,(INDEX(Cables!$AO:$AO,MATCH(G264,Cables!$A:$A,0))-1+MIN(MAX(IFERROR(MATCH(LN(E264),INDEX(Attenuation!$J:$J,INDEX(Cables!$AO:$AO,MATCH(G264,Cables!$A:$A,0))):INDEX(Attenuation!$J:$J,INDEX(Cables!$AO:$AO,MATCH(G264,Cables!$A:$A,0))+INDEX(Cables!$AP:$AP,MATCH(G264,Cables!$A:$A,0))-1),1),1),1),INDEX(Cables!$AP:$AP,MATCH(G264,Cables!$A:$A,0))-1))):INDEX(Attenuation!$K:$K,(INDEX(Cables!$AO:$AO,MATCH(G264,Cables!$A:$A,0))-1+MIN(MAX(IFERROR(MATCH(LN(E264),INDEX(Attenuation!$J:$J,INDEX(Cables!$AO:$AO,MATCH(G264,Cables!$A:$A,0))):INDEX(Attenuation!$J:$J,INDEX(Cables!$AO:$AO,MATCH(G264,Cables!$A:$A,0))+INDEX(Cables!$AP:$AP,MATCH(G264,Cables!$A:$A,0))-1),1),1),1),INDEX(Cables!$AP:$AP,MATCH(G264,Cables!$A:$A,0))-1))+1),INDEX(Attenuation!$J:$J,(INDEX(Cables!$AO:$AO,MATCH(G264,Cables!$A:$A,0))-1+MIN(MAX(IFERROR(MATCH(LN(E264),INDEX(Attenuation!$J:$J,INDEX(Cables!$AO:$AO,MATCH(G264,Cables!$A:$A,0))):INDEX(Attenuation!$J:$J,INDEX(Cables!$AO:$AO,MATCH(G264,Cables!$A:$A,0))+INDEX(Cables!$AP:$AP,MATCH(G264,Cables!$A:$A,0))-1),1),1),1),INDEX(Cables!$AP:$AP,MATCH(G264,Cables!$A:$A,0))-1))):INDEX(Attenuation!$J:$J,(INDEX(Cables!$AO:$AO,MATCH(G264,Cables!$A:$A,0))-1+MIN(MAX(IFERROR(MATCH(LN(E264),INDEX(Attenuation!$J:$J,INDEX(Cables!$AO:$AO,MATCH(G264,Cables!$A:$A,0))):INDEX(Attenuation!$J:$J,INDEX(Cables!$AO:$AO,MATCH(G264,Cables!$A:$A,0))+INDEX(Cables!$AP:$AP,MATCH(G264,Cables!$A:$A,0))-1),1),1),1),INDEX(Cables!$AP:$AP,MATCH(G264,Cables!$A:$A,0))-1))+1)))*0.3048)</f>
        <v>2.5499244175948861</v>
      </c>
      <c r="J264" s="44">
        <f t="shared" si="4"/>
        <v>0</v>
      </c>
      <c r="K264" s="40" t="str">
        <f>IF(G264="","Doğrulanmadı",IF(ABS(J264)&lt;=0.1,"Uyumlu (±%10)",IF(ABS(J264)&lt;=0.25,"Fark %10-25","Fark &gt;%25"))&amp;IF(OR(D264&lt;INDEX(Cables!$AQ:$AQ,MATCH(G264,Cables!$A:$A,0)),E264&gt;INDEX(Cables!$AR:$AR,MATCH(G264,Cables!$A:$A,0)))," · ekstrapolasyon",""))</f>
        <v>Uyumlu (±%10)</v>
      </c>
    </row>
    <row r="265" spans="1:11" x14ac:dyDescent="0.25">
      <c r="A265" s="37" t="s">
        <v>3046</v>
      </c>
      <c r="B265" s="40" t="str">
        <f>INDEX(Legacy_Index!$D:$D,MATCH(A265,Legacy_Index!$A:$A,0))</f>
        <v>AIRBORNE 10™ Messi and Paoloni</v>
      </c>
      <c r="C265" s="37" t="s">
        <v>3116</v>
      </c>
      <c r="D265" s="37">
        <v>700</v>
      </c>
      <c r="E265" s="37">
        <v>960</v>
      </c>
      <c r="F265" s="37">
        <v>3.1</v>
      </c>
      <c r="G265" s="40" t="str">
        <f>IF(INDEX(Legacy_Index!$G:$G,MATCH(A265,Legacy_Index!$A:$A,0))="","",INDEX(Legacy_Index!$G:$G,MATCH(A265,Legacy_Index!$A:$A,0)))</f>
        <v>MP-AIRBORNE10</v>
      </c>
      <c r="H265" s="43">
        <f>IF(G265="","",EXP(FORECAST(LN(D265),INDEX(Attenuation!$K:$K,(INDEX(Cables!$AO:$AO,MATCH(G265,Cables!$A:$A,0))-1+MIN(MAX(IFERROR(MATCH(LN(D265),INDEX(Attenuation!$J:$J,INDEX(Cables!$AO:$AO,MATCH(G265,Cables!$A:$A,0))):INDEX(Attenuation!$J:$J,INDEX(Cables!$AO:$AO,MATCH(G265,Cables!$A:$A,0))+INDEX(Cables!$AP:$AP,MATCH(G265,Cables!$A:$A,0))-1),1),1),1),INDEX(Cables!$AP:$AP,MATCH(G265,Cables!$A:$A,0))-1))):INDEX(Attenuation!$K:$K,(INDEX(Cables!$AO:$AO,MATCH(G265,Cables!$A:$A,0))-1+MIN(MAX(IFERROR(MATCH(LN(D265),INDEX(Attenuation!$J:$J,INDEX(Cables!$AO:$AO,MATCH(G265,Cables!$A:$A,0))):INDEX(Attenuation!$J:$J,INDEX(Cables!$AO:$AO,MATCH(G265,Cables!$A:$A,0))+INDEX(Cables!$AP:$AP,MATCH(G265,Cables!$A:$A,0))-1),1),1),1),INDEX(Cables!$AP:$AP,MATCH(G265,Cables!$A:$A,0))-1))+1),INDEX(Attenuation!$J:$J,(INDEX(Cables!$AO:$AO,MATCH(G265,Cables!$A:$A,0))-1+MIN(MAX(IFERROR(MATCH(LN(D265),INDEX(Attenuation!$J:$J,INDEX(Cables!$AO:$AO,MATCH(G265,Cables!$A:$A,0))):INDEX(Attenuation!$J:$J,INDEX(Cables!$AO:$AO,MATCH(G265,Cables!$A:$A,0))+INDEX(Cables!$AP:$AP,MATCH(G265,Cables!$A:$A,0))-1),1),1),1),INDEX(Cables!$AP:$AP,MATCH(G265,Cables!$A:$A,0))-1))):INDEX(Attenuation!$J:$J,(INDEX(Cables!$AO:$AO,MATCH(G265,Cables!$A:$A,0))-1+MIN(MAX(IFERROR(MATCH(LN(D265),INDEX(Attenuation!$J:$J,INDEX(Cables!$AO:$AO,MATCH(G265,Cables!$A:$A,0))):INDEX(Attenuation!$J:$J,INDEX(Cables!$AO:$AO,MATCH(G265,Cables!$A:$A,0))+INDEX(Cables!$AP:$AP,MATCH(G265,Cables!$A:$A,0))-1),1),1),1),INDEX(Cables!$AP:$AP,MATCH(G265,Cables!$A:$A,0))-1))+1)))*0.3048)</f>
        <v>2.9631202443376496</v>
      </c>
      <c r="I265" s="43">
        <f>IF(G265="","",EXP(FORECAST(LN(E265),INDEX(Attenuation!$K:$K,(INDEX(Cables!$AO:$AO,MATCH(G265,Cables!$A:$A,0))-1+MIN(MAX(IFERROR(MATCH(LN(E265),INDEX(Attenuation!$J:$J,INDEX(Cables!$AO:$AO,MATCH(G265,Cables!$A:$A,0))):INDEX(Attenuation!$J:$J,INDEX(Cables!$AO:$AO,MATCH(G265,Cables!$A:$A,0))+INDEX(Cables!$AP:$AP,MATCH(G265,Cables!$A:$A,0))-1),1),1),1),INDEX(Cables!$AP:$AP,MATCH(G265,Cables!$A:$A,0))-1))):INDEX(Attenuation!$K:$K,(INDEX(Cables!$AO:$AO,MATCH(G265,Cables!$A:$A,0))-1+MIN(MAX(IFERROR(MATCH(LN(E265),INDEX(Attenuation!$J:$J,INDEX(Cables!$AO:$AO,MATCH(G265,Cables!$A:$A,0))):INDEX(Attenuation!$J:$J,INDEX(Cables!$AO:$AO,MATCH(G265,Cables!$A:$A,0))+INDEX(Cables!$AP:$AP,MATCH(G265,Cables!$A:$A,0))-1),1),1),1),INDEX(Cables!$AP:$AP,MATCH(G265,Cables!$A:$A,0))-1))+1),INDEX(Attenuation!$J:$J,(INDEX(Cables!$AO:$AO,MATCH(G265,Cables!$A:$A,0))-1+MIN(MAX(IFERROR(MATCH(LN(E265),INDEX(Attenuation!$J:$J,INDEX(Cables!$AO:$AO,MATCH(G265,Cables!$A:$A,0))):INDEX(Attenuation!$J:$J,INDEX(Cables!$AO:$AO,MATCH(G265,Cables!$A:$A,0))+INDEX(Cables!$AP:$AP,MATCH(G265,Cables!$A:$A,0))-1),1),1),1),INDEX(Cables!$AP:$AP,MATCH(G265,Cables!$A:$A,0))-1))):INDEX(Attenuation!$J:$J,(INDEX(Cables!$AO:$AO,MATCH(G265,Cables!$A:$A,0))-1+MIN(MAX(IFERROR(MATCH(LN(E265),INDEX(Attenuation!$J:$J,INDEX(Cables!$AO:$AO,MATCH(G265,Cables!$A:$A,0))):INDEX(Attenuation!$J:$J,INDEX(Cables!$AO:$AO,MATCH(G265,Cables!$A:$A,0))+INDEX(Cables!$AP:$AP,MATCH(G265,Cables!$A:$A,0))-1),1),1),1),INDEX(Cables!$AP:$AP,MATCH(G265,Cables!$A:$A,0))-1))+1)))*0.3048)</f>
        <v>3.5144949759017248</v>
      </c>
      <c r="J265" s="44">
        <f t="shared" si="4"/>
        <v>0</v>
      </c>
      <c r="K265" s="40" t="str">
        <f>IF(G265="","Doğrulanmadı",IF(ABS(J265)&lt;=0.1,"Uyumlu (±%10)",IF(ABS(J265)&lt;=0.25,"Fark %10-25","Fark &gt;%25"))&amp;IF(OR(D265&lt;INDEX(Cables!$AQ:$AQ,MATCH(G265,Cables!$A:$A,0)),E265&gt;INDEX(Cables!$AR:$AR,MATCH(G265,Cables!$A:$A,0)))," · ekstrapolasyon",""))</f>
        <v>Uyumlu (±%10)</v>
      </c>
    </row>
    <row r="266" spans="1:11" x14ac:dyDescent="0.25">
      <c r="A266" s="37" t="s">
        <v>3046</v>
      </c>
      <c r="B266" s="40" t="str">
        <f>INDEX(Legacy_Index!$D:$D,MATCH(A266,Legacy_Index!$A:$A,0))</f>
        <v>AIRBORNE 10™ Messi and Paoloni</v>
      </c>
      <c r="C266" s="37" t="s">
        <v>3120</v>
      </c>
      <c r="D266" s="37">
        <v>1200</v>
      </c>
      <c r="E266" s="37">
        <v>1300</v>
      </c>
      <c r="F266" s="37">
        <v>4.0999999999999996</v>
      </c>
      <c r="G266" s="40" t="str">
        <f>IF(INDEX(Legacy_Index!$G:$G,MATCH(A266,Legacy_Index!$A:$A,0))="","",INDEX(Legacy_Index!$G:$G,MATCH(A266,Legacy_Index!$A:$A,0)))</f>
        <v>MP-AIRBORNE10</v>
      </c>
      <c r="H266" s="43">
        <f>IF(G266="","",EXP(FORECAST(LN(D266),INDEX(Attenuation!$K:$K,(INDEX(Cables!$AO:$AO,MATCH(G266,Cables!$A:$A,0))-1+MIN(MAX(IFERROR(MATCH(LN(D266),INDEX(Attenuation!$J:$J,INDEX(Cables!$AO:$AO,MATCH(G266,Cables!$A:$A,0))):INDEX(Attenuation!$J:$J,INDEX(Cables!$AO:$AO,MATCH(G266,Cables!$A:$A,0))+INDEX(Cables!$AP:$AP,MATCH(G266,Cables!$A:$A,0))-1),1),1),1),INDEX(Cables!$AP:$AP,MATCH(G266,Cables!$A:$A,0))-1))):INDEX(Attenuation!$K:$K,(INDEX(Cables!$AO:$AO,MATCH(G266,Cables!$A:$A,0))-1+MIN(MAX(IFERROR(MATCH(LN(D266),INDEX(Attenuation!$J:$J,INDEX(Cables!$AO:$AO,MATCH(G266,Cables!$A:$A,0))):INDEX(Attenuation!$J:$J,INDEX(Cables!$AO:$AO,MATCH(G266,Cables!$A:$A,0))+INDEX(Cables!$AP:$AP,MATCH(G266,Cables!$A:$A,0))-1),1),1),1),INDEX(Cables!$AP:$AP,MATCH(G266,Cables!$A:$A,0))-1))+1),INDEX(Attenuation!$J:$J,(INDEX(Cables!$AO:$AO,MATCH(G266,Cables!$A:$A,0))-1+MIN(MAX(IFERROR(MATCH(LN(D266),INDEX(Attenuation!$J:$J,INDEX(Cables!$AO:$AO,MATCH(G266,Cables!$A:$A,0))):INDEX(Attenuation!$J:$J,INDEX(Cables!$AO:$AO,MATCH(G266,Cables!$A:$A,0))+INDEX(Cables!$AP:$AP,MATCH(G266,Cables!$A:$A,0))-1),1),1),1),INDEX(Cables!$AP:$AP,MATCH(G266,Cables!$A:$A,0))-1))):INDEX(Attenuation!$J:$J,(INDEX(Cables!$AO:$AO,MATCH(G266,Cables!$A:$A,0))-1+MIN(MAX(IFERROR(MATCH(LN(D266),INDEX(Attenuation!$J:$J,INDEX(Cables!$AO:$AO,MATCH(G266,Cables!$A:$A,0))):INDEX(Attenuation!$J:$J,INDEX(Cables!$AO:$AO,MATCH(G266,Cables!$A:$A,0))+INDEX(Cables!$AP:$AP,MATCH(G266,Cables!$A:$A,0))-1),1),1),1),INDEX(Cables!$AP:$AP,MATCH(G266,Cables!$A:$A,0))-1))+1)))*0.3048)</f>
        <v>3.9742271332043964</v>
      </c>
      <c r="I266" s="43">
        <f>IF(G266="","",EXP(FORECAST(LN(E266),INDEX(Attenuation!$K:$K,(INDEX(Cables!$AO:$AO,MATCH(G266,Cables!$A:$A,0))-1+MIN(MAX(IFERROR(MATCH(LN(E266),INDEX(Attenuation!$J:$J,INDEX(Cables!$AO:$AO,MATCH(G266,Cables!$A:$A,0))):INDEX(Attenuation!$J:$J,INDEX(Cables!$AO:$AO,MATCH(G266,Cables!$A:$A,0))+INDEX(Cables!$AP:$AP,MATCH(G266,Cables!$A:$A,0))-1),1),1),1),INDEX(Cables!$AP:$AP,MATCH(G266,Cables!$A:$A,0))-1))):INDEX(Attenuation!$K:$K,(INDEX(Cables!$AO:$AO,MATCH(G266,Cables!$A:$A,0))-1+MIN(MAX(IFERROR(MATCH(LN(E266),INDEX(Attenuation!$J:$J,INDEX(Cables!$AO:$AO,MATCH(G266,Cables!$A:$A,0))):INDEX(Attenuation!$J:$J,INDEX(Cables!$AO:$AO,MATCH(G266,Cables!$A:$A,0))+INDEX(Cables!$AP:$AP,MATCH(G266,Cables!$A:$A,0))-1),1),1),1),INDEX(Cables!$AP:$AP,MATCH(G266,Cables!$A:$A,0))-1))+1),INDEX(Attenuation!$J:$J,(INDEX(Cables!$AO:$AO,MATCH(G266,Cables!$A:$A,0))-1+MIN(MAX(IFERROR(MATCH(LN(E266),INDEX(Attenuation!$J:$J,INDEX(Cables!$AO:$AO,MATCH(G266,Cables!$A:$A,0))):INDEX(Attenuation!$J:$J,INDEX(Cables!$AO:$AO,MATCH(G266,Cables!$A:$A,0))+INDEX(Cables!$AP:$AP,MATCH(G266,Cables!$A:$A,0))-1),1),1),1),INDEX(Cables!$AP:$AP,MATCH(G266,Cables!$A:$A,0))-1))):INDEX(Attenuation!$J:$J,(INDEX(Cables!$AO:$AO,MATCH(G266,Cables!$A:$A,0))-1+MIN(MAX(IFERROR(MATCH(LN(E266),INDEX(Attenuation!$J:$J,INDEX(Cables!$AO:$AO,MATCH(G266,Cables!$A:$A,0))):INDEX(Attenuation!$J:$J,INDEX(Cables!$AO:$AO,MATCH(G266,Cables!$A:$A,0))+INDEX(Cables!$AP:$AP,MATCH(G266,Cables!$A:$A,0))-1),1),1),1),INDEX(Cables!$AP:$AP,MATCH(G266,Cables!$A:$A,0))-1))+1)))*0.3048)</f>
        <v>4.1524351770819719</v>
      </c>
      <c r="J266" s="44">
        <f t="shared" si="4"/>
        <v>0</v>
      </c>
      <c r="K266" s="40" t="str">
        <f>IF(G266="","Doğrulanmadı",IF(ABS(J266)&lt;=0.1,"Uyumlu (±%10)",IF(ABS(J266)&lt;=0.25,"Fark %10-25","Fark &gt;%25"))&amp;IF(OR(D266&lt;INDEX(Cables!$AQ:$AQ,MATCH(G266,Cables!$A:$A,0)),E266&gt;INDEX(Cables!$AR:$AR,MATCH(G266,Cables!$A:$A,0)))," · ekstrapolasyon",""))</f>
        <v>Uyumlu (±%10)</v>
      </c>
    </row>
    <row r="267" spans="1:11" x14ac:dyDescent="0.25">
      <c r="A267" s="37" t="s">
        <v>3046</v>
      </c>
      <c r="B267" s="40" t="str">
        <f>INDEX(Legacy_Index!$D:$D,MATCH(A267,Legacy_Index!$A:$A,0))</f>
        <v>AIRBORNE 10™ Messi and Paoloni</v>
      </c>
      <c r="C267" s="37" t="s">
        <v>3121</v>
      </c>
      <c r="D267" s="37">
        <v>2400</v>
      </c>
      <c r="E267" s="37">
        <v>2500</v>
      </c>
      <c r="F267" s="37">
        <v>5.8</v>
      </c>
      <c r="G267" s="40" t="str">
        <f>IF(INDEX(Legacy_Index!$G:$G,MATCH(A267,Legacy_Index!$A:$A,0))="","",INDEX(Legacy_Index!$G:$G,MATCH(A267,Legacy_Index!$A:$A,0)))</f>
        <v>MP-AIRBORNE10</v>
      </c>
      <c r="H267" s="43">
        <f>IF(G267="","",EXP(FORECAST(LN(D267),INDEX(Attenuation!$K:$K,(INDEX(Cables!$AO:$AO,MATCH(G267,Cables!$A:$A,0))-1+MIN(MAX(IFERROR(MATCH(LN(D267),INDEX(Attenuation!$J:$J,INDEX(Cables!$AO:$AO,MATCH(G267,Cables!$A:$A,0))):INDEX(Attenuation!$J:$J,INDEX(Cables!$AO:$AO,MATCH(G267,Cables!$A:$A,0))+INDEX(Cables!$AP:$AP,MATCH(G267,Cables!$A:$A,0))-1),1),1),1),INDEX(Cables!$AP:$AP,MATCH(G267,Cables!$A:$A,0))-1))):INDEX(Attenuation!$K:$K,(INDEX(Cables!$AO:$AO,MATCH(G267,Cables!$A:$A,0))-1+MIN(MAX(IFERROR(MATCH(LN(D267),INDEX(Attenuation!$J:$J,INDEX(Cables!$AO:$AO,MATCH(G267,Cables!$A:$A,0))):INDEX(Attenuation!$J:$J,INDEX(Cables!$AO:$AO,MATCH(G267,Cables!$A:$A,0))+INDEX(Cables!$AP:$AP,MATCH(G267,Cables!$A:$A,0))-1),1),1),1),INDEX(Cables!$AP:$AP,MATCH(G267,Cables!$A:$A,0))-1))+1),INDEX(Attenuation!$J:$J,(INDEX(Cables!$AO:$AO,MATCH(G267,Cables!$A:$A,0))-1+MIN(MAX(IFERROR(MATCH(LN(D267),INDEX(Attenuation!$J:$J,INDEX(Cables!$AO:$AO,MATCH(G267,Cables!$A:$A,0))):INDEX(Attenuation!$J:$J,INDEX(Cables!$AO:$AO,MATCH(G267,Cables!$A:$A,0))+INDEX(Cables!$AP:$AP,MATCH(G267,Cables!$A:$A,0))-1),1),1),1),INDEX(Cables!$AP:$AP,MATCH(G267,Cables!$A:$A,0))-1))):INDEX(Attenuation!$J:$J,(INDEX(Cables!$AO:$AO,MATCH(G267,Cables!$A:$A,0))-1+MIN(MAX(IFERROR(MATCH(LN(D267),INDEX(Attenuation!$J:$J,INDEX(Cables!$AO:$AO,MATCH(G267,Cables!$A:$A,0))):INDEX(Attenuation!$J:$J,INDEX(Cables!$AO:$AO,MATCH(G267,Cables!$A:$A,0))+INDEX(Cables!$AP:$AP,MATCH(G267,Cables!$A:$A,0))-1),1),1),1),INDEX(Cables!$AP:$AP,MATCH(G267,Cables!$A:$A,0))-1))+1)))*0.3048)</f>
        <v>5.8521599999999987</v>
      </c>
      <c r="I267" s="43">
        <f>IF(G267="","",EXP(FORECAST(LN(E267),INDEX(Attenuation!$K:$K,(INDEX(Cables!$AO:$AO,MATCH(G267,Cables!$A:$A,0))-1+MIN(MAX(IFERROR(MATCH(LN(E267),INDEX(Attenuation!$J:$J,INDEX(Cables!$AO:$AO,MATCH(G267,Cables!$A:$A,0))):INDEX(Attenuation!$J:$J,INDEX(Cables!$AO:$AO,MATCH(G267,Cables!$A:$A,0))+INDEX(Cables!$AP:$AP,MATCH(G267,Cables!$A:$A,0))-1),1),1),1),INDEX(Cables!$AP:$AP,MATCH(G267,Cables!$A:$A,0))-1))):INDEX(Attenuation!$K:$K,(INDEX(Cables!$AO:$AO,MATCH(G267,Cables!$A:$A,0))-1+MIN(MAX(IFERROR(MATCH(LN(E267),INDEX(Attenuation!$J:$J,INDEX(Cables!$AO:$AO,MATCH(G267,Cables!$A:$A,0))):INDEX(Attenuation!$J:$J,INDEX(Cables!$AO:$AO,MATCH(G267,Cables!$A:$A,0))+INDEX(Cables!$AP:$AP,MATCH(G267,Cables!$A:$A,0))-1),1),1),1),INDEX(Cables!$AP:$AP,MATCH(G267,Cables!$A:$A,0))-1))+1),INDEX(Attenuation!$J:$J,(INDEX(Cables!$AO:$AO,MATCH(G267,Cables!$A:$A,0))-1+MIN(MAX(IFERROR(MATCH(LN(E267),INDEX(Attenuation!$J:$J,INDEX(Cables!$AO:$AO,MATCH(G267,Cables!$A:$A,0))):INDEX(Attenuation!$J:$J,INDEX(Cables!$AO:$AO,MATCH(G267,Cables!$A:$A,0))+INDEX(Cables!$AP:$AP,MATCH(G267,Cables!$A:$A,0))-1),1),1),1),INDEX(Cables!$AP:$AP,MATCH(G267,Cables!$A:$A,0))-1))):INDEX(Attenuation!$J:$J,(INDEX(Cables!$AO:$AO,MATCH(G267,Cables!$A:$A,0))-1+MIN(MAX(IFERROR(MATCH(LN(E267),INDEX(Attenuation!$J:$J,INDEX(Cables!$AO:$AO,MATCH(G267,Cables!$A:$A,0))):INDEX(Attenuation!$J:$J,INDEX(Cables!$AO:$AO,MATCH(G267,Cables!$A:$A,0))+INDEX(Cables!$AP:$AP,MATCH(G267,Cables!$A:$A,0))-1),1),1),1),INDEX(Cables!$AP:$AP,MATCH(G267,Cables!$A:$A,0))-1))+1)))*0.3048)</f>
        <v>5.9796265260871007</v>
      </c>
      <c r="J267" s="44">
        <f t="shared" si="4"/>
        <v>-8.9129483814521793E-3</v>
      </c>
      <c r="K267" s="40" t="str">
        <f>IF(G267="","Doğrulanmadı",IF(ABS(J267)&lt;=0.1,"Uyumlu (±%10)",IF(ABS(J267)&lt;=0.25,"Fark %10-25","Fark &gt;%25"))&amp;IF(OR(D267&lt;INDEX(Cables!$AQ:$AQ,MATCH(G267,Cables!$A:$A,0)),E267&gt;INDEX(Cables!$AR:$AR,MATCH(G267,Cables!$A:$A,0)))," · ekstrapolasyon",""))</f>
        <v>Uyumlu (±%10)</v>
      </c>
    </row>
    <row r="268" spans="1:11" x14ac:dyDescent="0.25">
      <c r="A268" s="37" t="s">
        <v>3046</v>
      </c>
      <c r="B268" s="40" t="str">
        <f>INDEX(Legacy_Index!$D:$D,MATCH(A268,Legacy_Index!$A:$A,0))</f>
        <v>AIRBORNE 10™ Messi and Paoloni</v>
      </c>
      <c r="C268" s="37" t="s">
        <v>3122</v>
      </c>
      <c r="D268" s="37">
        <v>5725</v>
      </c>
      <c r="E268" s="37">
        <v>5875</v>
      </c>
      <c r="F268" s="37">
        <v>8.9</v>
      </c>
      <c r="G268" s="40" t="str">
        <f>IF(INDEX(Legacy_Index!$G:$G,MATCH(A268,Legacy_Index!$A:$A,0))="","",INDEX(Legacy_Index!$G:$G,MATCH(A268,Legacy_Index!$A:$A,0)))</f>
        <v>MP-AIRBORNE10</v>
      </c>
      <c r="H268" s="43">
        <f>IF(G268="","",EXP(FORECAST(LN(D268),INDEX(Attenuation!$K:$K,(INDEX(Cables!$AO:$AO,MATCH(G268,Cables!$A:$A,0))-1+MIN(MAX(IFERROR(MATCH(LN(D268),INDEX(Attenuation!$J:$J,INDEX(Cables!$AO:$AO,MATCH(G268,Cables!$A:$A,0))):INDEX(Attenuation!$J:$J,INDEX(Cables!$AO:$AO,MATCH(G268,Cables!$A:$A,0))+INDEX(Cables!$AP:$AP,MATCH(G268,Cables!$A:$A,0))-1),1),1),1),INDEX(Cables!$AP:$AP,MATCH(G268,Cables!$A:$A,0))-1))):INDEX(Attenuation!$K:$K,(INDEX(Cables!$AO:$AO,MATCH(G268,Cables!$A:$A,0))-1+MIN(MAX(IFERROR(MATCH(LN(D268),INDEX(Attenuation!$J:$J,INDEX(Cables!$AO:$AO,MATCH(G268,Cables!$A:$A,0))):INDEX(Attenuation!$J:$J,INDEX(Cables!$AO:$AO,MATCH(G268,Cables!$A:$A,0))+INDEX(Cables!$AP:$AP,MATCH(G268,Cables!$A:$A,0))-1),1),1),1),INDEX(Cables!$AP:$AP,MATCH(G268,Cables!$A:$A,0))-1))+1),INDEX(Attenuation!$J:$J,(INDEX(Cables!$AO:$AO,MATCH(G268,Cables!$A:$A,0))-1+MIN(MAX(IFERROR(MATCH(LN(D268),INDEX(Attenuation!$J:$J,INDEX(Cables!$AO:$AO,MATCH(G268,Cables!$A:$A,0))):INDEX(Attenuation!$J:$J,INDEX(Cables!$AO:$AO,MATCH(G268,Cables!$A:$A,0))+INDEX(Cables!$AP:$AP,MATCH(G268,Cables!$A:$A,0))-1),1),1),1),INDEX(Cables!$AP:$AP,MATCH(G268,Cables!$A:$A,0))-1))):INDEX(Attenuation!$J:$J,(INDEX(Cables!$AO:$AO,MATCH(G268,Cables!$A:$A,0))-1+MIN(MAX(IFERROR(MATCH(LN(D268),INDEX(Attenuation!$J:$J,INDEX(Cables!$AO:$AO,MATCH(G268,Cables!$A:$A,0))):INDEX(Attenuation!$J:$J,INDEX(Cables!$AO:$AO,MATCH(G268,Cables!$A:$A,0))+INDEX(Cables!$AP:$AP,MATCH(G268,Cables!$A:$A,0))-1),1),1),1),INDEX(Cables!$AP:$AP,MATCH(G268,Cables!$A:$A,0))-1))+1)))*0.3048)</f>
        <v>9.7027742705294528</v>
      </c>
      <c r="I268" s="43">
        <f>IF(G268="","",EXP(FORECAST(LN(E268),INDEX(Attenuation!$K:$K,(INDEX(Cables!$AO:$AO,MATCH(G268,Cables!$A:$A,0))-1+MIN(MAX(IFERROR(MATCH(LN(E268),INDEX(Attenuation!$J:$J,INDEX(Cables!$AO:$AO,MATCH(G268,Cables!$A:$A,0))):INDEX(Attenuation!$J:$J,INDEX(Cables!$AO:$AO,MATCH(G268,Cables!$A:$A,0))+INDEX(Cables!$AP:$AP,MATCH(G268,Cables!$A:$A,0))-1),1),1),1),INDEX(Cables!$AP:$AP,MATCH(G268,Cables!$A:$A,0))-1))):INDEX(Attenuation!$K:$K,(INDEX(Cables!$AO:$AO,MATCH(G268,Cables!$A:$A,0))-1+MIN(MAX(IFERROR(MATCH(LN(E268),INDEX(Attenuation!$J:$J,INDEX(Cables!$AO:$AO,MATCH(G268,Cables!$A:$A,0))):INDEX(Attenuation!$J:$J,INDEX(Cables!$AO:$AO,MATCH(G268,Cables!$A:$A,0))+INDEX(Cables!$AP:$AP,MATCH(G268,Cables!$A:$A,0))-1),1),1),1),INDEX(Cables!$AP:$AP,MATCH(G268,Cables!$A:$A,0))-1))+1),INDEX(Attenuation!$J:$J,(INDEX(Cables!$AO:$AO,MATCH(G268,Cables!$A:$A,0))-1+MIN(MAX(IFERROR(MATCH(LN(E268),INDEX(Attenuation!$J:$J,INDEX(Cables!$AO:$AO,MATCH(G268,Cables!$A:$A,0))):INDEX(Attenuation!$J:$J,INDEX(Cables!$AO:$AO,MATCH(G268,Cables!$A:$A,0))+INDEX(Cables!$AP:$AP,MATCH(G268,Cables!$A:$A,0))-1),1),1),1),INDEX(Cables!$AP:$AP,MATCH(G268,Cables!$A:$A,0))-1))):INDEX(Attenuation!$J:$J,(INDEX(Cables!$AO:$AO,MATCH(G268,Cables!$A:$A,0))-1+MIN(MAX(IFERROR(MATCH(LN(E268),INDEX(Attenuation!$J:$J,INDEX(Cables!$AO:$AO,MATCH(G268,Cables!$A:$A,0))):INDEX(Attenuation!$J:$J,INDEX(Cables!$AO:$AO,MATCH(G268,Cables!$A:$A,0))+INDEX(Cables!$AP:$AP,MATCH(G268,Cables!$A:$A,0))-1),1),1),1),INDEX(Cables!$AP:$AP,MATCH(G268,Cables!$A:$A,0))-1))+1)))*0.3048)</f>
        <v>9.8641213604055835</v>
      </c>
      <c r="J268" s="44">
        <f t="shared" si="4"/>
        <v>-8.2736570814364363E-2</v>
      </c>
      <c r="K268" s="40" t="str">
        <f>IF(G268="","Doğrulanmadı",IF(ABS(J268)&lt;=0.1,"Uyumlu (±%10)",IF(ABS(J268)&lt;=0.25,"Fark %10-25","Fark &gt;%25"))&amp;IF(OR(D268&lt;INDEX(Cables!$AQ:$AQ,MATCH(G268,Cables!$A:$A,0)),E268&gt;INDEX(Cables!$AR:$AR,MATCH(G268,Cables!$A:$A,0)))," · ekstrapolasyon",""))</f>
        <v>Uyumlu (±%10)</v>
      </c>
    </row>
    <row r="269" spans="1:11" x14ac:dyDescent="0.25">
      <c r="A269" s="37" t="s">
        <v>3048</v>
      </c>
      <c r="B269" s="40" t="str">
        <f>INDEX(Legacy_Index!$D:$D,MATCH(A269,Legacy_Index!$A:$A,0))</f>
        <v>1/2" Superflex (FSJ4-50B HELIAX®)</v>
      </c>
      <c r="C269" s="37" t="s">
        <v>3118</v>
      </c>
      <c r="D269" s="37">
        <v>30</v>
      </c>
      <c r="E269" s="37">
        <v>50</v>
      </c>
      <c r="F269" s="37">
        <v>0.7</v>
      </c>
      <c r="G269" s="40" t="str">
        <f>IF(INDEX(Legacy_Index!$G:$G,MATCH(A269,Legacy_Index!$A:$A,0))="","",INDEX(Legacy_Index!$G:$G,MATCH(A269,Legacy_Index!$A:$A,0)))</f>
        <v>CS-FSJ4-50B</v>
      </c>
      <c r="H269" s="43">
        <f>IF(G269="","",EXP(FORECAST(LN(D269),INDEX(Attenuation!$K:$K,(INDEX(Cables!$AO:$AO,MATCH(G269,Cables!$A:$A,0))-1+MIN(MAX(IFERROR(MATCH(LN(D269),INDEX(Attenuation!$J:$J,INDEX(Cables!$AO:$AO,MATCH(G269,Cables!$A:$A,0))):INDEX(Attenuation!$J:$J,INDEX(Cables!$AO:$AO,MATCH(G269,Cables!$A:$A,0))+INDEX(Cables!$AP:$AP,MATCH(G269,Cables!$A:$A,0))-1),1),1),1),INDEX(Cables!$AP:$AP,MATCH(G269,Cables!$A:$A,0))-1))):INDEX(Attenuation!$K:$K,(INDEX(Cables!$AO:$AO,MATCH(G269,Cables!$A:$A,0))-1+MIN(MAX(IFERROR(MATCH(LN(D269),INDEX(Attenuation!$J:$J,INDEX(Cables!$AO:$AO,MATCH(G269,Cables!$A:$A,0))):INDEX(Attenuation!$J:$J,INDEX(Cables!$AO:$AO,MATCH(G269,Cables!$A:$A,0))+INDEX(Cables!$AP:$AP,MATCH(G269,Cables!$A:$A,0))-1),1),1),1),INDEX(Cables!$AP:$AP,MATCH(G269,Cables!$A:$A,0))-1))+1),INDEX(Attenuation!$J:$J,(INDEX(Cables!$AO:$AO,MATCH(G269,Cables!$A:$A,0))-1+MIN(MAX(IFERROR(MATCH(LN(D269),INDEX(Attenuation!$J:$J,INDEX(Cables!$AO:$AO,MATCH(G269,Cables!$A:$A,0))):INDEX(Attenuation!$J:$J,INDEX(Cables!$AO:$AO,MATCH(G269,Cables!$A:$A,0))+INDEX(Cables!$AP:$AP,MATCH(G269,Cables!$A:$A,0))-1),1),1),1),INDEX(Cables!$AP:$AP,MATCH(G269,Cables!$A:$A,0))-1))):INDEX(Attenuation!$J:$J,(INDEX(Cables!$AO:$AO,MATCH(G269,Cables!$A:$A,0))-1+MIN(MAX(IFERROR(MATCH(LN(D269),INDEX(Attenuation!$J:$J,INDEX(Cables!$AO:$AO,MATCH(G269,Cables!$A:$A,0))):INDEX(Attenuation!$J:$J,INDEX(Cables!$AO:$AO,MATCH(G269,Cables!$A:$A,0))+INDEX(Cables!$AP:$AP,MATCH(G269,Cables!$A:$A,0))-1),1),1),1),INDEX(Cables!$AP:$AP,MATCH(G269,Cables!$A:$A,0))-1))+1)))*0.3048)</f>
        <v>0.55778399999999995</v>
      </c>
      <c r="I269" s="43">
        <f>IF(G269="","",EXP(FORECAST(LN(E269),INDEX(Attenuation!$K:$K,(INDEX(Cables!$AO:$AO,MATCH(G269,Cables!$A:$A,0))-1+MIN(MAX(IFERROR(MATCH(LN(E269),INDEX(Attenuation!$J:$J,INDEX(Cables!$AO:$AO,MATCH(G269,Cables!$A:$A,0))):INDEX(Attenuation!$J:$J,INDEX(Cables!$AO:$AO,MATCH(G269,Cables!$A:$A,0))+INDEX(Cables!$AP:$AP,MATCH(G269,Cables!$A:$A,0))-1),1),1),1),INDEX(Cables!$AP:$AP,MATCH(G269,Cables!$A:$A,0))-1))):INDEX(Attenuation!$K:$K,(INDEX(Cables!$AO:$AO,MATCH(G269,Cables!$A:$A,0))-1+MIN(MAX(IFERROR(MATCH(LN(E269),INDEX(Attenuation!$J:$J,INDEX(Cables!$AO:$AO,MATCH(G269,Cables!$A:$A,0))):INDEX(Attenuation!$J:$J,INDEX(Cables!$AO:$AO,MATCH(G269,Cables!$A:$A,0))+INDEX(Cables!$AP:$AP,MATCH(G269,Cables!$A:$A,0))-1),1),1),1),INDEX(Cables!$AP:$AP,MATCH(G269,Cables!$A:$A,0))-1))+1),INDEX(Attenuation!$J:$J,(INDEX(Cables!$AO:$AO,MATCH(G269,Cables!$A:$A,0))-1+MIN(MAX(IFERROR(MATCH(LN(E269),INDEX(Attenuation!$J:$J,INDEX(Cables!$AO:$AO,MATCH(G269,Cables!$A:$A,0))):INDEX(Attenuation!$J:$J,INDEX(Cables!$AO:$AO,MATCH(G269,Cables!$A:$A,0))+INDEX(Cables!$AP:$AP,MATCH(G269,Cables!$A:$A,0))-1),1),1),1),INDEX(Cables!$AP:$AP,MATCH(G269,Cables!$A:$A,0))-1))):INDEX(Attenuation!$J:$J,(INDEX(Cables!$AO:$AO,MATCH(G269,Cables!$A:$A,0))-1+MIN(MAX(IFERROR(MATCH(LN(E269),INDEX(Attenuation!$J:$J,INDEX(Cables!$AO:$AO,MATCH(G269,Cables!$A:$A,0))):INDEX(Attenuation!$J:$J,INDEX(Cables!$AO:$AO,MATCH(G269,Cables!$A:$A,0))+INDEX(Cables!$AP:$AP,MATCH(G269,Cables!$A:$A,0))-1),1),1),1),INDEX(Cables!$AP:$AP,MATCH(G269,Cables!$A:$A,0))-1))+1)))*0.3048)</f>
        <v>0.72542399999999996</v>
      </c>
      <c r="J269" s="44">
        <f t="shared" si="4"/>
        <v>0</v>
      </c>
      <c r="K269" s="40" t="str">
        <f>IF(G269="","Doğrulanmadı",IF(ABS(J269)&lt;=0.1,"Uyumlu (±%10)",IF(ABS(J269)&lt;=0.25,"Fark %10-25","Fark &gt;%25"))&amp;IF(OR(D269&lt;INDEX(Cables!$AQ:$AQ,MATCH(G269,Cables!$A:$A,0)),E269&gt;INDEX(Cables!$AR:$AR,MATCH(G269,Cables!$A:$A,0)))," · ekstrapolasyon",""))</f>
        <v>Uyumlu (±%10)</v>
      </c>
    </row>
    <row r="270" spans="1:11" x14ac:dyDescent="0.25">
      <c r="A270" s="37" t="s">
        <v>3048</v>
      </c>
      <c r="B270" s="40" t="str">
        <f>INDEX(Legacy_Index!$D:$D,MATCH(A270,Legacy_Index!$A:$A,0))</f>
        <v>1/2" Superflex (FSJ4-50B HELIAX®)</v>
      </c>
      <c r="C270" s="37" t="s">
        <v>3113</v>
      </c>
      <c r="D270" s="37">
        <v>70</v>
      </c>
      <c r="E270" s="37">
        <v>100</v>
      </c>
      <c r="F270" s="37">
        <v>0.8</v>
      </c>
      <c r="G270" s="40" t="str">
        <f>IF(INDEX(Legacy_Index!$G:$G,MATCH(A270,Legacy_Index!$A:$A,0))="","",INDEX(Legacy_Index!$G:$G,MATCH(A270,Legacy_Index!$A:$A,0)))</f>
        <v>CS-FSJ4-50B</v>
      </c>
      <c r="H270" s="43">
        <f>IF(G270="","",EXP(FORECAST(LN(D270),INDEX(Attenuation!$K:$K,(INDEX(Cables!$AO:$AO,MATCH(G270,Cables!$A:$A,0))-1+MIN(MAX(IFERROR(MATCH(LN(D270),INDEX(Attenuation!$J:$J,INDEX(Cables!$AO:$AO,MATCH(G270,Cables!$A:$A,0))):INDEX(Attenuation!$J:$J,INDEX(Cables!$AO:$AO,MATCH(G270,Cables!$A:$A,0))+INDEX(Cables!$AP:$AP,MATCH(G270,Cables!$A:$A,0))-1),1),1),1),INDEX(Cables!$AP:$AP,MATCH(G270,Cables!$A:$A,0))-1))):INDEX(Attenuation!$K:$K,(INDEX(Cables!$AO:$AO,MATCH(G270,Cables!$A:$A,0))-1+MIN(MAX(IFERROR(MATCH(LN(D270),INDEX(Attenuation!$J:$J,INDEX(Cables!$AO:$AO,MATCH(G270,Cables!$A:$A,0))):INDEX(Attenuation!$J:$J,INDEX(Cables!$AO:$AO,MATCH(G270,Cables!$A:$A,0))+INDEX(Cables!$AP:$AP,MATCH(G270,Cables!$A:$A,0))-1),1),1),1),INDEX(Cables!$AP:$AP,MATCH(G270,Cables!$A:$A,0))-1))+1),INDEX(Attenuation!$J:$J,(INDEX(Cables!$AO:$AO,MATCH(G270,Cables!$A:$A,0))-1+MIN(MAX(IFERROR(MATCH(LN(D270),INDEX(Attenuation!$J:$J,INDEX(Cables!$AO:$AO,MATCH(G270,Cables!$A:$A,0))):INDEX(Attenuation!$J:$J,INDEX(Cables!$AO:$AO,MATCH(G270,Cables!$A:$A,0))+INDEX(Cables!$AP:$AP,MATCH(G270,Cables!$A:$A,0))-1),1),1),1),INDEX(Cables!$AP:$AP,MATCH(G270,Cables!$A:$A,0))-1))):INDEX(Attenuation!$J:$J,(INDEX(Cables!$AO:$AO,MATCH(G270,Cables!$A:$A,0))-1+MIN(MAX(IFERROR(MATCH(LN(D270),INDEX(Attenuation!$J:$J,INDEX(Cables!$AO:$AO,MATCH(G270,Cables!$A:$A,0))):INDEX(Attenuation!$J:$J,INDEX(Cables!$AO:$AO,MATCH(G270,Cables!$A:$A,0))+INDEX(Cables!$AP:$AP,MATCH(G270,Cables!$A:$A,0))-1),1),1),1),INDEX(Cables!$AP:$AP,MATCH(G270,Cables!$A:$A,0))-1))+1)))*0.3048)</f>
        <v>0.86359268951887458</v>
      </c>
      <c r="I270" s="43">
        <f>IF(G270="","",EXP(FORECAST(LN(E270),INDEX(Attenuation!$K:$K,(INDEX(Cables!$AO:$AO,MATCH(G270,Cables!$A:$A,0))-1+MIN(MAX(IFERROR(MATCH(LN(E270),INDEX(Attenuation!$J:$J,INDEX(Cables!$AO:$AO,MATCH(G270,Cables!$A:$A,0))):INDEX(Attenuation!$J:$J,INDEX(Cables!$AO:$AO,MATCH(G270,Cables!$A:$A,0))+INDEX(Cables!$AP:$AP,MATCH(G270,Cables!$A:$A,0))-1),1),1),1),INDEX(Cables!$AP:$AP,MATCH(G270,Cables!$A:$A,0))-1))):INDEX(Attenuation!$K:$K,(INDEX(Cables!$AO:$AO,MATCH(G270,Cables!$A:$A,0))-1+MIN(MAX(IFERROR(MATCH(LN(E270),INDEX(Attenuation!$J:$J,INDEX(Cables!$AO:$AO,MATCH(G270,Cables!$A:$A,0))):INDEX(Attenuation!$J:$J,INDEX(Cables!$AO:$AO,MATCH(G270,Cables!$A:$A,0))+INDEX(Cables!$AP:$AP,MATCH(G270,Cables!$A:$A,0))-1),1),1),1),INDEX(Cables!$AP:$AP,MATCH(G270,Cables!$A:$A,0))-1))+1),INDEX(Attenuation!$J:$J,(INDEX(Cables!$AO:$AO,MATCH(G270,Cables!$A:$A,0))-1+MIN(MAX(IFERROR(MATCH(LN(E270),INDEX(Attenuation!$J:$J,INDEX(Cables!$AO:$AO,MATCH(G270,Cables!$A:$A,0))):INDEX(Attenuation!$J:$J,INDEX(Cables!$AO:$AO,MATCH(G270,Cables!$A:$A,0))+INDEX(Cables!$AP:$AP,MATCH(G270,Cables!$A:$A,0))-1),1),1),1),INDEX(Cables!$AP:$AP,MATCH(G270,Cables!$A:$A,0))-1))):INDEX(Attenuation!$J:$J,(INDEX(Cables!$AO:$AO,MATCH(G270,Cables!$A:$A,0))-1+MIN(MAX(IFERROR(MATCH(LN(E270),INDEX(Attenuation!$J:$J,INDEX(Cables!$AO:$AO,MATCH(G270,Cables!$A:$A,0))):INDEX(Attenuation!$J:$J,INDEX(Cables!$AO:$AO,MATCH(G270,Cables!$A:$A,0))+INDEX(Cables!$AP:$AP,MATCH(G270,Cables!$A:$A,0))-1),1),1),1),INDEX(Cables!$AP:$AP,MATCH(G270,Cables!$A:$A,0))-1))+1)))*0.3048)</f>
        <v>1.0393680000000001</v>
      </c>
      <c r="J270" s="44">
        <f t="shared" si="4"/>
        <v>-7.3637364339319888E-2</v>
      </c>
      <c r="K270" s="40" t="str">
        <f>IF(G270="","Doğrulanmadı",IF(ABS(J270)&lt;=0.1,"Uyumlu (±%10)",IF(ABS(J270)&lt;=0.25,"Fark %10-25","Fark &gt;%25"))&amp;IF(OR(D270&lt;INDEX(Cables!$AQ:$AQ,MATCH(G270,Cables!$A:$A,0)),E270&gt;INDEX(Cables!$AR:$AR,MATCH(G270,Cables!$A:$A,0)))," · ekstrapolasyon",""))</f>
        <v>Uyumlu (±%10)</v>
      </c>
    </row>
    <row r="271" spans="1:11" x14ac:dyDescent="0.25">
      <c r="A271" s="37" t="s">
        <v>3048</v>
      </c>
      <c r="B271" s="40" t="str">
        <f>INDEX(Legacy_Index!$D:$D,MATCH(A271,Legacy_Index!$A:$A,0))</f>
        <v>1/2" Superflex (FSJ4-50B HELIAX®)</v>
      </c>
      <c r="C271" s="37" t="s">
        <v>3114</v>
      </c>
      <c r="D271" s="37">
        <v>148</v>
      </c>
      <c r="E271" s="37">
        <v>174</v>
      </c>
      <c r="F271" s="37">
        <v>1.29</v>
      </c>
      <c r="G271" s="40" t="str">
        <f>IF(INDEX(Legacy_Index!$G:$G,MATCH(A271,Legacy_Index!$A:$A,0))="","",INDEX(Legacy_Index!$G:$G,MATCH(A271,Legacy_Index!$A:$A,0)))</f>
        <v>CS-FSJ4-50B</v>
      </c>
      <c r="H271" s="43">
        <f>IF(G271="","",EXP(FORECAST(LN(D271),INDEX(Attenuation!$K:$K,(INDEX(Cables!$AO:$AO,MATCH(G271,Cables!$A:$A,0))-1+MIN(MAX(IFERROR(MATCH(LN(D271),INDEX(Attenuation!$J:$J,INDEX(Cables!$AO:$AO,MATCH(G271,Cables!$A:$A,0))):INDEX(Attenuation!$J:$J,INDEX(Cables!$AO:$AO,MATCH(G271,Cables!$A:$A,0))+INDEX(Cables!$AP:$AP,MATCH(G271,Cables!$A:$A,0))-1),1),1),1),INDEX(Cables!$AP:$AP,MATCH(G271,Cables!$A:$A,0))-1))):INDEX(Attenuation!$K:$K,(INDEX(Cables!$AO:$AO,MATCH(G271,Cables!$A:$A,0))-1+MIN(MAX(IFERROR(MATCH(LN(D271),INDEX(Attenuation!$J:$J,INDEX(Cables!$AO:$AO,MATCH(G271,Cables!$A:$A,0))):INDEX(Attenuation!$J:$J,INDEX(Cables!$AO:$AO,MATCH(G271,Cables!$A:$A,0))+INDEX(Cables!$AP:$AP,MATCH(G271,Cables!$A:$A,0))-1),1),1),1),INDEX(Cables!$AP:$AP,MATCH(G271,Cables!$A:$A,0))-1))+1),INDEX(Attenuation!$J:$J,(INDEX(Cables!$AO:$AO,MATCH(G271,Cables!$A:$A,0))-1+MIN(MAX(IFERROR(MATCH(LN(D271),INDEX(Attenuation!$J:$J,INDEX(Cables!$AO:$AO,MATCH(G271,Cables!$A:$A,0))):INDEX(Attenuation!$J:$J,INDEX(Cables!$AO:$AO,MATCH(G271,Cables!$A:$A,0))+INDEX(Cables!$AP:$AP,MATCH(G271,Cables!$A:$A,0))-1),1),1),1),INDEX(Cables!$AP:$AP,MATCH(G271,Cables!$A:$A,0))-1))):INDEX(Attenuation!$J:$J,(INDEX(Cables!$AO:$AO,MATCH(G271,Cables!$A:$A,0))-1+MIN(MAX(IFERROR(MATCH(LN(D271),INDEX(Attenuation!$J:$J,INDEX(Cables!$AO:$AO,MATCH(G271,Cables!$A:$A,0))):INDEX(Attenuation!$J:$J,INDEX(Cables!$AO:$AO,MATCH(G271,Cables!$A:$A,0))+INDEX(Cables!$AP:$AP,MATCH(G271,Cables!$A:$A,0))-1),1),1),1),INDEX(Cables!$AP:$AP,MATCH(G271,Cables!$A:$A,0))-1))+1)))*0.3048)</f>
        <v>1.2742984210706518</v>
      </c>
      <c r="I271" s="43">
        <f>IF(G271="","",EXP(FORECAST(LN(E271),INDEX(Attenuation!$K:$K,(INDEX(Cables!$AO:$AO,MATCH(G271,Cables!$A:$A,0))-1+MIN(MAX(IFERROR(MATCH(LN(E271),INDEX(Attenuation!$J:$J,INDEX(Cables!$AO:$AO,MATCH(G271,Cables!$A:$A,0))):INDEX(Attenuation!$J:$J,INDEX(Cables!$AO:$AO,MATCH(G271,Cables!$A:$A,0))+INDEX(Cables!$AP:$AP,MATCH(G271,Cables!$A:$A,0))-1),1),1),1),INDEX(Cables!$AP:$AP,MATCH(G271,Cables!$A:$A,0))-1))):INDEX(Attenuation!$K:$K,(INDEX(Cables!$AO:$AO,MATCH(G271,Cables!$A:$A,0))-1+MIN(MAX(IFERROR(MATCH(LN(E271),INDEX(Attenuation!$J:$J,INDEX(Cables!$AO:$AO,MATCH(G271,Cables!$A:$A,0))):INDEX(Attenuation!$J:$J,INDEX(Cables!$AO:$AO,MATCH(G271,Cables!$A:$A,0))+INDEX(Cables!$AP:$AP,MATCH(G271,Cables!$A:$A,0))-1),1),1),1),INDEX(Cables!$AP:$AP,MATCH(G271,Cables!$A:$A,0))-1))+1),INDEX(Attenuation!$J:$J,(INDEX(Cables!$AO:$AO,MATCH(G271,Cables!$A:$A,0))-1+MIN(MAX(IFERROR(MATCH(LN(E271),INDEX(Attenuation!$J:$J,INDEX(Cables!$AO:$AO,MATCH(G271,Cables!$A:$A,0))):INDEX(Attenuation!$J:$J,INDEX(Cables!$AO:$AO,MATCH(G271,Cables!$A:$A,0))+INDEX(Cables!$AP:$AP,MATCH(G271,Cables!$A:$A,0))-1),1),1),1),INDEX(Cables!$AP:$AP,MATCH(G271,Cables!$A:$A,0))-1))):INDEX(Attenuation!$J:$J,(INDEX(Cables!$AO:$AO,MATCH(G271,Cables!$A:$A,0))-1+MIN(MAX(IFERROR(MATCH(LN(E271),INDEX(Attenuation!$J:$J,INDEX(Cables!$AO:$AO,MATCH(G271,Cables!$A:$A,0))):INDEX(Attenuation!$J:$J,INDEX(Cables!$AO:$AO,MATCH(G271,Cables!$A:$A,0))+INDEX(Cables!$AP:$AP,MATCH(G271,Cables!$A:$A,0))-1),1),1),1),INDEX(Cables!$AP:$AP,MATCH(G271,Cables!$A:$A,0))-1))+1)))*0.3048)</f>
        <v>1.3898879999999993</v>
      </c>
      <c r="J271" s="44">
        <f t="shared" si="4"/>
        <v>0</v>
      </c>
      <c r="K271" s="40" t="str">
        <f>IF(G271="","Doğrulanmadı",IF(ABS(J271)&lt;=0.1,"Uyumlu (±%10)",IF(ABS(J271)&lt;=0.25,"Fark %10-25","Fark &gt;%25"))&amp;IF(OR(D271&lt;INDEX(Cables!$AQ:$AQ,MATCH(G271,Cables!$A:$A,0)),E271&gt;INDEX(Cables!$AR:$AR,MATCH(G271,Cables!$A:$A,0)))," · ekstrapolasyon",""))</f>
        <v>Uyumlu (±%10)</v>
      </c>
    </row>
    <row r="272" spans="1:11" x14ac:dyDescent="0.25">
      <c r="A272" s="37" t="s">
        <v>3048</v>
      </c>
      <c r="B272" s="40" t="str">
        <f>INDEX(Legacy_Index!$D:$D,MATCH(A272,Legacy_Index!$A:$A,0))</f>
        <v>1/2" Superflex (FSJ4-50B HELIAX®)</v>
      </c>
      <c r="C272" s="37" t="s">
        <v>3119</v>
      </c>
      <c r="D272" s="37">
        <v>220</v>
      </c>
      <c r="E272" s="37">
        <v>220</v>
      </c>
      <c r="F272" s="37">
        <v>1.58</v>
      </c>
      <c r="G272" s="40" t="str">
        <f>IF(INDEX(Legacy_Index!$G:$G,MATCH(A272,Legacy_Index!$A:$A,0))="","",INDEX(Legacy_Index!$G:$G,MATCH(A272,Legacy_Index!$A:$A,0)))</f>
        <v>CS-FSJ4-50B</v>
      </c>
      <c r="H272" s="43">
        <f>IF(G272="","",EXP(FORECAST(LN(D272),INDEX(Attenuation!$K:$K,(INDEX(Cables!$AO:$AO,MATCH(G272,Cables!$A:$A,0))-1+MIN(MAX(IFERROR(MATCH(LN(D272),INDEX(Attenuation!$J:$J,INDEX(Cables!$AO:$AO,MATCH(G272,Cables!$A:$A,0))):INDEX(Attenuation!$J:$J,INDEX(Cables!$AO:$AO,MATCH(G272,Cables!$A:$A,0))+INDEX(Cables!$AP:$AP,MATCH(G272,Cables!$A:$A,0))-1),1),1),1),INDEX(Cables!$AP:$AP,MATCH(G272,Cables!$A:$A,0))-1))):INDEX(Attenuation!$K:$K,(INDEX(Cables!$AO:$AO,MATCH(G272,Cables!$A:$A,0))-1+MIN(MAX(IFERROR(MATCH(LN(D272),INDEX(Attenuation!$J:$J,INDEX(Cables!$AO:$AO,MATCH(G272,Cables!$A:$A,0))):INDEX(Attenuation!$J:$J,INDEX(Cables!$AO:$AO,MATCH(G272,Cables!$A:$A,0))+INDEX(Cables!$AP:$AP,MATCH(G272,Cables!$A:$A,0))-1),1),1),1),INDEX(Cables!$AP:$AP,MATCH(G272,Cables!$A:$A,0))-1))+1),INDEX(Attenuation!$J:$J,(INDEX(Cables!$AO:$AO,MATCH(G272,Cables!$A:$A,0))-1+MIN(MAX(IFERROR(MATCH(LN(D272),INDEX(Attenuation!$J:$J,INDEX(Cables!$AO:$AO,MATCH(G272,Cables!$A:$A,0))):INDEX(Attenuation!$J:$J,INDEX(Cables!$AO:$AO,MATCH(G272,Cables!$A:$A,0))+INDEX(Cables!$AP:$AP,MATCH(G272,Cables!$A:$A,0))-1),1),1),1),INDEX(Cables!$AP:$AP,MATCH(G272,Cables!$A:$A,0))-1))):INDEX(Attenuation!$J:$J,(INDEX(Cables!$AO:$AO,MATCH(G272,Cables!$A:$A,0))-1+MIN(MAX(IFERROR(MATCH(LN(D272),INDEX(Attenuation!$J:$J,INDEX(Cables!$AO:$AO,MATCH(G272,Cables!$A:$A,0))):INDEX(Attenuation!$J:$J,INDEX(Cables!$AO:$AO,MATCH(G272,Cables!$A:$A,0))+INDEX(Cables!$AP:$AP,MATCH(G272,Cables!$A:$A,0))-1),1),1),1),INDEX(Cables!$AP:$AP,MATCH(G272,Cables!$A:$A,0))-1))+1)))*0.3048)</f>
        <v>1.5742849293698127</v>
      </c>
      <c r="I272" s="43">
        <f>IF(G272="","",EXP(FORECAST(LN(E272),INDEX(Attenuation!$K:$K,(INDEX(Cables!$AO:$AO,MATCH(G272,Cables!$A:$A,0))-1+MIN(MAX(IFERROR(MATCH(LN(E272),INDEX(Attenuation!$J:$J,INDEX(Cables!$AO:$AO,MATCH(G272,Cables!$A:$A,0))):INDEX(Attenuation!$J:$J,INDEX(Cables!$AO:$AO,MATCH(G272,Cables!$A:$A,0))+INDEX(Cables!$AP:$AP,MATCH(G272,Cables!$A:$A,0))-1),1),1),1),INDEX(Cables!$AP:$AP,MATCH(G272,Cables!$A:$A,0))-1))):INDEX(Attenuation!$K:$K,(INDEX(Cables!$AO:$AO,MATCH(G272,Cables!$A:$A,0))-1+MIN(MAX(IFERROR(MATCH(LN(E272),INDEX(Attenuation!$J:$J,INDEX(Cables!$AO:$AO,MATCH(G272,Cables!$A:$A,0))):INDEX(Attenuation!$J:$J,INDEX(Cables!$AO:$AO,MATCH(G272,Cables!$A:$A,0))+INDEX(Cables!$AP:$AP,MATCH(G272,Cables!$A:$A,0))-1),1),1),1),INDEX(Cables!$AP:$AP,MATCH(G272,Cables!$A:$A,0))-1))+1),INDEX(Attenuation!$J:$J,(INDEX(Cables!$AO:$AO,MATCH(G272,Cables!$A:$A,0))-1+MIN(MAX(IFERROR(MATCH(LN(E272),INDEX(Attenuation!$J:$J,INDEX(Cables!$AO:$AO,MATCH(G272,Cables!$A:$A,0))):INDEX(Attenuation!$J:$J,INDEX(Cables!$AO:$AO,MATCH(G272,Cables!$A:$A,0))+INDEX(Cables!$AP:$AP,MATCH(G272,Cables!$A:$A,0))-1),1),1),1),INDEX(Cables!$AP:$AP,MATCH(G272,Cables!$A:$A,0))-1))):INDEX(Attenuation!$J:$J,(INDEX(Cables!$AO:$AO,MATCH(G272,Cables!$A:$A,0))-1+MIN(MAX(IFERROR(MATCH(LN(E272),INDEX(Attenuation!$J:$J,INDEX(Cables!$AO:$AO,MATCH(G272,Cables!$A:$A,0))):INDEX(Attenuation!$J:$J,INDEX(Cables!$AO:$AO,MATCH(G272,Cables!$A:$A,0))+INDEX(Cables!$AP:$AP,MATCH(G272,Cables!$A:$A,0))-1),1),1),1),INDEX(Cables!$AP:$AP,MATCH(G272,Cables!$A:$A,0))-1))+1)))*0.3048)</f>
        <v>1.5742849293698127</v>
      </c>
      <c r="J272" s="44">
        <f t="shared" si="4"/>
        <v>3.6302644607510981E-3</v>
      </c>
      <c r="K272" s="40" t="str">
        <f>IF(G272="","Doğrulanmadı",IF(ABS(J272)&lt;=0.1,"Uyumlu (±%10)",IF(ABS(J272)&lt;=0.25,"Fark %10-25","Fark &gt;%25"))&amp;IF(OR(D272&lt;INDEX(Cables!$AQ:$AQ,MATCH(G272,Cables!$A:$A,0)),E272&gt;INDEX(Cables!$AR:$AR,MATCH(G272,Cables!$A:$A,0)))," · ekstrapolasyon",""))</f>
        <v>Uyumlu (±%10)</v>
      </c>
    </row>
    <row r="273" spans="1:11" x14ac:dyDescent="0.25">
      <c r="A273" s="37" t="s">
        <v>3048</v>
      </c>
      <c r="B273" s="40" t="str">
        <f>INDEX(Legacy_Index!$D:$D,MATCH(A273,Legacy_Index!$A:$A,0))</f>
        <v>1/2" Superflex (FSJ4-50B HELIAX®)</v>
      </c>
      <c r="C273" s="37" t="s">
        <v>3115</v>
      </c>
      <c r="D273" s="37">
        <v>400</v>
      </c>
      <c r="E273" s="37">
        <v>520</v>
      </c>
      <c r="F273" s="37">
        <v>2.4</v>
      </c>
      <c r="G273" s="40" t="str">
        <f>IF(INDEX(Legacy_Index!$G:$G,MATCH(A273,Legacy_Index!$A:$A,0))="","",INDEX(Legacy_Index!$G:$G,MATCH(A273,Legacy_Index!$A:$A,0)))</f>
        <v>CS-FSJ4-50B</v>
      </c>
      <c r="H273" s="43">
        <f>IF(G273="","",EXP(FORECAST(LN(D273),INDEX(Attenuation!$K:$K,(INDEX(Cables!$AO:$AO,MATCH(G273,Cables!$A:$A,0))-1+MIN(MAX(IFERROR(MATCH(LN(D273),INDEX(Attenuation!$J:$J,INDEX(Cables!$AO:$AO,MATCH(G273,Cables!$A:$A,0))):INDEX(Attenuation!$J:$J,INDEX(Cables!$AO:$AO,MATCH(G273,Cables!$A:$A,0))+INDEX(Cables!$AP:$AP,MATCH(G273,Cables!$A:$A,0))-1),1),1),1),INDEX(Cables!$AP:$AP,MATCH(G273,Cables!$A:$A,0))-1))):INDEX(Attenuation!$K:$K,(INDEX(Cables!$AO:$AO,MATCH(G273,Cables!$A:$A,0))-1+MIN(MAX(IFERROR(MATCH(LN(D273),INDEX(Attenuation!$J:$J,INDEX(Cables!$AO:$AO,MATCH(G273,Cables!$A:$A,0))):INDEX(Attenuation!$J:$J,INDEX(Cables!$AO:$AO,MATCH(G273,Cables!$A:$A,0))+INDEX(Cables!$AP:$AP,MATCH(G273,Cables!$A:$A,0))-1),1),1),1),INDEX(Cables!$AP:$AP,MATCH(G273,Cables!$A:$A,0))-1))+1),INDEX(Attenuation!$J:$J,(INDEX(Cables!$AO:$AO,MATCH(G273,Cables!$A:$A,0))-1+MIN(MAX(IFERROR(MATCH(LN(D273),INDEX(Attenuation!$J:$J,INDEX(Cables!$AO:$AO,MATCH(G273,Cables!$A:$A,0))):INDEX(Attenuation!$J:$J,INDEX(Cables!$AO:$AO,MATCH(G273,Cables!$A:$A,0))+INDEX(Cables!$AP:$AP,MATCH(G273,Cables!$A:$A,0))-1),1),1),1),INDEX(Cables!$AP:$AP,MATCH(G273,Cables!$A:$A,0))-1))):INDEX(Attenuation!$J:$J,(INDEX(Cables!$AO:$AO,MATCH(G273,Cables!$A:$A,0))-1+MIN(MAX(IFERROR(MATCH(LN(D273),INDEX(Attenuation!$J:$J,INDEX(Cables!$AO:$AO,MATCH(G273,Cables!$A:$A,0))):INDEX(Attenuation!$J:$J,INDEX(Cables!$AO:$AO,MATCH(G273,Cables!$A:$A,0))+INDEX(Cables!$AP:$AP,MATCH(G273,Cables!$A:$A,0))-1),1),1),1),INDEX(Cables!$AP:$AP,MATCH(G273,Cables!$A:$A,0))-1))+1)))*0.3048)</f>
        <v>2.1701759999999997</v>
      </c>
      <c r="I273" s="43">
        <f>IF(G273="","",EXP(FORECAST(LN(E273),INDEX(Attenuation!$K:$K,(INDEX(Cables!$AO:$AO,MATCH(G273,Cables!$A:$A,0))-1+MIN(MAX(IFERROR(MATCH(LN(E273),INDEX(Attenuation!$J:$J,INDEX(Cables!$AO:$AO,MATCH(G273,Cables!$A:$A,0))):INDEX(Attenuation!$J:$J,INDEX(Cables!$AO:$AO,MATCH(G273,Cables!$A:$A,0))+INDEX(Cables!$AP:$AP,MATCH(G273,Cables!$A:$A,0))-1),1),1),1),INDEX(Cables!$AP:$AP,MATCH(G273,Cables!$A:$A,0))-1))):INDEX(Attenuation!$K:$K,(INDEX(Cables!$AO:$AO,MATCH(G273,Cables!$A:$A,0))-1+MIN(MAX(IFERROR(MATCH(LN(E273),INDEX(Attenuation!$J:$J,INDEX(Cables!$AO:$AO,MATCH(G273,Cables!$A:$A,0))):INDEX(Attenuation!$J:$J,INDEX(Cables!$AO:$AO,MATCH(G273,Cables!$A:$A,0))+INDEX(Cables!$AP:$AP,MATCH(G273,Cables!$A:$A,0))-1),1),1),1),INDEX(Cables!$AP:$AP,MATCH(G273,Cables!$A:$A,0))-1))+1),INDEX(Attenuation!$J:$J,(INDEX(Cables!$AO:$AO,MATCH(G273,Cables!$A:$A,0))-1+MIN(MAX(IFERROR(MATCH(LN(E273),INDEX(Attenuation!$J:$J,INDEX(Cables!$AO:$AO,MATCH(G273,Cables!$A:$A,0))):INDEX(Attenuation!$J:$J,INDEX(Cables!$AO:$AO,MATCH(G273,Cables!$A:$A,0))+INDEX(Cables!$AP:$AP,MATCH(G273,Cables!$A:$A,0))-1),1),1),1),INDEX(Cables!$AP:$AP,MATCH(G273,Cables!$A:$A,0))-1))):INDEX(Attenuation!$J:$J,(INDEX(Cables!$AO:$AO,MATCH(G273,Cables!$A:$A,0))-1+MIN(MAX(IFERROR(MATCH(LN(E273),INDEX(Attenuation!$J:$J,INDEX(Cables!$AO:$AO,MATCH(G273,Cables!$A:$A,0))):INDEX(Attenuation!$J:$J,INDEX(Cables!$AO:$AO,MATCH(G273,Cables!$A:$A,0))+INDEX(Cables!$AP:$AP,MATCH(G273,Cables!$A:$A,0))-1),1),1),1),INDEX(Cables!$AP:$AP,MATCH(G273,Cables!$A:$A,0))-1))+1)))*0.3048)</f>
        <v>2.5053141537030017</v>
      </c>
      <c r="J273" s="44">
        <f t="shared" si="4"/>
        <v>0</v>
      </c>
      <c r="K273" s="40" t="str">
        <f>IF(G273="","Doğrulanmadı",IF(ABS(J273)&lt;=0.1,"Uyumlu (±%10)",IF(ABS(J273)&lt;=0.25,"Fark %10-25","Fark &gt;%25"))&amp;IF(OR(D273&lt;INDEX(Cables!$AQ:$AQ,MATCH(G273,Cables!$A:$A,0)),E273&gt;INDEX(Cables!$AR:$AR,MATCH(G273,Cables!$A:$A,0)))," · ekstrapolasyon",""))</f>
        <v>Uyumlu (±%10)</v>
      </c>
    </row>
    <row r="274" spans="1:11" x14ac:dyDescent="0.25">
      <c r="A274" s="37" t="s">
        <v>3048</v>
      </c>
      <c r="B274" s="40" t="str">
        <f>INDEX(Legacy_Index!$D:$D,MATCH(A274,Legacy_Index!$A:$A,0))</f>
        <v>1/2" Superflex (FSJ4-50B HELIAX®)</v>
      </c>
      <c r="C274" s="37" t="s">
        <v>3116</v>
      </c>
      <c r="D274" s="37">
        <v>700</v>
      </c>
      <c r="E274" s="37">
        <v>960</v>
      </c>
      <c r="F274" s="37">
        <v>3.4</v>
      </c>
      <c r="G274" s="40" t="str">
        <f>IF(INDEX(Legacy_Index!$G:$G,MATCH(A274,Legacy_Index!$A:$A,0))="","",INDEX(Legacy_Index!$G:$G,MATCH(A274,Legacy_Index!$A:$A,0)))</f>
        <v>CS-FSJ4-50B</v>
      </c>
      <c r="H274" s="43">
        <f>IF(G274="","",EXP(FORECAST(LN(D274),INDEX(Attenuation!$K:$K,(INDEX(Cables!$AO:$AO,MATCH(G274,Cables!$A:$A,0))-1+MIN(MAX(IFERROR(MATCH(LN(D274),INDEX(Attenuation!$J:$J,INDEX(Cables!$AO:$AO,MATCH(G274,Cables!$A:$A,0))):INDEX(Attenuation!$J:$J,INDEX(Cables!$AO:$AO,MATCH(G274,Cables!$A:$A,0))+INDEX(Cables!$AP:$AP,MATCH(G274,Cables!$A:$A,0))-1),1),1),1),INDEX(Cables!$AP:$AP,MATCH(G274,Cables!$A:$A,0))-1))):INDEX(Attenuation!$K:$K,(INDEX(Cables!$AO:$AO,MATCH(G274,Cables!$A:$A,0))-1+MIN(MAX(IFERROR(MATCH(LN(D274),INDEX(Attenuation!$J:$J,INDEX(Cables!$AO:$AO,MATCH(G274,Cables!$A:$A,0))):INDEX(Attenuation!$J:$J,INDEX(Cables!$AO:$AO,MATCH(G274,Cables!$A:$A,0))+INDEX(Cables!$AP:$AP,MATCH(G274,Cables!$A:$A,0))-1),1),1),1),INDEX(Cables!$AP:$AP,MATCH(G274,Cables!$A:$A,0))-1))+1),INDEX(Attenuation!$J:$J,(INDEX(Cables!$AO:$AO,MATCH(G274,Cables!$A:$A,0))-1+MIN(MAX(IFERROR(MATCH(LN(D274),INDEX(Attenuation!$J:$J,INDEX(Cables!$AO:$AO,MATCH(G274,Cables!$A:$A,0))):INDEX(Attenuation!$J:$J,INDEX(Cables!$AO:$AO,MATCH(G274,Cables!$A:$A,0))+INDEX(Cables!$AP:$AP,MATCH(G274,Cables!$A:$A,0))-1),1),1),1),INDEX(Cables!$AP:$AP,MATCH(G274,Cables!$A:$A,0))-1))):INDEX(Attenuation!$J:$J,(INDEX(Cables!$AO:$AO,MATCH(G274,Cables!$A:$A,0))-1+MIN(MAX(IFERROR(MATCH(LN(D274),INDEX(Attenuation!$J:$J,INDEX(Cables!$AO:$AO,MATCH(G274,Cables!$A:$A,0))):INDEX(Attenuation!$J:$J,INDEX(Cables!$AO:$AO,MATCH(G274,Cables!$A:$A,0))+INDEX(Cables!$AP:$AP,MATCH(G274,Cables!$A:$A,0))-1),1),1),1),INDEX(Cables!$AP:$AP,MATCH(G274,Cables!$A:$A,0))-1))+1)))*0.3048)</f>
        <v>2.9504640000000015</v>
      </c>
      <c r="I274" s="43">
        <f>IF(G274="","",EXP(FORECAST(LN(E274),INDEX(Attenuation!$K:$K,(INDEX(Cables!$AO:$AO,MATCH(G274,Cables!$A:$A,0))-1+MIN(MAX(IFERROR(MATCH(LN(E274),INDEX(Attenuation!$J:$J,INDEX(Cables!$AO:$AO,MATCH(G274,Cables!$A:$A,0))):INDEX(Attenuation!$J:$J,INDEX(Cables!$AO:$AO,MATCH(G274,Cables!$A:$A,0))+INDEX(Cables!$AP:$AP,MATCH(G274,Cables!$A:$A,0))-1),1),1),1),INDEX(Cables!$AP:$AP,MATCH(G274,Cables!$A:$A,0))-1))):INDEX(Attenuation!$K:$K,(INDEX(Cables!$AO:$AO,MATCH(G274,Cables!$A:$A,0))-1+MIN(MAX(IFERROR(MATCH(LN(E274),INDEX(Attenuation!$J:$J,INDEX(Cables!$AO:$AO,MATCH(G274,Cables!$A:$A,0))):INDEX(Attenuation!$J:$J,INDEX(Cables!$AO:$AO,MATCH(G274,Cables!$A:$A,0))+INDEX(Cables!$AP:$AP,MATCH(G274,Cables!$A:$A,0))-1),1),1),1),INDEX(Cables!$AP:$AP,MATCH(G274,Cables!$A:$A,0))-1))+1),INDEX(Attenuation!$J:$J,(INDEX(Cables!$AO:$AO,MATCH(G274,Cables!$A:$A,0))-1+MIN(MAX(IFERROR(MATCH(LN(E274),INDEX(Attenuation!$J:$J,INDEX(Cables!$AO:$AO,MATCH(G274,Cables!$A:$A,0))):INDEX(Attenuation!$J:$J,INDEX(Cables!$AO:$AO,MATCH(G274,Cables!$A:$A,0))+INDEX(Cables!$AP:$AP,MATCH(G274,Cables!$A:$A,0))-1),1),1),1),INDEX(Cables!$AP:$AP,MATCH(G274,Cables!$A:$A,0))-1))):INDEX(Attenuation!$J:$J,(INDEX(Cables!$AO:$AO,MATCH(G274,Cables!$A:$A,0))-1+MIN(MAX(IFERROR(MATCH(LN(E274),INDEX(Attenuation!$J:$J,INDEX(Cables!$AO:$AO,MATCH(G274,Cables!$A:$A,0))):INDEX(Attenuation!$J:$J,INDEX(Cables!$AO:$AO,MATCH(G274,Cables!$A:$A,0))+INDEX(Cables!$AP:$AP,MATCH(G274,Cables!$A:$A,0))-1),1),1),1),INDEX(Cables!$AP:$AP,MATCH(G274,Cables!$A:$A,0))-1))+1)))*0.3048)</f>
        <v>3.5356799999999988</v>
      </c>
      <c r="J274" s="44">
        <f t="shared" si="4"/>
        <v>0</v>
      </c>
      <c r="K274" s="40" t="str">
        <f>IF(G274="","Doğrulanmadı",IF(ABS(J274)&lt;=0.1,"Uyumlu (±%10)",IF(ABS(J274)&lt;=0.25,"Fark %10-25","Fark &gt;%25"))&amp;IF(OR(D274&lt;INDEX(Cables!$AQ:$AQ,MATCH(G274,Cables!$A:$A,0)),E274&gt;INDEX(Cables!$AR:$AR,MATCH(G274,Cables!$A:$A,0)))," · ekstrapolasyon",""))</f>
        <v>Uyumlu (±%10)</v>
      </c>
    </row>
    <row r="275" spans="1:11" x14ac:dyDescent="0.25">
      <c r="A275" s="37" t="s">
        <v>3048</v>
      </c>
      <c r="B275" s="40" t="str">
        <f>INDEX(Legacy_Index!$D:$D,MATCH(A275,Legacy_Index!$A:$A,0))</f>
        <v>1/2" Superflex (FSJ4-50B HELIAX®)</v>
      </c>
      <c r="C275" s="37" t="s">
        <v>3120</v>
      </c>
      <c r="D275" s="37">
        <v>1200</v>
      </c>
      <c r="E275" s="37">
        <v>1300</v>
      </c>
      <c r="F275" s="37">
        <v>4.37</v>
      </c>
      <c r="G275" s="40" t="str">
        <f>IF(INDEX(Legacy_Index!$G:$G,MATCH(A275,Legacy_Index!$A:$A,0))="","",INDEX(Legacy_Index!$G:$G,MATCH(A275,Legacy_Index!$A:$A,0)))</f>
        <v>CS-FSJ4-50B</v>
      </c>
      <c r="H275" s="43">
        <f>IF(G275="","",EXP(FORECAST(LN(D275),INDEX(Attenuation!$K:$K,(INDEX(Cables!$AO:$AO,MATCH(G275,Cables!$A:$A,0))-1+MIN(MAX(IFERROR(MATCH(LN(D275),INDEX(Attenuation!$J:$J,INDEX(Cables!$AO:$AO,MATCH(G275,Cables!$A:$A,0))):INDEX(Attenuation!$J:$J,INDEX(Cables!$AO:$AO,MATCH(G275,Cables!$A:$A,0))+INDEX(Cables!$AP:$AP,MATCH(G275,Cables!$A:$A,0))-1),1),1),1),INDEX(Cables!$AP:$AP,MATCH(G275,Cables!$A:$A,0))-1))):INDEX(Attenuation!$K:$K,(INDEX(Cables!$AO:$AO,MATCH(G275,Cables!$A:$A,0))-1+MIN(MAX(IFERROR(MATCH(LN(D275),INDEX(Attenuation!$J:$J,INDEX(Cables!$AO:$AO,MATCH(G275,Cables!$A:$A,0))):INDEX(Attenuation!$J:$J,INDEX(Cables!$AO:$AO,MATCH(G275,Cables!$A:$A,0))+INDEX(Cables!$AP:$AP,MATCH(G275,Cables!$A:$A,0))-1),1),1),1),INDEX(Cables!$AP:$AP,MATCH(G275,Cables!$A:$A,0))-1))+1),INDEX(Attenuation!$J:$J,(INDEX(Cables!$AO:$AO,MATCH(G275,Cables!$A:$A,0))-1+MIN(MAX(IFERROR(MATCH(LN(D275),INDEX(Attenuation!$J:$J,INDEX(Cables!$AO:$AO,MATCH(G275,Cables!$A:$A,0))):INDEX(Attenuation!$J:$J,INDEX(Cables!$AO:$AO,MATCH(G275,Cables!$A:$A,0))+INDEX(Cables!$AP:$AP,MATCH(G275,Cables!$A:$A,0))-1),1),1),1),INDEX(Cables!$AP:$AP,MATCH(G275,Cables!$A:$A,0))-1))):INDEX(Attenuation!$J:$J,(INDEX(Cables!$AO:$AO,MATCH(G275,Cables!$A:$A,0))-1+MIN(MAX(IFERROR(MATCH(LN(D275),INDEX(Attenuation!$J:$J,INDEX(Cables!$AO:$AO,MATCH(G275,Cables!$A:$A,0))):INDEX(Attenuation!$J:$J,INDEX(Cables!$AO:$AO,MATCH(G275,Cables!$A:$A,0))+INDEX(Cables!$AP:$AP,MATCH(G275,Cables!$A:$A,0))-1),1),1),1),INDEX(Cables!$AP:$AP,MATCH(G275,Cables!$A:$A,0))-1))+1)))*0.3048)</f>
        <v>3.9904077531574167</v>
      </c>
      <c r="I275" s="43">
        <f>IF(G275="","",EXP(FORECAST(LN(E275),INDEX(Attenuation!$K:$K,(INDEX(Cables!$AO:$AO,MATCH(G275,Cables!$A:$A,0))-1+MIN(MAX(IFERROR(MATCH(LN(E275),INDEX(Attenuation!$J:$J,INDEX(Cables!$AO:$AO,MATCH(G275,Cables!$A:$A,0))):INDEX(Attenuation!$J:$J,INDEX(Cables!$AO:$AO,MATCH(G275,Cables!$A:$A,0))+INDEX(Cables!$AP:$AP,MATCH(G275,Cables!$A:$A,0))-1),1),1),1),INDEX(Cables!$AP:$AP,MATCH(G275,Cables!$A:$A,0))-1))):INDEX(Attenuation!$K:$K,(INDEX(Cables!$AO:$AO,MATCH(G275,Cables!$A:$A,0))-1+MIN(MAX(IFERROR(MATCH(LN(E275),INDEX(Attenuation!$J:$J,INDEX(Cables!$AO:$AO,MATCH(G275,Cables!$A:$A,0))):INDEX(Attenuation!$J:$J,INDEX(Cables!$AO:$AO,MATCH(G275,Cables!$A:$A,0))+INDEX(Cables!$AP:$AP,MATCH(G275,Cables!$A:$A,0))-1),1),1),1),INDEX(Cables!$AP:$AP,MATCH(G275,Cables!$A:$A,0))-1))+1),INDEX(Attenuation!$J:$J,(INDEX(Cables!$AO:$AO,MATCH(G275,Cables!$A:$A,0))-1+MIN(MAX(IFERROR(MATCH(LN(E275),INDEX(Attenuation!$J:$J,INDEX(Cables!$AO:$AO,MATCH(G275,Cables!$A:$A,0))):INDEX(Attenuation!$J:$J,INDEX(Cables!$AO:$AO,MATCH(G275,Cables!$A:$A,0))+INDEX(Cables!$AP:$AP,MATCH(G275,Cables!$A:$A,0))-1),1),1),1),INDEX(Cables!$AP:$AP,MATCH(G275,Cables!$A:$A,0))-1))):INDEX(Attenuation!$J:$J,(INDEX(Cables!$AO:$AO,MATCH(G275,Cables!$A:$A,0))-1+MIN(MAX(IFERROR(MATCH(LN(E275),INDEX(Attenuation!$J:$J,INDEX(Cables!$AO:$AO,MATCH(G275,Cables!$A:$A,0))):INDEX(Attenuation!$J:$J,INDEX(Cables!$AO:$AO,MATCH(G275,Cables!$A:$A,0))+INDEX(Cables!$AP:$AP,MATCH(G275,Cables!$A:$A,0))-1),1),1),1),INDEX(Cables!$AP:$AP,MATCH(G275,Cables!$A:$A,0))-1))+1)))*0.3048)</f>
        <v>4.1786185800794344</v>
      </c>
      <c r="J275" s="44">
        <f t="shared" si="4"/>
        <v>4.5800164875763105E-2</v>
      </c>
      <c r="K275" s="40" t="str">
        <f>IF(G275="","Doğrulanmadı",IF(ABS(J275)&lt;=0.1,"Uyumlu (±%10)",IF(ABS(J275)&lt;=0.25,"Fark %10-25","Fark &gt;%25"))&amp;IF(OR(D275&lt;INDEX(Cables!$AQ:$AQ,MATCH(G275,Cables!$A:$A,0)),E275&gt;INDEX(Cables!$AR:$AR,MATCH(G275,Cables!$A:$A,0)))," · ekstrapolasyon",""))</f>
        <v>Uyumlu (±%10)</v>
      </c>
    </row>
    <row r="276" spans="1:11" x14ac:dyDescent="0.25">
      <c r="A276" s="37" t="s">
        <v>3048</v>
      </c>
      <c r="B276" s="40" t="str">
        <f>INDEX(Legacy_Index!$D:$D,MATCH(A276,Legacy_Index!$A:$A,0))</f>
        <v>1/2" Superflex (FSJ4-50B HELIAX®)</v>
      </c>
      <c r="C276" s="37" t="s">
        <v>3121</v>
      </c>
      <c r="D276" s="37">
        <v>2400</v>
      </c>
      <c r="E276" s="37">
        <v>2500</v>
      </c>
      <c r="F276" s="37">
        <v>5.9</v>
      </c>
      <c r="G276" s="40" t="str">
        <f>IF(INDEX(Legacy_Index!$G:$G,MATCH(A276,Legacy_Index!$A:$A,0))="","",INDEX(Legacy_Index!$G:$G,MATCH(A276,Legacy_Index!$A:$A,0)))</f>
        <v>CS-FSJ4-50B</v>
      </c>
      <c r="H276" s="43">
        <f>IF(G276="","",EXP(FORECAST(LN(D276),INDEX(Attenuation!$K:$K,(INDEX(Cables!$AO:$AO,MATCH(G276,Cables!$A:$A,0))-1+MIN(MAX(IFERROR(MATCH(LN(D276),INDEX(Attenuation!$J:$J,INDEX(Cables!$AO:$AO,MATCH(G276,Cables!$A:$A,0))):INDEX(Attenuation!$J:$J,INDEX(Cables!$AO:$AO,MATCH(G276,Cables!$A:$A,0))+INDEX(Cables!$AP:$AP,MATCH(G276,Cables!$A:$A,0))-1),1),1),1),INDEX(Cables!$AP:$AP,MATCH(G276,Cables!$A:$A,0))-1))):INDEX(Attenuation!$K:$K,(INDEX(Cables!$AO:$AO,MATCH(G276,Cables!$A:$A,0))-1+MIN(MAX(IFERROR(MATCH(LN(D276),INDEX(Attenuation!$J:$J,INDEX(Cables!$AO:$AO,MATCH(G276,Cables!$A:$A,0))):INDEX(Attenuation!$J:$J,INDEX(Cables!$AO:$AO,MATCH(G276,Cables!$A:$A,0))+INDEX(Cables!$AP:$AP,MATCH(G276,Cables!$A:$A,0))-1),1),1),1),INDEX(Cables!$AP:$AP,MATCH(G276,Cables!$A:$A,0))-1))+1),INDEX(Attenuation!$J:$J,(INDEX(Cables!$AO:$AO,MATCH(G276,Cables!$A:$A,0))-1+MIN(MAX(IFERROR(MATCH(LN(D276),INDEX(Attenuation!$J:$J,INDEX(Cables!$AO:$AO,MATCH(G276,Cables!$A:$A,0))):INDEX(Attenuation!$J:$J,INDEX(Cables!$AO:$AO,MATCH(G276,Cables!$A:$A,0))+INDEX(Cables!$AP:$AP,MATCH(G276,Cables!$A:$A,0))-1),1),1),1),INDEX(Cables!$AP:$AP,MATCH(G276,Cables!$A:$A,0))-1))):INDEX(Attenuation!$J:$J,(INDEX(Cables!$AO:$AO,MATCH(G276,Cables!$A:$A,0))-1+MIN(MAX(IFERROR(MATCH(LN(D276),INDEX(Attenuation!$J:$J,INDEX(Cables!$AO:$AO,MATCH(G276,Cables!$A:$A,0))):INDEX(Attenuation!$J:$J,INDEX(Cables!$AO:$AO,MATCH(G276,Cables!$A:$A,0))+INDEX(Cables!$AP:$AP,MATCH(G276,Cables!$A:$A,0))-1),1),1),1),INDEX(Cables!$AP:$AP,MATCH(G276,Cables!$A:$A,0))-1))+1)))*0.3048)</f>
        <v>5.972208283222959</v>
      </c>
      <c r="I276" s="43">
        <f>IF(G276="","",EXP(FORECAST(LN(E276),INDEX(Attenuation!$K:$K,(INDEX(Cables!$AO:$AO,MATCH(G276,Cables!$A:$A,0))-1+MIN(MAX(IFERROR(MATCH(LN(E276),INDEX(Attenuation!$J:$J,INDEX(Cables!$AO:$AO,MATCH(G276,Cables!$A:$A,0))):INDEX(Attenuation!$J:$J,INDEX(Cables!$AO:$AO,MATCH(G276,Cables!$A:$A,0))+INDEX(Cables!$AP:$AP,MATCH(G276,Cables!$A:$A,0))-1),1),1),1),INDEX(Cables!$AP:$AP,MATCH(G276,Cables!$A:$A,0))-1))):INDEX(Attenuation!$K:$K,(INDEX(Cables!$AO:$AO,MATCH(G276,Cables!$A:$A,0))-1+MIN(MAX(IFERROR(MATCH(LN(E276),INDEX(Attenuation!$J:$J,INDEX(Cables!$AO:$AO,MATCH(G276,Cables!$A:$A,0))):INDEX(Attenuation!$J:$J,INDEX(Cables!$AO:$AO,MATCH(G276,Cables!$A:$A,0))+INDEX(Cables!$AP:$AP,MATCH(G276,Cables!$A:$A,0))-1),1),1),1),INDEX(Cables!$AP:$AP,MATCH(G276,Cables!$A:$A,0))-1))+1),INDEX(Attenuation!$J:$J,(INDEX(Cables!$AO:$AO,MATCH(G276,Cables!$A:$A,0))-1+MIN(MAX(IFERROR(MATCH(LN(E276),INDEX(Attenuation!$J:$J,INDEX(Cables!$AO:$AO,MATCH(G276,Cables!$A:$A,0))):INDEX(Attenuation!$J:$J,INDEX(Cables!$AO:$AO,MATCH(G276,Cables!$A:$A,0))+INDEX(Cables!$AP:$AP,MATCH(G276,Cables!$A:$A,0))-1),1),1),1),INDEX(Cables!$AP:$AP,MATCH(G276,Cables!$A:$A,0))-1))):INDEX(Attenuation!$J:$J,(INDEX(Cables!$AO:$AO,MATCH(G276,Cables!$A:$A,0))-1+MIN(MAX(IFERROR(MATCH(LN(E276),INDEX(Attenuation!$J:$J,INDEX(Cables!$AO:$AO,MATCH(G276,Cables!$A:$A,0))):INDEX(Attenuation!$J:$J,INDEX(Cables!$AO:$AO,MATCH(G276,Cables!$A:$A,0))+INDEX(Cables!$AP:$AP,MATCH(G276,Cables!$A:$A,0))-1),1),1),1),INDEX(Cables!$AP:$AP,MATCH(G276,Cables!$A:$A,0))-1))+1)))*0.3048)</f>
        <v>6.1202465509742208</v>
      </c>
      <c r="J276" s="44">
        <f t="shared" si="4"/>
        <v>-1.2090717503239978E-2</v>
      </c>
      <c r="K276" s="40" t="str">
        <f>IF(G276="","Doğrulanmadı",IF(ABS(J276)&lt;=0.1,"Uyumlu (±%10)",IF(ABS(J276)&lt;=0.25,"Fark %10-25","Fark &gt;%25"))&amp;IF(OR(D276&lt;INDEX(Cables!$AQ:$AQ,MATCH(G276,Cables!$A:$A,0)),E276&gt;INDEX(Cables!$AR:$AR,MATCH(G276,Cables!$A:$A,0)))," · ekstrapolasyon",""))</f>
        <v>Uyumlu (±%10)</v>
      </c>
    </row>
    <row r="277" spans="1:11" x14ac:dyDescent="0.25">
      <c r="A277" s="37" t="s">
        <v>3048</v>
      </c>
      <c r="B277" s="40" t="str">
        <f>INDEX(Legacy_Index!$D:$D,MATCH(A277,Legacy_Index!$A:$A,0))</f>
        <v>1/2" Superflex (FSJ4-50B HELIAX®)</v>
      </c>
      <c r="C277" s="37" t="s">
        <v>3122</v>
      </c>
      <c r="D277" s="37">
        <v>5725</v>
      </c>
      <c r="E277" s="37">
        <v>5875</v>
      </c>
      <c r="F277" s="37">
        <v>10.199999999999999</v>
      </c>
      <c r="G277" s="40" t="str">
        <f>IF(INDEX(Legacy_Index!$G:$G,MATCH(A277,Legacy_Index!$A:$A,0))="","",INDEX(Legacy_Index!$G:$G,MATCH(A277,Legacy_Index!$A:$A,0)))</f>
        <v>CS-FSJ4-50B</v>
      </c>
      <c r="H277" s="43">
        <f>IF(G277="","",EXP(FORECAST(LN(D277),INDEX(Attenuation!$K:$K,(INDEX(Cables!$AO:$AO,MATCH(G277,Cables!$A:$A,0))-1+MIN(MAX(IFERROR(MATCH(LN(D277),INDEX(Attenuation!$J:$J,INDEX(Cables!$AO:$AO,MATCH(G277,Cables!$A:$A,0))):INDEX(Attenuation!$J:$J,INDEX(Cables!$AO:$AO,MATCH(G277,Cables!$A:$A,0))+INDEX(Cables!$AP:$AP,MATCH(G277,Cables!$A:$A,0))-1),1),1),1),INDEX(Cables!$AP:$AP,MATCH(G277,Cables!$A:$A,0))-1))):INDEX(Attenuation!$K:$K,(INDEX(Cables!$AO:$AO,MATCH(G277,Cables!$A:$A,0))-1+MIN(MAX(IFERROR(MATCH(LN(D277),INDEX(Attenuation!$J:$J,INDEX(Cables!$AO:$AO,MATCH(G277,Cables!$A:$A,0))):INDEX(Attenuation!$J:$J,INDEX(Cables!$AO:$AO,MATCH(G277,Cables!$A:$A,0))+INDEX(Cables!$AP:$AP,MATCH(G277,Cables!$A:$A,0))-1),1),1),1),INDEX(Cables!$AP:$AP,MATCH(G277,Cables!$A:$A,0))-1))+1),INDEX(Attenuation!$J:$J,(INDEX(Cables!$AO:$AO,MATCH(G277,Cables!$A:$A,0))-1+MIN(MAX(IFERROR(MATCH(LN(D277),INDEX(Attenuation!$J:$J,INDEX(Cables!$AO:$AO,MATCH(G277,Cables!$A:$A,0))):INDEX(Attenuation!$J:$J,INDEX(Cables!$AO:$AO,MATCH(G277,Cables!$A:$A,0))+INDEX(Cables!$AP:$AP,MATCH(G277,Cables!$A:$A,0))-1),1),1),1),INDEX(Cables!$AP:$AP,MATCH(G277,Cables!$A:$A,0))-1))):INDEX(Attenuation!$J:$J,(INDEX(Cables!$AO:$AO,MATCH(G277,Cables!$A:$A,0))-1+MIN(MAX(IFERROR(MATCH(LN(D277),INDEX(Attenuation!$J:$J,INDEX(Cables!$AO:$AO,MATCH(G277,Cables!$A:$A,0))):INDEX(Attenuation!$J:$J,INDEX(Cables!$AO:$AO,MATCH(G277,Cables!$A:$A,0))+INDEX(Cables!$AP:$AP,MATCH(G277,Cables!$A:$A,0))-1),1),1),1),INDEX(Cables!$AP:$AP,MATCH(G277,Cables!$A:$A,0))-1))+1)))*0.3048)</f>
        <v>10.182539619936215</v>
      </c>
      <c r="I277" s="43">
        <f>IF(G277="","",EXP(FORECAST(LN(E277),INDEX(Attenuation!$K:$K,(INDEX(Cables!$AO:$AO,MATCH(G277,Cables!$A:$A,0))-1+MIN(MAX(IFERROR(MATCH(LN(E277),INDEX(Attenuation!$J:$J,INDEX(Cables!$AO:$AO,MATCH(G277,Cables!$A:$A,0))):INDEX(Attenuation!$J:$J,INDEX(Cables!$AO:$AO,MATCH(G277,Cables!$A:$A,0))+INDEX(Cables!$AP:$AP,MATCH(G277,Cables!$A:$A,0))-1),1),1),1),INDEX(Cables!$AP:$AP,MATCH(G277,Cables!$A:$A,0))-1))):INDEX(Attenuation!$K:$K,(INDEX(Cables!$AO:$AO,MATCH(G277,Cables!$A:$A,0))-1+MIN(MAX(IFERROR(MATCH(LN(E277),INDEX(Attenuation!$J:$J,INDEX(Cables!$AO:$AO,MATCH(G277,Cables!$A:$A,0))):INDEX(Attenuation!$J:$J,INDEX(Cables!$AO:$AO,MATCH(G277,Cables!$A:$A,0))+INDEX(Cables!$AP:$AP,MATCH(G277,Cables!$A:$A,0))-1),1),1),1),INDEX(Cables!$AP:$AP,MATCH(G277,Cables!$A:$A,0))-1))+1),INDEX(Attenuation!$J:$J,(INDEX(Cables!$AO:$AO,MATCH(G277,Cables!$A:$A,0))-1+MIN(MAX(IFERROR(MATCH(LN(E277),INDEX(Attenuation!$J:$J,INDEX(Cables!$AO:$AO,MATCH(G277,Cables!$A:$A,0))):INDEX(Attenuation!$J:$J,INDEX(Cables!$AO:$AO,MATCH(G277,Cables!$A:$A,0))+INDEX(Cables!$AP:$AP,MATCH(G277,Cables!$A:$A,0))-1),1),1),1),INDEX(Cables!$AP:$AP,MATCH(G277,Cables!$A:$A,0))-1))):INDEX(Attenuation!$J:$J,(INDEX(Cables!$AO:$AO,MATCH(G277,Cables!$A:$A,0))-1+MIN(MAX(IFERROR(MATCH(LN(E277),INDEX(Attenuation!$J:$J,INDEX(Cables!$AO:$AO,MATCH(G277,Cables!$A:$A,0))):INDEX(Attenuation!$J:$J,INDEX(Cables!$AO:$AO,MATCH(G277,Cables!$A:$A,0))+INDEX(Cables!$AP:$AP,MATCH(G277,Cables!$A:$A,0))-1),1),1),1),INDEX(Cables!$AP:$AP,MATCH(G277,Cables!$A:$A,0))-1))+1)))*0.3048)</f>
        <v>10.348244224610106</v>
      </c>
      <c r="J277" s="44">
        <f t="shared" si="4"/>
        <v>0</v>
      </c>
      <c r="K277" s="40" t="str">
        <f>IF(G277="","Doğrulanmadı",IF(ABS(J277)&lt;=0.1,"Uyumlu (±%10)",IF(ABS(J277)&lt;=0.25,"Fark %10-25","Fark &gt;%25"))&amp;IF(OR(D277&lt;INDEX(Cables!$AQ:$AQ,MATCH(G277,Cables!$A:$A,0)),E277&gt;INDEX(Cables!$AR:$AR,MATCH(G277,Cables!$A:$A,0)))," · ekstrapolasyon",""))</f>
        <v>Uyumlu (±%10)</v>
      </c>
    </row>
    <row r="278" spans="1:11" x14ac:dyDescent="0.25">
      <c r="A278" s="37" t="s">
        <v>3050</v>
      </c>
      <c r="B278" s="40" t="str">
        <f>INDEX(Legacy_Index!$D:$D,MATCH(A278,Legacy_Index!$A:$A,0))</f>
        <v>1/2" 10D-FB Type</v>
      </c>
      <c r="C278" s="37" t="s">
        <v>3113</v>
      </c>
      <c r="D278" s="37">
        <v>70</v>
      </c>
      <c r="E278" s="37">
        <v>100</v>
      </c>
      <c r="F278" s="37">
        <v>0.9</v>
      </c>
      <c r="G278" s="40" t="str">
        <f>IF(INDEX(Legacy_Index!$G:$G,MATCH(A278,Legacy_Index!$A:$A,0))="","",INDEX(Legacy_Index!$G:$G,MATCH(A278,Legacy_Index!$A:$A,0)))</f>
        <v>GEN-10D-FB</v>
      </c>
      <c r="H278" s="43">
        <f>IF(G278="","",EXP(FORECAST(LN(D278),INDEX(Attenuation!$K:$K,(INDEX(Cables!$AO:$AO,MATCH(G278,Cables!$A:$A,0))-1+MIN(MAX(IFERROR(MATCH(LN(D278),INDEX(Attenuation!$J:$J,INDEX(Cables!$AO:$AO,MATCH(G278,Cables!$A:$A,0))):INDEX(Attenuation!$J:$J,INDEX(Cables!$AO:$AO,MATCH(G278,Cables!$A:$A,0))+INDEX(Cables!$AP:$AP,MATCH(G278,Cables!$A:$A,0))-1),1),1),1),INDEX(Cables!$AP:$AP,MATCH(G278,Cables!$A:$A,0))-1))):INDEX(Attenuation!$K:$K,(INDEX(Cables!$AO:$AO,MATCH(G278,Cables!$A:$A,0))-1+MIN(MAX(IFERROR(MATCH(LN(D278),INDEX(Attenuation!$J:$J,INDEX(Cables!$AO:$AO,MATCH(G278,Cables!$A:$A,0))):INDEX(Attenuation!$J:$J,INDEX(Cables!$AO:$AO,MATCH(G278,Cables!$A:$A,0))+INDEX(Cables!$AP:$AP,MATCH(G278,Cables!$A:$A,0))-1),1),1),1),INDEX(Cables!$AP:$AP,MATCH(G278,Cables!$A:$A,0))-1))+1),INDEX(Attenuation!$J:$J,(INDEX(Cables!$AO:$AO,MATCH(G278,Cables!$A:$A,0))-1+MIN(MAX(IFERROR(MATCH(LN(D278),INDEX(Attenuation!$J:$J,INDEX(Cables!$AO:$AO,MATCH(G278,Cables!$A:$A,0))):INDEX(Attenuation!$J:$J,INDEX(Cables!$AO:$AO,MATCH(G278,Cables!$A:$A,0))+INDEX(Cables!$AP:$AP,MATCH(G278,Cables!$A:$A,0))-1),1),1),1),INDEX(Cables!$AP:$AP,MATCH(G278,Cables!$A:$A,0))-1))):INDEX(Attenuation!$J:$J,(INDEX(Cables!$AO:$AO,MATCH(G278,Cables!$A:$A,0))-1+MIN(MAX(IFERROR(MATCH(LN(D278),INDEX(Attenuation!$J:$J,INDEX(Cables!$AO:$AO,MATCH(G278,Cables!$A:$A,0))):INDEX(Attenuation!$J:$J,INDEX(Cables!$AO:$AO,MATCH(G278,Cables!$A:$A,0))+INDEX(Cables!$AP:$AP,MATCH(G278,Cables!$A:$A,0))-1),1),1),1),INDEX(Cables!$AP:$AP,MATCH(G278,Cables!$A:$A,0))-1))+1)))*0.3048)</f>
        <v>0.76132721066003906</v>
      </c>
      <c r="I278" s="43">
        <f>IF(G278="","",EXP(FORECAST(LN(E278),INDEX(Attenuation!$K:$K,(INDEX(Cables!$AO:$AO,MATCH(G278,Cables!$A:$A,0))-1+MIN(MAX(IFERROR(MATCH(LN(E278),INDEX(Attenuation!$J:$J,INDEX(Cables!$AO:$AO,MATCH(G278,Cables!$A:$A,0))):INDEX(Attenuation!$J:$J,INDEX(Cables!$AO:$AO,MATCH(G278,Cables!$A:$A,0))+INDEX(Cables!$AP:$AP,MATCH(G278,Cables!$A:$A,0))-1),1),1),1),INDEX(Cables!$AP:$AP,MATCH(G278,Cables!$A:$A,0))-1))):INDEX(Attenuation!$K:$K,(INDEX(Cables!$AO:$AO,MATCH(G278,Cables!$A:$A,0))-1+MIN(MAX(IFERROR(MATCH(LN(E278),INDEX(Attenuation!$J:$J,INDEX(Cables!$AO:$AO,MATCH(G278,Cables!$A:$A,0))):INDEX(Attenuation!$J:$J,INDEX(Cables!$AO:$AO,MATCH(G278,Cables!$A:$A,0))+INDEX(Cables!$AP:$AP,MATCH(G278,Cables!$A:$A,0))-1),1),1),1),INDEX(Cables!$AP:$AP,MATCH(G278,Cables!$A:$A,0))-1))+1),INDEX(Attenuation!$J:$J,(INDEX(Cables!$AO:$AO,MATCH(G278,Cables!$A:$A,0))-1+MIN(MAX(IFERROR(MATCH(LN(E278),INDEX(Attenuation!$J:$J,INDEX(Cables!$AO:$AO,MATCH(G278,Cables!$A:$A,0))):INDEX(Attenuation!$J:$J,INDEX(Cables!$AO:$AO,MATCH(G278,Cables!$A:$A,0))+INDEX(Cables!$AP:$AP,MATCH(G278,Cables!$A:$A,0))-1),1),1),1),INDEX(Cables!$AP:$AP,MATCH(G278,Cables!$A:$A,0))-1))):INDEX(Attenuation!$J:$J,(INDEX(Cables!$AO:$AO,MATCH(G278,Cables!$A:$A,0))-1+MIN(MAX(IFERROR(MATCH(LN(E278),INDEX(Attenuation!$J:$J,INDEX(Cables!$AO:$AO,MATCH(G278,Cables!$A:$A,0))):INDEX(Attenuation!$J:$J,INDEX(Cables!$AO:$AO,MATCH(G278,Cables!$A:$A,0))+INDEX(Cables!$AP:$AP,MATCH(G278,Cables!$A:$A,0))-1),1),1),1),INDEX(Cables!$AP:$AP,MATCH(G278,Cables!$A:$A,0))-1))+1)))*0.3048)</f>
        <v>0.91502274780689952</v>
      </c>
      <c r="J278" s="44">
        <f t="shared" si="4"/>
        <v>0</v>
      </c>
      <c r="K278" s="40" t="str">
        <f>IF(G278="","Doğrulanmadı",IF(ABS(J278)&lt;=0.1,"Uyumlu (±%10)",IF(ABS(J278)&lt;=0.25,"Fark %10-25","Fark &gt;%25"))&amp;IF(OR(D278&lt;INDEX(Cables!$AQ:$AQ,MATCH(G278,Cables!$A:$A,0)),E278&gt;INDEX(Cables!$AR:$AR,MATCH(G278,Cables!$A:$A,0)))," · ekstrapolasyon",""))</f>
        <v>Uyumlu (±%10)</v>
      </c>
    </row>
    <row r="279" spans="1:11" x14ac:dyDescent="0.25">
      <c r="A279" s="37" t="s">
        <v>3050</v>
      </c>
      <c r="B279" s="40" t="str">
        <f>INDEX(Legacy_Index!$D:$D,MATCH(A279,Legacy_Index!$A:$A,0))</f>
        <v>1/2" 10D-FB Type</v>
      </c>
      <c r="C279" s="37" t="s">
        <v>3114</v>
      </c>
      <c r="D279" s="37">
        <v>148</v>
      </c>
      <c r="E279" s="37">
        <v>174</v>
      </c>
      <c r="F279" s="37">
        <v>1.2</v>
      </c>
      <c r="G279" s="40" t="str">
        <f>IF(INDEX(Legacy_Index!$G:$G,MATCH(A279,Legacy_Index!$A:$A,0))="","",INDEX(Legacy_Index!$G:$G,MATCH(A279,Legacy_Index!$A:$A,0)))</f>
        <v>GEN-10D-FB</v>
      </c>
      <c r="H279" s="43">
        <f>IF(G279="","",EXP(FORECAST(LN(D279),INDEX(Attenuation!$K:$K,(INDEX(Cables!$AO:$AO,MATCH(G279,Cables!$A:$A,0))-1+MIN(MAX(IFERROR(MATCH(LN(D279),INDEX(Attenuation!$J:$J,INDEX(Cables!$AO:$AO,MATCH(G279,Cables!$A:$A,0))):INDEX(Attenuation!$J:$J,INDEX(Cables!$AO:$AO,MATCH(G279,Cables!$A:$A,0))+INDEX(Cables!$AP:$AP,MATCH(G279,Cables!$A:$A,0))-1),1),1),1),INDEX(Cables!$AP:$AP,MATCH(G279,Cables!$A:$A,0))-1))):INDEX(Attenuation!$K:$K,(INDEX(Cables!$AO:$AO,MATCH(G279,Cables!$A:$A,0))-1+MIN(MAX(IFERROR(MATCH(LN(D279),INDEX(Attenuation!$J:$J,INDEX(Cables!$AO:$AO,MATCH(G279,Cables!$A:$A,0))):INDEX(Attenuation!$J:$J,INDEX(Cables!$AO:$AO,MATCH(G279,Cables!$A:$A,0))+INDEX(Cables!$AP:$AP,MATCH(G279,Cables!$A:$A,0))-1),1),1),1),INDEX(Cables!$AP:$AP,MATCH(G279,Cables!$A:$A,0))-1))+1),INDEX(Attenuation!$J:$J,(INDEX(Cables!$AO:$AO,MATCH(G279,Cables!$A:$A,0))-1+MIN(MAX(IFERROR(MATCH(LN(D279),INDEX(Attenuation!$J:$J,INDEX(Cables!$AO:$AO,MATCH(G279,Cables!$A:$A,0))):INDEX(Attenuation!$J:$J,INDEX(Cables!$AO:$AO,MATCH(G279,Cables!$A:$A,0))+INDEX(Cables!$AP:$AP,MATCH(G279,Cables!$A:$A,0))-1),1),1),1),INDEX(Cables!$AP:$AP,MATCH(G279,Cables!$A:$A,0))-1))):INDEX(Attenuation!$J:$J,(INDEX(Cables!$AO:$AO,MATCH(G279,Cables!$A:$A,0))-1+MIN(MAX(IFERROR(MATCH(LN(D279),INDEX(Attenuation!$J:$J,INDEX(Cables!$AO:$AO,MATCH(G279,Cables!$A:$A,0))):INDEX(Attenuation!$J:$J,INDEX(Cables!$AO:$AO,MATCH(G279,Cables!$A:$A,0))+INDEX(Cables!$AP:$AP,MATCH(G279,Cables!$A:$A,0))-1),1),1),1),INDEX(Cables!$AP:$AP,MATCH(G279,Cables!$A:$A,0))-1))+1)))*0.3048)</f>
        <v>1.119982493235504</v>
      </c>
      <c r="I279" s="43">
        <f>IF(G279="","",EXP(FORECAST(LN(E279),INDEX(Attenuation!$K:$K,(INDEX(Cables!$AO:$AO,MATCH(G279,Cables!$A:$A,0))-1+MIN(MAX(IFERROR(MATCH(LN(E279),INDEX(Attenuation!$J:$J,INDEX(Cables!$AO:$AO,MATCH(G279,Cables!$A:$A,0))):INDEX(Attenuation!$J:$J,INDEX(Cables!$AO:$AO,MATCH(G279,Cables!$A:$A,0))+INDEX(Cables!$AP:$AP,MATCH(G279,Cables!$A:$A,0))-1),1),1),1),INDEX(Cables!$AP:$AP,MATCH(G279,Cables!$A:$A,0))-1))):INDEX(Attenuation!$K:$K,(INDEX(Cables!$AO:$AO,MATCH(G279,Cables!$A:$A,0))-1+MIN(MAX(IFERROR(MATCH(LN(E279),INDEX(Attenuation!$J:$J,INDEX(Cables!$AO:$AO,MATCH(G279,Cables!$A:$A,0))):INDEX(Attenuation!$J:$J,INDEX(Cables!$AO:$AO,MATCH(G279,Cables!$A:$A,0))+INDEX(Cables!$AP:$AP,MATCH(G279,Cables!$A:$A,0))-1),1),1),1),INDEX(Cables!$AP:$AP,MATCH(G279,Cables!$A:$A,0))-1))+1),INDEX(Attenuation!$J:$J,(INDEX(Cables!$AO:$AO,MATCH(G279,Cables!$A:$A,0))-1+MIN(MAX(IFERROR(MATCH(LN(E279),INDEX(Attenuation!$J:$J,INDEX(Cables!$AO:$AO,MATCH(G279,Cables!$A:$A,0))):INDEX(Attenuation!$J:$J,INDEX(Cables!$AO:$AO,MATCH(G279,Cables!$A:$A,0))+INDEX(Cables!$AP:$AP,MATCH(G279,Cables!$A:$A,0))-1),1),1),1),INDEX(Cables!$AP:$AP,MATCH(G279,Cables!$A:$A,0))-1))):INDEX(Attenuation!$J:$J,(INDEX(Cables!$AO:$AO,MATCH(G279,Cables!$A:$A,0))-1+MIN(MAX(IFERROR(MATCH(LN(E279),INDEX(Attenuation!$J:$J,INDEX(Cables!$AO:$AO,MATCH(G279,Cables!$A:$A,0))):INDEX(Attenuation!$J:$J,INDEX(Cables!$AO:$AO,MATCH(G279,Cables!$A:$A,0))+INDEX(Cables!$AP:$AP,MATCH(G279,Cables!$A:$A,0))-1),1),1),1),INDEX(Cables!$AP:$AP,MATCH(G279,Cables!$A:$A,0))-1))+1)))*0.3048)</f>
        <v>1.2315640091185835</v>
      </c>
      <c r="J279" s="44">
        <f t="shared" si="4"/>
        <v>0</v>
      </c>
      <c r="K279" s="40" t="str">
        <f>IF(G279="","Doğrulanmadı",IF(ABS(J279)&lt;=0.1,"Uyumlu (±%10)",IF(ABS(J279)&lt;=0.25,"Fark %10-25","Fark &gt;%25"))&amp;IF(OR(D279&lt;INDEX(Cables!$AQ:$AQ,MATCH(G279,Cables!$A:$A,0)),E279&gt;INDEX(Cables!$AR:$AR,MATCH(G279,Cables!$A:$A,0)))," · ekstrapolasyon",""))</f>
        <v>Uyumlu (±%10)</v>
      </c>
    </row>
    <row r="280" spans="1:11" x14ac:dyDescent="0.25">
      <c r="A280" s="37" t="s">
        <v>3050</v>
      </c>
      <c r="B280" s="40" t="str">
        <f>INDEX(Legacy_Index!$D:$D,MATCH(A280,Legacy_Index!$A:$A,0))</f>
        <v>1/2" 10D-FB Type</v>
      </c>
      <c r="C280" s="37" t="s">
        <v>3115</v>
      </c>
      <c r="D280" s="37">
        <v>400</v>
      </c>
      <c r="E280" s="37">
        <v>520</v>
      </c>
      <c r="F280" s="37">
        <v>2.4</v>
      </c>
      <c r="G280" s="40" t="str">
        <f>IF(INDEX(Legacy_Index!$G:$G,MATCH(A280,Legacy_Index!$A:$A,0))="","",INDEX(Legacy_Index!$G:$G,MATCH(A280,Legacy_Index!$A:$A,0)))</f>
        <v>GEN-10D-FB</v>
      </c>
      <c r="H280" s="43">
        <f>IF(G280="","",EXP(FORECAST(LN(D280),INDEX(Attenuation!$K:$K,(INDEX(Cables!$AO:$AO,MATCH(G280,Cables!$A:$A,0))-1+MIN(MAX(IFERROR(MATCH(LN(D280),INDEX(Attenuation!$J:$J,INDEX(Cables!$AO:$AO,MATCH(G280,Cables!$A:$A,0))):INDEX(Attenuation!$J:$J,INDEX(Cables!$AO:$AO,MATCH(G280,Cables!$A:$A,0))+INDEX(Cables!$AP:$AP,MATCH(G280,Cables!$A:$A,0))-1),1),1),1),INDEX(Cables!$AP:$AP,MATCH(G280,Cables!$A:$A,0))-1))):INDEX(Attenuation!$K:$K,(INDEX(Cables!$AO:$AO,MATCH(G280,Cables!$A:$A,0))-1+MIN(MAX(IFERROR(MATCH(LN(D280),INDEX(Attenuation!$J:$J,INDEX(Cables!$AO:$AO,MATCH(G280,Cables!$A:$A,0))):INDEX(Attenuation!$J:$J,INDEX(Cables!$AO:$AO,MATCH(G280,Cables!$A:$A,0))+INDEX(Cables!$AP:$AP,MATCH(G280,Cables!$A:$A,0))-1),1),1),1),INDEX(Cables!$AP:$AP,MATCH(G280,Cables!$A:$A,0))-1))+1),INDEX(Attenuation!$J:$J,(INDEX(Cables!$AO:$AO,MATCH(G280,Cables!$A:$A,0))-1+MIN(MAX(IFERROR(MATCH(LN(D280),INDEX(Attenuation!$J:$J,INDEX(Cables!$AO:$AO,MATCH(G280,Cables!$A:$A,0))):INDEX(Attenuation!$J:$J,INDEX(Cables!$AO:$AO,MATCH(G280,Cables!$A:$A,0))+INDEX(Cables!$AP:$AP,MATCH(G280,Cables!$A:$A,0))-1),1),1),1),INDEX(Cables!$AP:$AP,MATCH(G280,Cables!$A:$A,0))-1))):INDEX(Attenuation!$J:$J,(INDEX(Cables!$AO:$AO,MATCH(G280,Cables!$A:$A,0))-1+MIN(MAX(IFERROR(MATCH(LN(D280),INDEX(Attenuation!$J:$J,INDEX(Cables!$AO:$AO,MATCH(G280,Cables!$A:$A,0))):INDEX(Attenuation!$J:$J,INDEX(Cables!$AO:$AO,MATCH(G280,Cables!$A:$A,0))+INDEX(Cables!$AP:$AP,MATCH(G280,Cables!$A:$A,0))-1),1),1),1),INDEX(Cables!$AP:$AP,MATCH(G280,Cables!$A:$A,0))-1))+1)))*0.3048)</f>
        <v>2.0180252754164569</v>
      </c>
      <c r="I280" s="43">
        <f>IF(G280="","",EXP(FORECAST(LN(E280),INDEX(Attenuation!$K:$K,(INDEX(Cables!$AO:$AO,MATCH(G280,Cables!$A:$A,0))-1+MIN(MAX(IFERROR(MATCH(LN(E280),INDEX(Attenuation!$J:$J,INDEX(Cables!$AO:$AO,MATCH(G280,Cables!$A:$A,0))):INDEX(Attenuation!$J:$J,INDEX(Cables!$AO:$AO,MATCH(G280,Cables!$A:$A,0))+INDEX(Cables!$AP:$AP,MATCH(G280,Cables!$A:$A,0))-1),1),1),1),INDEX(Cables!$AP:$AP,MATCH(G280,Cables!$A:$A,0))-1))):INDEX(Attenuation!$K:$K,(INDEX(Cables!$AO:$AO,MATCH(G280,Cables!$A:$A,0))-1+MIN(MAX(IFERROR(MATCH(LN(E280),INDEX(Attenuation!$J:$J,INDEX(Cables!$AO:$AO,MATCH(G280,Cables!$A:$A,0))):INDEX(Attenuation!$J:$J,INDEX(Cables!$AO:$AO,MATCH(G280,Cables!$A:$A,0))+INDEX(Cables!$AP:$AP,MATCH(G280,Cables!$A:$A,0))-1),1),1),1),INDEX(Cables!$AP:$AP,MATCH(G280,Cables!$A:$A,0))-1))+1),INDEX(Attenuation!$J:$J,(INDEX(Cables!$AO:$AO,MATCH(G280,Cables!$A:$A,0))-1+MIN(MAX(IFERROR(MATCH(LN(E280),INDEX(Attenuation!$J:$J,INDEX(Cables!$AO:$AO,MATCH(G280,Cables!$A:$A,0))):INDEX(Attenuation!$J:$J,INDEX(Cables!$AO:$AO,MATCH(G280,Cables!$A:$A,0))+INDEX(Cables!$AP:$AP,MATCH(G280,Cables!$A:$A,0))-1),1),1),1),INDEX(Cables!$AP:$AP,MATCH(G280,Cables!$A:$A,0))-1))):INDEX(Attenuation!$J:$J,(INDEX(Cables!$AO:$AO,MATCH(G280,Cables!$A:$A,0))-1+MIN(MAX(IFERROR(MATCH(LN(E280),INDEX(Attenuation!$J:$J,INDEX(Cables!$AO:$AO,MATCH(G280,Cables!$A:$A,0))):INDEX(Attenuation!$J:$J,INDEX(Cables!$AO:$AO,MATCH(G280,Cables!$A:$A,0))+INDEX(Cables!$AP:$AP,MATCH(G280,Cables!$A:$A,0))-1),1),1),1),INDEX(Cables!$AP:$AP,MATCH(G280,Cables!$A:$A,0))-1))+1)))*0.3048)</f>
        <v>2.3405934890134188</v>
      </c>
      <c r="J280" s="44">
        <f t="shared" si="4"/>
        <v>2.538096054074801E-2</v>
      </c>
      <c r="K280" s="40" t="str">
        <f>IF(G280="","Doğrulanmadı",IF(ABS(J280)&lt;=0.1,"Uyumlu (±%10)",IF(ABS(J280)&lt;=0.25,"Fark %10-25","Fark &gt;%25"))&amp;IF(OR(D280&lt;INDEX(Cables!$AQ:$AQ,MATCH(G280,Cables!$A:$A,0)),E280&gt;INDEX(Cables!$AR:$AR,MATCH(G280,Cables!$A:$A,0)))," · ekstrapolasyon",""))</f>
        <v>Uyumlu (±%10)</v>
      </c>
    </row>
    <row r="281" spans="1:11" x14ac:dyDescent="0.25">
      <c r="A281" s="37" t="s">
        <v>3050</v>
      </c>
      <c r="B281" s="40" t="str">
        <f>INDEX(Legacy_Index!$D:$D,MATCH(A281,Legacy_Index!$A:$A,0))</f>
        <v>1/2" 10D-FB Type</v>
      </c>
      <c r="C281" s="37" t="s">
        <v>3116</v>
      </c>
      <c r="D281" s="37">
        <v>700</v>
      </c>
      <c r="E281" s="37">
        <v>960</v>
      </c>
      <c r="F281" s="37">
        <v>3.1</v>
      </c>
      <c r="G281" s="40" t="str">
        <f>IF(INDEX(Legacy_Index!$G:$G,MATCH(A281,Legacy_Index!$A:$A,0))="","",INDEX(Legacy_Index!$G:$G,MATCH(A281,Legacy_Index!$A:$A,0)))</f>
        <v>GEN-10D-FB</v>
      </c>
      <c r="H281" s="43">
        <f>IF(G281="","",EXP(FORECAST(LN(D281),INDEX(Attenuation!$K:$K,(INDEX(Cables!$AO:$AO,MATCH(G281,Cables!$A:$A,0))-1+MIN(MAX(IFERROR(MATCH(LN(D281),INDEX(Attenuation!$J:$J,INDEX(Cables!$AO:$AO,MATCH(G281,Cables!$A:$A,0))):INDEX(Attenuation!$J:$J,INDEX(Cables!$AO:$AO,MATCH(G281,Cables!$A:$A,0))+INDEX(Cables!$AP:$AP,MATCH(G281,Cables!$A:$A,0))-1),1),1),1),INDEX(Cables!$AP:$AP,MATCH(G281,Cables!$A:$A,0))-1))):INDEX(Attenuation!$K:$K,(INDEX(Cables!$AO:$AO,MATCH(G281,Cables!$A:$A,0))-1+MIN(MAX(IFERROR(MATCH(LN(D281),INDEX(Attenuation!$J:$J,INDEX(Cables!$AO:$AO,MATCH(G281,Cables!$A:$A,0))):INDEX(Attenuation!$J:$J,INDEX(Cables!$AO:$AO,MATCH(G281,Cables!$A:$A,0))+INDEX(Cables!$AP:$AP,MATCH(G281,Cables!$A:$A,0))-1),1),1),1),INDEX(Cables!$AP:$AP,MATCH(G281,Cables!$A:$A,0))-1))+1),INDEX(Attenuation!$J:$J,(INDEX(Cables!$AO:$AO,MATCH(G281,Cables!$A:$A,0))-1+MIN(MAX(IFERROR(MATCH(LN(D281),INDEX(Attenuation!$J:$J,INDEX(Cables!$AO:$AO,MATCH(G281,Cables!$A:$A,0))):INDEX(Attenuation!$J:$J,INDEX(Cables!$AO:$AO,MATCH(G281,Cables!$A:$A,0))+INDEX(Cables!$AP:$AP,MATCH(G281,Cables!$A:$A,0))-1),1),1),1),INDEX(Cables!$AP:$AP,MATCH(G281,Cables!$A:$A,0))-1))):INDEX(Attenuation!$J:$J,(INDEX(Cables!$AO:$AO,MATCH(G281,Cables!$A:$A,0))-1+MIN(MAX(IFERROR(MATCH(LN(D281),INDEX(Attenuation!$J:$J,INDEX(Cables!$AO:$AO,MATCH(G281,Cables!$A:$A,0))):INDEX(Attenuation!$J:$J,INDEX(Cables!$AO:$AO,MATCH(G281,Cables!$A:$A,0))+INDEX(Cables!$AP:$AP,MATCH(G281,Cables!$A:$A,0))-1),1),1),1),INDEX(Cables!$AP:$AP,MATCH(G281,Cables!$A:$A,0))-1))+1)))*0.3048)</f>
        <v>2.7500243716416217</v>
      </c>
      <c r="I281" s="43">
        <f>IF(G281="","",EXP(FORECAST(LN(E281),INDEX(Attenuation!$K:$K,(INDEX(Cables!$AO:$AO,MATCH(G281,Cables!$A:$A,0))-1+MIN(MAX(IFERROR(MATCH(LN(E281),INDEX(Attenuation!$J:$J,INDEX(Cables!$AO:$AO,MATCH(G281,Cables!$A:$A,0))):INDEX(Attenuation!$J:$J,INDEX(Cables!$AO:$AO,MATCH(G281,Cables!$A:$A,0))+INDEX(Cables!$AP:$AP,MATCH(G281,Cables!$A:$A,0))-1),1),1),1),INDEX(Cables!$AP:$AP,MATCH(G281,Cables!$A:$A,0))-1))):INDEX(Attenuation!$K:$K,(INDEX(Cables!$AO:$AO,MATCH(G281,Cables!$A:$A,0))-1+MIN(MAX(IFERROR(MATCH(LN(E281),INDEX(Attenuation!$J:$J,INDEX(Cables!$AO:$AO,MATCH(G281,Cables!$A:$A,0))):INDEX(Attenuation!$J:$J,INDEX(Cables!$AO:$AO,MATCH(G281,Cables!$A:$A,0))+INDEX(Cables!$AP:$AP,MATCH(G281,Cables!$A:$A,0))-1),1),1),1),INDEX(Cables!$AP:$AP,MATCH(G281,Cables!$A:$A,0))-1))+1),INDEX(Attenuation!$J:$J,(INDEX(Cables!$AO:$AO,MATCH(G281,Cables!$A:$A,0))-1+MIN(MAX(IFERROR(MATCH(LN(E281),INDEX(Attenuation!$J:$J,INDEX(Cables!$AO:$AO,MATCH(G281,Cables!$A:$A,0))):INDEX(Attenuation!$J:$J,INDEX(Cables!$AO:$AO,MATCH(G281,Cables!$A:$A,0))+INDEX(Cables!$AP:$AP,MATCH(G281,Cables!$A:$A,0))-1),1),1),1),INDEX(Cables!$AP:$AP,MATCH(G281,Cables!$A:$A,0))-1))):INDEX(Attenuation!$J:$J,(INDEX(Cables!$AO:$AO,MATCH(G281,Cables!$A:$A,0))-1+MIN(MAX(IFERROR(MATCH(LN(E281),INDEX(Attenuation!$J:$J,INDEX(Cables!$AO:$AO,MATCH(G281,Cables!$A:$A,0))):INDEX(Attenuation!$J:$J,INDEX(Cables!$AO:$AO,MATCH(G281,Cables!$A:$A,0))+INDEX(Cables!$AP:$AP,MATCH(G281,Cables!$A:$A,0))-1),1),1),1),INDEX(Cables!$AP:$AP,MATCH(G281,Cables!$A:$A,0))-1))+1)))*0.3048)</f>
        <v>3.2488958384416096</v>
      </c>
      <c r="J281" s="44">
        <f t="shared" si="4"/>
        <v>0</v>
      </c>
      <c r="K281" s="40" t="str">
        <f>IF(G281="","Doğrulanmadı",IF(ABS(J281)&lt;=0.1,"Uyumlu (±%10)",IF(ABS(J281)&lt;=0.25,"Fark %10-25","Fark &gt;%25"))&amp;IF(OR(D281&lt;INDEX(Cables!$AQ:$AQ,MATCH(G281,Cables!$A:$A,0)),E281&gt;INDEX(Cables!$AR:$AR,MATCH(G281,Cables!$A:$A,0)))," · ekstrapolasyon",""))</f>
        <v>Uyumlu (±%10)</v>
      </c>
    </row>
    <row r="282" spans="1:11" x14ac:dyDescent="0.25">
      <c r="A282" s="37" t="s">
        <v>3052</v>
      </c>
      <c r="B282" s="40" t="str">
        <f>INDEX(Legacy_Index!$D:$D,MATCH(A282,Legacy_Index!$A:$A,0))</f>
        <v>3/8" LDF</v>
      </c>
      <c r="C282" s="37" t="s">
        <v>3114</v>
      </c>
      <c r="D282" s="37">
        <v>148</v>
      </c>
      <c r="E282" s="37">
        <v>174</v>
      </c>
      <c r="F282" s="37">
        <v>1.3</v>
      </c>
      <c r="G282" s="40" t="str">
        <f>IF(INDEX(Legacy_Index!$G:$G,MATCH(A282,Legacy_Index!$A:$A,0))="","",INDEX(Legacy_Index!$G:$G,MATCH(A282,Legacy_Index!$A:$A,0)))</f>
        <v>CS-LDF2-50</v>
      </c>
      <c r="H282" s="43">
        <f>IF(G282="","",EXP(FORECAST(LN(D282),INDEX(Attenuation!$K:$K,(INDEX(Cables!$AO:$AO,MATCH(G282,Cables!$A:$A,0))-1+MIN(MAX(IFERROR(MATCH(LN(D282),INDEX(Attenuation!$J:$J,INDEX(Cables!$AO:$AO,MATCH(G282,Cables!$A:$A,0))):INDEX(Attenuation!$J:$J,INDEX(Cables!$AO:$AO,MATCH(G282,Cables!$A:$A,0))+INDEX(Cables!$AP:$AP,MATCH(G282,Cables!$A:$A,0))-1),1),1),1),INDEX(Cables!$AP:$AP,MATCH(G282,Cables!$A:$A,0))-1))):INDEX(Attenuation!$K:$K,(INDEX(Cables!$AO:$AO,MATCH(G282,Cables!$A:$A,0))-1+MIN(MAX(IFERROR(MATCH(LN(D282),INDEX(Attenuation!$J:$J,INDEX(Cables!$AO:$AO,MATCH(G282,Cables!$A:$A,0))):INDEX(Attenuation!$J:$J,INDEX(Cables!$AO:$AO,MATCH(G282,Cables!$A:$A,0))+INDEX(Cables!$AP:$AP,MATCH(G282,Cables!$A:$A,0))-1),1),1),1),INDEX(Cables!$AP:$AP,MATCH(G282,Cables!$A:$A,0))-1))+1),INDEX(Attenuation!$J:$J,(INDEX(Cables!$AO:$AO,MATCH(G282,Cables!$A:$A,0))-1+MIN(MAX(IFERROR(MATCH(LN(D282),INDEX(Attenuation!$J:$J,INDEX(Cables!$AO:$AO,MATCH(G282,Cables!$A:$A,0))):INDEX(Attenuation!$J:$J,INDEX(Cables!$AO:$AO,MATCH(G282,Cables!$A:$A,0))+INDEX(Cables!$AP:$AP,MATCH(G282,Cables!$A:$A,0))-1),1),1),1),INDEX(Cables!$AP:$AP,MATCH(G282,Cables!$A:$A,0))-1))):INDEX(Attenuation!$J:$J,(INDEX(Cables!$AO:$AO,MATCH(G282,Cables!$A:$A,0))-1+MIN(MAX(IFERROR(MATCH(LN(D282),INDEX(Attenuation!$J:$J,INDEX(Cables!$AO:$AO,MATCH(G282,Cables!$A:$A,0))):INDEX(Attenuation!$J:$J,INDEX(Cables!$AO:$AO,MATCH(G282,Cables!$A:$A,0))+INDEX(Cables!$AP:$AP,MATCH(G282,Cables!$A:$A,0))-1),1),1),1),INDEX(Cables!$AP:$AP,MATCH(G282,Cables!$A:$A,0))-1))+1)))*0.3048)</f>
        <v>1.2770432651109056</v>
      </c>
      <c r="I282" s="43">
        <f>IF(G282="","",EXP(FORECAST(LN(E282),INDEX(Attenuation!$K:$K,(INDEX(Cables!$AO:$AO,MATCH(G282,Cables!$A:$A,0))-1+MIN(MAX(IFERROR(MATCH(LN(E282),INDEX(Attenuation!$J:$J,INDEX(Cables!$AO:$AO,MATCH(G282,Cables!$A:$A,0))):INDEX(Attenuation!$J:$J,INDEX(Cables!$AO:$AO,MATCH(G282,Cables!$A:$A,0))+INDEX(Cables!$AP:$AP,MATCH(G282,Cables!$A:$A,0))-1),1),1),1),INDEX(Cables!$AP:$AP,MATCH(G282,Cables!$A:$A,0))-1))):INDEX(Attenuation!$K:$K,(INDEX(Cables!$AO:$AO,MATCH(G282,Cables!$A:$A,0))-1+MIN(MAX(IFERROR(MATCH(LN(E282),INDEX(Attenuation!$J:$J,INDEX(Cables!$AO:$AO,MATCH(G282,Cables!$A:$A,0))):INDEX(Attenuation!$J:$J,INDEX(Cables!$AO:$AO,MATCH(G282,Cables!$A:$A,0))+INDEX(Cables!$AP:$AP,MATCH(G282,Cables!$A:$A,0))-1),1),1),1),INDEX(Cables!$AP:$AP,MATCH(G282,Cables!$A:$A,0))-1))+1),INDEX(Attenuation!$J:$J,(INDEX(Cables!$AO:$AO,MATCH(G282,Cables!$A:$A,0))-1+MIN(MAX(IFERROR(MATCH(LN(E282),INDEX(Attenuation!$J:$J,INDEX(Cables!$AO:$AO,MATCH(G282,Cables!$A:$A,0))):INDEX(Attenuation!$J:$J,INDEX(Cables!$AO:$AO,MATCH(G282,Cables!$A:$A,0))+INDEX(Cables!$AP:$AP,MATCH(G282,Cables!$A:$A,0))-1),1),1),1),INDEX(Cables!$AP:$AP,MATCH(G282,Cables!$A:$A,0))-1))):INDEX(Attenuation!$J:$J,(INDEX(Cables!$AO:$AO,MATCH(G282,Cables!$A:$A,0))-1+MIN(MAX(IFERROR(MATCH(LN(E282),INDEX(Attenuation!$J:$J,INDEX(Cables!$AO:$AO,MATCH(G282,Cables!$A:$A,0))):INDEX(Attenuation!$J:$J,INDEX(Cables!$AO:$AO,MATCH(G282,Cables!$A:$A,0))+INDEX(Cables!$AP:$AP,MATCH(G282,Cables!$A:$A,0))-1),1),1),1),INDEX(Cables!$AP:$AP,MATCH(G282,Cables!$A:$A,0))-1))+1)))*0.3048)</f>
        <v>1.3892783999999998</v>
      </c>
      <c r="J282" s="44">
        <f t="shared" si="4"/>
        <v>0</v>
      </c>
      <c r="K282" s="40" t="str">
        <f>IF(G282="","Doğrulanmadı",IF(ABS(J282)&lt;=0.1,"Uyumlu (±%10)",IF(ABS(J282)&lt;=0.25,"Fark %10-25","Fark &gt;%25"))&amp;IF(OR(D282&lt;INDEX(Cables!$AQ:$AQ,MATCH(G282,Cables!$A:$A,0)),E282&gt;INDEX(Cables!$AR:$AR,MATCH(G282,Cables!$A:$A,0)))," · ekstrapolasyon",""))</f>
        <v>Uyumlu (±%10)</v>
      </c>
    </row>
    <row r="283" spans="1:11" x14ac:dyDescent="0.25">
      <c r="A283" s="37" t="s">
        <v>3052</v>
      </c>
      <c r="B283" s="40" t="str">
        <f>INDEX(Legacy_Index!$D:$D,MATCH(A283,Legacy_Index!$A:$A,0))</f>
        <v>3/8" LDF</v>
      </c>
      <c r="C283" s="37" t="s">
        <v>3119</v>
      </c>
      <c r="D283" s="37">
        <v>220</v>
      </c>
      <c r="E283" s="37">
        <v>220</v>
      </c>
      <c r="F283" s="37">
        <v>1.6</v>
      </c>
      <c r="G283" s="40" t="str">
        <f>IF(INDEX(Legacy_Index!$G:$G,MATCH(A283,Legacy_Index!$A:$A,0))="","",INDEX(Legacy_Index!$G:$G,MATCH(A283,Legacy_Index!$A:$A,0)))</f>
        <v>CS-LDF2-50</v>
      </c>
      <c r="H283" s="43">
        <f>IF(G283="","",EXP(FORECAST(LN(D283),INDEX(Attenuation!$K:$K,(INDEX(Cables!$AO:$AO,MATCH(G283,Cables!$A:$A,0))-1+MIN(MAX(IFERROR(MATCH(LN(D283),INDEX(Attenuation!$J:$J,INDEX(Cables!$AO:$AO,MATCH(G283,Cables!$A:$A,0))):INDEX(Attenuation!$J:$J,INDEX(Cables!$AO:$AO,MATCH(G283,Cables!$A:$A,0))+INDEX(Cables!$AP:$AP,MATCH(G283,Cables!$A:$A,0))-1),1),1),1),INDEX(Cables!$AP:$AP,MATCH(G283,Cables!$A:$A,0))-1))):INDEX(Attenuation!$K:$K,(INDEX(Cables!$AO:$AO,MATCH(G283,Cables!$A:$A,0))-1+MIN(MAX(IFERROR(MATCH(LN(D283),INDEX(Attenuation!$J:$J,INDEX(Cables!$AO:$AO,MATCH(G283,Cables!$A:$A,0))):INDEX(Attenuation!$J:$J,INDEX(Cables!$AO:$AO,MATCH(G283,Cables!$A:$A,0))+INDEX(Cables!$AP:$AP,MATCH(G283,Cables!$A:$A,0))-1),1),1),1),INDEX(Cables!$AP:$AP,MATCH(G283,Cables!$A:$A,0))-1))+1),INDEX(Attenuation!$J:$J,(INDEX(Cables!$AO:$AO,MATCH(G283,Cables!$A:$A,0))-1+MIN(MAX(IFERROR(MATCH(LN(D283),INDEX(Attenuation!$J:$J,INDEX(Cables!$AO:$AO,MATCH(G283,Cables!$A:$A,0))):INDEX(Attenuation!$J:$J,INDEX(Cables!$AO:$AO,MATCH(G283,Cables!$A:$A,0))+INDEX(Cables!$AP:$AP,MATCH(G283,Cables!$A:$A,0))-1),1),1),1),INDEX(Cables!$AP:$AP,MATCH(G283,Cables!$A:$A,0))-1))):INDEX(Attenuation!$J:$J,(INDEX(Cables!$AO:$AO,MATCH(G283,Cables!$A:$A,0))-1+MIN(MAX(IFERROR(MATCH(LN(D283),INDEX(Attenuation!$J:$J,INDEX(Cables!$AO:$AO,MATCH(G283,Cables!$A:$A,0))):INDEX(Attenuation!$J:$J,INDEX(Cables!$AO:$AO,MATCH(G283,Cables!$A:$A,0))+INDEX(Cables!$AP:$AP,MATCH(G283,Cables!$A:$A,0))-1),1),1),1),INDEX(Cables!$AP:$AP,MATCH(G283,Cables!$A:$A,0))-1))+1)))*0.3048)</f>
        <v>1.570375088628797</v>
      </c>
      <c r="I283" s="43">
        <f>IF(G283="","",EXP(FORECAST(LN(E283),INDEX(Attenuation!$K:$K,(INDEX(Cables!$AO:$AO,MATCH(G283,Cables!$A:$A,0))-1+MIN(MAX(IFERROR(MATCH(LN(E283),INDEX(Attenuation!$J:$J,INDEX(Cables!$AO:$AO,MATCH(G283,Cables!$A:$A,0))):INDEX(Attenuation!$J:$J,INDEX(Cables!$AO:$AO,MATCH(G283,Cables!$A:$A,0))+INDEX(Cables!$AP:$AP,MATCH(G283,Cables!$A:$A,0))-1),1),1),1),INDEX(Cables!$AP:$AP,MATCH(G283,Cables!$A:$A,0))-1))):INDEX(Attenuation!$K:$K,(INDEX(Cables!$AO:$AO,MATCH(G283,Cables!$A:$A,0))-1+MIN(MAX(IFERROR(MATCH(LN(E283),INDEX(Attenuation!$J:$J,INDEX(Cables!$AO:$AO,MATCH(G283,Cables!$A:$A,0))):INDEX(Attenuation!$J:$J,INDEX(Cables!$AO:$AO,MATCH(G283,Cables!$A:$A,0))+INDEX(Cables!$AP:$AP,MATCH(G283,Cables!$A:$A,0))-1),1),1),1),INDEX(Cables!$AP:$AP,MATCH(G283,Cables!$A:$A,0))-1))+1),INDEX(Attenuation!$J:$J,(INDEX(Cables!$AO:$AO,MATCH(G283,Cables!$A:$A,0))-1+MIN(MAX(IFERROR(MATCH(LN(E283),INDEX(Attenuation!$J:$J,INDEX(Cables!$AO:$AO,MATCH(G283,Cables!$A:$A,0))):INDEX(Attenuation!$J:$J,INDEX(Cables!$AO:$AO,MATCH(G283,Cables!$A:$A,0))+INDEX(Cables!$AP:$AP,MATCH(G283,Cables!$A:$A,0))-1),1),1),1),INDEX(Cables!$AP:$AP,MATCH(G283,Cables!$A:$A,0))-1))):INDEX(Attenuation!$J:$J,(INDEX(Cables!$AO:$AO,MATCH(G283,Cables!$A:$A,0))-1+MIN(MAX(IFERROR(MATCH(LN(E283),INDEX(Attenuation!$J:$J,INDEX(Cables!$AO:$AO,MATCH(G283,Cables!$A:$A,0))):INDEX(Attenuation!$J:$J,INDEX(Cables!$AO:$AO,MATCH(G283,Cables!$A:$A,0))+INDEX(Cables!$AP:$AP,MATCH(G283,Cables!$A:$A,0))-1),1),1),1),INDEX(Cables!$AP:$AP,MATCH(G283,Cables!$A:$A,0))-1))+1)))*0.3048)</f>
        <v>1.570375088628797</v>
      </c>
      <c r="J283" s="44">
        <f t="shared" si="4"/>
        <v>1.8864863296494727E-2</v>
      </c>
      <c r="K283" s="40" t="str">
        <f>IF(G283="","Doğrulanmadı",IF(ABS(J283)&lt;=0.1,"Uyumlu (±%10)",IF(ABS(J283)&lt;=0.25,"Fark %10-25","Fark &gt;%25"))&amp;IF(OR(D283&lt;INDEX(Cables!$AQ:$AQ,MATCH(G283,Cables!$A:$A,0)),E283&gt;INDEX(Cables!$AR:$AR,MATCH(G283,Cables!$A:$A,0)))," · ekstrapolasyon",""))</f>
        <v>Uyumlu (±%10)</v>
      </c>
    </row>
    <row r="284" spans="1:11" x14ac:dyDescent="0.25">
      <c r="A284" s="37" t="s">
        <v>3052</v>
      </c>
      <c r="B284" s="40" t="str">
        <f>INDEX(Legacy_Index!$D:$D,MATCH(A284,Legacy_Index!$A:$A,0))</f>
        <v>3/8" LDF</v>
      </c>
      <c r="C284" s="37" t="s">
        <v>3115</v>
      </c>
      <c r="D284" s="37">
        <v>400</v>
      </c>
      <c r="E284" s="37">
        <v>520</v>
      </c>
      <c r="F284" s="37">
        <v>2.2999999999999998</v>
      </c>
      <c r="G284" s="40" t="str">
        <f>IF(INDEX(Legacy_Index!$G:$G,MATCH(A284,Legacy_Index!$A:$A,0))="","",INDEX(Legacy_Index!$G:$G,MATCH(A284,Legacy_Index!$A:$A,0)))</f>
        <v>CS-LDF2-50</v>
      </c>
      <c r="H284" s="43">
        <f>IF(G284="","",EXP(FORECAST(LN(D284),INDEX(Attenuation!$K:$K,(INDEX(Cables!$AO:$AO,MATCH(G284,Cables!$A:$A,0))-1+MIN(MAX(IFERROR(MATCH(LN(D284),INDEX(Attenuation!$J:$J,INDEX(Cables!$AO:$AO,MATCH(G284,Cables!$A:$A,0))):INDEX(Attenuation!$J:$J,INDEX(Cables!$AO:$AO,MATCH(G284,Cables!$A:$A,0))+INDEX(Cables!$AP:$AP,MATCH(G284,Cables!$A:$A,0))-1),1),1),1),INDEX(Cables!$AP:$AP,MATCH(G284,Cables!$A:$A,0))-1))):INDEX(Attenuation!$K:$K,(INDEX(Cables!$AO:$AO,MATCH(G284,Cables!$A:$A,0))-1+MIN(MAX(IFERROR(MATCH(LN(D284),INDEX(Attenuation!$J:$J,INDEX(Cables!$AO:$AO,MATCH(G284,Cables!$A:$A,0))):INDEX(Attenuation!$J:$J,INDEX(Cables!$AO:$AO,MATCH(G284,Cables!$A:$A,0))+INDEX(Cables!$AP:$AP,MATCH(G284,Cables!$A:$A,0))-1),1),1),1),INDEX(Cables!$AP:$AP,MATCH(G284,Cables!$A:$A,0))-1))+1),INDEX(Attenuation!$J:$J,(INDEX(Cables!$AO:$AO,MATCH(G284,Cables!$A:$A,0))-1+MIN(MAX(IFERROR(MATCH(LN(D284),INDEX(Attenuation!$J:$J,INDEX(Cables!$AO:$AO,MATCH(G284,Cables!$A:$A,0))):INDEX(Attenuation!$J:$J,INDEX(Cables!$AO:$AO,MATCH(G284,Cables!$A:$A,0))+INDEX(Cables!$AP:$AP,MATCH(G284,Cables!$A:$A,0))-1),1),1),1),INDEX(Cables!$AP:$AP,MATCH(G284,Cables!$A:$A,0))-1))):INDEX(Attenuation!$J:$J,(INDEX(Cables!$AO:$AO,MATCH(G284,Cables!$A:$A,0))-1+MIN(MAX(IFERROR(MATCH(LN(D284),INDEX(Attenuation!$J:$J,INDEX(Cables!$AO:$AO,MATCH(G284,Cables!$A:$A,0))):INDEX(Attenuation!$J:$J,INDEX(Cables!$AO:$AO,MATCH(G284,Cables!$A:$A,0))+INDEX(Cables!$AP:$AP,MATCH(G284,Cables!$A:$A,0))-1),1),1),1),INDEX(Cables!$AP:$AP,MATCH(G284,Cables!$A:$A,0))-1))+1)))*0.3048)</f>
        <v>2.1509736000000008</v>
      </c>
      <c r="I284" s="43">
        <f>IF(G284="","",EXP(FORECAST(LN(E284),INDEX(Attenuation!$K:$K,(INDEX(Cables!$AO:$AO,MATCH(G284,Cables!$A:$A,0))-1+MIN(MAX(IFERROR(MATCH(LN(E284),INDEX(Attenuation!$J:$J,INDEX(Cables!$AO:$AO,MATCH(G284,Cables!$A:$A,0))):INDEX(Attenuation!$J:$J,INDEX(Cables!$AO:$AO,MATCH(G284,Cables!$A:$A,0))+INDEX(Cables!$AP:$AP,MATCH(G284,Cables!$A:$A,0))-1),1),1),1),INDEX(Cables!$AP:$AP,MATCH(G284,Cables!$A:$A,0))-1))):INDEX(Attenuation!$K:$K,(INDEX(Cables!$AO:$AO,MATCH(G284,Cables!$A:$A,0))-1+MIN(MAX(IFERROR(MATCH(LN(E284),INDEX(Attenuation!$J:$J,INDEX(Cables!$AO:$AO,MATCH(G284,Cables!$A:$A,0))):INDEX(Attenuation!$J:$J,INDEX(Cables!$AO:$AO,MATCH(G284,Cables!$A:$A,0))+INDEX(Cables!$AP:$AP,MATCH(G284,Cables!$A:$A,0))-1),1),1),1),INDEX(Cables!$AP:$AP,MATCH(G284,Cables!$A:$A,0))-1))+1),INDEX(Attenuation!$J:$J,(INDEX(Cables!$AO:$AO,MATCH(G284,Cables!$A:$A,0))-1+MIN(MAX(IFERROR(MATCH(LN(E284),INDEX(Attenuation!$J:$J,INDEX(Cables!$AO:$AO,MATCH(G284,Cables!$A:$A,0))):INDEX(Attenuation!$J:$J,INDEX(Cables!$AO:$AO,MATCH(G284,Cables!$A:$A,0))+INDEX(Cables!$AP:$AP,MATCH(G284,Cables!$A:$A,0))-1),1),1),1),INDEX(Cables!$AP:$AP,MATCH(G284,Cables!$A:$A,0))-1))):INDEX(Attenuation!$J:$J,(INDEX(Cables!$AO:$AO,MATCH(G284,Cables!$A:$A,0))-1+MIN(MAX(IFERROR(MATCH(LN(E284),INDEX(Attenuation!$J:$J,INDEX(Cables!$AO:$AO,MATCH(G284,Cables!$A:$A,0))):INDEX(Attenuation!$J:$J,INDEX(Cables!$AO:$AO,MATCH(G284,Cables!$A:$A,0))+INDEX(Cables!$AP:$AP,MATCH(G284,Cables!$A:$A,0))-1),1),1),1),INDEX(Cables!$AP:$AP,MATCH(G284,Cables!$A:$A,0))-1))+1)))*0.3048)</f>
        <v>2.4734701886768997</v>
      </c>
      <c r="J284" s="44">
        <f t="shared" si="4"/>
        <v>0</v>
      </c>
      <c r="K284" s="40" t="str">
        <f>IF(G284="","Doğrulanmadı",IF(ABS(J284)&lt;=0.1,"Uyumlu (±%10)",IF(ABS(J284)&lt;=0.25,"Fark %10-25","Fark &gt;%25"))&amp;IF(OR(D284&lt;INDEX(Cables!$AQ:$AQ,MATCH(G284,Cables!$A:$A,0)),E284&gt;INDEX(Cables!$AR:$AR,MATCH(G284,Cables!$A:$A,0)))," · ekstrapolasyon",""))</f>
        <v>Uyumlu (±%10)</v>
      </c>
    </row>
    <row r="285" spans="1:11" x14ac:dyDescent="0.25">
      <c r="A285" s="37" t="s">
        <v>3052</v>
      </c>
      <c r="B285" s="40" t="str">
        <f>INDEX(Legacy_Index!$D:$D,MATCH(A285,Legacy_Index!$A:$A,0))</f>
        <v>3/8" LDF</v>
      </c>
      <c r="C285" s="37" t="s">
        <v>3116</v>
      </c>
      <c r="D285" s="37">
        <v>700</v>
      </c>
      <c r="E285" s="37">
        <v>960</v>
      </c>
      <c r="F285" s="37">
        <v>3.4</v>
      </c>
      <c r="G285" s="40" t="str">
        <f>IF(INDEX(Legacy_Index!$G:$G,MATCH(A285,Legacy_Index!$A:$A,0))="","",INDEX(Legacy_Index!$G:$G,MATCH(A285,Legacy_Index!$A:$A,0)))</f>
        <v>CS-LDF2-50</v>
      </c>
      <c r="H285" s="43">
        <f>IF(G285="","",EXP(FORECAST(LN(D285),INDEX(Attenuation!$K:$K,(INDEX(Cables!$AO:$AO,MATCH(G285,Cables!$A:$A,0))-1+MIN(MAX(IFERROR(MATCH(LN(D285),INDEX(Attenuation!$J:$J,INDEX(Cables!$AO:$AO,MATCH(G285,Cables!$A:$A,0))):INDEX(Attenuation!$J:$J,INDEX(Cables!$AO:$AO,MATCH(G285,Cables!$A:$A,0))+INDEX(Cables!$AP:$AP,MATCH(G285,Cables!$A:$A,0))-1),1),1),1),INDEX(Cables!$AP:$AP,MATCH(G285,Cables!$A:$A,0))-1))):INDEX(Attenuation!$K:$K,(INDEX(Cables!$AO:$AO,MATCH(G285,Cables!$A:$A,0))-1+MIN(MAX(IFERROR(MATCH(LN(D285),INDEX(Attenuation!$J:$J,INDEX(Cables!$AO:$AO,MATCH(G285,Cables!$A:$A,0))):INDEX(Attenuation!$J:$J,INDEX(Cables!$AO:$AO,MATCH(G285,Cables!$A:$A,0))+INDEX(Cables!$AP:$AP,MATCH(G285,Cables!$A:$A,0))-1),1),1),1),INDEX(Cables!$AP:$AP,MATCH(G285,Cables!$A:$A,0))-1))+1),INDEX(Attenuation!$J:$J,(INDEX(Cables!$AO:$AO,MATCH(G285,Cables!$A:$A,0))-1+MIN(MAX(IFERROR(MATCH(LN(D285),INDEX(Attenuation!$J:$J,INDEX(Cables!$AO:$AO,MATCH(G285,Cables!$A:$A,0))):INDEX(Attenuation!$J:$J,INDEX(Cables!$AO:$AO,MATCH(G285,Cables!$A:$A,0))+INDEX(Cables!$AP:$AP,MATCH(G285,Cables!$A:$A,0))-1),1),1),1),INDEX(Cables!$AP:$AP,MATCH(G285,Cables!$A:$A,0))-1))):INDEX(Attenuation!$J:$J,(INDEX(Cables!$AO:$AO,MATCH(G285,Cables!$A:$A,0))-1+MIN(MAX(IFERROR(MATCH(LN(D285),INDEX(Attenuation!$J:$J,INDEX(Cables!$AO:$AO,MATCH(G285,Cables!$A:$A,0))):INDEX(Attenuation!$J:$J,INDEX(Cables!$AO:$AO,MATCH(G285,Cables!$A:$A,0))+INDEX(Cables!$AP:$AP,MATCH(G285,Cables!$A:$A,0))-1),1),1),1),INDEX(Cables!$AP:$AP,MATCH(G285,Cables!$A:$A,0))-1))+1)))*0.3048)</f>
        <v>2.9013911999999995</v>
      </c>
      <c r="I285" s="43">
        <f>IF(G285="","",EXP(FORECAST(LN(E285),INDEX(Attenuation!$K:$K,(INDEX(Cables!$AO:$AO,MATCH(G285,Cables!$A:$A,0))-1+MIN(MAX(IFERROR(MATCH(LN(E285),INDEX(Attenuation!$J:$J,INDEX(Cables!$AO:$AO,MATCH(G285,Cables!$A:$A,0))):INDEX(Attenuation!$J:$J,INDEX(Cables!$AO:$AO,MATCH(G285,Cables!$A:$A,0))+INDEX(Cables!$AP:$AP,MATCH(G285,Cables!$A:$A,0))-1),1),1),1),INDEX(Cables!$AP:$AP,MATCH(G285,Cables!$A:$A,0))-1))):INDEX(Attenuation!$K:$K,(INDEX(Cables!$AO:$AO,MATCH(G285,Cables!$A:$A,0))-1+MIN(MAX(IFERROR(MATCH(LN(E285),INDEX(Attenuation!$J:$J,INDEX(Cables!$AO:$AO,MATCH(G285,Cables!$A:$A,0))):INDEX(Attenuation!$J:$J,INDEX(Cables!$AO:$AO,MATCH(G285,Cables!$A:$A,0))+INDEX(Cables!$AP:$AP,MATCH(G285,Cables!$A:$A,0))-1),1),1),1),INDEX(Cables!$AP:$AP,MATCH(G285,Cables!$A:$A,0))-1))+1),INDEX(Attenuation!$J:$J,(INDEX(Cables!$AO:$AO,MATCH(G285,Cables!$A:$A,0))-1+MIN(MAX(IFERROR(MATCH(LN(E285),INDEX(Attenuation!$J:$J,INDEX(Cables!$AO:$AO,MATCH(G285,Cables!$A:$A,0))):INDEX(Attenuation!$J:$J,INDEX(Cables!$AO:$AO,MATCH(G285,Cables!$A:$A,0))+INDEX(Cables!$AP:$AP,MATCH(G285,Cables!$A:$A,0))-1),1),1),1),INDEX(Cables!$AP:$AP,MATCH(G285,Cables!$A:$A,0))-1))):INDEX(Attenuation!$J:$J,(INDEX(Cables!$AO:$AO,MATCH(G285,Cables!$A:$A,0))-1+MIN(MAX(IFERROR(MATCH(LN(E285),INDEX(Attenuation!$J:$J,INDEX(Cables!$AO:$AO,MATCH(G285,Cables!$A:$A,0))):INDEX(Attenuation!$J:$J,INDEX(Cables!$AO:$AO,MATCH(G285,Cables!$A:$A,0))+INDEX(Cables!$AP:$AP,MATCH(G285,Cables!$A:$A,0))-1),1),1),1),INDEX(Cables!$AP:$AP,MATCH(G285,Cables!$A:$A,0))-1))+1)))*0.3048)</f>
        <v>3.443935199999999</v>
      </c>
      <c r="J285" s="44">
        <f t="shared" si="4"/>
        <v>0</v>
      </c>
      <c r="K285" s="40" t="str">
        <f>IF(G285="","Doğrulanmadı",IF(ABS(J285)&lt;=0.1,"Uyumlu (±%10)",IF(ABS(J285)&lt;=0.25,"Fark %10-25","Fark &gt;%25"))&amp;IF(OR(D285&lt;INDEX(Cables!$AQ:$AQ,MATCH(G285,Cables!$A:$A,0)),E285&gt;INDEX(Cables!$AR:$AR,MATCH(G285,Cables!$A:$A,0)))," · ekstrapolasyon",""))</f>
        <v>Uyumlu (±%10)</v>
      </c>
    </row>
    <row r="286" spans="1:11" x14ac:dyDescent="0.25">
      <c r="A286" s="37" t="s">
        <v>3052</v>
      </c>
      <c r="B286" s="40" t="str">
        <f>INDEX(Legacy_Index!$D:$D,MATCH(A286,Legacy_Index!$A:$A,0))</f>
        <v>3/8" LDF</v>
      </c>
      <c r="C286" s="37" t="s">
        <v>3120</v>
      </c>
      <c r="D286" s="37">
        <v>1200</v>
      </c>
      <c r="E286" s="37">
        <v>1300</v>
      </c>
      <c r="F286" s="37">
        <v>4.2</v>
      </c>
      <c r="G286" s="40" t="str">
        <f>IF(INDEX(Legacy_Index!$G:$G,MATCH(A286,Legacy_Index!$A:$A,0))="","",INDEX(Legacy_Index!$G:$G,MATCH(A286,Legacy_Index!$A:$A,0)))</f>
        <v>CS-LDF2-50</v>
      </c>
      <c r="H286" s="43">
        <f>IF(G286="","",EXP(FORECAST(LN(D286),INDEX(Attenuation!$K:$K,(INDEX(Cables!$AO:$AO,MATCH(G286,Cables!$A:$A,0))-1+MIN(MAX(IFERROR(MATCH(LN(D286),INDEX(Attenuation!$J:$J,INDEX(Cables!$AO:$AO,MATCH(G286,Cables!$A:$A,0))):INDEX(Attenuation!$J:$J,INDEX(Cables!$AO:$AO,MATCH(G286,Cables!$A:$A,0))+INDEX(Cables!$AP:$AP,MATCH(G286,Cables!$A:$A,0))-1),1),1),1),INDEX(Cables!$AP:$AP,MATCH(G286,Cables!$A:$A,0))-1))):INDEX(Attenuation!$K:$K,(INDEX(Cables!$AO:$AO,MATCH(G286,Cables!$A:$A,0))-1+MIN(MAX(IFERROR(MATCH(LN(D286),INDEX(Attenuation!$J:$J,INDEX(Cables!$AO:$AO,MATCH(G286,Cables!$A:$A,0))):INDEX(Attenuation!$J:$J,INDEX(Cables!$AO:$AO,MATCH(G286,Cables!$A:$A,0))+INDEX(Cables!$AP:$AP,MATCH(G286,Cables!$A:$A,0))-1),1),1),1),INDEX(Cables!$AP:$AP,MATCH(G286,Cables!$A:$A,0))-1))+1),INDEX(Attenuation!$J:$J,(INDEX(Cables!$AO:$AO,MATCH(G286,Cables!$A:$A,0))-1+MIN(MAX(IFERROR(MATCH(LN(D286),INDEX(Attenuation!$J:$J,INDEX(Cables!$AO:$AO,MATCH(G286,Cables!$A:$A,0))):INDEX(Attenuation!$J:$J,INDEX(Cables!$AO:$AO,MATCH(G286,Cables!$A:$A,0))+INDEX(Cables!$AP:$AP,MATCH(G286,Cables!$A:$A,0))-1),1),1),1),INDEX(Cables!$AP:$AP,MATCH(G286,Cables!$A:$A,0))-1))):INDEX(Attenuation!$J:$J,(INDEX(Cables!$AO:$AO,MATCH(G286,Cables!$A:$A,0))-1+MIN(MAX(IFERROR(MATCH(LN(D286),INDEX(Attenuation!$J:$J,INDEX(Cables!$AO:$AO,MATCH(G286,Cables!$A:$A,0))):INDEX(Attenuation!$J:$J,INDEX(Cables!$AO:$AO,MATCH(G286,Cables!$A:$A,0))+INDEX(Cables!$AP:$AP,MATCH(G286,Cables!$A:$A,0))-1),1),1),1),INDEX(Cables!$AP:$AP,MATCH(G286,Cables!$A:$A,0))-1))+1)))*0.3048)</f>
        <v>3.8922126066816456</v>
      </c>
      <c r="I286" s="43">
        <f>IF(G286="","",EXP(FORECAST(LN(E286),INDEX(Attenuation!$K:$K,(INDEX(Cables!$AO:$AO,MATCH(G286,Cables!$A:$A,0))-1+MIN(MAX(IFERROR(MATCH(LN(E286),INDEX(Attenuation!$J:$J,INDEX(Cables!$AO:$AO,MATCH(G286,Cables!$A:$A,0))):INDEX(Attenuation!$J:$J,INDEX(Cables!$AO:$AO,MATCH(G286,Cables!$A:$A,0))+INDEX(Cables!$AP:$AP,MATCH(G286,Cables!$A:$A,0))-1),1),1),1),INDEX(Cables!$AP:$AP,MATCH(G286,Cables!$A:$A,0))-1))):INDEX(Attenuation!$K:$K,(INDEX(Cables!$AO:$AO,MATCH(G286,Cables!$A:$A,0))-1+MIN(MAX(IFERROR(MATCH(LN(E286),INDEX(Attenuation!$J:$J,INDEX(Cables!$AO:$AO,MATCH(G286,Cables!$A:$A,0))):INDEX(Attenuation!$J:$J,INDEX(Cables!$AO:$AO,MATCH(G286,Cables!$A:$A,0))+INDEX(Cables!$AP:$AP,MATCH(G286,Cables!$A:$A,0))-1),1),1),1),INDEX(Cables!$AP:$AP,MATCH(G286,Cables!$A:$A,0))-1))+1),INDEX(Attenuation!$J:$J,(INDEX(Cables!$AO:$AO,MATCH(G286,Cables!$A:$A,0))-1+MIN(MAX(IFERROR(MATCH(LN(E286),INDEX(Attenuation!$J:$J,INDEX(Cables!$AO:$AO,MATCH(G286,Cables!$A:$A,0))):INDEX(Attenuation!$J:$J,INDEX(Cables!$AO:$AO,MATCH(G286,Cables!$A:$A,0))+INDEX(Cables!$AP:$AP,MATCH(G286,Cables!$A:$A,0))-1),1),1),1),INDEX(Cables!$AP:$AP,MATCH(G286,Cables!$A:$A,0))-1))):INDEX(Attenuation!$J:$J,(INDEX(Cables!$AO:$AO,MATCH(G286,Cables!$A:$A,0))-1+MIN(MAX(IFERROR(MATCH(LN(E286),INDEX(Attenuation!$J:$J,INDEX(Cables!$AO:$AO,MATCH(G286,Cables!$A:$A,0))):INDEX(Attenuation!$J:$J,INDEX(Cables!$AO:$AO,MATCH(G286,Cables!$A:$A,0))+INDEX(Cables!$AP:$AP,MATCH(G286,Cables!$A:$A,0))-1),1),1),1),INDEX(Cables!$AP:$AP,MATCH(G286,Cables!$A:$A,0))-1))+1)))*0.3048)</f>
        <v>4.0677586377348991</v>
      </c>
      <c r="J286" s="44">
        <f t="shared" si="4"/>
        <v>3.2509638364074389E-2</v>
      </c>
      <c r="K286" s="40" t="str">
        <f>IF(G286="","Doğrulanmadı",IF(ABS(J286)&lt;=0.1,"Uyumlu (±%10)",IF(ABS(J286)&lt;=0.25,"Fark %10-25","Fark &gt;%25"))&amp;IF(OR(D286&lt;INDEX(Cables!$AQ:$AQ,MATCH(G286,Cables!$A:$A,0)),E286&gt;INDEX(Cables!$AR:$AR,MATCH(G286,Cables!$A:$A,0)))," · ekstrapolasyon",""))</f>
        <v>Uyumlu (±%10)</v>
      </c>
    </row>
    <row r="287" spans="1:11" x14ac:dyDescent="0.25">
      <c r="A287" s="37" t="s">
        <v>3052</v>
      </c>
      <c r="B287" s="40" t="str">
        <f>INDEX(Legacy_Index!$D:$D,MATCH(A287,Legacy_Index!$A:$A,0))</f>
        <v>3/8" LDF</v>
      </c>
      <c r="C287" s="37" t="s">
        <v>3121</v>
      </c>
      <c r="D287" s="37">
        <v>2400</v>
      </c>
      <c r="E287" s="37">
        <v>2500</v>
      </c>
      <c r="F287" s="37">
        <v>5.9</v>
      </c>
      <c r="G287" s="40" t="str">
        <f>IF(INDEX(Legacy_Index!$G:$G,MATCH(A287,Legacy_Index!$A:$A,0))="","",INDEX(Legacy_Index!$G:$G,MATCH(A287,Legacy_Index!$A:$A,0)))</f>
        <v>CS-LDF2-50</v>
      </c>
      <c r="H287" s="43">
        <f>IF(G287="","",EXP(FORECAST(LN(D287),INDEX(Attenuation!$K:$K,(INDEX(Cables!$AO:$AO,MATCH(G287,Cables!$A:$A,0))-1+MIN(MAX(IFERROR(MATCH(LN(D287),INDEX(Attenuation!$J:$J,INDEX(Cables!$AO:$AO,MATCH(G287,Cables!$A:$A,0))):INDEX(Attenuation!$J:$J,INDEX(Cables!$AO:$AO,MATCH(G287,Cables!$A:$A,0))+INDEX(Cables!$AP:$AP,MATCH(G287,Cables!$A:$A,0))-1),1),1),1),INDEX(Cables!$AP:$AP,MATCH(G287,Cables!$A:$A,0))-1))):INDEX(Attenuation!$K:$K,(INDEX(Cables!$AO:$AO,MATCH(G287,Cables!$A:$A,0))-1+MIN(MAX(IFERROR(MATCH(LN(D287),INDEX(Attenuation!$J:$J,INDEX(Cables!$AO:$AO,MATCH(G287,Cables!$A:$A,0))):INDEX(Attenuation!$J:$J,INDEX(Cables!$AO:$AO,MATCH(G287,Cables!$A:$A,0))+INDEX(Cables!$AP:$AP,MATCH(G287,Cables!$A:$A,0))-1),1),1),1),INDEX(Cables!$AP:$AP,MATCH(G287,Cables!$A:$A,0))-1))+1),INDEX(Attenuation!$J:$J,(INDEX(Cables!$AO:$AO,MATCH(G287,Cables!$A:$A,0))-1+MIN(MAX(IFERROR(MATCH(LN(D287),INDEX(Attenuation!$J:$J,INDEX(Cables!$AO:$AO,MATCH(G287,Cables!$A:$A,0))):INDEX(Attenuation!$J:$J,INDEX(Cables!$AO:$AO,MATCH(G287,Cables!$A:$A,0))+INDEX(Cables!$AP:$AP,MATCH(G287,Cables!$A:$A,0))-1),1),1),1),INDEX(Cables!$AP:$AP,MATCH(G287,Cables!$A:$A,0))-1))):INDEX(Attenuation!$J:$J,(INDEX(Cables!$AO:$AO,MATCH(G287,Cables!$A:$A,0))-1+MIN(MAX(IFERROR(MATCH(LN(D287),INDEX(Attenuation!$J:$J,INDEX(Cables!$AO:$AO,MATCH(G287,Cables!$A:$A,0))):INDEX(Attenuation!$J:$J,INDEX(Cables!$AO:$AO,MATCH(G287,Cables!$A:$A,0))+INDEX(Cables!$AP:$AP,MATCH(G287,Cables!$A:$A,0))-1),1),1),1),INDEX(Cables!$AP:$AP,MATCH(G287,Cables!$A:$A,0))-1))+1)))*0.3048)</f>
        <v>5.734814381787035</v>
      </c>
      <c r="I287" s="43">
        <f>IF(G287="","",EXP(FORECAST(LN(E287),INDEX(Attenuation!$K:$K,(INDEX(Cables!$AO:$AO,MATCH(G287,Cables!$A:$A,0))-1+MIN(MAX(IFERROR(MATCH(LN(E287),INDEX(Attenuation!$J:$J,INDEX(Cables!$AO:$AO,MATCH(G287,Cables!$A:$A,0))):INDEX(Attenuation!$J:$J,INDEX(Cables!$AO:$AO,MATCH(G287,Cables!$A:$A,0))+INDEX(Cables!$AP:$AP,MATCH(G287,Cables!$A:$A,0))-1),1),1),1),INDEX(Cables!$AP:$AP,MATCH(G287,Cables!$A:$A,0))-1))):INDEX(Attenuation!$K:$K,(INDEX(Cables!$AO:$AO,MATCH(G287,Cables!$A:$A,0))-1+MIN(MAX(IFERROR(MATCH(LN(E287),INDEX(Attenuation!$J:$J,INDEX(Cables!$AO:$AO,MATCH(G287,Cables!$A:$A,0))):INDEX(Attenuation!$J:$J,INDEX(Cables!$AO:$AO,MATCH(G287,Cables!$A:$A,0))+INDEX(Cables!$AP:$AP,MATCH(G287,Cables!$A:$A,0))-1),1),1),1),INDEX(Cables!$AP:$AP,MATCH(G287,Cables!$A:$A,0))-1))+1),INDEX(Attenuation!$J:$J,(INDEX(Cables!$AO:$AO,MATCH(G287,Cables!$A:$A,0))-1+MIN(MAX(IFERROR(MATCH(LN(E287),INDEX(Attenuation!$J:$J,INDEX(Cables!$AO:$AO,MATCH(G287,Cables!$A:$A,0))):INDEX(Attenuation!$J:$J,INDEX(Cables!$AO:$AO,MATCH(G287,Cables!$A:$A,0))+INDEX(Cables!$AP:$AP,MATCH(G287,Cables!$A:$A,0))-1),1),1),1),INDEX(Cables!$AP:$AP,MATCH(G287,Cables!$A:$A,0))-1))):INDEX(Attenuation!$J:$J,(INDEX(Cables!$AO:$AO,MATCH(G287,Cables!$A:$A,0))-1+MIN(MAX(IFERROR(MATCH(LN(E287),INDEX(Attenuation!$J:$J,INDEX(Cables!$AO:$AO,MATCH(G287,Cables!$A:$A,0))):INDEX(Attenuation!$J:$J,INDEX(Cables!$AO:$AO,MATCH(G287,Cables!$A:$A,0))+INDEX(Cables!$AP:$AP,MATCH(G287,Cables!$A:$A,0))-1),1),1),1),INDEX(Cables!$AP:$AP,MATCH(G287,Cables!$A:$A,0))-1))+1)))*0.3048)</f>
        <v>5.8695336000000005</v>
      </c>
      <c r="J287" s="44">
        <f t="shared" si="4"/>
        <v>5.1905998118828567E-3</v>
      </c>
      <c r="K287" s="40" t="str">
        <f>IF(G287="","Doğrulanmadı",IF(ABS(J287)&lt;=0.1,"Uyumlu (±%10)",IF(ABS(J287)&lt;=0.25,"Fark %10-25","Fark &gt;%25"))&amp;IF(OR(D287&lt;INDEX(Cables!$AQ:$AQ,MATCH(G287,Cables!$A:$A,0)),E287&gt;INDEX(Cables!$AR:$AR,MATCH(G287,Cables!$A:$A,0)))," · ekstrapolasyon",""))</f>
        <v>Uyumlu (±%10)</v>
      </c>
    </row>
    <row r="288" spans="1:11" x14ac:dyDescent="0.25">
      <c r="A288" s="37" t="s">
        <v>3052</v>
      </c>
      <c r="B288" s="40" t="str">
        <f>INDEX(Legacy_Index!$D:$D,MATCH(A288,Legacy_Index!$A:$A,0))</f>
        <v>3/8" LDF</v>
      </c>
      <c r="C288" s="37" t="s">
        <v>3122</v>
      </c>
      <c r="D288" s="37">
        <v>5725</v>
      </c>
      <c r="E288" s="37">
        <v>5875</v>
      </c>
      <c r="F288" s="37">
        <v>8.1</v>
      </c>
      <c r="G288" s="40" t="str">
        <f>IF(INDEX(Legacy_Index!$G:$G,MATCH(A288,Legacy_Index!$A:$A,0))="","",INDEX(Legacy_Index!$G:$G,MATCH(A288,Legacy_Index!$A:$A,0)))</f>
        <v>CS-LDF2-50</v>
      </c>
      <c r="H288" s="43">
        <f>IF(G288="","",EXP(FORECAST(LN(D288),INDEX(Attenuation!$K:$K,(INDEX(Cables!$AO:$AO,MATCH(G288,Cables!$A:$A,0))-1+MIN(MAX(IFERROR(MATCH(LN(D288),INDEX(Attenuation!$J:$J,INDEX(Cables!$AO:$AO,MATCH(G288,Cables!$A:$A,0))):INDEX(Attenuation!$J:$J,INDEX(Cables!$AO:$AO,MATCH(G288,Cables!$A:$A,0))+INDEX(Cables!$AP:$AP,MATCH(G288,Cables!$A:$A,0))-1),1),1),1),INDEX(Cables!$AP:$AP,MATCH(G288,Cables!$A:$A,0))-1))):INDEX(Attenuation!$K:$K,(INDEX(Cables!$AO:$AO,MATCH(G288,Cables!$A:$A,0))-1+MIN(MAX(IFERROR(MATCH(LN(D288),INDEX(Attenuation!$J:$J,INDEX(Cables!$AO:$AO,MATCH(G288,Cables!$A:$A,0))):INDEX(Attenuation!$J:$J,INDEX(Cables!$AO:$AO,MATCH(G288,Cables!$A:$A,0))+INDEX(Cables!$AP:$AP,MATCH(G288,Cables!$A:$A,0))-1),1),1),1),INDEX(Cables!$AP:$AP,MATCH(G288,Cables!$A:$A,0))-1))+1),INDEX(Attenuation!$J:$J,(INDEX(Cables!$AO:$AO,MATCH(G288,Cables!$A:$A,0))-1+MIN(MAX(IFERROR(MATCH(LN(D288),INDEX(Attenuation!$J:$J,INDEX(Cables!$AO:$AO,MATCH(G288,Cables!$A:$A,0))):INDEX(Attenuation!$J:$J,INDEX(Cables!$AO:$AO,MATCH(G288,Cables!$A:$A,0))+INDEX(Cables!$AP:$AP,MATCH(G288,Cables!$A:$A,0))-1),1),1),1),INDEX(Cables!$AP:$AP,MATCH(G288,Cables!$A:$A,0))-1))):INDEX(Attenuation!$J:$J,(INDEX(Cables!$AO:$AO,MATCH(G288,Cables!$A:$A,0))-1+MIN(MAX(IFERROR(MATCH(LN(D288),INDEX(Attenuation!$J:$J,INDEX(Cables!$AO:$AO,MATCH(G288,Cables!$A:$A,0))):INDEX(Attenuation!$J:$J,INDEX(Cables!$AO:$AO,MATCH(G288,Cables!$A:$A,0))+INDEX(Cables!$AP:$AP,MATCH(G288,Cables!$A:$A,0))-1),1),1),1),INDEX(Cables!$AP:$AP,MATCH(G288,Cables!$A:$A,0))-1))+1)))*0.3048)</f>
        <v>9.5201184066390141</v>
      </c>
      <c r="I288" s="43">
        <f>IF(G288="","",EXP(FORECAST(LN(E288),INDEX(Attenuation!$K:$K,(INDEX(Cables!$AO:$AO,MATCH(G288,Cables!$A:$A,0))-1+MIN(MAX(IFERROR(MATCH(LN(E288),INDEX(Attenuation!$J:$J,INDEX(Cables!$AO:$AO,MATCH(G288,Cables!$A:$A,0))):INDEX(Attenuation!$J:$J,INDEX(Cables!$AO:$AO,MATCH(G288,Cables!$A:$A,0))+INDEX(Cables!$AP:$AP,MATCH(G288,Cables!$A:$A,0))-1),1),1),1),INDEX(Cables!$AP:$AP,MATCH(G288,Cables!$A:$A,0))-1))):INDEX(Attenuation!$K:$K,(INDEX(Cables!$AO:$AO,MATCH(G288,Cables!$A:$A,0))-1+MIN(MAX(IFERROR(MATCH(LN(E288),INDEX(Attenuation!$J:$J,INDEX(Cables!$AO:$AO,MATCH(G288,Cables!$A:$A,0))):INDEX(Attenuation!$J:$J,INDEX(Cables!$AO:$AO,MATCH(G288,Cables!$A:$A,0))+INDEX(Cables!$AP:$AP,MATCH(G288,Cables!$A:$A,0))-1),1),1),1),INDEX(Cables!$AP:$AP,MATCH(G288,Cables!$A:$A,0))-1))+1),INDEX(Attenuation!$J:$J,(INDEX(Cables!$AO:$AO,MATCH(G288,Cables!$A:$A,0))-1+MIN(MAX(IFERROR(MATCH(LN(E288),INDEX(Attenuation!$J:$J,INDEX(Cables!$AO:$AO,MATCH(G288,Cables!$A:$A,0))):INDEX(Attenuation!$J:$J,INDEX(Cables!$AO:$AO,MATCH(G288,Cables!$A:$A,0))+INDEX(Cables!$AP:$AP,MATCH(G288,Cables!$A:$A,0))-1),1),1),1),INDEX(Cables!$AP:$AP,MATCH(G288,Cables!$A:$A,0))-1))):INDEX(Attenuation!$J:$J,(INDEX(Cables!$AO:$AO,MATCH(G288,Cables!$A:$A,0))-1+MIN(MAX(IFERROR(MATCH(LN(E288),INDEX(Attenuation!$J:$J,INDEX(Cables!$AO:$AO,MATCH(G288,Cables!$A:$A,0))):INDEX(Attenuation!$J:$J,INDEX(Cables!$AO:$AO,MATCH(G288,Cables!$A:$A,0))+INDEX(Cables!$AP:$AP,MATCH(G288,Cables!$A:$A,0))-1),1),1),1),INDEX(Cables!$AP:$AP,MATCH(G288,Cables!$A:$A,0))-1))+1)))*0.3048)</f>
        <v>9.6682220300536823</v>
      </c>
      <c r="J288" s="44">
        <f t="shared" si="4"/>
        <v>-0.14917024620709241</v>
      </c>
      <c r="K288" s="40" t="str">
        <f>IF(G288="","Doğrulanmadı",IF(ABS(J288)&lt;=0.1,"Uyumlu (±%10)",IF(ABS(J288)&lt;=0.25,"Fark %10-25","Fark &gt;%25"))&amp;IF(OR(D288&lt;INDEX(Cables!$AQ:$AQ,MATCH(G288,Cables!$A:$A,0)),E288&gt;INDEX(Cables!$AR:$AR,MATCH(G288,Cables!$A:$A,0)))," · ekstrapolasyon",""))</f>
        <v>Fark %10-25</v>
      </c>
    </row>
    <row r="289" spans="1:11" x14ac:dyDescent="0.25">
      <c r="A289" s="37" t="s">
        <v>3055</v>
      </c>
      <c r="B289" s="40" t="str">
        <f>INDEX(Legacy_Index!$D:$D,MATCH(A289,Legacy_Index!$A:$A,0))</f>
        <v>3/8" HELIAX®</v>
      </c>
      <c r="C289" s="37" t="s">
        <v>3113</v>
      </c>
      <c r="D289" s="37">
        <v>70</v>
      </c>
      <c r="E289" s="37">
        <v>100</v>
      </c>
      <c r="F289" s="37">
        <v>0.9</v>
      </c>
      <c r="G289" s="40" t="str">
        <f>IF(INDEX(Legacy_Index!$G:$G,MATCH(A289,Legacy_Index!$A:$A,0))="","",INDEX(Legacy_Index!$G:$G,MATCH(A289,Legacy_Index!$A:$A,0)))</f>
        <v>CS-LDF2-50</v>
      </c>
      <c r="H289" s="43">
        <f>IF(G289="","",EXP(FORECAST(LN(D289),INDEX(Attenuation!$K:$K,(INDEX(Cables!$AO:$AO,MATCH(G289,Cables!$A:$A,0))-1+MIN(MAX(IFERROR(MATCH(LN(D289),INDEX(Attenuation!$J:$J,INDEX(Cables!$AO:$AO,MATCH(G289,Cables!$A:$A,0))):INDEX(Attenuation!$J:$J,INDEX(Cables!$AO:$AO,MATCH(G289,Cables!$A:$A,0))+INDEX(Cables!$AP:$AP,MATCH(G289,Cables!$A:$A,0))-1),1),1),1),INDEX(Cables!$AP:$AP,MATCH(G289,Cables!$A:$A,0))-1))):INDEX(Attenuation!$K:$K,(INDEX(Cables!$AO:$AO,MATCH(G289,Cables!$A:$A,0))-1+MIN(MAX(IFERROR(MATCH(LN(D289),INDEX(Attenuation!$J:$J,INDEX(Cables!$AO:$AO,MATCH(G289,Cables!$A:$A,0))):INDEX(Attenuation!$J:$J,INDEX(Cables!$AO:$AO,MATCH(G289,Cables!$A:$A,0))+INDEX(Cables!$AP:$AP,MATCH(G289,Cables!$A:$A,0))-1),1),1),1),INDEX(Cables!$AP:$AP,MATCH(G289,Cables!$A:$A,0))-1))+1),INDEX(Attenuation!$J:$J,(INDEX(Cables!$AO:$AO,MATCH(G289,Cables!$A:$A,0))-1+MIN(MAX(IFERROR(MATCH(LN(D289),INDEX(Attenuation!$J:$J,INDEX(Cables!$AO:$AO,MATCH(G289,Cables!$A:$A,0))):INDEX(Attenuation!$J:$J,INDEX(Cables!$AO:$AO,MATCH(G289,Cables!$A:$A,0))+INDEX(Cables!$AP:$AP,MATCH(G289,Cables!$A:$A,0))-1),1),1),1),INDEX(Cables!$AP:$AP,MATCH(G289,Cables!$A:$A,0))-1))):INDEX(Attenuation!$J:$J,(INDEX(Cables!$AO:$AO,MATCH(G289,Cables!$A:$A,0))-1+MIN(MAX(IFERROR(MATCH(LN(D289),INDEX(Attenuation!$J:$J,INDEX(Cables!$AO:$AO,MATCH(G289,Cables!$A:$A,0))):INDEX(Attenuation!$J:$J,INDEX(Cables!$AO:$AO,MATCH(G289,Cables!$A:$A,0))+INDEX(Cables!$AP:$AP,MATCH(G289,Cables!$A:$A,0))-1),1),1),1),INDEX(Cables!$AP:$AP,MATCH(G289,Cables!$A:$A,0))-1))+1)))*0.3048)</f>
        <v>0.86818345765514482</v>
      </c>
      <c r="I289" s="43">
        <f>IF(G289="","",EXP(FORECAST(LN(E289),INDEX(Attenuation!$K:$K,(INDEX(Cables!$AO:$AO,MATCH(G289,Cables!$A:$A,0))-1+MIN(MAX(IFERROR(MATCH(LN(E289),INDEX(Attenuation!$J:$J,INDEX(Cables!$AO:$AO,MATCH(G289,Cables!$A:$A,0))):INDEX(Attenuation!$J:$J,INDEX(Cables!$AO:$AO,MATCH(G289,Cables!$A:$A,0))+INDEX(Cables!$AP:$AP,MATCH(G289,Cables!$A:$A,0))-1),1),1),1),INDEX(Cables!$AP:$AP,MATCH(G289,Cables!$A:$A,0))-1))):INDEX(Attenuation!$K:$K,(INDEX(Cables!$AO:$AO,MATCH(G289,Cables!$A:$A,0))-1+MIN(MAX(IFERROR(MATCH(LN(E289),INDEX(Attenuation!$J:$J,INDEX(Cables!$AO:$AO,MATCH(G289,Cables!$A:$A,0))):INDEX(Attenuation!$J:$J,INDEX(Cables!$AO:$AO,MATCH(G289,Cables!$A:$A,0))+INDEX(Cables!$AP:$AP,MATCH(G289,Cables!$A:$A,0))-1),1),1),1),INDEX(Cables!$AP:$AP,MATCH(G289,Cables!$A:$A,0))-1))+1),INDEX(Attenuation!$J:$J,(INDEX(Cables!$AO:$AO,MATCH(G289,Cables!$A:$A,0))-1+MIN(MAX(IFERROR(MATCH(LN(E289),INDEX(Attenuation!$J:$J,INDEX(Cables!$AO:$AO,MATCH(G289,Cables!$A:$A,0))):INDEX(Attenuation!$J:$J,INDEX(Cables!$AO:$AO,MATCH(G289,Cables!$A:$A,0))+INDEX(Cables!$AP:$AP,MATCH(G289,Cables!$A:$A,0))-1),1),1),1),INDEX(Cables!$AP:$AP,MATCH(G289,Cables!$A:$A,0))-1))):INDEX(Attenuation!$J:$J,(INDEX(Cables!$AO:$AO,MATCH(G289,Cables!$A:$A,0))-1+MIN(MAX(IFERROR(MATCH(LN(E289),INDEX(Attenuation!$J:$J,INDEX(Cables!$AO:$AO,MATCH(G289,Cables!$A:$A,0))):INDEX(Attenuation!$J:$J,INDEX(Cables!$AO:$AO,MATCH(G289,Cables!$A:$A,0))+INDEX(Cables!$AP:$AP,MATCH(G289,Cables!$A:$A,0))-1),1),1),1),INDEX(Cables!$AP:$AP,MATCH(G289,Cables!$A:$A,0))-1))+1)))*0.3048)</f>
        <v>1.0427207999999999</v>
      </c>
      <c r="J289" s="44">
        <f t="shared" si="4"/>
        <v>0</v>
      </c>
      <c r="K289" s="40" t="str">
        <f>IF(G289="","Doğrulanmadı",IF(ABS(J289)&lt;=0.1,"Uyumlu (±%10)",IF(ABS(J289)&lt;=0.25,"Fark %10-25","Fark &gt;%25"))&amp;IF(OR(D289&lt;INDEX(Cables!$AQ:$AQ,MATCH(G289,Cables!$A:$A,0)),E289&gt;INDEX(Cables!$AR:$AR,MATCH(G289,Cables!$A:$A,0)))," · ekstrapolasyon",""))</f>
        <v>Uyumlu (±%10)</v>
      </c>
    </row>
    <row r="290" spans="1:11" x14ac:dyDescent="0.25">
      <c r="A290" s="37" t="s">
        <v>3055</v>
      </c>
      <c r="B290" s="40" t="str">
        <f>INDEX(Legacy_Index!$D:$D,MATCH(A290,Legacy_Index!$A:$A,0))</f>
        <v>3/8" HELIAX®</v>
      </c>
      <c r="C290" s="37" t="s">
        <v>3114</v>
      </c>
      <c r="D290" s="37">
        <v>148</v>
      </c>
      <c r="E290" s="37">
        <v>174</v>
      </c>
      <c r="F290" s="37">
        <v>1.3</v>
      </c>
      <c r="G290" s="40" t="str">
        <f>IF(INDEX(Legacy_Index!$G:$G,MATCH(A290,Legacy_Index!$A:$A,0))="","",INDEX(Legacy_Index!$G:$G,MATCH(A290,Legacy_Index!$A:$A,0)))</f>
        <v>CS-LDF2-50</v>
      </c>
      <c r="H290" s="43">
        <f>IF(G290="","",EXP(FORECAST(LN(D290),INDEX(Attenuation!$K:$K,(INDEX(Cables!$AO:$AO,MATCH(G290,Cables!$A:$A,0))-1+MIN(MAX(IFERROR(MATCH(LN(D290),INDEX(Attenuation!$J:$J,INDEX(Cables!$AO:$AO,MATCH(G290,Cables!$A:$A,0))):INDEX(Attenuation!$J:$J,INDEX(Cables!$AO:$AO,MATCH(G290,Cables!$A:$A,0))+INDEX(Cables!$AP:$AP,MATCH(G290,Cables!$A:$A,0))-1),1),1),1),INDEX(Cables!$AP:$AP,MATCH(G290,Cables!$A:$A,0))-1))):INDEX(Attenuation!$K:$K,(INDEX(Cables!$AO:$AO,MATCH(G290,Cables!$A:$A,0))-1+MIN(MAX(IFERROR(MATCH(LN(D290),INDEX(Attenuation!$J:$J,INDEX(Cables!$AO:$AO,MATCH(G290,Cables!$A:$A,0))):INDEX(Attenuation!$J:$J,INDEX(Cables!$AO:$AO,MATCH(G290,Cables!$A:$A,0))+INDEX(Cables!$AP:$AP,MATCH(G290,Cables!$A:$A,0))-1),1),1),1),INDEX(Cables!$AP:$AP,MATCH(G290,Cables!$A:$A,0))-1))+1),INDEX(Attenuation!$J:$J,(INDEX(Cables!$AO:$AO,MATCH(G290,Cables!$A:$A,0))-1+MIN(MAX(IFERROR(MATCH(LN(D290),INDEX(Attenuation!$J:$J,INDEX(Cables!$AO:$AO,MATCH(G290,Cables!$A:$A,0))):INDEX(Attenuation!$J:$J,INDEX(Cables!$AO:$AO,MATCH(G290,Cables!$A:$A,0))+INDEX(Cables!$AP:$AP,MATCH(G290,Cables!$A:$A,0))-1),1),1),1),INDEX(Cables!$AP:$AP,MATCH(G290,Cables!$A:$A,0))-1))):INDEX(Attenuation!$J:$J,(INDEX(Cables!$AO:$AO,MATCH(G290,Cables!$A:$A,0))-1+MIN(MAX(IFERROR(MATCH(LN(D290),INDEX(Attenuation!$J:$J,INDEX(Cables!$AO:$AO,MATCH(G290,Cables!$A:$A,0))):INDEX(Attenuation!$J:$J,INDEX(Cables!$AO:$AO,MATCH(G290,Cables!$A:$A,0))+INDEX(Cables!$AP:$AP,MATCH(G290,Cables!$A:$A,0))-1),1),1),1),INDEX(Cables!$AP:$AP,MATCH(G290,Cables!$A:$A,0))-1))+1)))*0.3048)</f>
        <v>1.2770432651109056</v>
      </c>
      <c r="I290" s="43">
        <f>IF(G290="","",EXP(FORECAST(LN(E290),INDEX(Attenuation!$K:$K,(INDEX(Cables!$AO:$AO,MATCH(G290,Cables!$A:$A,0))-1+MIN(MAX(IFERROR(MATCH(LN(E290),INDEX(Attenuation!$J:$J,INDEX(Cables!$AO:$AO,MATCH(G290,Cables!$A:$A,0))):INDEX(Attenuation!$J:$J,INDEX(Cables!$AO:$AO,MATCH(G290,Cables!$A:$A,0))+INDEX(Cables!$AP:$AP,MATCH(G290,Cables!$A:$A,0))-1),1),1),1),INDEX(Cables!$AP:$AP,MATCH(G290,Cables!$A:$A,0))-1))):INDEX(Attenuation!$K:$K,(INDEX(Cables!$AO:$AO,MATCH(G290,Cables!$A:$A,0))-1+MIN(MAX(IFERROR(MATCH(LN(E290),INDEX(Attenuation!$J:$J,INDEX(Cables!$AO:$AO,MATCH(G290,Cables!$A:$A,0))):INDEX(Attenuation!$J:$J,INDEX(Cables!$AO:$AO,MATCH(G290,Cables!$A:$A,0))+INDEX(Cables!$AP:$AP,MATCH(G290,Cables!$A:$A,0))-1),1),1),1),INDEX(Cables!$AP:$AP,MATCH(G290,Cables!$A:$A,0))-1))+1),INDEX(Attenuation!$J:$J,(INDEX(Cables!$AO:$AO,MATCH(G290,Cables!$A:$A,0))-1+MIN(MAX(IFERROR(MATCH(LN(E290),INDEX(Attenuation!$J:$J,INDEX(Cables!$AO:$AO,MATCH(G290,Cables!$A:$A,0))):INDEX(Attenuation!$J:$J,INDEX(Cables!$AO:$AO,MATCH(G290,Cables!$A:$A,0))+INDEX(Cables!$AP:$AP,MATCH(G290,Cables!$A:$A,0))-1),1),1),1),INDEX(Cables!$AP:$AP,MATCH(G290,Cables!$A:$A,0))-1))):INDEX(Attenuation!$J:$J,(INDEX(Cables!$AO:$AO,MATCH(G290,Cables!$A:$A,0))-1+MIN(MAX(IFERROR(MATCH(LN(E290),INDEX(Attenuation!$J:$J,INDEX(Cables!$AO:$AO,MATCH(G290,Cables!$A:$A,0))):INDEX(Attenuation!$J:$J,INDEX(Cables!$AO:$AO,MATCH(G290,Cables!$A:$A,0))+INDEX(Cables!$AP:$AP,MATCH(G290,Cables!$A:$A,0))-1),1),1),1),INDEX(Cables!$AP:$AP,MATCH(G290,Cables!$A:$A,0))-1))+1)))*0.3048)</f>
        <v>1.3892783999999998</v>
      </c>
      <c r="J290" s="44">
        <f t="shared" si="4"/>
        <v>0</v>
      </c>
      <c r="K290" s="40" t="str">
        <f>IF(G290="","Doğrulanmadı",IF(ABS(J290)&lt;=0.1,"Uyumlu (±%10)",IF(ABS(J290)&lt;=0.25,"Fark %10-25","Fark &gt;%25"))&amp;IF(OR(D290&lt;INDEX(Cables!$AQ:$AQ,MATCH(G290,Cables!$A:$A,0)),E290&gt;INDEX(Cables!$AR:$AR,MATCH(G290,Cables!$A:$A,0)))," · ekstrapolasyon",""))</f>
        <v>Uyumlu (±%10)</v>
      </c>
    </row>
    <row r="291" spans="1:11" x14ac:dyDescent="0.25">
      <c r="A291" s="37" t="s">
        <v>3055</v>
      </c>
      <c r="B291" s="40" t="str">
        <f>INDEX(Legacy_Index!$D:$D,MATCH(A291,Legacy_Index!$A:$A,0))</f>
        <v>3/8" HELIAX®</v>
      </c>
      <c r="C291" s="37" t="s">
        <v>3115</v>
      </c>
      <c r="D291" s="37">
        <v>400</v>
      </c>
      <c r="E291" s="37">
        <v>520</v>
      </c>
      <c r="F291" s="37">
        <v>2.2999999999999998</v>
      </c>
      <c r="G291" s="40" t="str">
        <f>IF(INDEX(Legacy_Index!$G:$G,MATCH(A291,Legacy_Index!$A:$A,0))="","",INDEX(Legacy_Index!$G:$G,MATCH(A291,Legacy_Index!$A:$A,0)))</f>
        <v>CS-LDF2-50</v>
      </c>
      <c r="H291" s="43">
        <f>IF(G291="","",EXP(FORECAST(LN(D291),INDEX(Attenuation!$K:$K,(INDEX(Cables!$AO:$AO,MATCH(G291,Cables!$A:$A,0))-1+MIN(MAX(IFERROR(MATCH(LN(D291),INDEX(Attenuation!$J:$J,INDEX(Cables!$AO:$AO,MATCH(G291,Cables!$A:$A,0))):INDEX(Attenuation!$J:$J,INDEX(Cables!$AO:$AO,MATCH(G291,Cables!$A:$A,0))+INDEX(Cables!$AP:$AP,MATCH(G291,Cables!$A:$A,0))-1),1),1),1),INDEX(Cables!$AP:$AP,MATCH(G291,Cables!$A:$A,0))-1))):INDEX(Attenuation!$K:$K,(INDEX(Cables!$AO:$AO,MATCH(G291,Cables!$A:$A,0))-1+MIN(MAX(IFERROR(MATCH(LN(D291),INDEX(Attenuation!$J:$J,INDEX(Cables!$AO:$AO,MATCH(G291,Cables!$A:$A,0))):INDEX(Attenuation!$J:$J,INDEX(Cables!$AO:$AO,MATCH(G291,Cables!$A:$A,0))+INDEX(Cables!$AP:$AP,MATCH(G291,Cables!$A:$A,0))-1),1),1),1),INDEX(Cables!$AP:$AP,MATCH(G291,Cables!$A:$A,0))-1))+1),INDEX(Attenuation!$J:$J,(INDEX(Cables!$AO:$AO,MATCH(G291,Cables!$A:$A,0))-1+MIN(MAX(IFERROR(MATCH(LN(D291),INDEX(Attenuation!$J:$J,INDEX(Cables!$AO:$AO,MATCH(G291,Cables!$A:$A,0))):INDEX(Attenuation!$J:$J,INDEX(Cables!$AO:$AO,MATCH(G291,Cables!$A:$A,0))+INDEX(Cables!$AP:$AP,MATCH(G291,Cables!$A:$A,0))-1),1),1),1),INDEX(Cables!$AP:$AP,MATCH(G291,Cables!$A:$A,0))-1))):INDEX(Attenuation!$J:$J,(INDEX(Cables!$AO:$AO,MATCH(G291,Cables!$A:$A,0))-1+MIN(MAX(IFERROR(MATCH(LN(D291),INDEX(Attenuation!$J:$J,INDEX(Cables!$AO:$AO,MATCH(G291,Cables!$A:$A,0))):INDEX(Attenuation!$J:$J,INDEX(Cables!$AO:$AO,MATCH(G291,Cables!$A:$A,0))+INDEX(Cables!$AP:$AP,MATCH(G291,Cables!$A:$A,0))-1),1),1),1),INDEX(Cables!$AP:$AP,MATCH(G291,Cables!$A:$A,0))-1))+1)))*0.3048)</f>
        <v>2.1509736000000008</v>
      </c>
      <c r="I291" s="43">
        <f>IF(G291="","",EXP(FORECAST(LN(E291),INDEX(Attenuation!$K:$K,(INDEX(Cables!$AO:$AO,MATCH(G291,Cables!$A:$A,0))-1+MIN(MAX(IFERROR(MATCH(LN(E291),INDEX(Attenuation!$J:$J,INDEX(Cables!$AO:$AO,MATCH(G291,Cables!$A:$A,0))):INDEX(Attenuation!$J:$J,INDEX(Cables!$AO:$AO,MATCH(G291,Cables!$A:$A,0))+INDEX(Cables!$AP:$AP,MATCH(G291,Cables!$A:$A,0))-1),1),1),1),INDEX(Cables!$AP:$AP,MATCH(G291,Cables!$A:$A,0))-1))):INDEX(Attenuation!$K:$K,(INDEX(Cables!$AO:$AO,MATCH(G291,Cables!$A:$A,0))-1+MIN(MAX(IFERROR(MATCH(LN(E291),INDEX(Attenuation!$J:$J,INDEX(Cables!$AO:$AO,MATCH(G291,Cables!$A:$A,0))):INDEX(Attenuation!$J:$J,INDEX(Cables!$AO:$AO,MATCH(G291,Cables!$A:$A,0))+INDEX(Cables!$AP:$AP,MATCH(G291,Cables!$A:$A,0))-1),1),1),1),INDEX(Cables!$AP:$AP,MATCH(G291,Cables!$A:$A,0))-1))+1),INDEX(Attenuation!$J:$J,(INDEX(Cables!$AO:$AO,MATCH(G291,Cables!$A:$A,0))-1+MIN(MAX(IFERROR(MATCH(LN(E291),INDEX(Attenuation!$J:$J,INDEX(Cables!$AO:$AO,MATCH(G291,Cables!$A:$A,0))):INDEX(Attenuation!$J:$J,INDEX(Cables!$AO:$AO,MATCH(G291,Cables!$A:$A,0))+INDEX(Cables!$AP:$AP,MATCH(G291,Cables!$A:$A,0))-1),1),1),1),INDEX(Cables!$AP:$AP,MATCH(G291,Cables!$A:$A,0))-1))):INDEX(Attenuation!$J:$J,(INDEX(Cables!$AO:$AO,MATCH(G291,Cables!$A:$A,0))-1+MIN(MAX(IFERROR(MATCH(LN(E291),INDEX(Attenuation!$J:$J,INDEX(Cables!$AO:$AO,MATCH(G291,Cables!$A:$A,0))):INDEX(Attenuation!$J:$J,INDEX(Cables!$AO:$AO,MATCH(G291,Cables!$A:$A,0))+INDEX(Cables!$AP:$AP,MATCH(G291,Cables!$A:$A,0))-1),1),1),1),INDEX(Cables!$AP:$AP,MATCH(G291,Cables!$A:$A,0))-1))+1)))*0.3048)</f>
        <v>2.4734701886768997</v>
      </c>
      <c r="J291" s="44">
        <f t="shared" si="4"/>
        <v>0</v>
      </c>
      <c r="K291" s="40" t="str">
        <f>IF(G291="","Doğrulanmadı",IF(ABS(J291)&lt;=0.1,"Uyumlu (±%10)",IF(ABS(J291)&lt;=0.25,"Fark %10-25","Fark &gt;%25"))&amp;IF(OR(D291&lt;INDEX(Cables!$AQ:$AQ,MATCH(G291,Cables!$A:$A,0)),E291&gt;INDEX(Cables!$AR:$AR,MATCH(G291,Cables!$A:$A,0)))," · ekstrapolasyon",""))</f>
        <v>Uyumlu (±%10)</v>
      </c>
    </row>
    <row r="292" spans="1:11" x14ac:dyDescent="0.25">
      <c r="A292" s="37" t="s">
        <v>3055</v>
      </c>
      <c r="B292" s="40" t="str">
        <f>INDEX(Legacy_Index!$D:$D,MATCH(A292,Legacy_Index!$A:$A,0))</f>
        <v>3/8" HELIAX®</v>
      </c>
      <c r="C292" s="37" t="s">
        <v>3116</v>
      </c>
      <c r="D292" s="37">
        <v>700</v>
      </c>
      <c r="E292" s="37">
        <v>960</v>
      </c>
      <c r="F292" s="37">
        <v>3.3</v>
      </c>
      <c r="G292" s="40" t="str">
        <f>IF(INDEX(Legacy_Index!$G:$G,MATCH(A292,Legacy_Index!$A:$A,0))="","",INDEX(Legacy_Index!$G:$G,MATCH(A292,Legacy_Index!$A:$A,0)))</f>
        <v>CS-LDF2-50</v>
      </c>
      <c r="H292" s="43">
        <f>IF(G292="","",EXP(FORECAST(LN(D292),INDEX(Attenuation!$K:$K,(INDEX(Cables!$AO:$AO,MATCH(G292,Cables!$A:$A,0))-1+MIN(MAX(IFERROR(MATCH(LN(D292),INDEX(Attenuation!$J:$J,INDEX(Cables!$AO:$AO,MATCH(G292,Cables!$A:$A,0))):INDEX(Attenuation!$J:$J,INDEX(Cables!$AO:$AO,MATCH(G292,Cables!$A:$A,0))+INDEX(Cables!$AP:$AP,MATCH(G292,Cables!$A:$A,0))-1),1),1),1),INDEX(Cables!$AP:$AP,MATCH(G292,Cables!$A:$A,0))-1))):INDEX(Attenuation!$K:$K,(INDEX(Cables!$AO:$AO,MATCH(G292,Cables!$A:$A,0))-1+MIN(MAX(IFERROR(MATCH(LN(D292),INDEX(Attenuation!$J:$J,INDEX(Cables!$AO:$AO,MATCH(G292,Cables!$A:$A,0))):INDEX(Attenuation!$J:$J,INDEX(Cables!$AO:$AO,MATCH(G292,Cables!$A:$A,0))+INDEX(Cables!$AP:$AP,MATCH(G292,Cables!$A:$A,0))-1),1),1),1),INDEX(Cables!$AP:$AP,MATCH(G292,Cables!$A:$A,0))-1))+1),INDEX(Attenuation!$J:$J,(INDEX(Cables!$AO:$AO,MATCH(G292,Cables!$A:$A,0))-1+MIN(MAX(IFERROR(MATCH(LN(D292),INDEX(Attenuation!$J:$J,INDEX(Cables!$AO:$AO,MATCH(G292,Cables!$A:$A,0))):INDEX(Attenuation!$J:$J,INDEX(Cables!$AO:$AO,MATCH(G292,Cables!$A:$A,0))+INDEX(Cables!$AP:$AP,MATCH(G292,Cables!$A:$A,0))-1),1),1),1),INDEX(Cables!$AP:$AP,MATCH(G292,Cables!$A:$A,0))-1))):INDEX(Attenuation!$J:$J,(INDEX(Cables!$AO:$AO,MATCH(G292,Cables!$A:$A,0))-1+MIN(MAX(IFERROR(MATCH(LN(D292),INDEX(Attenuation!$J:$J,INDEX(Cables!$AO:$AO,MATCH(G292,Cables!$A:$A,0))):INDEX(Attenuation!$J:$J,INDEX(Cables!$AO:$AO,MATCH(G292,Cables!$A:$A,0))+INDEX(Cables!$AP:$AP,MATCH(G292,Cables!$A:$A,0))-1),1),1),1),INDEX(Cables!$AP:$AP,MATCH(G292,Cables!$A:$A,0))-1))+1)))*0.3048)</f>
        <v>2.9013911999999995</v>
      </c>
      <c r="I292" s="43">
        <f>IF(G292="","",EXP(FORECAST(LN(E292),INDEX(Attenuation!$K:$K,(INDEX(Cables!$AO:$AO,MATCH(G292,Cables!$A:$A,0))-1+MIN(MAX(IFERROR(MATCH(LN(E292),INDEX(Attenuation!$J:$J,INDEX(Cables!$AO:$AO,MATCH(G292,Cables!$A:$A,0))):INDEX(Attenuation!$J:$J,INDEX(Cables!$AO:$AO,MATCH(G292,Cables!$A:$A,0))+INDEX(Cables!$AP:$AP,MATCH(G292,Cables!$A:$A,0))-1),1),1),1),INDEX(Cables!$AP:$AP,MATCH(G292,Cables!$A:$A,0))-1))):INDEX(Attenuation!$K:$K,(INDEX(Cables!$AO:$AO,MATCH(G292,Cables!$A:$A,0))-1+MIN(MAX(IFERROR(MATCH(LN(E292),INDEX(Attenuation!$J:$J,INDEX(Cables!$AO:$AO,MATCH(G292,Cables!$A:$A,0))):INDEX(Attenuation!$J:$J,INDEX(Cables!$AO:$AO,MATCH(G292,Cables!$A:$A,0))+INDEX(Cables!$AP:$AP,MATCH(G292,Cables!$A:$A,0))-1),1),1),1),INDEX(Cables!$AP:$AP,MATCH(G292,Cables!$A:$A,0))-1))+1),INDEX(Attenuation!$J:$J,(INDEX(Cables!$AO:$AO,MATCH(G292,Cables!$A:$A,0))-1+MIN(MAX(IFERROR(MATCH(LN(E292),INDEX(Attenuation!$J:$J,INDEX(Cables!$AO:$AO,MATCH(G292,Cables!$A:$A,0))):INDEX(Attenuation!$J:$J,INDEX(Cables!$AO:$AO,MATCH(G292,Cables!$A:$A,0))+INDEX(Cables!$AP:$AP,MATCH(G292,Cables!$A:$A,0))-1),1),1),1),INDEX(Cables!$AP:$AP,MATCH(G292,Cables!$A:$A,0))-1))):INDEX(Attenuation!$J:$J,(INDEX(Cables!$AO:$AO,MATCH(G292,Cables!$A:$A,0))-1+MIN(MAX(IFERROR(MATCH(LN(E292),INDEX(Attenuation!$J:$J,INDEX(Cables!$AO:$AO,MATCH(G292,Cables!$A:$A,0))):INDEX(Attenuation!$J:$J,INDEX(Cables!$AO:$AO,MATCH(G292,Cables!$A:$A,0))+INDEX(Cables!$AP:$AP,MATCH(G292,Cables!$A:$A,0))-1),1),1),1),INDEX(Cables!$AP:$AP,MATCH(G292,Cables!$A:$A,0))-1))+1)))*0.3048)</f>
        <v>3.443935199999999</v>
      </c>
      <c r="J292" s="44">
        <f t="shared" si="4"/>
        <v>0</v>
      </c>
      <c r="K292" s="40" t="str">
        <f>IF(G292="","Doğrulanmadı",IF(ABS(J292)&lt;=0.1,"Uyumlu (±%10)",IF(ABS(J292)&lt;=0.25,"Fark %10-25","Fark &gt;%25"))&amp;IF(OR(D292&lt;INDEX(Cables!$AQ:$AQ,MATCH(G292,Cables!$A:$A,0)),E292&gt;INDEX(Cables!$AR:$AR,MATCH(G292,Cables!$A:$A,0)))," · ekstrapolasyon",""))</f>
        <v>Uyumlu (±%10)</v>
      </c>
    </row>
    <row r="293" spans="1:11" x14ac:dyDescent="0.25">
      <c r="A293" s="37" t="s">
        <v>3055</v>
      </c>
      <c r="B293" s="40" t="str">
        <f>INDEX(Legacy_Index!$D:$D,MATCH(A293,Legacy_Index!$A:$A,0))</f>
        <v>3/8" HELIAX®</v>
      </c>
      <c r="C293" s="37" t="s">
        <v>3121</v>
      </c>
      <c r="D293" s="37">
        <v>2400</v>
      </c>
      <c r="E293" s="37">
        <v>2500</v>
      </c>
      <c r="F293" s="37">
        <v>5.7</v>
      </c>
      <c r="G293" s="40" t="str">
        <f>IF(INDEX(Legacy_Index!$G:$G,MATCH(A293,Legacy_Index!$A:$A,0))="","",INDEX(Legacy_Index!$G:$G,MATCH(A293,Legacy_Index!$A:$A,0)))</f>
        <v>CS-LDF2-50</v>
      </c>
      <c r="H293" s="43">
        <f>IF(G293="","",EXP(FORECAST(LN(D293),INDEX(Attenuation!$K:$K,(INDEX(Cables!$AO:$AO,MATCH(G293,Cables!$A:$A,0))-1+MIN(MAX(IFERROR(MATCH(LN(D293),INDEX(Attenuation!$J:$J,INDEX(Cables!$AO:$AO,MATCH(G293,Cables!$A:$A,0))):INDEX(Attenuation!$J:$J,INDEX(Cables!$AO:$AO,MATCH(G293,Cables!$A:$A,0))+INDEX(Cables!$AP:$AP,MATCH(G293,Cables!$A:$A,0))-1),1),1),1),INDEX(Cables!$AP:$AP,MATCH(G293,Cables!$A:$A,0))-1))):INDEX(Attenuation!$K:$K,(INDEX(Cables!$AO:$AO,MATCH(G293,Cables!$A:$A,0))-1+MIN(MAX(IFERROR(MATCH(LN(D293),INDEX(Attenuation!$J:$J,INDEX(Cables!$AO:$AO,MATCH(G293,Cables!$A:$A,0))):INDEX(Attenuation!$J:$J,INDEX(Cables!$AO:$AO,MATCH(G293,Cables!$A:$A,0))+INDEX(Cables!$AP:$AP,MATCH(G293,Cables!$A:$A,0))-1),1),1),1),INDEX(Cables!$AP:$AP,MATCH(G293,Cables!$A:$A,0))-1))+1),INDEX(Attenuation!$J:$J,(INDEX(Cables!$AO:$AO,MATCH(G293,Cables!$A:$A,0))-1+MIN(MAX(IFERROR(MATCH(LN(D293),INDEX(Attenuation!$J:$J,INDEX(Cables!$AO:$AO,MATCH(G293,Cables!$A:$A,0))):INDEX(Attenuation!$J:$J,INDEX(Cables!$AO:$AO,MATCH(G293,Cables!$A:$A,0))+INDEX(Cables!$AP:$AP,MATCH(G293,Cables!$A:$A,0))-1),1),1),1),INDEX(Cables!$AP:$AP,MATCH(G293,Cables!$A:$A,0))-1))):INDEX(Attenuation!$J:$J,(INDEX(Cables!$AO:$AO,MATCH(G293,Cables!$A:$A,0))-1+MIN(MAX(IFERROR(MATCH(LN(D293),INDEX(Attenuation!$J:$J,INDEX(Cables!$AO:$AO,MATCH(G293,Cables!$A:$A,0))):INDEX(Attenuation!$J:$J,INDEX(Cables!$AO:$AO,MATCH(G293,Cables!$A:$A,0))+INDEX(Cables!$AP:$AP,MATCH(G293,Cables!$A:$A,0))-1),1),1),1),INDEX(Cables!$AP:$AP,MATCH(G293,Cables!$A:$A,0))-1))+1)))*0.3048)</f>
        <v>5.734814381787035</v>
      </c>
      <c r="I293" s="43">
        <f>IF(G293="","",EXP(FORECAST(LN(E293),INDEX(Attenuation!$K:$K,(INDEX(Cables!$AO:$AO,MATCH(G293,Cables!$A:$A,0))-1+MIN(MAX(IFERROR(MATCH(LN(E293),INDEX(Attenuation!$J:$J,INDEX(Cables!$AO:$AO,MATCH(G293,Cables!$A:$A,0))):INDEX(Attenuation!$J:$J,INDEX(Cables!$AO:$AO,MATCH(G293,Cables!$A:$A,0))+INDEX(Cables!$AP:$AP,MATCH(G293,Cables!$A:$A,0))-1),1),1),1),INDEX(Cables!$AP:$AP,MATCH(G293,Cables!$A:$A,0))-1))):INDEX(Attenuation!$K:$K,(INDEX(Cables!$AO:$AO,MATCH(G293,Cables!$A:$A,0))-1+MIN(MAX(IFERROR(MATCH(LN(E293),INDEX(Attenuation!$J:$J,INDEX(Cables!$AO:$AO,MATCH(G293,Cables!$A:$A,0))):INDEX(Attenuation!$J:$J,INDEX(Cables!$AO:$AO,MATCH(G293,Cables!$A:$A,0))+INDEX(Cables!$AP:$AP,MATCH(G293,Cables!$A:$A,0))-1),1),1),1),INDEX(Cables!$AP:$AP,MATCH(G293,Cables!$A:$A,0))-1))+1),INDEX(Attenuation!$J:$J,(INDEX(Cables!$AO:$AO,MATCH(G293,Cables!$A:$A,0))-1+MIN(MAX(IFERROR(MATCH(LN(E293),INDEX(Attenuation!$J:$J,INDEX(Cables!$AO:$AO,MATCH(G293,Cables!$A:$A,0))):INDEX(Attenuation!$J:$J,INDEX(Cables!$AO:$AO,MATCH(G293,Cables!$A:$A,0))+INDEX(Cables!$AP:$AP,MATCH(G293,Cables!$A:$A,0))-1),1),1),1),INDEX(Cables!$AP:$AP,MATCH(G293,Cables!$A:$A,0))-1))):INDEX(Attenuation!$J:$J,(INDEX(Cables!$AO:$AO,MATCH(G293,Cables!$A:$A,0))-1+MIN(MAX(IFERROR(MATCH(LN(E293),INDEX(Attenuation!$J:$J,INDEX(Cables!$AO:$AO,MATCH(G293,Cables!$A:$A,0))):INDEX(Attenuation!$J:$J,INDEX(Cables!$AO:$AO,MATCH(G293,Cables!$A:$A,0))+INDEX(Cables!$AP:$AP,MATCH(G293,Cables!$A:$A,0))-1),1),1),1),INDEX(Cables!$AP:$AP,MATCH(G293,Cables!$A:$A,0))-1))+1)))*0.3048)</f>
        <v>5.8695336000000005</v>
      </c>
      <c r="J293" s="44">
        <f t="shared" si="4"/>
        <v>-6.070707693277777E-3</v>
      </c>
      <c r="K293" s="40" t="str">
        <f>IF(G293="","Doğrulanmadı",IF(ABS(J293)&lt;=0.1,"Uyumlu (±%10)",IF(ABS(J293)&lt;=0.25,"Fark %10-25","Fark &gt;%25"))&amp;IF(OR(D293&lt;INDEX(Cables!$AQ:$AQ,MATCH(G293,Cables!$A:$A,0)),E293&gt;INDEX(Cables!$AR:$AR,MATCH(G293,Cables!$A:$A,0)))," · ekstrapolasyon",""))</f>
        <v>Uyumlu (±%10)</v>
      </c>
    </row>
    <row r="294" spans="1:11" x14ac:dyDescent="0.25">
      <c r="A294" s="37" t="s">
        <v>3055</v>
      </c>
      <c r="B294" s="40" t="str">
        <f>INDEX(Legacy_Index!$D:$D,MATCH(A294,Legacy_Index!$A:$A,0))</f>
        <v>3/8" HELIAX®</v>
      </c>
      <c r="C294" s="37" t="s">
        <v>3122</v>
      </c>
      <c r="D294" s="37">
        <v>5725</v>
      </c>
      <c r="E294" s="37">
        <v>5875</v>
      </c>
      <c r="F294" s="37">
        <v>9.5</v>
      </c>
      <c r="G294" s="40" t="str">
        <f>IF(INDEX(Legacy_Index!$G:$G,MATCH(A294,Legacy_Index!$A:$A,0))="","",INDEX(Legacy_Index!$G:$G,MATCH(A294,Legacy_Index!$A:$A,0)))</f>
        <v>CS-LDF2-50</v>
      </c>
      <c r="H294" s="43">
        <f>IF(G294="","",EXP(FORECAST(LN(D294),INDEX(Attenuation!$K:$K,(INDEX(Cables!$AO:$AO,MATCH(G294,Cables!$A:$A,0))-1+MIN(MAX(IFERROR(MATCH(LN(D294),INDEX(Attenuation!$J:$J,INDEX(Cables!$AO:$AO,MATCH(G294,Cables!$A:$A,0))):INDEX(Attenuation!$J:$J,INDEX(Cables!$AO:$AO,MATCH(G294,Cables!$A:$A,0))+INDEX(Cables!$AP:$AP,MATCH(G294,Cables!$A:$A,0))-1),1),1),1),INDEX(Cables!$AP:$AP,MATCH(G294,Cables!$A:$A,0))-1))):INDEX(Attenuation!$K:$K,(INDEX(Cables!$AO:$AO,MATCH(G294,Cables!$A:$A,0))-1+MIN(MAX(IFERROR(MATCH(LN(D294),INDEX(Attenuation!$J:$J,INDEX(Cables!$AO:$AO,MATCH(G294,Cables!$A:$A,0))):INDEX(Attenuation!$J:$J,INDEX(Cables!$AO:$AO,MATCH(G294,Cables!$A:$A,0))+INDEX(Cables!$AP:$AP,MATCH(G294,Cables!$A:$A,0))-1),1),1),1),INDEX(Cables!$AP:$AP,MATCH(G294,Cables!$A:$A,0))-1))+1),INDEX(Attenuation!$J:$J,(INDEX(Cables!$AO:$AO,MATCH(G294,Cables!$A:$A,0))-1+MIN(MAX(IFERROR(MATCH(LN(D294),INDEX(Attenuation!$J:$J,INDEX(Cables!$AO:$AO,MATCH(G294,Cables!$A:$A,0))):INDEX(Attenuation!$J:$J,INDEX(Cables!$AO:$AO,MATCH(G294,Cables!$A:$A,0))+INDEX(Cables!$AP:$AP,MATCH(G294,Cables!$A:$A,0))-1),1),1),1),INDEX(Cables!$AP:$AP,MATCH(G294,Cables!$A:$A,0))-1))):INDEX(Attenuation!$J:$J,(INDEX(Cables!$AO:$AO,MATCH(G294,Cables!$A:$A,0))-1+MIN(MAX(IFERROR(MATCH(LN(D294),INDEX(Attenuation!$J:$J,INDEX(Cables!$AO:$AO,MATCH(G294,Cables!$A:$A,0))):INDEX(Attenuation!$J:$J,INDEX(Cables!$AO:$AO,MATCH(G294,Cables!$A:$A,0))+INDEX(Cables!$AP:$AP,MATCH(G294,Cables!$A:$A,0))-1),1),1),1),INDEX(Cables!$AP:$AP,MATCH(G294,Cables!$A:$A,0))-1))+1)))*0.3048)</f>
        <v>9.5201184066390141</v>
      </c>
      <c r="I294" s="43">
        <f>IF(G294="","",EXP(FORECAST(LN(E294),INDEX(Attenuation!$K:$K,(INDEX(Cables!$AO:$AO,MATCH(G294,Cables!$A:$A,0))-1+MIN(MAX(IFERROR(MATCH(LN(E294),INDEX(Attenuation!$J:$J,INDEX(Cables!$AO:$AO,MATCH(G294,Cables!$A:$A,0))):INDEX(Attenuation!$J:$J,INDEX(Cables!$AO:$AO,MATCH(G294,Cables!$A:$A,0))+INDEX(Cables!$AP:$AP,MATCH(G294,Cables!$A:$A,0))-1),1),1),1),INDEX(Cables!$AP:$AP,MATCH(G294,Cables!$A:$A,0))-1))):INDEX(Attenuation!$K:$K,(INDEX(Cables!$AO:$AO,MATCH(G294,Cables!$A:$A,0))-1+MIN(MAX(IFERROR(MATCH(LN(E294),INDEX(Attenuation!$J:$J,INDEX(Cables!$AO:$AO,MATCH(G294,Cables!$A:$A,0))):INDEX(Attenuation!$J:$J,INDEX(Cables!$AO:$AO,MATCH(G294,Cables!$A:$A,0))+INDEX(Cables!$AP:$AP,MATCH(G294,Cables!$A:$A,0))-1),1),1),1),INDEX(Cables!$AP:$AP,MATCH(G294,Cables!$A:$A,0))-1))+1),INDEX(Attenuation!$J:$J,(INDEX(Cables!$AO:$AO,MATCH(G294,Cables!$A:$A,0))-1+MIN(MAX(IFERROR(MATCH(LN(E294),INDEX(Attenuation!$J:$J,INDEX(Cables!$AO:$AO,MATCH(G294,Cables!$A:$A,0))):INDEX(Attenuation!$J:$J,INDEX(Cables!$AO:$AO,MATCH(G294,Cables!$A:$A,0))+INDEX(Cables!$AP:$AP,MATCH(G294,Cables!$A:$A,0))-1),1),1),1),INDEX(Cables!$AP:$AP,MATCH(G294,Cables!$A:$A,0))-1))):INDEX(Attenuation!$J:$J,(INDEX(Cables!$AO:$AO,MATCH(G294,Cables!$A:$A,0))-1+MIN(MAX(IFERROR(MATCH(LN(E294),INDEX(Attenuation!$J:$J,INDEX(Cables!$AO:$AO,MATCH(G294,Cables!$A:$A,0))):INDEX(Attenuation!$J:$J,INDEX(Cables!$AO:$AO,MATCH(G294,Cables!$A:$A,0))+INDEX(Cables!$AP:$AP,MATCH(G294,Cables!$A:$A,0))-1),1),1),1),INDEX(Cables!$AP:$AP,MATCH(G294,Cables!$A:$A,0))-1))+1)))*0.3048)</f>
        <v>9.6682220300536823</v>
      </c>
      <c r="J294" s="44">
        <f t="shared" si="4"/>
        <v>-2.1132517243676041E-3</v>
      </c>
      <c r="K294" s="40" t="str">
        <f>IF(G294="","Doğrulanmadı",IF(ABS(J294)&lt;=0.1,"Uyumlu (±%10)",IF(ABS(J294)&lt;=0.25,"Fark %10-25","Fark &gt;%25"))&amp;IF(OR(D294&lt;INDEX(Cables!$AQ:$AQ,MATCH(G294,Cables!$A:$A,0)),E294&gt;INDEX(Cables!$AR:$AR,MATCH(G294,Cables!$A:$A,0)))," · ekstrapolasyon",""))</f>
        <v>Uyumlu (±%10)</v>
      </c>
    </row>
    <row r="295" spans="1:11" x14ac:dyDescent="0.25">
      <c r="A295" s="37" t="s">
        <v>3058</v>
      </c>
      <c r="B295" s="40" t="str">
        <f>INDEX(Legacy_Index!$D:$D,MATCH(A295,Legacy_Index!$A:$A,0))</f>
        <v>ULTRAFLEX 13™ Messi and Paoloni</v>
      </c>
      <c r="C295" s="37" t="s">
        <v>3117</v>
      </c>
      <c r="D295" s="37">
        <v>1</v>
      </c>
      <c r="E295" s="37">
        <v>10</v>
      </c>
      <c r="F295" s="37">
        <v>0.23</v>
      </c>
      <c r="G295" s="40" t="str">
        <f>IF(INDEX(Legacy_Index!$G:$G,MATCH(A295,Legacy_Index!$A:$A,0))="","",INDEX(Legacy_Index!$G:$G,MATCH(A295,Legacy_Index!$A:$A,0)))</f>
        <v>MP-ULTRAFLEX13</v>
      </c>
      <c r="H295" s="43">
        <f>IF(G295="","",EXP(FORECAST(LN(D295),INDEX(Attenuation!$K:$K,(INDEX(Cables!$AO:$AO,MATCH(G295,Cables!$A:$A,0))-1+MIN(MAX(IFERROR(MATCH(LN(D295),INDEX(Attenuation!$J:$J,INDEX(Cables!$AO:$AO,MATCH(G295,Cables!$A:$A,0))):INDEX(Attenuation!$J:$J,INDEX(Cables!$AO:$AO,MATCH(G295,Cables!$A:$A,0))+INDEX(Cables!$AP:$AP,MATCH(G295,Cables!$A:$A,0))-1),1),1),1),INDEX(Cables!$AP:$AP,MATCH(G295,Cables!$A:$A,0))-1))):INDEX(Attenuation!$K:$K,(INDEX(Cables!$AO:$AO,MATCH(G295,Cables!$A:$A,0))-1+MIN(MAX(IFERROR(MATCH(LN(D295),INDEX(Attenuation!$J:$J,INDEX(Cables!$AO:$AO,MATCH(G295,Cables!$A:$A,0))):INDEX(Attenuation!$J:$J,INDEX(Cables!$AO:$AO,MATCH(G295,Cables!$A:$A,0))+INDEX(Cables!$AP:$AP,MATCH(G295,Cables!$A:$A,0))-1),1),1),1),INDEX(Cables!$AP:$AP,MATCH(G295,Cables!$A:$A,0))-1))+1),INDEX(Attenuation!$J:$J,(INDEX(Cables!$AO:$AO,MATCH(G295,Cables!$A:$A,0))-1+MIN(MAX(IFERROR(MATCH(LN(D295),INDEX(Attenuation!$J:$J,INDEX(Cables!$AO:$AO,MATCH(G295,Cables!$A:$A,0))):INDEX(Attenuation!$J:$J,INDEX(Cables!$AO:$AO,MATCH(G295,Cables!$A:$A,0))+INDEX(Cables!$AP:$AP,MATCH(G295,Cables!$A:$A,0))-1),1),1),1),INDEX(Cables!$AP:$AP,MATCH(G295,Cables!$A:$A,0))-1))):INDEX(Attenuation!$J:$J,(INDEX(Cables!$AO:$AO,MATCH(G295,Cables!$A:$A,0))-1+MIN(MAX(IFERROR(MATCH(LN(D295),INDEX(Attenuation!$J:$J,INDEX(Cables!$AO:$AO,MATCH(G295,Cables!$A:$A,0))):INDEX(Attenuation!$J:$J,INDEX(Cables!$AO:$AO,MATCH(G295,Cables!$A:$A,0))+INDEX(Cables!$AP:$AP,MATCH(G295,Cables!$A:$A,0))-1),1),1),1),INDEX(Cables!$AP:$AP,MATCH(G295,Cables!$A:$A,0))-1))+1)))*0.3048)</f>
        <v>0.12308751653936015</v>
      </c>
      <c r="I295" s="43">
        <f>IF(G295="","",EXP(FORECAST(LN(E295),INDEX(Attenuation!$K:$K,(INDEX(Cables!$AO:$AO,MATCH(G295,Cables!$A:$A,0))-1+MIN(MAX(IFERROR(MATCH(LN(E295),INDEX(Attenuation!$J:$J,INDEX(Cables!$AO:$AO,MATCH(G295,Cables!$A:$A,0))):INDEX(Attenuation!$J:$J,INDEX(Cables!$AO:$AO,MATCH(G295,Cables!$A:$A,0))+INDEX(Cables!$AP:$AP,MATCH(G295,Cables!$A:$A,0))-1),1),1),1),INDEX(Cables!$AP:$AP,MATCH(G295,Cables!$A:$A,0))-1))):INDEX(Attenuation!$K:$K,(INDEX(Cables!$AO:$AO,MATCH(G295,Cables!$A:$A,0))-1+MIN(MAX(IFERROR(MATCH(LN(E295),INDEX(Attenuation!$J:$J,INDEX(Cables!$AO:$AO,MATCH(G295,Cables!$A:$A,0))):INDEX(Attenuation!$J:$J,INDEX(Cables!$AO:$AO,MATCH(G295,Cables!$A:$A,0))+INDEX(Cables!$AP:$AP,MATCH(G295,Cables!$A:$A,0))-1),1),1),1),INDEX(Cables!$AP:$AP,MATCH(G295,Cables!$A:$A,0))-1))+1),INDEX(Attenuation!$J:$J,(INDEX(Cables!$AO:$AO,MATCH(G295,Cables!$A:$A,0))-1+MIN(MAX(IFERROR(MATCH(LN(E295),INDEX(Attenuation!$J:$J,INDEX(Cables!$AO:$AO,MATCH(G295,Cables!$A:$A,0))):INDEX(Attenuation!$J:$J,INDEX(Cables!$AO:$AO,MATCH(G295,Cables!$A:$A,0))+INDEX(Cables!$AP:$AP,MATCH(G295,Cables!$A:$A,0))-1),1),1),1),INDEX(Cables!$AP:$AP,MATCH(G295,Cables!$A:$A,0))-1))):INDEX(Attenuation!$J:$J,(INDEX(Cables!$AO:$AO,MATCH(G295,Cables!$A:$A,0))-1+MIN(MAX(IFERROR(MATCH(LN(E295),INDEX(Attenuation!$J:$J,INDEX(Cables!$AO:$AO,MATCH(G295,Cables!$A:$A,0))):INDEX(Attenuation!$J:$J,INDEX(Cables!$AO:$AO,MATCH(G295,Cables!$A:$A,0))+INDEX(Cables!$AP:$AP,MATCH(G295,Cables!$A:$A,0))-1),1),1),1),INDEX(Cables!$AP:$AP,MATCH(G295,Cables!$A:$A,0))-1))+1)))*0.3048)</f>
        <v>0.30480000000000002</v>
      </c>
      <c r="J295" s="44">
        <f t="shared" si="4"/>
        <v>0</v>
      </c>
      <c r="K295" s="40" t="str">
        <f>IF(G295="","Doğrulanmadı",IF(ABS(J295)&lt;=0.1,"Uyumlu (±%10)",IF(ABS(J295)&lt;=0.25,"Fark %10-25","Fark &gt;%25"))&amp;IF(OR(D295&lt;INDEX(Cables!$AQ:$AQ,MATCH(G295,Cables!$A:$A,0)),E295&gt;INDEX(Cables!$AR:$AR,MATCH(G295,Cables!$A:$A,0)))," · ekstrapolasyon",""))</f>
        <v>Uyumlu (±%10) · ekstrapolasyon</v>
      </c>
    </row>
    <row r="296" spans="1:11" x14ac:dyDescent="0.25">
      <c r="A296" s="37" t="s">
        <v>3058</v>
      </c>
      <c r="B296" s="40" t="str">
        <f>INDEX(Legacy_Index!$D:$D,MATCH(A296,Legacy_Index!$A:$A,0))</f>
        <v>ULTRAFLEX 13™ Messi and Paoloni</v>
      </c>
      <c r="C296" s="37" t="s">
        <v>3118</v>
      </c>
      <c r="D296" s="37">
        <v>30</v>
      </c>
      <c r="E296" s="37">
        <v>50</v>
      </c>
      <c r="F296" s="37">
        <v>0.48</v>
      </c>
      <c r="G296" s="40" t="str">
        <f>IF(INDEX(Legacy_Index!$G:$G,MATCH(A296,Legacy_Index!$A:$A,0))="","",INDEX(Legacy_Index!$G:$G,MATCH(A296,Legacy_Index!$A:$A,0)))</f>
        <v>MP-ULTRAFLEX13</v>
      </c>
      <c r="H296" s="43">
        <f>IF(G296="","",EXP(FORECAST(LN(D296),INDEX(Attenuation!$K:$K,(INDEX(Cables!$AO:$AO,MATCH(G296,Cables!$A:$A,0))-1+MIN(MAX(IFERROR(MATCH(LN(D296),INDEX(Attenuation!$J:$J,INDEX(Cables!$AO:$AO,MATCH(G296,Cables!$A:$A,0))):INDEX(Attenuation!$J:$J,INDEX(Cables!$AO:$AO,MATCH(G296,Cables!$A:$A,0))+INDEX(Cables!$AP:$AP,MATCH(G296,Cables!$A:$A,0))-1),1),1),1),INDEX(Cables!$AP:$AP,MATCH(G296,Cables!$A:$A,0))-1))):INDEX(Attenuation!$K:$K,(INDEX(Cables!$AO:$AO,MATCH(G296,Cables!$A:$A,0))-1+MIN(MAX(IFERROR(MATCH(LN(D296),INDEX(Attenuation!$J:$J,INDEX(Cables!$AO:$AO,MATCH(G296,Cables!$A:$A,0))):INDEX(Attenuation!$J:$J,INDEX(Cables!$AO:$AO,MATCH(G296,Cables!$A:$A,0))+INDEX(Cables!$AP:$AP,MATCH(G296,Cables!$A:$A,0))-1),1),1),1),INDEX(Cables!$AP:$AP,MATCH(G296,Cables!$A:$A,0))-1))+1),INDEX(Attenuation!$J:$J,(INDEX(Cables!$AO:$AO,MATCH(G296,Cables!$A:$A,0))-1+MIN(MAX(IFERROR(MATCH(LN(D296),INDEX(Attenuation!$J:$J,INDEX(Cables!$AO:$AO,MATCH(G296,Cables!$A:$A,0))):INDEX(Attenuation!$J:$J,INDEX(Cables!$AO:$AO,MATCH(G296,Cables!$A:$A,0))+INDEX(Cables!$AP:$AP,MATCH(G296,Cables!$A:$A,0))-1),1),1),1),INDEX(Cables!$AP:$AP,MATCH(G296,Cables!$A:$A,0))-1))):INDEX(Attenuation!$J:$J,(INDEX(Cables!$AO:$AO,MATCH(G296,Cables!$A:$A,0))-1+MIN(MAX(IFERROR(MATCH(LN(D296),INDEX(Attenuation!$J:$J,INDEX(Cables!$AO:$AO,MATCH(G296,Cables!$A:$A,0))):INDEX(Attenuation!$J:$J,INDEX(Cables!$AO:$AO,MATCH(G296,Cables!$A:$A,0))+INDEX(Cables!$AP:$AP,MATCH(G296,Cables!$A:$A,0))-1),1),1),1),INDEX(Cables!$AP:$AP,MATCH(G296,Cables!$A:$A,0))-1))+1)))*0.3048)</f>
        <v>0.47312156080353346</v>
      </c>
      <c r="I296" s="43">
        <f>IF(G296="","",EXP(FORECAST(LN(E296),INDEX(Attenuation!$K:$K,(INDEX(Cables!$AO:$AO,MATCH(G296,Cables!$A:$A,0))-1+MIN(MAX(IFERROR(MATCH(LN(E296),INDEX(Attenuation!$J:$J,INDEX(Cables!$AO:$AO,MATCH(G296,Cables!$A:$A,0))):INDEX(Attenuation!$J:$J,INDEX(Cables!$AO:$AO,MATCH(G296,Cables!$A:$A,0))+INDEX(Cables!$AP:$AP,MATCH(G296,Cables!$A:$A,0))-1),1),1),1),INDEX(Cables!$AP:$AP,MATCH(G296,Cables!$A:$A,0))-1))):INDEX(Attenuation!$K:$K,(INDEX(Cables!$AO:$AO,MATCH(G296,Cables!$A:$A,0))-1+MIN(MAX(IFERROR(MATCH(LN(E296),INDEX(Attenuation!$J:$J,INDEX(Cables!$AO:$AO,MATCH(G296,Cables!$A:$A,0))):INDEX(Attenuation!$J:$J,INDEX(Cables!$AO:$AO,MATCH(G296,Cables!$A:$A,0))+INDEX(Cables!$AP:$AP,MATCH(G296,Cables!$A:$A,0))-1),1),1),1),INDEX(Cables!$AP:$AP,MATCH(G296,Cables!$A:$A,0))-1))+1),INDEX(Attenuation!$J:$J,(INDEX(Cables!$AO:$AO,MATCH(G296,Cables!$A:$A,0))-1+MIN(MAX(IFERROR(MATCH(LN(E296),INDEX(Attenuation!$J:$J,INDEX(Cables!$AO:$AO,MATCH(G296,Cables!$A:$A,0))):INDEX(Attenuation!$J:$J,INDEX(Cables!$AO:$AO,MATCH(G296,Cables!$A:$A,0))+INDEX(Cables!$AP:$AP,MATCH(G296,Cables!$A:$A,0))-1),1),1),1),INDEX(Cables!$AP:$AP,MATCH(G296,Cables!$A:$A,0))-1))):INDEX(Attenuation!$J:$J,(INDEX(Cables!$AO:$AO,MATCH(G296,Cables!$A:$A,0))-1+MIN(MAX(IFERROR(MATCH(LN(E296),INDEX(Attenuation!$J:$J,INDEX(Cables!$AO:$AO,MATCH(G296,Cables!$A:$A,0))):INDEX(Attenuation!$J:$J,INDEX(Cables!$AO:$AO,MATCH(G296,Cables!$A:$A,0))+INDEX(Cables!$AP:$AP,MATCH(G296,Cables!$A:$A,0))-1),1),1),1),INDEX(Cables!$AP:$AP,MATCH(G296,Cables!$A:$A,0))-1))+1)))*0.3048)</f>
        <v>0.60959999999999992</v>
      </c>
      <c r="J296" s="44">
        <f t="shared" si="4"/>
        <v>0</v>
      </c>
      <c r="K296" s="40" t="str">
        <f>IF(G296="","Doğrulanmadı",IF(ABS(J296)&lt;=0.1,"Uyumlu (±%10)",IF(ABS(J296)&lt;=0.25,"Fark %10-25","Fark &gt;%25"))&amp;IF(OR(D296&lt;INDEX(Cables!$AQ:$AQ,MATCH(G296,Cables!$A:$A,0)),E296&gt;INDEX(Cables!$AR:$AR,MATCH(G296,Cables!$A:$A,0)))," · ekstrapolasyon",""))</f>
        <v>Uyumlu (±%10)</v>
      </c>
    </row>
    <row r="297" spans="1:11" x14ac:dyDescent="0.25">
      <c r="A297" s="37" t="s">
        <v>3058</v>
      </c>
      <c r="B297" s="40" t="str">
        <f>INDEX(Legacy_Index!$D:$D,MATCH(A297,Legacy_Index!$A:$A,0))</f>
        <v>ULTRAFLEX 13™ Messi and Paoloni</v>
      </c>
      <c r="C297" s="37" t="s">
        <v>3113</v>
      </c>
      <c r="D297" s="37">
        <v>70</v>
      </c>
      <c r="E297" s="37">
        <v>100</v>
      </c>
      <c r="F297" s="37">
        <v>0.78</v>
      </c>
      <c r="G297" s="40" t="str">
        <f>IF(INDEX(Legacy_Index!$G:$G,MATCH(A297,Legacy_Index!$A:$A,0))="","",INDEX(Legacy_Index!$G:$G,MATCH(A297,Legacy_Index!$A:$A,0)))</f>
        <v>MP-ULTRAFLEX13</v>
      </c>
      <c r="H297" s="43">
        <f>IF(G297="","",EXP(FORECAST(LN(D297),INDEX(Attenuation!$K:$K,(INDEX(Cables!$AO:$AO,MATCH(G297,Cables!$A:$A,0))-1+MIN(MAX(IFERROR(MATCH(LN(D297),INDEX(Attenuation!$J:$J,INDEX(Cables!$AO:$AO,MATCH(G297,Cables!$A:$A,0))):INDEX(Attenuation!$J:$J,INDEX(Cables!$AO:$AO,MATCH(G297,Cables!$A:$A,0))+INDEX(Cables!$AP:$AP,MATCH(G297,Cables!$A:$A,0))-1),1),1),1),INDEX(Cables!$AP:$AP,MATCH(G297,Cables!$A:$A,0))-1))):INDEX(Attenuation!$K:$K,(INDEX(Cables!$AO:$AO,MATCH(G297,Cables!$A:$A,0))-1+MIN(MAX(IFERROR(MATCH(LN(D297),INDEX(Attenuation!$J:$J,INDEX(Cables!$AO:$AO,MATCH(G297,Cables!$A:$A,0))):INDEX(Attenuation!$J:$J,INDEX(Cables!$AO:$AO,MATCH(G297,Cables!$A:$A,0))+INDEX(Cables!$AP:$AP,MATCH(G297,Cables!$A:$A,0))-1),1),1),1),INDEX(Cables!$AP:$AP,MATCH(G297,Cables!$A:$A,0))-1))+1),INDEX(Attenuation!$J:$J,(INDEX(Cables!$AO:$AO,MATCH(G297,Cables!$A:$A,0))-1+MIN(MAX(IFERROR(MATCH(LN(D297),INDEX(Attenuation!$J:$J,INDEX(Cables!$AO:$AO,MATCH(G297,Cables!$A:$A,0))):INDEX(Attenuation!$J:$J,INDEX(Cables!$AO:$AO,MATCH(G297,Cables!$A:$A,0))+INDEX(Cables!$AP:$AP,MATCH(G297,Cables!$A:$A,0))-1),1),1),1),INDEX(Cables!$AP:$AP,MATCH(G297,Cables!$A:$A,0))-1))):INDEX(Attenuation!$J:$J,(INDEX(Cables!$AO:$AO,MATCH(G297,Cables!$A:$A,0))-1+MIN(MAX(IFERROR(MATCH(LN(D297),INDEX(Attenuation!$J:$J,INDEX(Cables!$AO:$AO,MATCH(G297,Cables!$A:$A,0))):INDEX(Attenuation!$J:$J,INDEX(Cables!$AO:$AO,MATCH(G297,Cables!$A:$A,0))+INDEX(Cables!$AP:$AP,MATCH(G297,Cables!$A:$A,0))-1),1),1),1),INDEX(Cables!$AP:$AP,MATCH(G297,Cables!$A:$A,0))-1))+1)))*0.3048)</f>
        <v>0.71776028946872095</v>
      </c>
      <c r="I297" s="43">
        <f>IF(G297="","",EXP(FORECAST(LN(E297),INDEX(Attenuation!$K:$K,(INDEX(Cables!$AO:$AO,MATCH(G297,Cables!$A:$A,0))-1+MIN(MAX(IFERROR(MATCH(LN(E297),INDEX(Attenuation!$J:$J,INDEX(Cables!$AO:$AO,MATCH(G297,Cables!$A:$A,0))):INDEX(Attenuation!$J:$J,INDEX(Cables!$AO:$AO,MATCH(G297,Cables!$A:$A,0))+INDEX(Cables!$AP:$AP,MATCH(G297,Cables!$A:$A,0))-1),1),1),1),INDEX(Cables!$AP:$AP,MATCH(G297,Cables!$A:$A,0))-1))):INDEX(Attenuation!$K:$K,(INDEX(Cables!$AO:$AO,MATCH(G297,Cables!$A:$A,0))-1+MIN(MAX(IFERROR(MATCH(LN(E297),INDEX(Attenuation!$J:$J,INDEX(Cables!$AO:$AO,MATCH(G297,Cables!$A:$A,0))):INDEX(Attenuation!$J:$J,INDEX(Cables!$AO:$AO,MATCH(G297,Cables!$A:$A,0))+INDEX(Cables!$AP:$AP,MATCH(G297,Cables!$A:$A,0))-1),1),1),1),INDEX(Cables!$AP:$AP,MATCH(G297,Cables!$A:$A,0))-1))+1),INDEX(Attenuation!$J:$J,(INDEX(Cables!$AO:$AO,MATCH(G297,Cables!$A:$A,0))-1+MIN(MAX(IFERROR(MATCH(LN(E297),INDEX(Attenuation!$J:$J,INDEX(Cables!$AO:$AO,MATCH(G297,Cables!$A:$A,0))):INDEX(Attenuation!$J:$J,INDEX(Cables!$AO:$AO,MATCH(G297,Cables!$A:$A,0))+INDEX(Cables!$AP:$AP,MATCH(G297,Cables!$A:$A,0))-1),1),1),1),INDEX(Cables!$AP:$AP,MATCH(G297,Cables!$A:$A,0))-1))):INDEX(Attenuation!$J:$J,(INDEX(Cables!$AO:$AO,MATCH(G297,Cables!$A:$A,0))-1+MIN(MAX(IFERROR(MATCH(LN(E297),INDEX(Attenuation!$J:$J,INDEX(Cables!$AO:$AO,MATCH(G297,Cables!$A:$A,0))):INDEX(Attenuation!$J:$J,INDEX(Cables!$AO:$AO,MATCH(G297,Cables!$A:$A,0))+INDEX(Cables!$AP:$AP,MATCH(G297,Cables!$A:$A,0))-1),1),1),1),INDEX(Cables!$AP:$AP,MATCH(G297,Cables!$A:$A,0))-1))+1)))*0.3048)</f>
        <v>0.85343999999999975</v>
      </c>
      <c r="J297" s="44">
        <f t="shared" si="4"/>
        <v>0</v>
      </c>
      <c r="K297" s="40" t="str">
        <f>IF(G297="","Doğrulanmadı",IF(ABS(J297)&lt;=0.1,"Uyumlu (±%10)",IF(ABS(J297)&lt;=0.25,"Fark %10-25","Fark &gt;%25"))&amp;IF(OR(D297&lt;INDEX(Cables!$AQ:$AQ,MATCH(G297,Cables!$A:$A,0)),E297&gt;INDEX(Cables!$AR:$AR,MATCH(G297,Cables!$A:$A,0)))," · ekstrapolasyon",""))</f>
        <v>Uyumlu (±%10)</v>
      </c>
    </row>
    <row r="298" spans="1:11" x14ac:dyDescent="0.25">
      <c r="A298" s="37" t="s">
        <v>3058</v>
      </c>
      <c r="B298" s="40" t="str">
        <f>INDEX(Legacy_Index!$D:$D,MATCH(A298,Legacy_Index!$A:$A,0))</f>
        <v>ULTRAFLEX 13™ Messi and Paoloni</v>
      </c>
      <c r="C298" s="37" t="s">
        <v>3114</v>
      </c>
      <c r="D298" s="37">
        <v>148</v>
      </c>
      <c r="E298" s="37">
        <v>174</v>
      </c>
      <c r="F298" s="37">
        <v>1.0900000000000001</v>
      </c>
      <c r="G298" s="40" t="str">
        <f>IF(INDEX(Legacy_Index!$G:$G,MATCH(A298,Legacy_Index!$A:$A,0))="","",INDEX(Legacy_Index!$G:$G,MATCH(A298,Legacy_Index!$A:$A,0)))</f>
        <v>MP-ULTRAFLEX13</v>
      </c>
      <c r="H298" s="43">
        <f>IF(G298="","",EXP(FORECAST(LN(D298),INDEX(Attenuation!$K:$K,(INDEX(Cables!$AO:$AO,MATCH(G298,Cables!$A:$A,0))-1+MIN(MAX(IFERROR(MATCH(LN(D298),INDEX(Attenuation!$J:$J,INDEX(Cables!$AO:$AO,MATCH(G298,Cables!$A:$A,0))):INDEX(Attenuation!$J:$J,INDEX(Cables!$AO:$AO,MATCH(G298,Cables!$A:$A,0))+INDEX(Cables!$AP:$AP,MATCH(G298,Cables!$A:$A,0))-1),1),1),1),INDEX(Cables!$AP:$AP,MATCH(G298,Cables!$A:$A,0))-1))):INDEX(Attenuation!$K:$K,(INDEX(Cables!$AO:$AO,MATCH(G298,Cables!$A:$A,0))-1+MIN(MAX(IFERROR(MATCH(LN(D298),INDEX(Attenuation!$J:$J,INDEX(Cables!$AO:$AO,MATCH(G298,Cables!$A:$A,0))):INDEX(Attenuation!$J:$J,INDEX(Cables!$AO:$AO,MATCH(G298,Cables!$A:$A,0))+INDEX(Cables!$AP:$AP,MATCH(G298,Cables!$A:$A,0))-1),1),1),1),INDEX(Cables!$AP:$AP,MATCH(G298,Cables!$A:$A,0))-1))+1),INDEX(Attenuation!$J:$J,(INDEX(Cables!$AO:$AO,MATCH(G298,Cables!$A:$A,0))-1+MIN(MAX(IFERROR(MATCH(LN(D298),INDEX(Attenuation!$J:$J,INDEX(Cables!$AO:$AO,MATCH(G298,Cables!$A:$A,0))):INDEX(Attenuation!$J:$J,INDEX(Cables!$AO:$AO,MATCH(G298,Cables!$A:$A,0))+INDEX(Cables!$AP:$AP,MATCH(G298,Cables!$A:$A,0))-1),1),1),1),INDEX(Cables!$AP:$AP,MATCH(G298,Cables!$A:$A,0))-1))):INDEX(Attenuation!$J:$J,(INDEX(Cables!$AO:$AO,MATCH(G298,Cables!$A:$A,0))-1+MIN(MAX(IFERROR(MATCH(LN(D298),INDEX(Attenuation!$J:$J,INDEX(Cables!$AO:$AO,MATCH(G298,Cables!$A:$A,0))):INDEX(Attenuation!$J:$J,INDEX(Cables!$AO:$AO,MATCH(G298,Cables!$A:$A,0))+INDEX(Cables!$AP:$AP,MATCH(G298,Cables!$A:$A,0))-1),1),1),1),INDEX(Cables!$AP:$AP,MATCH(G298,Cables!$A:$A,0))-1))+1)))*0.3048)</f>
        <v>1.1136622835006824</v>
      </c>
      <c r="I298" s="43">
        <f>IF(G298="","",EXP(FORECAST(LN(E298),INDEX(Attenuation!$K:$K,(INDEX(Cables!$AO:$AO,MATCH(G298,Cables!$A:$A,0))-1+MIN(MAX(IFERROR(MATCH(LN(E298),INDEX(Attenuation!$J:$J,INDEX(Cables!$AO:$AO,MATCH(G298,Cables!$A:$A,0))):INDEX(Attenuation!$J:$J,INDEX(Cables!$AO:$AO,MATCH(G298,Cables!$A:$A,0))+INDEX(Cables!$AP:$AP,MATCH(G298,Cables!$A:$A,0))-1),1),1),1),INDEX(Cables!$AP:$AP,MATCH(G298,Cables!$A:$A,0))-1))):INDEX(Attenuation!$K:$K,(INDEX(Cables!$AO:$AO,MATCH(G298,Cables!$A:$A,0))-1+MIN(MAX(IFERROR(MATCH(LN(E298),INDEX(Attenuation!$J:$J,INDEX(Cables!$AO:$AO,MATCH(G298,Cables!$A:$A,0))):INDEX(Attenuation!$J:$J,INDEX(Cables!$AO:$AO,MATCH(G298,Cables!$A:$A,0))+INDEX(Cables!$AP:$AP,MATCH(G298,Cables!$A:$A,0))-1),1),1),1),INDEX(Cables!$AP:$AP,MATCH(G298,Cables!$A:$A,0))-1))+1),INDEX(Attenuation!$J:$J,(INDEX(Cables!$AO:$AO,MATCH(G298,Cables!$A:$A,0))-1+MIN(MAX(IFERROR(MATCH(LN(E298),INDEX(Attenuation!$J:$J,INDEX(Cables!$AO:$AO,MATCH(G298,Cables!$A:$A,0))):INDEX(Attenuation!$J:$J,INDEX(Cables!$AO:$AO,MATCH(G298,Cables!$A:$A,0))+INDEX(Cables!$AP:$AP,MATCH(G298,Cables!$A:$A,0))-1),1),1),1),INDEX(Cables!$AP:$AP,MATCH(G298,Cables!$A:$A,0))-1))):INDEX(Attenuation!$J:$J,(INDEX(Cables!$AO:$AO,MATCH(G298,Cables!$A:$A,0))-1+MIN(MAX(IFERROR(MATCH(LN(E298),INDEX(Attenuation!$J:$J,INDEX(Cables!$AO:$AO,MATCH(G298,Cables!$A:$A,0))):INDEX(Attenuation!$J:$J,INDEX(Cables!$AO:$AO,MATCH(G298,Cables!$A:$A,0))+INDEX(Cables!$AP:$AP,MATCH(G298,Cables!$A:$A,0))-1),1),1),1),INDEX(Cables!$AP:$AP,MATCH(G298,Cables!$A:$A,0))-1))+1)))*0.3048)</f>
        <v>1.2155437943201943</v>
      </c>
      <c r="J298" s="44">
        <f t="shared" si="4"/>
        <v>-2.1247270246328553E-2</v>
      </c>
      <c r="K298" s="40" t="str">
        <f>IF(G298="","Doğrulanmadı",IF(ABS(J298)&lt;=0.1,"Uyumlu (±%10)",IF(ABS(J298)&lt;=0.25,"Fark %10-25","Fark &gt;%25"))&amp;IF(OR(D298&lt;INDEX(Cables!$AQ:$AQ,MATCH(G298,Cables!$A:$A,0)),E298&gt;INDEX(Cables!$AR:$AR,MATCH(G298,Cables!$A:$A,0)))," · ekstrapolasyon",""))</f>
        <v>Uyumlu (±%10)</v>
      </c>
    </row>
    <row r="299" spans="1:11" x14ac:dyDescent="0.25">
      <c r="A299" s="37" t="s">
        <v>3058</v>
      </c>
      <c r="B299" s="40" t="str">
        <f>INDEX(Legacy_Index!$D:$D,MATCH(A299,Legacy_Index!$A:$A,0))</f>
        <v>ULTRAFLEX 13™ Messi and Paoloni</v>
      </c>
      <c r="C299" s="37" t="s">
        <v>3119</v>
      </c>
      <c r="D299" s="37">
        <v>220</v>
      </c>
      <c r="E299" s="37">
        <v>220</v>
      </c>
      <c r="F299" s="37">
        <v>1.35</v>
      </c>
      <c r="G299" s="40" t="str">
        <f>IF(INDEX(Legacy_Index!$G:$G,MATCH(A299,Legacy_Index!$A:$A,0))="","",INDEX(Legacy_Index!$G:$G,MATCH(A299,Legacy_Index!$A:$A,0)))</f>
        <v>MP-ULTRAFLEX13</v>
      </c>
      <c r="H299" s="43">
        <f>IF(G299="","",EXP(FORECAST(LN(D299),INDEX(Attenuation!$K:$K,(INDEX(Cables!$AO:$AO,MATCH(G299,Cables!$A:$A,0))-1+MIN(MAX(IFERROR(MATCH(LN(D299),INDEX(Attenuation!$J:$J,INDEX(Cables!$AO:$AO,MATCH(G299,Cables!$A:$A,0))):INDEX(Attenuation!$J:$J,INDEX(Cables!$AO:$AO,MATCH(G299,Cables!$A:$A,0))+INDEX(Cables!$AP:$AP,MATCH(G299,Cables!$A:$A,0))-1),1),1),1),INDEX(Cables!$AP:$AP,MATCH(G299,Cables!$A:$A,0))-1))):INDEX(Attenuation!$K:$K,(INDEX(Cables!$AO:$AO,MATCH(G299,Cables!$A:$A,0))-1+MIN(MAX(IFERROR(MATCH(LN(D299),INDEX(Attenuation!$J:$J,INDEX(Cables!$AO:$AO,MATCH(G299,Cables!$A:$A,0))):INDEX(Attenuation!$J:$J,INDEX(Cables!$AO:$AO,MATCH(G299,Cables!$A:$A,0))+INDEX(Cables!$AP:$AP,MATCH(G299,Cables!$A:$A,0))-1),1),1),1),INDEX(Cables!$AP:$AP,MATCH(G299,Cables!$A:$A,0))-1))+1),INDEX(Attenuation!$J:$J,(INDEX(Cables!$AO:$AO,MATCH(G299,Cables!$A:$A,0))-1+MIN(MAX(IFERROR(MATCH(LN(D299),INDEX(Attenuation!$J:$J,INDEX(Cables!$AO:$AO,MATCH(G299,Cables!$A:$A,0))):INDEX(Attenuation!$J:$J,INDEX(Cables!$AO:$AO,MATCH(G299,Cables!$A:$A,0))+INDEX(Cables!$AP:$AP,MATCH(G299,Cables!$A:$A,0))-1),1),1),1),INDEX(Cables!$AP:$AP,MATCH(G299,Cables!$A:$A,0))-1))):INDEX(Attenuation!$J:$J,(INDEX(Cables!$AO:$AO,MATCH(G299,Cables!$A:$A,0))-1+MIN(MAX(IFERROR(MATCH(LN(D299),INDEX(Attenuation!$J:$J,INDEX(Cables!$AO:$AO,MATCH(G299,Cables!$A:$A,0))):INDEX(Attenuation!$J:$J,INDEX(Cables!$AO:$AO,MATCH(G299,Cables!$A:$A,0))+INDEX(Cables!$AP:$AP,MATCH(G299,Cables!$A:$A,0))-1),1),1),1),INDEX(Cables!$AP:$AP,MATCH(G299,Cables!$A:$A,0))-1))+1)))*0.3048)</f>
        <v>1.3771718303229057</v>
      </c>
      <c r="I299" s="43">
        <f>IF(G299="","",EXP(FORECAST(LN(E299),INDEX(Attenuation!$K:$K,(INDEX(Cables!$AO:$AO,MATCH(G299,Cables!$A:$A,0))-1+MIN(MAX(IFERROR(MATCH(LN(E299),INDEX(Attenuation!$J:$J,INDEX(Cables!$AO:$AO,MATCH(G299,Cables!$A:$A,0))):INDEX(Attenuation!$J:$J,INDEX(Cables!$AO:$AO,MATCH(G299,Cables!$A:$A,0))+INDEX(Cables!$AP:$AP,MATCH(G299,Cables!$A:$A,0))-1),1),1),1),INDEX(Cables!$AP:$AP,MATCH(G299,Cables!$A:$A,0))-1))):INDEX(Attenuation!$K:$K,(INDEX(Cables!$AO:$AO,MATCH(G299,Cables!$A:$A,0))-1+MIN(MAX(IFERROR(MATCH(LN(E299),INDEX(Attenuation!$J:$J,INDEX(Cables!$AO:$AO,MATCH(G299,Cables!$A:$A,0))):INDEX(Attenuation!$J:$J,INDEX(Cables!$AO:$AO,MATCH(G299,Cables!$A:$A,0))+INDEX(Cables!$AP:$AP,MATCH(G299,Cables!$A:$A,0))-1),1),1),1),INDEX(Cables!$AP:$AP,MATCH(G299,Cables!$A:$A,0))-1))+1),INDEX(Attenuation!$J:$J,(INDEX(Cables!$AO:$AO,MATCH(G299,Cables!$A:$A,0))-1+MIN(MAX(IFERROR(MATCH(LN(E299),INDEX(Attenuation!$J:$J,INDEX(Cables!$AO:$AO,MATCH(G299,Cables!$A:$A,0))):INDEX(Attenuation!$J:$J,INDEX(Cables!$AO:$AO,MATCH(G299,Cables!$A:$A,0))+INDEX(Cables!$AP:$AP,MATCH(G299,Cables!$A:$A,0))-1),1),1),1),INDEX(Cables!$AP:$AP,MATCH(G299,Cables!$A:$A,0))-1))):INDEX(Attenuation!$J:$J,(INDEX(Cables!$AO:$AO,MATCH(G299,Cables!$A:$A,0))-1+MIN(MAX(IFERROR(MATCH(LN(E299),INDEX(Attenuation!$J:$J,INDEX(Cables!$AO:$AO,MATCH(G299,Cables!$A:$A,0))):INDEX(Attenuation!$J:$J,INDEX(Cables!$AO:$AO,MATCH(G299,Cables!$A:$A,0))+INDEX(Cables!$AP:$AP,MATCH(G299,Cables!$A:$A,0))-1),1),1),1),INDEX(Cables!$AP:$AP,MATCH(G299,Cables!$A:$A,0))-1))+1)))*0.3048)</f>
        <v>1.3771718303229057</v>
      </c>
      <c r="J299" s="44">
        <f t="shared" si="4"/>
        <v>-1.9730167089269224E-2</v>
      </c>
      <c r="K299" s="40" t="str">
        <f>IF(G299="","Doğrulanmadı",IF(ABS(J299)&lt;=0.1,"Uyumlu (±%10)",IF(ABS(J299)&lt;=0.25,"Fark %10-25","Fark &gt;%25"))&amp;IF(OR(D299&lt;INDEX(Cables!$AQ:$AQ,MATCH(G299,Cables!$A:$A,0)),E299&gt;INDEX(Cables!$AR:$AR,MATCH(G299,Cables!$A:$A,0)))," · ekstrapolasyon",""))</f>
        <v>Uyumlu (±%10)</v>
      </c>
    </row>
    <row r="300" spans="1:11" x14ac:dyDescent="0.25">
      <c r="A300" s="37" t="s">
        <v>3058</v>
      </c>
      <c r="B300" s="40" t="str">
        <f>INDEX(Legacy_Index!$D:$D,MATCH(A300,Legacy_Index!$A:$A,0))</f>
        <v>ULTRAFLEX 13™ Messi and Paoloni</v>
      </c>
      <c r="C300" s="37" t="s">
        <v>3115</v>
      </c>
      <c r="D300" s="37">
        <v>400</v>
      </c>
      <c r="E300" s="37">
        <v>520</v>
      </c>
      <c r="F300" s="37">
        <v>2.1</v>
      </c>
      <c r="G300" s="40" t="str">
        <f>IF(INDEX(Legacy_Index!$G:$G,MATCH(A300,Legacy_Index!$A:$A,0))="","",INDEX(Legacy_Index!$G:$G,MATCH(A300,Legacy_Index!$A:$A,0)))</f>
        <v>MP-ULTRAFLEX13</v>
      </c>
      <c r="H300" s="43">
        <f>IF(G300="","",EXP(FORECAST(LN(D300),INDEX(Attenuation!$K:$K,(INDEX(Cables!$AO:$AO,MATCH(G300,Cables!$A:$A,0))-1+MIN(MAX(IFERROR(MATCH(LN(D300),INDEX(Attenuation!$J:$J,INDEX(Cables!$AO:$AO,MATCH(G300,Cables!$A:$A,0))):INDEX(Attenuation!$J:$J,INDEX(Cables!$AO:$AO,MATCH(G300,Cables!$A:$A,0))+INDEX(Cables!$AP:$AP,MATCH(G300,Cables!$A:$A,0))-1),1),1),1),INDEX(Cables!$AP:$AP,MATCH(G300,Cables!$A:$A,0))-1))):INDEX(Attenuation!$K:$K,(INDEX(Cables!$AO:$AO,MATCH(G300,Cables!$A:$A,0))-1+MIN(MAX(IFERROR(MATCH(LN(D300),INDEX(Attenuation!$J:$J,INDEX(Cables!$AO:$AO,MATCH(G300,Cables!$A:$A,0))):INDEX(Attenuation!$J:$J,INDEX(Cables!$AO:$AO,MATCH(G300,Cables!$A:$A,0))+INDEX(Cables!$AP:$AP,MATCH(G300,Cables!$A:$A,0))-1),1),1),1),INDEX(Cables!$AP:$AP,MATCH(G300,Cables!$A:$A,0))-1))+1),INDEX(Attenuation!$J:$J,(INDEX(Cables!$AO:$AO,MATCH(G300,Cables!$A:$A,0))-1+MIN(MAX(IFERROR(MATCH(LN(D300),INDEX(Attenuation!$J:$J,INDEX(Cables!$AO:$AO,MATCH(G300,Cables!$A:$A,0))):INDEX(Attenuation!$J:$J,INDEX(Cables!$AO:$AO,MATCH(G300,Cables!$A:$A,0))+INDEX(Cables!$AP:$AP,MATCH(G300,Cables!$A:$A,0))-1),1),1),1),INDEX(Cables!$AP:$AP,MATCH(G300,Cables!$A:$A,0))-1))):INDEX(Attenuation!$J:$J,(INDEX(Cables!$AO:$AO,MATCH(G300,Cables!$A:$A,0))-1+MIN(MAX(IFERROR(MATCH(LN(D300),INDEX(Attenuation!$J:$J,INDEX(Cables!$AO:$AO,MATCH(G300,Cables!$A:$A,0))):INDEX(Attenuation!$J:$J,INDEX(Cables!$AO:$AO,MATCH(G300,Cables!$A:$A,0))+INDEX(Cables!$AP:$AP,MATCH(G300,Cables!$A:$A,0))-1),1),1),1),INDEX(Cables!$AP:$AP,MATCH(G300,Cables!$A:$A,0))-1))+1)))*0.3048)</f>
        <v>1.8787860175857349</v>
      </c>
      <c r="I300" s="43">
        <f>IF(G300="","",EXP(FORECAST(LN(E300),INDEX(Attenuation!$K:$K,(INDEX(Cables!$AO:$AO,MATCH(G300,Cables!$A:$A,0))-1+MIN(MAX(IFERROR(MATCH(LN(E300),INDEX(Attenuation!$J:$J,INDEX(Cables!$AO:$AO,MATCH(G300,Cables!$A:$A,0))):INDEX(Attenuation!$J:$J,INDEX(Cables!$AO:$AO,MATCH(G300,Cables!$A:$A,0))+INDEX(Cables!$AP:$AP,MATCH(G300,Cables!$A:$A,0))-1),1),1),1),INDEX(Cables!$AP:$AP,MATCH(G300,Cables!$A:$A,0))-1))):INDEX(Attenuation!$K:$K,(INDEX(Cables!$AO:$AO,MATCH(G300,Cables!$A:$A,0))-1+MIN(MAX(IFERROR(MATCH(LN(E300),INDEX(Attenuation!$J:$J,INDEX(Cables!$AO:$AO,MATCH(G300,Cables!$A:$A,0))):INDEX(Attenuation!$J:$J,INDEX(Cables!$AO:$AO,MATCH(G300,Cables!$A:$A,0))+INDEX(Cables!$AP:$AP,MATCH(G300,Cables!$A:$A,0))-1),1),1),1),INDEX(Cables!$AP:$AP,MATCH(G300,Cables!$A:$A,0))-1))+1),INDEX(Attenuation!$J:$J,(INDEX(Cables!$AO:$AO,MATCH(G300,Cables!$A:$A,0))-1+MIN(MAX(IFERROR(MATCH(LN(E300),INDEX(Attenuation!$J:$J,INDEX(Cables!$AO:$AO,MATCH(G300,Cables!$A:$A,0))):INDEX(Attenuation!$J:$J,INDEX(Cables!$AO:$AO,MATCH(G300,Cables!$A:$A,0))+INDEX(Cables!$AP:$AP,MATCH(G300,Cables!$A:$A,0))-1),1),1),1),INDEX(Cables!$AP:$AP,MATCH(G300,Cables!$A:$A,0))-1))):INDEX(Attenuation!$J:$J,(INDEX(Cables!$AO:$AO,MATCH(G300,Cables!$A:$A,0))-1+MIN(MAX(IFERROR(MATCH(LN(E300),INDEX(Attenuation!$J:$J,INDEX(Cables!$AO:$AO,MATCH(G300,Cables!$A:$A,0))):INDEX(Attenuation!$J:$J,INDEX(Cables!$AO:$AO,MATCH(G300,Cables!$A:$A,0))+INDEX(Cables!$AP:$AP,MATCH(G300,Cables!$A:$A,0))-1),1),1),1),INDEX(Cables!$AP:$AP,MATCH(G300,Cables!$A:$A,0))-1))+1)))*0.3048)</f>
        <v>2.1726408238374368</v>
      </c>
      <c r="J300" s="44">
        <f t="shared" si="4"/>
        <v>0</v>
      </c>
      <c r="K300" s="40" t="str">
        <f>IF(G300="","Doğrulanmadı",IF(ABS(J300)&lt;=0.1,"Uyumlu (±%10)",IF(ABS(J300)&lt;=0.25,"Fark %10-25","Fark &gt;%25"))&amp;IF(OR(D300&lt;INDEX(Cables!$AQ:$AQ,MATCH(G300,Cables!$A:$A,0)),E300&gt;INDEX(Cables!$AR:$AR,MATCH(G300,Cables!$A:$A,0)))," · ekstrapolasyon",""))</f>
        <v>Uyumlu (±%10)</v>
      </c>
    </row>
    <row r="301" spans="1:11" x14ac:dyDescent="0.25">
      <c r="A301" s="37" t="s">
        <v>3058</v>
      </c>
      <c r="B301" s="40" t="str">
        <f>INDEX(Legacy_Index!$D:$D,MATCH(A301,Legacy_Index!$A:$A,0))</f>
        <v>ULTRAFLEX 13™ Messi and Paoloni</v>
      </c>
      <c r="C301" s="37" t="s">
        <v>3116</v>
      </c>
      <c r="D301" s="37">
        <v>700</v>
      </c>
      <c r="E301" s="37">
        <v>960</v>
      </c>
      <c r="F301" s="37">
        <v>2.8</v>
      </c>
      <c r="G301" s="40" t="str">
        <f>IF(INDEX(Legacy_Index!$G:$G,MATCH(A301,Legacy_Index!$A:$A,0))="","",INDEX(Legacy_Index!$G:$G,MATCH(A301,Legacy_Index!$A:$A,0)))</f>
        <v>MP-ULTRAFLEX13</v>
      </c>
      <c r="H301" s="43">
        <f>IF(G301="","",EXP(FORECAST(LN(D301),INDEX(Attenuation!$K:$K,(INDEX(Cables!$AO:$AO,MATCH(G301,Cables!$A:$A,0))-1+MIN(MAX(IFERROR(MATCH(LN(D301),INDEX(Attenuation!$J:$J,INDEX(Cables!$AO:$AO,MATCH(G301,Cables!$A:$A,0))):INDEX(Attenuation!$J:$J,INDEX(Cables!$AO:$AO,MATCH(G301,Cables!$A:$A,0))+INDEX(Cables!$AP:$AP,MATCH(G301,Cables!$A:$A,0))-1),1),1),1),INDEX(Cables!$AP:$AP,MATCH(G301,Cables!$A:$A,0))-1))):INDEX(Attenuation!$K:$K,(INDEX(Cables!$AO:$AO,MATCH(G301,Cables!$A:$A,0))-1+MIN(MAX(IFERROR(MATCH(LN(D301),INDEX(Attenuation!$J:$J,INDEX(Cables!$AO:$AO,MATCH(G301,Cables!$A:$A,0))):INDEX(Attenuation!$J:$J,INDEX(Cables!$AO:$AO,MATCH(G301,Cables!$A:$A,0))+INDEX(Cables!$AP:$AP,MATCH(G301,Cables!$A:$A,0))-1),1),1),1),INDEX(Cables!$AP:$AP,MATCH(G301,Cables!$A:$A,0))-1))+1),INDEX(Attenuation!$J:$J,(INDEX(Cables!$AO:$AO,MATCH(G301,Cables!$A:$A,0))-1+MIN(MAX(IFERROR(MATCH(LN(D301),INDEX(Attenuation!$J:$J,INDEX(Cables!$AO:$AO,MATCH(G301,Cables!$A:$A,0))):INDEX(Attenuation!$J:$J,INDEX(Cables!$AO:$AO,MATCH(G301,Cables!$A:$A,0))+INDEX(Cables!$AP:$AP,MATCH(G301,Cables!$A:$A,0))-1),1),1),1),INDEX(Cables!$AP:$AP,MATCH(G301,Cables!$A:$A,0))-1))):INDEX(Attenuation!$J:$J,(INDEX(Cables!$AO:$AO,MATCH(G301,Cables!$A:$A,0))-1+MIN(MAX(IFERROR(MATCH(LN(D301),INDEX(Attenuation!$J:$J,INDEX(Cables!$AO:$AO,MATCH(G301,Cables!$A:$A,0))):INDEX(Attenuation!$J:$J,INDEX(Cables!$AO:$AO,MATCH(G301,Cables!$A:$A,0))+INDEX(Cables!$AP:$AP,MATCH(G301,Cables!$A:$A,0))-1),1),1),1),INDEX(Cables!$AP:$AP,MATCH(G301,Cables!$A:$A,0))-1))+1)))*0.3048)</f>
        <v>2.5714490876470926</v>
      </c>
      <c r="I301" s="43">
        <f>IF(G301="","",EXP(FORECAST(LN(E301),INDEX(Attenuation!$K:$K,(INDEX(Cables!$AO:$AO,MATCH(G301,Cables!$A:$A,0))-1+MIN(MAX(IFERROR(MATCH(LN(E301),INDEX(Attenuation!$J:$J,INDEX(Cables!$AO:$AO,MATCH(G301,Cables!$A:$A,0))):INDEX(Attenuation!$J:$J,INDEX(Cables!$AO:$AO,MATCH(G301,Cables!$A:$A,0))+INDEX(Cables!$AP:$AP,MATCH(G301,Cables!$A:$A,0))-1),1),1),1),INDEX(Cables!$AP:$AP,MATCH(G301,Cables!$A:$A,0))-1))):INDEX(Attenuation!$K:$K,(INDEX(Cables!$AO:$AO,MATCH(G301,Cables!$A:$A,0))-1+MIN(MAX(IFERROR(MATCH(LN(E301),INDEX(Attenuation!$J:$J,INDEX(Cables!$AO:$AO,MATCH(G301,Cables!$A:$A,0))):INDEX(Attenuation!$J:$J,INDEX(Cables!$AO:$AO,MATCH(G301,Cables!$A:$A,0))+INDEX(Cables!$AP:$AP,MATCH(G301,Cables!$A:$A,0))-1),1),1),1),INDEX(Cables!$AP:$AP,MATCH(G301,Cables!$A:$A,0))-1))+1),INDEX(Attenuation!$J:$J,(INDEX(Cables!$AO:$AO,MATCH(G301,Cables!$A:$A,0))-1+MIN(MAX(IFERROR(MATCH(LN(E301),INDEX(Attenuation!$J:$J,INDEX(Cables!$AO:$AO,MATCH(G301,Cables!$A:$A,0))):INDEX(Attenuation!$J:$J,INDEX(Cables!$AO:$AO,MATCH(G301,Cables!$A:$A,0))+INDEX(Cables!$AP:$AP,MATCH(G301,Cables!$A:$A,0))-1),1),1),1),INDEX(Cables!$AP:$AP,MATCH(G301,Cables!$A:$A,0))-1))):INDEX(Attenuation!$J:$J,(INDEX(Cables!$AO:$AO,MATCH(G301,Cables!$A:$A,0))-1+MIN(MAX(IFERROR(MATCH(LN(E301),INDEX(Attenuation!$J:$J,INDEX(Cables!$AO:$AO,MATCH(G301,Cables!$A:$A,0))):INDEX(Attenuation!$J:$J,INDEX(Cables!$AO:$AO,MATCH(G301,Cables!$A:$A,0))+INDEX(Cables!$AP:$AP,MATCH(G301,Cables!$A:$A,0))-1),1),1),1),INDEX(Cables!$AP:$AP,MATCH(G301,Cables!$A:$A,0))-1))+1)))*0.3048)</f>
        <v>3.079359348004469</v>
      </c>
      <c r="J301" s="44">
        <f t="shared" si="4"/>
        <v>0</v>
      </c>
      <c r="K301" s="40" t="str">
        <f>IF(G301="","Doğrulanmadı",IF(ABS(J301)&lt;=0.1,"Uyumlu (±%10)",IF(ABS(J301)&lt;=0.25,"Fark %10-25","Fark &gt;%25"))&amp;IF(OR(D301&lt;INDEX(Cables!$AQ:$AQ,MATCH(G301,Cables!$A:$A,0)),E301&gt;INDEX(Cables!$AR:$AR,MATCH(G301,Cables!$A:$A,0)))," · ekstrapolasyon",""))</f>
        <v>Uyumlu (±%10)</v>
      </c>
    </row>
    <row r="302" spans="1:11" x14ac:dyDescent="0.25">
      <c r="A302" s="37" t="s">
        <v>3058</v>
      </c>
      <c r="B302" s="40" t="str">
        <f>INDEX(Legacy_Index!$D:$D,MATCH(A302,Legacy_Index!$A:$A,0))</f>
        <v>ULTRAFLEX 13™ Messi and Paoloni</v>
      </c>
      <c r="C302" s="37" t="s">
        <v>3120</v>
      </c>
      <c r="D302" s="37">
        <v>1200</v>
      </c>
      <c r="E302" s="37">
        <v>1300</v>
      </c>
      <c r="F302" s="37">
        <v>3.6</v>
      </c>
      <c r="G302" s="40" t="str">
        <f>IF(INDEX(Legacy_Index!$G:$G,MATCH(A302,Legacy_Index!$A:$A,0))="","",INDEX(Legacy_Index!$G:$G,MATCH(A302,Legacy_Index!$A:$A,0)))</f>
        <v>MP-ULTRAFLEX13</v>
      </c>
      <c r="H302" s="43">
        <f>IF(G302="","",EXP(FORECAST(LN(D302),INDEX(Attenuation!$K:$K,(INDEX(Cables!$AO:$AO,MATCH(G302,Cables!$A:$A,0))-1+MIN(MAX(IFERROR(MATCH(LN(D302),INDEX(Attenuation!$J:$J,INDEX(Cables!$AO:$AO,MATCH(G302,Cables!$A:$A,0))):INDEX(Attenuation!$J:$J,INDEX(Cables!$AO:$AO,MATCH(G302,Cables!$A:$A,0))+INDEX(Cables!$AP:$AP,MATCH(G302,Cables!$A:$A,0))-1),1),1),1),INDEX(Cables!$AP:$AP,MATCH(G302,Cables!$A:$A,0))-1))):INDEX(Attenuation!$K:$K,(INDEX(Cables!$AO:$AO,MATCH(G302,Cables!$A:$A,0))-1+MIN(MAX(IFERROR(MATCH(LN(D302),INDEX(Attenuation!$J:$J,INDEX(Cables!$AO:$AO,MATCH(G302,Cables!$A:$A,0))):INDEX(Attenuation!$J:$J,INDEX(Cables!$AO:$AO,MATCH(G302,Cables!$A:$A,0))+INDEX(Cables!$AP:$AP,MATCH(G302,Cables!$A:$A,0))-1),1),1),1),INDEX(Cables!$AP:$AP,MATCH(G302,Cables!$A:$A,0))-1))+1),INDEX(Attenuation!$J:$J,(INDEX(Cables!$AO:$AO,MATCH(G302,Cables!$A:$A,0))-1+MIN(MAX(IFERROR(MATCH(LN(D302),INDEX(Attenuation!$J:$J,INDEX(Cables!$AO:$AO,MATCH(G302,Cables!$A:$A,0))):INDEX(Attenuation!$J:$J,INDEX(Cables!$AO:$AO,MATCH(G302,Cables!$A:$A,0))+INDEX(Cables!$AP:$AP,MATCH(G302,Cables!$A:$A,0))-1),1),1),1),INDEX(Cables!$AP:$AP,MATCH(G302,Cables!$A:$A,0))-1))):INDEX(Attenuation!$J:$J,(INDEX(Cables!$AO:$AO,MATCH(G302,Cables!$A:$A,0))-1+MIN(MAX(IFERROR(MATCH(LN(D302),INDEX(Attenuation!$J:$J,INDEX(Cables!$AO:$AO,MATCH(G302,Cables!$A:$A,0))):INDEX(Attenuation!$J:$J,INDEX(Cables!$AO:$AO,MATCH(G302,Cables!$A:$A,0))+INDEX(Cables!$AP:$AP,MATCH(G302,Cables!$A:$A,0))-1),1),1),1),INDEX(Cables!$AP:$AP,MATCH(G302,Cables!$A:$A,0))-1))+1)))*0.3048)</f>
        <v>3.499696620008919</v>
      </c>
      <c r="I302" s="43">
        <f>IF(G302="","",EXP(FORECAST(LN(E302),INDEX(Attenuation!$K:$K,(INDEX(Cables!$AO:$AO,MATCH(G302,Cables!$A:$A,0))-1+MIN(MAX(IFERROR(MATCH(LN(E302),INDEX(Attenuation!$J:$J,INDEX(Cables!$AO:$AO,MATCH(G302,Cables!$A:$A,0))):INDEX(Attenuation!$J:$J,INDEX(Cables!$AO:$AO,MATCH(G302,Cables!$A:$A,0))+INDEX(Cables!$AP:$AP,MATCH(G302,Cables!$A:$A,0))-1),1),1),1),INDEX(Cables!$AP:$AP,MATCH(G302,Cables!$A:$A,0))-1))):INDEX(Attenuation!$K:$K,(INDEX(Cables!$AO:$AO,MATCH(G302,Cables!$A:$A,0))-1+MIN(MAX(IFERROR(MATCH(LN(E302),INDEX(Attenuation!$J:$J,INDEX(Cables!$AO:$AO,MATCH(G302,Cables!$A:$A,0))):INDEX(Attenuation!$J:$J,INDEX(Cables!$AO:$AO,MATCH(G302,Cables!$A:$A,0))+INDEX(Cables!$AP:$AP,MATCH(G302,Cables!$A:$A,0))-1),1),1),1),INDEX(Cables!$AP:$AP,MATCH(G302,Cables!$A:$A,0))-1))+1),INDEX(Attenuation!$J:$J,(INDEX(Cables!$AO:$AO,MATCH(G302,Cables!$A:$A,0))-1+MIN(MAX(IFERROR(MATCH(LN(E302),INDEX(Attenuation!$J:$J,INDEX(Cables!$AO:$AO,MATCH(G302,Cables!$A:$A,0))):INDEX(Attenuation!$J:$J,INDEX(Cables!$AO:$AO,MATCH(G302,Cables!$A:$A,0))+INDEX(Cables!$AP:$AP,MATCH(G302,Cables!$A:$A,0))-1),1),1),1),INDEX(Cables!$AP:$AP,MATCH(G302,Cables!$A:$A,0))-1))):INDEX(Attenuation!$J:$J,(INDEX(Cables!$AO:$AO,MATCH(G302,Cables!$A:$A,0))-1+MIN(MAX(IFERROR(MATCH(LN(E302),INDEX(Attenuation!$J:$J,INDEX(Cables!$AO:$AO,MATCH(G302,Cables!$A:$A,0))):INDEX(Attenuation!$J:$J,INDEX(Cables!$AO:$AO,MATCH(G302,Cables!$A:$A,0))+INDEX(Cables!$AP:$AP,MATCH(G302,Cables!$A:$A,0))-1),1),1),1),INDEX(Cables!$AP:$AP,MATCH(G302,Cables!$A:$A,0))-1))+1)))*0.3048)</f>
        <v>3.6644030962626641</v>
      </c>
      <c r="J302" s="44">
        <f t="shared" si="4"/>
        <v>0</v>
      </c>
      <c r="K302" s="40" t="str">
        <f>IF(G302="","Doğrulanmadı",IF(ABS(J302)&lt;=0.1,"Uyumlu (±%10)",IF(ABS(J302)&lt;=0.25,"Fark %10-25","Fark &gt;%25"))&amp;IF(OR(D302&lt;INDEX(Cables!$AQ:$AQ,MATCH(G302,Cables!$A:$A,0)),E302&gt;INDEX(Cables!$AR:$AR,MATCH(G302,Cables!$A:$A,0)))," · ekstrapolasyon",""))</f>
        <v>Uyumlu (±%10)</v>
      </c>
    </row>
    <row r="303" spans="1:11" x14ac:dyDescent="0.25">
      <c r="A303" s="37" t="s">
        <v>3058</v>
      </c>
      <c r="B303" s="40" t="str">
        <f>INDEX(Legacy_Index!$D:$D,MATCH(A303,Legacy_Index!$A:$A,0))</f>
        <v>ULTRAFLEX 13™ Messi and Paoloni</v>
      </c>
      <c r="C303" s="37" t="s">
        <v>3121</v>
      </c>
      <c r="D303" s="37">
        <v>2400</v>
      </c>
      <c r="E303" s="37">
        <v>2500</v>
      </c>
      <c r="F303" s="37">
        <v>5.3</v>
      </c>
      <c r="G303" s="40" t="str">
        <f>IF(INDEX(Legacy_Index!$G:$G,MATCH(A303,Legacy_Index!$A:$A,0))="","",INDEX(Legacy_Index!$G:$G,MATCH(A303,Legacy_Index!$A:$A,0)))</f>
        <v>MP-ULTRAFLEX13</v>
      </c>
      <c r="H303" s="43">
        <f>IF(G303="","",EXP(FORECAST(LN(D303),INDEX(Attenuation!$K:$K,(INDEX(Cables!$AO:$AO,MATCH(G303,Cables!$A:$A,0))-1+MIN(MAX(IFERROR(MATCH(LN(D303),INDEX(Attenuation!$J:$J,INDEX(Cables!$AO:$AO,MATCH(G303,Cables!$A:$A,0))):INDEX(Attenuation!$J:$J,INDEX(Cables!$AO:$AO,MATCH(G303,Cables!$A:$A,0))+INDEX(Cables!$AP:$AP,MATCH(G303,Cables!$A:$A,0))-1),1),1),1),INDEX(Cables!$AP:$AP,MATCH(G303,Cables!$A:$A,0))-1))):INDEX(Attenuation!$K:$K,(INDEX(Cables!$AO:$AO,MATCH(G303,Cables!$A:$A,0))-1+MIN(MAX(IFERROR(MATCH(LN(D303),INDEX(Attenuation!$J:$J,INDEX(Cables!$AO:$AO,MATCH(G303,Cables!$A:$A,0))):INDEX(Attenuation!$J:$J,INDEX(Cables!$AO:$AO,MATCH(G303,Cables!$A:$A,0))+INDEX(Cables!$AP:$AP,MATCH(G303,Cables!$A:$A,0))-1),1),1),1),INDEX(Cables!$AP:$AP,MATCH(G303,Cables!$A:$A,0))-1))+1),INDEX(Attenuation!$J:$J,(INDEX(Cables!$AO:$AO,MATCH(G303,Cables!$A:$A,0))-1+MIN(MAX(IFERROR(MATCH(LN(D303),INDEX(Attenuation!$J:$J,INDEX(Cables!$AO:$AO,MATCH(G303,Cables!$A:$A,0))):INDEX(Attenuation!$J:$J,INDEX(Cables!$AO:$AO,MATCH(G303,Cables!$A:$A,0))+INDEX(Cables!$AP:$AP,MATCH(G303,Cables!$A:$A,0))-1),1),1),1),INDEX(Cables!$AP:$AP,MATCH(G303,Cables!$A:$A,0))-1))):INDEX(Attenuation!$J:$J,(INDEX(Cables!$AO:$AO,MATCH(G303,Cables!$A:$A,0))-1+MIN(MAX(IFERROR(MATCH(LN(D303),INDEX(Attenuation!$J:$J,INDEX(Cables!$AO:$AO,MATCH(G303,Cables!$A:$A,0))):INDEX(Attenuation!$J:$J,INDEX(Cables!$AO:$AO,MATCH(G303,Cables!$A:$A,0))+INDEX(Cables!$AP:$AP,MATCH(G303,Cables!$A:$A,0))-1),1),1),1),INDEX(Cables!$AP:$AP,MATCH(G303,Cables!$A:$A,0))-1))+1)))*0.3048)</f>
        <v>5.303519999999998</v>
      </c>
      <c r="I303" s="43">
        <f>IF(G303="","",EXP(FORECAST(LN(E303),INDEX(Attenuation!$K:$K,(INDEX(Cables!$AO:$AO,MATCH(G303,Cables!$A:$A,0))-1+MIN(MAX(IFERROR(MATCH(LN(E303),INDEX(Attenuation!$J:$J,INDEX(Cables!$AO:$AO,MATCH(G303,Cables!$A:$A,0))):INDEX(Attenuation!$J:$J,INDEX(Cables!$AO:$AO,MATCH(G303,Cables!$A:$A,0))+INDEX(Cables!$AP:$AP,MATCH(G303,Cables!$A:$A,0))-1),1),1),1),INDEX(Cables!$AP:$AP,MATCH(G303,Cables!$A:$A,0))-1))):INDEX(Attenuation!$K:$K,(INDEX(Cables!$AO:$AO,MATCH(G303,Cables!$A:$A,0))-1+MIN(MAX(IFERROR(MATCH(LN(E303),INDEX(Attenuation!$J:$J,INDEX(Cables!$AO:$AO,MATCH(G303,Cables!$A:$A,0))):INDEX(Attenuation!$J:$J,INDEX(Cables!$AO:$AO,MATCH(G303,Cables!$A:$A,0))+INDEX(Cables!$AP:$AP,MATCH(G303,Cables!$A:$A,0))-1),1),1),1),INDEX(Cables!$AP:$AP,MATCH(G303,Cables!$A:$A,0))-1))+1),INDEX(Attenuation!$J:$J,(INDEX(Cables!$AO:$AO,MATCH(G303,Cables!$A:$A,0))-1+MIN(MAX(IFERROR(MATCH(LN(E303),INDEX(Attenuation!$J:$J,INDEX(Cables!$AO:$AO,MATCH(G303,Cables!$A:$A,0))):INDEX(Attenuation!$J:$J,INDEX(Cables!$AO:$AO,MATCH(G303,Cables!$A:$A,0))+INDEX(Cables!$AP:$AP,MATCH(G303,Cables!$A:$A,0))-1),1),1),1),INDEX(Cables!$AP:$AP,MATCH(G303,Cables!$A:$A,0))-1))):INDEX(Attenuation!$J:$J,(INDEX(Cables!$AO:$AO,MATCH(G303,Cables!$A:$A,0))-1+MIN(MAX(IFERROR(MATCH(LN(E303),INDEX(Attenuation!$J:$J,INDEX(Cables!$AO:$AO,MATCH(G303,Cables!$A:$A,0))):INDEX(Attenuation!$J:$J,INDEX(Cables!$AO:$AO,MATCH(G303,Cables!$A:$A,0))+INDEX(Cables!$AP:$AP,MATCH(G303,Cables!$A:$A,0))-1),1),1),1),INDEX(Cables!$AP:$AP,MATCH(G303,Cables!$A:$A,0))-1))+1)))*0.3048)</f>
        <v>5.4335958203419938</v>
      </c>
      <c r="J303" s="44">
        <f t="shared" si="4"/>
        <v>-6.6371013968047343E-4</v>
      </c>
      <c r="K303" s="40" t="str">
        <f>IF(G303="","Doğrulanmadı",IF(ABS(J303)&lt;=0.1,"Uyumlu (±%10)",IF(ABS(J303)&lt;=0.25,"Fark %10-25","Fark &gt;%25"))&amp;IF(OR(D303&lt;INDEX(Cables!$AQ:$AQ,MATCH(G303,Cables!$A:$A,0)),E303&gt;INDEX(Cables!$AR:$AR,MATCH(G303,Cables!$A:$A,0)))," · ekstrapolasyon",""))</f>
        <v>Uyumlu (±%10)</v>
      </c>
    </row>
    <row r="304" spans="1:11" x14ac:dyDescent="0.25">
      <c r="A304" s="37" t="s">
        <v>3058</v>
      </c>
      <c r="B304" s="40" t="str">
        <f>INDEX(Legacy_Index!$D:$D,MATCH(A304,Legacy_Index!$A:$A,0))</f>
        <v>ULTRAFLEX 13™ Messi and Paoloni</v>
      </c>
      <c r="C304" s="37" t="s">
        <v>3122</v>
      </c>
      <c r="D304" s="37">
        <v>5725</v>
      </c>
      <c r="E304" s="37">
        <v>5875</v>
      </c>
      <c r="F304" s="37">
        <v>8.1999999999999993</v>
      </c>
      <c r="G304" s="40" t="str">
        <f>IF(INDEX(Legacy_Index!$G:$G,MATCH(A304,Legacy_Index!$A:$A,0))="","",INDEX(Legacy_Index!$G:$G,MATCH(A304,Legacy_Index!$A:$A,0)))</f>
        <v>MP-ULTRAFLEX13</v>
      </c>
      <c r="H304" s="43">
        <f>IF(G304="","",EXP(FORECAST(LN(D304),INDEX(Attenuation!$K:$K,(INDEX(Cables!$AO:$AO,MATCH(G304,Cables!$A:$A,0))-1+MIN(MAX(IFERROR(MATCH(LN(D304),INDEX(Attenuation!$J:$J,INDEX(Cables!$AO:$AO,MATCH(G304,Cables!$A:$A,0))):INDEX(Attenuation!$J:$J,INDEX(Cables!$AO:$AO,MATCH(G304,Cables!$A:$A,0))+INDEX(Cables!$AP:$AP,MATCH(G304,Cables!$A:$A,0))-1),1),1),1),INDEX(Cables!$AP:$AP,MATCH(G304,Cables!$A:$A,0))-1))):INDEX(Attenuation!$K:$K,(INDEX(Cables!$AO:$AO,MATCH(G304,Cables!$A:$A,0))-1+MIN(MAX(IFERROR(MATCH(LN(D304),INDEX(Attenuation!$J:$J,INDEX(Cables!$AO:$AO,MATCH(G304,Cables!$A:$A,0))):INDEX(Attenuation!$J:$J,INDEX(Cables!$AO:$AO,MATCH(G304,Cables!$A:$A,0))+INDEX(Cables!$AP:$AP,MATCH(G304,Cables!$A:$A,0))-1),1),1),1),INDEX(Cables!$AP:$AP,MATCH(G304,Cables!$A:$A,0))-1))+1),INDEX(Attenuation!$J:$J,(INDEX(Cables!$AO:$AO,MATCH(G304,Cables!$A:$A,0))-1+MIN(MAX(IFERROR(MATCH(LN(D304),INDEX(Attenuation!$J:$J,INDEX(Cables!$AO:$AO,MATCH(G304,Cables!$A:$A,0))):INDEX(Attenuation!$J:$J,INDEX(Cables!$AO:$AO,MATCH(G304,Cables!$A:$A,0))+INDEX(Cables!$AP:$AP,MATCH(G304,Cables!$A:$A,0))-1),1),1),1),INDEX(Cables!$AP:$AP,MATCH(G304,Cables!$A:$A,0))-1))):INDEX(Attenuation!$J:$J,(INDEX(Cables!$AO:$AO,MATCH(G304,Cables!$A:$A,0))-1+MIN(MAX(IFERROR(MATCH(LN(D304),INDEX(Attenuation!$J:$J,INDEX(Cables!$AO:$AO,MATCH(G304,Cables!$A:$A,0))):INDEX(Attenuation!$J:$J,INDEX(Cables!$AO:$AO,MATCH(G304,Cables!$A:$A,0))+INDEX(Cables!$AP:$AP,MATCH(G304,Cables!$A:$A,0))-1),1),1),1),INDEX(Cables!$AP:$AP,MATCH(G304,Cables!$A:$A,0))-1))+1)))*0.3048)</f>
        <v>8.8852966999317982</v>
      </c>
      <c r="I304" s="43">
        <f>IF(G304="","",EXP(FORECAST(LN(E304),INDEX(Attenuation!$K:$K,(INDEX(Cables!$AO:$AO,MATCH(G304,Cables!$A:$A,0))-1+MIN(MAX(IFERROR(MATCH(LN(E304),INDEX(Attenuation!$J:$J,INDEX(Cables!$AO:$AO,MATCH(G304,Cables!$A:$A,0))):INDEX(Attenuation!$J:$J,INDEX(Cables!$AO:$AO,MATCH(G304,Cables!$A:$A,0))+INDEX(Cables!$AP:$AP,MATCH(G304,Cables!$A:$A,0))-1),1),1),1),INDEX(Cables!$AP:$AP,MATCH(G304,Cables!$A:$A,0))-1))):INDEX(Attenuation!$K:$K,(INDEX(Cables!$AO:$AO,MATCH(G304,Cables!$A:$A,0))-1+MIN(MAX(IFERROR(MATCH(LN(E304),INDEX(Attenuation!$J:$J,INDEX(Cables!$AO:$AO,MATCH(G304,Cables!$A:$A,0))):INDEX(Attenuation!$J:$J,INDEX(Cables!$AO:$AO,MATCH(G304,Cables!$A:$A,0))+INDEX(Cables!$AP:$AP,MATCH(G304,Cables!$A:$A,0))-1),1),1),1),INDEX(Cables!$AP:$AP,MATCH(G304,Cables!$A:$A,0))-1))+1),INDEX(Attenuation!$J:$J,(INDEX(Cables!$AO:$AO,MATCH(G304,Cables!$A:$A,0))-1+MIN(MAX(IFERROR(MATCH(LN(E304),INDEX(Attenuation!$J:$J,INDEX(Cables!$AO:$AO,MATCH(G304,Cables!$A:$A,0))):INDEX(Attenuation!$J:$J,INDEX(Cables!$AO:$AO,MATCH(G304,Cables!$A:$A,0))+INDEX(Cables!$AP:$AP,MATCH(G304,Cables!$A:$A,0))-1),1),1),1),INDEX(Cables!$AP:$AP,MATCH(G304,Cables!$A:$A,0))-1))):INDEX(Attenuation!$J:$J,(INDEX(Cables!$AO:$AO,MATCH(G304,Cables!$A:$A,0))-1+MIN(MAX(IFERROR(MATCH(LN(E304),INDEX(Attenuation!$J:$J,INDEX(Cables!$AO:$AO,MATCH(G304,Cables!$A:$A,0))):INDEX(Attenuation!$J:$J,INDEX(Cables!$AO:$AO,MATCH(G304,Cables!$A:$A,0))+INDEX(Cables!$AP:$AP,MATCH(G304,Cables!$A:$A,0))-1),1),1),1),INDEX(Cables!$AP:$AP,MATCH(G304,Cables!$A:$A,0))-1))+1)))*0.3048)</f>
        <v>9.0227525371635711</v>
      </c>
      <c r="J304" s="44">
        <f t="shared" si="4"/>
        <v>-7.7127047421732042E-2</v>
      </c>
      <c r="K304" s="40" t="str">
        <f>IF(G304="","Doğrulanmadı",IF(ABS(J304)&lt;=0.1,"Uyumlu (±%10)",IF(ABS(J304)&lt;=0.25,"Fark %10-25","Fark &gt;%25"))&amp;IF(OR(D304&lt;INDEX(Cables!$AQ:$AQ,MATCH(G304,Cables!$A:$A,0)),E304&gt;INDEX(Cables!$AR:$AR,MATCH(G304,Cables!$A:$A,0)))," · ekstrapolasyon",""))</f>
        <v>Uyumlu (±%10) · ekstrapolasyon</v>
      </c>
    </row>
    <row r="305" spans="1:11" x14ac:dyDescent="0.25">
      <c r="A305" s="37" t="s">
        <v>3060</v>
      </c>
      <c r="B305" s="40" t="str">
        <f>INDEX(Legacy_Index!$D:$D,MATCH(A305,Legacy_Index!$A:$A,0))</f>
        <v>LMR500</v>
      </c>
      <c r="C305" s="37" t="s">
        <v>3118</v>
      </c>
      <c r="D305" s="37">
        <v>30</v>
      </c>
      <c r="E305" s="37">
        <v>50</v>
      </c>
      <c r="F305" s="37">
        <v>0.7</v>
      </c>
      <c r="G305" s="40" t="str">
        <f>IF(INDEX(Legacy_Index!$G:$G,MATCH(A305,Legacy_Index!$A:$A,0))="","",INDEX(Legacy_Index!$G:$G,MATCH(A305,Legacy_Index!$A:$A,0)))</f>
        <v>TMS-LMR500</v>
      </c>
      <c r="H305" s="43">
        <f>IF(G305="","",EXP(FORECAST(LN(D305),INDEX(Attenuation!$K:$K,(INDEX(Cables!$AO:$AO,MATCH(G305,Cables!$A:$A,0))-1+MIN(MAX(IFERROR(MATCH(LN(D305),INDEX(Attenuation!$J:$J,INDEX(Cables!$AO:$AO,MATCH(G305,Cables!$A:$A,0))):INDEX(Attenuation!$J:$J,INDEX(Cables!$AO:$AO,MATCH(G305,Cables!$A:$A,0))+INDEX(Cables!$AP:$AP,MATCH(G305,Cables!$A:$A,0))-1),1),1),1),INDEX(Cables!$AP:$AP,MATCH(G305,Cables!$A:$A,0))-1))):INDEX(Attenuation!$K:$K,(INDEX(Cables!$AO:$AO,MATCH(G305,Cables!$A:$A,0))-1+MIN(MAX(IFERROR(MATCH(LN(D305),INDEX(Attenuation!$J:$J,INDEX(Cables!$AO:$AO,MATCH(G305,Cables!$A:$A,0))):INDEX(Attenuation!$J:$J,INDEX(Cables!$AO:$AO,MATCH(G305,Cables!$A:$A,0))+INDEX(Cables!$AP:$AP,MATCH(G305,Cables!$A:$A,0))-1),1),1),1),INDEX(Cables!$AP:$AP,MATCH(G305,Cables!$A:$A,0))-1))+1),INDEX(Attenuation!$J:$J,(INDEX(Cables!$AO:$AO,MATCH(G305,Cables!$A:$A,0))-1+MIN(MAX(IFERROR(MATCH(LN(D305),INDEX(Attenuation!$J:$J,INDEX(Cables!$AO:$AO,MATCH(G305,Cables!$A:$A,0))):INDEX(Attenuation!$J:$J,INDEX(Cables!$AO:$AO,MATCH(G305,Cables!$A:$A,0))+INDEX(Cables!$AP:$AP,MATCH(G305,Cables!$A:$A,0))-1),1),1),1),INDEX(Cables!$AP:$AP,MATCH(G305,Cables!$A:$A,0))-1))):INDEX(Attenuation!$J:$J,(INDEX(Cables!$AO:$AO,MATCH(G305,Cables!$A:$A,0))-1+MIN(MAX(IFERROR(MATCH(LN(D305),INDEX(Attenuation!$J:$J,INDEX(Cables!$AO:$AO,MATCH(G305,Cables!$A:$A,0))):INDEX(Attenuation!$J:$J,INDEX(Cables!$AO:$AO,MATCH(G305,Cables!$A:$A,0))+INDEX(Cables!$AP:$AP,MATCH(G305,Cables!$A:$A,0))-1),1),1),1),INDEX(Cables!$AP:$AP,MATCH(G305,Cables!$A:$A,0))-1))+1)))*0.3048)</f>
        <v>0.54</v>
      </c>
      <c r="I305" s="43">
        <f>IF(G305="","",EXP(FORECAST(LN(E305),INDEX(Attenuation!$K:$K,(INDEX(Cables!$AO:$AO,MATCH(G305,Cables!$A:$A,0))-1+MIN(MAX(IFERROR(MATCH(LN(E305),INDEX(Attenuation!$J:$J,INDEX(Cables!$AO:$AO,MATCH(G305,Cables!$A:$A,0))):INDEX(Attenuation!$J:$J,INDEX(Cables!$AO:$AO,MATCH(G305,Cables!$A:$A,0))+INDEX(Cables!$AP:$AP,MATCH(G305,Cables!$A:$A,0))-1),1),1),1),INDEX(Cables!$AP:$AP,MATCH(G305,Cables!$A:$A,0))-1))):INDEX(Attenuation!$K:$K,(INDEX(Cables!$AO:$AO,MATCH(G305,Cables!$A:$A,0))-1+MIN(MAX(IFERROR(MATCH(LN(E305),INDEX(Attenuation!$J:$J,INDEX(Cables!$AO:$AO,MATCH(G305,Cables!$A:$A,0))):INDEX(Attenuation!$J:$J,INDEX(Cables!$AO:$AO,MATCH(G305,Cables!$A:$A,0))+INDEX(Cables!$AP:$AP,MATCH(G305,Cables!$A:$A,0))-1),1),1),1),INDEX(Cables!$AP:$AP,MATCH(G305,Cables!$A:$A,0))-1))+1),INDEX(Attenuation!$J:$J,(INDEX(Cables!$AO:$AO,MATCH(G305,Cables!$A:$A,0))-1+MIN(MAX(IFERROR(MATCH(LN(E305),INDEX(Attenuation!$J:$J,INDEX(Cables!$AO:$AO,MATCH(G305,Cables!$A:$A,0))):INDEX(Attenuation!$J:$J,INDEX(Cables!$AO:$AO,MATCH(G305,Cables!$A:$A,0))+INDEX(Cables!$AP:$AP,MATCH(G305,Cables!$A:$A,0))-1),1),1),1),INDEX(Cables!$AP:$AP,MATCH(G305,Cables!$A:$A,0))-1))):INDEX(Attenuation!$J:$J,(INDEX(Cables!$AO:$AO,MATCH(G305,Cables!$A:$A,0))-1+MIN(MAX(IFERROR(MATCH(LN(E305),INDEX(Attenuation!$J:$J,INDEX(Cables!$AO:$AO,MATCH(G305,Cables!$A:$A,0))):INDEX(Attenuation!$J:$J,INDEX(Cables!$AO:$AO,MATCH(G305,Cables!$A:$A,0))+INDEX(Cables!$AP:$AP,MATCH(G305,Cables!$A:$A,0))-1),1),1),1),INDEX(Cables!$AP:$AP,MATCH(G305,Cables!$A:$A,0))-1))+1)))*0.3048)</f>
        <v>0.7</v>
      </c>
      <c r="J305" s="44">
        <f t="shared" si="4"/>
        <v>0</v>
      </c>
      <c r="K305" s="40" t="str">
        <f>IF(G305="","Doğrulanmadı",IF(ABS(J305)&lt;=0.1,"Uyumlu (±%10)",IF(ABS(J305)&lt;=0.25,"Fark %10-25","Fark &gt;%25"))&amp;IF(OR(D305&lt;INDEX(Cables!$AQ:$AQ,MATCH(G305,Cables!$A:$A,0)),E305&gt;INDEX(Cables!$AR:$AR,MATCH(G305,Cables!$A:$A,0)))," · ekstrapolasyon",""))</f>
        <v>Uyumlu (±%10)</v>
      </c>
    </row>
    <row r="306" spans="1:11" x14ac:dyDescent="0.25">
      <c r="A306" s="37" t="s">
        <v>3060</v>
      </c>
      <c r="B306" s="40" t="str">
        <f>INDEX(Legacy_Index!$D:$D,MATCH(A306,Legacy_Index!$A:$A,0))</f>
        <v>LMR500</v>
      </c>
      <c r="C306" s="37" t="s">
        <v>3113</v>
      </c>
      <c r="D306" s="37">
        <v>70</v>
      </c>
      <c r="E306" s="37">
        <v>100</v>
      </c>
      <c r="F306" s="37">
        <v>0.95</v>
      </c>
      <c r="G306" s="40" t="str">
        <f>IF(INDEX(Legacy_Index!$G:$G,MATCH(A306,Legacy_Index!$A:$A,0))="","",INDEX(Legacy_Index!$G:$G,MATCH(A306,Legacy_Index!$A:$A,0)))</f>
        <v>TMS-LMR500</v>
      </c>
      <c r="H306" s="43">
        <f>IF(G306="","",EXP(FORECAST(LN(D306),INDEX(Attenuation!$K:$K,(INDEX(Cables!$AO:$AO,MATCH(G306,Cables!$A:$A,0))-1+MIN(MAX(IFERROR(MATCH(LN(D306),INDEX(Attenuation!$J:$J,INDEX(Cables!$AO:$AO,MATCH(G306,Cables!$A:$A,0))):INDEX(Attenuation!$J:$J,INDEX(Cables!$AO:$AO,MATCH(G306,Cables!$A:$A,0))+INDEX(Cables!$AP:$AP,MATCH(G306,Cables!$A:$A,0))-1),1),1),1),INDEX(Cables!$AP:$AP,MATCH(G306,Cables!$A:$A,0))-1))):INDEX(Attenuation!$K:$K,(INDEX(Cables!$AO:$AO,MATCH(G306,Cables!$A:$A,0))-1+MIN(MAX(IFERROR(MATCH(LN(D306),INDEX(Attenuation!$J:$J,INDEX(Cables!$AO:$AO,MATCH(G306,Cables!$A:$A,0))):INDEX(Attenuation!$J:$J,INDEX(Cables!$AO:$AO,MATCH(G306,Cables!$A:$A,0))+INDEX(Cables!$AP:$AP,MATCH(G306,Cables!$A:$A,0))-1),1),1),1),INDEX(Cables!$AP:$AP,MATCH(G306,Cables!$A:$A,0))-1))+1),INDEX(Attenuation!$J:$J,(INDEX(Cables!$AO:$AO,MATCH(G306,Cables!$A:$A,0))-1+MIN(MAX(IFERROR(MATCH(LN(D306),INDEX(Attenuation!$J:$J,INDEX(Cables!$AO:$AO,MATCH(G306,Cables!$A:$A,0))):INDEX(Attenuation!$J:$J,INDEX(Cables!$AO:$AO,MATCH(G306,Cables!$A:$A,0))+INDEX(Cables!$AP:$AP,MATCH(G306,Cables!$A:$A,0))-1),1),1),1),INDEX(Cables!$AP:$AP,MATCH(G306,Cables!$A:$A,0))-1))):INDEX(Attenuation!$J:$J,(INDEX(Cables!$AO:$AO,MATCH(G306,Cables!$A:$A,0))-1+MIN(MAX(IFERROR(MATCH(LN(D306),INDEX(Attenuation!$J:$J,INDEX(Cables!$AO:$AO,MATCH(G306,Cables!$A:$A,0))):INDEX(Attenuation!$J:$J,INDEX(Cables!$AO:$AO,MATCH(G306,Cables!$A:$A,0))+INDEX(Cables!$AP:$AP,MATCH(G306,Cables!$A:$A,0))-1),1),1),1),INDEX(Cables!$AP:$AP,MATCH(G306,Cables!$A:$A,0))-1))+1)))*0.3048)</f>
        <v>0.82983040578900691</v>
      </c>
      <c r="I306" s="43">
        <f>IF(G306="","",EXP(FORECAST(LN(E306),INDEX(Attenuation!$K:$K,(INDEX(Cables!$AO:$AO,MATCH(G306,Cables!$A:$A,0))-1+MIN(MAX(IFERROR(MATCH(LN(E306),INDEX(Attenuation!$J:$J,INDEX(Cables!$AO:$AO,MATCH(G306,Cables!$A:$A,0))):INDEX(Attenuation!$J:$J,INDEX(Cables!$AO:$AO,MATCH(G306,Cables!$A:$A,0))+INDEX(Cables!$AP:$AP,MATCH(G306,Cables!$A:$A,0))-1),1),1),1),INDEX(Cables!$AP:$AP,MATCH(G306,Cables!$A:$A,0))-1))):INDEX(Attenuation!$K:$K,(INDEX(Cables!$AO:$AO,MATCH(G306,Cables!$A:$A,0))-1+MIN(MAX(IFERROR(MATCH(LN(E306),INDEX(Attenuation!$J:$J,INDEX(Cables!$AO:$AO,MATCH(G306,Cables!$A:$A,0))):INDEX(Attenuation!$J:$J,INDEX(Cables!$AO:$AO,MATCH(G306,Cables!$A:$A,0))+INDEX(Cables!$AP:$AP,MATCH(G306,Cables!$A:$A,0))-1),1),1),1),INDEX(Cables!$AP:$AP,MATCH(G306,Cables!$A:$A,0))-1))+1),INDEX(Attenuation!$J:$J,(INDEX(Cables!$AO:$AO,MATCH(G306,Cables!$A:$A,0))-1+MIN(MAX(IFERROR(MATCH(LN(E306),INDEX(Attenuation!$J:$J,INDEX(Cables!$AO:$AO,MATCH(G306,Cables!$A:$A,0))):INDEX(Attenuation!$J:$J,INDEX(Cables!$AO:$AO,MATCH(G306,Cables!$A:$A,0))+INDEX(Cables!$AP:$AP,MATCH(G306,Cables!$A:$A,0))-1),1),1),1),INDEX(Cables!$AP:$AP,MATCH(G306,Cables!$A:$A,0))-1))):INDEX(Attenuation!$J:$J,(INDEX(Cables!$AO:$AO,MATCH(G306,Cables!$A:$A,0))-1+MIN(MAX(IFERROR(MATCH(LN(E306),INDEX(Attenuation!$J:$J,INDEX(Cables!$AO:$AO,MATCH(G306,Cables!$A:$A,0))):INDEX(Attenuation!$J:$J,INDEX(Cables!$AO:$AO,MATCH(G306,Cables!$A:$A,0))+INDEX(Cables!$AP:$AP,MATCH(G306,Cables!$A:$A,0))-1),1),1),1),INDEX(Cables!$AP:$AP,MATCH(G306,Cables!$A:$A,0))-1))+1)))*0.3048)</f>
        <v>0.99384185344169318</v>
      </c>
      <c r="J306" s="44">
        <f t="shared" si="4"/>
        <v>0</v>
      </c>
      <c r="K306" s="40" t="str">
        <f>IF(G306="","Doğrulanmadı",IF(ABS(J306)&lt;=0.1,"Uyumlu (±%10)",IF(ABS(J306)&lt;=0.25,"Fark %10-25","Fark &gt;%25"))&amp;IF(OR(D306&lt;INDEX(Cables!$AQ:$AQ,MATCH(G306,Cables!$A:$A,0)),E306&gt;INDEX(Cables!$AR:$AR,MATCH(G306,Cables!$A:$A,0)))," · ekstrapolasyon",""))</f>
        <v>Uyumlu (±%10)</v>
      </c>
    </row>
    <row r="307" spans="1:11" x14ac:dyDescent="0.25">
      <c r="A307" s="37" t="s">
        <v>3060</v>
      </c>
      <c r="B307" s="40" t="str">
        <f>INDEX(Legacy_Index!$D:$D,MATCH(A307,Legacy_Index!$A:$A,0))</f>
        <v>LMR500</v>
      </c>
      <c r="C307" s="37" t="s">
        <v>3114</v>
      </c>
      <c r="D307" s="37">
        <v>148</v>
      </c>
      <c r="E307" s="37">
        <v>174</v>
      </c>
      <c r="F307" s="37">
        <v>1.1000000000000001</v>
      </c>
      <c r="G307" s="40" t="str">
        <f>IF(INDEX(Legacy_Index!$G:$G,MATCH(A307,Legacy_Index!$A:$A,0))="","",INDEX(Legacy_Index!$G:$G,MATCH(A307,Legacy_Index!$A:$A,0)))</f>
        <v>TMS-LMR500</v>
      </c>
      <c r="H307" s="43">
        <f>IF(G307="","",EXP(FORECAST(LN(D307),INDEX(Attenuation!$K:$K,(INDEX(Cables!$AO:$AO,MATCH(G307,Cables!$A:$A,0))-1+MIN(MAX(IFERROR(MATCH(LN(D307),INDEX(Attenuation!$J:$J,INDEX(Cables!$AO:$AO,MATCH(G307,Cables!$A:$A,0))):INDEX(Attenuation!$J:$J,INDEX(Cables!$AO:$AO,MATCH(G307,Cables!$A:$A,0))+INDEX(Cables!$AP:$AP,MATCH(G307,Cables!$A:$A,0))-1),1),1),1),INDEX(Cables!$AP:$AP,MATCH(G307,Cables!$A:$A,0))-1))):INDEX(Attenuation!$K:$K,(INDEX(Cables!$AO:$AO,MATCH(G307,Cables!$A:$A,0))-1+MIN(MAX(IFERROR(MATCH(LN(D307),INDEX(Attenuation!$J:$J,INDEX(Cables!$AO:$AO,MATCH(G307,Cables!$A:$A,0))):INDEX(Attenuation!$J:$J,INDEX(Cables!$AO:$AO,MATCH(G307,Cables!$A:$A,0))+INDEX(Cables!$AP:$AP,MATCH(G307,Cables!$A:$A,0))-1),1),1),1),INDEX(Cables!$AP:$AP,MATCH(G307,Cables!$A:$A,0))-1))+1),INDEX(Attenuation!$J:$J,(INDEX(Cables!$AO:$AO,MATCH(G307,Cables!$A:$A,0))-1+MIN(MAX(IFERROR(MATCH(LN(D307),INDEX(Attenuation!$J:$J,INDEX(Cables!$AO:$AO,MATCH(G307,Cables!$A:$A,0))):INDEX(Attenuation!$J:$J,INDEX(Cables!$AO:$AO,MATCH(G307,Cables!$A:$A,0))+INDEX(Cables!$AP:$AP,MATCH(G307,Cables!$A:$A,0))-1),1),1),1),INDEX(Cables!$AP:$AP,MATCH(G307,Cables!$A:$A,0))-1))):INDEX(Attenuation!$J:$J,(INDEX(Cables!$AO:$AO,MATCH(G307,Cables!$A:$A,0))-1+MIN(MAX(IFERROR(MATCH(LN(D307),INDEX(Attenuation!$J:$J,INDEX(Cables!$AO:$AO,MATCH(G307,Cables!$A:$A,0))):INDEX(Attenuation!$J:$J,INDEX(Cables!$AO:$AO,MATCH(G307,Cables!$A:$A,0))+INDEX(Cables!$AP:$AP,MATCH(G307,Cables!$A:$A,0))-1),1),1),1),INDEX(Cables!$AP:$AP,MATCH(G307,Cables!$A:$A,0))-1))+1)))*0.3048)</f>
        <v>1.2117472857522109</v>
      </c>
      <c r="I307" s="43">
        <f>IF(G307="","",EXP(FORECAST(LN(E307),INDEX(Attenuation!$K:$K,(INDEX(Cables!$AO:$AO,MATCH(G307,Cables!$A:$A,0))-1+MIN(MAX(IFERROR(MATCH(LN(E307),INDEX(Attenuation!$J:$J,INDEX(Cables!$AO:$AO,MATCH(G307,Cables!$A:$A,0))):INDEX(Attenuation!$J:$J,INDEX(Cables!$AO:$AO,MATCH(G307,Cables!$A:$A,0))+INDEX(Cables!$AP:$AP,MATCH(G307,Cables!$A:$A,0))-1),1),1),1),INDEX(Cables!$AP:$AP,MATCH(G307,Cables!$A:$A,0))-1))):INDEX(Attenuation!$K:$K,(INDEX(Cables!$AO:$AO,MATCH(G307,Cables!$A:$A,0))-1+MIN(MAX(IFERROR(MATCH(LN(E307),INDEX(Attenuation!$J:$J,INDEX(Cables!$AO:$AO,MATCH(G307,Cables!$A:$A,0))):INDEX(Attenuation!$J:$J,INDEX(Cables!$AO:$AO,MATCH(G307,Cables!$A:$A,0))+INDEX(Cables!$AP:$AP,MATCH(G307,Cables!$A:$A,0))-1),1),1),1),INDEX(Cables!$AP:$AP,MATCH(G307,Cables!$A:$A,0))-1))+1),INDEX(Attenuation!$J:$J,(INDEX(Cables!$AO:$AO,MATCH(G307,Cables!$A:$A,0))-1+MIN(MAX(IFERROR(MATCH(LN(E307),INDEX(Attenuation!$J:$J,INDEX(Cables!$AO:$AO,MATCH(G307,Cables!$A:$A,0))):INDEX(Attenuation!$J:$J,INDEX(Cables!$AO:$AO,MATCH(G307,Cables!$A:$A,0))+INDEX(Cables!$AP:$AP,MATCH(G307,Cables!$A:$A,0))-1),1),1),1),INDEX(Cables!$AP:$AP,MATCH(G307,Cables!$A:$A,0))-1))):INDEX(Attenuation!$J:$J,(INDEX(Cables!$AO:$AO,MATCH(G307,Cables!$A:$A,0))-1+MIN(MAX(IFERROR(MATCH(LN(E307),INDEX(Attenuation!$J:$J,INDEX(Cables!$AO:$AO,MATCH(G307,Cables!$A:$A,0))):INDEX(Attenuation!$J:$J,INDEX(Cables!$AO:$AO,MATCH(G307,Cables!$A:$A,0))+INDEX(Cables!$AP:$AP,MATCH(G307,Cables!$A:$A,0))-1),1),1),1),INDEX(Cables!$AP:$AP,MATCH(G307,Cables!$A:$A,0))-1))+1)))*0.3048)</f>
        <v>1.3182793748574557</v>
      </c>
      <c r="J307" s="44">
        <f t="shared" si="4"/>
        <v>-9.2219959612157898E-2</v>
      </c>
      <c r="K307" s="40" t="str">
        <f>IF(G307="","Doğrulanmadı",IF(ABS(J307)&lt;=0.1,"Uyumlu (±%10)",IF(ABS(J307)&lt;=0.25,"Fark %10-25","Fark &gt;%25"))&amp;IF(OR(D307&lt;INDEX(Cables!$AQ:$AQ,MATCH(G307,Cables!$A:$A,0)),E307&gt;INDEX(Cables!$AR:$AR,MATCH(G307,Cables!$A:$A,0)))," · ekstrapolasyon",""))</f>
        <v>Uyumlu (±%10)</v>
      </c>
    </row>
    <row r="308" spans="1:11" x14ac:dyDescent="0.25">
      <c r="A308" s="37" t="s">
        <v>3060</v>
      </c>
      <c r="B308" s="40" t="str">
        <f>INDEX(Legacy_Index!$D:$D,MATCH(A308,Legacy_Index!$A:$A,0))</f>
        <v>LMR500</v>
      </c>
      <c r="C308" s="37" t="s">
        <v>3115</v>
      </c>
      <c r="D308" s="37">
        <v>400</v>
      </c>
      <c r="E308" s="37">
        <v>520</v>
      </c>
      <c r="F308" s="37">
        <v>2.1</v>
      </c>
      <c r="G308" s="40" t="str">
        <f>IF(INDEX(Legacy_Index!$G:$G,MATCH(A308,Legacy_Index!$A:$A,0))="","",INDEX(Legacy_Index!$G:$G,MATCH(A308,Legacy_Index!$A:$A,0)))</f>
        <v>TMS-LMR500</v>
      </c>
      <c r="H308" s="43">
        <f>IF(G308="","",EXP(FORECAST(LN(D308),INDEX(Attenuation!$K:$K,(INDEX(Cables!$AO:$AO,MATCH(G308,Cables!$A:$A,0))-1+MIN(MAX(IFERROR(MATCH(LN(D308),INDEX(Attenuation!$J:$J,INDEX(Cables!$AO:$AO,MATCH(G308,Cables!$A:$A,0))):INDEX(Attenuation!$J:$J,INDEX(Cables!$AO:$AO,MATCH(G308,Cables!$A:$A,0))+INDEX(Cables!$AP:$AP,MATCH(G308,Cables!$A:$A,0))-1),1),1),1),INDEX(Cables!$AP:$AP,MATCH(G308,Cables!$A:$A,0))-1))):INDEX(Attenuation!$K:$K,(INDEX(Cables!$AO:$AO,MATCH(G308,Cables!$A:$A,0))-1+MIN(MAX(IFERROR(MATCH(LN(D308),INDEX(Attenuation!$J:$J,INDEX(Cables!$AO:$AO,MATCH(G308,Cables!$A:$A,0))):INDEX(Attenuation!$J:$J,INDEX(Cables!$AO:$AO,MATCH(G308,Cables!$A:$A,0))+INDEX(Cables!$AP:$AP,MATCH(G308,Cables!$A:$A,0))-1),1),1),1),INDEX(Cables!$AP:$AP,MATCH(G308,Cables!$A:$A,0))-1))+1),INDEX(Attenuation!$J:$J,(INDEX(Cables!$AO:$AO,MATCH(G308,Cables!$A:$A,0))-1+MIN(MAX(IFERROR(MATCH(LN(D308),INDEX(Attenuation!$J:$J,INDEX(Cables!$AO:$AO,MATCH(G308,Cables!$A:$A,0))):INDEX(Attenuation!$J:$J,INDEX(Cables!$AO:$AO,MATCH(G308,Cables!$A:$A,0))+INDEX(Cables!$AP:$AP,MATCH(G308,Cables!$A:$A,0))-1),1),1),1),INDEX(Cables!$AP:$AP,MATCH(G308,Cables!$A:$A,0))-1))):INDEX(Attenuation!$J:$J,(INDEX(Cables!$AO:$AO,MATCH(G308,Cables!$A:$A,0))-1+MIN(MAX(IFERROR(MATCH(LN(D308),INDEX(Attenuation!$J:$J,INDEX(Cables!$AO:$AO,MATCH(G308,Cables!$A:$A,0))):INDEX(Attenuation!$J:$J,INDEX(Cables!$AO:$AO,MATCH(G308,Cables!$A:$A,0))+INDEX(Cables!$AP:$AP,MATCH(G308,Cables!$A:$A,0))-1),1),1),1),INDEX(Cables!$AP:$AP,MATCH(G308,Cables!$A:$A,0))-1))+1)))*0.3048)</f>
        <v>2.0397960750601865</v>
      </c>
      <c r="I308" s="43">
        <f>IF(G308="","",EXP(FORECAST(LN(E308),INDEX(Attenuation!$K:$K,(INDEX(Cables!$AO:$AO,MATCH(G308,Cables!$A:$A,0))-1+MIN(MAX(IFERROR(MATCH(LN(E308),INDEX(Attenuation!$J:$J,INDEX(Cables!$AO:$AO,MATCH(G308,Cables!$A:$A,0))):INDEX(Attenuation!$J:$J,INDEX(Cables!$AO:$AO,MATCH(G308,Cables!$A:$A,0))+INDEX(Cables!$AP:$AP,MATCH(G308,Cables!$A:$A,0))-1),1),1),1),INDEX(Cables!$AP:$AP,MATCH(G308,Cables!$A:$A,0))-1))):INDEX(Attenuation!$K:$K,(INDEX(Cables!$AO:$AO,MATCH(G308,Cables!$A:$A,0))-1+MIN(MAX(IFERROR(MATCH(LN(E308),INDEX(Attenuation!$J:$J,INDEX(Cables!$AO:$AO,MATCH(G308,Cables!$A:$A,0))):INDEX(Attenuation!$J:$J,INDEX(Cables!$AO:$AO,MATCH(G308,Cables!$A:$A,0))+INDEX(Cables!$AP:$AP,MATCH(G308,Cables!$A:$A,0))-1),1),1),1),INDEX(Cables!$AP:$AP,MATCH(G308,Cables!$A:$A,0))-1))+1),INDEX(Attenuation!$J:$J,(INDEX(Cables!$AO:$AO,MATCH(G308,Cables!$A:$A,0))-1+MIN(MAX(IFERROR(MATCH(LN(E308),INDEX(Attenuation!$J:$J,INDEX(Cables!$AO:$AO,MATCH(G308,Cables!$A:$A,0))):INDEX(Attenuation!$J:$J,INDEX(Cables!$AO:$AO,MATCH(G308,Cables!$A:$A,0))+INDEX(Cables!$AP:$AP,MATCH(G308,Cables!$A:$A,0))-1),1),1),1),INDEX(Cables!$AP:$AP,MATCH(G308,Cables!$A:$A,0))-1))):INDEX(Attenuation!$J:$J,(INDEX(Cables!$AO:$AO,MATCH(G308,Cables!$A:$A,0))-1+MIN(MAX(IFERROR(MATCH(LN(E308),INDEX(Attenuation!$J:$J,INDEX(Cables!$AO:$AO,MATCH(G308,Cables!$A:$A,0))):INDEX(Attenuation!$J:$J,INDEX(Cables!$AO:$AO,MATCH(G308,Cables!$A:$A,0))+INDEX(Cables!$AP:$AP,MATCH(G308,Cables!$A:$A,0))-1),1),1),1),INDEX(Cables!$AP:$AP,MATCH(G308,Cables!$A:$A,0))-1))+1)))*0.3048)</f>
        <v>2.3504593317065683</v>
      </c>
      <c r="J308" s="44">
        <f t="shared" si="4"/>
        <v>0</v>
      </c>
      <c r="K308" s="40" t="str">
        <f>IF(G308="","Doğrulanmadı",IF(ABS(J308)&lt;=0.1,"Uyumlu (±%10)",IF(ABS(J308)&lt;=0.25,"Fark %10-25","Fark &gt;%25"))&amp;IF(OR(D308&lt;INDEX(Cables!$AQ:$AQ,MATCH(G308,Cables!$A:$A,0)),E308&gt;INDEX(Cables!$AR:$AR,MATCH(G308,Cables!$A:$A,0)))," · ekstrapolasyon",""))</f>
        <v>Uyumlu (±%10)</v>
      </c>
    </row>
    <row r="309" spans="1:11" x14ac:dyDescent="0.25">
      <c r="A309" s="37" t="s">
        <v>3060</v>
      </c>
      <c r="B309" s="40" t="str">
        <f>INDEX(Legacy_Index!$D:$D,MATCH(A309,Legacy_Index!$A:$A,0))</f>
        <v>LMR500</v>
      </c>
      <c r="C309" s="37" t="s">
        <v>3116</v>
      </c>
      <c r="D309" s="37">
        <v>700</v>
      </c>
      <c r="E309" s="37">
        <v>960</v>
      </c>
      <c r="F309" s="37">
        <v>3.2</v>
      </c>
      <c r="G309" s="40" t="str">
        <f>IF(INDEX(Legacy_Index!$G:$G,MATCH(A309,Legacy_Index!$A:$A,0))="","",INDEX(Legacy_Index!$G:$G,MATCH(A309,Legacy_Index!$A:$A,0)))</f>
        <v>TMS-LMR500</v>
      </c>
      <c r="H309" s="43">
        <f>IF(G309="","",EXP(FORECAST(LN(D309),INDEX(Attenuation!$K:$K,(INDEX(Cables!$AO:$AO,MATCH(G309,Cables!$A:$A,0))-1+MIN(MAX(IFERROR(MATCH(LN(D309),INDEX(Attenuation!$J:$J,INDEX(Cables!$AO:$AO,MATCH(G309,Cables!$A:$A,0))):INDEX(Attenuation!$J:$J,INDEX(Cables!$AO:$AO,MATCH(G309,Cables!$A:$A,0))+INDEX(Cables!$AP:$AP,MATCH(G309,Cables!$A:$A,0))-1),1),1),1),INDEX(Cables!$AP:$AP,MATCH(G309,Cables!$A:$A,0))-1))):INDEX(Attenuation!$K:$K,(INDEX(Cables!$AO:$AO,MATCH(G309,Cables!$A:$A,0))-1+MIN(MAX(IFERROR(MATCH(LN(D309),INDEX(Attenuation!$J:$J,INDEX(Cables!$AO:$AO,MATCH(G309,Cables!$A:$A,0))):INDEX(Attenuation!$J:$J,INDEX(Cables!$AO:$AO,MATCH(G309,Cables!$A:$A,0))+INDEX(Cables!$AP:$AP,MATCH(G309,Cables!$A:$A,0))-1),1),1),1),INDEX(Cables!$AP:$AP,MATCH(G309,Cables!$A:$A,0))-1))+1),INDEX(Attenuation!$J:$J,(INDEX(Cables!$AO:$AO,MATCH(G309,Cables!$A:$A,0))-1+MIN(MAX(IFERROR(MATCH(LN(D309),INDEX(Attenuation!$J:$J,INDEX(Cables!$AO:$AO,MATCH(G309,Cables!$A:$A,0))):INDEX(Attenuation!$J:$J,INDEX(Cables!$AO:$AO,MATCH(G309,Cables!$A:$A,0))+INDEX(Cables!$AP:$AP,MATCH(G309,Cables!$A:$A,0))-1),1),1),1),INDEX(Cables!$AP:$AP,MATCH(G309,Cables!$A:$A,0))-1))):INDEX(Attenuation!$J:$J,(INDEX(Cables!$AO:$AO,MATCH(G309,Cables!$A:$A,0))-1+MIN(MAX(IFERROR(MATCH(LN(D309),INDEX(Attenuation!$J:$J,INDEX(Cables!$AO:$AO,MATCH(G309,Cables!$A:$A,0))):INDEX(Attenuation!$J:$J,INDEX(Cables!$AO:$AO,MATCH(G309,Cables!$A:$A,0))+INDEX(Cables!$AP:$AP,MATCH(G309,Cables!$A:$A,0))-1),1),1),1),INDEX(Cables!$AP:$AP,MATCH(G309,Cables!$A:$A,0))-1))+1)))*0.3048)</f>
        <v>2.7699999999999991</v>
      </c>
      <c r="I309" s="43">
        <f>IF(G309="","",EXP(FORECAST(LN(E309),INDEX(Attenuation!$K:$K,(INDEX(Cables!$AO:$AO,MATCH(G309,Cables!$A:$A,0))-1+MIN(MAX(IFERROR(MATCH(LN(E309),INDEX(Attenuation!$J:$J,INDEX(Cables!$AO:$AO,MATCH(G309,Cables!$A:$A,0))):INDEX(Attenuation!$J:$J,INDEX(Cables!$AO:$AO,MATCH(G309,Cables!$A:$A,0))+INDEX(Cables!$AP:$AP,MATCH(G309,Cables!$A:$A,0))-1),1),1),1),INDEX(Cables!$AP:$AP,MATCH(G309,Cables!$A:$A,0))-1))):INDEX(Attenuation!$K:$K,(INDEX(Cables!$AO:$AO,MATCH(G309,Cables!$A:$A,0))-1+MIN(MAX(IFERROR(MATCH(LN(E309),INDEX(Attenuation!$J:$J,INDEX(Cables!$AO:$AO,MATCH(G309,Cables!$A:$A,0))):INDEX(Attenuation!$J:$J,INDEX(Cables!$AO:$AO,MATCH(G309,Cables!$A:$A,0))+INDEX(Cables!$AP:$AP,MATCH(G309,Cables!$A:$A,0))-1),1),1),1),INDEX(Cables!$AP:$AP,MATCH(G309,Cables!$A:$A,0))-1))+1),INDEX(Attenuation!$J:$J,(INDEX(Cables!$AO:$AO,MATCH(G309,Cables!$A:$A,0))-1+MIN(MAX(IFERROR(MATCH(LN(E309),INDEX(Attenuation!$J:$J,INDEX(Cables!$AO:$AO,MATCH(G309,Cables!$A:$A,0))):INDEX(Attenuation!$J:$J,INDEX(Cables!$AO:$AO,MATCH(G309,Cables!$A:$A,0))+INDEX(Cables!$AP:$AP,MATCH(G309,Cables!$A:$A,0))-1),1),1),1),INDEX(Cables!$AP:$AP,MATCH(G309,Cables!$A:$A,0))-1))):INDEX(Attenuation!$J:$J,(INDEX(Cables!$AO:$AO,MATCH(G309,Cables!$A:$A,0))-1+MIN(MAX(IFERROR(MATCH(LN(E309),INDEX(Attenuation!$J:$J,INDEX(Cables!$AO:$AO,MATCH(G309,Cables!$A:$A,0))):INDEX(Attenuation!$J:$J,INDEX(Cables!$AO:$AO,MATCH(G309,Cables!$A:$A,0))+INDEX(Cables!$AP:$AP,MATCH(G309,Cables!$A:$A,0))-1),1),1),1),INDEX(Cables!$AP:$AP,MATCH(G309,Cables!$A:$A,0))-1))+1)))*0.3048)</f>
        <v>3.2415788255913967</v>
      </c>
      <c r="J309" s="44">
        <f t="shared" si="4"/>
        <v>0</v>
      </c>
      <c r="K309" s="40" t="str">
        <f>IF(G309="","Doğrulanmadı",IF(ABS(J309)&lt;=0.1,"Uyumlu (±%10)",IF(ABS(J309)&lt;=0.25,"Fark %10-25","Fark &gt;%25"))&amp;IF(OR(D309&lt;INDEX(Cables!$AQ:$AQ,MATCH(G309,Cables!$A:$A,0)),E309&gt;INDEX(Cables!$AR:$AR,MATCH(G309,Cables!$A:$A,0)))," · ekstrapolasyon",""))</f>
        <v>Uyumlu (±%10)</v>
      </c>
    </row>
    <row r="310" spans="1:11" x14ac:dyDescent="0.25">
      <c r="A310" s="37" t="s">
        <v>3060</v>
      </c>
      <c r="B310" s="40" t="str">
        <f>INDEX(Legacy_Index!$D:$D,MATCH(A310,Legacy_Index!$A:$A,0))</f>
        <v>LMR500</v>
      </c>
      <c r="C310" s="37" t="s">
        <v>3120</v>
      </c>
      <c r="D310" s="37">
        <v>1200</v>
      </c>
      <c r="E310" s="37">
        <v>1300</v>
      </c>
      <c r="F310" s="37">
        <v>3.5</v>
      </c>
      <c r="G310" s="40" t="str">
        <f>IF(INDEX(Legacy_Index!$G:$G,MATCH(A310,Legacy_Index!$A:$A,0))="","",INDEX(Legacy_Index!$G:$G,MATCH(A310,Legacy_Index!$A:$A,0)))</f>
        <v>TMS-LMR500</v>
      </c>
      <c r="H310" s="43">
        <f>IF(G310="","",EXP(FORECAST(LN(D310),INDEX(Attenuation!$K:$K,(INDEX(Cables!$AO:$AO,MATCH(G310,Cables!$A:$A,0))-1+MIN(MAX(IFERROR(MATCH(LN(D310),INDEX(Attenuation!$J:$J,INDEX(Cables!$AO:$AO,MATCH(G310,Cables!$A:$A,0))):INDEX(Attenuation!$J:$J,INDEX(Cables!$AO:$AO,MATCH(G310,Cables!$A:$A,0))+INDEX(Cables!$AP:$AP,MATCH(G310,Cables!$A:$A,0))-1),1),1),1),INDEX(Cables!$AP:$AP,MATCH(G310,Cables!$A:$A,0))-1))):INDEX(Attenuation!$K:$K,(INDEX(Cables!$AO:$AO,MATCH(G310,Cables!$A:$A,0))-1+MIN(MAX(IFERROR(MATCH(LN(D310),INDEX(Attenuation!$J:$J,INDEX(Cables!$AO:$AO,MATCH(G310,Cables!$A:$A,0))):INDEX(Attenuation!$J:$J,INDEX(Cables!$AO:$AO,MATCH(G310,Cables!$A:$A,0))+INDEX(Cables!$AP:$AP,MATCH(G310,Cables!$A:$A,0))-1),1),1),1),INDEX(Cables!$AP:$AP,MATCH(G310,Cables!$A:$A,0))-1))+1),INDEX(Attenuation!$J:$J,(INDEX(Cables!$AO:$AO,MATCH(G310,Cables!$A:$A,0))-1+MIN(MAX(IFERROR(MATCH(LN(D310),INDEX(Attenuation!$J:$J,INDEX(Cables!$AO:$AO,MATCH(G310,Cables!$A:$A,0))):INDEX(Attenuation!$J:$J,INDEX(Cables!$AO:$AO,MATCH(G310,Cables!$A:$A,0))+INDEX(Cables!$AP:$AP,MATCH(G310,Cables!$A:$A,0))-1),1),1),1),INDEX(Cables!$AP:$AP,MATCH(G310,Cables!$A:$A,0))-1))):INDEX(Attenuation!$J:$J,(INDEX(Cables!$AO:$AO,MATCH(G310,Cables!$A:$A,0))-1+MIN(MAX(IFERROR(MATCH(LN(D310),INDEX(Attenuation!$J:$J,INDEX(Cables!$AO:$AO,MATCH(G310,Cables!$A:$A,0))):INDEX(Attenuation!$J:$J,INDEX(Cables!$AO:$AO,MATCH(G310,Cables!$A:$A,0))+INDEX(Cables!$AP:$AP,MATCH(G310,Cables!$A:$A,0))-1),1),1),1),INDEX(Cables!$AP:$AP,MATCH(G310,Cables!$A:$A,0))-1))+1)))*0.3048)</f>
        <v>3.6589234140239211</v>
      </c>
      <c r="I310" s="43">
        <f>IF(G310="","",EXP(FORECAST(LN(E310),INDEX(Attenuation!$K:$K,(INDEX(Cables!$AO:$AO,MATCH(G310,Cables!$A:$A,0))-1+MIN(MAX(IFERROR(MATCH(LN(E310),INDEX(Attenuation!$J:$J,INDEX(Cables!$AO:$AO,MATCH(G310,Cables!$A:$A,0))):INDEX(Attenuation!$J:$J,INDEX(Cables!$AO:$AO,MATCH(G310,Cables!$A:$A,0))+INDEX(Cables!$AP:$AP,MATCH(G310,Cables!$A:$A,0))-1),1),1),1),INDEX(Cables!$AP:$AP,MATCH(G310,Cables!$A:$A,0))-1))):INDEX(Attenuation!$K:$K,(INDEX(Cables!$AO:$AO,MATCH(G310,Cables!$A:$A,0))-1+MIN(MAX(IFERROR(MATCH(LN(E310),INDEX(Attenuation!$J:$J,INDEX(Cables!$AO:$AO,MATCH(G310,Cables!$A:$A,0))):INDEX(Attenuation!$J:$J,INDEX(Cables!$AO:$AO,MATCH(G310,Cables!$A:$A,0))+INDEX(Cables!$AP:$AP,MATCH(G310,Cables!$A:$A,0))-1),1),1),1),INDEX(Cables!$AP:$AP,MATCH(G310,Cables!$A:$A,0))-1))+1),INDEX(Attenuation!$J:$J,(INDEX(Cables!$AO:$AO,MATCH(G310,Cables!$A:$A,0))-1+MIN(MAX(IFERROR(MATCH(LN(E310),INDEX(Attenuation!$J:$J,INDEX(Cables!$AO:$AO,MATCH(G310,Cables!$A:$A,0))):INDEX(Attenuation!$J:$J,INDEX(Cables!$AO:$AO,MATCH(G310,Cables!$A:$A,0))+INDEX(Cables!$AP:$AP,MATCH(G310,Cables!$A:$A,0))-1),1),1),1),INDEX(Cables!$AP:$AP,MATCH(G310,Cables!$A:$A,0))-1))):INDEX(Attenuation!$J:$J,(INDEX(Cables!$AO:$AO,MATCH(G310,Cables!$A:$A,0))-1+MIN(MAX(IFERROR(MATCH(LN(E310),INDEX(Attenuation!$J:$J,INDEX(Cables!$AO:$AO,MATCH(G310,Cables!$A:$A,0))):INDEX(Attenuation!$J:$J,INDEX(Cables!$AO:$AO,MATCH(G310,Cables!$A:$A,0))+INDEX(Cables!$AP:$AP,MATCH(G310,Cables!$A:$A,0))-1),1),1),1),INDEX(Cables!$AP:$AP,MATCH(G310,Cables!$A:$A,0))-1))+1)))*0.3048)</f>
        <v>3.8213782741640601</v>
      </c>
      <c r="J310" s="44">
        <f t="shared" si="4"/>
        <v>-4.3434474035395021E-2</v>
      </c>
      <c r="K310" s="40" t="str">
        <f>IF(G310="","Doğrulanmadı",IF(ABS(J310)&lt;=0.1,"Uyumlu (±%10)",IF(ABS(J310)&lt;=0.25,"Fark %10-25","Fark &gt;%25"))&amp;IF(OR(D310&lt;INDEX(Cables!$AQ:$AQ,MATCH(G310,Cables!$A:$A,0)),E310&gt;INDEX(Cables!$AR:$AR,MATCH(G310,Cables!$A:$A,0)))," · ekstrapolasyon",""))</f>
        <v>Uyumlu (±%10)</v>
      </c>
    </row>
    <row r="311" spans="1:11" x14ac:dyDescent="0.25">
      <c r="A311" s="37" t="s">
        <v>3062</v>
      </c>
      <c r="B311" s="40" t="str">
        <f>INDEX(Legacy_Index!$D:$D,MATCH(A311,Legacy_Index!$A:$A,0))</f>
        <v>HYPERFLEX 13™ Messi and Paoloni</v>
      </c>
      <c r="C311" s="37" t="s">
        <v>3117</v>
      </c>
      <c r="D311" s="37">
        <v>1</v>
      </c>
      <c r="E311" s="37">
        <v>10</v>
      </c>
      <c r="F311" s="37">
        <v>0.24</v>
      </c>
      <c r="G311" s="40" t="str">
        <f>IF(INDEX(Legacy_Index!$G:$G,MATCH(A311,Legacy_Index!$A:$A,0))="","",INDEX(Legacy_Index!$G:$G,MATCH(A311,Legacy_Index!$A:$A,0)))</f>
        <v>MP-HYPERFLEX13</v>
      </c>
      <c r="H311" s="43">
        <f>IF(G311="","",EXP(FORECAST(LN(D311),INDEX(Attenuation!$K:$K,(INDEX(Cables!$AO:$AO,MATCH(G311,Cables!$A:$A,0))-1+MIN(MAX(IFERROR(MATCH(LN(D311),INDEX(Attenuation!$J:$J,INDEX(Cables!$AO:$AO,MATCH(G311,Cables!$A:$A,0))):INDEX(Attenuation!$J:$J,INDEX(Cables!$AO:$AO,MATCH(G311,Cables!$A:$A,0))+INDEX(Cables!$AP:$AP,MATCH(G311,Cables!$A:$A,0))-1),1),1),1),INDEX(Cables!$AP:$AP,MATCH(G311,Cables!$A:$A,0))-1))):INDEX(Attenuation!$K:$K,(INDEX(Cables!$AO:$AO,MATCH(G311,Cables!$A:$A,0))-1+MIN(MAX(IFERROR(MATCH(LN(D311),INDEX(Attenuation!$J:$J,INDEX(Cables!$AO:$AO,MATCH(G311,Cables!$A:$A,0))):INDEX(Attenuation!$J:$J,INDEX(Cables!$AO:$AO,MATCH(G311,Cables!$A:$A,0))+INDEX(Cables!$AP:$AP,MATCH(G311,Cables!$A:$A,0))-1),1),1),1),INDEX(Cables!$AP:$AP,MATCH(G311,Cables!$A:$A,0))-1))+1),INDEX(Attenuation!$J:$J,(INDEX(Cables!$AO:$AO,MATCH(G311,Cables!$A:$A,0))-1+MIN(MAX(IFERROR(MATCH(LN(D311),INDEX(Attenuation!$J:$J,INDEX(Cables!$AO:$AO,MATCH(G311,Cables!$A:$A,0))):INDEX(Attenuation!$J:$J,INDEX(Cables!$AO:$AO,MATCH(G311,Cables!$A:$A,0))+INDEX(Cables!$AP:$AP,MATCH(G311,Cables!$A:$A,0))-1),1),1),1),INDEX(Cables!$AP:$AP,MATCH(G311,Cables!$A:$A,0))-1))):INDEX(Attenuation!$J:$J,(INDEX(Cables!$AO:$AO,MATCH(G311,Cables!$A:$A,0))-1+MIN(MAX(IFERROR(MATCH(LN(D311),INDEX(Attenuation!$J:$J,INDEX(Cables!$AO:$AO,MATCH(G311,Cables!$A:$A,0))):INDEX(Attenuation!$J:$J,INDEX(Cables!$AO:$AO,MATCH(G311,Cables!$A:$A,0))+INDEX(Cables!$AP:$AP,MATCH(G311,Cables!$A:$A,0))-1),1),1),1),INDEX(Cables!$AP:$AP,MATCH(G311,Cables!$A:$A,0))-1))+1)))*0.3048)</f>
        <v>0.12971642873764672</v>
      </c>
      <c r="I311" s="43">
        <f>IF(G311="","",EXP(FORECAST(LN(E311),INDEX(Attenuation!$K:$K,(INDEX(Cables!$AO:$AO,MATCH(G311,Cables!$A:$A,0))-1+MIN(MAX(IFERROR(MATCH(LN(E311),INDEX(Attenuation!$J:$J,INDEX(Cables!$AO:$AO,MATCH(G311,Cables!$A:$A,0))):INDEX(Attenuation!$J:$J,INDEX(Cables!$AO:$AO,MATCH(G311,Cables!$A:$A,0))+INDEX(Cables!$AP:$AP,MATCH(G311,Cables!$A:$A,0))-1),1),1),1),INDEX(Cables!$AP:$AP,MATCH(G311,Cables!$A:$A,0))-1))):INDEX(Attenuation!$K:$K,(INDEX(Cables!$AO:$AO,MATCH(G311,Cables!$A:$A,0))-1+MIN(MAX(IFERROR(MATCH(LN(E311),INDEX(Attenuation!$J:$J,INDEX(Cables!$AO:$AO,MATCH(G311,Cables!$A:$A,0))):INDEX(Attenuation!$J:$J,INDEX(Cables!$AO:$AO,MATCH(G311,Cables!$A:$A,0))+INDEX(Cables!$AP:$AP,MATCH(G311,Cables!$A:$A,0))-1),1),1),1),INDEX(Cables!$AP:$AP,MATCH(G311,Cables!$A:$A,0))-1))+1),INDEX(Attenuation!$J:$J,(INDEX(Cables!$AO:$AO,MATCH(G311,Cables!$A:$A,0))-1+MIN(MAX(IFERROR(MATCH(LN(E311),INDEX(Attenuation!$J:$J,INDEX(Cables!$AO:$AO,MATCH(G311,Cables!$A:$A,0))):INDEX(Attenuation!$J:$J,INDEX(Cables!$AO:$AO,MATCH(G311,Cables!$A:$A,0))+INDEX(Cables!$AP:$AP,MATCH(G311,Cables!$A:$A,0))-1),1),1),1),INDEX(Cables!$AP:$AP,MATCH(G311,Cables!$A:$A,0))-1))):INDEX(Attenuation!$J:$J,(INDEX(Cables!$AO:$AO,MATCH(G311,Cables!$A:$A,0))-1+MIN(MAX(IFERROR(MATCH(LN(E311),INDEX(Attenuation!$J:$J,INDEX(Cables!$AO:$AO,MATCH(G311,Cables!$A:$A,0))):INDEX(Attenuation!$J:$J,INDEX(Cables!$AO:$AO,MATCH(G311,Cables!$A:$A,0))+INDEX(Cables!$AP:$AP,MATCH(G311,Cables!$A:$A,0))-1),1),1),1),INDEX(Cables!$AP:$AP,MATCH(G311,Cables!$A:$A,0))-1))+1)))*0.3048)</f>
        <v>0.30480000000000002</v>
      </c>
      <c r="J311" s="44">
        <f t="shared" si="4"/>
        <v>0</v>
      </c>
      <c r="K311" s="40" t="str">
        <f>IF(G311="","Doğrulanmadı",IF(ABS(J311)&lt;=0.1,"Uyumlu (±%10)",IF(ABS(J311)&lt;=0.25,"Fark %10-25","Fark &gt;%25"))&amp;IF(OR(D311&lt;INDEX(Cables!$AQ:$AQ,MATCH(G311,Cables!$A:$A,0)),E311&gt;INDEX(Cables!$AR:$AR,MATCH(G311,Cables!$A:$A,0)))," · ekstrapolasyon",""))</f>
        <v>Uyumlu (±%10) · ekstrapolasyon</v>
      </c>
    </row>
    <row r="312" spans="1:11" x14ac:dyDescent="0.25">
      <c r="A312" s="37" t="s">
        <v>3062</v>
      </c>
      <c r="B312" s="40" t="str">
        <f>INDEX(Legacy_Index!$D:$D,MATCH(A312,Legacy_Index!$A:$A,0))</f>
        <v>HYPERFLEX 13™ Messi and Paoloni</v>
      </c>
      <c r="C312" s="37" t="s">
        <v>3118</v>
      </c>
      <c r="D312" s="37">
        <v>30</v>
      </c>
      <c r="E312" s="37">
        <v>50</v>
      </c>
      <c r="F312" s="37">
        <v>0.5</v>
      </c>
      <c r="G312" s="40" t="str">
        <f>IF(INDEX(Legacy_Index!$G:$G,MATCH(A312,Legacy_Index!$A:$A,0))="","",INDEX(Legacy_Index!$G:$G,MATCH(A312,Legacy_Index!$A:$A,0)))</f>
        <v>MP-HYPERFLEX13</v>
      </c>
      <c r="H312" s="43">
        <f>IF(G312="","",EXP(FORECAST(LN(D312),INDEX(Attenuation!$K:$K,(INDEX(Cables!$AO:$AO,MATCH(G312,Cables!$A:$A,0))-1+MIN(MAX(IFERROR(MATCH(LN(D312),INDEX(Attenuation!$J:$J,INDEX(Cables!$AO:$AO,MATCH(G312,Cables!$A:$A,0))):INDEX(Attenuation!$J:$J,INDEX(Cables!$AO:$AO,MATCH(G312,Cables!$A:$A,0))+INDEX(Cables!$AP:$AP,MATCH(G312,Cables!$A:$A,0))-1),1),1),1),INDEX(Cables!$AP:$AP,MATCH(G312,Cables!$A:$A,0))-1))):INDEX(Attenuation!$K:$K,(INDEX(Cables!$AO:$AO,MATCH(G312,Cables!$A:$A,0))-1+MIN(MAX(IFERROR(MATCH(LN(D312),INDEX(Attenuation!$J:$J,INDEX(Cables!$AO:$AO,MATCH(G312,Cables!$A:$A,0))):INDEX(Attenuation!$J:$J,INDEX(Cables!$AO:$AO,MATCH(G312,Cables!$A:$A,0))+INDEX(Cables!$AP:$AP,MATCH(G312,Cables!$A:$A,0))-1),1),1),1),INDEX(Cables!$AP:$AP,MATCH(G312,Cables!$A:$A,0))-1))+1),INDEX(Attenuation!$J:$J,(INDEX(Cables!$AO:$AO,MATCH(G312,Cables!$A:$A,0))-1+MIN(MAX(IFERROR(MATCH(LN(D312),INDEX(Attenuation!$J:$J,INDEX(Cables!$AO:$AO,MATCH(G312,Cables!$A:$A,0))):INDEX(Attenuation!$J:$J,INDEX(Cables!$AO:$AO,MATCH(G312,Cables!$A:$A,0))+INDEX(Cables!$AP:$AP,MATCH(G312,Cables!$A:$A,0))-1),1),1),1),INDEX(Cables!$AP:$AP,MATCH(G312,Cables!$A:$A,0))-1))):INDEX(Attenuation!$J:$J,(INDEX(Cables!$AO:$AO,MATCH(G312,Cables!$A:$A,0))-1+MIN(MAX(IFERROR(MATCH(LN(D312),INDEX(Attenuation!$J:$J,INDEX(Cables!$AO:$AO,MATCH(G312,Cables!$A:$A,0))):INDEX(Attenuation!$J:$J,INDEX(Cables!$AO:$AO,MATCH(G312,Cables!$A:$A,0))+INDEX(Cables!$AP:$AP,MATCH(G312,Cables!$A:$A,0))-1),1),1),1),INDEX(Cables!$AP:$AP,MATCH(G312,Cables!$A:$A,0))-1))+1)))*0.3048)</f>
        <v>0.47312156080353346</v>
      </c>
      <c r="I312" s="43">
        <f>IF(G312="","",EXP(FORECAST(LN(E312),INDEX(Attenuation!$K:$K,(INDEX(Cables!$AO:$AO,MATCH(G312,Cables!$A:$A,0))-1+MIN(MAX(IFERROR(MATCH(LN(E312),INDEX(Attenuation!$J:$J,INDEX(Cables!$AO:$AO,MATCH(G312,Cables!$A:$A,0))):INDEX(Attenuation!$J:$J,INDEX(Cables!$AO:$AO,MATCH(G312,Cables!$A:$A,0))+INDEX(Cables!$AP:$AP,MATCH(G312,Cables!$A:$A,0))-1),1),1),1),INDEX(Cables!$AP:$AP,MATCH(G312,Cables!$A:$A,0))-1))):INDEX(Attenuation!$K:$K,(INDEX(Cables!$AO:$AO,MATCH(G312,Cables!$A:$A,0))-1+MIN(MAX(IFERROR(MATCH(LN(E312),INDEX(Attenuation!$J:$J,INDEX(Cables!$AO:$AO,MATCH(G312,Cables!$A:$A,0))):INDEX(Attenuation!$J:$J,INDEX(Cables!$AO:$AO,MATCH(G312,Cables!$A:$A,0))+INDEX(Cables!$AP:$AP,MATCH(G312,Cables!$A:$A,0))-1),1),1),1),INDEX(Cables!$AP:$AP,MATCH(G312,Cables!$A:$A,0))-1))+1),INDEX(Attenuation!$J:$J,(INDEX(Cables!$AO:$AO,MATCH(G312,Cables!$A:$A,0))-1+MIN(MAX(IFERROR(MATCH(LN(E312),INDEX(Attenuation!$J:$J,INDEX(Cables!$AO:$AO,MATCH(G312,Cables!$A:$A,0))):INDEX(Attenuation!$J:$J,INDEX(Cables!$AO:$AO,MATCH(G312,Cables!$A:$A,0))+INDEX(Cables!$AP:$AP,MATCH(G312,Cables!$A:$A,0))-1),1),1),1),INDEX(Cables!$AP:$AP,MATCH(G312,Cables!$A:$A,0))-1))):INDEX(Attenuation!$J:$J,(INDEX(Cables!$AO:$AO,MATCH(G312,Cables!$A:$A,0))-1+MIN(MAX(IFERROR(MATCH(LN(E312),INDEX(Attenuation!$J:$J,INDEX(Cables!$AO:$AO,MATCH(G312,Cables!$A:$A,0))):INDEX(Attenuation!$J:$J,INDEX(Cables!$AO:$AO,MATCH(G312,Cables!$A:$A,0))+INDEX(Cables!$AP:$AP,MATCH(G312,Cables!$A:$A,0))-1),1),1),1),INDEX(Cables!$AP:$AP,MATCH(G312,Cables!$A:$A,0))-1))+1)))*0.3048)</f>
        <v>0.60959999999999992</v>
      </c>
      <c r="J312" s="44">
        <f t="shared" si="4"/>
        <v>0</v>
      </c>
      <c r="K312" s="40" t="str">
        <f>IF(G312="","Doğrulanmadı",IF(ABS(J312)&lt;=0.1,"Uyumlu (±%10)",IF(ABS(J312)&lt;=0.25,"Fark %10-25","Fark &gt;%25"))&amp;IF(OR(D312&lt;INDEX(Cables!$AQ:$AQ,MATCH(G312,Cables!$A:$A,0)),E312&gt;INDEX(Cables!$AR:$AR,MATCH(G312,Cables!$A:$A,0)))," · ekstrapolasyon",""))</f>
        <v>Uyumlu (±%10)</v>
      </c>
    </row>
    <row r="313" spans="1:11" x14ac:dyDescent="0.25">
      <c r="A313" s="37" t="s">
        <v>3062</v>
      </c>
      <c r="B313" s="40" t="str">
        <f>INDEX(Legacy_Index!$D:$D,MATCH(A313,Legacy_Index!$A:$A,0))</f>
        <v>HYPERFLEX 13™ Messi and Paoloni</v>
      </c>
      <c r="C313" s="37" t="s">
        <v>3113</v>
      </c>
      <c r="D313" s="37">
        <v>70</v>
      </c>
      <c r="E313" s="37">
        <v>100</v>
      </c>
      <c r="F313" s="37">
        <v>0.8</v>
      </c>
      <c r="G313" s="40" t="str">
        <f>IF(INDEX(Legacy_Index!$G:$G,MATCH(A313,Legacy_Index!$A:$A,0))="","",INDEX(Legacy_Index!$G:$G,MATCH(A313,Legacy_Index!$A:$A,0)))</f>
        <v>MP-HYPERFLEX13</v>
      </c>
      <c r="H313" s="43">
        <f>IF(G313="","",EXP(FORECAST(LN(D313),INDEX(Attenuation!$K:$K,(INDEX(Cables!$AO:$AO,MATCH(G313,Cables!$A:$A,0))-1+MIN(MAX(IFERROR(MATCH(LN(D313),INDEX(Attenuation!$J:$J,INDEX(Cables!$AO:$AO,MATCH(G313,Cables!$A:$A,0))):INDEX(Attenuation!$J:$J,INDEX(Cables!$AO:$AO,MATCH(G313,Cables!$A:$A,0))+INDEX(Cables!$AP:$AP,MATCH(G313,Cables!$A:$A,0))-1),1),1),1),INDEX(Cables!$AP:$AP,MATCH(G313,Cables!$A:$A,0))-1))):INDEX(Attenuation!$K:$K,(INDEX(Cables!$AO:$AO,MATCH(G313,Cables!$A:$A,0))-1+MIN(MAX(IFERROR(MATCH(LN(D313),INDEX(Attenuation!$J:$J,INDEX(Cables!$AO:$AO,MATCH(G313,Cables!$A:$A,0))):INDEX(Attenuation!$J:$J,INDEX(Cables!$AO:$AO,MATCH(G313,Cables!$A:$A,0))+INDEX(Cables!$AP:$AP,MATCH(G313,Cables!$A:$A,0))-1),1),1),1),INDEX(Cables!$AP:$AP,MATCH(G313,Cables!$A:$A,0))-1))+1),INDEX(Attenuation!$J:$J,(INDEX(Cables!$AO:$AO,MATCH(G313,Cables!$A:$A,0))-1+MIN(MAX(IFERROR(MATCH(LN(D313),INDEX(Attenuation!$J:$J,INDEX(Cables!$AO:$AO,MATCH(G313,Cables!$A:$A,0))):INDEX(Attenuation!$J:$J,INDEX(Cables!$AO:$AO,MATCH(G313,Cables!$A:$A,0))+INDEX(Cables!$AP:$AP,MATCH(G313,Cables!$A:$A,0))-1),1),1),1),INDEX(Cables!$AP:$AP,MATCH(G313,Cables!$A:$A,0))-1))):INDEX(Attenuation!$J:$J,(INDEX(Cables!$AO:$AO,MATCH(G313,Cables!$A:$A,0))-1+MIN(MAX(IFERROR(MATCH(LN(D313),INDEX(Attenuation!$J:$J,INDEX(Cables!$AO:$AO,MATCH(G313,Cables!$A:$A,0))):INDEX(Attenuation!$J:$J,INDEX(Cables!$AO:$AO,MATCH(G313,Cables!$A:$A,0))+INDEX(Cables!$AP:$AP,MATCH(G313,Cables!$A:$A,0))-1),1),1),1),INDEX(Cables!$AP:$AP,MATCH(G313,Cables!$A:$A,0))-1))+1)))*0.3048)</f>
        <v>0.71776028946872095</v>
      </c>
      <c r="I313" s="43">
        <f>IF(G313="","",EXP(FORECAST(LN(E313),INDEX(Attenuation!$K:$K,(INDEX(Cables!$AO:$AO,MATCH(G313,Cables!$A:$A,0))-1+MIN(MAX(IFERROR(MATCH(LN(E313),INDEX(Attenuation!$J:$J,INDEX(Cables!$AO:$AO,MATCH(G313,Cables!$A:$A,0))):INDEX(Attenuation!$J:$J,INDEX(Cables!$AO:$AO,MATCH(G313,Cables!$A:$A,0))+INDEX(Cables!$AP:$AP,MATCH(G313,Cables!$A:$A,0))-1),1),1),1),INDEX(Cables!$AP:$AP,MATCH(G313,Cables!$A:$A,0))-1))):INDEX(Attenuation!$K:$K,(INDEX(Cables!$AO:$AO,MATCH(G313,Cables!$A:$A,0))-1+MIN(MAX(IFERROR(MATCH(LN(E313),INDEX(Attenuation!$J:$J,INDEX(Cables!$AO:$AO,MATCH(G313,Cables!$A:$A,0))):INDEX(Attenuation!$J:$J,INDEX(Cables!$AO:$AO,MATCH(G313,Cables!$A:$A,0))+INDEX(Cables!$AP:$AP,MATCH(G313,Cables!$A:$A,0))-1),1),1),1),INDEX(Cables!$AP:$AP,MATCH(G313,Cables!$A:$A,0))-1))+1),INDEX(Attenuation!$J:$J,(INDEX(Cables!$AO:$AO,MATCH(G313,Cables!$A:$A,0))-1+MIN(MAX(IFERROR(MATCH(LN(E313),INDEX(Attenuation!$J:$J,INDEX(Cables!$AO:$AO,MATCH(G313,Cables!$A:$A,0))):INDEX(Attenuation!$J:$J,INDEX(Cables!$AO:$AO,MATCH(G313,Cables!$A:$A,0))+INDEX(Cables!$AP:$AP,MATCH(G313,Cables!$A:$A,0))-1),1),1),1),INDEX(Cables!$AP:$AP,MATCH(G313,Cables!$A:$A,0))-1))):INDEX(Attenuation!$J:$J,(INDEX(Cables!$AO:$AO,MATCH(G313,Cables!$A:$A,0))-1+MIN(MAX(IFERROR(MATCH(LN(E313),INDEX(Attenuation!$J:$J,INDEX(Cables!$AO:$AO,MATCH(G313,Cables!$A:$A,0))):INDEX(Attenuation!$J:$J,INDEX(Cables!$AO:$AO,MATCH(G313,Cables!$A:$A,0))+INDEX(Cables!$AP:$AP,MATCH(G313,Cables!$A:$A,0))-1),1),1),1),INDEX(Cables!$AP:$AP,MATCH(G313,Cables!$A:$A,0))-1))+1)))*0.3048)</f>
        <v>0.85343999999999975</v>
      </c>
      <c r="J313" s="44">
        <f t="shared" si="4"/>
        <v>0</v>
      </c>
      <c r="K313" s="40" t="str">
        <f>IF(G313="","Doğrulanmadı",IF(ABS(J313)&lt;=0.1,"Uyumlu (±%10)",IF(ABS(J313)&lt;=0.25,"Fark %10-25","Fark &gt;%25"))&amp;IF(OR(D313&lt;INDEX(Cables!$AQ:$AQ,MATCH(G313,Cables!$A:$A,0)),E313&gt;INDEX(Cables!$AR:$AR,MATCH(G313,Cables!$A:$A,0)))," · ekstrapolasyon",""))</f>
        <v>Uyumlu (±%10)</v>
      </c>
    </row>
    <row r="314" spans="1:11" x14ac:dyDescent="0.25">
      <c r="A314" s="37" t="s">
        <v>3062</v>
      </c>
      <c r="B314" s="40" t="str">
        <f>INDEX(Legacy_Index!$D:$D,MATCH(A314,Legacy_Index!$A:$A,0))</f>
        <v>HYPERFLEX 13™ Messi and Paoloni</v>
      </c>
      <c r="C314" s="37" t="s">
        <v>3114</v>
      </c>
      <c r="D314" s="37">
        <v>148</v>
      </c>
      <c r="E314" s="37">
        <v>174</v>
      </c>
      <c r="F314" s="37">
        <v>1.1000000000000001</v>
      </c>
      <c r="G314" s="40" t="str">
        <f>IF(INDEX(Legacy_Index!$G:$G,MATCH(A314,Legacy_Index!$A:$A,0))="","",INDEX(Legacy_Index!$G:$G,MATCH(A314,Legacy_Index!$A:$A,0)))</f>
        <v>MP-HYPERFLEX13</v>
      </c>
      <c r="H314" s="43">
        <f>IF(G314="","",EXP(FORECAST(LN(D314),INDEX(Attenuation!$K:$K,(INDEX(Cables!$AO:$AO,MATCH(G314,Cables!$A:$A,0))-1+MIN(MAX(IFERROR(MATCH(LN(D314),INDEX(Attenuation!$J:$J,INDEX(Cables!$AO:$AO,MATCH(G314,Cables!$A:$A,0))):INDEX(Attenuation!$J:$J,INDEX(Cables!$AO:$AO,MATCH(G314,Cables!$A:$A,0))+INDEX(Cables!$AP:$AP,MATCH(G314,Cables!$A:$A,0))-1),1),1),1),INDEX(Cables!$AP:$AP,MATCH(G314,Cables!$A:$A,0))-1))):INDEX(Attenuation!$K:$K,(INDEX(Cables!$AO:$AO,MATCH(G314,Cables!$A:$A,0))-1+MIN(MAX(IFERROR(MATCH(LN(D314),INDEX(Attenuation!$J:$J,INDEX(Cables!$AO:$AO,MATCH(G314,Cables!$A:$A,0))):INDEX(Attenuation!$J:$J,INDEX(Cables!$AO:$AO,MATCH(G314,Cables!$A:$A,0))+INDEX(Cables!$AP:$AP,MATCH(G314,Cables!$A:$A,0))-1),1),1),1),INDEX(Cables!$AP:$AP,MATCH(G314,Cables!$A:$A,0))-1))+1),INDEX(Attenuation!$J:$J,(INDEX(Cables!$AO:$AO,MATCH(G314,Cables!$A:$A,0))-1+MIN(MAX(IFERROR(MATCH(LN(D314),INDEX(Attenuation!$J:$J,INDEX(Cables!$AO:$AO,MATCH(G314,Cables!$A:$A,0))):INDEX(Attenuation!$J:$J,INDEX(Cables!$AO:$AO,MATCH(G314,Cables!$A:$A,0))+INDEX(Cables!$AP:$AP,MATCH(G314,Cables!$A:$A,0))-1),1),1),1),INDEX(Cables!$AP:$AP,MATCH(G314,Cables!$A:$A,0))-1))):INDEX(Attenuation!$J:$J,(INDEX(Cables!$AO:$AO,MATCH(G314,Cables!$A:$A,0))-1+MIN(MAX(IFERROR(MATCH(LN(D314),INDEX(Attenuation!$J:$J,INDEX(Cables!$AO:$AO,MATCH(G314,Cables!$A:$A,0))):INDEX(Attenuation!$J:$J,INDEX(Cables!$AO:$AO,MATCH(G314,Cables!$A:$A,0))+INDEX(Cables!$AP:$AP,MATCH(G314,Cables!$A:$A,0))-1),1),1),1),INDEX(Cables!$AP:$AP,MATCH(G314,Cables!$A:$A,0))-1))+1)))*0.3048)</f>
        <v>1.1114787891351803</v>
      </c>
      <c r="I314" s="43">
        <f>IF(G314="","",EXP(FORECAST(LN(E314),INDEX(Attenuation!$K:$K,(INDEX(Cables!$AO:$AO,MATCH(G314,Cables!$A:$A,0))-1+MIN(MAX(IFERROR(MATCH(LN(E314),INDEX(Attenuation!$J:$J,INDEX(Cables!$AO:$AO,MATCH(G314,Cables!$A:$A,0))):INDEX(Attenuation!$J:$J,INDEX(Cables!$AO:$AO,MATCH(G314,Cables!$A:$A,0))+INDEX(Cables!$AP:$AP,MATCH(G314,Cables!$A:$A,0))-1),1),1),1),INDEX(Cables!$AP:$AP,MATCH(G314,Cables!$A:$A,0))-1))):INDEX(Attenuation!$K:$K,(INDEX(Cables!$AO:$AO,MATCH(G314,Cables!$A:$A,0))-1+MIN(MAX(IFERROR(MATCH(LN(E314),INDEX(Attenuation!$J:$J,INDEX(Cables!$AO:$AO,MATCH(G314,Cables!$A:$A,0))):INDEX(Attenuation!$J:$J,INDEX(Cables!$AO:$AO,MATCH(G314,Cables!$A:$A,0))+INDEX(Cables!$AP:$AP,MATCH(G314,Cables!$A:$A,0))-1),1),1),1),INDEX(Cables!$AP:$AP,MATCH(G314,Cables!$A:$A,0))-1))+1),INDEX(Attenuation!$J:$J,(INDEX(Cables!$AO:$AO,MATCH(G314,Cables!$A:$A,0))-1+MIN(MAX(IFERROR(MATCH(LN(E314),INDEX(Attenuation!$J:$J,INDEX(Cables!$AO:$AO,MATCH(G314,Cables!$A:$A,0))):INDEX(Attenuation!$J:$J,INDEX(Cables!$AO:$AO,MATCH(G314,Cables!$A:$A,0))+INDEX(Cables!$AP:$AP,MATCH(G314,Cables!$A:$A,0))-1),1),1),1),INDEX(Cables!$AP:$AP,MATCH(G314,Cables!$A:$A,0))-1))):INDEX(Attenuation!$J:$J,(INDEX(Cables!$AO:$AO,MATCH(G314,Cables!$A:$A,0))-1+MIN(MAX(IFERROR(MATCH(LN(E314),INDEX(Attenuation!$J:$J,INDEX(Cables!$AO:$AO,MATCH(G314,Cables!$A:$A,0))):INDEX(Attenuation!$J:$J,INDEX(Cables!$AO:$AO,MATCH(G314,Cables!$A:$A,0))+INDEX(Cables!$AP:$AP,MATCH(G314,Cables!$A:$A,0))-1),1),1),1),INDEX(Cables!$AP:$AP,MATCH(G314,Cables!$A:$A,0))-1))+1)))*0.3048)</f>
        <v>1.1991779530951663</v>
      </c>
      <c r="J314" s="44">
        <f t="shared" si="4"/>
        <v>-1.0327492748747447E-2</v>
      </c>
      <c r="K314" s="40" t="str">
        <f>IF(G314="","Doğrulanmadı",IF(ABS(J314)&lt;=0.1,"Uyumlu (±%10)",IF(ABS(J314)&lt;=0.25,"Fark %10-25","Fark &gt;%25"))&amp;IF(OR(D314&lt;INDEX(Cables!$AQ:$AQ,MATCH(G314,Cables!$A:$A,0)),E314&gt;INDEX(Cables!$AR:$AR,MATCH(G314,Cables!$A:$A,0)))," · ekstrapolasyon",""))</f>
        <v>Uyumlu (±%10)</v>
      </c>
    </row>
    <row r="315" spans="1:11" x14ac:dyDescent="0.25">
      <c r="A315" s="37" t="s">
        <v>3062</v>
      </c>
      <c r="B315" s="40" t="str">
        <f>INDEX(Legacy_Index!$D:$D,MATCH(A315,Legacy_Index!$A:$A,0))</f>
        <v>HYPERFLEX 13™ Messi and Paoloni</v>
      </c>
      <c r="C315" s="37" t="s">
        <v>3119</v>
      </c>
      <c r="D315" s="37">
        <v>220</v>
      </c>
      <c r="E315" s="37">
        <v>220</v>
      </c>
      <c r="F315" s="37">
        <v>1.35</v>
      </c>
      <c r="G315" s="40" t="str">
        <f>IF(INDEX(Legacy_Index!$G:$G,MATCH(A315,Legacy_Index!$A:$A,0))="","",INDEX(Legacy_Index!$G:$G,MATCH(A315,Legacy_Index!$A:$A,0)))</f>
        <v>MP-HYPERFLEX13</v>
      </c>
      <c r="H315" s="43">
        <f>IF(G315="","",EXP(FORECAST(LN(D315),INDEX(Attenuation!$K:$K,(INDEX(Cables!$AO:$AO,MATCH(G315,Cables!$A:$A,0))-1+MIN(MAX(IFERROR(MATCH(LN(D315),INDEX(Attenuation!$J:$J,INDEX(Cables!$AO:$AO,MATCH(G315,Cables!$A:$A,0))):INDEX(Attenuation!$J:$J,INDEX(Cables!$AO:$AO,MATCH(G315,Cables!$A:$A,0))+INDEX(Cables!$AP:$AP,MATCH(G315,Cables!$A:$A,0))-1),1),1),1),INDEX(Cables!$AP:$AP,MATCH(G315,Cables!$A:$A,0))-1))):INDEX(Attenuation!$K:$K,(INDEX(Cables!$AO:$AO,MATCH(G315,Cables!$A:$A,0))-1+MIN(MAX(IFERROR(MATCH(LN(D315),INDEX(Attenuation!$J:$J,INDEX(Cables!$AO:$AO,MATCH(G315,Cables!$A:$A,0))):INDEX(Attenuation!$J:$J,INDEX(Cables!$AO:$AO,MATCH(G315,Cables!$A:$A,0))+INDEX(Cables!$AP:$AP,MATCH(G315,Cables!$A:$A,0))-1),1),1),1),INDEX(Cables!$AP:$AP,MATCH(G315,Cables!$A:$A,0))-1))+1),INDEX(Attenuation!$J:$J,(INDEX(Cables!$AO:$AO,MATCH(G315,Cables!$A:$A,0))-1+MIN(MAX(IFERROR(MATCH(LN(D315),INDEX(Attenuation!$J:$J,INDEX(Cables!$AO:$AO,MATCH(G315,Cables!$A:$A,0))):INDEX(Attenuation!$J:$J,INDEX(Cables!$AO:$AO,MATCH(G315,Cables!$A:$A,0))+INDEX(Cables!$AP:$AP,MATCH(G315,Cables!$A:$A,0))-1),1),1),1),INDEX(Cables!$AP:$AP,MATCH(G315,Cables!$A:$A,0))-1))):INDEX(Attenuation!$J:$J,(INDEX(Cables!$AO:$AO,MATCH(G315,Cables!$A:$A,0))-1+MIN(MAX(IFERROR(MATCH(LN(D315),INDEX(Attenuation!$J:$J,INDEX(Cables!$AO:$AO,MATCH(G315,Cables!$A:$A,0))):INDEX(Attenuation!$J:$J,INDEX(Cables!$AO:$AO,MATCH(G315,Cables!$A:$A,0))+INDEX(Cables!$AP:$AP,MATCH(G315,Cables!$A:$A,0))-1),1),1),1),INDEX(Cables!$AP:$AP,MATCH(G315,Cables!$A:$A,0))-1))+1)))*0.3048)</f>
        <v>1.3475686504150775</v>
      </c>
      <c r="I315" s="43">
        <f>IF(G315="","",EXP(FORECAST(LN(E315),INDEX(Attenuation!$K:$K,(INDEX(Cables!$AO:$AO,MATCH(G315,Cables!$A:$A,0))-1+MIN(MAX(IFERROR(MATCH(LN(E315),INDEX(Attenuation!$J:$J,INDEX(Cables!$AO:$AO,MATCH(G315,Cables!$A:$A,0))):INDEX(Attenuation!$J:$J,INDEX(Cables!$AO:$AO,MATCH(G315,Cables!$A:$A,0))+INDEX(Cables!$AP:$AP,MATCH(G315,Cables!$A:$A,0))-1),1),1),1),INDEX(Cables!$AP:$AP,MATCH(G315,Cables!$A:$A,0))-1))):INDEX(Attenuation!$K:$K,(INDEX(Cables!$AO:$AO,MATCH(G315,Cables!$A:$A,0))-1+MIN(MAX(IFERROR(MATCH(LN(E315),INDEX(Attenuation!$J:$J,INDEX(Cables!$AO:$AO,MATCH(G315,Cables!$A:$A,0))):INDEX(Attenuation!$J:$J,INDEX(Cables!$AO:$AO,MATCH(G315,Cables!$A:$A,0))+INDEX(Cables!$AP:$AP,MATCH(G315,Cables!$A:$A,0))-1),1),1),1),INDEX(Cables!$AP:$AP,MATCH(G315,Cables!$A:$A,0))-1))+1),INDEX(Attenuation!$J:$J,(INDEX(Cables!$AO:$AO,MATCH(G315,Cables!$A:$A,0))-1+MIN(MAX(IFERROR(MATCH(LN(E315),INDEX(Attenuation!$J:$J,INDEX(Cables!$AO:$AO,MATCH(G315,Cables!$A:$A,0))):INDEX(Attenuation!$J:$J,INDEX(Cables!$AO:$AO,MATCH(G315,Cables!$A:$A,0))+INDEX(Cables!$AP:$AP,MATCH(G315,Cables!$A:$A,0))-1),1),1),1),INDEX(Cables!$AP:$AP,MATCH(G315,Cables!$A:$A,0))-1))):INDEX(Attenuation!$J:$J,(INDEX(Cables!$AO:$AO,MATCH(G315,Cables!$A:$A,0))-1+MIN(MAX(IFERROR(MATCH(LN(E315),INDEX(Attenuation!$J:$J,INDEX(Cables!$AO:$AO,MATCH(G315,Cables!$A:$A,0))):INDEX(Attenuation!$J:$J,INDEX(Cables!$AO:$AO,MATCH(G315,Cables!$A:$A,0))+INDEX(Cables!$AP:$AP,MATCH(G315,Cables!$A:$A,0))-1),1),1),1),INDEX(Cables!$AP:$AP,MATCH(G315,Cables!$A:$A,0))-1))+1)))*0.3048)</f>
        <v>1.3475686504150775</v>
      </c>
      <c r="J315" s="44">
        <f t="shared" si="4"/>
        <v>1.8042491446901288E-3</v>
      </c>
      <c r="K315" s="40" t="str">
        <f>IF(G315="","Doğrulanmadı",IF(ABS(J315)&lt;=0.1,"Uyumlu (±%10)",IF(ABS(J315)&lt;=0.25,"Fark %10-25","Fark &gt;%25"))&amp;IF(OR(D315&lt;INDEX(Cables!$AQ:$AQ,MATCH(G315,Cables!$A:$A,0)),E315&gt;INDEX(Cables!$AR:$AR,MATCH(G315,Cables!$A:$A,0)))," · ekstrapolasyon",""))</f>
        <v>Uyumlu (±%10)</v>
      </c>
    </row>
    <row r="316" spans="1:11" x14ac:dyDescent="0.25">
      <c r="A316" s="37" t="s">
        <v>3062</v>
      </c>
      <c r="B316" s="40" t="str">
        <f>INDEX(Legacy_Index!$D:$D,MATCH(A316,Legacy_Index!$A:$A,0))</f>
        <v>HYPERFLEX 13™ Messi and Paoloni</v>
      </c>
      <c r="C316" s="37" t="s">
        <v>3115</v>
      </c>
      <c r="D316" s="37">
        <v>400</v>
      </c>
      <c r="E316" s="37">
        <v>520</v>
      </c>
      <c r="F316" s="37">
        <v>2</v>
      </c>
      <c r="G316" s="40" t="str">
        <f>IF(INDEX(Legacy_Index!$G:$G,MATCH(A316,Legacy_Index!$A:$A,0))="","",INDEX(Legacy_Index!$G:$G,MATCH(A316,Legacy_Index!$A:$A,0)))</f>
        <v>MP-HYPERFLEX13</v>
      </c>
      <c r="H316" s="43">
        <f>IF(G316="","",EXP(FORECAST(LN(D316),INDEX(Attenuation!$K:$K,(INDEX(Cables!$AO:$AO,MATCH(G316,Cables!$A:$A,0))-1+MIN(MAX(IFERROR(MATCH(LN(D316),INDEX(Attenuation!$J:$J,INDEX(Cables!$AO:$AO,MATCH(G316,Cables!$A:$A,0))):INDEX(Attenuation!$J:$J,INDEX(Cables!$AO:$AO,MATCH(G316,Cables!$A:$A,0))+INDEX(Cables!$AP:$AP,MATCH(G316,Cables!$A:$A,0))-1),1),1),1),INDEX(Cables!$AP:$AP,MATCH(G316,Cables!$A:$A,0))-1))):INDEX(Attenuation!$K:$K,(INDEX(Cables!$AO:$AO,MATCH(G316,Cables!$A:$A,0))-1+MIN(MAX(IFERROR(MATCH(LN(D316),INDEX(Attenuation!$J:$J,INDEX(Cables!$AO:$AO,MATCH(G316,Cables!$A:$A,0))):INDEX(Attenuation!$J:$J,INDEX(Cables!$AO:$AO,MATCH(G316,Cables!$A:$A,0))+INDEX(Cables!$AP:$AP,MATCH(G316,Cables!$A:$A,0))-1),1),1),1),INDEX(Cables!$AP:$AP,MATCH(G316,Cables!$A:$A,0))-1))+1),INDEX(Attenuation!$J:$J,(INDEX(Cables!$AO:$AO,MATCH(G316,Cables!$A:$A,0))-1+MIN(MAX(IFERROR(MATCH(LN(D316),INDEX(Attenuation!$J:$J,INDEX(Cables!$AO:$AO,MATCH(G316,Cables!$A:$A,0))):INDEX(Attenuation!$J:$J,INDEX(Cables!$AO:$AO,MATCH(G316,Cables!$A:$A,0))+INDEX(Cables!$AP:$AP,MATCH(G316,Cables!$A:$A,0))-1),1),1),1),INDEX(Cables!$AP:$AP,MATCH(G316,Cables!$A:$A,0))-1))):INDEX(Attenuation!$J:$J,(INDEX(Cables!$AO:$AO,MATCH(G316,Cables!$A:$A,0))-1+MIN(MAX(IFERROR(MATCH(LN(D316),INDEX(Attenuation!$J:$J,INDEX(Cables!$AO:$AO,MATCH(G316,Cables!$A:$A,0))):INDEX(Attenuation!$J:$J,INDEX(Cables!$AO:$AO,MATCH(G316,Cables!$A:$A,0))+INDEX(Cables!$AP:$AP,MATCH(G316,Cables!$A:$A,0))-1),1),1),1),INDEX(Cables!$AP:$AP,MATCH(G316,Cables!$A:$A,0))-1))+1)))*0.3048)</f>
        <v>1.8592800000000007</v>
      </c>
      <c r="I316" s="43">
        <f>IF(G316="","",EXP(FORECAST(LN(E316),INDEX(Attenuation!$K:$K,(INDEX(Cables!$AO:$AO,MATCH(G316,Cables!$A:$A,0))-1+MIN(MAX(IFERROR(MATCH(LN(E316),INDEX(Attenuation!$J:$J,INDEX(Cables!$AO:$AO,MATCH(G316,Cables!$A:$A,0))):INDEX(Attenuation!$J:$J,INDEX(Cables!$AO:$AO,MATCH(G316,Cables!$A:$A,0))+INDEX(Cables!$AP:$AP,MATCH(G316,Cables!$A:$A,0))-1),1),1),1),INDEX(Cables!$AP:$AP,MATCH(G316,Cables!$A:$A,0))-1))):INDEX(Attenuation!$K:$K,(INDEX(Cables!$AO:$AO,MATCH(G316,Cables!$A:$A,0))-1+MIN(MAX(IFERROR(MATCH(LN(E316),INDEX(Attenuation!$J:$J,INDEX(Cables!$AO:$AO,MATCH(G316,Cables!$A:$A,0))):INDEX(Attenuation!$J:$J,INDEX(Cables!$AO:$AO,MATCH(G316,Cables!$A:$A,0))+INDEX(Cables!$AP:$AP,MATCH(G316,Cables!$A:$A,0))-1),1),1),1),INDEX(Cables!$AP:$AP,MATCH(G316,Cables!$A:$A,0))-1))+1),INDEX(Attenuation!$J:$J,(INDEX(Cables!$AO:$AO,MATCH(G316,Cables!$A:$A,0))-1+MIN(MAX(IFERROR(MATCH(LN(E316),INDEX(Attenuation!$J:$J,INDEX(Cables!$AO:$AO,MATCH(G316,Cables!$A:$A,0))):INDEX(Attenuation!$J:$J,INDEX(Cables!$AO:$AO,MATCH(G316,Cables!$A:$A,0))+INDEX(Cables!$AP:$AP,MATCH(G316,Cables!$A:$A,0))-1),1),1),1),INDEX(Cables!$AP:$AP,MATCH(G316,Cables!$A:$A,0))-1))):INDEX(Attenuation!$J:$J,(INDEX(Cables!$AO:$AO,MATCH(G316,Cables!$A:$A,0))-1+MIN(MAX(IFERROR(MATCH(LN(E316),INDEX(Attenuation!$J:$J,INDEX(Cables!$AO:$AO,MATCH(G316,Cables!$A:$A,0))):INDEX(Attenuation!$J:$J,INDEX(Cables!$AO:$AO,MATCH(G316,Cables!$A:$A,0))+INDEX(Cables!$AP:$AP,MATCH(G316,Cables!$A:$A,0))-1),1),1),1),INDEX(Cables!$AP:$AP,MATCH(G316,Cables!$A:$A,0))-1))+1)))*0.3048)</f>
        <v>2.1653042638052358</v>
      </c>
      <c r="J316" s="44">
        <f t="shared" si="4"/>
        <v>0</v>
      </c>
      <c r="K316" s="40" t="str">
        <f>IF(G316="","Doğrulanmadı",IF(ABS(J316)&lt;=0.1,"Uyumlu (±%10)",IF(ABS(J316)&lt;=0.25,"Fark %10-25","Fark &gt;%25"))&amp;IF(OR(D316&lt;INDEX(Cables!$AQ:$AQ,MATCH(G316,Cables!$A:$A,0)),E316&gt;INDEX(Cables!$AR:$AR,MATCH(G316,Cables!$A:$A,0)))," · ekstrapolasyon",""))</f>
        <v>Uyumlu (±%10)</v>
      </c>
    </row>
    <row r="317" spans="1:11" x14ac:dyDescent="0.25">
      <c r="A317" s="37" t="s">
        <v>3062</v>
      </c>
      <c r="B317" s="40" t="str">
        <f>INDEX(Legacy_Index!$D:$D,MATCH(A317,Legacy_Index!$A:$A,0))</f>
        <v>HYPERFLEX 13™ Messi and Paoloni</v>
      </c>
      <c r="C317" s="37" t="s">
        <v>3116</v>
      </c>
      <c r="D317" s="37">
        <v>700</v>
      </c>
      <c r="E317" s="37">
        <v>960</v>
      </c>
      <c r="F317" s="37">
        <v>2.7</v>
      </c>
      <c r="G317" s="40" t="str">
        <f>IF(INDEX(Legacy_Index!$G:$G,MATCH(A317,Legacy_Index!$A:$A,0))="","",INDEX(Legacy_Index!$G:$G,MATCH(A317,Legacy_Index!$A:$A,0)))</f>
        <v>MP-HYPERFLEX13</v>
      </c>
      <c r="H317" s="43">
        <f>IF(G317="","",EXP(FORECAST(LN(D317),INDEX(Attenuation!$K:$K,(INDEX(Cables!$AO:$AO,MATCH(G317,Cables!$A:$A,0))-1+MIN(MAX(IFERROR(MATCH(LN(D317),INDEX(Attenuation!$J:$J,INDEX(Cables!$AO:$AO,MATCH(G317,Cables!$A:$A,0))):INDEX(Attenuation!$J:$J,INDEX(Cables!$AO:$AO,MATCH(G317,Cables!$A:$A,0))+INDEX(Cables!$AP:$AP,MATCH(G317,Cables!$A:$A,0))-1),1),1),1),INDEX(Cables!$AP:$AP,MATCH(G317,Cables!$A:$A,0))-1))):INDEX(Attenuation!$K:$K,(INDEX(Cables!$AO:$AO,MATCH(G317,Cables!$A:$A,0))-1+MIN(MAX(IFERROR(MATCH(LN(D317),INDEX(Attenuation!$J:$J,INDEX(Cables!$AO:$AO,MATCH(G317,Cables!$A:$A,0))):INDEX(Attenuation!$J:$J,INDEX(Cables!$AO:$AO,MATCH(G317,Cables!$A:$A,0))+INDEX(Cables!$AP:$AP,MATCH(G317,Cables!$A:$A,0))-1),1),1),1),INDEX(Cables!$AP:$AP,MATCH(G317,Cables!$A:$A,0))-1))+1),INDEX(Attenuation!$J:$J,(INDEX(Cables!$AO:$AO,MATCH(G317,Cables!$A:$A,0))-1+MIN(MAX(IFERROR(MATCH(LN(D317),INDEX(Attenuation!$J:$J,INDEX(Cables!$AO:$AO,MATCH(G317,Cables!$A:$A,0))):INDEX(Attenuation!$J:$J,INDEX(Cables!$AO:$AO,MATCH(G317,Cables!$A:$A,0))+INDEX(Cables!$AP:$AP,MATCH(G317,Cables!$A:$A,0))-1),1),1),1),INDEX(Cables!$AP:$AP,MATCH(G317,Cables!$A:$A,0))-1))):INDEX(Attenuation!$J:$J,(INDEX(Cables!$AO:$AO,MATCH(G317,Cables!$A:$A,0))-1+MIN(MAX(IFERROR(MATCH(LN(D317),INDEX(Attenuation!$J:$J,INDEX(Cables!$AO:$AO,MATCH(G317,Cables!$A:$A,0))):INDEX(Attenuation!$J:$J,INDEX(Cables!$AO:$AO,MATCH(G317,Cables!$A:$A,0))+INDEX(Cables!$AP:$AP,MATCH(G317,Cables!$A:$A,0))-1),1),1),1),INDEX(Cables!$AP:$AP,MATCH(G317,Cables!$A:$A,0))-1))+1)))*0.3048)</f>
        <v>2.549242921493621</v>
      </c>
      <c r="I317" s="43">
        <f>IF(G317="","",EXP(FORECAST(LN(E317),INDEX(Attenuation!$K:$K,(INDEX(Cables!$AO:$AO,MATCH(G317,Cables!$A:$A,0))-1+MIN(MAX(IFERROR(MATCH(LN(E317),INDEX(Attenuation!$J:$J,INDEX(Cables!$AO:$AO,MATCH(G317,Cables!$A:$A,0))):INDEX(Attenuation!$J:$J,INDEX(Cables!$AO:$AO,MATCH(G317,Cables!$A:$A,0))+INDEX(Cables!$AP:$AP,MATCH(G317,Cables!$A:$A,0))-1),1),1),1),INDEX(Cables!$AP:$AP,MATCH(G317,Cables!$A:$A,0))-1))):INDEX(Attenuation!$K:$K,(INDEX(Cables!$AO:$AO,MATCH(G317,Cables!$A:$A,0))-1+MIN(MAX(IFERROR(MATCH(LN(E317),INDEX(Attenuation!$J:$J,INDEX(Cables!$AO:$AO,MATCH(G317,Cables!$A:$A,0))):INDEX(Attenuation!$J:$J,INDEX(Cables!$AO:$AO,MATCH(G317,Cables!$A:$A,0))+INDEX(Cables!$AP:$AP,MATCH(G317,Cables!$A:$A,0))-1),1),1),1),INDEX(Cables!$AP:$AP,MATCH(G317,Cables!$A:$A,0))-1))+1),INDEX(Attenuation!$J:$J,(INDEX(Cables!$AO:$AO,MATCH(G317,Cables!$A:$A,0))-1+MIN(MAX(IFERROR(MATCH(LN(E317),INDEX(Attenuation!$J:$J,INDEX(Cables!$AO:$AO,MATCH(G317,Cables!$A:$A,0))):INDEX(Attenuation!$J:$J,INDEX(Cables!$AO:$AO,MATCH(G317,Cables!$A:$A,0))+INDEX(Cables!$AP:$AP,MATCH(G317,Cables!$A:$A,0))-1),1),1),1),INDEX(Cables!$AP:$AP,MATCH(G317,Cables!$A:$A,0))-1))):INDEX(Attenuation!$J:$J,(INDEX(Cables!$AO:$AO,MATCH(G317,Cables!$A:$A,0))-1+MIN(MAX(IFERROR(MATCH(LN(E317),INDEX(Attenuation!$J:$J,INDEX(Cables!$AO:$AO,MATCH(G317,Cables!$A:$A,0))):INDEX(Attenuation!$J:$J,INDEX(Cables!$AO:$AO,MATCH(G317,Cables!$A:$A,0))+INDEX(Cables!$AP:$AP,MATCH(G317,Cables!$A:$A,0))-1),1),1),1),INDEX(Cables!$AP:$AP,MATCH(G317,Cables!$A:$A,0))-1))+1)))*0.3048)</f>
        <v>3.0142195588891241</v>
      </c>
      <c r="J317" s="44">
        <f t="shared" si="4"/>
        <v>0</v>
      </c>
      <c r="K317" s="40" t="str">
        <f>IF(G317="","Doğrulanmadı",IF(ABS(J317)&lt;=0.1,"Uyumlu (±%10)",IF(ABS(J317)&lt;=0.25,"Fark %10-25","Fark &gt;%25"))&amp;IF(OR(D317&lt;INDEX(Cables!$AQ:$AQ,MATCH(G317,Cables!$A:$A,0)),E317&gt;INDEX(Cables!$AR:$AR,MATCH(G317,Cables!$A:$A,0)))," · ekstrapolasyon",""))</f>
        <v>Uyumlu (±%10)</v>
      </c>
    </row>
    <row r="318" spans="1:11" x14ac:dyDescent="0.25">
      <c r="A318" s="37" t="s">
        <v>3062</v>
      </c>
      <c r="B318" s="40" t="str">
        <f>INDEX(Legacy_Index!$D:$D,MATCH(A318,Legacy_Index!$A:$A,0))</f>
        <v>HYPERFLEX 13™ Messi and Paoloni</v>
      </c>
      <c r="C318" s="37" t="s">
        <v>3120</v>
      </c>
      <c r="D318" s="37">
        <v>1200</v>
      </c>
      <c r="E318" s="37">
        <v>1300</v>
      </c>
      <c r="F318" s="37">
        <v>3.5</v>
      </c>
      <c r="G318" s="40" t="str">
        <f>IF(INDEX(Legacy_Index!$G:$G,MATCH(A318,Legacy_Index!$A:$A,0))="","",INDEX(Legacy_Index!$G:$G,MATCH(A318,Legacy_Index!$A:$A,0)))</f>
        <v>MP-HYPERFLEX13</v>
      </c>
      <c r="H318" s="43">
        <f>IF(G318="","",EXP(FORECAST(LN(D318),INDEX(Attenuation!$K:$K,(INDEX(Cables!$AO:$AO,MATCH(G318,Cables!$A:$A,0))-1+MIN(MAX(IFERROR(MATCH(LN(D318),INDEX(Attenuation!$J:$J,INDEX(Cables!$AO:$AO,MATCH(G318,Cables!$A:$A,0))):INDEX(Attenuation!$J:$J,INDEX(Cables!$AO:$AO,MATCH(G318,Cables!$A:$A,0))+INDEX(Cables!$AP:$AP,MATCH(G318,Cables!$A:$A,0))-1),1),1),1),INDEX(Cables!$AP:$AP,MATCH(G318,Cables!$A:$A,0))-1))):INDEX(Attenuation!$K:$K,(INDEX(Cables!$AO:$AO,MATCH(G318,Cables!$A:$A,0))-1+MIN(MAX(IFERROR(MATCH(LN(D318),INDEX(Attenuation!$J:$J,INDEX(Cables!$AO:$AO,MATCH(G318,Cables!$A:$A,0))):INDEX(Attenuation!$J:$J,INDEX(Cables!$AO:$AO,MATCH(G318,Cables!$A:$A,0))+INDEX(Cables!$AP:$AP,MATCH(G318,Cables!$A:$A,0))-1),1),1),1),INDEX(Cables!$AP:$AP,MATCH(G318,Cables!$A:$A,0))-1))+1),INDEX(Attenuation!$J:$J,(INDEX(Cables!$AO:$AO,MATCH(G318,Cables!$A:$A,0))-1+MIN(MAX(IFERROR(MATCH(LN(D318),INDEX(Attenuation!$J:$J,INDEX(Cables!$AO:$AO,MATCH(G318,Cables!$A:$A,0))):INDEX(Attenuation!$J:$J,INDEX(Cables!$AO:$AO,MATCH(G318,Cables!$A:$A,0))+INDEX(Cables!$AP:$AP,MATCH(G318,Cables!$A:$A,0))-1),1),1),1),INDEX(Cables!$AP:$AP,MATCH(G318,Cables!$A:$A,0))-1))):INDEX(Attenuation!$J:$J,(INDEX(Cables!$AO:$AO,MATCH(G318,Cables!$A:$A,0))-1+MIN(MAX(IFERROR(MATCH(LN(D318),INDEX(Attenuation!$J:$J,INDEX(Cables!$AO:$AO,MATCH(G318,Cables!$A:$A,0))):INDEX(Attenuation!$J:$J,INDEX(Cables!$AO:$AO,MATCH(G318,Cables!$A:$A,0))+INDEX(Cables!$AP:$AP,MATCH(G318,Cables!$A:$A,0))-1),1),1),1),INDEX(Cables!$AP:$AP,MATCH(G318,Cables!$A:$A,0))-1))+1)))*0.3048)</f>
        <v>3.4138495282812977</v>
      </c>
      <c r="I318" s="43">
        <f>IF(G318="","",EXP(FORECAST(LN(E318),INDEX(Attenuation!$K:$K,(INDEX(Cables!$AO:$AO,MATCH(G318,Cables!$A:$A,0))-1+MIN(MAX(IFERROR(MATCH(LN(E318),INDEX(Attenuation!$J:$J,INDEX(Cables!$AO:$AO,MATCH(G318,Cables!$A:$A,0))):INDEX(Attenuation!$J:$J,INDEX(Cables!$AO:$AO,MATCH(G318,Cables!$A:$A,0))+INDEX(Cables!$AP:$AP,MATCH(G318,Cables!$A:$A,0))-1),1),1),1),INDEX(Cables!$AP:$AP,MATCH(G318,Cables!$A:$A,0))-1))):INDEX(Attenuation!$K:$K,(INDEX(Cables!$AO:$AO,MATCH(G318,Cables!$A:$A,0))-1+MIN(MAX(IFERROR(MATCH(LN(E318),INDEX(Attenuation!$J:$J,INDEX(Cables!$AO:$AO,MATCH(G318,Cables!$A:$A,0))):INDEX(Attenuation!$J:$J,INDEX(Cables!$AO:$AO,MATCH(G318,Cables!$A:$A,0))+INDEX(Cables!$AP:$AP,MATCH(G318,Cables!$A:$A,0))-1),1),1),1),INDEX(Cables!$AP:$AP,MATCH(G318,Cables!$A:$A,0))-1))+1),INDEX(Attenuation!$J:$J,(INDEX(Cables!$AO:$AO,MATCH(G318,Cables!$A:$A,0))-1+MIN(MAX(IFERROR(MATCH(LN(E318),INDEX(Attenuation!$J:$J,INDEX(Cables!$AO:$AO,MATCH(G318,Cables!$A:$A,0))):INDEX(Attenuation!$J:$J,INDEX(Cables!$AO:$AO,MATCH(G318,Cables!$A:$A,0))+INDEX(Cables!$AP:$AP,MATCH(G318,Cables!$A:$A,0))-1),1),1),1),INDEX(Cables!$AP:$AP,MATCH(G318,Cables!$A:$A,0))-1))):INDEX(Attenuation!$J:$J,(INDEX(Cables!$AO:$AO,MATCH(G318,Cables!$A:$A,0))-1+MIN(MAX(IFERROR(MATCH(LN(E318),INDEX(Attenuation!$J:$J,INDEX(Cables!$AO:$AO,MATCH(G318,Cables!$A:$A,0))):INDEX(Attenuation!$J:$J,INDEX(Cables!$AO:$AO,MATCH(G318,Cables!$A:$A,0))+INDEX(Cables!$AP:$AP,MATCH(G318,Cables!$A:$A,0))-1),1),1),1),INDEX(Cables!$AP:$AP,MATCH(G318,Cables!$A:$A,0))-1))+1)))*0.3048)</f>
        <v>3.572404411262069</v>
      </c>
      <c r="J318" s="44">
        <f t="shared" si="4"/>
        <v>0</v>
      </c>
      <c r="K318" s="40" t="str">
        <f>IF(G318="","Doğrulanmadı",IF(ABS(J318)&lt;=0.1,"Uyumlu (±%10)",IF(ABS(J318)&lt;=0.25,"Fark %10-25","Fark &gt;%25"))&amp;IF(OR(D318&lt;INDEX(Cables!$AQ:$AQ,MATCH(G318,Cables!$A:$A,0)),E318&gt;INDEX(Cables!$AR:$AR,MATCH(G318,Cables!$A:$A,0)))," · ekstrapolasyon",""))</f>
        <v>Uyumlu (±%10)</v>
      </c>
    </row>
    <row r="319" spans="1:11" x14ac:dyDescent="0.25">
      <c r="A319" s="37" t="s">
        <v>3062</v>
      </c>
      <c r="B319" s="40" t="str">
        <f>INDEX(Legacy_Index!$D:$D,MATCH(A319,Legacy_Index!$A:$A,0))</f>
        <v>HYPERFLEX 13™ Messi and Paoloni</v>
      </c>
      <c r="C319" s="37" t="s">
        <v>3121</v>
      </c>
      <c r="D319" s="37">
        <v>2400</v>
      </c>
      <c r="E319" s="37">
        <v>2500</v>
      </c>
      <c r="F319" s="37">
        <v>5</v>
      </c>
      <c r="G319" s="40" t="str">
        <f>IF(INDEX(Legacy_Index!$G:$G,MATCH(A319,Legacy_Index!$A:$A,0))="","",INDEX(Legacy_Index!$G:$G,MATCH(A319,Legacy_Index!$A:$A,0)))</f>
        <v>MP-HYPERFLEX13</v>
      </c>
      <c r="H319" s="43">
        <f>IF(G319="","",EXP(FORECAST(LN(D319),INDEX(Attenuation!$K:$K,(INDEX(Cables!$AO:$AO,MATCH(G319,Cables!$A:$A,0))-1+MIN(MAX(IFERROR(MATCH(LN(D319),INDEX(Attenuation!$J:$J,INDEX(Cables!$AO:$AO,MATCH(G319,Cables!$A:$A,0))):INDEX(Attenuation!$J:$J,INDEX(Cables!$AO:$AO,MATCH(G319,Cables!$A:$A,0))+INDEX(Cables!$AP:$AP,MATCH(G319,Cables!$A:$A,0))-1),1),1),1),INDEX(Cables!$AP:$AP,MATCH(G319,Cables!$A:$A,0))-1))):INDEX(Attenuation!$K:$K,(INDEX(Cables!$AO:$AO,MATCH(G319,Cables!$A:$A,0))-1+MIN(MAX(IFERROR(MATCH(LN(D319),INDEX(Attenuation!$J:$J,INDEX(Cables!$AO:$AO,MATCH(G319,Cables!$A:$A,0))):INDEX(Attenuation!$J:$J,INDEX(Cables!$AO:$AO,MATCH(G319,Cables!$A:$A,0))+INDEX(Cables!$AP:$AP,MATCH(G319,Cables!$A:$A,0))-1),1),1),1),INDEX(Cables!$AP:$AP,MATCH(G319,Cables!$A:$A,0))-1))+1),INDEX(Attenuation!$J:$J,(INDEX(Cables!$AO:$AO,MATCH(G319,Cables!$A:$A,0))-1+MIN(MAX(IFERROR(MATCH(LN(D319),INDEX(Attenuation!$J:$J,INDEX(Cables!$AO:$AO,MATCH(G319,Cables!$A:$A,0))):INDEX(Attenuation!$J:$J,INDEX(Cables!$AO:$AO,MATCH(G319,Cables!$A:$A,0))+INDEX(Cables!$AP:$AP,MATCH(G319,Cables!$A:$A,0))-1),1),1),1),INDEX(Cables!$AP:$AP,MATCH(G319,Cables!$A:$A,0))-1))):INDEX(Attenuation!$J:$J,(INDEX(Cables!$AO:$AO,MATCH(G319,Cables!$A:$A,0))-1+MIN(MAX(IFERROR(MATCH(LN(D319),INDEX(Attenuation!$J:$J,INDEX(Cables!$AO:$AO,MATCH(G319,Cables!$A:$A,0))):INDEX(Attenuation!$J:$J,INDEX(Cables!$AO:$AO,MATCH(G319,Cables!$A:$A,0))+INDEX(Cables!$AP:$AP,MATCH(G319,Cables!$A:$A,0))-1),1),1),1),INDEX(Cables!$AP:$AP,MATCH(G319,Cables!$A:$A,0))-1))+1)))*0.3048)</f>
        <v>5.059680000000002</v>
      </c>
      <c r="I319" s="43">
        <f>IF(G319="","",EXP(FORECAST(LN(E319),INDEX(Attenuation!$K:$K,(INDEX(Cables!$AO:$AO,MATCH(G319,Cables!$A:$A,0))-1+MIN(MAX(IFERROR(MATCH(LN(E319),INDEX(Attenuation!$J:$J,INDEX(Cables!$AO:$AO,MATCH(G319,Cables!$A:$A,0))):INDEX(Attenuation!$J:$J,INDEX(Cables!$AO:$AO,MATCH(G319,Cables!$A:$A,0))+INDEX(Cables!$AP:$AP,MATCH(G319,Cables!$A:$A,0))-1),1),1),1),INDEX(Cables!$AP:$AP,MATCH(G319,Cables!$A:$A,0))-1))):INDEX(Attenuation!$K:$K,(INDEX(Cables!$AO:$AO,MATCH(G319,Cables!$A:$A,0))-1+MIN(MAX(IFERROR(MATCH(LN(E319),INDEX(Attenuation!$J:$J,INDEX(Cables!$AO:$AO,MATCH(G319,Cables!$A:$A,0))):INDEX(Attenuation!$J:$J,INDEX(Cables!$AO:$AO,MATCH(G319,Cables!$A:$A,0))+INDEX(Cables!$AP:$AP,MATCH(G319,Cables!$A:$A,0))-1),1),1),1),INDEX(Cables!$AP:$AP,MATCH(G319,Cables!$A:$A,0))-1))+1),INDEX(Attenuation!$J:$J,(INDEX(Cables!$AO:$AO,MATCH(G319,Cables!$A:$A,0))-1+MIN(MAX(IFERROR(MATCH(LN(E319),INDEX(Attenuation!$J:$J,INDEX(Cables!$AO:$AO,MATCH(G319,Cables!$A:$A,0))):INDEX(Attenuation!$J:$J,INDEX(Cables!$AO:$AO,MATCH(G319,Cables!$A:$A,0))+INDEX(Cables!$AP:$AP,MATCH(G319,Cables!$A:$A,0))-1),1),1),1),INDEX(Cables!$AP:$AP,MATCH(G319,Cables!$A:$A,0))-1))):INDEX(Attenuation!$J:$J,(INDEX(Cables!$AO:$AO,MATCH(G319,Cables!$A:$A,0))-1+MIN(MAX(IFERROR(MATCH(LN(E319),INDEX(Attenuation!$J:$J,INDEX(Cables!$AO:$AO,MATCH(G319,Cables!$A:$A,0))):INDEX(Attenuation!$J:$J,INDEX(Cables!$AO:$AO,MATCH(G319,Cables!$A:$A,0))+INDEX(Cables!$AP:$AP,MATCH(G319,Cables!$A:$A,0))-1),1),1),1),INDEX(Cables!$AP:$AP,MATCH(G319,Cables!$A:$A,0))-1))+1)))*0.3048)</f>
        <v>5.1812247107731606</v>
      </c>
      <c r="J319" s="44">
        <f t="shared" si="4"/>
        <v>-1.1795212345445116E-2</v>
      </c>
      <c r="K319" s="40" t="str">
        <f>IF(G319="","Doğrulanmadı",IF(ABS(J319)&lt;=0.1,"Uyumlu (±%10)",IF(ABS(J319)&lt;=0.25,"Fark %10-25","Fark &gt;%25"))&amp;IF(OR(D319&lt;INDEX(Cables!$AQ:$AQ,MATCH(G319,Cables!$A:$A,0)),E319&gt;INDEX(Cables!$AR:$AR,MATCH(G319,Cables!$A:$A,0)))," · ekstrapolasyon",""))</f>
        <v>Uyumlu (±%10)</v>
      </c>
    </row>
    <row r="320" spans="1:11" x14ac:dyDescent="0.25">
      <c r="A320" s="37" t="s">
        <v>3062</v>
      </c>
      <c r="B320" s="40" t="str">
        <f>INDEX(Legacy_Index!$D:$D,MATCH(A320,Legacy_Index!$A:$A,0))</f>
        <v>HYPERFLEX 13™ Messi and Paoloni</v>
      </c>
      <c r="C320" s="37" t="s">
        <v>3122</v>
      </c>
      <c r="D320" s="37">
        <v>5725</v>
      </c>
      <c r="E320" s="37">
        <v>5875</v>
      </c>
      <c r="F320" s="37">
        <v>7.8</v>
      </c>
      <c r="G320" s="40" t="str">
        <f>IF(INDEX(Legacy_Index!$G:$G,MATCH(A320,Legacy_Index!$A:$A,0))="","",INDEX(Legacy_Index!$G:$G,MATCH(A320,Legacy_Index!$A:$A,0)))</f>
        <v>MP-HYPERFLEX13</v>
      </c>
      <c r="H320" s="43">
        <f>IF(G320="","",EXP(FORECAST(LN(D320),INDEX(Attenuation!$K:$K,(INDEX(Cables!$AO:$AO,MATCH(G320,Cables!$A:$A,0))-1+MIN(MAX(IFERROR(MATCH(LN(D320),INDEX(Attenuation!$J:$J,INDEX(Cables!$AO:$AO,MATCH(G320,Cables!$A:$A,0))):INDEX(Attenuation!$J:$J,INDEX(Cables!$AO:$AO,MATCH(G320,Cables!$A:$A,0))+INDEX(Cables!$AP:$AP,MATCH(G320,Cables!$A:$A,0))-1),1),1),1),INDEX(Cables!$AP:$AP,MATCH(G320,Cables!$A:$A,0))-1))):INDEX(Attenuation!$K:$K,(INDEX(Cables!$AO:$AO,MATCH(G320,Cables!$A:$A,0))-1+MIN(MAX(IFERROR(MATCH(LN(D320),INDEX(Attenuation!$J:$J,INDEX(Cables!$AO:$AO,MATCH(G320,Cables!$A:$A,0))):INDEX(Attenuation!$J:$J,INDEX(Cables!$AO:$AO,MATCH(G320,Cables!$A:$A,0))+INDEX(Cables!$AP:$AP,MATCH(G320,Cables!$A:$A,0))-1),1),1),1),INDEX(Cables!$AP:$AP,MATCH(G320,Cables!$A:$A,0))-1))+1),INDEX(Attenuation!$J:$J,(INDEX(Cables!$AO:$AO,MATCH(G320,Cables!$A:$A,0))-1+MIN(MAX(IFERROR(MATCH(LN(D320),INDEX(Attenuation!$J:$J,INDEX(Cables!$AO:$AO,MATCH(G320,Cables!$A:$A,0))):INDEX(Attenuation!$J:$J,INDEX(Cables!$AO:$AO,MATCH(G320,Cables!$A:$A,0))+INDEX(Cables!$AP:$AP,MATCH(G320,Cables!$A:$A,0))-1),1),1),1),INDEX(Cables!$AP:$AP,MATCH(G320,Cables!$A:$A,0))-1))):INDEX(Attenuation!$J:$J,(INDEX(Cables!$AO:$AO,MATCH(G320,Cables!$A:$A,0))-1+MIN(MAX(IFERROR(MATCH(LN(D320),INDEX(Attenuation!$J:$J,INDEX(Cables!$AO:$AO,MATCH(G320,Cables!$A:$A,0))):INDEX(Attenuation!$J:$J,INDEX(Cables!$AO:$AO,MATCH(G320,Cables!$A:$A,0))+INDEX(Cables!$AP:$AP,MATCH(G320,Cables!$A:$A,0))-1),1),1),1),INDEX(Cables!$AP:$AP,MATCH(G320,Cables!$A:$A,0))-1))+1)))*0.3048)</f>
        <v>8.4941997617328866</v>
      </c>
      <c r="I320" s="43">
        <f>IF(G320="","",EXP(FORECAST(LN(E320),INDEX(Attenuation!$K:$K,(INDEX(Cables!$AO:$AO,MATCH(G320,Cables!$A:$A,0))-1+MIN(MAX(IFERROR(MATCH(LN(E320),INDEX(Attenuation!$J:$J,INDEX(Cables!$AO:$AO,MATCH(G320,Cables!$A:$A,0))):INDEX(Attenuation!$J:$J,INDEX(Cables!$AO:$AO,MATCH(G320,Cables!$A:$A,0))+INDEX(Cables!$AP:$AP,MATCH(G320,Cables!$A:$A,0))-1),1),1),1),INDEX(Cables!$AP:$AP,MATCH(G320,Cables!$A:$A,0))-1))):INDEX(Attenuation!$K:$K,(INDEX(Cables!$AO:$AO,MATCH(G320,Cables!$A:$A,0))-1+MIN(MAX(IFERROR(MATCH(LN(E320),INDEX(Attenuation!$J:$J,INDEX(Cables!$AO:$AO,MATCH(G320,Cables!$A:$A,0))):INDEX(Attenuation!$J:$J,INDEX(Cables!$AO:$AO,MATCH(G320,Cables!$A:$A,0))+INDEX(Cables!$AP:$AP,MATCH(G320,Cables!$A:$A,0))-1),1),1),1),INDEX(Cables!$AP:$AP,MATCH(G320,Cables!$A:$A,0))-1))+1),INDEX(Attenuation!$J:$J,(INDEX(Cables!$AO:$AO,MATCH(G320,Cables!$A:$A,0))-1+MIN(MAX(IFERROR(MATCH(LN(E320),INDEX(Attenuation!$J:$J,INDEX(Cables!$AO:$AO,MATCH(G320,Cables!$A:$A,0))):INDEX(Attenuation!$J:$J,INDEX(Cables!$AO:$AO,MATCH(G320,Cables!$A:$A,0))+INDEX(Cables!$AP:$AP,MATCH(G320,Cables!$A:$A,0))-1),1),1),1),INDEX(Cables!$AP:$AP,MATCH(G320,Cables!$A:$A,0))-1))):INDEX(Attenuation!$J:$J,(INDEX(Cables!$AO:$AO,MATCH(G320,Cables!$A:$A,0))-1+MIN(MAX(IFERROR(MATCH(LN(E320),INDEX(Attenuation!$J:$J,INDEX(Cables!$AO:$AO,MATCH(G320,Cables!$A:$A,0))):INDEX(Attenuation!$J:$J,INDEX(Cables!$AO:$AO,MATCH(G320,Cables!$A:$A,0))+INDEX(Cables!$AP:$AP,MATCH(G320,Cables!$A:$A,0))-1),1),1),1),INDEX(Cables!$AP:$AP,MATCH(G320,Cables!$A:$A,0))-1))+1)))*0.3048)</f>
        <v>8.6330549325749431</v>
      </c>
      <c r="J320" s="44">
        <f t="shared" si="4"/>
        <v>-8.1726328695531425E-2</v>
      </c>
      <c r="K320" s="40" t="str">
        <f>IF(G320="","Doğrulanmadı",IF(ABS(J320)&lt;=0.1,"Uyumlu (±%10)",IF(ABS(J320)&lt;=0.25,"Fark %10-25","Fark &gt;%25"))&amp;IF(OR(D320&lt;INDEX(Cables!$AQ:$AQ,MATCH(G320,Cables!$A:$A,0)),E320&gt;INDEX(Cables!$AR:$AR,MATCH(G320,Cables!$A:$A,0)))," · ekstrapolasyon",""))</f>
        <v>Uyumlu (±%10)</v>
      </c>
    </row>
    <row r="321" spans="1:11" x14ac:dyDescent="0.25">
      <c r="A321" s="37" t="s">
        <v>3064</v>
      </c>
      <c r="B321" s="40" t="str">
        <f>INDEX(Legacy_Index!$D:$D,MATCH(A321,Legacy_Index!$A:$A,0))</f>
        <v>LMR600</v>
      </c>
      <c r="C321" s="37" t="s">
        <v>3118</v>
      </c>
      <c r="D321" s="37">
        <v>30</v>
      </c>
      <c r="E321" s="37">
        <v>50</v>
      </c>
      <c r="F321" s="37">
        <v>0.6</v>
      </c>
      <c r="G321" s="40" t="str">
        <f>IF(INDEX(Legacy_Index!$G:$G,MATCH(A321,Legacy_Index!$A:$A,0))="","",INDEX(Legacy_Index!$G:$G,MATCH(A321,Legacy_Index!$A:$A,0)))</f>
        <v>TMS-LMR600</v>
      </c>
      <c r="H321" s="43">
        <f>IF(G321="","",EXP(FORECAST(LN(D321),INDEX(Attenuation!$K:$K,(INDEX(Cables!$AO:$AO,MATCH(G321,Cables!$A:$A,0))-1+MIN(MAX(IFERROR(MATCH(LN(D321),INDEX(Attenuation!$J:$J,INDEX(Cables!$AO:$AO,MATCH(G321,Cables!$A:$A,0))):INDEX(Attenuation!$J:$J,INDEX(Cables!$AO:$AO,MATCH(G321,Cables!$A:$A,0))+INDEX(Cables!$AP:$AP,MATCH(G321,Cables!$A:$A,0))-1),1),1),1),INDEX(Cables!$AP:$AP,MATCH(G321,Cables!$A:$A,0))-1))):INDEX(Attenuation!$K:$K,(INDEX(Cables!$AO:$AO,MATCH(G321,Cables!$A:$A,0))-1+MIN(MAX(IFERROR(MATCH(LN(D321),INDEX(Attenuation!$J:$J,INDEX(Cables!$AO:$AO,MATCH(G321,Cables!$A:$A,0))):INDEX(Attenuation!$J:$J,INDEX(Cables!$AO:$AO,MATCH(G321,Cables!$A:$A,0))+INDEX(Cables!$AP:$AP,MATCH(G321,Cables!$A:$A,0))-1),1),1),1),INDEX(Cables!$AP:$AP,MATCH(G321,Cables!$A:$A,0))-1))+1),INDEX(Attenuation!$J:$J,(INDEX(Cables!$AO:$AO,MATCH(G321,Cables!$A:$A,0))-1+MIN(MAX(IFERROR(MATCH(LN(D321),INDEX(Attenuation!$J:$J,INDEX(Cables!$AO:$AO,MATCH(G321,Cables!$A:$A,0))):INDEX(Attenuation!$J:$J,INDEX(Cables!$AO:$AO,MATCH(G321,Cables!$A:$A,0))+INDEX(Cables!$AP:$AP,MATCH(G321,Cables!$A:$A,0))-1),1),1),1),INDEX(Cables!$AP:$AP,MATCH(G321,Cables!$A:$A,0))-1))):INDEX(Attenuation!$J:$J,(INDEX(Cables!$AO:$AO,MATCH(G321,Cables!$A:$A,0))-1+MIN(MAX(IFERROR(MATCH(LN(D321),INDEX(Attenuation!$J:$J,INDEX(Cables!$AO:$AO,MATCH(G321,Cables!$A:$A,0))):INDEX(Attenuation!$J:$J,INDEX(Cables!$AO:$AO,MATCH(G321,Cables!$A:$A,0))+INDEX(Cables!$AP:$AP,MATCH(G321,Cables!$A:$A,0))-1),1),1),1),INDEX(Cables!$AP:$AP,MATCH(G321,Cables!$A:$A,0))-1))+1)))*0.3048)</f>
        <v>0.42099999999999999</v>
      </c>
      <c r="I321" s="43">
        <f>IF(G321="","",EXP(FORECAST(LN(E321),INDEX(Attenuation!$K:$K,(INDEX(Cables!$AO:$AO,MATCH(G321,Cables!$A:$A,0))-1+MIN(MAX(IFERROR(MATCH(LN(E321),INDEX(Attenuation!$J:$J,INDEX(Cables!$AO:$AO,MATCH(G321,Cables!$A:$A,0))):INDEX(Attenuation!$J:$J,INDEX(Cables!$AO:$AO,MATCH(G321,Cables!$A:$A,0))+INDEX(Cables!$AP:$AP,MATCH(G321,Cables!$A:$A,0))-1),1),1),1),INDEX(Cables!$AP:$AP,MATCH(G321,Cables!$A:$A,0))-1))):INDEX(Attenuation!$K:$K,(INDEX(Cables!$AO:$AO,MATCH(G321,Cables!$A:$A,0))-1+MIN(MAX(IFERROR(MATCH(LN(E321),INDEX(Attenuation!$J:$J,INDEX(Cables!$AO:$AO,MATCH(G321,Cables!$A:$A,0))):INDEX(Attenuation!$J:$J,INDEX(Cables!$AO:$AO,MATCH(G321,Cables!$A:$A,0))+INDEX(Cables!$AP:$AP,MATCH(G321,Cables!$A:$A,0))-1),1),1),1),INDEX(Cables!$AP:$AP,MATCH(G321,Cables!$A:$A,0))-1))+1),INDEX(Attenuation!$J:$J,(INDEX(Cables!$AO:$AO,MATCH(G321,Cables!$A:$A,0))-1+MIN(MAX(IFERROR(MATCH(LN(E321),INDEX(Attenuation!$J:$J,INDEX(Cables!$AO:$AO,MATCH(G321,Cables!$A:$A,0))):INDEX(Attenuation!$J:$J,INDEX(Cables!$AO:$AO,MATCH(G321,Cables!$A:$A,0))+INDEX(Cables!$AP:$AP,MATCH(G321,Cables!$A:$A,0))-1),1),1),1),INDEX(Cables!$AP:$AP,MATCH(G321,Cables!$A:$A,0))-1))):INDEX(Attenuation!$J:$J,(INDEX(Cables!$AO:$AO,MATCH(G321,Cables!$A:$A,0))-1+MIN(MAX(IFERROR(MATCH(LN(E321),INDEX(Attenuation!$J:$J,INDEX(Cables!$AO:$AO,MATCH(G321,Cables!$A:$A,0))):INDEX(Attenuation!$J:$J,INDEX(Cables!$AO:$AO,MATCH(G321,Cables!$A:$A,0))+INDEX(Cables!$AP:$AP,MATCH(G321,Cables!$A:$A,0))-1),1),1),1),INDEX(Cables!$AP:$AP,MATCH(G321,Cables!$A:$A,0))-1))+1)))*0.3048)</f>
        <v>0.54700000000000004</v>
      </c>
      <c r="J321" s="44">
        <f t="shared" si="4"/>
        <v>9.6892138939670858E-2</v>
      </c>
      <c r="K321" s="40" t="str">
        <f>IF(G321="","Doğrulanmadı",IF(ABS(J321)&lt;=0.1,"Uyumlu (±%10)",IF(ABS(J321)&lt;=0.25,"Fark %10-25","Fark &gt;%25"))&amp;IF(OR(D321&lt;INDEX(Cables!$AQ:$AQ,MATCH(G321,Cables!$A:$A,0)),E321&gt;INDEX(Cables!$AR:$AR,MATCH(G321,Cables!$A:$A,0)))," · ekstrapolasyon",""))</f>
        <v>Uyumlu (±%10)</v>
      </c>
    </row>
    <row r="322" spans="1:11" x14ac:dyDescent="0.25">
      <c r="A322" s="37" t="s">
        <v>3064</v>
      </c>
      <c r="B322" s="40" t="str">
        <f>INDEX(Legacy_Index!$D:$D,MATCH(A322,Legacy_Index!$A:$A,0))</f>
        <v>LMR600</v>
      </c>
      <c r="C322" s="37" t="s">
        <v>3113</v>
      </c>
      <c r="D322" s="37">
        <v>70</v>
      </c>
      <c r="E322" s="37">
        <v>100</v>
      </c>
      <c r="F322" s="37">
        <v>0.75</v>
      </c>
      <c r="G322" s="40" t="str">
        <f>IF(INDEX(Legacy_Index!$G:$G,MATCH(A322,Legacy_Index!$A:$A,0))="","",INDEX(Legacy_Index!$G:$G,MATCH(A322,Legacy_Index!$A:$A,0)))</f>
        <v>TMS-LMR600</v>
      </c>
      <c r="H322" s="43">
        <f>IF(G322="","",EXP(FORECAST(LN(D322),INDEX(Attenuation!$K:$K,(INDEX(Cables!$AO:$AO,MATCH(G322,Cables!$A:$A,0))-1+MIN(MAX(IFERROR(MATCH(LN(D322),INDEX(Attenuation!$J:$J,INDEX(Cables!$AO:$AO,MATCH(G322,Cables!$A:$A,0))):INDEX(Attenuation!$J:$J,INDEX(Cables!$AO:$AO,MATCH(G322,Cables!$A:$A,0))+INDEX(Cables!$AP:$AP,MATCH(G322,Cables!$A:$A,0))-1),1),1),1),INDEX(Cables!$AP:$AP,MATCH(G322,Cables!$A:$A,0))-1))):INDEX(Attenuation!$K:$K,(INDEX(Cables!$AO:$AO,MATCH(G322,Cables!$A:$A,0))-1+MIN(MAX(IFERROR(MATCH(LN(D322),INDEX(Attenuation!$J:$J,INDEX(Cables!$AO:$AO,MATCH(G322,Cables!$A:$A,0))):INDEX(Attenuation!$J:$J,INDEX(Cables!$AO:$AO,MATCH(G322,Cables!$A:$A,0))+INDEX(Cables!$AP:$AP,MATCH(G322,Cables!$A:$A,0))-1),1),1),1),INDEX(Cables!$AP:$AP,MATCH(G322,Cables!$A:$A,0))-1))+1),INDEX(Attenuation!$J:$J,(INDEX(Cables!$AO:$AO,MATCH(G322,Cables!$A:$A,0))-1+MIN(MAX(IFERROR(MATCH(LN(D322),INDEX(Attenuation!$J:$J,INDEX(Cables!$AO:$AO,MATCH(G322,Cables!$A:$A,0))):INDEX(Attenuation!$J:$J,INDEX(Cables!$AO:$AO,MATCH(G322,Cables!$A:$A,0))+INDEX(Cables!$AP:$AP,MATCH(G322,Cables!$A:$A,0))-1),1),1),1),INDEX(Cables!$AP:$AP,MATCH(G322,Cables!$A:$A,0))-1))):INDEX(Attenuation!$J:$J,(INDEX(Cables!$AO:$AO,MATCH(G322,Cables!$A:$A,0))-1+MIN(MAX(IFERROR(MATCH(LN(D322),INDEX(Attenuation!$J:$J,INDEX(Cables!$AO:$AO,MATCH(G322,Cables!$A:$A,0))):INDEX(Attenuation!$J:$J,INDEX(Cables!$AO:$AO,MATCH(G322,Cables!$A:$A,0))+INDEX(Cables!$AP:$AP,MATCH(G322,Cables!$A:$A,0))-1),1),1),1),INDEX(Cables!$AP:$AP,MATCH(G322,Cables!$A:$A,0))-1))+1)))*0.3048)</f>
        <v>0.65066474697212906</v>
      </c>
      <c r="I322" s="43">
        <f>IF(G322="","",EXP(FORECAST(LN(E322),INDEX(Attenuation!$K:$K,(INDEX(Cables!$AO:$AO,MATCH(G322,Cables!$A:$A,0))-1+MIN(MAX(IFERROR(MATCH(LN(E322),INDEX(Attenuation!$J:$J,INDEX(Cables!$AO:$AO,MATCH(G322,Cables!$A:$A,0))):INDEX(Attenuation!$J:$J,INDEX(Cables!$AO:$AO,MATCH(G322,Cables!$A:$A,0))+INDEX(Cables!$AP:$AP,MATCH(G322,Cables!$A:$A,0))-1),1),1),1),INDEX(Cables!$AP:$AP,MATCH(G322,Cables!$A:$A,0))-1))):INDEX(Attenuation!$K:$K,(INDEX(Cables!$AO:$AO,MATCH(G322,Cables!$A:$A,0))-1+MIN(MAX(IFERROR(MATCH(LN(E322),INDEX(Attenuation!$J:$J,INDEX(Cables!$AO:$AO,MATCH(G322,Cables!$A:$A,0))):INDEX(Attenuation!$J:$J,INDEX(Cables!$AO:$AO,MATCH(G322,Cables!$A:$A,0))+INDEX(Cables!$AP:$AP,MATCH(G322,Cables!$A:$A,0))-1),1),1),1),INDEX(Cables!$AP:$AP,MATCH(G322,Cables!$A:$A,0))-1))+1),INDEX(Attenuation!$J:$J,(INDEX(Cables!$AO:$AO,MATCH(G322,Cables!$A:$A,0))-1+MIN(MAX(IFERROR(MATCH(LN(E322),INDEX(Attenuation!$J:$J,INDEX(Cables!$AO:$AO,MATCH(G322,Cables!$A:$A,0))):INDEX(Attenuation!$J:$J,INDEX(Cables!$AO:$AO,MATCH(G322,Cables!$A:$A,0))+INDEX(Cables!$AP:$AP,MATCH(G322,Cables!$A:$A,0))-1),1),1),1),INDEX(Cables!$AP:$AP,MATCH(G322,Cables!$A:$A,0))-1))):INDEX(Attenuation!$J:$J,(INDEX(Cables!$AO:$AO,MATCH(G322,Cables!$A:$A,0))-1+MIN(MAX(IFERROR(MATCH(LN(E322),INDEX(Attenuation!$J:$J,INDEX(Cables!$AO:$AO,MATCH(G322,Cables!$A:$A,0))):INDEX(Attenuation!$J:$J,INDEX(Cables!$AO:$AO,MATCH(G322,Cables!$A:$A,0))+INDEX(Cables!$AP:$AP,MATCH(G322,Cables!$A:$A,0))-1),1),1),1),INDEX(Cables!$AP:$AP,MATCH(G322,Cables!$A:$A,0))-1))+1)))*0.3048)</f>
        <v>0.78208263817810508</v>
      </c>
      <c r="J322" s="44">
        <f t="shared" ref="J322:J385" si="5">IF(G322="","",IF(F322&lt;H322,F322/H322-1,IF(F322&gt;I322,F322/I322-1,0)))</f>
        <v>0</v>
      </c>
      <c r="K322" s="40" t="str">
        <f>IF(G322="","Doğrulanmadı",IF(ABS(J322)&lt;=0.1,"Uyumlu (±%10)",IF(ABS(J322)&lt;=0.25,"Fark %10-25","Fark &gt;%25"))&amp;IF(OR(D322&lt;INDEX(Cables!$AQ:$AQ,MATCH(G322,Cables!$A:$A,0)),E322&gt;INDEX(Cables!$AR:$AR,MATCH(G322,Cables!$A:$A,0)))," · ekstrapolasyon",""))</f>
        <v>Uyumlu (±%10)</v>
      </c>
    </row>
    <row r="323" spans="1:11" x14ac:dyDescent="0.25">
      <c r="A323" s="37" t="s">
        <v>3064</v>
      </c>
      <c r="B323" s="40" t="str">
        <f>INDEX(Legacy_Index!$D:$D,MATCH(A323,Legacy_Index!$A:$A,0))</f>
        <v>LMR600</v>
      </c>
      <c r="C323" s="37" t="s">
        <v>3114</v>
      </c>
      <c r="D323" s="37">
        <v>148</v>
      </c>
      <c r="E323" s="37">
        <v>174</v>
      </c>
      <c r="F323" s="37">
        <v>0.96</v>
      </c>
      <c r="G323" s="40" t="str">
        <f>IF(INDEX(Legacy_Index!$G:$G,MATCH(A323,Legacy_Index!$A:$A,0))="","",INDEX(Legacy_Index!$G:$G,MATCH(A323,Legacy_Index!$A:$A,0)))</f>
        <v>TMS-LMR600</v>
      </c>
      <c r="H323" s="43">
        <f>IF(G323="","",EXP(FORECAST(LN(D323),INDEX(Attenuation!$K:$K,(INDEX(Cables!$AO:$AO,MATCH(G323,Cables!$A:$A,0))-1+MIN(MAX(IFERROR(MATCH(LN(D323),INDEX(Attenuation!$J:$J,INDEX(Cables!$AO:$AO,MATCH(G323,Cables!$A:$A,0))):INDEX(Attenuation!$J:$J,INDEX(Cables!$AO:$AO,MATCH(G323,Cables!$A:$A,0))+INDEX(Cables!$AP:$AP,MATCH(G323,Cables!$A:$A,0))-1),1),1),1),INDEX(Cables!$AP:$AP,MATCH(G323,Cables!$A:$A,0))-1))):INDEX(Attenuation!$K:$K,(INDEX(Cables!$AO:$AO,MATCH(G323,Cables!$A:$A,0))-1+MIN(MAX(IFERROR(MATCH(LN(D323),INDEX(Attenuation!$J:$J,INDEX(Cables!$AO:$AO,MATCH(G323,Cables!$A:$A,0))):INDEX(Attenuation!$J:$J,INDEX(Cables!$AO:$AO,MATCH(G323,Cables!$A:$A,0))+INDEX(Cables!$AP:$AP,MATCH(G323,Cables!$A:$A,0))-1),1),1),1),INDEX(Cables!$AP:$AP,MATCH(G323,Cables!$A:$A,0))-1))+1),INDEX(Attenuation!$J:$J,(INDEX(Cables!$AO:$AO,MATCH(G323,Cables!$A:$A,0))-1+MIN(MAX(IFERROR(MATCH(LN(D323),INDEX(Attenuation!$J:$J,INDEX(Cables!$AO:$AO,MATCH(G323,Cables!$A:$A,0))):INDEX(Attenuation!$J:$J,INDEX(Cables!$AO:$AO,MATCH(G323,Cables!$A:$A,0))+INDEX(Cables!$AP:$AP,MATCH(G323,Cables!$A:$A,0))-1),1),1),1),INDEX(Cables!$AP:$AP,MATCH(G323,Cables!$A:$A,0))-1))):INDEX(Attenuation!$J:$J,(INDEX(Cables!$AO:$AO,MATCH(G323,Cables!$A:$A,0))-1+MIN(MAX(IFERROR(MATCH(LN(D323),INDEX(Attenuation!$J:$J,INDEX(Cables!$AO:$AO,MATCH(G323,Cables!$A:$A,0))):INDEX(Attenuation!$J:$J,INDEX(Cables!$AO:$AO,MATCH(G323,Cables!$A:$A,0))+INDEX(Cables!$AP:$AP,MATCH(G323,Cables!$A:$A,0))-1),1),1),1),INDEX(Cables!$AP:$AP,MATCH(G323,Cables!$A:$A,0))-1))+1)))*0.3048)</f>
        <v>0.95734896161997463</v>
      </c>
      <c r="I323" s="43">
        <f>IF(G323="","",EXP(FORECAST(LN(E323),INDEX(Attenuation!$K:$K,(INDEX(Cables!$AO:$AO,MATCH(G323,Cables!$A:$A,0))-1+MIN(MAX(IFERROR(MATCH(LN(E323),INDEX(Attenuation!$J:$J,INDEX(Cables!$AO:$AO,MATCH(G323,Cables!$A:$A,0))):INDEX(Attenuation!$J:$J,INDEX(Cables!$AO:$AO,MATCH(G323,Cables!$A:$A,0))+INDEX(Cables!$AP:$AP,MATCH(G323,Cables!$A:$A,0))-1),1),1),1),INDEX(Cables!$AP:$AP,MATCH(G323,Cables!$A:$A,0))-1))):INDEX(Attenuation!$K:$K,(INDEX(Cables!$AO:$AO,MATCH(G323,Cables!$A:$A,0))-1+MIN(MAX(IFERROR(MATCH(LN(E323),INDEX(Attenuation!$J:$J,INDEX(Cables!$AO:$AO,MATCH(G323,Cables!$A:$A,0))):INDEX(Attenuation!$J:$J,INDEX(Cables!$AO:$AO,MATCH(G323,Cables!$A:$A,0))+INDEX(Cables!$AP:$AP,MATCH(G323,Cables!$A:$A,0))-1),1),1),1),INDEX(Cables!$AP:$AP,MATCH(G323,Cables!$A:$A,0))-1))+1),INDEX(Attenuation!$J:$J,(INDEX(Cables!$AO:$AO,MATCH(G323,Cables!$A:$A,0))-1+MIN(MAX(IFERROR(MATCH(LN(E323),INDEX(Attenuation!$J:$J,INDEX(Cables!$AO:$AO,MATCH(G323,Cables!$A:$A,0))):INDEX(Attenuation!$J:$J,INDEX(Cables!$AO:$AO,MATCH(G323,Cables!$A:$A,0))+INDEX(Cables!$AP:$AP,MATCH(G323,Cables!$A:$A,0))-1),1),1),1),INDEX(Cables!$AP:$AP,MATCH(G323,Cables!$A:$A,0))-1))):INDEX(Attenuation!$J:$J,(INDEX(Cables!$AO:$AO,MATCH(G323,Cables!$A:$A,0))-1+MIN(MAX(IFERROR(MATCH(LN(E323),INDEX(Attenuation!$J:$J,INDEX(Cables!$AO:$AO,MATCH(G323,Cables!$A:$A,0))):INDEX(Attenuation!$J:$J,INDEX(Cables!$AO:$AO,MATCH(G323,Cables!$A:$A,0))+INDEX(Cables!$AP:$AP,MATCH(G323,Cables!$A:$A,0))-1),1),1),1),INDEX(Cables!$AP:$AP,MATCH(G323,Cables!$A:$A,0))-1))+1)))*0.3048)</f>
        <v>1.042566749809305</v>
      </c>
      <c r="J323" s="44">
        <f t="shared" si="5"/>
        <v>0</v>
      </c>
      <c r="K323" s="40" t="str">
        <f>IF(G323="","Doğrulanmadı",IF(ABS(J323)&lt;=0.1,"Uyumlu (±%10)",IF(ABS(J323)&lt;=0.25,"Fark %10-25","Fark &gt;%25"))&amp;IF(OR(D323&lt;INDEX(Cables!$AQ:$AQ,MATCH(G323,Cables!$A:$A,0)),E323&gt;INDEX(Cables!$AR:$AR,MATCH(G323,Cables!$A:$A,0)))," · ekstrapolasyon",""))</f>
        <v>Uyumlu (±%10)</v>
      </c>
    </row>
    <row r="324" spans="1:11" x14ac:dyDescent="0.25">
      <c r="A324" s="37" t="s">
        <v>3064</v>
      </c>
      <c r="B324" s="40" t="str">
        <f>INDEX(Legacy_Index!$D:$D,MATCH(A324,Legacy_Index!$A:$A,0))</f>
        <v>LMR600</v>
      </c>
      <c r="C324" s="37" t="s">
        <v>3119</v>
      </c>
      <c r="D324" s="37">
        <v>220</v>
      </c>
      <c r="E324" s="37">
        <v>220</v>
      </c>
      <c r="F324" s="37">
        <v>1.2</v>
      </c>
      <c r="G324" s="40" t="str">
        <f>IF(INDEX(Legacy_Index!$G:$G,MATCH(A324,Legacy_Index!$A:$A,0))="","",INDEX(Legacy_Index!$G:$G,MATCH(A324,Legacy_Index!$A:$A,0)))</f>
        <v>TMS-LMR600</v>
      </c>
      <c r="H324" s="43">
        <f>IF(G324="","",EXP(FORECAST(LN(D324),INDEX(Attenuation!$K:$K,(INDEX(Cables!$AO:$AO,MATCH(G324,Cables!$A:$A,0))-1+MIN(MAX(IFERROR(MATCH(LN(D324),INDEX(Attenuation!$J:$J,INDEX(Cables!$AO:$AO,MATCH(G324,Cables!$A:$A,0))):INDEX(Attenuation!$J:$J,INDEX(Cables!$AO:$AO,MATCH(G324,Cables!$A:$A,0))+INDEX(Cables!$AP:$AP,MATCH(G324,Cables!$A:$A,0))-1),1),1),1),INDEX(Cables!$AP:$AP,MATCH(G324,Cables!$A:$A,0))-1))):INDEX(Attenuation!$K:$K,(INDEX(Cables!$AO:$AO,MATCH(G324,Cables!$A:$A,0))-1+MIN(MAX(IFERROR(MATCH(LN(D324),INDEX(Attenuation!$J:$J,INDEX(Cables!$AO:$AO,MATCH(G324,Cables!$A:$A,0))):INDEX(Attenuation!$J:$J,INDEX(Cables!$AO:$AO,MATCH(G324,Cables!$A:$A,0))+INDEX(Cables!$AP:$AP,MATCH(G324,Cables!$A:$A,0))-1),1),1),1),INDEX(Cables!$AP:$AP,MATCH(G324,Cables!$A:$A,0))-1))+1),INDEX(Attenuation!$J:$J,(INDEX(Cables!$AO:$AO,MATCH(G324,Cables!$A:$A,0))-1+MIN(MAX(IFERROR(MATCH(LN(D324),INDEX(Attenuation!$J:$J,INDEX(Cables!$AO:$AO,MATCH(G324,Cables!$A:$A,0))):INDEX(Attenuation!$J:$J,INDEX(Cables!$AO:$AO,MATCH(G324,Cables!$A:$A,0))+INDEX(Cables!$AP:$AP,MATCH(G324,Cables!$A:$A,0))-1),1),1),1),INDEX(Cables!$AP:$AP,MATCH(G324,Cables!$A:$A,0))-1))):INDEX(Attenuation!$J:$J,(INDEX(Cables!$AO:$AO,MATCH(G324,Cables!$A:$A,0))-1+MIN(MAX(IFERROR(MATCH(LN(D324),INDEX(Attenuation!$J:$J,INDEX(Cables!$AO:$AO,MATCH(G324,Cables!$A:$A,0))):INDEX(Attenuation!$J:$J,INDEX(Cables!$AO:$AO,MATCH(G324,Cables!$A:$A,0))+INDEX(Cables!$AP:$AP,MATCH(G324,Cables!$A:$A,0))-1),1),1),1),INDEX(Cables!$AP:$AP,MATCH(G324,Cables!$A:$A,0))-1))+1)))*0.3048)</f>
        <v>1.18</v>
      </c>
      <c r="I324" s="43">
        <f>IF(G324="","",EXP(FORECAST(LN(E324),INDEX(Attenuation!$K:$K,(INDEX(Cables!$AO:$AO,MATCH(G324,Cables!$A:$A,0))-1+MIN(MAX(IFERROR(MATCH(LN(E324),INDEX(Attenuation!$J:$J,INDEX(Cables!$AO:$AO,MATCH(G324,Cables!$A:$A,0))):INDEX(Attenuation!$J:$J,INDEX(Cables!$AO:$AO,MATCH(G324,Cables!$A:$A,0))+INDEX(Cables!$AP:$AP,MATCH(G324,Cables!$A:$A,0))-1),1),1),1),INDEX(Cables!$AP:$AP,MATCH(G324,Cables!$A:$A,0))-1))):INDEX(Attenuation!$K:$K,(INDEX(Cables!$AO:$AO,MATCH(G324,Cables!$A:$A,0))-1+MIN(MAX(IFERROR(MATCH(LN(E324),INDEX(Attenuation!$J:$J,INDEX(Cables!$AO:$AO,MATCH(G324,Cables!$A:$A,0))):INDEX(Attenuation!$J:$J,INDEX(Cables!$AO:$AO,MATCH(G324,Cables!$A:$A,0))+INDEX(Cables!$AP:$AP,MATCH(G324,Cables!$A:$A,0))-1),1),1),1),INDEX(Cables!$AP:$AP,MATCH(G324,Cables!$A:$A,0))-1))+1),INDEX(Attenuation!$J:$J,(INDEX(Cables!$AO:$AO,MATCH(G324,Cables!$A:$A,0))-1+MIN(MAX(IFERROR(MATCH(LN(E324),INDEX(Attenuation!$J:$J,INDEX(Cables!$AO:$AO,MATCH(G324,Cables!$A:$A,0))):INDEX(Attenuation!$J:$J,INDEX(Cables!$AO:$AO,MATCH(G324,Cables!$A:$A,0))+INDEX(Cables!$AP:$AP,MATCH(G324,Cables!$A:$A,0))-1),1),1),1),INDEX(Cables!$AP:$AP,MATCH(G324,Cables!$A:$A,0))-1))):INDEX(Attenuation!$J:$J,(INDEX(Cables!$AO:$AO,MATCH(G324,Cables!$A:$A,0))-1+MIN(MAX(IFERROR(MATCH(LN(E324),INDEX(Attenuation!$J:$J,INDEX(Cables!$AO:$AO,MATCH(G324,Cables!$A:$A,0))):INDEX(Attenuation!$J:$J,INDEX(Cables!$AO:$AO,MATCH(G324,Cables!$A:$A,0))+INDEX(Cables!$AP:$AP,MATCH(G324,Cables!$A:$A,0))-1),1),1),1),INDEX(Cables!$AP:$AP,MATCH(G324,Cables!$A:$A,0))-1))+1)))*0.3048)</f>
        <v>1.18</v>
      </c>
      <c r="J324" s="44">
        <f t="shared" si="5"/>
        <v>1.6949152542372836E-2</v>
      </c>
      <c r="K324" s="40" t="str">
        <f>IF(G324="","Doğrulanmadı",IF(ABS(J324)&lt;=0.1,"Uyumlu (±%10)",IF(ABS(J324)&lt;=0.25,"Fark %10-25","Fark &gt;%25"))&amp;IF(OR(D324&lt;INDEX(Cables!$AQ:$AQ,MATCH(G324,Cables!$A:$A,0)),E324&gt;INDEX(Cables!$AR:$AR,MATCH(G324,Cables!$A:$A,0)))," · ekstrapolasyon",""))</f>
        <v>Uyumlu (±%10)</v>
      </c>
    </row>
    <row r="325" spans="1:11" x14ac:dyDescent="0.25">
      <c r="A325" s="37" t="s">
        <v>3064</v>
      </c>
      <c r="B325" s="40" t="str">
        <f>INDEX(Legacy_Index!$D:$D,MATCH(A325,Legacy_Index!$A:$A,0))</f>
        <v>LMR600</v>
      </c>
      <c r="C325" s="37" t="s">
        <v>3115</v>
      </c>
      <c r="D325" s="37">
        <v>400</v>
      </c>
      <c r="E325" s="37">
        <v>520</v>
      </c>
      <c r="F325" s="37">
        <v>1.7</v>
      </c>
      <c r="G325" s="40" t="str">
        <f>IF(INDEX(Legacy_Index!$G:$G,MATCH(A325,Legacy_Index!$A:$A,0))="","",INDEX(Legacy_Index!$G:$G,MATCH(A325,Legacy_Index!$A:$A,0)))</f>
        <v>TMS-LMR600</v>
      </c>
      <c r="H325" s="43">
        <f>IF(G325="","",EXP(FORECAST(LN(D325),INDEX(Attenuation!$K:$K,(INDEX(Cables!$AO:$AO,MATCH(G325,Cables!$A:$A,0))-1+MIN(MAX(IFERROR(MATCH(LN(D325),INDEX(Attenuation!$J:$J,INDEX(Cables!$AO:$AO,MATCH(G325,Cables!$A:$A,0))):INDEX(Attenuation!$J:$J,INDEX(Cables!$AO:$AO,MATCH(G325,Cables!$A:$A,0))+INDEX(Cables!$AP:$AP,MATCH(G325,Cables!$A:$A,0))-1),1),1),1),INDEX(Cables!$AP:$AP,MATCH(G325,Cables!$A:$A,0))-1))):INDEX(Attenuation!$K:$K,(INDEX(Cables!$AO:$AO,MATCH(G325,Cables!$A:$A,0))-1+MIN(MAX(IFERROR(MATCH(LN(D325),INDEX(Attenuation!$J:$J,INDEX(Cables!$AO:$AO,MATCH(G325,Cables!$A:$A,0))):INDEX(Attenuation!$J:$J,INDEX(Cables!$AO:$AO,MATCH(G325,Cables!$A:$A,0))+INDEX(Cables!$AP:$AP,MATCH(G325,Cables!$A:$A,0))-1),1),1),1),INDEX(Cables!$AP:$AP,MATCH(G325,Cables!$A:$A,0))-1))+1),INDEX(Attenuation!$J:$J,(INDEX(Cables!$AO:$AO,MATCH(G325,Cables!$A:$A,0))-1+MIN(MAX(IFERROR(MATCH(LN(D325),INDEX(Attenuation!$J:$J,INDEX(Cables!$AO:$AO,MATCH(G325,Cables!$A:$A,0))):INDEX(Attenuation!$J:$J,INDEX(Cables!$AO:$AO,MATCH(G325,Cables!$A:$A,0))+INDEX(Cables!$AP:$AP,MATCH(G325,Cables!$A:$A,0))-1),1),1),1),INDEX(Cables!$AP:$AP,MATCH(G325,Cables!$A:$A,0))-1))):INDEX(Attenuation!$J:$J,(INDEX(Cables!$AO:$AO,MATCH(G325,Cables!$A:$A,0))-1+MIN(MAX(IFERROR(MATCH(LN(D325),INDEX(Attenuation!$J:$J,INDEX(Cables!$AO:$AO,MATCH(G325,Cables!$A:$A,0))):INDEX(Attenuation!$J:$J,INDEX(Cables!$AO:$AO,MATCH(G325,Cables!$A:$A,0))+INDEX(Cables!$AP:$AP,MATCH(G325,Cables!$A:$A,0))-1),1),1),1),INDEX(Cables!$AP:$AP,MATCH(G325,Cables!$A:$A,0))-1))+1)))*0.3048)</f>
        <v>1.6165683714887673</v>
      </c>
      <c r="I325" s="43">
        <f>IF(G325="","",EXP(FORECAST(LN(E325),INDEX(Attenuation!$K:$K,(INDEX(Cables!$AO:$AO,MATCH(G325,Cables!$A:$A,0))-1+MIN(MAX(IFERROR(MATCH(LN(E325),INDEX(Attenuation!$J:$J,INDEX(Cables!$AO:$AO,MATCH(G325,Cables!$A:$A,0))):INDEX(Attenuation!$J:$J,INDEX(Cables!$AO:$AO,MATCH(G325,Cables!$A:$A,0))+INDEX(Cables!$AP:$AP,MATCH(G325,Cables!$A:$A,0))-1),1),1),1),INDEX(Cables!$AP:$AP,MATCH(G325,Cables!$A:$A,0))-1))):INDEX(Attenuation!$K:$K,(INDEX(Cables!$AO:$AO,MATCH(G325,Cables!$A:$A,0))-1+MIN(MAX(IFERROR(MATCH(LN(E325),INDEX(Attenuation!$J:$J,INDEX(Cables!$AO:$AO,MATCH(G325,Cables!$A:$A,0))):INDEX(Attenuation!$J:$J,INDEX(Cables!$AO:$AO,MATCH(G325,Cables!$A:$A,0))+INDEX(Cables!$AP:$AP,MATCH(G325,Cables!$A:$A,0))-1),1),1),1),INDEX(Cables!$AP:$AP,MATCH(G325,Cables!$A:$A,0))-1))+1),INDEX(Attenuation!$J:$J,(INDEX(Cables!$AO:$AO,MATCH(G325,Cables!$A:$A,0))-1+MIN(MAX(IFERROR(MATCH(LN(E325),INDEX(Attenuation!$J:$J,INDEX(Cables!$AO:$AO,MATCH(G325,Cables!$A:$A,0))):INDEX(Attenuation!$J:$J,INDEX(Cables!$AO:$AO,MATCH(G325,Cables!$A:$A,0))+INDEX(Cables!$AP:$AP,MATCH(G325,Cables!$A:$A,0))-1),1),1),1),INDEX(Cables!$AP:$AP,MATCH(G325,Cables!$A:$A,0))-1))):INDEX(Attenuation!$J:$J,(INDEX(Cables!$AO:$AO,MATCH(G325,Cables!$A:$A,0))-1+MIN(MAX(IFERROR(MATCH(LN(E325),INDEX(Attenuation!$J:$J,INDEX(Cables!$AO:$AO,MATCH(G325,Cables!$A:$A,0))):INDEX(Attenuation!$J:$J,INDEX(Cables!$AO:$AO,MATCH(G325,Cables!$A:$A,0))+INDEX(Cables!$AP:$AP,MATCH(G325,Cables!$A:$A,0))-1),1),1),1),INDEX(Cables!$AP:$AP,MATCH(G325,Cables!$A:$A,0))-1))+1)))*0.3048)</f>
        <v>1.8587015490514875</v>
      </c>
      <c r="J325" s="44">
        <f t="shared" si="5"/>
        <v>0</v>
      </c>
      <c r="K325" s="40" t="str">
        <f>IF(G325="","Doğrulanmadı",IF(ABS(J325)&lt;=0.1,"Uyumlu (±%10)",IF(ABS(J325)&lt;=0.25,"Fark %10-25","Fark &gt;%25"))&amp;IF(OR(D325&lt;INDEX(Cables!$AQ:$AQ,MATCH(G325,Cables!$A:$A,0)),E325&gt;INDEX(Cables!$AR:$AR,MATCH(G325,Cables!$A:$A,0)))," · ekstrapolasyon",""))</f>
        <v>Uyumlu (±%10)</v>
      </c>
    </row>
    <row r="326" spans="1:11" x14ac:dyDescent="0.25">
      <c r="A326" s="37" t="s">
        <v>3064</v>
      </c>
      <c r="B326" s="40" t="str">
        <f>INDEX(Legacy_Index!$D:$D,MATCH(A326,Legacy_Index!$A:$A,0))</f>
        <v>LMR600</v>
      </c>
      <c r="C326" s="37" t="s">
        <v>3116</v>
      </c>
      <c r="D326" s="37">
        <v>700</v>
      </c>
      <c r="E326" s="37">
        <v>960</v>
      </c>
      <c r="F326" s="37">
        <v>2.5</v>
      </c>
      <c r="G326" s="40" t="str">
        <f>IF(INDEX(Legacy_Index!$G:$G,MATCH(A326,Legacy_Index!$A:$A,0))="","",INDEX(Legacy_Index!$G:$G,MATCH(A326,Legacy_Index!$A:$A,0)))</f>
        <v>TMS-LMR600</v>
      </c>
      <c r="H326" s="43">
        <f>IF(G326="","",EXP(FORECAST(LN(D326),INDEX(Attenuation!$K:$K,(INDEX(Cables!$AO:$AO,MATCH(G326,Cables!$A:$A,0))-1+MIN(MAX(IFERROR(MATCH(LN(D326),INDEX(Attenuation!$J:$J,INDEX(Cables!$AO:$AO,MATCH(G326,Cables!$A:$A,0))):INDEX(Attenuation!$J:$J,INDEX(Cables!$AO:$AO,MATCH(G326,Cables!$A:$A,0))+INDEX(Cables!$AP:$AP,MATCH(G326,Cables!$A:$A,0))-1),1),1),1),INDEX(Cables!$AP:$AP,MATCH(G326,Cables!$A:$A,0))-1))):INDEX(Attenuation!$K:$K,(INDEX(Cables!$AO:$AO,MATCH(G326,Cables!$A:$A,0))-1+MIN(MAX(IFERROR(MATCH(LN(D326),INDEX(Attenuation!$J:$J,INDEX(Cables!$AO:$AO,MATCH(G326,Cables!$A:$A,0))):INDEX(Attenuation!$J:$J,INDEX(Cables!$AO:$AO,MATCH(G326,Cables!$A:$A,0))+INDEX(Cables!$AP:$AP,MATCH(G326,Cables!$A:$A,0))-1),1),1),1),INDEX(Cables!$AP:$AP,MATCH(G326,Cables!$A:$A,0))-1))+1),INDEX(Attenuation!$J:$J,(INDEX(Cables!$AO:$AO,MATCH(G326,Cables!$A:$A,0))-1+MIN(MAX(IFERROR(MATCH(LN(D326),INDEX(Attenuation!$J:$J,INDEX(Cables!$AO:$AO,MATCH(G326,Cables!$A:$A,0))):INDEX(Attenuation!$J:$J,INDEX(Cables!$AO:$AO,MATCH(G326,Cables!$A:$A,0))+INDEX(Cables!$AP:$AP,MATCH(G326,Cables!$A:$A,0))-1),1),1),1),INDEX(Cables!$AP:$AP,MATCH(G326,Cables!$A:$A,0))-1))):INDEX(Attenuation!$J:$J,(INDEX(Cables!$AO:$AO,MATCH(G326,Cables!$A:$A,0))-1+MIN(MAX(IFERROR(MATCH(LN(D326),INDEX(Attenuation!$J:$J,INDEX(Cables!$AO:$AO,MATCH(G326,Cables!$A:$A,0))):INDEX(Attenuation!$J:$J,INDEX(Cables!$AO:$AO,MATCH(G326,Cables!$A:$A,0))+INDEX(Cables!$AP:$AP,MATCH(G326,Cables!$A:$A,0))-1),1),1),1),INDEX(Cables!$AP:$AP,MATCH(G326,Cables!$A:$A,0))-1))+1)))*0.3048)</f>
        <v>2.1800000000000006</v>
      </c>
      <c r="I326" s="43">
        <f>IF(G326="","",EXP(FORECAST(LN(E326),INDEX(Attenuation!$K:$K,(INDEX(Cables!$AO:$AO,MATCH(G326,Cables!$A:$A,0))-1+MIN(MAX(IFERROR(MATCH(LN(E326),INDEX(Attenuation!$J:$J,INDEX(Cables!$AO:$AO,MATCH(G326,Cables!$A:$A,0))):INDEX(Attenuation!$J:$J,INDEX(Cables!$AO:$AO,MATCH(G326,Cables!$A:$A,0))+INDEX(Cables!$AP:$AP,MATCH(G326,Cables!$A:$A,0))-1),1),1),1),INDEX(Cables!$AP:$AP,MATCH(G326,Cables!$A:$A,0))-1))):INDEX(Attenuation!$K:$K,(INDEX(Cables!$AO:$AO,MATCH(G326,Cables!$A:$A,0))-1+MIN(MAX(IFERROR(MATCH(LN(E326),INDEX(Attenuation!$J:$J,INDEX(Cables!$AO:$AO,MATCH(G326,Cables!$A:$A,0))):INDEX(Attenuation!$J:$J,INDEX(Cables!$AO:$AO,MATCH(G326,Cables!$A:$A,0))+INDEX(Cables!$AP:$AP,MATCH(G326,Cables!$A:$A,0))-1),1),1),1),INDEX(Cables!$AP:$AP,MATCH(G326,Cables!$A:$A,0))-1))+1),INDEX(Attenuation!$J:$J,(INDEX(Cables!$AO:$AO,MATCH(G326,Cables!$A:$A,0))-1+MIN(MAX(IFERROR(MATCH(LN(E326),INDEX(Attenuation!$J:$J,INDEX(Cables!$AO:$AO,MATCH(G326,Cables!$A:$A,0))):INDEX(Attenuation!$J:$J,INDEX(Cables!$AO:$AO,MATCH(G326,Cables!$A:$A,0))+INDEX(Cables!$AP:$AP,MATCH(G326,Cables!$A:$A,0))-1),1),1),1),INDEX(Cables!$AP:$AP,MATCH(G326,Cables!$A:$A,0))-1))):INDEX(Attenuation!$J:$J,(INDEX(Cables!$AO:$AO,MATCH(G326,Cables!$A:$A,0))-1+MIN(MAX(IFERROR(MATCH(LN(E326),INDEX(Attenuation!$J:$J,INDEX(Cables!$AO:$AO,MATCH(G326,Cables!$A:$A,0))):INDEX(Attenuation!$J:$J,INDEX(Cables!$AO:$AO,MATCH(G326,Cables!$A:$A,0))+INDEX(Cables!$AP:$AP,MATCH(G326,Cables!$A:$A,0))-1),1),1),1),INDEX(Cables!$AP:$AP,MATCH(G326,Cables!$A:$A,0))-1))+1)))*0.3048)</f>
        <v>2.5902371651940066</v>
      </c>
      <c r="J326" s="44">
        <f t="shared" si="5"/>
        <v>0</v>
      </c>
      <c r="K326" s="40" t="str">
        <f>IF(G326="","Doğrulanmadı",IF(ABS(J326)&lt;=0.1,"Uyumlu (±%10)",IF(ABS(J326)&lt;=0.25,"Fark %10-25","Fark &gt;%25"))&amp;IF(OR(D326&lt;INDEX(Cables!$AQ:$AQ,MATCH(G326,Cables!$A:$A,0)),E326&gt;INDEX(Cables!$AR:$AR,MATCH(G326,Cables!$A:$A,0)))," · ekstrapolasyon",""))</f>
        <v>Uyumlu (±%10)</v>
      </c>
    </row>
    <row r="327" spans="1:11" x14ac:dyDescent="0.25">
      <c r="A327" s="37" t="s">
        <v>3064</v>
      </c>
      <c r="B327" s="40" t="str">
        <f>INDEX(Legacy_Index!$D:$D,MATCH(A327,Legacy_Index!$A:$A,0))</f>
        <v>LMR600</v>
      </c>
      <c r="C327" s="37" t="s">
        <v>3120</v>
      </c>
      <c r="D327" s="37">
        <v>1200</v>
      </c>
      <c r="E327" s="37">
        <v>1300</v>
      </c>
      <c r="F327" s="37">
        <v>3.1</v>
      </c>
      <c r="G327" s="40" t="str">
        <f>IF(INDEX(Legacy_Index!$G:$G,MATCH(A327,Legacy_Index!$A:$A,0))="","",INDEX(Legacy_Index!$G:$G,MATCH(A327,Legacy_Index!$A:$A,0)))</f>
        <v>TMS-LMR600</v>
      </c>
      <c r="H327" s="43">
        <f>IF(G327="","",EXP(FORECAST(LN(D327),INDEX(Attenuation!$K:$K,(INDEX(Cables!$AO:$AO,MATCH(G327,Cables!$A:$A,0))-1+MIN(MAX(IFERROR(MATCH(LN(D327),INDEX(Attenuation!$J:$J,INDEX(Cables!$AO:$AO,MATCH(G327,Cables!$A:$A,0))):INDEX(Attenuation!$J:$J,INDEX(Cables!$AO:$AO,MATCH(G327,Cables!$A:$A,0))+INDEX(Cables!$AP:$AP,MATCH(G327,Cables!$A:$A,0))-1),1),1),1),INDEX(Cables!$AP:$AP,MATCH(G327,Cables!$A:$A,0))-1))):INDEX(Attenuation!$K:$K,(INDEX(Cables!$AO:$AO,MATCH(G327,Cables!$A:$A,0))-1+MIN(MAX(IFERROR(MATCH(LN(D327),INDEX(Attenuation!$J:$J,INDEX(Cables!$AO:$AO,MATCH(G327,Cables!$A:$A,0))):INDEX(Attenuation!$J:$J,INDEX(Cables!$AO:$AO,MATCH(G327,Cables!$A:$A,0))+INDEX(Cables!$AP:$AP,MATCH(G327,Cables!$A:$A,0))-1),1),1),1),INDEX(Cables!$AP:$AP,MATCH(G327,Cables!$A:$A,0))-1))+1),INDEX(Attenuation!$J:$J,(INDEX(Cables!$AO:$AO,MATCH(G327,Cables!$A:$A,0))-1+MIN(MAX(IFERROR(MATCH(LN(D327),INDEX(Attenuation!$J:$J,INDEX(Cables!$AO:$AO,MATCH(G327,Cables!$A:$A,0))):INDEX(Attenuation!$J:$J,INDEX(Cables!$AO:$AO,MATCH(G327,Cables!$A:$A,0))+INDEX(Cables!$AP:$AP,MATCH(G327,Cables!$A:$A,0))-1),1),1),1),INDEX(Cables!$AP:$AP,MATCH(G327,Cables!$A:$A,0))-1))):INDEX(Attenuation!$J:$J,(INDEX(Cables!$AO:$AO,MATCH(G327,Cables!$A:$A,0))-1+MIN(MAX(IFERROR(MATCH(LN(D327),INDEX(Attenuation!$J:$J,INDEX(Cables!$AO:$AO,MATCH(G327,Cables!$A:$A,0))):INDEX(Attenuation!$J:$J,INDEX(Cables!$AO:$AO,MATCH(G327,Cables!$A:$A,0))+INDEX(Cables!$AP:$AP,MATCH(G327,Cables!$A:$A,0))-1),1),1),1),INDEX(Cables!$AP:$AP,MATCH(G327,Cables!$A:$A,0))-1))+1)))*0.3048)</f>
        <v>2.928085554896263</v>
      </c>
      <c r="I327" s="43">
        <f>IF(G327="","",EXP(FORECAST(LN(E327),INDEX(Attenuation!$K:$K,(INDEX(Cables!$AO:$AO,MATCH(G327,Cables!$A:$A,0))-1+MIN(MAX(IFERROR(MATCH(LN(E327),INDEX(Attenuation!$J:$J,INDEX(Cables!$AO:$AO,MATCH(G327,Cables!$A:$A,0))):INDEX(Attenuation!$J:$J,INDEX(Cables!$AO:$AO,MATCH(G327,Cables!$A:$A,0))+INDEX(Cables!$AP:$AP,MATCH(G327,Cables!$A:$A,0))-1),1),1),1),INDEX(Cables!$AP:$AP,MATCH(G327,Cables!$A:$A,0))-1))):INDEX(Attenuation!$K:$K,(INDEX(Cables!$AO:$AO,MATCH(G327,Cables!$A:$A,0))-1+MIN(MAX(IFERROR(MATCH(LN(E327),INDEX(Attenuation!$J:$J,INDEX(Cables!$AO:$AO,MATCH(G327,Cables!$A:$A,0))):INDEX(Attenuation!$J:$J,INDEX(Cables!$AO:$AO,MATCH(G327,Cables!$A:$A,0))+INDEX(Cables!$AP:$AP,MATCH(G327,Cables!$A:$A,0))-1),1),1),1),INDEX(Cables!$AP:$AP,MATCH(G327,Cables!$A:$A,0))-1))+1),INDEX(Attenuation!$J:$J,(INDEX(Cables!$AO:$AO,MATCH(G327,Cables!$A:$A,0))-1+MIN(MAX(IFERROR(MATCH(LN(E327),INDEX(Attenuation!$J:$J,INDEX(Cables!$AO:$AO,MATCH(G327,Cables!$A:$A,0))):INDEX(Attenuation!$J:$J,INDEX(Cables!$AO:$AO,MATCH(G327,Cables!$A:$A,0))+INDEX(Cables!$AP:$AP,MATCH(G327,Cables!$A:$A,0))-1),1),1),1),INDEX(Cables!$AP:$AP,MATCH(G327,Cables!$A:$A,0))-1))):INDEX(Attenuation!$J:$J,(INDEX(Cables!$AO:$AO,MATCH(G327,Cables!$A:$A,0))-1+MIN(MAX(IFERROR(MATCH(LN(E327),INDEX(Attenuation!$J:$J,INDEX(Cables!$AO:$AO,MATCH(G327,Cables!$A:$A,0))):INDEX(Attenuation!$J:$J,INDEX(Cables!$AO:$AO,MATCH(G327,Cables!$A:$A,0))+INDEX(Cables!$AP:$AP,MATCH(G327,Cables!$A:$A,0))-1),1),1),1),INDEX(Cables!$AP:$AP,MATCH(G327,Cables!$A:$A,0))-1))+1)))*0.3048)</f>
        <v>3.0597273901183257</v>
      </c>
      <c r="J327" s="44">
        <f t="shared" si="5"/>
        <v>1.3162156214223009E-2</v>
      </c>
      <c r="K327" s="40" t="str">
        <f>IF(G327="","Doğrulanmadı",IF(ABS(J327)&lt;=0.1,"Uyumlu (±%10)",IF(ABS(J327)&lt;=0.25,"Fark %10-25","Fark &gt;%25"))&amp;IF(OR(D327&lt;INDEX(Cables!$AQ:$AQ,MATCH(G327,Cables!$A:$A,0)),E327&gt;INDEX(Cables!$AR:$AR,MATCH(G327,Cables!$A:$A,0)))," · ekstrapolasyon",""))</f>
        <v>Uyumlu (±%10)</v>
      </c>
    </row>
    <row r="328" spans="1:11" x14ac:dyDescent="0.25">
      <c r="A328" s="37" t="s">
        <v>3064</v>
      </c>
      <c r="B328" s="40" t="str">
        <f>INDEX(Legacy_Index!$D:$D,MATCH(A328,Legacy_Index!$A:$A,0))</f>
        <v>LMR600</v>
      </c>
      <c r="C328" s="37" t="s">
        <v>3121</v>
      </c>
      <c r="D328" s="37">
        <v>2400</v>
      </c>
      <c r="E328" s="37">
        <v>2500</v>
      </c>
      <c r="F328" s="37">
        <v>4.4000000000000004</v>
      </c>
      <c r="G328" s="40" t="str">
        <f>IF(INDEX(Legacy_Index!$G:$G,MATCH(A328,Legacy_Index!$A:$A,0))="","",INDEX(Legacy_Index!$G:$G,MATCH(A328,Legacy_Index!$A:$A,0)))</f>
        <v>TMS-LMR600</v>
      </c>
      <c r="H328" s="43">
        <f>IF(G328="","",EXP(FORECAST(LN(D328),INDEX(Attenuation!$K:$K,(INDEX(Cables!$AO:$AO,MATCH(G328,Cables!$A:$A,0))-1+MIN(MAX(IFERROR(MATCH(LN(D328),INDEX(Attenuation!$J:$J,INDEX(Cables!$AO:$AO,MATCH(G328,Cables!$A:$A,0))):INDEX(Attenuation!$J:$J,INDEX(Cables!$AO:$AO,MATCH(G328,Cables!$A:$A,0))+INDEX(Cables!$AP:$AP,MATCH(G328,Cables!$A:$A,0))-1),1),1),1),INDEX(Cables!$AP:$AP,MATCH(G328,Cables!$A:$A,0))-1))):INDEX(Attenuation!$K:$K,(INDEX(Cables!$AO:$AO,MATCH(G328,Cables!$A:$A,0))-1+MIN(MAX(IFERROR(MATCH(LN(D328),INDEX(Attenuation!$J:$J,INDEX(Cables!$AO:$AO,MATCH(G328,Cables!$A:$A,0))):INDEX(Attenuation!$J:$J,INDEX(Cables!$AO:$AO,MATCH(G328,Cables!$A:$A,0))+INDEX(Cables!$AP:$AP,MATCH(G328,Cables!$A:$A,0))-1),1),1),1),INDEX(Cables!$AP:$AP,MATCH(G328,Cables!$A:$A,0))-1))+1),INDEX(Attenuation!$J:$J,(INDEX(Cables!$AO:$AO,MATCH(G328,Cables!$A:$A,0))-1+MIN(MAX(IFERROR(MATCH(LN(D328),INDEX(Attenuation!$J:$J,INDEX(Cables!$AO:$AO,MATCH(G328,Cables!$A:$A,0))):INDEX(Attenuation!$J:$J,INDEX(Cables!$AO:$AO,MATCH(G328,Cables!$A:$A,0))+INDEX(Cables!$AP:$AP,MATCH(G328,Cables!$A:$A,0))-1),1),1),1),INDEX(Cables!$AP:$AP,MATCH(G328,Cables!$A:$A,0))-1))):INDEX(Attenuation!$J:$J,(INDEX(Cables!$AO:$AO,MATCH(G328,Cables!$A:$A,0))-1+MIN(MAX(IFERROR(MATCH(LN(D328),INDEX(Attenuation!$J:$J,INDEX(Cables!$AO:$AO,MATCH(G328,Cables!$A:$A,0))):INDEX(Attenuation!$J:$J,INDEX(Cables!$AO:$AO,MATCH(G328,Cables!$A:$A,0))+INDEX(Cables!$AP:$AP,MATCH(G328,Cables!$A:$A,0))-1),1),1),1),INDEX(Cables!$AP:$AP,MATCH(G328,Cables!$A:$A,0))-1))+1)))*0.3048)</f>
        <v>4.3199433433239918</v>
      </c>
      <c r="I328" s="43">
        <f>IF(G328="","",EXP(FORECAST(LN(E328),INDEX(Attenuation!$K:$K,(INDEX(Cables!$AO:$AO,MATCH(G328,Cables!$A:$A,0))-1+MIN(MAX(IFERROR(MATCH(LN(E328),INDEX(Attenuation!$J:$J,INDEX(Cables!$AO:$AO,MATCH(G328,Cables!$A:$A,0))):INDEX(Attenuation!$J:$J,INDEX(Cables!$AO:$AO,MATCH(G328,Cables!$A:$A,0))+INDEX(Cables!$AP:$AP,MATCH(G328,Cables!$A:$A,0))-1),1),1),1),INDEX(Cables!$AP:$AP,MATCH(G328,Cables!$A:$A,0))-1))):INDEX(Attenuation!$K:$K,(INDEX(Cables!$AO:$AO,MATCH(G328,Cables!$A:$A,0))-1+MIN(MAX(IFERROR(MATCH(LN(E328),INDEX(Attenuation!$J:$J,INDEX(Cables!$AO:$AO,MATCH(G328,Cables!$A:$A,0))):INDEX(Attenuation!$J:$J,INDEX(Cables!$AO:$AO,MATCH(G328,Cables!$A:$A,0))+INDEX(Cables!$AP:$AP,MATCH(G328,Cables!$A:$A,0))-1),1),1),1),INDEX(Cables!$AP:$AP,MATCH(G328,Cables!$A:$A,0))-1))+1),INDEX(Attenuation!$J:$J,(INDEX(Cables!$AO:$AO,MATCH(G328,Cables!$A:$A,0))-1+MIN(MAX(IFERROR(MATCH(LN(E328),INDEX(Attenuation!$J:$J,INDEX(Cables!$AO:$AO,MATCH(G328,Cables!$A:$A,0))):INDEX(Attenuation!$J:$J,INDEX(Cables!$AO:$AO,MATCH(G328,Cables!$A:$A,0))+INDEX(Cables!$AP:$AP,MATCH(G328,Cables!$A:$A,0))-1),1),1),1),INDEX(Cables!$AP:$AP,MATCH(G328,Cables!$A:$A,0))-1))):INDEX(Attenuation!$J:$J,(INDEX(Cables!$AO:$AO,MATCH(G328,Cables!$A:$A,0))-1+MIN(MAX(IFERROR(MATCH(LN(E328),INDEX(Attenuation!$J:$J,INDEX(Cables!$AO:$AO,MATCH(G328,Cables!$A:$A,0))):INDEX(Attenuation!$J:$J,INDEX(Cables!$AO:$AO,MATCH(G328,Cables!$A:$A,0))+INDEX(Cables!$AP:$AP,MATCH(G328,Cables!$A:$A,0))-1),1),1),1),INDEX(Cables!$AP:$AP,MATCH(G328,Cables!$A:$A,0))-1))+1)))*0.3048)</f>
        <v>4.4200000000000026</v>
      </c>
      <c r="J328" s="44">
        <f t="shared" si="5"/>
        <v>0</v>
      </c>
      <c r="K328" s="40" t="str">
        <f>IF(G328="","Doğrulanmadı",IF(ABS(J328)&lt;=0.1,"Uyumlu (±%10)",IF(ABS(J328)&lt;=0.25,"Fark %10-25","Fark &gt;%25"))&amp;IF(OR(D328&lt;INDEX(Cables!$AQ:$AQ,MATCH(G328,Cables!$A:$A,0)),E328&gt;INDEX(Cables!$AR:$AR,MATCH(G328,Cables!$A:$A,0)))," · ekstrapolasyon",""))</f>
        <v>Uyumlu (±%10)</v>
      </c>
    </row>
    <row r="329" spans="1:11" x14ac:dyDescent="0.25">
      <c r="A329" s="37" t="s">
        <v>3064</v>
      </c>
      <c r="B329" s="40" t="str">
        <f>INDEX(Legacy_Index!$D:$D,MATCH(A329,Legacy_Index!$A:$A,0))</f>
        <v>LMR600</v>
      </c>
      <c r="C329" s="37" t="s">
        <v>3122</v>
      </c>
      <c r="D329" s="37">
        <v>5725</v>
      </c>
      <c r="E329" s="37">
        <v>5875</v>
      </c>
      <c r="F329" s="37">
        <v>7.3</v>
      </c>
      <c r="G329" s="40" t="str">
        <f>IF(INDEX(Legacy_Index!$G:$G,MATCH(A329,Legacy_Index!$A:$A,0))="","",INDEX(Legacy_Index!$G:$G,MATCH(A329,Legacy_Index!$A:$A,0)))</f>
        <v>TMS-LMR600</v>
      </c>
      <c r="H329" s="43">
        <f>IF(G329="","",EXP(FORECAST(LN(D329),INDEX(Attenuation!$K:$K,(INDEX(Cables!$AO:$AO,MATCH(G329,Cables!$A:$A,0))-1+MIN(MAX(IFERROR(MATCH(LN(D329),INDEX(Attenuation!$J:$J,INDEX(Cables!$AO:$AO,MATCH(G329,Cables!$A:$A,0))):INDEX(Attenuation!$J:$J,INDEX(Cables!$AO:$AO,MATCH(G329,Cables!$A:$A,0))+INDEX(Cables!$AP:$AP,MATCH(G329,Cables!$A:$A,0))-1),1),1),1),INDEX(Cables!$AP:$AP,MATCH(G329,Cables!$A:$A,0))-1))):INDEX(Attenuation!$K:$K,(INDEX(Cables!$AO:$AO,MATCH(G329,Cables!$A:$A,0))-1+MIN(MAX(IFERROR(MATCH(LN(D329),INDEX(Attenuation!$J:$J,INDEX(Cables!$AO:$AO,MATCH(G329,Cables!$A:$A,0))):INDEX(Attenuation!$J:$J,INDEX(Cables!$AO:$AO,MATCH(G329,Cables!$A:$A,0))+INDEX(Cables!$AP:$AP,MATCH(G329,Cables!$A:$A,0))-1),1),1),1),INDEX(Cables!$AP:$AP,MATCH(G329,Cables!$A:$A,0))-1))+1),INDEX(Attenuation!$J:$J,(INDEX(Cables!$AO:$AO,MATCH(G329,Cables!$A:$A,0))-1+MIN(MAX(IFERROR(MATCH(LN(D329),INDEX(Attenuation!$J:$J,INDEX(Cables!$AO:$AO,MATCH(G329,Cables!$A:$A,0))):INDEX(Attenuation!$J:$J,INDEX(Cables!$AO:$AO,MATCH(G329,Cables!$A:$A,0))+INDEX(Cables!$AP:$AP,MATCH(G329,Cables!$A:$A,0))-1),1),1),1),INDEX(Cables!$AP:$AP,MATCH(G329,Cables!$A:$A,0))-1))):INDEX(Attenuation!$J:$J,(INDEX(Cables!$AO:$AO,MATCH(G329,Cables!$A:$A,0))-1+MIN(MAX(IFERROR(MATCH(LN(D329),INDEX(Attenuation!$J:$J,INDEX(Cables!$AO:$AO,MATCH(G329,Cables!$A:$A,0))):INDEX(Attenuation!$J:$J,INDEX(Cables!$AO:$AO,MATCH(G329,Cables!$A:$A,0))+INDEX(Cables!$AP:$AP,MATCH(G329,Cables!$A:$A,0))-1),1),1),1),INDEX(Cables!$AP:$AP,MATCH(G329,Cables!$A:$A,0))-1))+1)))*0.3048)</f>
        <v>7.0348865106999217</v>
      </c>
      <c r="I329" s="43">
        <f>IF(G329="","",EXP(FORECAST(LN(E329),INDEX(Attenuation!$K:$K,(INDEX(Cables!$AO:$AO,MATCH(G329,Cables!$A:$A,0))-1+MIN(MAX(IFERROR(MATCH(LN(E329),INDEX(Attenuation!$J:$J,INDEX(Cables!$AO:$AO,MATCH(G329,Cables!$A:$A,0))):INDEX(Attenuation!$J:$J,INDEX(Cables!$AO:$AO,MATCH(G329,Cables!$A:$A,0))+INDEX(Cables!$AP:$AP,MATCH(G329,Cables!$A:$A,0))-1),1),1),1),INDEX(Cables!$AP:$AP,MATCH(G329,Cables!$A:$A,0))-1))):INDEX(Attenuation!$K:$K,(INDEX(Cables!$AO:$AO,MATCH(G329,Cables!$A:$A,0))-1+MIN(MAX(IFERROR(MATCH(LN(E329),INDEX(Attenuation!$J:$J,INDEX(Cables!$AO:$AO,MATCH(G329,Cables!$A:$A,0))):INDEX(Attenuation!$J:$J,INDEX(Cables!$AO:$AO,MATCH(G329,Cables!$A:$A,0))+INDEX(Cables!$AP:$AP,MATCH(G329,Cables!$A:$A,0))-1),1),1),1),INDEX(Cables!$AP:$AP,MATCH(G329,Cables!$A:$A,0))-1))+1),INDEX(Attenuation!$J:$J,(INDEX(Cables!$AO:$AO,MATCH(G329,Cables!$A:$A,0))-1+MIN(MAX(IFERROR(MATCH(LN(E329),INDEX(Attenuation!$J:$J,INDEX(Cables!$AO:$AO,MATCH(G329,Cables!$A:$A,0))):INDEX(Attenuation!$J:$J,INDEX(Cables!$AO:$AO,MATCH(G329,Cables!$A:$A,0))+INDEX(Cables!$AP:$AP,MATCH(G329,Cables!$A:$A,0))-1),1),1),1),INDEX(Cables!$AP:$AP,MATCH(G329,Cables!$A:$A,0))-1))):INDEX(Attenuation!$J:$J,(INDEX(Cables!$AO:$AO,MATCH(G329,Cables!$A:$A,0))-1+MIN(MAX(IFERROR(MATCH(LN(E329),INDEX(Attenuation!$J:$J,INDEX(Cables!$AO:$AO,MATCH(G329,Cables!$A:$A,0))):INDEX(Attenuation!$J:$J,INDEX(Cables!$AO:$AO,MATCH(G329,Cables!$A:$A,0))+INDEX(Cables!$AP:$AP,MATCH(G329,Cables!$A:$A,0))-1),1),1),1),INDEX(Cables!$AP:$AP,MATCH(G329,Cables!$A:$A,0))-1))+1)))*0.3048)</f>
        <v>7.1376859312095178</v>
      </c>
      <c r="J329" s="44">
        <f t="shared" si="5"/>
        <v>2.2740433013557437E-2</v>
      </c>
      <c r="K329" s="40" t="str">
        <f>IF(G329="","Doğrulanmadı",IF(ABS(J329)&lt;=0.1,"Uyumlu (±%10)",IF(ABS(J329)&lt;=0.25,"Fark %10-25","Fark &gt;%25"))&amp;IF(OR(D329&lt;INDEX(Cables!$AQ:$AQ,MATCH(G329,Cables!$A:$A,0)),E329&gt;INDEX(Cables!$AR:$AR,MATCH(G329,Cables!$A:$A,0)))," · ekstrapolasyon",""))</f>
        <v>Uyumlu (±%10) · ekstrapolasyon</v>
      </c>
    </row>
    <row r="330" spans="1:11" x14ac:dyDescent="0.25">
      <c r="A330" s="37" t="s">
        <v>3066</v>
      </c>
      <c r="B330" s="40" t="str">
        <f>INDEX(Legacy_Index!$D:$D,MATCH(A330,Legacy_Index!$A:$A,0))</f>
        <v>1/2" HELIAX®</v>
      </c>
      <c r="C330" s="37" t="s">
        <v>3113</v>
      </c>
      <c r="D330" s="37">
        <v>70</v>
      </c>
      <c r="E330" s="37">
        <v>100</v>
      </c>
      <c r="F330" s="37">
        <v>0.6</v>
      </c>
      <c r="G330" s="40" t="str">
        <f>IF(INDEX(Legacy_Index!$G:$G,MATCH(A330,Legacy_Index!$A:$A,0))="","",INDEX(Legacy_Index!$G:$G,MATCH(A330,Legacy_Index!$A:$A,0)))</f>
        <v>CS-LDF4-50A</v>
      </c>
      <c r="H330" s="43">
        <f>IF(G330="","",EXP(FORECAST(LN(D330),INDEX(Attenuation!$K:$K,(INDEX(Cables!$AO:$AO,MATCH(G330,Cables!$A:$A,0))-1+MIN(MAX(IFERROR(MATCH(LN(D330),INDEX(Attenuation!$J:$J,INDEX(Cables!$AO:$AO,MATCH(G330,Cables!$A:$A,0))):INDEX(Attenuation!$J:$J,INDEX(Cables!$AO:$AO,MATCH(G330,Cables!$A:$A,0))+INDEX(Cables!$AP:$AP,MATCH(G330,Cables!$A:$A,0))-1),1),1),1),INDEX(Cables!$AP:$AP,MATCH(G330,Cables!$A:$A,0))-1))):INDEX(Attenuation!$K:$K,(INDEX(Cables!$AO:$AO,MATCH(G330,Cables!$A:$A,0))-1+MIN(MAX(IFERROR(MATCH(LN(D330),INDEX(Attenuation!$J:$J,INDEX(Cables!$AO:$AO,MATCH(G330,Cables!$A:$A,0))):INDEX(Attenuation!$J:$J,INDEX(Cables!$AO:$AO,MATCH(G330,Cables!$A:$A,0))+INDEX(Cables!$AP:$AP,MATCH(G330,Cables!$A:$A,0))-1),1),1),1),INDEX(Cables!$AP:$AP,MATCH(G330,Cables!$A:$A,0))-1))+1),INDEX(Attenuation!$J:$J,(INDEX(Cables!$AO:$AO,MATCH(G330,Cables!$A:$A,0))-1+MIN(MAX(IFERROR(MATCH(LN(D330),INDEX(Attenuation!$J:$J,INDEX(Cables!$AO:$AO,MATCH(G330,Cables!$A:$A,0))):INDEX(Attenuation!$J:$J,INDEX(Cables!$AO:$AO,MATCH(G330,Cables!$A:$A,0))+INDEX(Cables!$AP:$AP,MATCH(G330,Cables!$A:$A,0))-1),1),1),1),INDEX(Cables!$AP:$AP,MATCH(G330,Cables!$A:$A,0))-1))):INDEX(Attenuation!$J:$J,(INDEX(Cables!$AO:$AO,MATCH(G330,Cables!$A:$A,0))-1+MIN(MAX(IFERROR(MATCH(LN(D330),INDEX(Attenuation!$J:$J,INDEX(Cables!$AO:$AO,MATCH(G330,Cables!$A:$A,0))):INDEX(Attenuation!$J:$J,INDEX(Cables!$AO:$AO,MATCH(G330,Cables!$A:$A,0))+INDEX(Cables!$AP:$AP,MATCH(G330,Cables!$A:$A,0))-1),1),1),1),INDEX(Cables!$AP:$AP,MATCH(G330,Cables!$A:$A,0))-1))+1)))*0.3048)</f>
        <v>0.55061752063903713</v>
      </c>
      <c r="I330" s="43">
        <f>IF(G330="","",EXP(FORECAST(LN(E330),INDEX(Attenuation!$K:$K,(INDEX(Cables!$AO:$AO,MATCH(G330,Cables!$A:$A,0))-1+MIN(MAX(IFERROR(MATCH(LN(E330),INDEX(Attenuation!$J:$J,INDEX(Cables!$AO:$AO,MATCH(G330,Cables!$A:$A,0))):INDEX(Attenuation!$J:$J,INDEX(Cables!$AO:$AO,MATCH(G330,Cables!$A:$A,0))+INDEX(Cables!$AP:$AP,MATCH(G330,Cables!$A:$A,0))-1),1),1),1),INDEX(Cables!$AP:$AP,MATCH(G330,Cables!$A:$A,0))-1))):INDEX(Attenuation!$K:$K,(INDEX(Cables!$AO:$AO,MATCH(G330,Cables!$A:$A,0))-1+MIN(MAX(IFERROR(MATCH(LN(E330),INDEX(Attenuation!$J:$J,INDEX(Cables!$AO:$AO,MATCH(G330,Cables!$A:$A,0))):INDEX(Attenuation!$J:$J,INDEX(Cables!$AO:$AO,MATCH(G330,Cables!$A:$A,0))+INDEX(Cables!$AP:$AP,MATCH(G330,Cables!$A:$A,0))-1),1),1),1),INDEX(Cables!$AP:$AP,MATCH(G330,Cables!$A:$A,0))-1))+1),INDEX(Attenuation!$J:$J,(INDEX(Cables!$AO:$AO,MATCH(G330,Cables!$A:$A,0))-1+MIN(MAX(IFERROR(MATCH(LN(E330),INDEX(Attenuation!$J:$J,INDEX(Cables!$AO:$AO,MATCH(G330,Cables!$A:$A,0))):INDEX(Attenuation!$J:$J,INDEX(Cables!$AO:$AO,MATCH(G330,Cables!$A:$A,0))+INDEX(Cables!$AP:$AP,MATCH(G330,Cables!$A:$A,0))-1),1),1),1),INDEX(Cables!$AP:$AP,MATCH(G330,Cables!$A:$A,0))-1))):INDEX(Attenuation!$J:$J,(INDEX(Cables!$AO:$AO,MATCH(G330,Cables!$A:$A,0))-1+MIN(MAX(IFERROR(MATCH(LN(E330),INDEX(Attenuation!$J:$J,INDEX(Cables!$AO:$AO,MATCH(G330,Cables!$A:$A,0))):INDEX(Attenuation!$J:$J,INDEX(Cables!$AO:$AO,MATCH(G330,Cables!$A:$A,0))+INDEX(Cables!$AP:$AP,MATCH(G330,Cables!$A:$A,0))-1),1),1),1),INDEX(Cables!$AP:$AP,MATCH(G330,Cables!$A:$A,0))-1))+1)))*0.3048)</f>
        <v>0.6611111999999999</v>
      </c>
      <c r="J330" s="44">
        <f t="shared" si="5"/>
        <v>0</v>
      </c>
      <c r="K330" s="40" t="str">
        <f>IF(G330="","Doğrulanmadı",IF(ABS(J330)&lt;=0.1,"Uyumlu (±%10)",IF(ABS(J330)&lt;=0.25,"Fark %10-25","Fark &gt;%25"))&amp;IF(OR(D330&lt;INDEX(Cables!$AQ:$AQ,MATCH(G330,Cables!$A:$A,0)),E330&gt;INDEX(Cables!$AR:$AR,MATCH(G330,Cables!$A:$A,0)))," · ekstrapolasyon",""))</f>
        <v>Uyumlu (±%10)</v>
      </c>
    </row>
    <row r="331" spans="1:11" x14ac:dyDescent="0.25">
      <c r="A331" s="37" t="s">
        <v>3066</v>
      </c>
      <c r="B331" s="40" t="str">
        <f>INDEX(Legacy_Index!$D:$D,MATCH(A331,Legacy_Index!$A:$A,0))</f>
        <v>1/2" HELIAX®</v>
      </c>
      <c r="C331" s="37" t="s">
        <v>3114</v>
      </c>
      <c r="D331" s="37">
        <v>148</v>
      </c>
      <c r="E331" s="37">
        <v>174</v>
      </c>
      <c r="F331" s="37">
        <v>0.8</v>
      </c>
      <c r="G331" s="40" t="str">
        <f>IF(INDEX(Legacy_Index!$G:$G,MATCH(A331,Legacy_Index!$A:$A,0))="","",INDEX(Legacy_Index!$G:$G,MATCH(A331,Legacy_Index!$A:$A,0)))</f>
        <v>CS-LDF4-50A</v>
      </c>
      <c r="H331" s="43">
        <f>IF(G331="","",EXP(FORECAST(LN(D331),INDEX(Attenuation!$K:$K,(INDEX(Cables!$AO:$AO,MATCH(G331,Cables!$A:$A,0))-1+MIN(MAX(IFERROR(MATCH(LN(D331),INDEX(Attenuation!$J:$J,INDEX(Cables!$AO:$AO,MATCH(G331,Cables!$A:$A,0))):INDEX(Attenuation!$J:$J,INDEX(Cables!$AO:$AO,MATCH(G331,Cables!$A:$A,0))+INDEX(Cables!$AP:$AP,MATCH(G331,Cables!$A:$A,0))-1),1),1),1),INDEX(Cables!$AP:$AP,MATCH(G331,Cables!$A:$A,0))-1))):INDEX(Attenuation!$K:$K,(INDEX(Cables!$AO:$AO,MATCH(G331,Cables!$A:$A,0))-1+MIN(MAX(IFERROR(MATCH(LN(D331),INDEX(Attenuation!$J:$J,INDEX(Cables!$AO:$AO,MATCH(G331,Cables!$A:$A,0))):INDEX(Attenuation!$J:$J,INDEX(Cables!$AO:$AO,MATCH(G331,Cables!$A:$A,0))+INDEX(Cables!$AP:$AP,MATCH(G331,Cables!$A:$A,0))-1),1),1),1),INDEX(Cables!$AP:$AP,MATCH(G331,Cables!$A:$A,0))-1))+1),INDEX(Attenuation!$J:$J,(INDEX(Cables!$AO:$AO,MATCH(G331,Cables!$A:$A,0))-1+MIN(MAX(IFERROR(MATCH(LN(D331),INDEX(Attenuation!$J:$J,INDEX(Cables!$AO:$AO,MATCH(G331,Cables!$A:$A,0))):INDEX(Attenuation!$J:$J,INDEX(Cables!$AO:$AO,MATCH(G331,Cables!$A:$A,0))+INDEX(Cables!$AP:$AP,MATCH(G331,Cables!$A:$A,0))-1),1),1),1),INDEX(Cables!$AP:$AP,MATCH(G331,Cables!$A:$A,0))-1))):INDEX(Attenuation!$J:$J,(INDEX(Cables!$AO:$AO,MATCH(G331,Cables!$A:$A,0))-1+MIN(MAX(IFERROR(MATCH(LN(D331),INDEX(Attenuation!$J:$J,INDEX(Cables!$AO:$AO,MATCH(G331,Cables!$A:$A,0))):INDEX(Attenuation!$J:$J,INDEX(Cables!$AO:$AO,MATCH(G331,Cables!$A:$A,0))+INDEX(Cables!$AP:$AP,MATCH(G331,Cables!$A:$A,0))-1),1),1),1),INDEX(Cables!$AP:$AP,MATCH(G331,Cables!$A:$A,0))-1))+1)))*0.3048)</f>
        <v>0.80910354172691212</v>
      </c>
      <c r="I331" s="43">
        <f>IF(G331="","",EXP(FORECAST(LN(E331),INDEX(Attenuation!$K:$K,(INDEX(Cables!$AO:$AO,MATCH(G331,Cables!$A:$A,0))-1+MIN(MAX(IFERROR(MATCH(LN(E331),INDEX(Attenuation!$J:$J,INDEX(Cables!$AO:$AO,MATCH(G331,Cables!$A:$A,0))):INDEX(Attenuation!$J:$J,INDEX(Cables!$AO:$AO,MATCH(G331,Cables!$A:$A,0))+INDEX(Cables!$AP:$AP,MATCH(G331,Cables!$A:$A,0))-1),1),1),1),INDEX(Cables!$AP:$AP,MATCH(G331,Cables!$A:$A,0))-1))):INDEX(Attenuation!$K:$K,(INDEX(Cables!$AO:$AO,MATCH(G331,Cables!$A:$A,0))-1+MIN(MAX(IFERROR(MATCH(LN(E331),INDEX(Attenuation!$J:$J,INDEX(Cables!$AO:$AO,MATCH(G331,Cables!$A:$A,0))):INDEX(Attenuation!$J:$J,INDEX(Cables!$AO:$AO,MATCH(G331,Cables!$A:$A,0))+INDEX(Cables!$AP:$AP,MATCH(G331,Cables!$A:$A,0))-1),1),1),1),INDEX(Cables!$AP:$AP,MATCH(G331,Cables!$A:$A,0))-1))+1),INDEX(Attenuation!$J:$J,(INDEX(Cables!$AO:$AO,MATCH(G331,Cables!$A:$A,0))-1+MIN(MAX(IFERROR(MATCH(LN(E331),INDEX(Attenuation!$J:$J,INDEX(Cables!$AO:$AO,MATCH(G331,Cables!$A:$A,0))):INDEX(Attenuation!$J:$J,INDEX(Cables!$AO:$AO,MATCH(G331,Cables!$A:$A,0))+INDEX(Cables!$AP:$AP,MATCH(G331,Cables!$A:$A,0))-1),1),1),1),INDEX(Cables!$AP:$AP,MATCH(G331,Cables!$A:$A,0))-1))):INDEX(Attenuation!$J:$J,(INDEX(Cables!$AO:$AO,MATCH(G331,Cables!$A:$A,0))-1+MIN(MAX(IFERROR(MATCH(LN(E331),INDEX(Attenuation!$J:$J,INDEX(Cables!$AO:$AO,MATCH(G331,Cables!$A:$A,0))):INDEX(Attenuation!$J:$J,INDEX(Cables!$AO:$AO,MATCH(G331,Cables!$A:$A,0))+INDEX(Cables!$AP:$AP,MATCH(G331,Cables!$A:$A,0))-1),1),1),1),INDEX(Cables!$AP:$AP,MATCH(G331,Cables!$A:$A,0))-1))+1)))*0.3048)</f>
        <v>0.8799575999999999</v>
      </c>
      <c r="J331" s="44">
        <f t="shared" si="5"/>
        <v>-1.1251392754358602E-2</v>
      </c>
      <c r="K331" s="40" t="str">
        <f>IF(G331="","Doğrulanmadı",IF(ABS(J331)&lt;=0.1,"Uyumlu (±%10)",IF(ABS(J331)&lt;=0.25,"Fark %10-25","Fark &gt;%25"))&amp;IF(OR(D331&lt;INDEX(Cables!$AQ:$AQ,MATCH(G331,Cables!$A:$A,0)),E331&gt;INDEX(Cables!$AR:$AR,MATCH(G331,Cables!$A:$A,0)))," · ekstrapolasyon",""))</f>
        <v>Uyumlu (±%10)</v>
      </c>
    </row>
    <row r="332" spans="1:11" x14ac:dyDescent="0.25">
      <c r="A332" s="37" t="s">
        <v>3066</v>
      </c>
      <c r="B332" s="40" t="str">
        <f>INDEX(Legacy_Index!$D:$D,MATCH(A332,Legacy_Index!$A:$A,0))</f>
        <v>1/2" HELIAX®</v>
      </c>
      <c r="C332" s="37" t="s">
        <v>3115</v>
      </c>
      <c r="D332" s="37">
        <v>400</v>
      </c>
      <c r="E332" s="37">
        <v>520</v>
      </c>
      <c r="F332" s="37">
        <v>1.6</v>
      </c>
      <c r="G332" s="40" t="str">
        <f>IF(INDEX(Legacy_Index!$G:$G,MATCH(A332,Legacy_Index!$A:$A,0))="","",INDEX(Legacy_Index!$G:$G,MATCH(A332,Legacy_Index!$A:$A,0)))</f>
        <v>CS-LDF4-50A</v>
      </c>
      <c r="H332" s="43">
        <f>IF(G332="","",EXP(FORECAST(LN(D332),INDEX(Attenuation!$K:$K,(INDEX(Cables!$AO:$AO,MATCH(G332,Cables!$A:$A,0))-1+MIN(MAX(IFERROR(MATCH(LN(D332),INDEX(Attenuation!$J:$J,INDEX(Cables!$AO:$AO,MATCH(G332,Cables!$A:$A,0))):INDEX(Attenuation!$J:$J,INDEX(Cables!$AO:$AO,MATCH(G332,Cables!$A:$A,0))+INDEX(Cables!$AP:$AP,MATCH(G332,Cables!$A:$A,0))-1),1),1),1),INDEX(Cables!$AP:$AP,MATCH(G332,Cables!$A:$A,0))-1))):INDEX(Attenuation!$K:$K,(INDEX(Cables!$AO:$AO,MATCH(G332,Cables!$A:$A,0))-1+MIN(MAX(IFERROR(MATCH(LN(D332),INDEX(Attenuation!$J:$J,INDEX(Cables!$AO:$AO,MATCH(G332,Cables!$A:$A,0))):INDEX(Attenuation!$J:$J,INDEX(Cables!$AO:$AO,MATCH(G332,Cables!$A:$A,0))+INDEX(Cables!$AP:$AP,MATCH(G332,Cables!$A:$A,0))-1),1),1),1),INDEX(Cables!$AP:$AP,MATCH(G332,Cables!$A:$A,0))-1))+1),INDEX(Attenuation!$J:$J,(INDEX(Cables!$AO:$AO,MATCH(G332,Cables!$A:$A,0))-1+MIN(MAX(IFERROR(MATCH(LN(D332),INDEX(Attenuation!$J:$J,INDEX(Cables!$AO:$AO,MATCH(G332,Cables!$A:$A,0))):INDEX(Attenuation!$J:$J,INDEX(Cables!$AO:$AO,MATCH(G332,Cables!$A:$A,0))+INDEX(Cables!$AP:$AP,MATCH(G332,Cables!$A:$A,0))-1),1),1),1),INDEX(Cables!$AP:$AP,MATCH(G332,Cables!$A:$A,0))-1))):INDEX(Attenuation!$J:$J,(INDEX(Cables!$AO:$AO,MATCH(G332,Cables!$A:$A,0))-1+MIN(MAX(IFERROR(MATCH(LN(D332),INDEX(Attenuation!$J:$J,INDEX(Cables!$AO:$AO,MATCH(G332,Cables!$A:$A,0))):INDEX(Attenuation!$J:$J,INDEX(Cables!$AO:$AO,MATCH(G332,Cables!$A:$A,0))+INDEX(Cables!$AP:$AP,MATCH(G332,Cables!$A:$A,0))-1),1),1),1),INDEX(Cables!$AP:$AP,MATCH(G332,Cables!$A:$A,0))-1))+1)))*0.3048)</f>
        <v>1.3600175999999999</v>
      </c>
      <c r="I332" s="43">
        <f>IF(G332="","",EXP(FORECAST(LN(E332),INDEX(Attenuation!$K:$K,(INDEX(Cables!$AO:$AO,MATCH(G332,Cables!$A:$A,0))-1+MIN(MAX(IFERROR(MATCH(LN(E332),INDEX(Attenuation!$J:$J,INDEX(Cables!$AO:$AO,MATCH(G332,Cables!$A:$A,0))):INDEX(Attenuation!$J:$J,INDEX(Cables!$AO:$AO,MATCH(G332,Cables!$A:$A,0))+INDEX(Cables!$AP:$AP,MATCH(G332,Cables!$A:$A,0))-1),1),1),1),INDEX(Cables!$AP:$AP,MATCH(G332,Cables!$A:$A,0))-1))):INDEX(Attenuation!$K:$K,(INDEX(Cables!$AO:$AO,MATCH(G332,Cables!$A:$A,0))-1+MIN(MAX(IFERROR(MATCH(LN(E332),INDEX(Attenuation!$J:$J,INDEX(Cables!$AO:$AO,MATCH(G332,Cables!$A:$A,0))):INDEX(Attenuation!$J:$J,INDEX(Cables!$AO:$AO,MATCH(G332,Cables!$A:$A,0))+INDEX(Cables!$AP:$AP,MATCH(G332,Cables!$A:$A,0))-1),1),1),1),INDEX(Cables!$AP:$AP,MATCH(G332,Cables!$A:$A,0))-1))+1),INDEX(Attenuation!$J:$J,(INDEX(Cables!$AO:$AO,MATCH(G332,Cables!$A:$A,0))-1+MIN(MAX(IFERROR(MATCH(LN(E332),INDEX(Attenuation!$J:$J,INDEX(Cables!$AO:$AO,MATCH(G332,Cables!$A:$A,0))):INDEX(Attenuation!$J:$J,INDEX(Cables!$AO:$AO,MATCH(G332,Cables!$A:$A,0))+INDEX(Cables!$AP:$AP,MATCH(G332,Cables!$A:$A,0))-1),1),1),1),INDEX(Cables!$AP:$AP,MATCH(G332,Cables!$A:$A,0))-1))):INDEX(Attenuation!$J:$J,(INDEX(Cables!$AO:$AO,MATCH(G332,Cables!$A:$A,0))-1+MIN(MAX(IFERROR(MATCH(LN(E332),INDEX(Attenuation!$J:$J,INDEX(Cables!$AO:$AO,MATCH(G332,Cables!$A:$A,0))):INDEX(Attenuation!$J:$J,INDEX(Cables!$AO:$AO,MATCH(G332,Cables!$A:$A,0))+INDEX(Cables!$AP:$AP,MATCH(G332,Cables!$A:$A,0))-1),1),1),1),INDEX(Cables!$AP:$AP,MATCH(G332,Cables!$A:$A,0))-1))+1)))*0.3048)</f>
        <v>1.5627536082997648</v>
      </c>
      <c r="J332" s="44">
        <f t="shared" si="5"/>
        <v>2.3833822236864588E-2</v>
      </c>
      <c r="K332" s="40" t="str">
        <f>IF(G332="","Doğrulanmadı",IF(ABS(J332)&lt;=0.1,"Uyumlu (±%10)",IF(ABS(J332)&lt;=0.25,"Fark %10-25","Fark &gt;%25"))&amp;IF(OR(D332&lt;INDEX(Cables!$AQ:$AQ,MATCH(G332,Cables!$A:$A,0)),E332&gt;INDEX(Cables!$AR:$AR,MATCH(G332,Cables!$A:$A,0)))," · ekstrapolasyon",""))</f>
        <v>Uyumlu (±%10)</v>
      </c>
    </row>
    <row r="333" spans="1:11" x14ac:dyDescent="0.25">
      <c r="A333" s="37" t="s">
        <v>3066</v>
      </c>
      <c r="B333" s="40" t="str">
        <f>INDEX(Legacy_Index!$D:$D,MATCH(A333,Legacy_Index!$A:$A,0))</f>
        <v>1/2" HELIAX®</v>
      </c>
      <c r="C333" s="37" t="s">
        <v>3116</v>
      </c>
      <c r="D333" s="37">
        <v>700</v>
      </c>
      <c r="E333" s="37">
        <v>960</v>
      </c>
      <c r="F333" s="37">
        <v>2.2000000000000002</v>
      </c>
      <c r="G333" s="40" t="str">
        <f>IF(INDEX(Legacy_Index!$G:$G,MATCH(A333,Legacy_Index!$A:$A,0))="","",INDEX(Legacy_Index!$G:$G,MATCH(A333,Legacy_Index!$A:$A,0)))</f>
        <v>CS-LDF4-50A</v>
      </c>
      <c r="H333" s="43">
        <f>IF(G333="","",EXP(FORECAST(LN(D333),INDEX(Attenuation!$K:$K,(INDEX(Cables!$AO:$AO,MATCH(G333,Cables!$A:$A,0))-1+MIN(MAX(IFERROR(MATCH(LN(D333),INDEX(Attenuation!$J:$J,INDEX(Cables!$AO:$AO,MATCH(G333,Cables!$A:$A,0))):INDEX(Attenuation!$J:$J,INDEX(Cables!$AO:$AO,MATCH(G333,Cables!$A:$A,0))+INDEX(Cables!$AP:$AP,MATCH(G333,Cables!$A:$A,0))-1),1),1),1),INDEX(Cables!$AP:$AP,MATCH(G333,Cables!$A:$A,0))-1))):INDEX(Attenuation!$K:$K,(INDEX(Cables!$AO:$AO,MATCH(G333,Cables!$A:$A,0))-1+MIN(MAX(IFERROR(MATCH(LN(D333),INDEX(Attenuation!$J:$J,INDEX(Cables!$AO:$AO,MATCH(G333,Cables!$A:$A,0))):INDEX(Attenuation!$J:$J,INDEX(Cables!$AO:$AO,MATCH(G333,Cables!$A:$A,0))+INDEX(Cables!$AP:$AP,MATCH(G333,Cables!$A:$A,0))-1),1),1),1),INDEX(Cables!$AP:$AP,MATCH(G333,Cables!$A:$A,0))-1))+1),INDEX(Attenuation!$J:$J,(INDEX(Cables!$AO:$AO,MATCH(G333,Cables!$A:$A,0))-1+MIN(MAX(IFERROR(MATCH(LN(D333),INDEX(Attenuation!$J:$J,INDEX(Cables!$AO:$AO,MATCH(G333,Cables!$A:$A,0))):INDEX(Attenuation!$J:$J,INDEX(Cables!$AO:$AO,MATCH(G333,Cables!$A:$A,0))+INDEX(Cables!$AP:$AP,MATCH(G333,Cables!$A:$A,0))-1),1),1),1),INDEX(Cables!$AP:$AP,MATCH(G333,Cables!$A:$A,0))-1))):INDEX(Attenuation!$J:$J,(INDEX(Cables!$AO:$AO,MATCH(G333,Cables!$A:$A,0))-1+MIN(MAX(IFERROR(MATCH(LN(D333),INDEX(Attenuation!$J:$J,INDEX(Cables!$AO:$AO,MATCH(G333,Cables!$A:$A,0))):INDEX(Attenuation!$J:$J,INDEX(Cables!$AO:$AO,MATCH(G333,Cables!$A:$A,0))+INDEX(Cables!$AP:$AP,MATCH(G333,Cables!$A:$A,0))-1),1),1),1),INDEX(Cables!$AP:$AP,MATCH(G333,Cables!$A:$A,0))-1))+1)))*0.3048)</f>
        <v>1.8315432000000003</v>
      </c>
      <c r="I333" s="43">
        <f>IF(G333="","",EXP(FORECAST(LN(E333),INDEX(Attenuation!$K:$K,(INDEX(Cables!$AO:$AO,MATCH(G333,Cables!$A:$A,0))-1+MIN(MAX(IFERROR(MATCH(LN(E333),INDEX(Attenuation!$J:$J,INDEX(Cables!$AO:$AO,MATCH(G333,Cables!$A:$A,0))):INDEX(Attenuation!$J:$J,INDEX(Cables!$AO:$AO,MATCH(G333,Cables!$A:$A,0))+INDEX(Cables!$AP:$AP,MATCH(G333,Cables!$A:$A,0))-1),1),1),1),INDEX(Cables!$AP:$AP,MATCH(G333,Cables!$A:$A,0))-1))):INDEX(Attenuation!$K:$K,(INDEX(Cables!$AO:$AO,MATCH(G333,Cables!$A:$A,0))-1+MIN(MAX(IFERROR(MATCH(LN(E333),INDEX(Attenuation!$J:$J,INDEX(Cables!$AO:$AO,MATCH(G333,Cables!$A:$A,0))):INDEX(Attenuation!$J:$J,INDEX(Cables!$AO:$AO,MATCH(G333,Cables!$A:$A,0))+INDEX(Cables!$AP:$AP,MATCH(G333,Cables!$A:$A,0))-1),1),1),1),INDEX(Cables!$AP:$AP,MATCH(G333,Cables!$A:$A,0))-1))+1),INDEX(Attenuation!$J:$J,(INDEX(Cables!$AO:$AO,MATCH(G333,Cables!$A:$A,0))-1+MIN(MAX(IFERROR(MATCH(LN(E333),INDEX(Attenuation!$J:$J,INDEX(Cables!$AO:$AO,MATCH(G333,Cables!$A:$A,0))):INDEX(Attenuation!$J:$J,INDEX(Cables!$AO:$AO,MATCH(G333,Cables!$A:$A,0))+INDEX(Cables!$AP:$AP,MATCH(G333,Cables!$A:$A,0))-1),1),1),1),INDEX(Cables!$AP:$AP,MATCH(G333,Cables!$A:$A,0))-1))):INDEX(Attenuation!$J:$J,(INDEX(Cables!$AO:$AO,MATCH(G333,Cables!$A:$A,0))-1+MIN(MAX(IFERROR(MATCH(LN(E333),INDEX(Attenuation!$J:$J,INDEX(Cables!$AO:$AO,MATCH(G333,Cables!$A:$A,0))):INDEX(Attenuation!$J:$J,INDEX(Cables!$AO:$AO,MATCH(G333,Cables!$A:$A,0))+INDEX(Cables!$AP:$AP,MATCH(G333,Cables!$A:$A,0))-1),1),1),1),INDEX(Cables!$AP:$AP,MATCH(G333,Cables!$A:$A,0))-1))+1)))*0.3048)</f>
        <v>2.1713951999999996</v>
      </c>
      <c r="J333" s="44">
        <f t="shared" si="5"/>
        <v>1.3173465613261159E-2</v>
      </c>
      <c r="K333" s="40" t="str">
        <f>IF(G333="","Doğrulanmadı",IF(ABS(J333)&lt;=0.1,"Uyumlu (±%10)",IF(ABS(J333)&lt;=0.25,"Fark %10-25","Fark &gt;%25"))&amp;IF(OR(D333&lt;INDEX(Cables!$AQ:$AQ,MATCH(G333,Cables!$A:$A,0)),E333&gt;INDEX(Cables!$AR:$AR,MATCH(G333,Cables!$A:$A,0)))," · ekstrapolasyon",""))</f>
        <v>Uyumlu (±%10)</v>
      </c>
    </row>
    <row r="334" spans="1:11" x14ac:dyDescent="0.25">
      <c r="A334" s="37" t="s">
        <v>3066</v>
      </c>
      <c r="B334" s="40" t="str">
        <f>INDEX(Legacy_Index!$D:$D,MATCH(A334,Legacy_Index!$A:$A,0))</f>
        <v>1/2" HELIAX®</v>
      </c>
      <c r="C334" s="37" t="s">
        <v>3121</v>
      </c>
      <c r="D334" s="37">
        <v>2400</v>
      </c>
      <c r="E334" s="37">
        <v>2500</v>
      </c>
      <c r="F334" s="37">
        <v>3.7</v>
      </c>
      <c r="G334" s="40" t="str">
        <f>IF(INDEX(Legacy_Index!$G:$G,MATCH(A334,Legacy_Index!$A:$A,0))="","",INDEX(Legacy_Index!$G:$G,MATCH(A334,Legacy_Index!$A:$A,0)))</f>
        <v>CS-LDF4-50A</v>
      </c>
      <c r="H334" s="43">
        <f>IF(G334="","",EXP(FORECAST(LN(D334),INDEX(Attenuation!$K:$K,(INDEX(Cables!$AO:$AO,MATCH(G334,Cables!$A:$A,0))-1+MIN(MAX(IFERROR(MATCH(LN(D334),INDEX(Attenuation!$J:$J,INDEX(Cables!$AO:$AO,MATCH(G334,Cables!$A:$A,0))):INDEX(Attenuation!$J:$J,INDEX(Cables!$AO:$AO,MATCH(G334,Cables!$A:$A,0))+INDEX(Cables!$AP:$AP,MATCH(G334,Cables!$A:$A,0))-1),1),1),1),INDEX(Cables!$AP:$AP,MATCH(G334,Cables!$A:$A,0))-1))):INDEX(Attenuation!$K:$K,(INDEX(Cables!$AO:$AO,MATCH(G334,Cables!$A:$A,0))-1+MIN(MAX(IFERROR(MATCH(LN(D334),INDEX(Attenuation!$J:$J,INDEX(Cables!$AO:$AO,MATCH(G334,Cables!$A:$A,0))):INDEX(Attenuation!$J:$J,INDEX(Cables!$AO:$AO,MATCH(G334,Cables!$A:$A,0))+INDEX(Cables!$AP:$AP,MATCH(G334,Cables!$A:$A,0))-1),1),1),1),INDEX(Cables!$AP:$AP,MATCH(G334,Cables!$A:$A,0))-1))+1),INDEX(Attenuation!$J:$J,(INDEX(Cables!$AO:$AO,MATCH(G334,Cables!$A:$A,0))-1+MIN(MAX(IFERROR(MATCH(LN(D334),INDEX(Attenuation!$J:$J,INDEX(Cables!$AO:$AO,MATCH(G334,Cables!$A:$A,0))):INDEX(Attenuation!$J:$J,INDEX(Cables!$AO:$AO,MATCH(G334,Cables!$A:$A,0))+INDEX(Cables!$AP:$AP,MATCH(G334,Cables!$A:$A,0))-1),1),1),1),INDEX(Cables!$AP:$AP,MATCH(G334,Cables!$A:$A,0))-1))):INDEX(Attenuation!$J:$J,(INDEX(Cables!$AO:$AO,MATCH(G334,Cables!$A:$A,0))-1+MIN(MAX(IFERROR(MATCH(LN(D334),INDEX(Attenuation!$J:$J,INDEX(Cables!$AO:$AO,MATCH(G334,Cables!$A:$A,0))):INDEX(Attenuation!$J:$J,INDEX(Cables!$AO:$AO,MATCH(G334,Cables!$A:$A,0))+INDEX(Cables!$AP:$AP,MATCH(G334,Cables!$A:$A,0))-1),1),1),1),INDEX(Cables!$AP:$AP,MATCH(G334,Cables!$A:$A,0))-1))+1)))*0.3048)</f>
        <v>3.6012192647120234</v>
      </c>
      <c r="I334" s="43">
        <f>IF(G334="","",EXP(FORECAST(LN(E334),INDEX(Attenuation!$K:$K,(INDEX(Cables!$AO:$AO,MATCH(G334,Cables!$A:$A,0))-1+MIN(MAX(IFERROR(MATCH(LN(E334),INDEX(Attenuation!$J:$J,INDEX(Cables!$AO:$AO,MATCH(G334,Cables!$A:$A,0))):INDEX(Attenuation!$J:$J,INDEX(Cables!$AO:$AO,MATCH(G334,Cables!$A:$A,0))+INDEX(Cables!$AP:$AP,MATCH(G334,Cables!$A:$A,0))-1),1),1),1),INDEX(Cables!$AP:$AP,MATCH(G334,Cables!$A:$A,0))-1))):INDEX(Attenuation!$K:$K,(INDEX(Cables!$AO:$AO,MATCH(G334,Cables!$A:$A,0))-1+MIN(MAX(IFERROR(MATCH(LN(E334),INDEX(Attenuation!$J:$J,INDEX(Cables!$AO:$AO,MATCH(G334,Cables!$A:$A,0))):INDEX(Attenuation!$J:$J,INDEX(Cables!$AO:$AO,MATCH(G334,Cables!$A:$A,0))+INDEX(Cables!$AP:$AP,MATCH(G334,Cables!$A:$A,0))-1),1),1),1),INDEX(Cables!$AP:$AP,MATCH(G334,Cables!$A:$A,0))-1))+1),INDEX(Attenuation!$J:$J,(INDEX(Cables!$AO:$AO,MATCH(G334,Cables!$A:$A,0))-1+MIN(MAX(IFERROR(MATCH(LN(E334),INDEX(Attenuation!$J:$J,INDEX(Cables!$AO:$AO,MATCH(G334,Cables!$A:$A,0))):INDEX(Attenuation!$J:$J,INDEX(Cables!$AO:$AO,MATCH(G334,Cables!$A:$A,0))+INDEX(Cables!$AP:$AP,MATCH(G334,Cables!$A:$A,0))-1),1),1),1),INDEX(Cables!$AP:$AP,MATCH(G334,Cables!$A:$A,0))-1))):INDEX(Attenuation!$J:$J,(INDEX(Cables!$AO:$AO,MATCH(G334,Cables!$A:$A,0))-1+MIN(MAX(IFERROR(MATCH(LN(E334),INDEX(Attenuation!$J:$J,INDEX(Cables!$AO:$AO,MATCH(G334,Cables!$A:$A,0))):INDEX(Attenuation!$J:$J,INDEX(Cables!$AO:$AO,MATCH(G334,Cables!$A:$A,0))+INDEX(Cables!$AP:$AP,MATCH(G334,Cables!$A:$A,0))-1),1),1),1),INDEX(Cables!$AP:$AP,MATCH(G334,Cables!$A:$A,0))-1))+1)))*0.3048)</f>
        <v>3.6850319999999979</v>
      </c>
      <c r="J334" s="44">
        <f t="shared" si="5"/>
        <v>4.0618371835039468E-3</v>
      </c>
      <c r="K334" s="40" t="str">
        <f>IF(G334="","Doğrulanmadı",IF(ABS(J334)&lt;=0.1,"Uyumlu (±%10)",IF(ABS(J334)&lt;=0.25,"Fark %10-25","Fark &gt;%25"))&amp;IF(OR(D334&lt;INDEX(Cables!$AQ:$AQ,MATCH(G334,Cables!$A:$A,0)),E334&gt;INDEX(Cables!$AR:$AR,MATCH(G334,Cables!$A:$A,0)))," · ekstrapolasyon",""))</f>
        <v>Uyumlu (±%10)</v>
      </c>
    </row>
    <row r="335" spans="1:11" x14ac:dyDescent="0.25">
      <c r="A335" s="37" t="s">
        <v>3066</v>
      </c>
      <c r="B335" s="40" t="str">
        <f>INDEX(Legacy_Index!$D:$D,MATCH(A335,Legacy_Index!$A:$A,0))</f>
        <v>1/2" HELIAX®</v>
      </c>
      <c r="C335" s="37" t="s">
        <v>3122</v>
      </c>
      <c r="D335" s="37">
        <v>5725</v>
      </c>
      <c r="E335" s="37">
        <v>5875</v>
      </c>
      <c r="F335" s="37">
        <v>5.9</v>
      </c>
      <c r="G335" s="40" t="str">
        <f>IF(INDEX(Legacy_Index!$G:$G,MATCH(A335,Legacy_Index!$A:$A,0))="","",INDEX(Legacy_Index!$G:$G,MATCH(A335,Legacy_Index!$A:$A,0)))</f>
        <v>CS-LDF4-50A</v>
      </c>
      <c r="H335" s="43">
        <f>IF(G335="","",EXP(FORECAST(LN(D335),INDEX(Attenuation!$K:$K,(INDEX(Cables!$AO:$AO,MATCH(G335,Cables!$A:$A,0))-1+MIN(MAX(IFERROR(MATCH(LN(D335),INDEX(Attenuation!$J:$J,INDEX(Cables!$AO:$AO,MATCH(G335,Cables!$A:$A,0))):INDEX(Attenuation!$J:$J,INDEX(Cables!$AO:$AO,MATCH(G335,Cables!$A:$A,0))+INDEX(Cables!$AP:$AP,MATCH(G335,Cables!$A:$A,0))-1),1),1),1),INDEX(Cables!$AP:$AP,MATCH(G335,Cables!$A:$A,0))-1))):INDEX(Attenuation!$K:$K,(INDEX(Cables!$AO:$AO,MATCH(G335,Cables!$A:$A,0))-1+MIN(MAX(IFERROR(MATCH(LN(D335),INDEX(Attenuation!$J:$J,INDEX(Cables!$AO:$AO,MATCH(G335,Cables!$A:$A,0))):INDEX(Attenuation!$J:$J,INDEX(Cables!$AO:$AO,MATCH(G335,Cables!$A:$A,0))+INDEX(Cables!$AP:$AP,MATCH(G335,Cables!$A:$A,0))-1),1),1),1),INDEX(Cables!$AP:$AP,MATCH(G335,Cables!$A:$A,0))-1))+1),INDEX(Attenuation!$J:$J,(INDEX(Cables!$AO:$AO,MATCH(G335,Cables!$A:$A,0))-1+MIN(MAX(IFERROR(MATCH(LN(D335),INDEX(Attenuation!$J:$J,INDEX(Cables!$AO:$AO,MATCH(G335,Cables!$A:$A,0))):INDEX(Attenuation!$J:$J,INDEX(Cables!$AO:$AO,MATCH(G335,Cables!$A:$A,0))+INDEX(Cables!$AP:$AP,MATCH(G335,Cables!$A:$A,0))-1),1),1),1),INDEX(Cables!$AP:$AP,MATCH(G335,Cables!$A:$A,0))-1))):INDEX(Attenuation!$J:$J,(INDEX(Cables!$AO:$AO,MATCH(G335,Cables!$A:$A,0))-1+MIN(MAX(IFERROR(MATCH(LN(D335),INDEX(Attenuation!$J:$J,INDEX(Cables!$AO:$AO,MATCH(G335,Cables!$A:$A,0))):INDEX(Attenuation!$J:$J,INDEX(Cables!$AO:$AO,MATCH(G335,Cables!$A:$A,0))+INDEX(Cables!$AP:$AP,MATCH(G335,Cables!$A:$A,0))-1),1),1),1),INDEX(Cables!$AP:$AP,MATCH(G335,Cables!$A:$A,0))-1))+1)))*0.3048)</f>
        <v>5.945905258058481</v>
      </c>
      <c r="I335" s="43">
        <f>IF(G335="","",EXP(FORECAST(LN(E335),INDEX(Attenuation!$K:$K,(INDEX(Cables!$AO:$AO,MATCH(G335,Cables!$A:$A,0))-1+MIN(MAX(IFERROR(MATCH(LN(E335),INDEX(Attenuation!$J:$J,INDEX(Cables!$AO:$AO,MATCH(G335,Cables!$A:$A,0))):INDEX(Attenuation!$J:$J,INDEX(Cables!$AO:$AO,MATCH(G335,Cables!$A:$A,0))+INDEX(Cables!$AP:$AP,MATCH(G335,Cables!$A:$A,0))-1),1),1),1),INDEX(Cables!$AP:$AP,MATCH(G335,Cables!$A:$A,0))-1))):INDEX(Attenuation!$K:$K,(INDEX(Cables!$AO:$AO,MATCH(G335,Cables!$A:$A,0))-1+MIN(MAX(IFERROR(MATCH(LN(E335),INDEX(Attenuation!$J:$J,INDEX(Cables!$AO:$AO,MATCH(G335,Cables!$A:$A,0))):INDEX(Attenuation!$J:$J,INDEX(Cables!$AO:$AO,MATCH(G335,Cables!$A:$A,0))+INDEX(Cables!$AP:$AP,MATCH(G335,Cables!$A:$A,0))-1),1),1),1),INDEX(Cables!$AP:$AP,MATCH(G335,Cables!$A:$A,0))-1))+1),INDEX(Attenuation!$J:$J,(INDEX(Cables!$AO:$AO,MATCH(G335,Cables!$A:$A,0))-1+MIN(MAX(IFERROR(MATCH(LN(E335),INDEX(Attenuation!$J:$J,INDEX(Cables!$AO:$AO,MATCH(G335,Cables!$A:$A,0))):INDEX(Attenuation!$J:$J,INDEX(Cables!$AO:$AO,MATCH(G335,Cables!$A:$A,0))+INDEX(Cables!$AP:$AP,MATCH(G335,Cables!$A:$A,0))-1),1),1),1),INDEX(Cables!$AP:$AP,MATCH(G335,Cables!$A:$A,0))-1))):INDEX(Attenuation!$J:$J,(INDEX(Cables!$AO:$AO,MATCH(G335,Cables!$A:$A,0))-1+MIN(MAX(IFERROR(MATCH(LN(E335),INDEX(Attenuation!$J:$J,INDEX(Cables!$AO:$AO,MATCH(G335,Cables!$A:$A,0))):INDEX(Attenuation!$J:$J,INDEX(Cables!$AO:$AO,MATCH(G335,Cables!$A:$A,0))+INDEX(Cables!$AP:$AP,MATCH(G335,Cables!$A:$A,0))-1),1),1),1),INDEX(Cables!$AP:$AP,MATCH(G335,Cables!$A:$A,0))-1))+1)))*0.3048)</f>
        <v>6.0373166794321245</v>
      </c>
      <c r="J335" s="44">
        <f t="shared" si="5"/>
        <v>-7.7204825953567369E-3</v>
      </c>
      <c r="K335" s="40" t="str">
        <f>IF(G335="","Doğrulanmadı",IF(ABS(J335)&lt;=0.1,"Uyumlu (±%10)",IF(ABS(J335)&lt;=0.25,"Fark %10-25","Fark &gt;%25"))&amp;IF(OR(D335&lt;INDEX(Cables!$AQ:$AQ,MATCH(G335,Cables!$A:$A,0)),E335&gt;INDEX(Cables!$AR:$AR,MATCH(G335,Cables!$A:$A,0)))," · ekstrapolasyon",""))</f>
        <v>Uyumlu (±%10)</v>
      </c>
    </row>
    <row r="336" spans="1:11" x14ac:dyDescent="0.25">
      <c r="A336" s="37" t="s">
        <v>3069</v>
      </c>
      <c r="B336" s="40" t="str">
        <f>INDEX(Legacy_Index!$D:$D,MATCH(A336,Legacy_Index!$A:$A,0))</f>
        <v>1/2" LDF</v>
      </c>
      <c r="C336" s="37" t="s">
        <v>3114</v>
      </c>
      <c r="D336" s="37">
        <v>148</v>
      </c>
      <c r="E336" s="37">
        <v>174</v>
      </c>
      <c r="F336" s="37">
        <v>0.85</v>
      </c>
      <c r="G336" s="40" t="str">
        <f>IF(INDEX(Legacy_Index!$G:$G,MATCH(A336,Legacy_Index!$A:$A,0))="","",INDEX(Legacy_Index!$G:$G,MATCH(A336,Legacy_Index!$A:$A,0)))</f>
        <v>CS-LDF4-50A</v>
      </c>
      <c r="H336" s="43">
        <f>IF(G336="","",EXP(FORECAST(LN(D336),INDEX(Attenuation!$K:$K,(INDEX(Cables!$AO:$AO,MATCH(G336,Cables!$A:$A,0))-1+MIN(MAX(IFERROR(MATCH(LN(D336),INDEX(Attenuation!$J:$J,INDEX(Cables!$AO:$AO,MATCH(G336,Cables!$A:$A,0))):INDEX(Attenuation!$J:$J,INDEX(Cables!$AO:$AO,MATCH(G336,Cables!$A:$A,0))+INDEX(Cables!$AP:$AP,MATCH(G336,Cables!$A:$A,0))-1),1),1),1),INDEX(Cables!$AP:$AP,MATCH(G336,Cables!$A:$A,0))-1))):INDEX(Attenuation!$K:$K,(INDEX(Cables!$AO:$AO,MATCH(G336,Cables!$A:$A,0))-1+MIN(MAX(IFERROR(MATCH(LN(D336),INDEX(Attenuation!$J:$J,INDEX(Cables!$AO:$AO,MATCH(G336,Cables!$A:$A,0))):INDEX(Attenuation!$J:$J,INDEX(Cables!$AO:$AO,MATCH(G336,Cables!$A:$A,0))+INDEX(Cables!$AP:$AP,MATCH(G336,Cables!$A:$A,0))-1),1),1),1),INDEX(Cables!$AP:$AP,MATCH(G336,Cables!$A:$A,0))-1))+1),INDEX(Attenuation!$J:$J,(INDEX(Cables!$AO:$AO,MATCH(G336,Cables!$A:$A,0))-1+MIN(MAX(IFERROR(MATCH(LN(D336),INDEX(Attenuation!$J:$J,INDEX(Cables!$AO:$AO,MATCH(G336,Cables!$A:$A,0))):INDEX(Attenuation!$J:$J,INDEX(Cables!$AO:$AO,MATCH(G336,Cables!$A:$A,0))+INDEX(Cables!$AP:$AP,MATCH(G336,Cables!$A:$A,0))-1),1),1),1),INDEX(Cables!$AP:$AP,MATCH(G336,Cables!$A:$A,0))-1))):INDEX(Attenuation!$J:$J,(INDEX(Cables!$AO:$AO,MATCH(G336,Cables!$A:$A,0))-1+MIN(MAX(IFERROR(MATCH(LN(D336),INDEX(Attenuation!$J:$J,INDEX(Cables!$AO:$AO,MATCH(G336,Cables!$A:$A,0))):INDEX(Attenuation!$J:$J,INDEX(Cables!$AO:$AO,MATCH(G336,Cables!$A:$A,0))+INDEX(Cables!$AP:$AP,MATCH(G336,Cables!$A:$A,0))-1),1),1),1),INDEX(Cables!$AP:$AP,MATCH(G336,Cables!$A:$A,0))-1))+1)))*0.3048)</f>
        <v>0.80910354172691212</v>
      </c>
      <c r="I336" s="43">
        <f>IF(G336="","",EXP(FORECAST(LN(E336),INDEX(Attenuation!$K:$K,(INDEX(Cables!$AO:$AO,MATCH(G336,Cables!$A:$A,0))-1+MIN(MAX(IFERROR(MATCH(LN(E336),INDEX(Attenuation!$J:$J,INDEX(Cables!$AO:$AO,MATCH(G336,Cables!$A:$A,0))):INDEX(Attenuation!$J:$J,INDEX(Cables!$AO:$AO,MATCH(G336,Cables!$A:$A,0))+INDEX(Cables!$AP:$AP,MATCH(G336,Cables!$A:$A,0))-1),1),1),1),INDEX(Cables!$AP:$AP,MATCH(G336,Cables!$A:$A,0))-1))):INDEX(Attenuation!$K:$K,(INDEX(Cables!$AO:$AO,MATCH(G336,Cables!$A:$A,0))-1+MIN(MAX(IFERROR(MATCH(LN(E336),INDEX(Attenuation!$J:$J,INDEX(Cables!$AO:$AO,MATCH(G336,Cables!$A:$A,0))):INDEX(Attenuation!$J:$J,INDEX(Cables!$AO:$AO,MATCH(G336,Cables!$A:$A,0))+INDEX(Cables!$AP:$AP,MATCH(G336,Cables!$A:$A,0))-1),1),1),1),INDEX(Cables!$AP:$AP,MATCH(G336,Cables!$A:$A,0))-1))+1),INDEX(Attenuation!$J:$J,(INDEX(Cables!$AO:$AO,MATCH(G336,Cables!$A:$A,0))-1+MIN(MAX(IFERROR(MATCH(LN(E336),INDEX(Attenuation!$J:$J,INDEX(Cables!$AO:$AO,MATCH(G336,Cables!$A:$A,0))):INDEX(Attenuation!$J:$J,INDEX(Cables!$AO:$AO,MATCH(G336,Cables!$A:$A,0))+INDEX(Cables!$AP:$AP,MATCH(G336,Cables!$A:$A,0))-1),1),1),1),INDEX(Cables!$AP:$AP,MATCH(G336,Cables!$A:$A,0))-1))):INDEX(Attenuation!$J:$J,(INDEX(Cables!$AO:$AO,MATCH(G336,Cables!$A:$A,0))-1+MIN(MAX(IFERROR(MATCH(LN(E336),INDEX(Attenuation!$J:$J,INDEX(Cables!$AO:$AO,MATCH(G336,Cables!$A:$A,0))):INDEX(Attenuation!$J:$J,INDEX(Cables!$AO:$AO,MATCH(G336,Cables!$A:$A,0))+INDEX(Cables!$AP:$AP,MATCH(G336,Cables!$A:$A,0))-1),1),1),1),INDEX(Cables!$AP:$AP,MATCH(G336,Cables!$A:$A,0))-1))+1)))*0.3048)</f>
        <v>0.8799575999999999</v>
      </c>
      <c r="J336" s="44">
        <f t="shared" si="5"/>
        <v>0</v>
      </c>
      <c r="K336" s="40" t="str">
        <f>IF(G336="","Doğrulanmadı",IF(ABS(J336)&lt;=0.1,"Uyumlu (±%10)",IF(ABS(J336)&lt;=0.25,"Fark %10-25","Fark &gt;%25"))&amp;IF(OR(D336&lt;INDEX(Cables!$AQ:$AQ,MATCH(G336,Cables!$A:$A,0)),E336&gt;INDEX(Cables!$AR:$AR,MATCH(G336,Cables!$A:$A,0)))," · ekstrapolasyon",""))</f>
        <v>Uyumlu (±%10)</v>
      </c>
    </row>
    <row r="337" spans="1:11" x14ac:dyDescent="0.25">
      <c r="A337" s="37" t="s">
        <v>3069</v>
      </c>
      <c r="B337" s="40" t="str">
        <f>INDEX(Legacy_Index!$D:$D,MATCH(A337,Legacy_Index!$A:$A,0))</f>
        <v>1/2" LDF</v>
      </c>
      <c r="C337" s="37" t="s">
        <v>3119</v>
      </c>
      <c r="D337" s="37">
        <v>220</v>
      </c>
      <c r="E337" s="37">
        <v>220</v>
      </c>
      <c r="F337" s="37">
        <v>1.1000000000000001</v>
      </c>
      <c r="G337" s="40" t="str">
        <f>IF(INDEX(Legacy_Index!$G:$G,MATCH(A337,Legacy_Index!$A:$A,0))="","",INDEX(Legacy_Index!$G:$G,MATCH(A337,Legacy_Index!$A:$A,0)))</f>
        <v>CS-LDF4-50A</v>
      </c>
      <c r="H337" s="43">
        <f>IF(G337="","",EXP(FORECAST(LN(D337),INDEX(Attenuation!$K:$K,(INDEX(Cables!$AO:$AO,MATCH(G337,Cables!$A:$A,0))-1+MIN(MAX(IFERROR(MATCH(LN(D337),INDEX(Attenuation!$J:$J,INDEX(Cables!$AO:$AO,MATCH(G337,Cables!$A:$A,0))):INDEX(Attenuation!$J:$J,INDEX(Cables!$AO:$AO,MATCH(G337,Cables!$A:$A,0))+INDEX(Cables!$AP:$AP,MATCH(G337,Cables!$A:$A,0))-1),1),1),1),INDEX(Cables!$AP:$AP,MATCH(G337,Cables!$A:$A,0))-1))):INDEX(Attenuation!$K:$K,(INDEX(Cables!$AO:$AO,MATCH(G337,Cables!$A:$A,0))-1+MIN(MAX(IFERROR(MATCH(LN(D337),INDEX(Attenuation!$J:$J,INDEX(Cables!$AO:$AO,MATCH(G337,Cables!$A:$A,0))):INDEX(Attenuation!$J:$J,INDEX(Cables!$AO:$AO,MATCH(G337,Cables!$A:$A,0))+INDEX(Cables!$AP:$AP,MATCH(G337,Cables!$A:$A,0))-1),1),1),1),INDEX(Cables!$AP:$AP,MATCH(G337,Cables!$A:$A,0))-1))+1),INDEX(Attenuation!$J:$J,(INDEX(Cables!$AO:$AO,MATCH(G337,Cables!$A:$A,0))-1+MIN(MAX(IFERROR(MATCH(LN(D337),INDEX(Attenuation!$J:$J,INDEX(Cables!$AO:$AO,MATCH(G337,Cables!$A:$A,0))):INDEX(Attenuation!$J:$J,INDEX(Cables!$AO:$AO,MATCH(G337,Cables!$A:$A,0))+INDEX(Cables!$AP:$AP,MATCH(G337,Cables!$A:$A,0))-1),1),1),1),INDEX(Cables!$AP:$AP,MATCH(G337,Cables!$A:$A,0))-1))):INDEX(Attenuation!$J:$J,(INDEX(Cables!$AO:$AO,MATCH(G337,Cables!$A:$A,0))-1+MIN(MAX(IFERROR(MATCH(LN(D337),INDEX(Attenuation!$J:$J,INDEX(Cables!$AO:$AO,MATCH(G337,Cables!$A:$A,0))):INDEX(Attenuation!$J:$J,INDEX(Cables!$AO:$AO,MATCH(G337,Cables!$A:$A,0))+INDEX(Cables!$AP:$AP,MATCH(G337,Cables!$A:$A,0))-1),1),1),1),INDEX(Cables!$AP:$AP,MATCH(G337,Cables!$A:$A,0))-1))+1)))*0.3048)</f>
        <v>0.9940066370837024</v>
      </c>
      <c r="I337" s="43">
        <f>IF(G337="","",EXP(FORECAST(LN(E337),INDEX(Attenuation!$K:$K,(INDEX(Cables!$AO:$AO,MATCH(G337,Cables!$A:$A,0))-1+MIN(MAX(IFERROR(MATCH(LN(E337),INDEX(Attenuation!$J:$J,INDEX(Cables!$AO:$AO,MATCH(G337,Cables!$A:$A,0))):INDEX(Attenuation!$J:$J,INDEX(Cables!$AO:$AO,MATCH(G337,Cables!$A:$A,0))+INDEX(Cables!$AP:$AP,MATCH(G337,Cables!$A:$A,0))-1),1),1),1),INDEX(Cables!$AP:$AP,MATCH(G337,Cables!$A:$A,0))-1))):INDEX(Attenuation!$K:$K,(INDEX(Cables!$AO:$AO,MATCH(G337,Cables!$A:$A,0))-1+MIN(MAX(IFERROR(MATCH(LN(E337),INDEX(Attenuation!$J:$J,INDEX(Cables!$AO:$AO,MATCH(G337,Cables!$A:$A,0))):INDEX(Attenuation!$J:$J,INDEX(Cables!$AO:$AO,MATCH(G337,Cables!$A:$A,0))+INDEX(Cables!$AP:$AP,MATCH(G337,Cables!$A:$A,0))-1),1),1),1),INDEX(Cables!$AP:$AP,MATCH(G337,Cables!$A:$A,0))-1))+1),INDEX(Attenuation!$J:$J,(INDEX(Cables!$AO:$AO,MATCH(G337,Cables!$A:$A,0))-1+MIN(MAX(IFERROR(MATCH(LN(E337),INDEX(Attenuation!$J:$J,INDEX(Cables!$AO:$AO,MATCH(G337,Cables!$A:$A,0))):INDEX(Attenuation!$J:$J,INDEX(Cables!$AO:$AO,MATCH(G337,Cables!$A:$A,0))+INDEX(Cables!$AP:$AP,MATCH(G337,Cables!$A:$A,0))-1),1),1),1),INDEX(Cables!$AP:$AP,MATCH(G337,Cables!$A:$A,0))-1))):INDEX(Attenuation!$J:$J,(INDEX(Cables!$AO:$AO,MATCH(G337,Cables!$A:$A,0))-1+MIN(MAX(IFERROR(MATCH(LN(E337),INDEX(Attenuation!$J:$J,INDEX(Cables!$AO:$AO,MATCH(G337,Cables!$A:$A,0))):INDEX(Attenuation!$J:$J,INDEX(Cables!$AO:$AO,MATCH(G337,Cables!$A:$A,0))+INDEX(Cables!$AP:$AP,MATCH(G337,Cables!$A:$A,0))-1),1),1),1),INDEX(Cables!$AP:$AP,MATCH(G337,Cables!$A:$A,0))-1))+1)))*0.3048)</f>
        <v>0.9940066370837024</v>
      </c>
      <c r="J337" s="44">
        <f t="shared" si="5"/>
        <v>0.10663244988712517</v>
      </c>
      <c r="K337" s="40" t="str">
        <f>IF(G337="","Doğrulanmadı",IF(ABS(J337)&lt;=0.1,"Uyumlu (±%10)",IF(ABS(J337)&lt;=0.25,"Fark %10-25","Fark &gt;%25"))&amp;IF(OR(D337&lt;INDEX(Cables!$AQ:$AQ,MATCH(G337,Cables!$A:$A,0)),E337&gt;INDEX(Cables!$AR:$AR,MATCH(G337,Cables!$A:$A,0)))," · ekstrapolasyon",""))</f>
        <v>Fark %10-25</v>
      </c>
    </row>
    <row r="338" spans="1:11" x14ac:dyDescent="0.25">
      <c r="A338" s="37" t="s">
        <v>3069</v>
      </c>
      <c r="B338" s="40" t="str">
        <f>INDEX(Legacy_Index!$D:$D,MATCH(A338,Legacy_Index!$A:$A,0))</f>
        <v>1/2" LDF</v>
      </c>
      <c r="C338" s="37" t="s">
        <v>3115</v>
      </c>
      <c r="D338" s="37">
        <v>400</v>
      </c>
      <c r="E338" s="37">
        <v>520</v>
      </c>
      <c r="F338" s="37">
        <v>1.5</v>
      </c>
      <c r="G338" s="40" t="str">
        <f>IF(INDEX(Legacy_Index!$G:$G,MATCH(A338,Legacy_Index!$A:$A,0))="","",INDEX(Legacy_Index!$G:$G,MATCH(A338,Legacy_Index!$A:$A,0)))</f>
        <v>CS-LDF4-50A</v>
      </c>
      <c r="H338" s="43">
        <f>IF(G338="","",EXP(FORECAST(LN(D338),INDEX(Attenuation!$K:$K,(INDEX(Cables!$AO:$AO,MATCH(G338,Cables!$A:$A,0))-1+MIN(MAX(IFERROR(MATCH(LN(D338),INDEX(Attenuation!$J:$J,INDEX(Cables!$AO:$AO,MATCH(G338,Cables!$A:$A,0))):INDEX(Attenuation!$J:$J,INDEX(Cables!$AO:$AO,MATCH(G338,Cables!$A:$A,0))+INDEX(Cables!$AP:$AP,MATCH(G338,Cables!$A:$A,0))-1),1),1),1),INDEX(Cables!$AP:$AP,MATCH(G338,Cables!$A:$A,0))-1))):INDEX(Attenuation!$K:$K,(INDEX(Cables!$AO:$AO,MATCH(G338,Cables!$A:$A,0))-1+MIN(MAX(IFERROR(MATCH(LN(D338),INDEX(Attenuation!$J:$J,INDEX(Cables!$AO:$AO,MATCH(G338,Cables!$A:$A,0))):INDEX(Attenuation!$J:$J,INDEX(Cables!$AO:$AO,MATCH(G338,Cables!$A:$A,0))+INDEX(Cables!$AP:$AP,MATCH(G338,Cables!$A:$A,0))-1),1),1),1),INDEX(Cables!$AP:$AP,MATCH(G338,Cables!$A:$A,0))-1))+1),INDEX(Attenuation!$J:$J,(INDEX(Cables!$AO:$AO,MATCH(G338,Cables!$A:$A,0))-1+MIN(MAX(IFERROR(MATCH(LN(D338),INDEX(Attenuation!$J:$J,INDEX(Cables!$AO:$AO,MATCH(G338,Cables!$A:$A,0))):INDEX(Attenuation!$J:$J,INDEX(Cables!$AO:$AO,MATCH(G338,Cables!$A:$A,0))+INDEX(Cables!$AP:$AP,MATCH(G338,Cables!$A:$A,0))-1),1),1),1),INDEX(Cables!$AP:$AP,MATCH(G338,Cables!$A:$A,0))-1))):INDEX(Attenuation!$J:$J,(INDEX(Cables!$AO:$AO,MATCH(G338,Cables!$A:$A,0))-1+MIN(MAX(IFERROR(MATCH(LN(D338),INDEX(Attenuation!$J:$J,INDEX(Cables!$AO:$AO,MATCH(G338,Cables!$A:$A,0))):INDEX(Attenuation!$J:$J,INDEX(Cables!$AO:$AO,MATCH(G338,Cables!$A:$A,0))+INDEX(Cables!$AP:$AP,MATCH(G338,Cables!$A:$A,0))-1),1),1),1),INDEX(Cables!$AP:$AP,MATCH(G338,Cables!$A:$A,0))-1))+1)))*0.3048)</f>
        <v>1.3600175999999999</v>
      </c>
      <c r="I338" s="43">
        <f>IF(G338="","",EXP(FORECAST(LN(E338),INDEX(Attenuation!$K:$K,(INDEX(Cables!$AO:$AO,MATCH(G338,Cables!$A:$A,0))-1+MIN(MAX(IFERROR(MATCH(LN(E338),INDEX(Attenuation!$J:$J,INDEX(Cables!$AO:$AO,MATCH(G338,Cables!$A:$A,0))):INDEX(Attenuation!$J:$J,INDEX(Cables!$AO:$AO,MATCH(G338,Cables!$A:$A,0))+INDEX(Cables!$AP:$AP,MATCH(G338,Cables!$A:$A,0))-1),1),1),1),INDEX(Cables!$AP:$AP,MATCH(G338,Cables!$A:$A,0))-1))):INDEX(Attenuation!$K:$K,(INDEX(Cables!$AO:$AO,MATCH(G338,Cables!$A:$A,0))-1+MIN(MAX(IFERROR(MATCH(LN(E338),INDEX(Attenuation!$J:$J,INDEX(Cables!$AO:$AO,MATCH(G338,Cables!$A:$A,0))):INDEX(Attenuation!$J:$J,INDEX(Cables!$AO:$AO,MATCH(G338,Cables!$A:$A,0))+INDEX(Cables!$AP:$AP,MATCH(G338,Cables!$A:$A,0))-1),1),1),1),INDEX(Cables!$AP:$AP,MATCH(G338,Cables!$A:$A,0))-1))+1),INDEX(Attenuation!$J:$J,(INDEX(Cables!$AO:$AO,MATCH(G338,Cables!$A:$A,0))-1+MIN(MAX(IFERROR(MATCH(LN(E338),INDEX(Attenuation!$J:$J,INDEX(Cables!$AO:$AO,MATCH(G338,Cables!$A:$A,0))):INDEX(Attenuation!$J:$J,INDEX(Cables!$AO:$AO,MATCH(G338,Cables!$A:$A,0))+INDEX(Cables!$AP:$AP,MATCH(G338,Cables!$A:$A,0))-1),1),1),1),INDEX(Cables!$AP:$AP,MATCH(G338,Cables!$A:$A,0))-1))):INDEX(Attenuation!$J:$J,(INDEX(Cables!$AO:$AO,MATCH(G338,Cables!$A:$A,0))-1+MIN(MAX(IFERROR(MATCH(LN(E338),INDEX(Attenuation!$J:$J,INDEX(Cables!$AO:$AO,MATCH(G338,Cables!$A:$A,0))):INDEX(Attenuation!$J:$J,INDEX(Cables!$AO:$AO,MATCH(G338,Cables!$A:$A,0))+INDEX(Cables!$AP:$AP,MATCH(G338,Cables!$A:$A,0))-1),1),1),1),INDEX(Cables!$AP:$AP,MATCH(G338,Cables!$A:$A,0))-1))+1)))*0.3048)</f>
        <v>1.5627536082997648</v>
      </c>
      <c r="J338" s="44">
        <f t="shared" si="5"/>
        <v>0</v>
      </c>
      <c r="K338" s="40" t="str">
        <f>IF(G338="","Doğrulanmadı",IF(ABS(J338)&lt;=0.1,"Uyumlu (±%10)",IF(ABS(J338)&lt;=0.25,"Fark %10-25","Fark &gt;%25"))&amp;IF(OR(D338&lt;INDEX(Cables!$AQ:$AQ,MATCH(G338,Cables!$A:$A,0)),E338&gt;INDEX(Cables!$AR:$AR,MATCH(G338,Cables!$A:$A,0)))," · ekstrapolasyon",""))</f>
        <v>Uyumlu (±%10)</v>
      </c>
    </row>
    <row r="339" spans="1:11" x14ac:dyDescent="0.25">
      <c r="A339" s="37" t="s">
        <v>3069</v>
      </c>
      <c r="B339" s="40" t="str">
        <f>INDEX(Legacy_Index!$D:$D,MATCH(A339,Legacy_Index!$A:$A,0))</f>
        <v>1/2" LDF</v>
      </c>
      <c r="C339" s="37" t="s">
        <v>3116</v>
      </c>
      <c r="D339" s="37">
        <v>700</v>
      </c>
      <c r="E339" s="37">
        <v>960</v>
      </c>
      <c r="F339" s="37">
        <v>2.2000000000000002</v>
      </c>
      <c r="G339" s="40" t="str">
        <f>IF(INDEX(Legacy_Index!$G:$G,MATCH(A339,Legacy_Index!$A:$A,0))="","",INDEX(Legacy_Index!$G:$G,MATCH(A339,Legacy_Index!$A:$A,0)))</f>
        <v>CS-LDF4-50A</v>
      </c>
      <c r="H339" s="43">
        <f>IF(G339="","",EXP(FORECAST(LN(D339),INDEX(Attenuation!$K:$K,(INDEX(Cables!$AO:$AO,MATCH(G339,Cables!$A:$A,0))-1+MIN(MAX(IFERROR(MATCH(LN(D339),INDEX(Attenuation!$J:$J,INDEX(Cables!$AO:$AO,MATCH(G339,Cables!$A:$A,0))):INDEX(Attenuation!$J:$J,INDEX(Cables!$AO:$AO,MATCH(G339,Cables!$A:$A,0))+INDEX(Cables!$AP:$AP,MATCH(G339,Cables!$A:$A,0))-1),1),1),1),INDEX(Cables!$AP:$AP,MATCH(G339,Cables!$A:$A,0))-1))):INDEX(Attenuation!$K:$K,(INDEX(Cables!$AO:$AO,MATCH(G339,Cables!$A:$A,0))-1+MIN(MAX(IFERROR(MATCH(LN(D339),INDEX(Attenuation!$J:$J,INDEX(Cables!$AO:$AO,MATCH(G339,Cables!$A:$A,0))):INDEX(Attenuation!$J:$J,INDEX(Cables!$AO:$AO,MATCH(G339,Cables!$A:$A,0))+INDEX(Cables!$AP:$AP,MATCH(G339,Cables!$A:$A,0))-1),1),1),1),INDEX(Cables!$AP:$AP,MATCH(G339,Cables!$A:$A,0))-1))+1),INDEX(Attenuation!$J:$J,(INDEX(Cables!$AO:$AO,MATCH(G339,Cables!$A:$A,0))-1+MIN(MAX(IFERROR(MATCH(LN(D339),INDEX(Attenuation!$J:$J,INDEX(Cables!$AO:$AO,MATCH(G339,Cables!$A:$A,0))):INDEX(Attenuation!$J:$J,INDEX(Cables!$AO:$AO,MATCH(G339,Cables!$A:$A,0))+INDEX(Cables!$AP:$AP,MATCH(G339,Cables!$A:$A,0))-1),1),1),1),INDEX(Cables!$AP:$AP,MATCH(G339,Cables!$A:$A,0))-1))):INDEX(Attenuation!$J:$J,(INDEX(Cables!$AO:$AO,MATCH(G339,Cables!$A:$A,0))-1+MIN(MAX(IFERROR(MATCH(LN(D339),INDEX(Attenuation!$J:$J,INDEX(Cables!$AO:$AO,MATCH(G339,Cables!$A:$A,0))):INDEX(Attenuation!$J:$J,INDEX(Cables!$AO:$AO,MATCH(G339,Cables!$A:$A,0))+INDEX(Cables!$AP:$AP,MATCH(G339,Cables!$A:$A,0))-1),1),1),1),INDEX(Cables!$AP:$AP,MATCH(G339,Cables!$A:$A,0))-1))+1)))*0.3048)</f>
        <v>1.8315432000000003</v>
      </c>
      <c r="I339" s="43">
        <f>IF(G339="","",EXP(FORECAST(LN(E339),INDEX(Attenuation!$K:$K,(INDEX(Cables!$AO:$AO,MATCH(G339,Cables!$A:$A,0))-1+MIN(MAX(IFERROR(MATCH(LN(E339),INDEX(Attenuation!$J:$J,INDEX(Cables!$AO:$AO,MATCH(G339,Cables!$A:$A,0))):INDEX(Attenuation!$J:$J,INDEX(Cables!$AO:$AO,MATCH(G339,Cables!$A:$A,0))+INDEX(Cables!$AP:$AP,MATCH(G339,Cables!$A:$A,0))-1),1),1),1),INDEX(Cables!$AP:$AP,MATCH(G339,Cables!$A:$A,0))-1))):INDEX(Attenuation!$K:$K,(INDEX(Cables!$AO:$AO,MATCH(G339,Cables!$A:$A,0))-1+MIN(MAX(IFERROR(MATCH(LN(E339),INDEX(Attenuation!$J:$J,INDEX(Cables!$AO:$AO,MATCH(G339,Cables!$A:$A,0))):INDEX(Attenuation!$J:$J,INDEX(Cables!$AO:$AO,MATCH(G339,Cables!$A:$A,0))+INDEX(Cables!$AP:$AP,MATCH(G339,Cables!$A:$A,0))-1),1),1),1),INDEX(Cables!$AP:$AP,MATCH(G339,Cables!$A:$A,0))-1))+1),INDEX(Attenuation!$J:$J,(INDEX(Cables!$AO:$AO,MATCH(G339,Cables!$A:$A,0))-1+MIN(MAX(IFERROR(MATCH(LN(E339),INDEX(Attenuation!$J:$J,INDEX(Cables!$AO:$AO,MATCH(G339,Cables!$A:$A,0))):INDEX(Attenuation!$J:$J,INDEX(Cables!$AO:$AO,MATCH(G339,Cables!$A:$A,0))+INDEX(Cables!$AP:$AP,MATCH(G339,Cables!$A:$A,0))-1),1),1),1),INDEX(Cables!$AP:$AP,MATCH(G339,Cables!$A:$A,0))-1))):INDEX(Attenuation!$J:$J,(INDEX(Cables!$AO:$AO,MATCH(G339,Cables!$A:$A,0))-1+MIN(MAX(IFERROR(MATCH(LN(E339),INDEX(Attenuation!$J:$J,INDEX(Cables!$AO:$AO,MATCH(G339,Cables!$A:$A,0))):INDEX(Attenuation!$J:$J,INDEX(Cables!$AO:$AO,MATCH(G339,Cables!$A:$A,0))+INDEX(Cables!$AP:$AP,MATCH(G339,Cables!$A:$A,0))-1),1),1),1),INDEX(Cables!$AP:$AP,MATCH(G339,Cables!$A:$A,0))-1))+1)))*0.3048)</f>
        <v>2.1713951999999996</v>
      </c>
      <c r="J339" s="44">
        <f t="shared" si="5"/>
        <v>1.3173465613261159E-2</v>
      </c>
      <c r="K339" s="40" t="str">
        <f>IF(G339="","Doğrulanmadı",IF(ABS(J339)&lt;=0.1,"Uyumlu (±%10)",IF(ABS(J339)&lt;=0.25,"Fark %10-25","Fark &gt;%25"))&amp;IF(OR(D339&lt;INDEX(Cables!$AQ:$AQ,MATCH(G339,Cables!$A:$A,0)),E339&gt;INDEX(Cables!$AR:$AR,MATCH(G339,Cables!$A:$A,0)))," · ekstrapolasyon",""))</f>
        <v>Uyumlu (±%10)</v>
      </c>
    </row>
    <row r="340" spans="1:11" x14ac:dyDescent="0.25">
      <c r="A340" s="37" t="s">
        <v>3069</v>
      </c>
      <c r="B340" s="40" t="str">
        <f>INDEX(Legacy_Index!$D:$D,MATCH(A340,Legacy_Index!$A:$A,0))</f>
        <v>1/2" LDF</v>
      </c>
      <c r="C340" s="37" t="s">
        <v>3120</v>
      </c>
      <c r="D340" s="37">
        <v>1200</v>
      </c>
      <c r="E340" s="37">
        <v>1300</v>
      </c>
      <c r="F340" s="37">
        <v>2.7</v>
      </c>
      <c r="G340" s="40" t="str">
        <f>IF(INDEX(Legacy_Index!$G:$G,MATCH(A340,Legacy_Index!$A:$A,0))="","",INDEX(Legacy_Index!$G:$G,MATCH(A340,Legacy_Index!$A:$A,0)))</f>
        <v>CS-LDF4-50A</v>
      </c>
      <c r="H340" s="43">
        <f>IF(G340="","",EXP(FORECAST(LN(D340),INDEX(Attenuation!$K:$K,(INDEX(Cables!$AO:$AO,MATCH(G340,Cables!$A:$A,0))-1+MIN(MAX(IFERROR(MATCH(LN(D340),INDEX(Attenuation!$J:$J,INDEX(Cables!$AO:$AO,MATCH(G340,Cables!$A:$A,0))):INDEX(Attenuation!$J:$J,INDEX(Cables!$AO:$AO,MATCH(G340,Cables!$A:$A,0))+INDEX(Cables!$AP:$AP,MATCH(G340,Cables!$A:$A,0))-1),1),1),1),INDEX(Cables!$AP:$AP,MATCH(G340,Cables!$A:$A,0))-1))):INDEX(Attenuation!$K:$K,(INDEX(Cables!$AO:$AO,MATCH(G340,Cables!$A:$A,0))-1+MIN(MAX(IFERROR(MATCH(LN(D340),INDEX(Attenuation!$J:$J,INDEX(Cables!$AO:$AO,MATCH(G340,Cables!$A:$A,0))):INDEX(Attenuation!$J:$J,INDEX(Cables!$AO:$AO,MATCH(G340,Cables!$A:$A,0))+INDEX(Cables!$AP:$AP,MATCH(G340,Cables!$A:$A,0))-1),1),1),1),INDEX(Cables!$AP:$AP,MATCH(G340,Cables!$A:$A,0))-1))+1),INDEX(Attenuation!$J:$J,(INDEX(Cables!$AO:$AO,MATCH(G340,Cables!$A:$A,0))-1+MIN(MAX(IFERROR(MATCH(LN(D340),INDEX(Attenuation!$J:$J,INDEX(Cables!$AO:$AO,MATCH(G340,Cables!$A:$A,0))):INDEX(Attenuation!$J:$J,INDEX(Cables!$AO:$AO,MATCH(G340,Cables!$A:$A,0))+INDEX(Cables!$AP:$AP,MATCH(G340,Cables!$A:$A,0))-1),1),1),1),INDEX(Cables!$AP:$AP,MATCH(G340,Cables!$A:$A,0))-1))):INDEX(Attenuation!$J:$J,(INDEX(Cables!$AO:$AO,MATCH(G340,Cables!$A:$A,0))-1+MIN(MAX(IFERROR(MATCH(LN(D340),INDEX(Attenuation!$J:$J,INDEX(Cables!$AO:$AO,MATCH(G340,Cables!$A:$A,0))):INDEX(Attenuation!$J:$J,INDEX(Cables!$AO:$AO,MATCH(G340,Cables!$A:$A,0))+INDEX(Cables!$AP:$AP,MATCH(G340,Cables!$A:$A,0))-1),1),1),1),INDEX(Cables!$AP:$AP,MATCH(G340,Cables!$A:$A,0))-1))+1)))*0.3048)</f>
        <v>2.451962654989968</v>
      </c>
      <c r="I340" s="43">
        <f>IF(G340="","",EXP(FORECAST(LN(E340),INDEX(Attenuation!$K:$K,(INDEX(Cables!$AO:$AO,MATCH(G340,Cables!$A:$A,0))-1+MIN(MAX(IFERROR(MATCH(LN(E340),INDEX(Attenuation!$J:$J,INDEX(Cables!$AO:$AO,MATCH(G340,Cables!$A:$A,0))):INDEX(Attenuation!$J:$J,INDEX(Cables!$AO:$AO,MATCH(G340,Cables!$A:$A,0))+INDEX(Cables!$AP:$AP,MATCH(G340,Cables!$A:$A,0))-1),1),1),1),INDEX(Cables!$AP:$AP,MATCH(G340,Cables!$A:$A,0))-1))):INDEX(Attenuation!$K:$K,(INDEX(Cables!$AO:$AO,MATCH(G340,Cables!$A:$A,0))-1+MIN(MAX(IFERROR(MATCH(LN(E340),INDEX(Attenuation!$J:$J,INDEX(Cables!$AO:$AO,MATCH(G340,Cables!$A:$A,0))):INDEX(Attenuation!$J:$J,INDEX(Cables!$AO:$AO,MATCH(G340,Cables!$A:$A,0))+INDEX(Cables!$AP:$AP,MATCH(G340,Cables!$A:$A,0))-1),1),1),1),INDEX(Cables!$AP:$AP,MATCH(G340,Cables!$A:$A,0))-1))+1),INDEX(Attenuation!$J:$J,(INDEX(Cables!$AO:$AO,MATCH(G340,Cables!$A:$A,0))-1+MIN(MAX(IFERROR(MATCH(LN(E340),INDEX(Attenuation!$J:$J,INDEX(Cables!$AO:$AO,MATCH(G340,Cables!$A:$A,0))):INDEX(Attenuation!$J:$J,INDEX(Cables!$AO:$AO,MATCH(G340,Cables!$A:$A,0))+INDEX(Cables!$AP:$AP,MATCH(G340,Cables!$A:$A,0))-1),1),1),1),INDEX(Cables!$AP:$AP,MATCH(G340,Cables!$A:$A,0))-1))):INDEX(Attenuation!$J:$J,(INDEX(Cables!$AO:$AO,MATCH(G340,Cables!$A:$A,0))-1+MIN(MAX(IFERROR(MATCH(LN(E340),INDEX(Attenuation!$J:$J,INDEX(Cables!$AO:$AO,MATCH(G340,Cables!$A:$A,0))):INDEX(Attenuation!$J:$J,INDEX(Cables!$AO:$AO,MATCH(G340,Cables!$A:$A,0))+INDEX(Cables!$AP:$AP,MATCH(G340,Cables!$A:$A,0))-1),1),1),1),INDEX(Cables!$AP:$AP,MATCH(G340,Cables!$A:$A,0))-1))+1)))*0.3048)</f>
        <v>2.5619184001805531</v>
      </c>
      <c r="J340" s="44">
        <f t="shared" si="5"/>
        <v>5.3897735310272088E-2</v>
      </c>
      <c r="K340" s="40" t="str">
        <f>IF(G340="","Doğrulanmadı",IF(ABS(J340)&lt;=0.1,"Uyumlu (±%10)",IF(ABS(J340)&lt;=0.25,"Fark %10-25","Fark &gt;%25"))&amp;IF(OR(D340&lt;INDEX(Cables!$AQ:$AQ,MATCH(G340,Cables!$A:$A,0)),E340&gt;INDEX(Cables!$AR:$AR,MATCH(G340,Cables!$A:$A,0)))," · ekstrapolasyon",""))</f>
        <v>Uyumlu (±%10)</v>
      </c>
    </row>
    <row r="341" spans="1:11" x14ac:dyDescent="0.25">
      <c r="A341" s="37" t="s">
        <v>3069</v>
      </c>
      <c r="B341" s="40" t="str">
        <f>INDEX(Legacy_Index!$D:$D,MATCH(A341,Legacy_Index!$A:$A,0))</f>
        <v>1/2" LDF</v>
      </c>
      <c r="C341" s="37" t="s">
        <v>3121</v>
      </c>
      <c r="D341" s="37">
        <v>2400</v>
      </c>
      <c r="E341" s="37">
        <v>2500</v>
      </c>
      <c r="F341" s="37">
        <v>3.9</v>
      </c>
      <c r="G341" s="40" t="str">
        <f>IF(INDEX(Legacy_Index!$G:$G,MATCH(A341,Legacy_Index!$A:$A,0))="","",INDEX(Legacy_Index!$G:$G,MATCH(A341,Legacy_Index!$A:$A,0)))</f>
        <v>CS-LDF4-50A</v>
      </c>
      <c r="H341" s="43">
        <f>IF(G341="","",EXP(FORECAST(LN(D341),INDEX(Attenuation!$K:$K,(INDEX(Cables!$AO:$AO,MATCH(G341,Cables!$A:$A,0))-1+MIN(MAX(IFERROR(MATCH(LN(D341),INDEX(Attenuation!$J:$J,INDEX(Cables!$AO:$AO,MATCH(G341,Cables!$A:$A,0))):INDEX(Attenuation!$J:$J,INDEX(Cables!$AO:$AO,MATCH(G341,Cables!$A:$A,0))+INDEX(Cables!$AP:$AP,MATCH(G341,Cables!$A:$A,0))-1),1),1),1),INDEX(Cables!$AP:$AP,MATCH(G341,Cables!$A:$A,0))-1))):INDEX(Attenuation!$K:$K,(INDEX(Cables!$AO:$AO,MATCH(G341,Cables!$A:$A,0))-1+MIN(MAX(IFERROR(MATCH(LN(D341),INDEX(Attenuation!$J:$J,INDEX(Cables!$AO:$AO,MATCH(G341,Cables!$A:$A,0))):INDEX(Attenuation!$J:$J,INDEX(Cables!$AO:$AO,MATCH(G341,Cables!$A:$A,0))+INDEX(Cables!$AP:$AP,MATCH(G341,Cables!$A:$A,0))-1),1),1),1),INDEX(Cables!$AP:$AP,MATCH(G341,Cables!$A:$A,0))-1))+1),INDEX(Attenuation!$J:$J,(INDEX(Cables!$AO:$AO,MATCH(G341,Cables!$A:$A,0))-1+MIN(MAX(IFERROR(MATCH(LN(D341),INDEX(Attenuation!$J:$J,INDEX(Cables!$AO:$AO,MATCH(G341,Cables!$A:$A,0))):INDEX(Attenuation!$J:$J,INDEX(Cables!$AO:$AO,MATCH(G341,Cables!$A:$A,0))+INDEX(Cables!$AP:$AP,MATCH(G341,Cables!$A:$A,0))-1),1),1),1),INDEX(Cables!$AP:$AP,MATCH(G341,Cables!$A:$A,0))-1))):INDEX(Attenuation!$J:$J,(INDEX(Cables!$AO:$AO,MATCH(G341,Cables!$A:$A,0))-1+MIN(MAX(IFERROR(MATCH(LN(D341),INDEX(Attenuation!$J:$J,INDEX(Cables!$AO:$AO,MATCH(G341,Cables!$A:$A,0))):INDEX(Attenuation!$J:$J,INDEX(Cables!$AO:$AO,MATCH(G341,Cables!$A:$A,0))+INDEX(Cables!$AP:$AP,MATCH(G341,Cables!$A:$A,0))-1),1),1),1),INDEX(Cables!$AP:$AP,MATCH(G341,Cables!$A:$A,0))-1))+1)))*0.3048)</f>
        <v>3.6012192647120234</v>
      </c>
      <c r="I341" s="43">
        <f>IF(G341="","",EXP(FORECAST(LN(E341),INDEX(Attenuation!$K:$K,(INDEX(Cables!$AO:$AO,MATCH(G341,Cables!$A:$A,0))-1+MIN(MAX(IFERROR(MATCH(LN(E341),INDEX(Attenuation!$J:$J,INDEX(Cables!$AO:$AO,MATCH(G341,Cables!$A:$A,0))):INDEX(Attenuation!$J:$J,INDEX(Cables!$AO:$AO,MATCH(G341,Cables!$A:$A,0))+INDEX(Cables!$AP:$AP,MATCH(G341,Cables!$A:$A,0))-1),1),1),1),INDEX(Cables!$AP:$AP,MATCH(G341,Cables!$A:$A,0))-1))):INDEX(Attenuation!$K:$K,(INDEX(Cables!$AO:$AO,MATCH(G341,Cables!$A:$A,0))-1+MIN(MAX(IFERROR(MATCH(LN(E341),INDEX(Attenuation!$J:$J,INDEX(Cables!$AO:$AO,MATCH(G341,Cables!$A:$A,0))):INDEX(Attenuation!$J:$J,INDEX(Cables!$AO:$AO,MATCH(G341,Cables!$A:$A,0))+INDEX(Cables!$AP:$AP,MATCH(G341,Cables!$A:$A,0))-1),1),1),1),INDEX(Cables!$AP:$AP,MATCH(G341,Cables!$A:$A,0))-1))+1),INDEX(Attenuation!$J:$J,(INDEX(Cables!$AO:$AO,MATCH(G341,Cables!$A:$A,0))-1+MIN(MAX(IFERROR(MATCH(LN(E341),INDEX(Attenuation!$J:$J,INDEX(Cables!$AO:$AO,MATCH(G341,Cables!$A:$A,0))):INDEX(Attenuation!$J:$J,INDEX(Cables!$AO:$AO,MATCH(G341,Cables!$A:$A,0))+INDEX(Cables!$AP:$AP,MATCH(G341,Cables!$A:$A,0))-1),1),1),1),INDEX(Cables!$AP:$AP,MATCH(G341,Cables!$A:$A,0))-1))):INDEX(Attenuation!$J:$J,(INDEX(Cables!$AO:$AO,MATCH(G341,Cables!$A:$A,0))-1+MIN(MAX(IFERROR(MATCH(LN(E341),INDEX(Attenuation!$J:$J,INDEX(Cables!$AO:$AO,MATCH(G341,Cables!$A:$A,0))):INDEX(Attenuation!$J:$J,INDEX(Cables!$AO:$AO,MATCH(G341,Cables!$A:$A,0))+INDEX(Cables!$AP:$AP,MATCH(G341,Cables!$A:$A,0))-1),1),1),1),INDEX(Cables!$AP:$AP,MATCH(G341,Cables!$A:$A,0))-1))+1)))*0.3048)</f>
        <v>3.6850319999999979</v>
      </c>
      <c r="J341" s="44">
        <f t="shared" si="5"/>
        <v>5.8335450004233902E-2</v>
      </c>
      <c r="K341" s="40" t="str">
        <f>IF(G341="","Doğrulanmadı",IF(ABS(J341)&lt;=0.1,"Uyumlu (±%10)",IF(ABS(J341)&lt;=0.25,"Fark %10-25","Fark &gt;%25"))&amp;IF(OR(D341&lt;INDEX(Cables!$AQ:$AQ,MATCH(G341,Cables!$A:$A,0)),E341&gt;INDEX(Cables!$AR:$AR,MATCH(G341,Cables!$A:$A,0)))," · ekstrapolasyon",""))</f>
        <v>Uyumlu (±%10)</v>
      </c>
    </row>
    <row r="342" spans="1:11" x14ac:dyDescent="0.25">
      <c r="A342" s="37" t="s">
        <v>3069</v>
      </c>
      <c r="B342" s="40" t="str">
        <f>INDEX(Legacy_Index!$D:$D,MATCH(A342,Legacy_Index!$A:$A,0))</f>
        <v>1/2" LDF</v>
      </c>
      <c r="C342" s="37" t="s">
        <v>3122</v>
      </c>
      <c r="D342" s="37">
        <v>5725</v>
      </c>
      <c r="E342" s="37">
        <v>5875</v>
      </c>
      <c r="F342" s="37">
        <v>6.6</v>
      </c>
      <c r="G342" s="40" t="str">
        <f>IF(INDEX(Legacy_Index!$G:$G,MATCH(A342,Legacy_Index!$A:$A,0))="","",INDEX(Legacy_Index!$G:$G,MATCH(A342,Legacy_Index!$A:$A,0)))</f>
        <v>CS-LDF4-50A</v>
      </c>
      <c r="H342" s="43">
        <f>IF(G342="","",EXP(FORECAST(LN(D342),INDEX(Attenuation!$K:$K,(INDEX(Cables!$AO:$AO,MATCH(G342,Cables!$A:$A,0))-1+MIN(MAX(IFERROR(MATCH(LN(D342),INDEX(Attenuation!$J:$J,INDEX(Cables!$AO:$AO,MATCH(G342,Cables!$A:$A,0))):INDEX(Attenuation!$J:$J,INDEX(Cables!$AO:$AO,MATCH(G342,Cables!$A:$A,0))+INDEX(Cables!$AP:$AP,MATCH(G342,Cables!$A:$A,0))-1),1),1),1),INDEX(Cables!$AP:$AP,MATCH(G342,Cables!$A:$A,0))-1))):INDEX(Attenuation!$K:$K,(INDEX(Cables!$AO:$AO,MATCH(G342,Cables!$A:$A,0))-1+MIN(MAX(IFERROR(MATCH(LN(D342),INDEX(Attenuation!$J:$J,INDEX(Cables!$AO:$AO,MATCH(G342,Cables!$A:$A,0))):INDEX(Attenuation!$J:$J,INDEX(Cables!$AO:$AO,MATCH(G342,Cables!$A:$A,0))+INDEX(Cables!$AP:$AP,MATCH(G342,Cables!$A:$A,0))-1),1),1),1),INDEX(Cables!$AP:$AP,MATCH(G342,Cables!$A:$A,0))-1))+1),INDEX(Attenuation!$J:$J,(INDEX(Cables!$AO:$AO,MATCH(G342,Cables!$A:$A,0))-1+MIN(MAX(IFERROR(MATCH(LN(D342),INDEX(Attenuation!$J:$J,INDEX(Cables!$AO:$AO,MATCH(G342,Cables!$A:$A,0))):INDEX(Attenuation!$J:$J,INDEX(Cables!$AO:$AO,MATCH(G342,Cables!$A:$A,0))+INDEX(Cables!$AP:$AP,MATCH(G342,Cables!$A:$A,0))-1),1),1),1),INDEX(Cables!$AP:$AP,MATCH(G342,Cables!$A:$A,0))-1))):INDEX(Attenuation!$J:$J,(INDEX(Cables!$AO:$AO,MATCH(G342,Cables!$A:$A,0))-1+MIN(MAX(IFERROR(MATCH(LN(D342),INDEX(Attenuation!$J:$J,INDEX(Cables!$AO:$AO,MATCH(G342,Cables!$A:$A,0))):INDEX(Attenuation!$J:$J,INDEX(Cables!$AO:$AO,MATCH(G342,Cables!$A:$A,0))+INDEX(Cables!$AP:$AP,MATCH(G342,Cables!$A:$A,0))-1),1),1),1),INDEX(Cables!$AP:$AP,MATCH(G342,Cables!$A:$A,0))-1))+1)))*0.3048)</f>
        <v>5.945905258058481</v>
      </c>
      <c r="I342" s="43">
        <f>IF(G342="","",EXP(FORECAST(LN(E342),INDEX(Attenuation!$K:$K,(INDEX(Cables!$AO:$AO,MATCH(G342,Cables!$A:$A,0))-1+MIN(MAX(IFERROR(MATCH(LN(E342),INDEX(Attenuation!$J:$J,INDEX(Cables!$AO:$AO,MATCH(G342,Cables!$A:$A,0))):INDEX(Attenuation!$J:$J,INDEX(Cables!$AO:$AO,MATCH(G342,Cables!$A:$A,0))+INDEX(Cables!$AP:$AP,MATCH(G342,Cables!$A:$A,0))-1),1),1),1),INDEX(Cables!$AP:$AP,MATCH(G342,Cables!$A:$A,0))-1))):INDEX(Attenuation!$K:$K,(INDEX(Cables!$AO:$AO,MATCH(G342,Cables!$A:$A,0))-1+MIN(MAX(IFERROR(MATCH(LN(E342),INDEX(Attenuation!$J:$J,INDEX(Cables!$AO:$AO,MATCH(G342,Cables!$A:$A,0))):INDEX(Attenuation!$J:$J,INDEX(Cables!$AO:$AO,MATCH(G342,Cables!$A:$A,0))+INDEX(Cables!$AP:$AP,MATCH(G342,Cables!$A:$A,0))-1),1),1),1),INDEX(Cables!$AP:$AP,MATCH(G342,Cables!$A:$A,0))-1))+1),INDEX(Attenuation!$J:$J,(INDEX(Cables!$AO:$AO,MATCH(G342,Cables!$A:$A,0))-1+MIN(MAX(IFERROR(MATCH(LN(E342),INDEX(Attenuation!$J:$J,INDEX(Cables!$AO:$AO,MATCH(G342,Cables!$A:$A,0))):INDEX(Attenuation!$J:$J,INDEX(Cables!$AO:$AO,MATCH(G342,Cables!$A:$A,0))+INDEX(Cables!$AP:$AP,MATCH(G342,Cables!$A:$A,0))-1),1),1),1),INDEX(Cables!$AP:$AP,MATCH(G342,Cables!$A:$A,0))-1))):INDEX(Attenuation!$J:$J,(INDEX(Cables!$AO:$AO,MATCH(G342,Cables!$A:$A,0))-1+MIN(MAX(IFERROR(MATCH(LN(E342),INDEX(Attenuation!$J:$J,INDEX(Cables!$AO:$AO,MATCH(G342,Cables!$A:$A,0))):INDEX(Attenuation!$J:$J,INDEX(Cables!$AO:$AO,MATCH(G342,Cables!$A:$A,0))+INDEX(Cables!$AP:$AP,MATCH(G342,Cables!$A:$A,0))-1),1),1),1),INDEX(Cables!$AP:$AP,MATCH(G342,Cables!$A:$A,0))-1))+1)))*0.3048)</f>
        <v>6.0373166794321245</v>
      </c>
      <c r="J342" s="44">
        <f t="shared" si="5"/>
        <v>9.3200895438335873E-2</v>
      </c>
      <c r="K342" s="40" t="str">
        <f>IF(G342="","Doğrulanmadı",IF(ABS(J342)&lt;=0.1,"Uyumlu (±%10)",IF(ABS(J342)&lt;=0.25,"Fark %10-25","Fark &gt;%25"))&amp;IF(OR(D342&lt;INDEX(Cables!$AQ:$AQ,MATCH(G342,Cables!$A:$A,0)),E342&gt;INDEX(Cables!$AR:$AR,MATCH(G342,Cables!$A:$A,0)))," · ekstrapolasyon",""))</f>
        <v>Uyumlu (±%10)</v>
      </c>
    </row>
    <row r="343" spans="1:11" x14ac:dyDescent="0.25">
      <c r="A343" s="37" t="s">
        <v>3072</v>
      </c>
      <c r="B343" s="40" t="str">
        <f>INDEX(Legacy_Index!$D:$D,MATCH(A343,Legacy_Index!$A:$A,0))</f>
        <v>LMR900</v>
      </c>
      <c r="C343" s="37" t="s">
        <v>3118</v>
      </c>
      <c r="D343" s="37">
        <v>30</v>
      </c>
      <c r="E343" s="37">
        <v>50</v>
      </c>
      <c r="F343" s="37">
        <v>0.35</v>
      </c>
      <c r="G343" s="40" t="str">
        <f>IF(INDEX(Legacy_Index!$G:$G,MATCH(A343,Legacy_Index!$A:$A,0))="","",INDEX(Legacy_Index!$G:$G,MATCH(A343,Legacy_Index!$A:$A,0)))</f>
        <v>TMS-LMR900</v>
      </c>
      <c r="H343" s="43">
        <f>IF(G343="","",EXP(FORECAST(LN(D343),INDEX(Attenuation!$K:$K,(INDEX(Cables!$AO:$AO,MATCH(G343,Cables!$A:$A,0))-1+MIN(MAX(IFERROR(MATCH(LN(D343),INDEX(Attenuation!$J:$J,INDEX(Cables!$AO:$AO,MATCH(G343,Cables!$A:$A,0))):INDEX(Attenuation!$J:$J,INDEX(Cables!$AO:$AO,MATCH(G343,Cables!$A:$A,0))+INDEX(Cables!$AP:$AP,MATCH(G343,Cables!$A:$A,0))-1),1),1),1),INDEX(Cables!$AP:$AP,MATCH(G343,Cables!$A:$A,0))-1))):INDEX(Attenuation!$K:$K,(INDEX(Cables!$AO:$AO,MATCH(G343,Cables!$A:$A,0))-1+MIN(MAX(IFERROR(MATCH(LN(D343),INDEX(Attenuation!$J:$J,INDEX(Cables!$AO:$AO,MATCH(G343,Cables!$A:$A,0))):INDEX(Attenuation!$J:$J,INDEX(Cables!$AO:$AO,MATCH(G343,Cables!$A:$A,0))+INDEX(Cables!$AP:$AP,MATCH(G343,Cables!$A:$A,0))-1),1),1),1),INDEX(Cables!$AP:$AP,MATCH(G343,Cables!$A:$A,0))-1))+1),INDEX(Attenuation!$J:$J,(INDEX(Cables!$AO:$AO,MATCH(G343,Cables!$A:$A,0))-1+MIN(MAX(IFERROR(MATCH(LN(D343),INDEX(Attenuation!$J:$J,INDEX(Cables!$AO:$AO,MATCH(G343,Cables!$A:$A,0))):INDEX(Attenuation!$J:$J,INDEX(Cables!$AO:$AO,MATCH(G343,Cables!$A:$A,0))+INDEX(Cables!$AP:$AP,MATCH(G343,Cables!$A:$A,0))-1),1),1),1),INDEX(Cables!$AP:$AP,MATCH(G343,Cables!$A:$A,0))-1))):INDEX(Attenuation!$J:$J,(INDEX(Cables!$AO:$AO,MATCH(G343,Cables!$A:$A,0))-1+MIN(MAX(IFERROR(MATCH(LN(D343),INDEX(Attenuation!$J:$J,INDEX(Cables!$AO:$AO,MATCH(G343,Cables!$A:$A,0))):INDEX(Attenuation!$J:$J,INDEX(Cables!$AO:$AO,MATCH(G343,Cables!$A:$A,0))+INDEX(Cables!$AP:$AP,MATCH(G343,Cables!$A:$A,0))-1),1),1),1),INDEX(Cables!$AP:$AP,MATCH(G343,Cables!$A:$A,0))-1))+1)))*0.3048)</f>
        <v>0.28800000000000003</v>
      </c>
      <c r="I343" s="43">
        <f>IF(G343="","",EXP(FORECAST(LN(E343),INDEX(Attenuation!$K:$K,(INDEX(Cables!$AO:$AO,MATCH(G343,Cables!$A:$A,0))-1+MIN(MAX(IFERROR(MATCH(LN(E343),INDEX(Attenuation!$J:$J,INDEX(Cables!$AO:$AO,MATCH(G343,Cables!$A:$A,0))):INDEX(Attenuation!$J:$J,INDEX(Cables!$AO:$AO,MATCH(G343,Cables!$A:$A,0))+INDEX(Cables!$AP:$AP,MATCH(G343,Cables!$A:$A,0))-1),1),1),1),INDEX(Cables!$AP:$AP,MATCH(G343,Cables!$A:$A,0))-1))):INDEX(Attenuation!$K:$K,(INDEX(Cables!$AO:$AO,MATCH(G343,Cables!$A:$A,0))-1+MIN(MAX(IFERROR(MATCH(LN(E343),INDEX(Attenuation!$J:$J,INDEX(Cables!$AO:$AO,MATCH(G343,Cables!$A:$A,0))):INDEX(Attenuation!$J:$J,INDEX(Cables!$AO:$AO,MATCH(G343,Cables!$A:$A,0))+INDEX(Cables!$AP:$AP,MATCH(G343,Cables!$A:$A,0))-1),1),1),1),INDEX(Cables!$AP:$AP,MATCH(G343,Cables!$A:$A,0))-1))+1),INDEX(Attenuation!$J:$J,(INDEX(Cables!$AO:$AO,MATCH(G343,Cables!$A:$A,0))-1+MIN(MAX(IFERROR(MATCH(LN(E343),INDEX(Attenuation!$J:$J,INDEX(Cables!$AO:$AO,MATCH(G343,Cables!$A:$A,0))):INDEX(Attenuation!$J:$J,INDEX(Cables!$AO:$AO,MATCH(G343,Cables!$A:$A,0))+INDEX(Cables!$AP:$AP,MATCH(G343,Cables!$A:$A,0))-1),1),1),1),INDEX(Cables!$AP:$AP,MATCH(G343,Cables!$A:$A,0))-1))):INDEX(Attenuation!$J:$J,(INDEX(Cables!$AO:$AO,MATCH(G343,Cables!$A:$A,0))-1+MIN(MAX(IFERROR(MATCH(LN(E343),INDEX(Attenuation!$J:$J,INDEX(Cables!$AO:$AO,MATCH(G343,Cables!$A:$A,0))):INDEX(Attenuation!$J:$J,INDEX(Cables!$AO:$AO,MATCH(G343,Cables!$A:$A,0))+INDEX(Cables!$AP:$AP,MATCH(G343,Cables!$A:$A,0))-1),1),1),1),INDEX(Cables!$AP:$AP,MATCH(G343,Cables!$A:$A,0))-1))+1)))*0.3048)</f>
        <v>0.37400000000000005</v>
      </c>
      <c r="J343" s="44">
        <f t="shared" si="5"/>
        <v>0</v>
      </c>
      <c r="K343" s="40" t="str">
        <f>IF(G343="","Doğrulanmadı",IF(ABS(J343)&lt;=0.1,"Uyumlu (±%10)",IF(ABS(J343)&lt;=0.25,"Fark %10-25","Fark &gt;%25"))&amp;IF(OR(D343&lt;INDEX(Cables!$AQ:$AQ,MATCH(G343,Cables!$A:$A,0)),E343&gt;INDEX(Cables!$AR:$AR,MATCH(G343,Cables!$A:$A,0)))," · ekstrapolasyon",""))</f>
        <v>Uyumlu (±%10)</v>
      </c>
    </row>
    <row r="344" spans="1:11" x14ac:dyDescent="0.25">
      <c r="A344" s="37" t="s">
        <v>3072</v>
      </c>
      <c r="B344" s="40" t="str">
        <f>INDEX(Legacy_Index!$D:$D,MATCH(A344,Legacy_Index!$A:$A,0))</f>
        <v>LMR900</v>
      </c>
      <c r="C344" s="37" t="s">
        <v>3114</v>
      </c>
      <c r="D344" s="37">
        <v>148</v>
      </c>
      <c r="E344" s="37">
        <v>174</v>
      </c>
      <c r="F344" s="37">
        <v>0.66</v>
      </c>
      <c r="G344" s="40" t="str">
        <f>IF(INDEX(Legacy_Index!$G:$G,MATCH(A344,Legacy_Index!$A:$A,0))="","",INDEX(Legacy_Index!$G:$G,MATCH(A344,Legacy_Index!$A:$A,0)))</f>
        <v>TMS-LMR900</v>
      </c>
      <c r="H344" s="43">
        <f>IF(G344="","",EXP(FORECAST(LN(D344),INDEX(Attenuation!$K:$K,(INDEX(Cables!$AO:$AO,MATCH(G344,Cables!$A:$A,0))-1+MIN(MAX(IFERROR(MATCH(LN(D344),INDEX(Attenuation!$J:$J,INDEX(Cables!$AO:$AO,MATCH(G344,Cables!$A:$A,0))):INDEX(Attenuation!$J:$J,INDEX(Cables!$AO:$AO,MATCH(G344,Cables!$A:$A,0))+INDEX(Cables!$AP:$AP,MATCH(G344,Cables!$A:$A,0))-1),1),1),1),INDEX(Cables!$AP:$AP,MATCH(G344,Cables!$A:$A,0))-1))):INDEX(Attenuation!$K:$K,(INDEX(Cables!$AO:$AO,MATCH(G344,Cables!$A:$A,0))-1+MIN(MAX(IFERROR(MATCH(LN(D344),INDEX(Attenuation!$J:$J,INDEX(Cables!$AO:$AO,MATCH(G344,Cables!$A:$A,0))):INDEX(Attenuation!$J:$J,INDEX(Cables!$AO:$AO,MATCH(G344,Cables!$A:$A,0))+INDEX(Cables!$AP:$AP,MATCH(G344,Cables!$A:$A,0))-1),1),1),1),INDEX(Cables!$AP:$AP,MATCH(G344,Cables!$A:$A,0))-1))+1),INDEX(Attenuation!$J:$J,(INDEX(Cables!$AO:$AO,MATCH(G344,Cables!$A:$A,0))-1+MIN(MAX(IFERROR(MATCH(LN(D344),INDEX(Attenuation!$J:$J,INDEX(Cables!$AO:$AO,MATCH(G344,Cables!$A:$A,0))):INDEX(Attenuation!$J:$J,INDEX(Cables!$AO:$AO,MATCH(G344,Cables!$A:$A,0))+INDEX(Cables!$AP:$AP,MATCH(G344,Cables!$A:$A,0))-1),1),1),1),INDEX(Cables!$AP:$AP,MATCH(G344,Cables!$A:$A,0))-1))):INDEX(Attenuation!$J:$J,(INDEX(Cables!$AO:$AO,MATCH(G344,Cables!$A:$A,0))-1+MIN(MAX(IFERROR(MATCH(LN(D344),INDEX(Attenuation!$J:$J,INDEX(Cables!$AO:$AO,MATCH(G344,Cables!$A:$A,0))):INDEX(Attenuation!$J:$J,INDEX(Cables!$AO:$AO,MATCH(G344,Cables!$A:$A,0))+INDEX(Cables!$AP:$AP,MATCH(G344,Cables!$A:$A,0))-1),1),1),1),INDEX(Cables!$AP:$AP,MATCH(G344,Cables!$A:$A,0))-1))+1)))*0.3048)</f>
        <v>0.6534737033956618</v>
      </c>
      <c r="I344" s="43">
        <f>IF(G344="","",EXP(FORECAST(LN(E344),INDEX(Attenuation!$K:$K,(INDEX(Cables!$AO:$AO,MATCH(G344,Cables!$A:$A,0))-1+MIN(MAX(IFERROR(MATCH(LN(E344),INDEX(Attenuation!$J:$J,INDEX(Cables!$AO:$AO,MATCH(G344,Cables!$A:$A,0))):INDEX(Attenuation!$J:$J,INDEX(Cables!$AO:$AO,MATCH(G344,Cables!$A:$A,0))+INDEX(Cables!$AP:$AP,MATCH(G344,Cables!$A:$A,0))-1),1),1),1),INDEX(Cables!$AP:$AP,MATCH(G344,Cables!$A:$A,0))-1))):INDEX(Attenuation!$K:$K,(INDEX(Cables!$AO:$AO,MATCH(G344,Cables!$A:$A,0))-1+MIN(MAX(IFERROR(MATCH(LN(E344),INDEX(Attenuation!$J:$J,INDEX(Cables!$AO:$AO,MATCH(G344,Cables!$A:$A,0))):INDEX(Attenuation!$J:$J,INDEX(Cables!$AO:$AO,MATCH(G344,Cables!$A:$A,0))+INDEX(Cables!$AP:$AP,MATCH(G344,Cables!$A:$A,0))-1),1),1),1),INDEX(Cables!$AP:$AP,MATCH(G344,Cables!$A:$A,0))-1))+1),INDEX(Attenuation!$J:$J,(INDEX(Cables!$AO:$AO,MATCH(G344,Cables!$A:$A,0))-1+MIN(MAX(IFERROR(MATCH(LN(E344),INDEX(Attenuation!$J:$J,INDEX(Cables!$AO:$AO,MATCH(G344,Cables!$A:$A,0))):INDEX(Attenuation!$J:$J,INDEX(Cables!$AO:$AO,MATCH(G344,Cables!$A:$A,0))+INDEX(Cables!$AP:$AP,MATCH(G344,Cables!$A:$A,0))-1),1),1),1),INDEX(Cables!$AP:$AP,MATCH(G344,Cables!$A:$A,0))-1))):INDEX(Attenuation!$J:$J,(INDEX(Cables!$AO:$AO,MATCH(G344,Cables!$A:$A,0))-1+MIN(MAX(IFERROR(MATCH(LN(E344),INDEX(Attenuation!$J:$J,INDEX(Cables!$AO:$AO,MATCH(G344,Cables!$A:$A,0))):INDEX(Attenuation!$J:$J,INDEX(Cables!$AO:$AO,MATCH(G344,Cables!$A:$A,0))+INDEX(Cables!$AP:$AP,MATCH(G344,Cables!$A:$A,0))-1),1),1),1),INDEX(Cables!$AP:$AP,MATCH(G344,Cables!$A:$A,0))-1))+1)))*0.3048)</f>
        <v>0.7107927779339176</v>
      </c>
      <c r="J344" s="44">
        <f t="shared" si="5"/>
        <v>0</v>
      </c>
      <c r="K344" s="40" t="str">
        <f>IF(G344="","Doğrulanmadı",IF(ABS(J344)&lt;=0.1,"Uyumlu (±%10)",IF(ABS(J344)&lt;=0.25,"Fark %10-25","Fark &gt;%25"))&amp;IF(OR(D344&lt;INDEX(Cables!$AQ:$AQ,MATCH(G344,Cables!$A:$A,0)),E344&gt;INDEX(Cables!$AR:$AR,MATCH(G344,Cables!$A:$A,0)))," · ekstrapolasyon",""))</f>
        <v>Uyumlu (±%10)</v>
      </c>
    </row>
    <row r="345" spans="1:11" x14ac:dyDescent="0.25">
      <c r="A345" s="37" t="s">
        <v>3072</v>
      </c>
      <c r="B345" s="40" t="str">
        <f>INDEX(Legacy_Index!$D:$D,MATCH(A345,Legacy_Index!$A:$A,0))</f>
        <v>LMR900</v>
      </c>
      <c r="C345" s="37" t="s">
        <v>3119</v>
      </c>
      <c r="D345" s="37">
        <v>220</v>
      </c>
      <c r="E345" s="37">
        <v>220</v>
      </c>
      <c r="F345" s="37">
        <v>0.8</v>
      </c>
      <c r="G345" s="40" t="str">
        <f>IF(INDEX(Legacy_Index!$G:$G,MATCH(A345,Legacy_Index!$A:$A,0))="","",INDEX(Legacy_Index!$G:$G,MATCH(A345,Legacy_Index!$A:$A,0)))</f>
        <v>TMS-LMR900</v>
      </c>
      <c r="H345" s="43">
        <f>IF(G345="","",EXP(FORECAST(LN(D345),INDEX(Attenuation!$K:$K,(INDEX(Cables!$AO:$AO,MATCH(G345,Cables!$A:$A,0))-1+MIN(MAX(IFERROR(MATCH(LN(D345),INDEX(Attenuation!$J:$J,INDEX(Cables!$AO:$AO,MATCH(G345,Cables!$A:$A,0))):INDEX(Attenuation!$J:$J,INDEX(Cables!$AO:$AO,MATCH(G345,Cables!$A:$A,0))+INDEX(Cables!$AP:$AP,MATCH(G345,Cables!$A:$A,0))-1),1),1),1),INDEX(Cables!$AP:$AP,MATCH(G345,Cables!$A:$A,0))-1))):INDEX(Attenuation!$K:$K,(INDEX(Cables!$AO:$AO,MATCH(G345,Cables!$A:$A,0))-1+MIN(MAX(IFERROR(MATCH(LN(D345),INDEX(Attenuation!$J:$J,INDEX(Cables!$AO:$AO,MATCH(G345,Cables!$A:$A,0))):INDEX(Attenuation!$J:$J,INDEX(Cables!$AO:$AO,MATCH(G345,Cables!$A:$A,0))+INDEX(Cables!$AP:$AP,MATCH(G345,Cables!$A:$A,0))-1),1),1),1),INDEX(Cables!$AP:$AP,MATCH(G345,Cables!$A:$A,0))-1))+1),INDEX(Attenuation!$J:$J,(INDEX(Cables!$AO:$AO,MATCH(G345,Cables!$A:$A,0))-1+MIN(MAX(IFERROR(MATCH(LN(D345),INDEX(Attenuation!$J:$J,INDEX(Cables!$AO:$AO,MATCH(G345,Cables!$A:$A,0))):INDEX(Attenuation!$J:$J,INDEX(Cables!$AO:$AO,MATCH(G345,Cables!$A:$A,0))+INDEX(Cables!$AP:$AP,MATCH(G345,Cables!$A:$A,0))-1),1),1),1),INDEX(Cables!$AP:$AP,MATCH(G345,Cables!$A:$A,0))-1))):INDEX(Attenuation!$J:$J,(INDEX(Cables!$AO:$AO,MATCH(G345,Cables!$A:$A,0))-1+MIN(MAX(IFERROR(MATCH(LN(D345),INDEX(Attenuation!$J:$J,INDEX(Cables!$AO:$AO,MATCH(G345,Cables!$A:$A,0))):INDEX(Attenuation!$J:$J,INDEX(Cables!$AO:$AO,MATCH(G345,Cables!$A:$A,0))+INDEX(Cables!$AP:$AP,MATCH(G345,Cables!$A:$A,0))-1),1),1),1),INDEX(Cables!$AP:$AP,MATCH(G345,Cables!$A:$A,0))-1))+1)))*0.3048)</f>
        <v>0.80300000000000038</v>
      </c>
      <c r="I345" s="43">
        <f>IF(G345="","",EXP(FORECAST(LN(E345),INDEX(Attenuation!$K:$K,(INDEX(Cables!$AO:$AO,MATCH(G345,Cables!$A:$A,0))-1+MIN(MAX(IFERROR(MATCH(LN(E345),INDEX(Attenuation!$J:$J,INDEX(Cables!$AO:$AO,MATCH(G345,Cables!$A:$A,0))):INDEX(Attenuation!$J:$J,INDEX(Cables!$AO:$AO,MATCH(G345,Cables!$A:$A,0))+INDEX(Cables!$AP:$AP,MATCH(G345,Cables!$A:$A,0))-1),1),1),1),INDEX(Cables!$AP:$AP,MATCH(G345,Cables!$A:$A,0))-1))):INDEX(Attenuation!$K:$K,(INDEX(Cables!$AO:$AO,MATCH(G345,Cables!$A:$A,0))-1+MIN(MAX(IFERROR(MATCH(LN(E345),INDEX(Attenuation!$J:$J,INDEX(Cables!$AO:$AO,MATCH(G345,Cables!$A:$A,0))):INDEX(Attenuation!$J:$J,INDEX(Cables!$AO:$AO,MATCH(G345,Cables!$A:$A,0))+INDEX(Cables!$AP:$AP,MATCH(G345,Cables!$A:$A,0))-1),1),1),1),INDEX(Cables!$AP:$AP,MATCH(G345,Cables!$A:$A,0))-1))+1),INDEX(Attenuation!$J:$J,(INDEX(Cables!$AO:$AO,MATCH(G345,Cables!$A:$A,0))-1+MIN(MAX(IFERROR(MATCH(LN(E345),INDEX(Attenuation!$J:$J,INDEX(Cables!$AO:$AO,MATCH(G345,Cables!$A:$A,0))):INDEX(Attenuation!$J:$J,INDEX(Cables!$AO:$AO,MATCH(G345,Cables!$A:$A,0))+INDEX(Cables!$AP:$AP,MATCH(G345,Cables!$A:$A,0))-1),1),1),1),INDEX(Cables!$AP:$AP,MATCH(G345,Cables!$A:$A,0))-1))):INDEX(Attenuation!$J:$J,(INDEX(Cables!$AO:$AO,MATCH(G345,Cables!$A:$A,0))-1+MIN(MAX(IFERROR(MATCH(LN(E345),INDEX(Attenuation!$J:$J,INDEX(Cables!$AO:$AO,MATCH(G345,Cables!$A:$A,0))):INDEX(Attenuation!$J:$J,INDEX(Cables!$AO:$AO,MATCH(G345,Cables!$A:$A,0))+INDEX(Cables!$AP:$AP,MATCH(G345,Cables!$A:$A,0))-1),1),1),1),INDEX(Cables!$AP:$AP,MATCH(G345,Cables!$A:$A,0))-1))+1)))*0.3048)</f>
        <v>0.80300000000000038</v>
      </c>
      <c r="J345" s="44">
        <f t="shared" si="5"/>
        <v>-3.7359900373603594E-3</v>
      </c>
      <c r="K345" s="40" t="str">
        <f>IF(G345="","Doğrulanmadı",IF(ABS(J345)&lt;=0.1,"Uyumlu (±%10)",IF(ABS(J345)&lt;=0.25,"Fark %10-25","Fark &gt;%25"))&amp;IF(OR(D345&lt;INDEX(Cables!$AQ:$AQ,MATCH(G345,Cables!$A:$A,0)),E345&gt;INDEX(Cables!$AR:$AR,MATCH(G345,Cables!$A:$A,0)))," · ekstrapolasyon",""))</f>
        <v>Uyumlu (±%10)</v>
      </c>
    </row>
    <row r="346" spans="1:11" x14ac:dyDescent="0.25">
      <c r="A346" s="37" t="s">
        <v>3072</v>
      </c>
      <c r="B346" s="40" t="str">
        <f>INDEX(Legacy_Index!$D:$D,MATCH(A346,Legacy_Index!$A:$A,0))</f>
        <v>LMR900</v>
      </c>
      <c r="C346" s="37" t="s">
        <v>3115</v>
      </c>
      <c r="D346" s="37">
        <v>400</v>
      </c>
      <c r="E346" s="37">
        <v>520</v>
      </c>
      <c r="F346" s="37">
        <v>1.17</v>
      </c>
      <c r="G346" s="40" t="str">
        <f>IF(INDEX(Legacy_Index!$G:$G,MATCH(A346,Legacy_Index!$A:$A,0))="","",INDEX(Legacy_Index!$G:$G,MATCH(A346,Legacy_Index!$A:$A,0)))</f>
        <v>TMS-LMR900</v>
      </c>
      <c r="H346" s="43">
        <f>IF(G346="","",EXP(FORECAST(LN(D346),INDEX(Attenuation!$K:$K,(INDEX(Cables!$AO:$AO,MATCH(G346,Cables!$A:$A,0))-1+MIN(MAX(IFERROR(MATCH(LN(D346),INDEX(Attenuation!$J:$J,INDEX(Cables!$AO:$AO,MATCH(G346,Cables!$A:$A,0))):INDEX(Attenuation!$J:$J,INDEX(Cables!$AO:$AO,MATCH(G346,Cables!$A:$A,0))+INDEX(Cables!$AP:$AP,MATCH(G346,Cables!$A:$A,0))-1),1),1),1),INDEX(Cables!$AP:$AP,MATCH(G346,Cables!$A:$A,0))-1))):INDEX(Attenuation!$K:$K,(INDEX(Cables!$AO:$AO,MATCH(G346,Cables!$A:$A,0))-1+MIN(MAX(IFERROR(MATCH(LN(D346),INDEX(Attenuation!$J:$J,INDEX(Cables!$AO:$AO,MATCH(G346,Cables!$A:$A,0))):INDEX(Attenuation!$J:$J,INDEX(Cables!$AO:$AO,MATCH(G346,Cables!$A:$A,0))+INDEX(Cables!$AP:$AP,MATCH(G346,Cables!$A:$A,0))-1),1),1),1),INDEX(Cables!$AP:$AP,MATCH(G346,Cables!$A:$A,0))-1))+1),INDEX(Attenuation!$J:$J,(INDEX(Cables!$AO:$AO,MATCH(G346,Cables!$A:$A,0))-1+MIN(MAX(IFERROR(MATCH(LN(D346),INDEX(Attenuation!$J:$J,INDEX(Cables!$AO:$AO,MATCH(G346,Cables!$A:$A,0))):INDEX(Attenuation!$J:$J,INDEX(Cables!$AO:$AO,MATCH(G346,Cables!$A:$A,0))+INDEX(Cables!$AP:$AP,MATCH(G346,Cables!$A:$A,0))-1),1),1),1),INDEX(Cables!$AP:$AP,MATCH(G346,Cables!$A:$A,0))-1))):INDEX(Attenuation!$J:$J,(INDEX(Cables!$AO:$AO,MATCH(G346,Cables!$A:$A,0))-1+MIN(MAX(IFERROR(MATCH(LN(D346),INDEX(Attenuation!$J:$J,INDEX(Cables!$AO:$AO,MATCH(G346,Cables!$A:$A,0))):INDEX(Attenuation!$J:$J,INDEX(Cables!$AO:$AO,MATCH(G346,Cables!$A:$A,0))+INDEX(Cables!$AP:$AP,MATCH(G346,Cables!$A:$A,0))-1),1),1),1),INDEX(Cables!$AP:$AP,MATCH(G346,Cables!$A:$A,0))-1))+1)))*0.3048)</f>
        <v>1.0997158391291617</v>
      </c>
      <c r="I346" s="43">
        <f>IF(G346="","",EXP(FORECAST(LN(E346),INDEX(Attenuation!$K:$K,(INDEX(Cables!$AO:$AO,MATCH(G346,Cables!$A:$A,0))-1+MIN(MAX(IFERROR(MATCH(LN(E346),INDEX(Attenuation!$J:$J,INDEX(Cables!$AO:$AO,MATCH(G346,Cables!$A:$A,0))):INDEX(Attenuation!$J:$J,INDEX(Cables!$AO:$AO,MATCH(G346,Cables!$A:$A,0))+INDEX(Cables!$AP:$AP,MATCH(G346,Cables!$A:$A,0))-1),1),1),1),INDEX(Cables!$AP:$AP,MATCH(G346,Cables!$A:$A,0))-1))):INDEX(Attenuation!$K:$K,(INDEX(Cables!$AO:$AO,MATCH(G346,Cables!$A:$A,0))-1+MIN(MAX(IFERROR(MATCH(LN(E346),INDEX(Attenuation!$J:$J,INDEX(Cables!$AO:$AO,MATCH(G346,Cables!$A:$A,0))):INDEX(Attenuation!$J:$J,INDEX(Cables!$AO:$AO,MATCH(G346,Cables!$A:$A,0))+INDEX(Cables!$AP:$AP,MATCH(G346,Cables!$A:$A,0))-1),1),1),1),INDEX(Cables!$AP:$AP,MATCH(G346,Cables!$A:$A,0))-1))+1),INDEX(Attenuation!$J:$J,(INDEX(Cables!$AO:$AO,MATCH(G346,Cables!$A:$A,0))-1+MIN(MAX(IFERROR(MATCH(LN(E346),INDEX(Attenuation!$J:$J,INDEX(Cables!$AO:$AO,MATCH(G346,Cables!$A:$A,0))):INDEX(Attenuation!$J:$J,INDEX(Cables!$AO:$AO,MATCH(G346,Cables!$A:$A,0))+INDEX(Cables!$AP:$AP,MATCH(G346,Cables!$A:$A,0))-1),1),1),1),INDEX(Cables!$AP:$AP,MATCH(G346,Cables!$A:$A,0))-1))):INDEX(Attenuation!$J:$J,(INDEX(Cables!$AO:$AO,MATCH(G346,Cables!$A:$A,0))-1+MIN(MAX(IFERROR(MATCH(LN(E346),INDEX(Attenuation!$J:$J,INDEX(Cables!$AO:$AO,MATCH(G346,Cables!$A:$A,0))):INDEX(Attenuation!$J:$J,INDEX(Cables!$AO:$AO,MATCH(G346,Cables!$A:$A,0))+INDEX(Cables!$AP:$AP,MATCH(G346,Cables!$A:$A,0))-1),1),1),1),INDEX(Cables!$AP:$AP,MATCH(G346,Cables!$A:$A,0))-1))+1)))*0.3048)</f>
        <v>1.2635377220608868</v>
      </c>
      <c r="J346" s="44">
        <f t="shared" si="5"/>
        <v>0</v>
      </c>
      <c r="K346" s="40" t="str">
        <f>IF(G346="","Doğrulanmadı",IF(ABS(J346)&lt;=0.1,"Uyumlu (±%10)",IF(ABS(J346)&lt;=0.25,"Fark %10-25","Fark &gt;%25"))&amp;IF(OR(D346&lt;INDEX(Cables!$AQ:$AQ,MATCH(G346,Cables!$A:$A,0)),E346&gt;INDEX(Cables!$AR:$AR,MATCH(G346,Cables!$A:$A,0)))," · ekstrapolasyon",""))</f>
        <v>Uyumlu (±%10)</v>
      </c>
    </row>
    <row r="347" spans="1:11" x14ac:dyDescent="0.25">
      <c r="A347" s="37" t="s">
        <v>3072</v>
      </c>
      <c r="B347" s="40" t="str">
        <f>INDEX(Legacy_Index!$D:$D,MATCH(A347,Legacy_Index!$A:$A,0))</f>
        <v>LMR900</v>
      </c>
      <c r="C347" s="37" t="s">
        <v>3116</v>
      </c>
      <c r="D347" s="37">
        <v>700</v>
      </c>
      <c r="E347" s="37">
        <v>960</v>
      </c>
      <c r="F347" s="37">
        <v>1.7</v>
      </c>
      <c r="G347" s="40" t="str">
        <f>IF(INDEX(Legacy_Index!$G:$G,MATCH(A347,Legacy_Index!$A:$A,0))="","",INDEX(Legacy_Index!$G:$G,MATCH(A347,Legacy_Index!$A:$A,0)))</f>
        <v>TMS-LMR900</v>
      </c>
      <c r="H347" s="43">
        <f>IF(G347="","",EXP(FORECAST(LN(D347),INDEX(Attenuation!$K:$K,(INDEX(Cables!$AO:$AO,MATCH(G347,Cables!$A:$A,0))-1+MIN(MAX(IFERROR(MATCH(LN(D347),INDEX(Attenuation!$J:$J,INDEX(Cables!$AO:$AO,MATCH(G347,Cables!$A:$A,0))):INDEX(Attenuation!$J:$J,INDEX(Cables!$AO:$AO,MATCH(G347,Cables!$A:$A,0))+INDEX(Cables!$AP:$AP,MATCH(G347,Cables!$A:$A,0))-1),1),1),1),INDEX(Cables!$AP:$AP,MATCH(G347,Cables!$A:$A,0))-1))):INDEX(Attenuation!$K:$K,(INDEX(Cables!$AO:$AO,MATCH(G347,Cables!$A:$A,0))-1+MIN(MAX(IFERROR(MATCH(LN(D347),INDEX(Attenuation!$J:$J,INDEX(Cables!$AO:$AO,MATCH(G347,Cables!$A:$A,0))):INDEX(Attenuation!$J:$J,INDEX(Cables!$AO:$AO,MATCH(G347,Cables!$A:$A,0))+INDEX(Cables!$AP:$AP,MATCH(G347,Cables!$A:$A,0))-1),1),1),1),INDEX(Cables!$AP:$AP,MATCH(G347,Cables!$A:$A,0))-1))+1),INDEX(Attenuation!$J:$J,(INDEX(Cables!$AO:$AO,MATCH(G347,Cables!$A:$A,0))-1+MIN(MAX(IFERROR(MATCH(LN(D347),INDEX(Attenuation!$J:$J,INDEX(Cables!$AO:$AO,MATCH(G347,Cables!$A:$A,0))):INDEX(Attenuation!$J:$J,INDEX(Cables!$AO:$AO,MATCH(G347,Cables!$A:$A,0))+INDEX(Cables!$AP:$AP,MATCH(G347,Cables!$A:$A,0))-1),1),1),1),INDEX(Cables!$AP:$AP,MATCH(G347,Cables!$A:$A,0))-1))):INDEX(Attenuation!$J:$J,(INDEX(Cables!$AO:$AO,MATCH(G347,Cables!$A:$A,0))-1+MIN(MAX(IFERROR(MATCH(LN(D347),INDEX(Attenuation!$J:$J,INDEX(Cables!$AO:$AO,MATCH(G347,Cables!$A:$A,0))):INDEX(Attenuation!$J:$J,INDEX(Cables!$AO:$AO,MATCH(G347,Cables!$A:$A,0))+INDEX(Cables!$AP:$AP,MATCH(G347,Cables!$A:$A,0))-1),1),1),1),INDEX(Cables!$AP:$AP,MATCH(G347,Cables!$A:$A,0))-1))+1)))*0.3048)</f>
        <v>1.48</v>
      </c>
      <c r="I347" s="43">
        <f>IF(G347="","",EXP(FORECAST(LN(E347),INDEX(Attenuation!$K:$K,(INDEX(Cables!$AO:$AO,MATCH(G347,Cables!$A:$A,0))-1+MIN(MAX(IFERROR(MATCH(LN(E347),INDEX(Attenuation!$J:$J,INDEX(Cables!$AO:$AO,MATCH(G347,Cables!$A:$A,0))):INDEX(Attenuation!$J:$J,INDEX(Cables!$AO:$AO,MATCH(G347,Cables!$A:$A,0))+INDEX(Cables!$AP:$AP,MATCH(G347,Cables!$A:$A,0))-1),1),1),1),INDEX(Cables!$AP:$AP,MATCH(G347,Cables!$A:$A,0))-1))):INDEX(Attenuation!$K:$K,(INDEX(Cables!$AO:$AO,MATCH(G347,Cables!$A:$A,0))-1+MIN(MAX(IFERROR(MATCH(LN(E347),INDEX(Attenuation!$J:$J,INDEX(Cables!$AO:$AO,MATCH(G347,Cables!$A:$A,0))):INDEX(Attenuation!$J:$J,INDEX(Cables!$AO:$AO,MATCH(G347,Cables!$A:$A,0))+INDEX(Cables!$AP:$AP,MATCH(G347,Cables!$A:$A,0))-1),1),1),1),INDEX(Cables!$AP:$AP,MATCH(G347,Cables!$A:$A,0))-1))+1),INDEX(Attenuation!$J:$J,(INDEX(Cables!$AO:$AO,MATCH(G347,Cables!$A:$A,0))-1+MIN(MAX(IFERROR(MATCH(LN(E347),INDEX(Attenuation!$J:$J,INDEX(Cables!$AO:$AO,MATCH(G347,Cables!$A:$A,0))):INDEX(Attenuation!$J:$J,INDEX(Cables!$AO:$AO,MATCH(G347,Cables!$A:$A,0))+INDEX(Cables!$AP:$AP,MATCH(G347,Cables!$A:$A,0))-1),1),1),1),INDEX(Cables!$AP:$AP,MATCH(G347,Cables!$A:$A,0))-1))):INDEX(Attenuation!$J:$J,(INDEX(Cables!$AO:$AO,MATCH(G347,Cables!$A:$A,0))-1+MIN(MAX(IFERROR(MATCH(LN(E347),INDEX(Attenuation!$J:$J,INDEX(Cables!$AO:$AO,MATCH(G347,Cables!$A:$A,0))):INDEX(Attenuation!$J:$J,INDEX(Cables!$AO:$AO,MATCH(G347,Cables!$A:$A,0))+INDEX(Cables!$AP:$AP,MATCH(G347,Cables!$A:$A,0))-1),1),1),1),INDEX(Cables!$AP:$AP,MATCH(G347,Cables!$A:$A,0))-1))+1)))*0.3048)</f>
        <v>1.7602912478776991</v>
      </c>
      <c r="J347" s="44">
        <f t="shared" si="5"/>
        <v>0</v>
      </c>
      <c r="K347" s="40" t="str">
        <f>IF(G347="","Doğrulanmadı",IF(ABS(J347)&lt;=0.1,"Uyumlu (±%10)",IF(ABS(J347)&lt;=0.25,"Fark %10-25","Fark &gt;%25"))&amp;IF(OR(D347&lt;INDEX(Cables!$AQ:$AQ,MATCH(G347,Cables!$A:$A,0)),E347&gt;INDEX(Cables!$AR:$AR,MATCH(G347,Cables!$A:$A,0)))," · ekstrapolasyon",""))</f>
        <v>Uyumlu (±%10)</v>
      </c>
    </row>
    <row r="348" spans="1:11" x14ac:dyDescent="0.25">
      <c r="A348" s="37" t="s">
        <v>3072</v>
      </c>
      <c r="B348" s="40" t="str">
        <f>INDEX(Legacy_Index!$D:$D,MATCH(A348,Legacy_Index!$A:$A,0))</f>
        <v>LMR900</v>
      </c>
      <c r="C348" s="37" t="s">
        <v>3120</v>
      </c>
      <c r="D348" s="37">
        <v>1200</v>
      </c>
      <c r="E348" s="37">
        <v>1300</v>
      </c>
      <c r="F348" s="37">
        <v>2.15</v>
      </c>
      <c r="G348" s="40" t="str">
        <f>IF(INDEX(Legacy_Index!$G:$G,MATCH(A348,Legacy_Index!$A:$A,0))="","",INDEX(Legacy_Index!$G:$G,MATCH(A348,Legacy_Index!$A:$A,0)))</f>
        <v>TMS-LMR900</v>
      </c>
      <c r="H348" s="43">
        <f>IF(G348="","",EXP(FORECAST(LN(D348),INDEX(Attenuation!$K:$K,(INDEX(Cables!$AO:$AO,MATCH(G348,Cables!$A:$A,0))-1+MIN(MAX(IFERROR(MATCH(LN(D348),INDEX(Attenuation!$J:$J,INDEX(Cables!$AO:$AO,MATCH(G348,Cables!$A:$A,0))):INDEX(Attenuation!$J:$J,INDEX(Cables!$AO:$AO,MATCH(G348,Cables!$A:$A,0))+INDEX(Cables!$AP:$AP,MATCH(G348,Cables!$A:$A,0))-1),1),1),1),INDEX(Cables!$AP:$AP,MATCH(G348,Cables!$A:$A,0))-1))):INDEX(Attenuation!$K:$K,(INDEX(Cables!$AO:$AO,MATCH(G348,Cables!$A:$A,0))-1+MIN(MAX(IFERROR(MATCH(LN(D348),INDEX(Attenuation!$J:$J,INDEX(Cables!$AO:$AO,MATCH(G348,Cables!$A:$A,0))):INDEX(Attenuation!$J:$J,INDEX(Cables!$AO:$AO,MATCH(G348,Cables!$A:$A,0))+INDEX(Cables!$AP:$AP,MATCH(G348,Cables!$A:$A,0))-1),1),1),1),INDEX(Cables!$AP:$AP,MATCH(G348,Cables!$A:$A,0))-1))+1),INDEX(Attenuation!$J:$J,(INDEX(Cables!$AO:$AO,MATCH(G348,Cables!$A:$A,0))-1+MIN(MAX(IFERROR(MATCH(LN(D348),INDEX(Attenuation!$J:$J,INDEX(Cables!$AO:$AO,MATCH(G348,Cables!$A:$A,0))):INDEX(Attenuation!$J:$J,INDEX(Cables!$AO:$AO,MATCH(G348,Cables!$A:$A,0))+INDEX(Cables!$AP:$AP,MATCH(G348,Cables!$A:$A,0))-1),1),1),1),INDEX(Cables!$AP:$AP,MATCH(G348,Cables!$A:$A,0))-1))):INDEX(Attenuation!$J:$J,(INDEX(Cables!$AO:$AO,MATCH(G348,Cables!$A:$A,0))-1+MIN(MAX(IFERROR(MATCH(LN(D348),INDEX(Attenuation!$J:$J,INDEX(Cables!$AO:$AO,MATCH(G348,Cables!$A:$A,0))):INDEX(Attenuation!$J:$J,INDEX(Cables!$AO:$AO,MATCH(G348,Cables!$A:$A,0))+INDEX(Cables!$AP:$AP,MATCH(G348,Cables!$A:$A,0))-1),1),1),1),INDEX(Cables!$AP:$AP,MATCH(G348,Cables!$A:$A,0))-1))+1)))*0.3048)</f>
        <v>1.9857120625221696</v>
      </c>
      <c r="I348" s="43">
        <f>IF(G348="","",EXP(FORECAST(LN(E348),INDEX(Attenuation!$K:$K,(INDEX(Cables!$AO:$AO,MATCH(G348,Cables!$A:$A,0))-1+MIN(MAX(IFERROR(MATCH(LN(E348),INDEX(Attenuation!$J:$J,INDEX(Cables!$AO:$AO,MATCH(G348,Cables!$A:$A,0))):INDEX(Attenuation!$J:$J,INDEX(Cables!$AO:$AO,MATCH(G348,Cables!$A:$A,0))+INDEX(Cables!$AP:$AP,MATCH(G348,Cables!$A:$A,0))-1),1),1),1),INDEX(Cables!$AP:$AP,MATCH(G348,Cables!$A:$A,0))-1))):INDEX(Attenuation!$K:$K,(INDEX(Cables!$AO:$AO,MATCH(G348,Cables!$A:$A,0))-1+MIN(MAX(IFERROR(MATCH(LN(E348),INDEX(Attenuation!$J:$J,INDEX(Cables!$AO:$AO,MATCH(G348,Cables!$A:$A,0))):INDEX(Attenuation!$J:$J,INDEX(Cables!$AO:$AO,MATCH(G348,Cables!$A:$A,0))+INDEX(Cables!$AP:$AP,MATCH(G348,Cables!$A:$A,0))-1),1),1),1),INDEX(Cables!$AP:$AP,MATCH(G348,Cables!$A:$A,0))-1))+1),INDEX(Attenuation!$J:$J,(INDEX(Cables!$AO:$AO,MATCH(G348,Cables!$A:$A,0))-1+MIN(MAX(IFERROR(MATCH(LN(E348),INDEX(Attenuation!$J:$J,INDEX(Cables!$AO:$AO,MATCH(G348,Cables!$A:$A,0))):INDEX(Attenuation!$J:$J,INDEX(Cables!$AO:$AO,MATCH(G348,Cables!$A:$A,0))+INDEX(Cables!$AP:$AP,MATCH(G348,Cables!$A:$A,0))-1),1),1),1),INDEX(Cables!$AP:$AP,MATCH(G348,Cables!$A:$A,0))-1))):INDEX(Attenuation!$J:$J,(INDEX(Cables!$AO:$AO,MATCH(G348,Cables!$A:$A,0))-1+MIN(MAX(IFERROR(MATCH(LN(E348),INDEX(Attenuation!$J:$J,INDEX(Cables!$AO:$AO,MATCH(G348,Cables!$A:$A,0))):INDEX(Attenuation!$J:$J,INDEX(Cables!$AO:$AO,MATCH(G348,Cables!$A:$A,0))+INDEX(Cables!$AP:$AP,MATCH(G348,Cables!$A:$A,0))-1),1),1),1),INDEX(Cables!$AP:$AP,MATCH(G348,Cables!$A:$A,0))-1))+1)))*0.3048)</f>
        <v>2.0734230984675306</v>
      </c>
      <c r="J348" s="44">
        <f t="shared" si="5"/>
        <v>3.6932597880802609E-2</v>
      </c>
      <c r="K348" s="40" t="str">
        <f>IF(G348="","Doğrulanmadı",IF(ABS(J348)&lt;=0.1,"Uyumlu (±%10)",IF(ABS(J348)&lt;=0.25,"Fark %10-25","Fark &gt;%25"))&amp;IF(OR(D348&lt;INDEX(Cables!$AQ:$AQ,MATCH(G348,Cables!$A:$A,0)),E348&gt;INDEX(Cables!$AR:$AR,MATCH(G348,Cables!$A:$A,0)))," · ekstrapolasyon",""))</f>
        <v>Uyumlu (±%10)</v>
      </c>
    </row>
    <row r="349" spans="1:11" x14ac:dyDescent="0.25">
      <c r="A349" s="37" t="s">
        <v>3074</v>
      </c>
      <c r="B349" s="40" t="str">
        <f>INDEX(Legacy_Index!$D:$D,MATCH(A349,Legacy_Index!$A:$A,0))</f>
        <v>7/8" HELIAX®</v>
      </c>
      <c r="C349" s="37" t="s">
        <v>3113</v>
      </c>
      <c r="D349" s="37">
        <v>70</v>
      </c>
      <c r="E349" s="37">
        <v>100</v>
      </c>
      <c r="F349" s="37">
        <v>0.3</v>
      </c>
      <c r="G349" s="40" t="str">
        <f>IF(INDEX(Legacy_Index!$G:$G,MATCH(A349,Legacy_Index!$A:$A,0))="","",INDEX(Legacy_Index!$G:$G,MATCH(A349,Legacy_Index!$A:$A,0)))</f>
        <v>CS-LDF5-50A</v>
      </c>
      <c r="H349" s="43">
        <f>IF(G349="","",EXP(FORECAST(LN(D349),INDEX(Attenuation!$K:$K,(INDEX(Cables!$AO:$AO,MATCH(G349,Cables!$A:$A,0))-1+MIN(MAX(IFERROR(MATCH(LN(D349),INDEX(Attenuation!$J:$J,INDEX(Cables!$AO:$AO,MATCH(G349,Cables!$A:$A,0))):INDEX(Attenuation!$J:$J,INDEX(Cables!$AO:$AO,MATCH(G349,Cables!$A:$A,0))+INDEX(Cables!$AP:$AP,MATCH(G349,Cables!$A:$A,0))-1),1),1),1),INDEX(Cables!$AP:$AP,MATCH(G349,Cables!$A:$A,0))-1))):INDEX(Attenuation!$K:$K,(INDEX(Cables!$AO:$AO,MATCH(G349,Cables!$A:$A,0))-1+MIN(MAX(IFERROR(MATCH(LN(D349),INDEX(Attenuation!$J:$J,INDEX(Cables!$AO:$AO,MATCH(G349,Cables!$A:$A,0))):INDEX(Attenuation!$J:$J,INDEX(Cables!$AO:$AO,MATCH(G349,Cables!$A:$A,0))+INDEX(Cables!$AP:$AP,MATCH(G349,Cables!$A:$A,0))-1),1),1),1),INDEX(Cables!$AP:$AP,MATCH(G349,Cables!$A:$A,0))-1))+1),INDEX(Attenuation!$J:$J,(INDEX(Cables!$AO:$AO,MATCH(G349,Cables!$A:$A,0))-1+MIN(MAX(IFERROR(MATCH(LN(D349),INDEX(Attenuation!$J:$J,INDEX(Cables!$AO:$AO,MATCH(G349,Cables!$A:$A,0))):INDEX(Attenuation!$J:$J,INDEX(Cables!$AO:$AO,MATCH(G349,Cables!$A:$A,0))+INDEX(Cables!$AP:$AP,MATCH(G349,Cables!$A:$A,0))-1),1),1),1),INDEX(Cables!$AP:$AP,MATCH(G349,Cables!$A:$A,0))-1))):INDEX(Attenuation!$J:$J,(INDEX(Cables!$AO:$AO,MATCH(G349,Cables!$A:$A,0))-1+MIN(MAX(IFERROR(MATCH(LN(D349),INDEX(Attenuation!$J:$J,INDEX(Cables!$AO:$AO,MATCH(G349,Cables!$A:$A,0))):INDEX(Attenuation!$J:$J,INDEX(Cables!$AO:$AO,MATCH(G349,Cables!$A:$A,0))+INDEX(Cables!$AP:$AP,MATCH(G349,Cables!$A:$A,0))-1),1),1),1),INDEX(Cables!$AP:$AP,MATCH(G349,Cables!$A:$A,0))-1))+1)))*0.3048)</f>
        <v>0.30217686874778249</v>
      </c>
      <c r="I349" s="43">
        <f>IF(G349="","",EXP(FORECAST(LN(E349),INDEX(Attenuation!$K:$K,(INDEX(Cables!$AO:$AO,MATCH(G349,Cables!$A:$A,0))-1+MIN(MAX(IFERROR(MATCH(LN(E349),INDEX(Attenuation!$J:$J,INDEX(Cables!$AO:$AO,MATCH(G349,Cables!$A:$A,0))):INDEX(Attenuation!$J:$J,INDEX(Cables!$AO:$AO,MATCH(G349,Cables!$A:$A,0))+INDEX(Cables!$AP:$AP,MATCH(G349,Cables!$A:$A,0))-1),1),1),1),INDEX(Cables!$AP:$AP,MATCH(G349,Cables!$A:$A,0))-1))):INDEX(Attenuation!$K:$K,(INDEX(Cables!$AO:$AO,MATCH(G349,Cables!$A:$A,0))-1+MIN(MAX(IFERROR(MATCH(LN(E349),INDEX(Attenuation!$J:$J,INDEX(Cables!$AO:$AO,MATCH(G349,Cables!$A:$A,0))):INDEX(Attenuation!$J:$J,INDEX(Cables!$AO:$AO,MATCH(G349,Cables!$A:$A,0))+INDEX(Cables!$AP:$AP,MATCH(G349,Cables!$A:$A,0))-1),1),1),1),INDEX(Cables!$AP:$AP,MATCH(G349,Cables!$A:$A,0))-1))+1),INDEX(Attenuation!$J:$J,(INDEX(Cables!$AO:$AO,MATCH(G349,Cables!$A:$A,0))-1+MIN(MAX(IFERROR(MATCH(LN(E349),INDEX(Attenuation!$J:$J,INDEX(Cables!$AO:$AO,MATCH(G349,Cables!$A:$A,0))):INDEX(Attenuation!$J:$J,INDEX(Cables!$AO:$AO,MATCH(G349,Cables!$A:$A,0))+INDEX(Cables!$AP:$AP,MATCH(G349,Cables!$A:$A,0))-1),1),1),1),INDEX(Cables!$AP:$AP,MATCH(G349,Cables!$A:$A,0))-1))):INDEX(Attenuation!$J:$J,(INDEX(Cables!$AO:$AO,MATCH(G349,Cables!$A:$A,0))-1+MIN(MAX(IFERROR(MATCH(LN(E349),INDEX(Attenuation!$J:$J,INDEX(Cables!$AO:$AO,MATCH(G349,Cables!$A:$A,0))):INDEX(Attenuation!$J:$J,INDEX(Cables!$AO:$AO,MATCH(G349,Cables!$A:$A,0))+INDEX(Cables!$AP:$AP,MATCH(G349,Cables!$A:$A,0))-1),1),1),1),INDEX(Cables!$AP:$AP,MATCH(G349,Cables!$A:$A,0))-1))+1)))*0.3048)</f>
        <v>0.36362640000000018</v>
      </c>
      <c r="J349" s="44">
        <f t="shared" si="5"/>
        <v>-7.2039556065407462E-3</v>
      </c>
      <c r="K349" s="40" t="str">
        <f>IF(G349="","Doğrulanmadı",IF(ABS(J349)&lt;=0.1,"Uyumlu (±%10)",IF(ABS(J349)&lt;=0.25,"Fark %10-25","Fark &gt;%25"))&amp;IF(OR(D349&lt;INDEX(Cables!$AQ:$AQ,MATCH(G349,Cables!$A:$A,0)),E349&gt;INDEX(Cables!$AR:$AR,MATCH(G349,Cables!$A:$A,0)))," · ekstrapolasyon",""))</f>
        <v>Uyumlu (±%10)</v>
      </c>
    </row>
    <row r="350" spans="1:11" x14ac:dyDescent="0.25">
      <c r="A350" s="37" t="s">
        <v>3074</v>
      </c>
      <c r="B350" s="40" t="str">
        <f>INDEX(Legacy_Index!$D:$D,MATCH(A350,Legacy_Index!$A:$A,0))</f>
        <v>7/8" HELIAX®</v>
      </c>
      <c r="C350" s="37" t="s">
        <v>3114</v>
      </c>
      <c r="D350" s="37">
        <v>148</v>
      </c>
      <c r="E350" s="37">
        <v>174</v>
      </c>
      <c r="F350" s="37">
        <v>0.5</v>
      </c>
      <c r="G350" s="40" t="str">
        <f>IF(INDEX(Legacy_Index!$G:$G,MATCH(A350,Legacy_Index!$A:$A,0))="","",INDEX(Legacy_Index!$G:$G,MATCH(A350,Legacy_Index!$A:$A,0)))</f>
        <v>CS-LDF5-50A</v>
      </c>
      <c r="H350" s="43">
        <f>IF(G350="","",EXP(FORECAST(LN(D350),INDEX(Attenuation!$K:$K,(INDEX(Cables!$AO:$AO,MATCH(G350,Cables!$A:$A,0))-1+MIN(MAX(IFERROR(MATCH(LN(D350),INDEX(Attenuation!$J:$J,INDEX(Cables!$AO:$AO,MATCH(G350,Cables!$A:$A,0))):INDEX(Attenuation!$J:$J,INDEX(Cables!$AO:$AO,MATCH(G350,Cables!$A:$A,0))+INDEX(Cables!$AP:$AP,MATCH(G350,Cables!$A:$A,0))-1),1),1),1),INDEX(Cables!$AP:$AP,MATCH(G350,Cables!$A:$A,0))-1))):INDEX(Attenuation!$K:$K,(INDEX(Cables!$AO:$AO,MATCH(G350,Cables!$A:$A,0))-1+MIN(MAX(IFERROR(MATCH(LN(D350),INDEX(Attenuation!$J:$J,INDEX(Cables!$AO:$AO,MATCH(G350,Cables!$A:$A,0))):INDEX(Attenuation!$J:$J,INDEX(Cables!$AO:$AO,MATCH(G350,Cables!$A:$A,0))+INDEX(Cables!$AP:$AP,MATCH(G350,Cables!$A:$A,0))-1),1),1),1),INDEX(Cables!$AP:$AP,MATCH(G350,Cables!$A:$A,0))-1))+1),INDEX(Attenuation!$J:$J,(INDEX(Cables!$AO:$AO,MATCH(G350,Cables!$A:$A,0))-1+MIN(MAX(IFERROR(MATCH(LN(D350),INDEX(Attenuation!$J:$J,INDEX(Cables!$AO:$AO,MATCH(G350,Cables!$A:$A,0))):INDEX(Attenuation!$J:$J,INDEX(Cables!$AO:$AO,MATCH(G350,Cables!$A:$A,0))+INDEX(Cables!$AP:$AP,MATCH(G350,Cables!$A:$A,0))-1),1),1),1),INDEX(Cables!$AP:$AP,MATCH(G350,Cables!$A:$A,0))-1))):INDEX(Attenuation!$J:$J,(INDEX(Cables!$AO:$AO,MATCH(G350,Cables!$A:$A,0))-1+MIN(MAX(IFERROR(MATCH(LN(D350),INDEX(Attenuation!$J:$J,INDEX(Cables!$AO:$AO,MATCH(G350,Cables!$A:$A,0))):INDEX(Attenuation!$J:$J,INDEX(Cables!$AO:$AO,MATCH(G350,Cables!$A:$A,0))+INDEX(Cables!$AP:$AP,MATCH(G350,Cables!$A:$A,0))-1),1),1),1),INDEX(Cables!$AP:$AP,MATCH(G350,Cables!$A:$A,0))-1))+1)))*0.3048)</f>
        <v>0.44643256966326322</v>
      </c>
      <c r="I350" s="43">
        <f>IF(G350="","",EXP(FORECAST(LN(E350),INDEX(Attenuation!$K:$K,(INDEX(Cables!$AO:$AO,MATCH(G350,Cables!$A:$A,0))-1+MIN(MAX(IFERROR(MATCH(LN(E350),INDEX(Attenuation!$J:$J,INDEX(Cables!$AO:$AO,MATCH(G350,Cables!$A:$A,0))):INDEX(Attenuation!$J:$J,INDEX(Cables!$AO:$AO,MATCH(G350,Cables!$A:$A,0))+INDEX(Cables!$AP:$AP,MATCH(G350,Cables!$A:$A,0))-1),1),1),1),INDEX(Cables!$AP:$AP,MATCH(G350,Cables!$A:$A,0))-1))):INDEX(Attenuation!$K:$K,(INDEX(Cables!$AO:$AO,MATCH(G350,Cables!$A:$A,0))-1+MIN(MAX(IFERROR(MATCH(LN(E350),INDEX(Attenuation!$J:$J,INDEX(Cables!$AO:$AO,MATCH(G350,Cables!$A:$A,0))):INDEX(Attenuation!$J:$J,INDEX(Cables!$AO:$AO,MATCH(G350,Cables!$A:$A,0))+INDEX(Cables!$AP:$AP,MATCH(G350,Cables!$A:$A,0))-1),1),1),1),INDEX(Cables!$AP:$AP,MATCH(G350,Cables!$A:$A,0))-1))+1),INDEX(Attenuation!$J:$J,(INDEX(Cables!$AO:$AO,MATCH(G350,Cables!$A:$A,0))-1+MIN(MAX(IFERROR(MATCH(LN(E350),INDEX(Attenuation!$J:$J,INDEX(Cables!$AO:$AO,MATCH(G350,Cables!$A:$A,0))):INDEX(Attenuation!$J:$J,INDEX(Cables!$AO:$AO,MATCH(G350,Cables!$A:$A,0))+INDEX(Cables!$AP:$AP,MATCH(G350,Cables!$A:$A,0))-1),1),1),1),INDEX(Cables!$AP:$AP,MATCH(G350,Cables!$A:$A,0))-1))):INDEX(Attenuation!$J:$J,(INDEX(Cables!$AO:$AO,MATCH(G350,Cables!$A:$A,0))-1+MIN(MAX(IFERROR(MATCH(LN(E350),INDEX(Attenuation!$J:$J,INDEX(Cables!$AO:$AO,MATCH(G350,Cables!$A:$A,0))):INDEX(Attenuation!$J:$J,INDEX(Cables!$AO:$AO,MATCH(G350,Cables!$A:$A,0))+INDEX(Cables!$AP:$AP,MATCH(G350,Cables!$A:$A,0))-1),1),1),1),INDEX(Cables!$AP:$AP,MATCH(G350,Cables!$A:$A,0))-1))+1)))*0.3048)</f>
        <v>0.48585120000000004</v>
      </c>
      <c r="J350" s="44">
        <f t="shared" si="5"/>
        <v>2.9121673467102704E-2</v>
      </c>
      <c r="K350" s="40" t="str">
        <f>IF(G350="","Doğrulanmadı",IF(ABS(J350)&lt;=0.1,"Uyumlu (±%10)",IF(ABS(J350)&lt;=0.25,"Fark %10-25","Fark &gt;%25"))&amp;IF(OR(D350&lt;INDEX(Cables!$AQ:$AQ,MATCH(G350,Cables!$A:$A,0)),E350&gt;INDEX(Cables!$AR:$AR,MATCH(G350,Cables!$A:$A,0)))," · ekstrapolasyon",""))</f>
        <v>Uyumlu (±%10)</v>
      </c>
    </row>
    <row r="351" spans="1:11" x14ac:dyDescent="0.25">
      <c r="A351" s="37" t="s">
        <v>3074</v>
      </c>
      <c r="B351" s="40" t="str">
        <f>INDEX(Legacy_Index!$D:$D,MATCH(A351,Legacy_Index!$A:$A,0))</f>
        <v>7/8" HELIAX®</v>
      </c>
      <c r="C351" s="37" t="s">
        <v>3115</v>
      </c>
      <c r="D351" s="37">
        <v>400</v>
      </c>
      <c r="E351" s="37">
        <v>520</v>
      </c>
      <c r="F351" s="37">
        <v>0.9</v>
      </c>
      <c r="G351" s="40" t="str">
        <f>IF(INDEX(Legacy_Index!$G:$G,MATCH(A351,Legacy_Index!$A:$A,0))="","",INDEX(Legacy_Index!$G:$G,MATCH(A351,Legacy_Index!$A:$A,0)))</f>
        <v>CS-LDF5-50A</v>
      </c>
      <c r="H351" s="43">
        <f>IF(G351="","",EXP(FORECAST(LN(D351),INDEX(Attenuation!$K:$K,(INDEX(Cables!$AO:$AO,MATCH(G351,Cables!$A:$A,0))-1+MIN(MAX(IFERROR(MATCH(LN(D351),INDEX(Attenuation!$J:$J,INDEX(Cables!$AO:$AO,MATCH(G351,Cables!$A:$A,0))):INDEX(Attenuation!$J:$J,INDEX(Cables!$AO:$AO,MATCH(G351,Cables!$A:$A,0))+INDEX(Cables!$AP:$AP,MATCH(G351,Cables!$A:$A,0))-1),1),1),1),INDEX(Cables!$AP:$AP,MATCH(G351,Cables!$A:$A,0))-1))):INDEX(Attenuation!$K:$K,(INDEX(Cables!$AO:$AO,MATCH(G351,Cables!$A:$A,0))-1+MIN(MAX(IFERROR(MATCH(LN(D351),INDEX(Attenuation!$J:$J,INDEX(Cables!$AO:$AO,MATCH(G351,Cables!$A:$A,0))):INDEX(Attenuation!$J:$J,INDEX(Cables!$AO:$AO,MATCH(G351,Cables!$A:$A,0))+INDEX(Cables!$AP:$AP,MATCH(G351,Cables!$A:$A,0))-1),1),1),1),INDEX(Cables!$AP:$AP,MATCH(G351,Cables!$A:$A,0))-1))+1),INDEX(Attenuation!$J:$J,(INDEX(Cables!$AO:$AO,MATCH(G351,Cables!$A:$A,0))-1+MIN(MAX(IFERROR(MATCH(LN(D351),INDEX(Attenuation!$J:$J,INDEX(Cables!$AO:$AO,MATCH(G351,Cables!$A:$A,0))):INDEX(Attenuation!$J:$J,INDEX(Cables!$AO:$AO,MATCH(G351,Cables!$A:$A,0))+INDEX(Cables!$AP:$AP,MATCH(G351,Cables!$A:$A,0))-1),1),1),1),INDEX(Cables!$AP:$AP,MATCH(G351,Cables!$A:$A,0))-1))):INDEX(Attenuation!$J:$J,(INDEX(Cables!$AO:$AO,MATCH(G351,Cables!$A:$A,0))-1+MIN(MAX(IFERROR(MATCH(LN(D351),INDEX(Attenuation!$J:$J,INDEX(Cables!$AO:$AO,MATCH(G351,Cables!$A:$A,0))):INDEX(Attenuation!$J:$J,INDEX(Cables!$AO:$AO,MATCH(G351,Cables!$A:$A,0))+INDEX(Cables!$AP:$AP,MATCH(G351,Cables!$A:$A,0))-1),1),1),1),INDEX(Cables!$AP:$AP,MATCH(G351,Cables!$A:$A,0))-1))+1)))*0.3048)</f>
        <v>0.75773280000000021</v>
      </c>
      <c r="I351" s="43">
        <f>IF(G351="","",EXP(FORECAST(LN(E351),INDEX(Attenuation!$K:$K,(INDEX(Cables!$AO:$AO,MATCH(G351,Cables!$A:$A,0))-1+MIN(MAX(IFERROR(MATCH(LN(E351),INDEX(Attenuation!$J:$J,INDEX(Cables!$AO:$AO,MATCH(G351,Cables!$A:$A,0))):INDEX(Attenuation!$J:$J,INDEX(Cables!$AO:$AO,MATCH(G351,Cables!$A:$A,0))+INDEX(Cables!$AP:$AP,MATCH(G351,Cables!$A:$A,0))-1),1),1),1),INDEX(Cables!$AP:$AP,MATCH(G351,Cables!$A:$A,0))-1))):INDEX(Attenuation!$K:$K,(INDEX(Cables!$AO:$AO,MATCH(G351,Cables!$A:$A,0))-1+MIN(MAX(IFERROR(MATCH(LN(E351),INDEX(Attenuation!$J:$J,INDEX(Cables!$AO:$AO,MATCH(G351,Cables!$A:$A,0))):INDEX(Attenuation!$J:$J,INDEX(Cables!$AO:$AO,MATCH(G351,Cables!$A:$A,0))+INDEX(Cables!$AP:$AP,MATCH(G351,Cables!$A:$A,0))-1),1),1),1),INDEX(Cables!$AP:$AP,MATCH(G351,Cables!$A:$A,0))-1))+1),INDEX(Attenuation!$J:$J,(INDEX(Cables!$AO:$AO,MATCH(G351,Cables!$A:$A,0))-1+MIN(MAX(IFERROR(MATCH(LN(E351),INDEX(Attenuation!$J:$J,INDEX(Cables!$AO:$AO,MATCH(G351,Cables!$A:$A,0))):INDEX(Attenuation!$J:$J,INDEX(Cables!$AO:$AO,MATCH(G351,Cables!$A:$A,0))+INDEX(Cables!$AP:$AP,MATCH(G351,Cables!$A:$A,0))-1),1),1),1),INDEX(Cables!$AP:$AP,MATCH(G351,Cables!$A:$A,0))-1))):INDEX(Attenuation!$J:$J,(INDEX(Cables!$AO:$AO,MATCH(G351,Cables!$A:$A,0))-1+MIN(MAX(IFERROR(MATCH(LN(E351),INDEX(Attenuation!$J:$J,INDEX(Cables!$AO:$AO,MATCH(G351,Cables!$A:$A,0))):INDEX(Attenuation!$J:$J,INDEX(Cables!$AO:$AO,MATCH(G351,Cables!$A:$A,0))+INDEX(Cables!$AP:$AP,MATCH(G351,Cables!$A:$A,0))-1),1),1),1),INDEX(Cables!$AP:$AP,MATCH(G351,Cables!$A:$A,0))-1))+1)))*0.3048)</f>
        <v>0.87363096398226014</v>
      </c>
      <c r="J351" s="44">
        <f t="shared" si="5"/>
        <v>3.0183266281614163E-2</v>
      </c>
      <c r="K351" s="40" t="str">
        <f>IF(G351="","Doğrulanmadı",IF(ABS(J351)&lt;=0.1,"Uyumlu (±%10)",IF(ABS(J351)&lt;=0.25,"Fark %10-25","Fark &gt;%25"))&amp;IF(OR(D351&lt;INDEX(Cables!$AQ:$AQ,MATCH(G351,Cables!$A:$A,0)),E351&gt;INDEX(Cables!$AR:$AR,MATCH(G351,Cables!$A:$A,0)))," · ekstrapolasyon",""))</f>
        <v>Uyumlu (±%10)</v>
      </c>
    </row>
    <row r="352" spans="1:11" x14ac:dyDescent="0.25">
      <c r="A352" s="37" t="s">
        <v>3074</v>
      </c>
      <c r="B352" s="40" t="str">
        <f>INDEX(Legacy_Index!$D:$D,MATCH(A352,Legacy_Index!$A:$A,0))</f>
        <v>7/8" HELIAX®</v>
      </c>
      <c r="C352" s="37" t="s">
        <v>3116</v>
      </c>
      <c r="D352" s="37">
        <v>700</v>
      </c>
      <c r="E352" s="37">
        <v>960</v>
      </c>
      <c r="F352" s="37">
        <v>1.3</v>
      </c>
      <c r="G352" s="40" t="str">
        <f>IF(INDEX(Legacy_Index!$G:$G,MATCH(A352,Legacy_Index!$A:$A,0))="","",INDEX(Legacy_Index!$G:$G,MATCH(A352,Legacy_Index!$A:$A,0)))</f>
        <v>CS-LDF5-50A</v>
      </c>
      <c r="H352" s="43">
        <f>IF(G352="","",EXP(FORECAST(LN(D352),INDEX(Attenuation!$K:$K,(INDEX(Cables!$AO:$AO,MATCH(G352,Cables!$A:$A,0))-1+MIN(MAX(IFERROR(MATCH(LN(D352),INDEX(Attenuation!$J:$J,INDEX(Cables!$AO:$AO,MATCH(G352,Cables!$A:$A,0))):INDEX(Attenuation!$J:$J,INDEX(Cables!$AO:$AO,MATCH(G352,Cables!$A:$A,0))+INDEX(Cables!$AP:$AP,MATCH(G352,Cables!$A:$A,0))-1),1),1),1),INDEX(Cables!$AP:$AP,MATCH(G352,Cables!$A:$A,0))-1))):INDEX(Attenuation!$K:$K,(INDEX(Cables!$AO:$AO,MATCH(G352,Cables!$A:$A,0))-1+MIN(MAX(IFERROR(MATCH(LN(D352),INDEX(Attenuation!$J:$J,INDEX(Cables!$AO:$AO,MATCH(G352,Cables!$A:$A,0))):INDEX(Attenuation!$J:$J,INDEX(Cables!$AO:$AO,MATCH(G352,Cables!$A:$A,0))+INDEX(Cables!$AP:$AP,MATCH(G352,Cables!$A:$A,0))-1),1),1),1),INDEX(Cables!$AP:$AP,MATCH(G352,Cables!$A:$A,0))-1))+1),INDEX(Attenuation!$J:$J,(INDEX(Cables!$AO:$AO,MATCH(G352,Cables!$A:$A,0))-1+MIN(MAX(IFERROR(MATCH(LN(D352),INDEX(Attenuation!$J:$J,INDEX(Cables!$AO:$AO,MATCH(G352,Cables!$A:$A,0))):INDEX(Attenuation!$J:$J,INDEX(Cables!$AO:$AO,MATCH(G352,Cables!$A:$A,0))+INDEX(Cables!$AP:$AP,MATCH(G352,Cables!$A:$A,0))-1),1),1),1),INDEX(Cables!$AP:$AP,MATCH(G352,Cables!$A:$A,0))-1))):INDEX(Attenuation!$J:$J,(INDEX(Cables!$AO:$AO,MATCH(G352,Cables!$A:$A,0))-1+MIN(MAX(IFERROR(MATCH(LN(D352),INDEX(Attenuation!$J:$J,INDEX(Cables!$AO:$AO,MATCH(G352,Cables!$A:$A,0))):INDEX(Attenuation!$J:$J,INDEX(Cables!$AO:$AO,MATCH(G352,Cables!$A:$A,0))+INDEX(Cables!$AP:$AP,MATCH(G352,Cables!$A:$A,0))-1),1),1),1),INDEX(Cables!$AP:$AP,MATCH(G352,Cables!$A:$A,0))-1))+1)))*0.3048)</f>
        <v>1.0283951999999998</v>
      </c>
      <c r="I352" s="43">
        <f>IF(G352="","",EXP(FORECAST(LN(E352),INDEX(Attenuation!$K:$K,(INDEX(Cables!$AO:$AO,MATCH(G352,Cables!$A:$A,0))-1+MIN(MAX(IFERROR(MATCH(LN(E352),INDEX(Attenuation!$J:$J,INDEX(Cables!$AO:$AO,MATCH(G352,Cables!$A:$A,0))):INDEX(Attenuation!$J:$J,INDEX(Cables!$AO:$AO,MATCH(G352,Cables!$A:$A,0))+INDEX(Cables!$AP:$AP,MATCH(G352,Cables!$A:$A,0))-1),1),1),1),INDEX(Cables!$AP:$AP,MATCH(G352,Cables!$A:$A,0))-1))):INDEX(Attenuation!$K:$K,(INDEX(Cables!$AO:$AO,MATCH(G352,Cables!$A:$A,0))-1+MIN(MAX(IFERROR(MATCH(LN(E352),INDEX(Attenuation!$J:$J,INDEX(Cables!$AO:$AO,MATCH(G352,Cables!$A:$A,0))):INDEX(Attenuation!$J:$J,INDEX(Cables!$AO:$AO,MATCH(G352,Cables!$A:$A,0))+INDEX(Cables!$AP:$AP,MATCH(G352,Cables!$A:$A,0))-1),1),1),1),INDEX(Cables!$AP:$AP,MATCH(G352,Cables!$A:$A,0))-1))+1),INDEX(Attenuation!$J:$J,(INDEX(Cables!$AO:$AO,MATCH(G352,Cables!$A:$A,0))-1+MIN(MAX(IFERROR(MATCH(LN(E352),INDEX(Attenuation!$J:$J,INDEX(Cables!$AO:$AO,MATCH(G352,Cables!$A:$A,0))):INDEX(Attenuation!$J:$J,INDEX(Cables!$AO:$AO,MATCH(G352,Cables!$A:$A,0))+INDEX(Cables!$AP:$AP,MATCH(G352,Cables!$A:$A,0))-1),1),1),1),INDEX(Cables!$AP:$AP,MATCH(G352,Cables!$A:$A,0))-1))):INDEX(Attenuation!$J:$J,(INDEX(Cables!$AO:$AO,MATCH(G352,Cables!$A:$A,0))-1+MIN(MAX(IFERROR(MATCH(LN(E352),INDEX(Attenuation!$J:$J,INDEX(Cables!$AO:$AO,MATCH(G352,Cables!$A:$A,0))):INDEX(Attenuation!$J:$J,INDEX(Cables!$AO:$AO,MATCH(G352,Cables!$A:$A,0))+INDEX(Cables!$AP:$AP,MATCH(G352,Cables!$A:$A,0))-1),1),1),1),INDEX(Cables!$AP:$AP,MATCH(G352,Cables!$A:$A,0))-1))+1)))*0.3048)</f>
        <v>1.2259055999999995</v>
      </c>
      <c r="J352" s="44">
        <f t="shared" si="5"/>
        <v>6.0440542893352101E-2</v>
      </c>
      <c r="K352" s="40" t="str">
        <f>IF(G352="","Doğrulanmadı",IF(ABS(J352)&lt;=0.1,"Uyumlu (±%10)",IF(ABS(J352)&lt;=0.25,"Fark %10-25","Fark &gt;%25"))&amp;IF(OR(D352&lt;INDEX(Cables!$AQ:$AQ,MATCH(G352,Cables!$A:$A,0)),E352&gt;INDEX(Cables!$AR:$AR,MATCH(G352,Cables!$A:$A,0)))," · ekstrapolasyon",""))</f>
        <v>Uyumlu (±%10)</v>
      </c>
    </row>
    <row r="353" spans="1:11" x14ac:dyDescent="0.25">
      <c r="A353" s="37" t="s">
        <v>3074</v>
      </c>
      <c r="B353" s="40" t="str">
        <f>INDEX(Legacy_Index!$D:$D,MATCH(A353,Legacy_Index!$A:$A,0))</f>
        <v>7/8" HELIAX®</v>
      </c>
      <c r="C353" s="37" t="s">
        <v>3121</v>
      </c>
      <c r="D353" s="37">
        <v>2400</v>
      </c>
      <c r="E353" s="37">
        <v>2500</v>
      </c>
      <c r="F353" s="37">
        <v>2.2999999999999998</v>
      </c>
      <c r="G353" s="40" t="str">
        <f>IF(INDEX(Legacy_Index!$G:$G,MATCH(A353,Legacy_Index!$A:$A,0))="","",INDEX(Legacy_Index!$G:$G,MATCH(A353,Legacy_Index!$A:$A,0)))</f>
        <v>CS-LDF5-50A</v>
      </c>
      <c r="H353" s="43">
        <f>IF(G353="","",EXP(FORECAST(LN(D353),INDEX(Attenuation!$K:$K,(INDEX(Cables!$AO:$AO,MATCH(G353,Cables!$A:$A,0))-1+MIN(MAX(IFERROR(MATCH(LN(D353),INDEX(Attenuation!$J:$J,INDEX(Cables!$AO:$AO,MATCH(G353,Cables!$A:$A,0))):INDEX(Attenuation!$J:$J,INDEX(Cables!$AO:$AO,MATCH(G353,Cables!$A:$A,0))+INDEX(Cables!$AP:$AP,MATCH(G353,Cables!$A:$A,0))-1),1),1),1),INDEX(Cables!$AP:$AP,MATCH(G353,Cables!$A:$A,0))-1))):INDEX(Attenuation!$K:$K,(INDEX(Cables!$AO:$AO,MATCH(G353,Cables!$A:$A,0))-1+MIN(MAX(IFERROR(MATCH(LN(D353),INDEX(Attenuation!$J:$J,INDEX(Cables!$AO:$AO,MATCH(G353,Cables!$A:$A,0))):INDEX(Attenuation!$J:$J,INDEX(Cables!$AO:$AO,MATCH(G353,Cables!$A:$A,0))+INDEX(Cables!$AP:$AP,MATCH(G353,Cables!$A:$A,0))-1),1),1),1),INDEX(Cables!$AP:$AP,MATCH(G353,Cables!$A:$A,0))-1))+1),INDEX(Attenuation!$J:$J,(INDEX(Cables!$AO:$AO,MATCH(G353,Cables!$A:$A,0))-1+MIN(MAX(IFERROR(MATCH(LN(D353),INDEX(Attenuation!$J:$J,INDEX(Cables!$AO:$AO,MATCH(G353,Cables!$A:$A,0))):INDEX(Attenuation!$J:$J,INDEX(Cables!$AO:$AO,MATCH(G353,Cables!$A:$A,0))+INDEX(Cables!$AP:$AP,MATCH(G353,Cables!$A:$A,0))-1),1),1),1),INDEX(Cables!$AP:$AP,MATCH(G353,Cables!$A:$A,0))-1))):INDEX(Attenuation!$J:$J,(INDEX(Cables!$AO:$AO,MATCH(G353,Cables!$A:$A,0))-1+MIN(MAX(IFERROR(MATCH(LN(D353),INDEX(Attenuation!$J:$J,INDEX(Cables!$AO:$AO,MATCH(G353,Cables!$A:$A,0))):INDEX(Attenuation!$J:$J,INDEX(Cables!$AO:$AO,MATCH(G353,Cables!$A:$A,0))+INDEX(Cables!$AP:$AP,MATCH(G353,Cables!$A:$A,0))-1),1),1),1),INDEX(Cables!$AP:$AP,MATCH(G353,Cables!$A:$A,0))-1))+1)))*0.3048)</f>
        <v>2.0733806778996113</v>
      </c>
      <c r="I353" s="43">
        <f>IF(G353="","",EXP(FORECAST(LN(E353),INDEX(Attenuation!$K:$K,(INDEX(Cables!$AO:$AO,MATCH(G353,Cables!$A:$A,0))-1+MIN(MAX(IFERROR(MATCH(LN(E353),INDEX(Attenuation!$J:$J,INDEX(Cables!$AO:$AO,MATCH(G353,Cables!$A:$A,0))):INDEX(Attenuation!$J:$J,INDEX(Cables!$AO:$AO,MATCH(G353,Cables!$A:$A,0))+INDEX(Cables!$AP:$AP,MATCH(G353,Cables!$A:$A,0))-1),1),1),1),INDEX(Cables!$AP:$AP,MATCH(G353,Cables!$A:$A,0))-1))):INDEX(Attenuation!$K:$K,(INDEX(Cables!$AO:$AO,MATCH(G353,Cables!$A:$A,0))-1+MIN(MAX(IFERROR(MATCH(LN(E353),INDEX(Attenuation!$J:$J,INDEX(Cables!$AO:$AO,MATCH(G353,Cables!$A:$A,0))):INDEX(Attenuation!$J:$J,INDEX(Cables!$AO:$AO,MATCH(G353,Cables!$A:$A,0))+INDEX(Cables!$AP:$AP,MATCH(G353,Cables!$A:$A,0))-1),1),1),1),INDEX(Cables!$AP:$AP,MATCH(G353,Cables!$A:$A,0))-1))+1),INDEX(Attenuation!$J:$J,(INDEX(Cables!$AO:$AO,MATCH(G353,Cables!$A:$A,0))-1+MIN(MAX(IFERROR(MATCH(LN(E353),INDEX(Attenuation!$J:$J,INDEX(Cables!$AO:$AO,MATCH(G353,Cables!$A:$A,0))):INDEX(Attenuation!$J:$J,INDEX(Cables!$AO:$AO,MATCH(G353,Cables!$A:$A,0))+INDEX(Cables!$AP:$AP,MATCH(G353,Cables!$A:$A,0))-1),1),1),1),INDEX(Cables!$AP:$AP,MATCH(G353,Cables!$A:$A,0))-1))):INDEX(Attenuation!$J:$J,(INDEX(Cables!$AO:$AO,MATCH(G353,Cables!$A:$A,0))-1+MIN(MAX(IFERROR(MATCH(LN(E353),INDEX(Attenuation!$J:$J,INDEX(Cables!$AO:$AO,MATCH(G353,Cables!$A:$A,0))):INDEX(Attenuation!$J:$J,INDEX(Cables!$AO:$AO,MATCH(G353,Cables!$A:$A,0))+INDEX(Cables!$AP:$AP,MATCH(G353,Cables!$A:$A,0))-1),1),1),1),INDEX(Cables!$AP:$AP,MATCH(G353,Cables!$A:$A,0))-1))+1)))*0.3048)</f>
        <v>2.1238464000000006</v>
      </c>
      <c r="J353" s="44">
        <f t="shared" si="5"/>
        <v>8.2940837906168463E-2</v>
      </c>
      <c r="K353" s="40" t="str">
        <f>IF(G353="","Doğrulanmadı",IF(ABS(J353)&lt;=0.1,"Uyumlu (±%10)",IF(ABS(J353)&lt;=0.25,"Fark %10-25","Fark &gt;%25"))&amp;IF(OR(D353&lt;INDEX(Cables!$AQ:$AQ,MATCH(G353,Cables!$A:$A,0)),E353&gt;INDEX(Cables!$AR:$AR,MATCH(G353,Cables!$A:$A,0)))," · ekstrapolasyon",""))</f>
        <v>Uyumlu (±%10)</v>
      </c>
    </row>
    <row r="354" spans="1:11" x14ac:dyDescent="0.25">
      <c r="A354" s="37" t="s">
        <v>3077</v>
      </c>
      <c r="B354" s="40" t="str">
        <f>INDEX(Legacy_Index!$D:$D,MATCH(A354,Legacy_Index!$A:$A,0))</f>
        <v>LMR1200</v>
      </c>
      <c r="C354" s="37" t="s">
        <v>3118</v>
      </c>
      <c r="D354" s="37">
        <v>30</v>
      </c>
      <c r="E354" s="37">
        <v>50</v>
      </c>
      <c r="F354" s="37">
        <v>0.25</v>
      </c>
      <c r="G354" s="40" t="str">
        <f>IF(INDEX(Legacy_Index!$G:$G,MATCH(A354,Legacy_Index!$A:$A,0))="","",INDEX(Legacy_Index!$G:$G,MATCH(A354,Legacy_Index!$A:$A,0)))</f>
        <v>TMS-LMR1200</v>
      </c>
      <c r="H354" s="43">
        <f>IF(G354="","",EXP(FORECAST(LN(D354),INDEX(Attenuation!$K:$K,(INDEX(Cables!$AO:$AO,MATCH(G354,Cables!$A:$A,0))-1+MIN(MAX(IFERROR(MATCH(LN(D354),INDEX(Attenuation!$J:$J,INDEX(Cables!$AO:$AO,MATCH(G354,Cables!$A:$A,0))):INDEX(Attenuation!$J:$J,INDEX(Cables!$AO:$AO,MATCH(G354,Cables!$A:$A,0))+INDEX(Cables!$AP:$AP,MATCH(G354,Cables!$A:$A,0))-1),1),1),1),INDEX(Cables!$AP:$AP,MATCH(G354,Cables!$A:$A,0))-1))):INDEX(Attenuation!$K:$K,(INDEX(Cables!$AO:$AO,MATCH(G354,Cables!$A:$A,0))-1+MIN(MAX(IFERROR(MATCH(LN(D354),INDEX(Attenuation!$J:$J,INDEX(Cables!$AO:$AO,MATCH(G354,Cables!$A:$A,0))):INDEX(Attenuation!$J:$J,INDEX(Cables!$AO:$AO,MATCH(G354,Cables!$A:$A,0))+INDEX(Cables!$AP:$AP,MATCH(G354,Cables!$A:$A,0))-1),1),1),1),INDEX(Cables!$AP:$AP,MATCH(G354,Cables!$A:$A,0))-1))+1),INDEX(Attenuation!$J:$J,(INDEX(Cables!$AO:$AO,MATCH(G354,Cables!$A:$A,0))-1+MIN(MAX(IFERROR(MATCH(LN(D354),INDEX(Attenuation!$J:$J,INDEX(Cables!$AO:$AO,MATCH(G354,Cables!$A:$A,0))):INDEX(Attenuation!$J:$J,INDEX(Cables!$AO:$AO,MATCH(G354,Cables!$A:$A,0))+INDEX(Cables!$AP:$AP,MATCH(G354,Cables!$A:$A,0))-1),1),1),1),INDEX(Cables!$AP:$AP,MATCH(G354,Cables!$A:$A,0))-1))):INDEX(Attenuation!$J:$J,(INDEX(Cables!$AO:$AO,MATCH(G354,Cables!$A:$A,0))-1+MIN(MAX(IFERROR(MATCH(LN(D354),INDEX(Attenuation!$J:$J,INDEX(Cables!$AO:$AO,MATCH(G354,Cables!$A:$A,0))):INDEX(Attenuation!$J:$J,INDEX(Cables!$AO:$AO,MATCH(G354,Cables!$A:$A,0))+INDEX(Cables!$AP:$AP,MATCH(G354,Cables!$A:$A,0))-1),1),1),1),INDEX(Cables!$AP:$AP,MATCH(G354,Cables!$A:$A,0))-1))+1)))*0.3048)</f>
        <v>0.20900000000000005</v>
      </c>
      <c r="I354" s="43">
        <f>IF(G354="","",EXP(FORECAST(LN(E354),INDEX(Attenuation!$K:$K,(INDEX(Cables!$AO:$AO,MATCH(G354,Cables!$A:$A,0))-1+MIN(MAX(IFERROR(MATCH(LN(E354),INDEX(Attenuation!$J:$J,INDEX(Cables!$AO:$AO,MATCH(G354,Cables!$A:$A,0))):INDEX(Attenuation!$J:$J,INDEX(Cables!$AO:$AO,MATCH(G354,Cables!$A:$A,0))+INDEX(Cables!$AP:$AP,MATCH(G354,Cables!$A:$A,0))-1),1),1),1),INDEX(Cables!$AP:$AP,MATCH(G354,Cables!$A:$A,0))-1))):INDEX(Attenuation!$K:$K,(INDEX(Cables!$AO:$AO,MATCH(G354,Cables!$A:$A,0))-1+MIN(MAX(IFERROR(MATCH(LN(E354),INDEX(Attenuation!$J:$J,INDEX(Cables!$AO:$AO,MATCH(G354,Cables!$A:$A,0))):INDEX(Attenuation!$J:$J,INDEX(Cables!$AO:$AO,MATCH(G354,Cables!$A:$A,0))+INDEX(Cables!$AP:$AP,MATCH(G354,Cables!$A:$A,0))-1),1),1),1),INDEX(Cables!$AP:$AP,MATCH(G354,Cables!$A:$A,0))-1))+1),INDEX(Attenuation!$J:$J,(INDEX(Cables!$AO:$AO,MATCH(G354,Cables!$A:$A,0))-1+MIN(MAX(IFERROR(MATCH(LN(E354),INDEX(Attenuation!$J:$J,INDEX(Cables!$AO:$AO,MATCH(G354,Cables!$A:$A,0))):INDEX(Attenuation!$J:$J,INDEX(Cables!$AO:$AO,MATCH(G354,Cables!$A:$A,0))+INDEX(Cables!$AP:$AP,MATCH(G354,Cables!$A:$A,0))-1),1),1),1),INDEX(Cables!$AP:$AP,MATCH(G354,Cables!$A:$A,0))-1))):INDEX(Attenuation!$J:$J,(INDEX(Cables!$AO:$AO,MATCH(G354,Cables!$A:$A,0))-1+MIN(MAX(IFERROR(MATCH(LN(E354),INDEX(Attenuation!$J:$J,INDEX(Cables!$AO:$AO,MATCH(G354,Cables!$A:$A,0))):INDEX(Attenuation!$J:$J,INDEX(Cables!$AO:$AO,MATCH(G354,Cables!$A:$A,0))+INDEX(Cables!$AP:$AP,MATCH(G354,Cables!$A:$A,0))-1),1),1),1),INDEX(Cables!$AP:$AP,MATCH(G354,Cables!$A:$A,0))-1))+1)))*0.3048)</f>
        <v>0.27199999999999991</v>
      </c>
      <c r="J354" s="44">
        <f t="shared" si="5"/>
        <v>0</v>
      </c>
      <c r="K354" s="40" t="str">
        <f>IF(G354="","Doğrulanmadı",IF(ABS(J354)&lt;=0.1,"Uyumlu (±%10)",IF(ABS(J354)&lt;=0.25,"Fark %10-25","Fark &gt;%25"))&amp;IF(OR(D354&lt;INDEX(Cables!$AQ:$AQ,MATCH(G354,Cables!$A:$A,0)),E354&gt;INDEX(Cables!$AR:$AR,MATCH(G354,Cables!$A:$A,0)))," · ekstrapolasyon",""))</f>
        <v>Uyumlu (±%10)</v>
      </c>
    </row>
    <row r="355" spans="1:11" x14ac:dyDescent="0.25">
      <c r="A355" s="37" t="s">
        <v>3077</v>
      </c>
      <c r="B355" s="40" t="str">
        <f>INDEX(Legacy_Index!$D:$D,MATCH(A355,Legacy_Index!$A:$A,0))</f>
        <v>LMR1200</v>
      </c>
      <c r="C355" s="37" t="s">
        <v>3114</v>
      </c>
      <c r="D355" s="37">
        <v>148</v>
      </c>
      <c r="E355" s="37">
        <v>174</v>
      </c>
      <c r="F355" s="37">
        <v>0.48</v>
      </c>
      <c r="G355" s="40" t="str">
        <f>IF(INDEX(Legacy_Index!$G:$G,MATCH(A355,Legacy_Index!$A:$A,0))="","",INDEX(Legacy_Index!$G:$G,MATCH(A355,Legacy_Index!$A:$A,0)))</f>
        <v>TMS-LMR1200</v>
      </c>
      <c r="H355" s="43">
        <f>IF(G355="","",EXP(FORECAST(LN(D355),INDEX(Attenuation!$K:$K,(INDEX(Cables!$AO:$AO,MATCH(G355,Cables!$A:$A,0))-1+MIN(MAX(IFERROR(MATCH(LN(D355),INDEX(Attenuation!$J:$J,INDEX(Cables!$AO:$AO,MATCH(G355,Cables!$A:$A,0))):INDEX(Attenuation!$J:$J,INDEX(Cables!$AO:$AO,MATCH(G355,Cables!$A:$A,0))+INDEX(Cables!$AP:$AP,MATCH(G355,Cables!$A:$A,0))-1),1),1),1),INDEX(Cables!$AP:$AP,MATCH(G355,Cables!$A:$A,0))-1))):INDEX(Attenuation!$K:$K,(INDEX(Cables!$AO:$AO,MATCH(G355,Cables!$A:$A,0))-1+MIN(MAX(IFERROR(MATCH(LN(D355),INDEX(Attenuation!$J:$J,INDEX(Cables!$AO:$AO,MATCH(G355,Cables!$A:$A,0))):INDEX(Attenuation!$J:$J,INDEX(Cables!$AO:$AO,MATCH(G355,Cables!$A:$A,0))+INDEX(Cables!$AP:$AP,MATCH(G355,Cables!$A:$A,0))-1),1),1),1),INDEX(Cables!$AP:$AP,MATCH(G355,Cables!$A:$A,0))-1))+1),INDEX(Attenuation!$J:$J,(INDEX(Cables!$AO:$AO,MATCH(G355,Cables!$A:$A,0))-1+MIN(MAX(IFERROR(MATCH(LN(D355),INDEX(Attenuation!$J:$J,INDEX(Cables!$AO:$AO,MATCH(G355,Cables!$A:$A,0))):INDEX(Attenuation!$J:$J,INDEX(Cables!$AO:$AO,MATCH(G355,Cables!$A:$A,0))+INDEX(Cables!$AP:$AP,MATCH(G355,Cables!$A:$A,0))-1),1),1),1),INDEX(Cables!$AP:$AP,MATCH(G355,Cables!$A:$A,0))-1))):INDEX(Attenuation!$J:$J,(INDEX(Cables!$AO:$AO,MATCH(G355,Cables!$A:$A,0))-1+MIN(MAX(IFERROR(MATCH(LN(D355),INDEX(Attenuation!$J:$J,INDEX(Cables!$AO:$AO,MATCH(G355,Cables!$A:$A,0))):INDEX(Attenuation!$J:$J,INDEX(Cables!$AO:$AO,MATCH(G355,Cables!$A:$A,0))+INDEX(Cables!$AP:$AP,MATCH(G355,Cables!$A:$A,0))-1),1),1),1),INDEX(Cables!$AP:$AP,MATCH(G355,Cables!$A:$A,0))-1))+1)))*0.3048)</f>
        <v>0.47766140437422905</v>
      </c>
      <c r="I355" s="43">
        <f>IF(G355="","",EXP(FORECAST(LN(E355),INDEX(Attenuation!$K:$K,(INDEX(Cables!$AO:$AO,MATCH(G355,Cables!$A:$A,0))-1+MIN(MAX(IFERROR(MATCH(LN(E355),INDEX(Attenuation!$J:$J,INDEX(Cables!$AO:$AO,MATCH(G355,Cables!$A:$A,0))):INDEX(Attenuation!$J:$J,INDEX(Cables!$AO:$AO,MATCH(G355,Cables!$A:$A,0))+INDEX(Cables!$AP:$AP,MATCH(G355,Cables!$A:$A,0))-1),1),1),1),INDEX(Cables!$AP:$AP,MATCH(G355,Cables!$A:$A,0))-1))):INDEX(Attenuation!$K:$K,(INDEX(Cables!$AO:$AO,MATCH(G355,Cables!$A:$A,0))-1+MIN(MAX(IFERROR(MATCH(LN(E355),INDEX(Attenuation!$J:$J,INDEX(Cables!$AO:$AO,MATCH(G355,Cables!$A:$A,0))):INDEX(Attenuation!$J:$J,INDEX(Cables!$AO:$AO,MATCH(G355,Cables!$A:$A,0))+INDEX(Cables!$AP:$AP,MATCH(G355,Cables!$A:$A,0))-1),1),1),1),INDEX(Cables!$AP:$AP,MATCH(G355,Cables!$A:$A,0))-1))+1),INDEX(Attenuation!$J:$J,(INDEX(Cables!$AO:$AO,MATCH(G355,Cables!$A:$A,0))-1+MIN(MAX(IFERROR(MATCH(LN(E355),INDEX(Attenuation!$J:$J,INDEX(Cables!$AO:$AO,MATCH(G355,Cables!$A:$A,0))):INDEX(Attenuation!$J:$J,INDEX(Cables!$AO:$AO,MATCH(G355,Cables!$A:$A,0))+INDEX(Cables!$AP:$AP,MATCH(G355,Cables!$A:$A,0))-1),1),1),1),INDEX(Cables!$AP:$AP,MATCH(G355,Cables!$A:$A,0))-1))):INDEX(Attenuation!$J:$J,(INDEX(Cables!$AO:$AO,MATCH(G355,Cables!$A:$A,0))-1+MIN(MAX(IFERROR(MATCH(LN(E355),INDEX(Attenuation!$J:$J,INDEX(Cables!$AO:$AO,MATCH(G355,Cables!$A:$A,0))):INDEX(Attenuation!$J:$J,INDEX(Cables!$AO:$AO,MATCH(G355,Cables!$A:$A,0))+INDEX(Cables!$AP:$AP,MATCH(G355,Cables!$A:$A,0))-1),1),1),1),INDEX(Cables!$AP:$AP,MATCH(G355,Cables!$A:$A,0))-1))+1)))*0.3048)</f>
        <v>0.52027858385212933</v>
      </c>
      <c r="J355" s="44">
        <f t="shared" si="5"/>
        <v>0</v>
      </c>
      <c r="K355" s="40" t="str">
        <f>IF(G355="","Doğrulanmadı",IF(ABS(J355)&lt;=0.1,"Uyumlu (±%10)",IF(ABS(J355)&lt;=0.25,"Fark %10-25","Fark &gt;%25"))&amp;IF(OR(D355&lt;INDEX(Cables!$AQ:$AQ,MATCH(G355,Cables!$A:$A,0)),E355&gt;INDEX(Cables!$AR:$AR,MATCH(G355,Cables!$A:$A,0)))," · ekstrapolasyon",""))</f>
        <v>Uyumlu (±%10)</v>
      </c>
    </row>
    <row r="356" spans="1:11" x14ac:dyDescent="0.25">
      <c r="A356" s="37" t="s">
        <v>3077</v>
      </c>
      <c r="B356" s="40" t="str">
        <f>INDEX(Legacy_Index!$D:$D,MATCH(A356,Legacy_Index!$A:$A,0))</f>
        <v>LMR1200</v>
      </c>
      <c r="C356" s="37" t="s">
        <v>3119</v>
      </c>
      <c r="D356" s="37">
        <v>220</v>
      </c>
      <c r="E356" s="37">
        <v>220</v>
      </c>
      <c r="F356" s="37">
        <v>0.59</v>
      </c>
      <c r="G356" s="40" t="str">
        <f>IF(INDEX(Legacy_Index!$G:$G,MATCH(A356,Legacy_Index!$A:$A,0))="","",INDEX(Legacy_Index!$G:$G,MATCH(A356,Legacy_Index!$A:$A,0)))</f>
        <v>TMS-LMR1200</v>
      </c>
      <c r="H356" s="43">
        <f>IF(G356="","",EXP(FORECAST(LN(D356),INDEX(Attenuation!$K:$K,(INDEX(Cables!$AO:$AO,MATCH(G356,Cables!$A:$A,0))-1+MIN(MAX(IFERROR(MATCH(LN(D356),INDEX(Attenuation!$J:$J,INDEX(Cables!$AO:$AO,MATCH(G356,Cables!$A:$A,0))):INDEX(Attenuation!$J:$J,INDEX(Cables!$AO:$AO,MATCH(G356,Cables!$A:$A,0))+INDEX(Cables!$AP:$AP,MATCH(G356,Cables!$A:$A,0))-1),1),1),1),INDEX(Cables!$AP:$AP,MATCH(G356,Cables!$A:$A,0))-1))):INDEX(Attenuation!$K:$K,(INDEX(Cables!$AO:$AO,MATCH(G356,Cables!$A:$A,0))-1+MIN(MAX(IFERROR(MATCH(LN(D356),INDEX(Attenuation!$J:$J,INDEX(Cables!$AO:$AO,MATCH(G356,Cables!$A:$A,0))):INDEX(Attenuation!$J:$J,INDEX(Cables!$AO:$AO,MATCH(G356,Cables!$A:$A,0))+INDEX(Cables!$AP:$AP,MATCH(G356,Cables!$A:$A,0))-1),1),1),1),INDEX(Cables!$AP:$AP,MATCH(G356,Cables!$A:$A,0))-1))+1),INDEX(Attenuation!$J:$J,(INDEX(Cables!$AO:$AO,MATCH(G356,Cables!$A:$A,0))-1+MIN(MAX(IFERROR(MATCH(LN(D356),INDEX(Attenuation!$J:$J,INDEX(Cables!$AO:$AO,MATCH(G356,Cables!$A:$A,0))):INDEX(Attenuation!$J:$J,INDEX(Cables!$AO:$AO,MATCH(G356,Cables!$A:$A,0))+INDEX(Cables!$AP:$AP,MATCH(G356,Cables!$A:$A,0))-1),1),1),1),INDEX(Cables!$AP:$AP,MATCH(G356,Cables!$A:$A,0))-1))):INDEX(Attenuation!$J:$J,(INDEX(Cables!$AO:$AO,MATCH(G356,Cables!$A:$A,0))-1+MIN(MAX(IFERROR(MATCH(LN(D356),INDEX(Attenuation!$J:$J,INDEX(Cables!$AO:$AO,MATCH(G356,Cables!$A:$A,0))):INDEX(Attenuation!$J:$J,INDEX(Cables!$AO:$AO,MATCH(G356,Cables!$A:$A,0))+INDEX(Cables!$AP:$AP,MATCH(G356,Cables!$A:$A,0))-1),1),1),1),INDEX(Cables!$AP:$AP,MATCH(G356,Cables!$A:$A,0))-1))+1)))*0.3048)</f>
        <v>0.5890000000000003</v>
      </c>
      <c r="I356" s="43">
        <f>IF(G356="","",EXP(FORECAST(LN(E356),INDEX(Attenuation!$K:$K,(INDEX(Cables!$AO:$AO,MATCH(G356,Cables!$A:$A,0))-1+MIN(MAX(IFERROR(MATCH(LN(E356),INDEX(Attenuation!$J:$J,INDEX(Cables!$AO:$AO,MATCH(G356,Cables!$A:$A,0))):INDEX(Attenuation!$J:$J,INDEX(Cables!$AO:$AO,MATCH(G356,Cables!$A:$A,0))+INDEX(Cables!$AP:$AP,MATCH(G356,Cables!$A:$A,0))-1),1),1),1),INDEX(Cables!$AP:$AP,MATCH(G356,Cables!$A:$A,0))-1))):INDEX(Attenuation!$K:$K,(INDEX(Cables!$AO:$AO,MATCH(G356,Cables!$A:$A,0))-1+MIN(MAX(IFERROR(MATCH(LN(E356),INDEX(Attenuation!$J:$J,INDEX(Cables!$AO:$AO,MATCH(G356,Cables!$A:$A,0))):INDEX(Attenuation!$J:$J,INDEX(Cables!$AO:$AO,MATCH(G356,Cables!$A:$A,0))+INDEX(Cables!$AP:$AP,MATCH(G356,Cables!$A:$A,0))-1),1),1),1),INDEX(Cables!$AP:$AP,MATCH(G356,Cables!$A:$A,0))-1))+1),INDEX(Attenuation!$J:$J,(INDEX(Cables!$AO:$AO,MATCH(G356,Cables!$A:$A,0))-1+MIN(MAX(IFERROR(MATCH(LN(E356),INDEX(Attenuation!$J:$J,INDEX(Cables!$AO:$AO,MATCH(G356,Cables!$A:$A,0))):INDEX(Attenuation!$J:$J,INDEX(Cables!$AO:$AO,MATCH(G356,Cables!$A:$A,0))+INDEX(Cables!$AP:$AP,MATCH(G356,Cables!$A:$A,0))-1),1),1),1),INDEX(Cables!$AP:$AP,MATCH(G356,Cables!$A:$A,0))-1))):INDEX(Attenuation!$J:$J,(INDEX(Cables!$AO:$AO,MATCH(G356,Cables!$A:$A,0))-1+MIN(MAX(IFERROR(MATCH(LN(E356),INDEX(Attenuation!$J:$J,INDEX(Cables!$AO:$AO,MATCH(G356,Cables!$A:$A,0))):INDEX(Attenuation!$J:$J,INDEX(Cables!$AO:$AO,MATCH(G356,Cables!$A:$A,0))+INDEX(Cables!$AP:$AP,MATCH(G356,Cables!$A:$A,0))-1),1),1),1),INDEX(Cables!$AP:$AP,MATCH(G356,Cables!$A:$A,0))-1))+1)))*0.3048)</f>
        <v>0.5890000000000003</v>
      </c>
      <c r="J356" s="44">
        <f t="shared" si="5"/>
        <v>1.69779286926941E-3</v>
      </c>
      <c r="K356" s="40" t="str">
        <f>IF(G356="","Doğrulanmadı",IF(ABS(J356)&lt;=0.1,"Uyumlu (±%10)",IF(ABS(J356)&lt;=0.25,"Fark %10-25","Fark &gt;%25"))&amp;IF(OR(D356&lt;INDEX(Cables!$AQ:$AQ,MATCH(G356,Cables!$A:$A,0)),E356&gt;INDEX(Cables!$AR:$AR,MATCH(G356,Cables!$A:$A,0)))," · ekstrapolasyon",""))</f>
        <v>Uyumlu (±%10)</v>
      </c>
    </row>
    <row r="357" spans="1:11" x14ac:dyDescent="0.25">
      <c r="A357" s="37" t="s">
        <v>3077</v>
      </c>
      <c r="B357" s="40" t="str">
        <f>INDEX(Legacy_Index!$D:$D,MATCH(A357,Legacy_Index!$A:$A,0))</f>
        <v>LMR1200</v>
      </c>
      <c r="C357" s="37" t="s">
        <v>3115</v>
      </c>
      <c r="D357" s="37">
        <v>400</v>
      </c>
      <c r="E357" s="37">
        <v>520</v>
      </c>
      <c r="F357" s="37">
        <v>0.87</v>
      </c>
      <c r="G357" s="40" t="str">
        <f>IF(INDEX(Legacy_Index!$G:$G,MATCH(A357,Legacy_Index!$A:$A,0))="","",INDEX(Legacy_Index!$G:$G,MATCH(A357,Legacy_Index!$A:$A,0)))</f>
        <v>TMS-LMR1200</v>
      </c>
      <c r="H357" s="43">
        <f>IF(G357="","",EXP(FORECAST(LN(D357),INDEX(Attenuation!$K:$K,(INDEX(Cables!$AO:$AO,MATCH(G357,Cables!$A:$A,0))-1+MIN(MAX(IFERROR(MATCH(LN(D357),INDEX(Attenuation!$J:$J,INDEX(Cables!$AO:$AO,MATCH(G357,Cables!$A:$A,0))):INDEX(Attenuation!$J:$J,INDEX(Cables!$AO:$AO,MATCH(G357,Cables!$A:$A,0))+INDEX(Cables!$AP:$AP,MATCH(G357,Cables!$A:$A,0))-1),1),1),1),INDEX(Cables!$AP:$AP,MATCH(G357,Cables!$A:$A,0))-1))):INDEX(Attenuation!$K:$K,(INDEX(Cables!$AO:$AO,MATCH(G357,Cables!$A:$A,0))-1+MIN(MAX(IFERROR(MATCH(LN(D357),INDEX(Attenuation!$J:$J,INDEX(Cables!$AO:$AO,MATCH(G357,Cables!$A:$A,0))):INDEX(Attenuation!$J:$J,INDEX(Cables!$AO:$AO,MATCH(G357,Cables!$A:$A,0))+INDEX(Cables!$AP:$AP,MATCH(G357,Cables!$A:$A,0))-1),1),1),1),INDEX(Cables!$AP:$AP,MATCH(G357,Cables!$A:$A,0))-1))+1),INDEX(Attenuation!$J:$J,(INDEX(Cables!$AO:$AO,MATCH(G357,Cables!$A:$A,0))-1+MIN(MAX(IFERROR(MATCH(LN(D357),INDEX(Attenuation!$J:$J,INDEX(Cables!$AO:$AO,MATCH(G357,Cables!$A:$A,0))):INDEX(Attenuation!$J:$J,INDEX(Cables!$AO:$AO,MATCH(G357,Cables!$A:$A,0))+INDEX(Cables!$AP:$AP,MATCH(G357,Cables!$A:$A,0))-1),1),1),1),INDEX(Cables!$AP:$AP,MATCH(G357,Cables!$A:$A,0))-1))):INDEX(Attenuation!$J:$J,(INDEX(Cables!$AO:$AO,MATCH(G357,Cables!$A:$A,0))-1+MIN(MAX(IFERROR(MATCH(LN(D357),INDEX(Attenuation!$J:$J,INDEX(Cables!$AO:$AO,MATCH(G357,Cables!$A:$A,0))):INDEX(Attenuation!$J:$J,INDEX(Cables!$AO:$AO,MATCH(G357,Cables!$A:$A,0))+INDEX(Cables!$AP:$AP,MATCH(G357,Cables!$A:$A,0))-1),1),1),1),INDEX(Cables!$AP:$AP,MATCH(G357,Cables!$A:$A,0))-1))+1)))*0.3048)</f>
        <v>0.81119716344204351</v>
      </c>
      <c r="I357" s="43">
        <f>IF(G357="","",EXP(FORECAST(LN(E357),INDEX(Attenuation!$K:$K,(INDEX(Cables!$AO:$AO,MATCH(G357,Cables!$A:$A,0))-1+MIN(MAX(IFERROR(MATCH(LN(E357),INDEX(Attenuation!$J:$J,INDEX(Cables!$AO:$AO,MATCH(G357,Cables!$A:$A,0))):INDEX(Attenuation!$J:$J,INDEX(Cables!$AO:$AO,MATCH(G357,Cables!$A:$A,0))+INDEX(Cables!$AP:$AP,MATCH(G357,Cables!$A:$A,0))-1),1),1),1),INDEX(Cables!$AP:$AP,MATCH(G357,Cables!$A:$A,0))-1))):INDEX(Attenuation!$K:$K,(INDEX(Cables!$AO:$AO,MATCH(G357,Cables!$A:$A,0))-1+MIN(MAX(IFERROR(MATCH(LN(E357),INDEX(Attenuation!$J:$J,INDEX(Cables!$AO:$AO,MATCH(G357,Cables!$A:$A,0))):INDEX(Attenuation!$J:$J,INDEX(Cables!$AO:$AO,MATCH(G357,Cables!$A:$A,0))+INDEX(Cables!$AP:$AP,MATCH(G357,Cables!$A:$A,0))-1),1),1),1),INDEX(Cables!$AP:$AP,MATCH(G357,Cables!$A:$A,0))-1))+1),INDEX(Attenuation!$J:$J,(INDEX(Cables!$AO:$AO,MATCH(G357,Cables!$A:$A,0))-1+MIN(MAX(IFERROR(MATCH(LN(E357),INDEX(Attenuation!$J:$J,INDEX(Cables!$AO:$AO,MATCH(G357,Cables!$A:$A,0))):INDEX(Attenuation!$J:$J,INDEX(Cables!$AO:$AO,MATCH(G357,Cables!$A:$A,0))+INDEX(Cables!$AP:$AP,MATCH(G357,Cables!$A:$A,0))-1),1),1),1),INDEX(Cables!$AP:$AP,MATCH(G357,Cables!$A:$A,0))-1))):INDEX(Attenuation!$J:$J,(INDEX(Cables!$AO:$AO,MATCH(G357,Cables!$A:$A,0))-1+MIN(MAX(IFERROR(MATCH(LN(E357),INDEX(Attenuation!$J:$J,INDEX(Cables!$AO:$AO,MATCH(G357,Cables!$A:$A,0))):INDEX(Attenuation!$J:$J,INDEX(Cables!$AO:$AO,MATCH(G357,Cables!$A:$A,0))+INDEX(Cables!$AP:$AP,MATCH(G357,Cables!$A:$A,0))-1),1),1),1),INDEX(Cables!$AP:$AP,MATCH(G357,Cables!$A:$A,0))-1))+1)))*0.3048)</f>
        <v>0.93504680254426187</v>
      </c>
      <c r="J357" s="44">
        <f t="shared" si="5"/>
        <v>0</v>
      </c>
      <c r="K357" s="40" t="str">
        <f>IF(G357="","Doğrulanmadı",IF(ABS(J357)&lt;=0.1,"Uyumlu (±%10)",IF(ABS(J357)&lt;=0.25,"Fark %10-25","Fark &gt;%25"))&amp;IF(OR(D357&lt;INDEX(Cables!$AQ:$AQ,MATCH(G357,Cables!$A:$A,0)),E357&gt;INDEX(Cables!$AR:$AR,MATCH(G357,Cables!$A:$A,0)))," · ekstrapolasyon",""))</f>
        <v>Uyumlu (±%10)</v>
      </c>
    </row>
    <row r="358" spans="1:11" x14ac:dyDescent="0.25">
      <c r="A358" s="37" t="s">
        <v>3077</v>
      </c>
      <c r="B358" s="40" t="str">
        <f>INDEX(Legacy_Index!$D:$D,MATCH(A358,Legacy_Index!$A:$A,0))</f>
        <v>LMR1200</v>
      </c>
      <c r="C358" s="37" t="s">
        <v>3116</v>
      </c>
      <c r="D358" s="37">
        <v>700</v>
      </c>
      <c r="E358" s="37">
        <v>960</v>
      </c>
      <c r="F358" s="37">
        <v>1.27</v>
      </c>
      <c r="G358" s="40" t="str">
        <f>IF(INDEX(Legacy_Index!$G:$G,MATCH(A358,Legacy_Index!$A:$A,0))="","",INDEX(Legacy_Index!$G:$G,MATCH(A358,Legacy_Index!$A:$A,0)))</f>
        <v>TMS-LMR1200</v>
      </c>
      <c r="H358" s="43">
        <f>IF(G358="","",EXP(FORECAST(LN(D358),INDEX(Attenuation!$K:$K,(INDEX(Cables!$AO:$AO,MATCH(G358,Cables!$A:$A,0))-1+MIN(MAX(IFERROR(MATCH(LN(D358),INDEX(Attenuation!$J:$J,INDEX(Cables!$AO:$AO,MATCH(G358,Cables!$A:$A,0))):INDEX(Attenuation!$J:$J,INDEX(Cables!$AO:$AO,MATCH(G358,Cables!$A:$A,0))+INDEX(Cables!$AP:$AP,MATCH(G358,Cables!$A:$A,0))-1),1),1),1),INDEX(Cables!$AP:$AP,MATCH(G358,Cables!$A:$A,0))-1))):INDEX(Attenuation!$K:$K,(INDEX(Cables!$AO:$AO,MATCH(G358,Cables!$A:$A,0))-1+MIN(MAX(IFERROR(MATCH(LN(D358),INDEX(Attenuation!$J:$J,INDEX(Cables!$AO:$AO,MATCH(G358,Cables!$A:$A,0))):INDEX(Attenuation!$J:$J,INDEX(Cables!$AO:$AO,MATCH(G358,Cables!$A:$A,0))+INDEX(Cables!$AP:$AP,MATCH(G358,Cables!$A:$A,0))-1),1),1),1),INDEX(Cables!$AP:$AP,MATCH(G358,Cables!$A:$A,0))-1))+1),INDEX(Attenuation!$J:$J,(INDEX(Cables!$AO:$AO,MATCH(G358,Cables!$A:$A,0))-1+MIN(MAX(IFERROR(MATCH(LN(D358),INDEX(Attenuation!$J:$J,INDEX(Cables!$AO:$AO,MATCH(G358,Cables!$A:$A,0))):INDEX(Attenuation!$J:$J,INDEX(Cables!$AO:$AO,MATCH(G358,Cables!$A:$A,0))+INDEX(Cables!$AP:$AP,MATCH(G358,Cables!$A:$A,0))-1),1),1),1),INDEX(Cables!$AP:$AP,MATCH(G358,Cables!$A:$A,0))-1))):INDEX(Attenuation!$J:$J,(INDEX(Cables!$AO:$AO,MATCH(G358,Cables!$A:$A,0))-1+MIN(MAX(IFERROR(MATCH(LN(D358),INDEX(Attenuation!$J:$J,INDEX(Cables!$AO:$AO,MATCH(G358,Cables!$A:$A,0))):INDEX(Attenuation!$J:$J,INDEX(Cables!$AO:$AO,MATCH(G358,Cables!$A:$A,0))+INDEX(Cables!$AP:$AP,MATCH(G358,Cables!$A:$A,0))-1),1),1),1),INDEX(Cables!$AP:$AP,MATCH(G358,Cables!$A:$A,0))-1))+1)))*0.3048)</f>
        <v>1.0999999999999999</v>
      </c>
      <c r="I358" s="43">
        <f>IF(G358="","",EXP(FORECAST(LN(E358),INDEX(Attenuation!$K:$K,(INDEX(Cables!$AO:$AO,MATCH(G358,Cables!$A:$A,0))-1+MIN(MAX(IFERROR(MATCH(LN(E358),INDEX(Attenuation!$J:$J,INDEX(Cables!$AO:$AO,MATCH(G358,Cables!$A:$A,0))):INDEX(Attenuation!$J:$J,INDEX(Cables!$AO:$AO,MATCH(G358,Cables!$A:$A,0))+INDEX(Cables!$AP:$AP,MATCH(G358,Cables!$A:$A,0))-1),1),1),1),INDEX(Cables!$AP:$AP,MATCH(G358,Cables!$A:$A,0))-1))):INDEX(Attenuation!$K:$K,(INDEX(Cables!$AO:$AO,MATCH(G358,Cables!$A:$A,0))-1+MIN(MAX(IFERROR(MATCH(LN(E358),INDEX(Attenuation!$J:$J,INDEX(Cables!$AO:$AO,MATCH(G358,Cables!$A:$A,0))):INDEX(Attenuation!$J:$J,INDEX(Cables!$AO:$AO,MATCH(G358,Cables!$A:$A,0))+INDEX(Cables!$AP:$AP,MATCH(G358,Cables!$A:$A,0))-1),1),1),1),INDEX(Cables!$AP:$AP,MATCH(G358,Cables!$A:$A,0))-1))+1),INDEX(Attenuation!$J:$J,(INDEX(Cables!$AO:$AO,MATCH(G358,Cables!$A:$A,0))-1+MIN(MAX(IFERROR(MATCH(LN(E358),INDEX(Attenuation!$J:$J,INDEX(Cables!$AO:$AO,MATCH(G358,Cables!$A:$A,0))):INDEX(Attenuation!$J:$J,INDEX(Cables!$AO:$AO,MATCH(G358,Cables!$A:$A,0))+INDEX(Cables!$AP:$AP,MATCH(G358,Cables!$A:$A,0))-1),1),1),1),INDEX(Cables!$AP:$AP,MATCH(G358,Cables!$A:$A,0))-1))):INDEX(Attenuation!$J:$J,(INDEX(Cables!$AO:$AO,MATCH(G358,Cables!$A:$A,0))-1+MIN(MAX(IFERROR(MATCH(LN(E358),INDEX(Attenuation!$J:$J,INDEX(Cables!$AO:$AO,MATCH(G358,Cables!$A:$A,0))):INDEX(Attenuation!$J:$J,INDEX(Cables!$AO:$AO,MATCH(G358,Cables!$A:$A,0))+INDEX(Cables!$AP:$AP,MATCH(G358,Cables!$A:$A,0))-1),1),1),1),INDEX(Cables!$AP:$AP,MATCH(G358,Cables!$A:$A,0))-1))+1)))*0.3048)</f>
        <v>1.3166809807989039</v>
      </c>
      <c r="J358" s="44">
        <f t="shared" si="5"/>
        <v>0</v>
      </c>
      <c r="K358" s="40" t="str">
        <f>IF(G358="","Doğrulanmadı",IF(ABS(J358)&lt;=0.1,"Uyumlu (±%10)",IF(ABS(J358)&lt;=0.25,"Fark %10-25","Fark &gt;%25"))&amp;IF(OR(D358&lt;INDEX(Cables!$AQ:$AQ,MATCH(G358,Cables!$A:$A,0)),E358&gt;INDEX(Cables!$AR:$AR,MATCH(G358,Cables!$A:$A,0)))," · ekstrapolasyon",""))</f>
        <v>Uyumlu (±%10)</v>
      </c>
    </row>
    <row r="359" spans="1:11" x14ac:dyDescent="0.25">
      <c r="A359" s="37" t="s">
        <v>3077</v>
      </c>
      <c r="B359" s="40" t="str">
        <f>INDEX(Legacy_Index!$D:$D,MATCH(A359,Legacy_Index!$A:$A,0))</f>
        <v>LMR1200</v>
      </c>
      <c r="C359" s="37" t="s">
        <v>3120</v>
      </c>
      <c r="D359" s="37">
        <v>1200</v>
      </c>
      <c r="E359" s="37">
        <v>1300</v>
      </c>
      <c r="F359" s="37">
        <v>1.6</v>
      </c>
      <c r="G359" s="40" t="str">
        <f>IF(INDEX(Legacy_Index!$G:$G,MATCH(A359,Legacy_Index!$A:$A,0))="","",INDEX(Legacy_Index!$G:$G,MATCH(A359,Legacy_Index!$A:$A,0)))</f>
        <v>TMS-LMR1200</v>
      </c>
      <c r="H359" s="43">
        <f>IF(G359="","",EXP(FORECAST(LN(D359),INDEX(Attenuation!$K:$K,(INDEX(Cables!$AO:$AO,MATCH(G359,Cables!$A:$A,0))-1+MIN(MAX(IFERROR(MATCH(LN(D359),INDEX(Attenuation!$J:$J,INDEX(Cables!$AO:$AO,MATCH(G359,Cables!$A:$A,0))):INDEX(Attenuation!$J:$J,INDEX(Cables!$AO:$AO,MATCH(G359,Cables!$A:$A,0))+INDEX(Cables!$AP:$AP,MATCH(G359,Cables!$A:$A,0))-1),1),1),1),INDEX(Cables!$AP:$AP,MATCH(G359,Cables!$A:$A,0))-1))):INDEX(Attenuation!$K:$K,(INDEX(Cables!$AO:$AO,MATCH(G359,Cables!$A:$A,0))-1+MIN(MAX(IFERROR(MATCH(LN(D359),INDEX(Attenuation!$J:$J,INDEX(Cables!$AO:$AO,MATCH(G359,Cables!$A:$A,0))):INDEX(Attenuation!$J:$J,INDEX(Cables!$AO:$AO,MATCH(G359,Cables!$A:$A,0))+INDEX(Cables!$AP:$AP,MATCH(G359,Cables!$A:$A,0))-1),1),1),1),INDEX(Cables!$AP:$AP,MATCH(G359,Cables!$A:$A,0))-1))+1),INDEX(Attenuation!$J:$J,(INDEX(Cables!$AO:$AO,MATCH(G359,Cables!$A:$A,0))-1+MIN(MAX(IFERROR(MATCH(LN(D359),INDEX(Attenuation!$J:$J,INDEX(Cables!$AO:$AO,MATCH(G359,Cables!$A:$A,0))):INDEX(Attenuation!$J:$J,INDEX(Cables!$AO:$AO,MATCH(G359,Cables!$A:$A,0))+INDEX(Cables!$AP:$AP,MATCH(G359,Cables!$A:$A,0))-1),1),1),1),INDEX(Cables!$AP:$AP,MATCH(G359,Cables!$A:$A,0))-1))):INDEX(Attenuation!$J:$J,(INDEX(Cables!$AO:$AO,MATCH(G359,Cables!$A:$A,0))-1+MIN(MAX(IFERROR(MATCH(LN(D359),INDEX(Attenuation!$J:$J,INDEX(Cables!$AO:$AO,MATCH(G359,Cables!$A:$A,0))):INDEX(Attenuation!$J:$J,INDEX(Cables!$AO:$AO,MATCH(G359,Cables!$A:$A,0))+INDEX(Cables!$AP:$AP,MATCH(G359,Cables!$A:$A,0))-1),1),1),1),INDEX(Cables!$AP:$AP,MATCH(G359,Cables!$A:$A,0))-1))+1)))*0.3048)</f>
        <v>1.4917073632419153</v>
      </c>
      <c r="I359" s="43">
        <f>IF(G359="","",EXP(FORECAST(LN(E359),INDEX(Attenuation!$K:$K,(INDEX(Cables!$AO:$AO,MATCH(G359,Cables!$A:$A,0))-1+MIN(MAX(IFERROR(MATCH(LN(E359),INDEX(Attenuation!$J:$J,INDEX(Cables!$AO:$AO,MATCH(G359,Cables!$A:$A,0))):INDEX(Attenuation!$J:$J,INDEX(Cables!$AO:$AO,MATCH(G359,Cables!$A:$A,0))+INDEX(Cables!$AP:$AP,MATCH(G359,Cables!$A:$A,0))-1),1),1),1),INDEX(Cables!$AP:$AP,MATCH(G359,Cables!$A:$A,0))-1))):INDEX(Attenuation!$K:$K,(INDEX(Cables!$AO:$AO,MATCH(G359,Cables!$A:$A,0))-1+MIN(MAX(IFERROR(MATCH(LN(E359),INDEX(Attenuation!$J:$J,INDEX(Cables!$AO:$AO,MATCH(G359,Cables!$A:$A,0))):INDEX(Attenuation!$J:$J,INDEX(Cables!$AO:$AO,MATCH(G359,Cables!$A:$A,0))+INDEX(Cables!$AP:$AP,MATCH(G359,Cables!$A:$A,0))-1),1),1),1),INDEX(Cables!$AP:$AP,MATCH(G359,Cables!$A:$A,0))-1))+1),INDEX(Attenuation!$J:$J,(INDEX(Cables!$AO:$AO,MATCH(G359,Cables!$A:$A,0))-1+MIN(MAX(IFERROR(MATCH(LN(E359),INDEX(Attenuation!$J:$J,INDEX(Cables!$AO:$AO,MATCH(G359,Cables!$A:$A,0))):INDEX(Attenuation!$J:$J,INDEX(Cables!$AO:$AO,MATCH(G359,Cables!$A:$A,0))+INDEX(Cables!$AP:$AP,MATCH(G359,Cables!$A:$A,0))-1),1),1),1),INDEX(Cables!$AP:$AP,MATCH(G359,Cables!$A:$A,0))-1))):INDEX(Attenuation!$J:$J,(INDEX(Cables!$AO:$AO,MATCH(G359,Cables!$A:$A,0))-1+MIN(MAX(IFERROR(MATCH(LN(E359),INDEX(Attenuation!$J:$J,INDEX(Cables!$AO:$AO,MATCH(G359,Cables!$A:$A,0))):INDEX(Attenuation!$J:$J,INDEX(Cables!$AO:$AO,MATCH(G359,Cables!$A:$A,0))+INDEX(Cables!$AP:$AP,MATCH(G359,Cables!$A:$A,0))-1),1),1),1),INDEX(Cables!$AP:$AP,MATCH(G359,Cables!$A:$A,0))-1))+1)))*0.3048)</f>
        <v>1.5600069964663923</v>
      </c>
      <c r="J359" s="44">
        <f t="shared" si="5"/>
        <v>2.5636425749497871E-2</v>
      </c>
      <c r="K359" s="40" t="str">
        <f>IF(G359="","Doğrulanmadı",IF(ABS(J359)&lt;=0.1,"Uyumlu (±%10)",IF(ABS(J359)&lt;=0.25,"Fark %10-25","Fark &gt;%25"))&amp;IF(OR(D359&lt;INDEX(Cables!$AQ:$AQ,MATCH(G359,Cables!$A:$A,0)),E359&gt;INDEX(Cables!$AR:$AR,MATCH(G359,Cables!$A:$A,0)))," · ekstrapolasyon",""))</f>
        <v>Uyumlu (±%10)</v>
      </c>
    </row>
    <row r="360" spans="1:11" x14ac:dyDescent="0.25">
      <c r="A360" s="37" t="s">
        <v>3079</v>
      </c>
      <c r="B360" s="40" t="str">
        <f>INDEX(Legacy_Index!$D:$D,MATCH(A360,Legacy_Index!$A:$A,0))</f>
        <v>7/8" LDF</v>
      </c>
      <c r="C360" s="37" t="s">
        <v>3114</v>
      </c>
      <c r="D360" s="37">
        <v>148</v>
      </c>
      <c r="E360" s="37">
        <v>174</v>
      </c>
      <c r="F360" s="37">
        <v>0.46</v>
      </c>
      <c r="G360" s="40" t="str">
        <f>IF(INDEX(Legacy_Index!$G:$G,MATCH(A360,Legacy_Index!$A:$A,0))="","",INDEX(Legacy_Index!$G:$G,MATCH(A360,Legacy_Index!$A:$A,0)))</f>
        <v>CS-LDF5-50A</v>
      </c>
      <c r="H360" s="43">
        <f>IF(G360="","",EXP(FORECAST(LN(D360),INDEX(Attenuation!$K:$K,(INDEX(Cables!$AO:$AO,MATCH(G360,Cables!$A:$A,0))-1+MIN(MAX(IFERROR(MATCH(LN(D360),INDEX(Attenuation!$J:$J,INDEX(Cables!$AO:$AO,MATCH(G360,Cables!$A:$A,0))):INDEX(Attenuation!$J:$J,INDEX(Cables!$AO:$AO,MATCH(G360,Cables!$A:$A,0))+INDEX(Cables!$AP:$AP,MATCH(G360,Cables!$A:$A,0))-1),1),1),1),INDEX(Cables!$AP:$AP,MATCH(G360,Cables!$A:$A,0))-1))):INDEX(Attenuation!$K:$K,(INDEX(Cables!$AO:$AO,MATCH(G360,Cables!$A:$A,0))-1+MIN(MAX(IFERROR(MATCH(LN(D360),INDEX(Attenuation!$J:$J,INDEX(Cables!$AO:$AO,MATCH(G360,Cables!$A:$A,0))):INDEX(Attenuation!$J:$J,INDEX(Cables!$AO:$AO,MATCH(G360,Cables!$A:$A,0))+INDEX(Cables!$AP:$AP,MATCH(G360,Cables!$A:$A,0))-1),1),1),1),INDEX(Cables!$AP:$AP,MATCH(G360,Cables!$A:$A,0))-1))+1),INDEX(Attenuation!$J:$J,(INDEX(Cables!$AO:$AO,MATCH(G360,Cables!$A:$A,0))-1+MIN(MAX(IFERROR(MATCH(LN(D360),INDEX(Attenuation!$J:$J,INDEX(Cables!$AO:$AO,MATCH(G360,Cables!$A:$A,0))):INDEX(Attenuation!$J:$J,INDEX(Cables!$AO:$AO,MATCH(G360,Cables!$A:$A,0))+INDEX(Cables!$AP:$AP,MATCH(G360,Cables!$A:$A,0))-1),1),1),1),INDEX(Cables!$AP:$AP,MATCH(G360,Cables!$A:$A,0))-1))):INDEX(Attenuation!$J:$J,(INDEX(Cables!$AO:$AO,MATCH(G360,Cables!$A:$A,0))-1+MIN(MAX(IFERROR(MATCH(LN(D360),INDEX(Attenuation!$J:$J,INDEX(Cables!$AO:$AO,MATCH(G360,Cables!$A:$A,0))):INDEX(Attenuation!$J:$J,INDEX(Cables!$AO:$AO,MATCH(G360,Cables!$A:$A,0))+INDEX(Cables!$AP:$AP,MATCH(G360,Cables!$A:$A,0))-1),1),1),1),INDEX(Cables!$AP:$AP,MATCH(G360,Cables!$A:$A,0))-1))+1)))*0.3048)</f>
        <v>0.44643256966326322</v>
      </c>
      <c r="I360" s="43">
        <f>IF(G360="","",EXP(FORECAST(LN(E360),INDEX(Attenuation!$K:$K,(INDEX(Cables!$AO:$AO,MATCH(G360,Cables!$A:$A,0))-1+MIN(MAX(IFERROR(MATCH(LN(E360),INDEX(Attenuation!$J:$J,INDEX(Cables!$AO:$AO,MATCH(G360,Cables!$A:$A,0))):INDEX(Attenuation!$J:$J,INDEX(Cables!$AO:$AO,MATCH(G360,Cables!$A:$A,0))+INDEX(Cables!$AP:$AP,MATCH(G360,Cables!$A:$A,0))-1),1),1),1),INDEX(Cables!$AP:$AP,MATCH(G360,Cables!$A:$A,0))-1))):INDEX(Attenuation!$K:$K,(INDEX(Cables!$AO:$AO,MATCH(G360,Cables!$A:$A,0))-1+MIN(MAX(IFERROR(MATCH(LN(E360),INDEX(Attenuation!$J:$J,INDEX(Cables!$AO:$AO,MATCH(G360,Cables!$A:$A,0))):INDEX(Attenuation!$J:$J,INDEX(Cables!$AO:$AO,MATCH(G360,Cables!$A:$A,0))+INDEX(Cables!$AP:$AP,MATCH(G360,Cables!$A:$A,0))-1),1),1),1),INDEX(Cables!$AP:$AP,MATCH(G360,Cables!$A:$A,0))-1))+1),INDEX(Attenuation!$J:$J,(INDEX(Cables!$AO:$AO,MATCH(G360,Cables!$A:$A,0))-1+MIN(MAX(IFERROR(MATCH(LN(E360),INDEX(Attenuation!$J:$J,INDEX(Cables!$AO:$AO,MATCH(G360,Cables!$A:$A,0))):INDEX(Attenuation!$J:$J,INDEX(Cables!$AO:$AO,MATCH(G360,Cables!$A:$A,0))+INDEX(Cables!$AP:$AP,MATCH(G360,Cables!$A:$A,0))-1),1),1),1),INDEX(Cables!$AP:$AP,MATCH(G360,Cables!$A:$A,0))-1))):INDEX(Attenuation!$J:$J,(INDEX(Cables!$AO:$AO,MATCH(G360,Cables!$A:$A,0))-1+MIN(MAX(IFERROR(MATCH(LN(E360),INDEX(Attenuation!$J:$J,INDEX(Cables!$AO:$AO,MATCH(G360,Cables!$A:$A,0))):INDEX(Attenuation!$J:$J,INDEX(Cables!$AO:$AO,MATCH(G360,Cables!$A:$A,0))+INDEX(Cables!$AP:$AP,MATCH(G360,Cables!$A:$A,0))-1),1),1),1),INDEX(Cables!$AP:$AP,MATCH(G360,Cables!$A:$A,0))-1))+1)))*0.3048)</f>
        <v>0.48585120000000004</v>
      </c>
      <c r="J360" s="44">
        <f t="shared" si="5"/>
        <v>0</v>
      </c>
      <c r="K360" s="40" t="str">
        <f>IF(G360="","Doğrulanmadı",IF(ABS(J360)&lt;=0.1,"Uyumlu (±%10)",IF(ABS(J360)&lt;=0.25,"Fark %10-25","Fark &gt;%25"))&amp;IF(OR(D360&lt;INDEX(Cables!$AQ:$AQ,MATCH(G360,Cables!$A:$A,0)),E360&gt;INDEX(Cables!$AR:$AR,MATCH(G360,Cables!$A:$A,0)))," · ekstrapolasyon",""))</f>
        <v>Uyumlu (±%10)</v>
      </c>
    </row>
    <row r="361" spans="1:11" x14ac:dyDescent="0.25">
      <c r="A361" s="37" t="s">
        <v>3079</v>
      </c>
      <c r="B361" s="40" t="str">
        <f>INDEX(Legacy_Index!$D:$D,MATCH(A361,Legacy_Index!$A:$A,0))</f>
        <v>7/8" LDF</v>
      </c>
      <c r="C361" s="37" t="s">
        <v>3119</v>
      </c>
      <c r="D361" s="37">
        <v>220</v>
      </c>
      <c r="E361" s="37">
        <v>220</v>
      </c>
      <c r="F361" s="37">
        <v>0.56000000000000005</v>
      </c>
      <c r="G361" s="40" t="str">
        <f>IF(INDEX(Legacy_Index!$G:$G,MATCH(A361,Legacy_Index!$A:$A,0))="","",INDEX(Legacy_Index!$G:$G,MATCH(A361,Legacy_Index!$A:$A,0)))</f>
        <v>CS-LDF5-50A</v>
      </c>
      <c r="H361" s="43">
        <f>IF(G361="","",EXP(FORECAST(LN(D361),INDEX(Attenuation!$K:$K,(INDEX(Cables!$AO:$AO,MATCH(G361,Cables!$A:$A,0))-1+MIN(MAX(IFERROR(MATCH(LN(D361),INDEX(Attenuation!$J:$J,INDEX(Cables!$AO:$AO,MATCH(G361,Cables!$A:$A,0))):INDEX(Attenuation!$J:$J,INDEX(Cables!$AO:$AO,MATCH(G361,Cables!$A:$A,0))+INDEX(Cables!$AP:$AP,MATCH(G361,Cables!$A:$A,0))-1),1),1),1),INDEX(Cables!$AP:$AP,MATCH(G361,Cables!$A:$A,0))-1))):INDEX(Attenuation!$K:$K,(INDEX(Cables!$AO:$AO,MATCH(G361,Cables!$A:$A,0))-1+MIN(MAX(IFERROR(MATCH(LN(D361),INDEX(Attenuation!$J:$J,INDEX(Cables!$AO:$AO,MATCH(G361,Cables!$A:$A,0))):INDEX(Attenuation!$J:$J,INDEX(Cables!$AO:$AO,MATCH(G361,Cables!$A:$A,0))+INDEX(Cables!$AP:$AP,MATCH(G361,Cables!$A:$A,0))-1),1),1),1),INDEX(Cables!$AP:$AP,MATCH(G361,Cables!$A:$A,0))-1))+1),INDEX(Attenuation!$J:$J,(INDEX(Cables!$AO:$AO,MATCH(G361,Cables!$A:$A,0))-1+MIN(MAX(IFERROR(MATCH(LN(D361),INDEX(Attenuation!$J:$J,INDEX(Cables!$AO:$AO,MATCH(G361,Cables!$A:$A,0))):INDEX(Attenuation!$J:$J,INDEX(Cables!$AO:$AO,MATCH(G361,Cables!$A:$A,0))+INDEX(Cables!$AP:$AP,MATCH(G361,Cables!$A:$A,0))-1),1),1),1),INDEX(Cables!$AP:$AP,MATCH(G361,Cables!$A:$A,0))-1))):INDEX(Attenuation!$J:$J,(INDEX(Cables!$AO:$AO,MATCH(G361,Cables!$A:$A,0))-1+MIN(MAX(IFERROR(MATCH(LN(D361),INDEX(Attenuation!$J:$J,INDEX(Cables!$AO:$AO,MATCH(G361,Cables!$A:$A,0))):INDEX(Attenuation!$J:$J,INDEX(Cables!$AO:$AO,MATCH(G361,Cables!$A:$A,0))+INDEX(Cables!$AP:$AP,MATCH(G361,Cables!$A:$A,0))-1),1),1),1),INDEX(Cables!$AP:$AP,MATCH(G361,Cables!$A:$A,0))-1))+1)))*0.3048)</f>
        <v>0.55029539970428454</v>
      </c>
      <c r="I361" s="43">
        <f>IF(G361="","",EXP(FORECAST(LN(E361),INDEX(Attenuation!$K:$K,(INDEX(Cables!$AO:$AO,MATCH(G361,Cables!$A:$A,0))-1+MIN(MAX(IFERROR(MATCH(LN(E361),INDEX(Attenuation!$J:$J,INDEX(Cables!$AO:$AO,MATCH(G361,Cables!$A:$A,0))):INDEX(Attenuation!$J:$J,INDEX(Cables!$AO:$AO,MATCH(G361,Cables!$A:$A,0))+INDEX(Cables!$AP:$AP,MATCH(G361,Cables!$A:$A,0))-1),1),1),1),INDEX(Cables!$AP:$AP,MATCH(G361,Cables!$A:$A,0))-1))):INDEX(Attenuation!$K:$K,(INDEX(Cables!$AO:$AO,MATCH(G361,Cables!$A:$A,0))-1+MIN(MAX(IFERROR(MATCH(LN(E361),INDEX(Attenuation!$J:$J,INDEX(Cables!$AO:$AO,MATCH(G361,Cables!$A:$A,0))):INDEX(Attenuation!$J:$J,INDEX(Cables!$AO:$AO,MATCH(G361,Cables!$A:$A,0))+INDEX(Cables!$AP:$AP,MATCH(G361,Cables!$A:$A,0))-1),1),1),1),INDEX(Cables!$AP:$AP,MATCH(G361,Cables!$A:$A,0))-1))+1),INDEX(Attenuation!$J:$J,(INDEX(Cables!$AO:$AO,MATCH(G361,Cables!$A:$A,0))-1+MIN(MAX(IFERROR(MATCH(LN(E361),INDEX(Attenuation!$J:$J,INDEX(Cables!$AO:$AO,MATCH(G361,Cables!$A:$A,0))):INDEX(Attenuation!$J:$J,INDEX(Cables!$AO:$AO,MATCH(G361,Cables!$A:$A,0))+INDEX(Cables!$AP:$AP,MATCH(G361,Cables!$A:$A,0))-1),1),1),1),INDEX(Cables!$AP:$AP,MATCH(G361,Cables!$A:$A,0))-1))):INDEX(Attenuation!$J:$J,(INDEX(Cables!$AO:$AO,MATCH(G361,Cables!$A:$A,0))-1+MIN(MAX(IFERROR(MATCH(LN(E361),INDEX(Attenuation!$J:$J,INDEX(Cables!$AO:$AO,MATCH(G361,Cables!$A:$A,0))):INDEX(Attenuation!$J:$J,INDEX(Cables!$AO:$AO,MATCH(G361,Cables!$A:$A,0))+INDEX(Cables!$AP:$AP,MATCH(G361,Cables!$A:$A,0))-1),1),1),1),INDEX(Cables!$AP:$AP,MATCH(G361,Cables!$A:$A,0))-1))+1)))*0.3048)</f>
        <v>0.55029539970428454</v>
      </c>
      <c r="J361" s="44">
        <f t="shared" si="5"/>
        <v>1.7635256084151507E-2</v>
      </c>
      <c r="K361" s="40" t="str">
        <f>IF(G361="","Doğrulanmadı",IF(ABS(J361)&lt;=0.1,"Uyumlu (±%10)",IF(ABS(J361)&lt;=0.25,"Fark %10-25","Fark &gt;%25"))&amp;IF(OR(D361&lt;INDEX(Cables!$AQ:$AQ,MATCH(G361,Cables!$A:$A,0)),E361&gt;INDEX(Cables!$AR:$AR,MATCH(G361,Cables!$A:$A,0)))," · ekstrapolasyon",""))</f>
        <v>Uyumlu (±%10)</v>
      </c>
    </row>
    <row r="362" spans="1:11" x14ac:dyDescent="0.25">
      <c r="A362" s="37" t="s">
        <v>3079</v>
      </c>
      <c r="B362" s="40" t="str">
        <f>INDEX(Legacy_Index!$D:$D,MATCH(A362,Legacy_Index!$A:$A,0))</f>
        <v>7/8" LDF</v>
      </c>
      <c r="C362" s="37" t="s">
        <v>3115</v>
      </c>
      <c r="D362" s="37">
        <v>400</v>
      </c>
      <c r="E362" s="37">
        <v>520</v>
      </c>
      <c r="F362" s="37">
        <v>0.83</v>
      </c>
      <c r="G362" s="40" t="str">
        <f>IF(INDEX(Legacy_Index!$G:$G,MATCH(A362,Legacy_Index!$A:$A,0))="","",INDEX(Legacy_Index!$G:$G,MATCH(A362,Legacy_Index!$A:$A,0)))</f>
        <v>CS-LDF5-50A</v>
      </c>
      <c r="H362" s="43">
        <f>IF(G362="","",EXP(FORECAST(LN(D362),INDEX(Attenuation!$K:$K,(INDEX(Cables!$AO:$AO,MATCH(G362,Cables!$A:$A,0))-1+MIN(MAX(IFERROR(MATCH(LN(D362),INDEX(Attenuation!$J:$J,INDEX(Cables!$AO:$AO,MATCH(G362,Cables!$A:$A,0))):INDEX(Attenuation!$J:$J,INDEX(Cables!$AO:$AO,MATCH(G362,Cables!$A:$A,0))+INDEX(Cables!$AP:$AP,MATCH(G362,Cables!$A:$A,0))-1),1),1),1),INDEX(Cables!$AP:$AP,MATCH(G362,Cables!$A:$A,0))-1))):INDEX(Attenuation!$K:$K,(INDEX(Cables!$AO:$AO,MATCH(G362,Cables!$A:$A,0))-1+MIN(MAX(IFERROR(MATCH(LN(D362),INDEX(Attenuation!$J:$J,INDEX(Cables!$AO:$AO,MATCH(G362,Cables!$A:$A,0))):INDEX(Attenuation!$J:$J,INDEX(Cables!$AO:$AO,MATCH(G362,Cables!$A:$A,0))+INDEX(Cables!$AP:$AP,MATCH(G362,Cables!$A:$A,0))-1),1),1),1),INDEX(Cables!$AP:$AP,MATCH(G362,Cables!$A:$A,0))-1))+1),INDEX(Attenuation!$J:$J,(INDEX(Cables!$AO:$AO,MATCH(G362,Cables!$A:$A,0))-1+MIN(MAX(IFERROR(MATCH(LN(D362),INDEX(Attenuation!$J:$J,INDEX(Cables!$AO:$AO,MATCH(G362,Cables!$A:$A,0))):INDEX(Attenuation!$J:$J,INDEX(Cables!$AO:$AO,MATCH(G362,Cables!$A:$A,0))+INDEX(Cables!$AP:$AP,MATCH(G362,Cables!$A:$A,0))-1),1),1),1),INDEX(Cables!$AP:$AP,MATCH(G362,Cables!$A:$A,0))-1))):INDEX(Attenuation!$J:$J,(INDEX(Cables!$AO:$AO,MATCH(G362,Cables!$A:$A,0))-1+MIN(MAX(IFERROR(MATCH(LN(D362),INDEX(Attenuation!$J:$J,INDEX(Cables!$AO:$AO,MATCH(G362,Cables!$A:$A,0))):INDEX(Attenuation!$J:$J,INDEX(Cables!$AO:$AO,MATCH(G362,Cables!$A:$A,0))+INDEX(Cables!$AP:$AP,MATCH(G362,Cables!$A:$A,0))-1),1),1),1),INDEX(Cables!$AP:$AP,MATCH(G362,Cables!$A:$A,0))-1))+1)))*0.3048)</f>
        <v>0.75773280000000021</v>
      </c>
      <c r="I362" s="43">
        <f>IF(G362="","",EXP(FORECAST(LN(E362),INDEX(Attenuation!$K:$K,(INDEX(Cables!$AO:$AO,MATCH(G362,Cables!$A:$A,0))-1+MIN(MAX(IFERROR(MATCH(LN(E362),INDEX(Attenuation!$J:$J,INDEX(Cables!$AO:$AO,MATCH(G362,Cables!$A:$A,0))):INDEX(Attenuation!$J:$J,INDEX(Cables!$AO:$AO,MATCH(G362,Cables!$A:$A,0))+INDEX(Cables!$AP:$AP,MATCH(G362,Cables!$A:$A,0))-1),1),1),1),INDEX(Cables!$AP:$AP,MATCH(G362,Cables!$A:$A,0))-1))):INDEX(Attenuation!$K:$K,(INDEX(Cables!$AO:$AO,MATCH(G362,Cables!$A:$A,0))-1+MIN(MAX(IFERROR(MATCH(LN(E362),INDEX(Attenuation!$J:$J,INDEX(Cables!$AO:$AO,MATCH(G362,Cables!$A:$A,0))):INDEX(Attenuation!$J:$J,INDEX(Cables!$AO:$AO,MATCH(G362,Cables!$A:$A,0))+INDEX(Cables!$AP:$AP,MATCH(G362,Cables!$A:$A,0))-1),1),1),1),INDEX(Cables!$AP:$AP,MATCH(G362,Cables!$A:$A,0))-1))+1),INDEX(Attenuation!$J:$J,(INDEX(Cables!$AO:$AO,MATCH(G362,Cables!$A:$A,0))-1+MIN(MAX(IFERROR(MATCH(LN(E362),INDEX(Attenuation!$J:$J,INDEX(Cables!$AO:$AO,MATCH(G362,Cables!$A:$A,0))):INDEX(Attenuation!$J:$J,INDEX(Cables!$AO:$AO,MATCH(G362,Cables!$A:$A,0))+INDEX(Cables!$AP:$AP,MATCH(G362,Cables!$A:$A,0))-1),1),1),1),INDEX(Cables!$AP:$AP,MATCH(G362,Cables!$A:$A,0))-1))):INDEX(Attenuation!$J:$J,(INDEX(Cables!$AO:$AO,MATCH(G362,Cables!$A:$A,0))-1+MIN(MAX(IFERROR(MATCH(LN(E362),INDEX(Attenuation!$J:$J,INDEX(Cables!$AO:$AO,MATCH(G362,Cables!$A:$A,0))):INDEX(Attenuation!$J:$J,INDEX(Cables!$AO:$AO,MATCH(G362,Cables!$A:$A,0))+INDEX(Cables!$AP:$AP,MATCH(G362,Cables!$A:$A,0))-1),1),1),1),INDEX(Cables!$AP:$AP,MATCH(G362,Cables!$A:$A,0))-1))+1)))*0.3048)</f>
        <v>0.87363096398226014</v>
      </c>
      <c r="J362" s="44">
        <f t="shared" si="5"/>
        <v>0</v>
      </c>
      <c r="K362" s="40" t="str">
        <f>IF(G362="","Doğrulanmadı",IF(ABS(J362)&lt;=0.1,"Uyumlu (±%10)",IF(ABS(J362)&lt;=0.25,"Fark %10-25","Fark &gt;%25"))&amp;IF(OR(D362&lt;INDEX(Cables!$AQ:$AQ,MATCH(G362,Cables!$A:$A,0)),E362&gt;INDEX(Cables!$AR:$AR,MATCH(G362,Cables!$A:$A,0)))," · ekstrapolasyon",""))</f>
        <v>Uyumlu (±%10)</v>
      </c>
    </row>
    <row r="363" spans="1:11" x14ac:dyDescent="0.25">
      <c r="A363" s="37" t="s">
        <v>3079</v>
      </c>
      <c r="B363" s="40" t="str">
        <f>INDEX(Legacy_Index!$D:$D,MATCH(A363,Legacy_Index!$A:$A,0))</f>
        <v>7/8" LDF</v>
      </c>
      <c r="C363" s="37" t="s">
        <v>3116</v>
      </c>
      <c r="D363" s="37">
        <v>700</v>
      </c>
      <c r="E363" s="37">
        <v>960</v>
      </c>
      <c r="F363" s="37">
        <v>1.2</v>
      </c>
      <c r="G363" s="40" t="str">
        <f>IF(INDEX(Legacy_Index!$G:$G,MATCH(A363,Legacy_Index!$A:$A,0))="","",INDEX(Legacy_Index!$G:$G,MATCH(A363,Legacy_Index!$A:$A,0)))</f>
        <v>CS-LDF5-50A</v>
      </c>
      <c r="H363" s="43">
        <f>IF(G363="","",EXP(FORECAST(LN(D363),INDEX(Attenuation!$K:$K,(INDEX(Cables!$AO:$AO,MATCH(G363,Cables!$A:$A,0))-1+MIN(MAX(IFERROR(MATCH(LN(D363),INDEX(Attenuation!$J:$J,INDEX(Cables!$AO:$AO,MATCH(G363,Cables!$A:$A,0))):INDEX(Attenuation!$J:$J,INDEX(Cables!$AO:$AO,MATCH(G363,Cables!$A:$A,0))+INDEX(Cables!$AP:$AP,MATCH(G363,Cables!$A:$A,0))-1),1),1),1),INDEX(Cables!$AP:$AP,MATCH(G363,Cables!$A:$A,0))-1))):INDEX(Attenuation!$K:$K,(INDEX(Cables!$AO:$AO,MATCH(G363,Cables!$A:$A,0))-1+MIN(MAX(IFERROR(MATCH(LN(D363),INDEX(Attenuation!$J:$J,INDEX(Cables!$AO:$AO,MATCH(G363,Cables!$A:$A,0))):INDEX(Attenuation!$J:$J,INDEX(Cables!$AO:$AO,MATCH(G363,Cables!$A:$A,0))+INDEX(Cables!$AP:$AP,MATCH(G363,Cables!$A:$A,0))-1),1),1),1),INDEX(Cables!$AP:$AP,MATCH(G363,Cables!$A:$A,0))-1))+1),INDEX(Attenuation!$J:$J,(INDEX(Cables!$AO:$AO,MATCH(G363,Cables!$A:$A,0))-1+MIN(MAX(IFERROR(MATCH(LN(D363),INDEX(Attenuation!$J:$J,INDEX(Cables!$AO:$AO,MATCH(G363,Cables!$A:$A,0))):INDEX(Attenuation!$J:$J,INDEX(Cables!$AO:$AO,MATCH(G363,Cables!$A:$A,0))+INDEX(Cables!$AP:$AP,MATCH(G363,Cables!$A:$A,0))-1),1),1),1),INDEX(Cables!$AP:$AP,MATCH(G363,Cables!$A:$A,0))-1))):INDEX(Attenuation!$J:$J,(INDEX(Cables!$AO:$AO,MATCH(G363,Cables!$A:$A,0))-1+MIN(MAX(IFERROR(MATCH(LN(D363),INDEX(Attenuation!$J:$J,INDEX(Cables!$AO:$AO,MATCH(G363,Cables!$A:$A,0))):INDEX(Attenuation!$J:$J,INDEX(Cables!$AO:$AO,MATCH(G363,Cables!$A:$A,0))+INDEX(Cables!$AP:$AP,MATCH(G363,Cables!$A:$A,0))-1),1),1),1),INDEX(Cables!$AP:$AP,MATCH(G363,Cables!$A:$A,0))-1))+1)))*0.3048)</f>
        <v>1.0283951999999998</v>
      </c>
      <c r="I363" s="43">
        <f>IF(G363="","",EXP(FORECAST(LN(E363),INDEX(Attenuation!$K:$K,(INDEX(Cables!$AO:$AO,MATCH(G363,Cables!$A:$A,0))-1+MIN(MAX(IFERROR(MATCH(LN(E363),INDEX(Attenuation!$J:$J,INDEX(Cables!$AO:$AO,MATCH(G363,Cables!$A:$A,0))):INDEX(Attenuation!$J:$J,INDEX(Cables!$AO:$AO,MATCH(G363,Cables!$A:$A,0))+INDEX(Cables!$AP:$AP,MATCH(G363,Cables!$A:$A,0))-1),1),1),1),INDEX(Cables!$AP:$AP,MATCH(G363,Cables!$A:$A,0))-1))):INDEX(Attenuation!$K:$K,(INDEX(Cables!$AO:$AO,MATCH(G363,Cables!$A:$A,0))-1+MIN(MAX(IFERROR(MATCH(LN(E363),INDEX(Attenuation!$J:$J,INDEX(Cables!$AO:$AO,MATCH(G363,Cables!$A:$A,0))):INDEX(Attenuation!$J:$J,INDEX(Cables!$AO:$AO,MATCH(G363,Cables!$A:$A,0))+INDEX(Cables!$AP:$AP,MATCH(G363,Cables!$A:$A,0))-1),1),1),1),INDEX(Cables!$AP:$AP,MATCH(G363,Cables!$A:$A,0))-1))+1),INDEX(Attenuation!$J:$J,(INDEX(Cables!$AO:$AO,MATCH(G363,Cables!$A:$A,0))-1+MIN(MAX(IFERROR(MATCH(LN(E363),INDEX(Attenuation!$J:$J,INDEX(Cables!$AO:$AO,MATCH(G363,Cables!$A:$A,0))):INDEX(Attenuation!$J:$J,INDEX(Cables!$AO:$AO,MATCH(G363,Cables!$A:$A,0))+INDEX(Cables!$AP:$AP,MATCH(G363,Cables!$A:$A,0))-1),1),1),1),INDEX(Cables!$AP:$AP,MATCH(G363,Cables!$A:$A,0))-1))):INDEX(Attenuation!$J:$J,(INDEX(Cables!$AO:$AO,MATCH(G363,Cables!$A:$A,0))-1+MIN(MAX(IFERROR(MATCH(LN(E363),INDEX(Attenuation!$J:$J,INDEX(Cables!$AO:$AO,MATCH(G363,Cables!$A:$A,0))):INDEX(Attenuation!$J:$J,INDEX(Cables!$AO:$AO,MATCH(G363,Cables!$A:$A,0))+INDEX(Cables!$AP:$AP,MATCH(G363,Cables!$A:$A,0))-1),1),1),1),INDEX(Cables!$AP:$AP,MATCH(G363,Cables!$A:$A,0))-1))+1)))*0.3048)</f>
        <v>1.2259055999999995</v>
      </c>
      <c r="J363" s="44">
        <f t="shared" si="5"/>
        <v>0</v>
      </c>
      <c r="K363" s="40" t="str">
        <f>IF(G363="","Doğrulanmadı",IF(ABS(J363)&lt;=0.1,"Uyumlu (±%10)",IF(ABS(J363)&lt;=0.25,"Fark %10-25","Fark &gt;%25"))&amp;IF(OR(D363&lt;INDEX(Cables!$AQ:$AQ,MATCH(G363,Cables!$A:$A,0)),E363&gt;INDEX(Cables!$AR:$AR,MATCH(G363,Cables!$A:$A,0)))," · ekstrapolasyon",""))</f>
        <v>Uyumlu (±%10)</v>
      </c>
    </row>
    <row r="364" spans="1:11" x14ac:dyDescent="0.25">
      <c r="A364" s="37" t="s">
        <v>3079</v>
      </c>
      <c r="B364" s="40" t="str">
        <f>INDEX(Legacy_Index!$D:$D,MATCH(A364,Legacy_Index!$A:$A,0))</f>
        <v>7/8" LDF</v>
      </c>
      <c r="C364" s="37" t="s">
        <v>3120</v>
      </c>
      <c r="D364" s="37">
        <v>1200</v>
      </c>
      <c r="E364" s="37">
        <v>1300</v>
      </c>
      <c r="F364" s="37">
        <v>1.5</v>
      </c>
      <c r="G364" s="40" t="str">
        <f>IF(INDEX(Legacy_Index!$G:$G,MATCH(A364,Legacy_Index!$A:$A,0))="","",INDEX(Legacy_Index!$G:$G,MATCH(A364,Legacy_Index!$A:$A,0)))</f>
        <v>CS-LDF5-50A</v>
      </c>
      <c r="H364" s="43">
        <f>IF(G364="","",EXP(FORECAST(LN(D364),INDEX(Attenuation!$K:$K,(INDEX(Cables!$AO:$AO,MATCH(G364,Cables!$A:$A,0))-1+MIN(MAX(IFERROR(MATCH(LN(D364),INDEX(Attenuation!$J:$J,INDEX(Cables!$AO:$AO,MATCH(G364,Cables!$A:$A,0))):INDEX(Attenuation!$J:$J,INDEX(Cables!$AO:$AO,MATCH(G364,Cables!$A:$A,0))+INDEX(Cables!$AP:$AP,MATCH(G364,Cables!$A:$A,0))-1),1),1),1),INDEX(Cables!$AP:$AP,MATCH(G364,Cables!$A:$A,0))-1))):INDEX(Attenuation!$K:$K,(INDEX(Cables!$AO:$AO,MATCH(G364,Cables!$A:$A,0))-1+MIN(MAX(IFERROR(MATCH(LN(D364),INDEX(Attenuation!$J:$J,INDEX(Cables!$AO:$AO,MATCH(G364,Cables!$A:$A,0))):INDEX(Attenuation!$J:$J,INDEX(Cables!$AO:$AO,MATCH(G364,Cables!$A:$A,0))+INDEX(Cables!$AP:$AP,MATCH(G364,Cables!$A:$A,0))-1),1),1),1),INDEX(Cables!$AP:$AP,MATCH(G364,Cables!$A:$A,0))-1))+1),INDEX(Attenuation!$J:$J,(INDEX(Cables!$AO:$AO,MATCH(G364,Cables!$A:$A,0))-1+MIN(MAX(IFERROR(MATCH(LN(D364),INDEX(Attenuation!$J:$J,INDEX(Cables!$AO:$AO,MATCH(G364,Cables!$A:$A,0))):INDEX(Attenuation!$J:$J,INDEX(Cables!$AO:$AO,MATCH(G364,Cables!$A:$A,0))+INDEX(Cables!$AP:$AP,MATCH(G364,Cables!$A:$A,0))-1),1),1),1),INDEX(Cables!$AP:$AP,MATCH(G364,Cables!$A:$A,0))-1))):INDEX(Attenuation!$J:$J,(INDEX(Cables!$AO:$AO,MATCH(G364,Cables!$A:$A,0))-1+MIN(MAX(IFERROR(MATCH(LN(D364),INDEX(Attenuation!$J:$J,INDEX(Cables!$AO:$AO,MATCH(G364,Cables!$A:$A,0))):INDEX(Attenuation!$J:$J,INDEX(Cables!$AO:$AO,MATCH(G364,Cables!$A:$A,0))+INDEX(Cables!$AP:$AP,MATCH(G364,Cables!$A:$A,0))-1),1),1),1),INDEX(Cables!$AP:$AP,MATCH(G364,Cables!$A:$A,0))-1))+1)))*0.3048)</f>
        <v>1.390118358844066</v>
      </c>
      <c r="I364" s="43">
        <f>IF(G364="","",EXP(FORECAST(LN(E364),INDEX(Attenuation!$K:$K,(INDEX(Cables!$AO:$AO,MATCH(G364,Cables!$A:$A,0))-1+MIN(MAX(IFERROR(MATCH(LN(E364),INDEX(Attenuation!$J:$J,INDEX(Cables!$AO:$AO,MATCH(G364,Cables!$A:$A,0))):INDEX(Attenuation!$J:$J,INDEX(Cables!$AO:$AO,MATCH(G364,Cables!$A:$A,0))+INDEX(Cables!$AP:$AP,MATCH(G364,Cables!$A:$A,0))-1),1),1),1),INDEX(Cables!$AP:$AP,MATCH(G364,Cables!$A:$A,0))-1))):INDEX(Attenuation!$K:$K,(INDEX(Cables!$AO:$AO,MATCH(G364,Cables!$A:$A,0))-1+MIN(MAX(IFERROR(MATCH(LN(E364),INDEX(Attenuation!$J:$J,INDEX(Cables!$AO:$AO,MATCH(G364,Cables!$A:$A,0))):INDEX(Attenuation!$J:$J,INDEX(Cables!$AO:$AO,MATCH(G364,Cables!$A:$A,0))+INDEX(Cables!$AP:$AP,MATCH(G364,Cables!$A:$A,0))-1),1),1),1),INDEX(Cables!$AP:$AP,MATCH(G364,Cables!$A:$A,0))-1))+1),INDEX(Attenuation!$J:$J,(INDEX(Cables!$AO:$AO,MATCH(G364,Cables!$A:$A,0))-1+MIN(MAX(IFERROR(MATCH(LN(E364),INDEX(Attenuation!$J:$J,INDEX(Cables!$AO:$AO,MATCH(G364,Cables!$A:$A,0))):INDEX(Attenuation!$J:$J,INDEX(Cables!$AO:$AO,MATCH(G364,Cables!$A:$A,0))+INDEX(Cables!$AP:$AP,MATCH(G364,Cables!$A:$A,0))-1),1),1),1),INDEX(Cables!$AP:$AP,MATCH(G364,Cables!$A:$A,0))-1))):INDEX(Attenuation!$J:$J,(INDEX(Cables!$AO:$AO,MATCH(G364,Cables!$A:$A,0))-1+MIN(MAX(IFERROR(MATCH(LN(E364),INDEX(Attenuation!$J:$J,INDEX(Cables!$AO:$AO,MATCH(G364,Cables!$A:$A,0))):INDEX(Attenuation!$J:$J,INDEX(Cables!$AO:$AO,MATCH(G364,Cables!$A:$A,0))+INDEX(Cables!$AP:$AP,MATCH(G364,Cables!$A:$A,0))-1),1),1),1),INDEX(Cables!$AP:$AP,MATCH(G364,Cables!$A:$A,0))-1))+1)))*0.3048)</f>
        <v>1.4546543730759722</v>
      </c>
      <c r="J364" s="44">
        <f t="shared" si="5"/>
        <v>3.1172784245745655E-2</v>
      </c>
      <c r="K364" s="40" t="str">
        <f>IF(G364="","Doğrulanmadı",IF(ABS(J364)&lt;=0.1,"Uyumlu (±%10)",IF(ABS(J364)&lt;=0.25,"Fark %10-25","Fark &gt;%25"))&amp;IF(OR(D364&lt;INDEX(Cables!$AQ:$AQ,MATCH(G364,Cables!$A:$A,0)),E364&gt;INDEX(Cables!$AR:$AR,MATCH(G364,Cables!$A:$A,0)))," · ekstrapolasyon",""))</f>
        <v>Uyumlu (±%10)</v>
      </c>
    </row>
    <row r="365" spans="1:11" x14ac:dyDescent="0.25">
      <c r="A365" s="37" t="s">
        <v>3079</v>
      </c>
      <c r="B365" s="40" t="str">
        <f>INDEX(Legacy_Index!$D:$D,MATCH(A365,Legacy_Index!$A:$A,0))</f>
        <v>7/8" LDF</v>
      </c>
      <c r="C365" s="37" t="s">
        <v>3121</v>
      </c>
      <c r="D365" s="37">
        <v>2400</v>
      </c>
      <c r="E365" s="37">
        <v>2500</v>
      </c>
      <c r="F365" s="37">
        <v>2.2999999999999998</v>
      </c>
      <c r="G365" s="40" t="str">
        <f>IF(INDEX(Legacy_Index!$G:$G,MATCH(A365,Legacy_Index!$A:$A,0))="","",INDEX(Legacy_Index!$G:$G,MATCH(A365,Legacy_Index!$A:$A,0)))</f>
        <v>CS-LDF5-50A</v>
      </c>
      <c r="H365" s="43">
        <f>IF(G365="","",EXP(FORECAST(LN(D365),INDEX(Attenuation!$K:$K,(INDEX(Cables!$AO:$AO,MATCH(G365,Cables!$A:$A,0))-1+MIN(MAX(IFERROR(MATCH(LN(D365),INDEX(Attenuation!$J:$J,INDEX(Cables!$AO:$AO,MATCH(G365,Cables!$A:$A,0))):INDEX(Attenuation!$J:$J,INDEX(Cables!$AO:$AO,MATCH(G365,Cables!$A:$A,0))+INDEX(Cables!$AP:$AP,MATCH(G365,Cables!$A:$A,0))-1),1),1),1),INDEX(Cables!$AP:$AP,MATCH(G365,Cables!$A:$A,0))-1))):INDEX(Attenuation!$K:$K,(INDEX(Cables!$AO:$AO,MATCH(G365,Cables!$A:$A,0))-1+MIN(MAX(IFERROR(MATCH(LN(D365),INDEX(Attenuation!$J:$J,INDEX(Cables!$AO:$AO,MATCH(G365,Cables!$A:$A,0))):INDEX(Attenuation!$J:$J,INDEX(Cables!$AO:$AO,MATCH(G365,Cables!$A:$A,0))+INDEX(Cables!$AP:$AP,MATCH(G365,Cables!$A:$A,0))-1),1),1),1),INDEX(Cables!$AP:$AP,MATCH(G365,Cables!$A:$A,0))-1))+1),INDEX(Attenuation!$J:$J,(INDEX(Cables!$AO:$AO,MATCH(G365,Cables!$A:$A,0))-1+MIN(MAX(IFERROR(MATCH(LN(D365),INDEX(Attenuation!$J:$J,INDEX(Cables!$AO:$AO,MATCH(G365,Cables!$A:$A,0))):INDEX(Attenuation!$J:$J,INDEX(Cables!$AO:$AO,MATCH(G365,Cables!$A:$A,0))+INDEX(Cables!$AP:$AP,MATCH(G365,Cables!$A:$A,0))-1),1),1),1),INDEX(Cables!$AP:$AP,MATCH(G365,Cables!$A:$A,0))-1))):INDEX(Attenuation!$J:$J,(INDEX(Cables!$AO:$AO,MATCH(G365,Cables!$A:$A,0))-1+MIN(MAX(IFERROR(MATCH(LN(D365),INDEX(Attenuation!$J:$J,INDEX(Cables!$AO:$AO,MATCH(G365,Cables!$A:$A,0))):INDEX(Attenuation!$J:$J,INDEX(Cables!$AO:$AO,MATCH(G365,Cables!$A:$A,0))+INDEX(Cables!$AP:$AP,MATCH(G365,Cables!$A:$A,0))-1),1),1),1),INDEX(Cables!$AP:$AP,MATCH(G365,Cables!$A:$A,0))-1))+1)))*0.3048)</f>
        <v>2.0733806778996113</v>
      </c>
      <c r="I365" s="43">
        <f>IF(G365="","",EXP(FORECAST(LN(E365),INDEX(Attenuation!$K:$K,(INDEX(Cables!$AO:$AO,MATCH(G365,Cables!$A:$A,0))-1+MIN(MAX(IFERROR(MATCH(LN(E365),INDEX(Attenuation!$J:$J,INDEX(Cables!$AO:$AO,MATCH(G365,Cables!$A:$A,0))):INDEX(Attenuation!$J:$J,INDEX(Cables!$AO:$AO,MATCH(G365,Cables!$A:$A,0))+INDEX(Cables!$AP:$AP,MATCH(G365,Cables!$A:$A,0))-1),1),1),1),INDEX(Cables!$AP:$AP,MATCH(G365,Cables!$A:$A,0))-1))):INDEX(Attenuation!$K:$K,(INDEX(Cables!$AO:$AO,MATCH(G365,Cables!$A:$A,0))-1+MIN(MAX(IFERROR(MATCH(LN(E365),INDEX(Attenuation!$J:$J,INDEX(Cables!$AO:$AO,MATCH(G365,Cables!$A:$A,0))):INDEX(Attenuation!$J:$J,INDEX(Cables!$AO:$AO,MATCH(G365,Cables!$A:$A,0))+INDEX(Cables!$AP:$AP,MATCH(G365,Cables!$A:$A,0))-1),1),1),1),INDEX(Cables!$AP:$AP,MATCH(G365,Cables!$A:$A,0))-1))+1),INDEX(Attenuation!$J:$J,(INDEX(Cables!$AO:$AO,MATCH(G365,Cables!$A:$A,0))-1+MIN(MAX(IFERROR(MATCH(LN(E365),INDEX(Attenuation!$J:$J,INDEX(Cables!$AO:$AO,MATCH(G365,Cables!$A:$A,0))):INDEX(Attenuation!$J:$J,INDEX(Cables!$AO:$AO,MATCH(G365,Cables!$A:$A,0))+INDEX(Cables!$AP:$AP,MATCH(G365,Cables!$A:$A,0))-1),1),1),1),INDEX(Cables!$AP:$AP,MATCH(G365,Cables!$A:$A,0))-1))):INDEX(Attenuation!$J:$J,(INDEX(Cables!$AO:$AO,MATCH(G365,Cables!$A:$A,0))-1+MIN(MAX(IFERROR(MATCH(LN(E365),INDEX(Attenuation!$J:$J,INDEX(Cables!$AO:$AO,MATCH(G365,Cables!$A:$A,0))):INDEX(Attenuation!$J:$J,INDEX(Cables!$AO:$AO,MATCH(G365,Cables!$A:$A,0))+INDEX(Cables!$AP:$AP,MATCH(G365,Cables!$A:$A,0))-1),1),1),1),INDEX(Cables!$AP:$AP,MATCH(G365,Cables!$A:$A,0))-1))+1)))*0.3048)</f>
        <v>2.1238464000000006</v>
      </c>
      <c r="J365" s="44">
        <f t="shared" si="5"/>
        <v>8.2940837906168463E-2</v>
      </c>
      <c r="K365" s="40" t="str">
        <f>IF(G365="","Doğrulanmadı",IF(ABS(J365)&lt;=0.1,"Uyumlu (±%10)",IF(ABS(J365)&lt;=0.25,"Fark %10-25","Fark &gt;%25"))&amp;IF(OR(D365&lt;INDEX(Cables!$AQ:$AQ,MATCH(G365,Cables!$A:$A,0)),E365&gt;INDEX(Cables!$AR:$AR,MATCH(G365,Cables!$A:$A,0)))," · ekstrapolasyon",""))</f>
        <v>Uyumlu (±%10)</v>
      </c>
    </row>
    <row r="366" spans="1:11" x14ac:dyDescent="0.25">
      <c r="A366" s="37" t="s">
        <v>3079</v>
      </c>
      <c r="B366" s="40" t="str">
        <f>INDEX(Legacy_Index!$D:$D,MATCH(A366,Legacy_Index!$A:$A,0))</f>
        <v>7/8" LDF</v>
      </c>
      <c r="C366" s="37" t="s">
        <v>3122</v>
      </c>
      <c r="D366" s="37">
        <v>5725</v>
      </c>
      <c r="E366" s="37">
        <v>5875</v>
      </c>
      <c r="F366" s="37">
        <v>3.8</v>
      </c>
      <c r="G366" s="40" t="str">
        <f>IF(INDEX(Legacy_Index!$G:$G,MATCH(A366,Legacy_Index!$A:$A,0))="","",INDEX(Legacy_Index!$G:$G,MATCH(A366,Legacy_Index!$A:$A,0)))</f>
        <v>CS-LDF5-50A</v>
      </c>
      <c r="H366" s="43">
        <f>IF(G366="","",EXP(FORECAST(LN(D366),INDEX(Attenuation!$K:$K,(INDEX(Cables!$AO:$AO,MATCH(G366,Cables!$A:$A,0))-1+MIN(MAX(IFERROR(MATCH(LN(D366),INDEX(Attenuation!$J:$J,INDEX(Cables!$AO:$AO,MATCH(G366,Cables!$A:$A,0))):INDEX(Attenuation!$J:$J,INDEX(Cables!$AO:$AO,MATCH(G366,Cables!$A:$A,0))+INDEX(Cables!$AP:$AP,MATCH(G366,Cables!$A:$A,0))-1),1),1),1),INDEX(Cables!$AP:$AP,MATCH(G366,Cables!$A:$A,0))-1))):INDEX(Attenuation!$K:$K,(INDEX(Cables!$AO:$AO,MATCH(G366,Cables!$A:$A,0))-1+MIN(MAX(IFERROR(MATCH(LN(D366),INDEX(Attenuation!$J:$J,INDEX(Cables!$AO:$AO,MATCH(G366,Cables!$A:$A,0))):INDEX(Attenuation!$J:$J,INDEX(Cables!$AO:$AO,MATCH(G366,Cables!$A:$A,0))+INDEX(Cables!$AP:$AP,MATCH(G366,Cables!$A:$A,0))-1),1),1),1),INDEX(Cables!$AP:$AP,MATCH(G366,Cables!$A:$A,0))-1))+1),INDEX(Attenuation!$J:$J,(INDEX(Cables!$AO:$AO,MATCH(G366,Cables!$A:$A,0))-1+MIN(MAX(IFERROR(MATCH(LN(D366),INDEX(Attenuation!$J:$J,INDEX(Cables!$AO:$AO,MATCH(G366,Cables!$A:$A,0))):INDEX(Attenuation!$J:$J,INDEX(Cables!$AO:$AO,MATCH(G366,Cables!$A:$A,0))+INDEX(Cables!$AP:$AP,MATCH(G366,Cables!$A:$A,0))-1),1),1),1),INDEX(Cables!$AP:$AP,MATCH(G366,Cables!$A:$A,0))-1))):INDEX(Attenuation!$J:$J,(INDEX(Cables!$AO:$AO,MATCH(G366,Cables!$A:$A,0))-1+MIN(MAX(IFERROR(MATCH(LN(D366),INDEX(Attenuation!$J:$J,INDEX(Cables!$AO:$AO,MATCH(G366,Cables!$A:$A,0))):INDEX(Attenuation!$J:$J,INDEX(Cables!$AO:$AO,MATCH(G366,Cables!$A:$A,0))+INDEX(Cables!$AP:$AP,MATCH(G366,Cables!$A:$A,0))-1),1),1),1),INDEX(Cables!$AP:$AP,MATCH(G366,Cables!$A:$A,0))-1))+1)))*0.3048)</f>
        <v>3.5083639227785475</v>
      </c>
      <c r="I366" s="43">
        <f>IF(G366="","",EXP(FORECAST(LN(E366),INDEX(Attenuation!$K:$K,(INDEX(Cables!$AO:$AO,MATCH(G366,Cables!$A:$A,0))-1+MIN(MAX(IFERROR(MATCH(LN(E366),INDEX(Attenuation!$J:$J,INDEX(Cables!$AO:$AO,MATCH(G366,Cables!$A:$A,0))):INDEX(Attenuation!$J:$J,INDEX(Cables!$AO:$AO,MATCH(G366,Cables!$A:$A,0))+INDEX(Cables!$AP:$AP,MATCH(G366,Cables!$A:$A,0))-1),1),1),1),INDEX(Cables!$AP:$AP,MATCH(G366,Cables!$A:$A,0))-1))):INDEX(Attenuation!$K:$K,(INDEX(Cables!$AO:$AO,MATCH(G366,Cables!$A:$A,0))-1+MIN(MAX(IFERROR(MATCH(LN(E366),INDEX(Attenuation!$J:$J,INDEX(Cables!$AO:$AO,MATCH(G366,Cables!$A:$A,0))):INDEX(Attenuation!$J:$J,INDEX(Cables!$AO:$AO,MATCH(G366,Cables!$A:$A,0))+INDEX(Cables!$AP:$AP,MATCH(G366,Cables!$A:$A,0))-1),1),1),1),INDEX(Cables!$AP:$AP,MATCH(G366,Cables!$A:$A,0))-1))+1),INDEX(Attenuation!$J:$J,(INDEX(Cables!$AO:$AO,MATCH(G366,Cables!$A:$A,0))-1+MIN(MAX(IFERROR(MATCH(LN(E366),INDEX(Attenuation!$J:$J,INDEX(Cables!$AO:$AO,MATCH(G366,Cables!$A:$A,0))):INDEX(Attenuation!$J:$J,INDEX(Cables!$AO:$AO,MATCH(G366,Cables!$A:$A,0))+INDEX(Cables!$AP:$AP,MATCH(G366,Cables!$A:$A,0))-1),1),1),1),INDEX(Cables!$AP:$AP,MATCH(G366,Cables!$A:$A,0))-1))):INDEX(Attenuation!$J:$J,(INDEX(Cables!$AO:$AO,MATCH(G366,Cables!$A:$A,0))-1+MIN(MAX(IFERROR(MATCH(LN(E366),INDEX(Attenuation!$J:$J,INDEX(Cables!$AO:$AO,MATCH(G366,Cables!$A:$A,0))):INDEX(Attenuation!$J:$J,INDEX(Cables!$AO:$AO,MATCH(G366,Cables!$A:$A,0))+INDEX(Cables!$AP:$AP,MATCH(G366,Cables!$A:$A,0))-1),1),1),1),INDEX(Cables!$AP:$AP,MATCH(G366,Cables!$A:$A,0))-1))+1)))*0.3048)</f>
        <v>3.5647230699146482</v>
      </c>
      <c r="J366" s="44">
        <f t="shared" si="5"/>
        <v>6.600146083465197E-2</v>
      </c>
      <c r="K366" s="40" t="str">
        <f>IF(G366="","Doğrulanmadı",IF(ABS(J366)&lt;=0.1,"Uyumlu (±%10)",IF(ABS(J366)&lt;=0.25,"Fark %10-25","Fark &gt;%25"))&amp;IF(OR(D366&lt;INDEX(Cables!$AQ:$AQ,MATCH(G366,Cables!$A:$A,0)),E366&gt;INDEX(Cables!$AR:$AR,MATCH(G366,Cables!$A:$A,0)))," · ekstrapolasyon",""))</f>
        <v>Uyumlu (±%10) · ekstrapolasyon</v>
      </c>
    </row>
    <row r="367" spans="1:11" x14ac:dyDescent="0.25">
      <c r="A367" s="37" t="s">
        <v>3081</v>
      </c>
      <c r="B367" s="40" t="str">
        <f>INDEX(Legacy_Index!$D:$D,MATCH(A367,Legacy_Index!$A:$A,0))</f>
        <v>1 1/4" LDF</v>
      </c>
      <c r="C367" s="37" t="s">
        <v>3114</v>
      </c>
      <c r="D367" s="37">
        <v>148</v>
      </c>
      <c r="E367" s="37">
        <v>174</v>
      </c>
      <c r="F367" s="37">
        <v>0.34</v>
      </c>
      <c r="G367" s="40" t="str">
        <f>IF(INDEX(Legacy_Index!$G:$G,MATCH(A367,Legacy_Index!$A:$A,0))="","",INDEX(Legacy_Index!$G:$G,MATCH(A367,Legacy_Index!$A:$A,0)))</f>
        <v>CS-LDF6-50</v>
      </c>
      <c r="H367" s="43">
        <f>IF(G367="","",EXP(FORECAST(LN(D367),INDEX(Attenuation!$K:$K,(INDEX(Cables!$AO:$AO,MATCH(G367,Cables!$A:$A,0))-1+MIN(MAX(IFERROR(MATCH(LN(D367),INDEX(Attenuation!$J:$J,INDEX(Cables!$AO:$AO,MATCH(G367,Cables!$A:$A,0))):INDEX(Attenuation!$J:$J,INDEX(Cables!$AO:$AO,MATCH(G367,Cables!$A:$A,0))+INDEX(Cables!$AP:$AP,MATCH(G367,Cables!$A:$A,0))-1),1),1),1),INDEX(Cables!$AP:$AP,MATCH(G367,Cables!$A:$A,0))-1))):INDEX(Attenuation!$K:$K,(INDEX(Cables!$AO:$AO,MATCH(G367,Cables!$A:$A,0))-1+MIN(MAX(IFERROR(MATCH(LN(D367),INDEX(Attenuation!$J:$J,INDEX(Cables!$AO:$AO,MATCH(G367,Cables!$A:$A,0))):INDEX(Attenuation!$J:$J,INDEX(Cables!$AO:$AO,MATCH(G367,Cables!$A:$A,0))+INDEX(Cables!$AP:$AP,MATCH(G367,Cables!$A:$A,0))-1),1),1),1),INDEX(Cables!$AP:$AP,MATCH(G367,Cables!$A:$A,0))-1))+1),INDEX(Attenuation!$J:$J,(INDEX(Cables!$AO:$AO,MATCH(G367,Cables!$A:$A,0))-1+MIN(MAX(IFERROR(MATCH(LN(D367),INDEX(Attenuation!$J:$J,INDEX(Cables!$AO:$AO,MATCH(G367,Cables!$A:$A,0))):INDEX(Attenuation!$J:$J,INDEX(Cables!$AO:$AO,MATCH(G367,Cables!$A:$A,0))+INDEX(Cables!$AP:$AP,MATCH(G367,Cables!$A:$A,0))-1),1),1),1),INDEX(Cables!$AP:$AP,MATCH(G367,Cables!$A:$A,0))-1))):INDEX(Attenuation!$J:$J,(INDEX(Cables!$AO:$AO,MATCH(G367,Cables!$A:$A,0))-1+MIN(MAX(IFERROR(MATCH(LN(D367),INDEX(Attenuation!$J:$J,INDEX(Cables!$AO:$AO,MATCH(G367,Cables!$A:$A,0))):INDEX(Attenuation!$J:$J,INDEX(Cables!$AO:$AO,MATCH(G367,Cables!$A:$A,0))+INDEX(Cables!$AP:$AP,MATCH(G367,Cables!$A:$A,0))-1),1),1),1),INDEX(Cables!$AP:$AP,MATCH(G367,Cables!$A:$A,0))-1))+1)))*0.3048)</f>
        <v>0.29749554689964541</v>
      </c>
      <c r="I367" s="43">
        <f>IF(G367="","",EXP(FORECAST(LN(E367),INDEX(Attenuation!$K:$K,(INDEX(Cables!$AO:$AO,MATCH(G367,Cables!$A:$A,0))-1+MIN(MAX(IFERROR(MATCH(LN(E367),INDEX(Attenuation!$J:$J,INDEX(Cables!$AO:$AO,MATCH(G367,Cables!$A:$A,0))):INDEX(Attenuation!$J:$J,INDEX(Cables!$AO:$AO,MATCH(G367,Cables!$A:$A,0))+INDEX(Cables!$AP:$AP,MATCH(G367,Cables!$A:$A,0))-1),1),1),1),INDEX(Cables!$AP:$AP,MATCH(G367,Cables!$A:$A,0))-1))):INDEX(Attenuation!$K:$K,(INDEX(Cables!$AO:$AO,MATCH(G367,Cables!$A:$A,0))-1+MIN(MAX(IFERROR(MATCH(LN(E367),INDEX(Attenuation!$J:$J,INDEX(Cables!$AO:$AO,MATCH(G367,Cables!$A:$A,0))):INDEX(Attenuation!$J:$J,INDEX(Cables!$AO:$AO,MATCH(G367,Cables!$A:$A,0))+INDEX(Cables!$AP:$AP,MATCH(G367,Cables!$A:$A,0))-1),1),1),1),INDEX(Cables!$AP:$AP,MATCH(G367,Cables!$A:$A,0))-1))+1),INDEX(Attenuation!$J:$J,(INDEX(Cables!$AO:$AO,MATCH(G367,Cables!$A:$A,0))-1+MIN(MAX(IFERROR(MATCH(LN(E367),INDEX(Attenuation!$J:$J,INDEX(Cables!$AO:$AO,MATCH(G367,Cables!$A:$A,0))):INDEX(Attenuation!$J:$J,INDEX(Cables!$AO:$AO,MATCH(G367,Cables!$A:$A,0))+INDEX(Cables!$AP:$AP,MATCH(G367,Cables!$A:$A,0))-1),1),1),1),INDEX(Cables!$AP:$AP,MATCH(G367,Cables!$A:$A,0))-1))):INDEX(Attenuation!$J:$J,(INDEX(Cables!$AO:$AO,MATCH(G367,Cables!$A:$A,0))-1+MIN(MAX(IFERROR(MATCH(LN(E367),INDEX(Attenuation!$J:$J,INDEX(Cables!$AO:$AO,MATCH(G367,Cables!$A:$A,0))):INDEX(Attenuation!$J:$J,INDEX(Cables!$AO:$AO,MATCH(G367,Cables!$A:$A,0))+INDEX(Cables!$AP:$AP,MATCH(G367,Cables!$A:$A,0))-1),1),1),1),INDEX(Cables!$AP:$AP,MATCH(G367,Cables!$A:$A,0))-1))+1)))*0.3048)</f>
        <v>0.32308799999999999</v>
      </c>
      <c r="J367" s="44">
        <f t="shared" si="5"/>
        <v>5.2344871985341657E-2</v>
      </c>
      <c r="K367" s="40" t="str">
        <f>IF(G367="","Doğrulanmadı",IF(ABS(J367)&lt;=0.1,"Uyumlu (±%10)",IF(ABS(J367)&lt;=0.25,"Fark %10-25","Fark &gt;%25"))&amp;IF(OR(D367&lt;INDEX(Cables!$AQ:$AQ,MATCH(G367,Cables!$A:$A,0)),E367&gt;INDEX(Cables!$AR:$AR,MATCH(G367,Cables!$A:$A,0)))," · ekstrapolasyon",""))</f>
        <v>Uyumlu (±%10)</v>
      </c>
    </row>
    <row r="368" spans="1:11" x14ac:dyDescent="0.25">
      <c r="A368" s="37" t="s">
        <v>3081</v>
      </c>
      <c r="B368" s="40" t="str">
        <f>INDEX(Legacy_Index!$D:$D,MATCH(A368,Legacy_Index!$A:$A,0))</f>
        <v>1 1/4" LDF</v>
      </c>
      <c r="C368" s="37" t="s">
        <v>3119</v>
      </c>
      <c r="D368" s="37">
        <v>220</v>
      </c>
      <c r="E368" s="37">
        <v>220</v>
      </c>
      <c r="F368" s="37">
        <v>0.42</v>
      </c>
      <c r="G368" s="40" t="str">
        <f>IF(INDEX(Legacy_Index!$G:$G,MATCH(A368,Legacy_Index!$A:$A,0))="","",INDEX(Legacy_Index!$G:$G,MATCH(A368,Legacy_Index!$A:$A,0)))</f>
        <v>CS-LDF6-50</v>
      </c>
      <c r="H368" s="43">
        <f>IF(G368="","",EXP(FORECAST(LN(D368),INDEX(Attenuation!$K:$K,(INDEX(Cables!$AO:$AO,MATCH(G368,Cables!$A:$A,0))-1+MIN(MAX(IFERROR(MATCH(LN(D368),INDEX(Attenuation!$J:$J,INDEX(Cables!$AO:$AO,MATCH(G368,Cables!$A:$A,0))):INDEX(Attenuation!$J:$J,INDEX(Cables!$AO:$AO,MATCH(G368,Cables!$A:$A,0))+INDEX(Cables!$AP:$AP,MATCH(G368,Cables!$A:$A,0))-1),1),1),1),INDEX(Cables!$AP:$AP,MATCH(G368,Cables!$A:$A,0))-1))):INDEX(Attenuation!$K:$K,(INDEX(Cables!$AO:$AO,MATCH(G368,Cables!$A:$A,0))-1+MIN(MAX(IFERROR(MATCH(LN(D368),INDEX(Attenuation!$J:$J,INDEX(Cables!$AO:$AO,MATCH(G368,Cables!$A:$A,0))):INDEX(Attenuation!$J:$J,INDEX(Cables!$AO:$AO,MATCH(G368,Cables!$A:$A,0))+INDEX(Cables!$AP:$AP,MATCH(G368,Cables!$A:$A,0))-1),1),1),1),INDEX(Cables!$AP:$AP,MATCH(G368,Cables!$A:$A,0))-1))+1),INDEX(Attenuation!$J:$J,(INDEX(Cables!$AO:$AO,MATCH(G368,Cables!$A:$A,0))-1+MIN(MAX(IFERROR(MATCH(LN(D368),INDEX(Attenuation!$J:$J,INDEX(Cables!$AO:$AO,MATCH(G368,Cables!$A:$A,0))):INDEX(Attenuation!$J:$J,INDEX(Cables!$AO:$AO,MATCH(G368,Cables!$A:$A,0))+INDEX(Cables!$AP:$AP,MATCH(G368,Cables!$A:$A,0))-1),1),1),1),INDEX(Cables!$AP:$AP,MATCH(G368,Cables!$A:$A,0))-1))):INDEX(Attenuation!$J:$J,(INDEX(Cables!$AO:$AO,MATCH(G368,Cables!$A:$A,0))-1+MIN(MAX(IFERROR(MATCH(LN(D368),INDEX(Attenuation!$J:$J,INDEX(Cables!$AO:$AO,MATCH(G368,Cables!$A:$A,0))):INDEX(Attenuation!$J:$J,INDEX(Cables!$AO:$AO,MATCH(G368,Cables!$A:$A,0))+INDEX(Cables!$AP:$AP,MATCH(G368,Cables!$A:$A,0))-1),1),1),1),INDEX(Cables!$AP:$AP,MATCH(G368,Cables!$A:$A,0))-1))+1)))*0.3048)</f>
        <v>0.36894261340370899</v>
      </c>
      <c r="I368" s="43">
        <f>IF(G368="","",EXP(FORECAST(LN(E368),INDEX(Attenuation!$K:$K,(INDEX(Cables!$AO:$AO,MATCH(G368,Cables!$A:$A,0))-1+MIN(MAX(IFERROR(MATCH(LN(E368),INDEX(Attenuation!$J:$J,INDEX(Cables!$AO:$AO,MATCH(G368,Cables!$A:$A,0))):INDEX(Attenuation!$J:$J,INDEX(Cables!$AO:$AO,MATCH(G368,Cables!$A:$A,0))+INDEX(Cables!$AP:$AP,MATCH(G368,Cables!$A:$A,0))-1),1),1),1),INDEX(Cables!$AP:$AP,MATCH(G368,Cables!$A:$A,0))-1))):INDEX(Attenuation!$K:$K,(INDEX(Cables!$AO:$AO,MATCH(G368,Cables!$A:$A,0))-1+MIN(MAX(IFERROR(MATCH(LN(E368),INDEX(Attenuation!$J:$J,INDEX(Cables!$AO:$AO,MATCH(G368,Cables!$A:$A,0))):INDEX(Attenuation!$J:$J,INDEX(Cables!$AO:$AO,MATCH(G368,Cables!$A:$A,0))+INDEX(Cables!$AP:$AP,MATCH(G368,Cables!$A:$A,0))-1),1),1),1),INDEX(Cables!$AP:$AP,MATCH(G368,Cables!$A:$A,0))-1))+1),INDEX(Attenuation!$J:$J,(INDEX(Cables!$AO:$AO,MATCH(G368,Cables!$A:$A,0))-1+MIN(MAX(IFERROR(MATCH(LN(E368),INDEX(Attenuation!$J:$J,INDEX(Cables!$AO:$AO,MATCH(G368,Cables!$A:$A,0))):INDEX(Attenuation!$J:$J,INDEX(Cables!$AO:$AO,MATCH(G368,Cables!$A:$A,0))+INDEX(Cables!$AP:$AP,MATCH(G368,Cables!$A:$A,0))-1),1),1),1),INDEX(Cables!$AP:$AP,MATCH(G368,Cables!$A:$A,0))-1))):INDEX(Attenuation!$J:$J,(INDEX(Cables!$AO:$AO,MATCH(G368,Cables!$A:$A,0))-1+MIN(MAX(IFERROR(MATCH(LN(E368),INDEX(Attenuation!$J:$J,INDEX(Cables!$AO:$AO,MATCH(G368,Cables!$A:$A,0))):INDEX(Attenuation!$J:$J,INDEX(Cables!$AO:$AO,MATCH(G368,Cables!$A:$A,0))+INDEX(Cables!$AP:$AP,MATCH(G368,Cables!$A:$A,0))-1),1),1),1),INDEX(Cables!$AP:$AP,MATCH(G368,Cables!$A:$A,0))-1))+1)))*0.3048)</f>
        <v>0.36894261340370899</v>
      </c>
      <c r="J368" s="44">
        <f t="shared" si="5"/>
        <v>0.13838842340616897</v>
      </c>
      <c r="K368" s="40" t="str">
        <f>IF(G368="","Doğrulanmadı",IF(ABS(J368)&lt;=0.1,"Uyumlu (±%10)",IF(ABS(J368)&lt;=0.25,"Fark %10-25","Fark &gt;%25"))&amp;IF(OR(D368&lt;INDEX(Cables!$AQ:$AQ,MATCH(G368,Cables!$A:$A,0)),E368&gt;INDEX(Cables!$AR:$AR,MATCH(G368,Cables!$A:$A,0)))," · ekstrapolasyon",""))</f>
        <v>Fark %10-25</v>
      </c>
    </row>
    <row r="369" spans="1:11" x14ac:dyDescent="0.25">
      <c r="A369" s="37" t="s">
        <v>3081</v>
      </c>
      <c r="B369" s="40" t="str">
        <f>INDEX(Legacy_Index!$D:$D,MATCH(A369,Legacy_Index!$A:$A,0))</f>
        <v>1 1/4" LDF</v>
      </c>
      <c r="C369" s="37" t="s">
        <v>3115</v>
      </c>
      <c r="D369" s="37">
        <v>400</v>
      </c>
      <c r="E369" s="37">
        <v>520</v>
      </c>
      <c r="F369" s="37">
        <v>0.62</v>
      </c>
      <c r="G369" s="40" t="str">
        <f>IF(INDEX(Legacy_Index!$G:$G,MATCH(A369,Legacy_Index!$A:$A,0))="","",INDEX(Legacy_Index!$G:$G,MATCH(A369,Legacy_Index!$A:$A,0)))</f>
        <v>CS-LDF6-50</v>
      </c>
      <c r="H369" s="43">
        <f>IF(G369="","",EXP(FORECAST(LN(D369),INDEX(Attenuation!$K:$K,(INDEX(Cables!$AO:$AO,MATCH(G369,Cables!$A:$A,0))-1+MIN(MAX(IFERROR(MATCH(LN(D369),INDEX(Attenuation!$J:$J,INDEX(Cables!$AO:$AO,MATCH(G369,Cables!$A:$A,0))):INDEX(Attenuation!$J:$J,INDEX(Cables!$AO:$AO,MATCH(G369,Cables!$A:$A,0))+INDEX(Cables!$AP:$AP,MATCH(G369,Cables!$A:$A,0))-1),1),1),1),INDEX(Cables!$AP:$AP,MATCH(G369,Cables!$A:$A,0))-1))):INDEX(Attenuation!$K:$K,(INDEX(Cables!$AO:$AO,MATCH(G369,Cables!$A:$A,0))-1+MIN(MAX(IFERROR(MATCH(LN(D369),INDEX(Attenuation!$J:$J,INDEX(Cables!$AO:$AO,MATCH(G369,Cables!$A:$A,0))):INDEX(Attenuation!$J:$J,INDEX(Cables!$AO:$AO,MATCH(G369,Cables!$A:$A,0))+INDEX(Cables!$AP:$AP,MATCH(G369,Cables!$A:$A,0))-1),1),1),1),INDEX(Cables!$AP:$AP,MATCH(G369,Cables!$A:$A,0))-1))+1),INDEX(Attenuation!$J:$J,(INDEX(Cables!$AO:$AO,MATCH(G369,Cables!$A:$A,0))-1+MIN(MAX(IFERROR(MATCH(LN(D369),INDEX(Attenuation!$J:$J,INDEX(Cables!$AO:$AO,MATCH(G369,Cables!$A:$A,0))):INDEX(Attenuation!$J:$J,INDEX(Cables!$AO:$AO,MATCH(G369,Cables!$A:$A,0))+INDEX(Cables!$AP:$AP,MATCH(G369,Cables!$A:$A,0))-1),1),1),1),INDEX(Cables!$AP:$AP,MATCH(G369,Cables!$A:$A,0))-1))):INDEX(Attenuation!$J:$J,(INDEX(Cables!$AO:$AO,MATCH(G369,Cables!$A:$A,0))-1+MIN(MAX(IFERROR(MATCH(LN(D369),INDEX(Attenuation!$J:$J,INDEX(Cables!$AO:$AO,MATCH(G369,Cables!$A:$A,0))):INDEX(Attenuation!$J:$J,INDEX(Cables!$AO:$AO,MATCH(G369,Cables!$A:$A,0))+INDEX(Cables!$AP:$AP,MATCH(G369,Cables!$A:$A,0))-1),1),1),1),INDEX(Cables!$AP:$AP,MATCH(G369,Cables!$A:$A,0))-1))+1)))*0.3048)</f>
        <v>0.50901600000000002</v>
      </c>
      <c r="I369" s="43">
        <f>IF(G369="","",EXP(FORECAST(LN(E369),INDEX(Attenuation!$K:$K,(INDEX(Cables!$AO:$AO,MATCH(G369,Cables!$A:$A,0))-1+MIN(MAX(IFERROR(MATCH(LN(E369),INDEX(Attenuation!$J:$J,INDEX(Cables!$AO:$AO,MATCH(G369,Cables!$A:$A,0))):INDEX(Attenuation!$J:$J,INDEX(Cables!$AO:$AO,MATCH(G369,Cables!$A:$A,0))+INDEX(Cables!$AP:$AP,MATCH(G369,Cables!$A:$A,0))-1),1),1),1),INDEX(Cables!$AP:$AP,MATCH(G369,Cables!$A:$A,0))-1))):INDEX(Attenuation!$K:$K,(INDEX(Cables!$AO:$AO,MATCH(G369,Cables!$A:$A,0))-1+MIN(MAX(IFERROR(MATCH(LN(E369),INDEX(Attenuation!$J:$J,INDEX(Cables!$AO:$AO,MATCH(G369,Cables!$A:$A,0))):INDEX(Attenuation!$J:$J,INDEX(Cables!$AO:$AO,MATCH(G369,Cables!$A:$A,0))+INDEX(Cables!$AP:$AP,MATCH(G369,Cables!$A:$A,0))-1),1),1),1),INDEX(Cables!$AP:$AP,MATCH(G369,Cables!$A:$A,0))-1))+1),INDEX(Attenuation!$J:$J,(INDEX(Cables!$AO:$AO,MATCH(G369,Cables!$A:$A,0))-1+MIN(MAX(IFERROR(MATCH(LN(E369),INDEX(Attenuation!$J:$J,INDEX(Cables!$AO:$AO,MATCH(G369,Cables!$A:$A,0))):INDEX(Attenuation!$J:$J,INDEX(Cables!$AO:$AO,MATCH(G369,Cables!$A:$A,0))+INDEX(Cables!$AP:$AP,MATCH(G369,Cables!$A:$A,0))-1),1),1),1),INDEX(Cables!$AP:$AP,MATCH(G369,Cables!$A:$A,0))-1))):INDEX(Attenuation!$J:$J,(INDEX(Cables!$AO:$AO,MATCH(G369,Cables!$A:$A,0))-1+MIN(MAX(IFERROR(MATCH(LN(E369),INDEX(Attenuation!$J:$J,INDEX(Cables!$AO:$AO,MATCH(G369,Cables!$A:$A,0))):INDEX(Attenuation!$J:$J,INDEX(Cables!$AO:$AO,MATCH(G369,Cables!$A:$A,0))+INDEX(Cables!$AP:$AP,MATCH(G369,Cables!$A:$A,0))-1),1),1),1),INDEX(Cables!$AP:$AP,MATCH(G369,Cables!$A:$A,0))-1))+1)))*0.3048)</f>
        <v>0.59036495071127326</v>
      </c>
      <c r="J369" s="44">
        <f t="shared" si="5"/>
        <v>5.0197846693002868E-2</v>
      </c>
      <c r="K369" s="40" t="str">
        <f>IF(G369="","Doğrulanmadı",IF(ABS(J369)&lt;=0.1,"Uyumlu (±%10)",IF(ABS(J369)&lt;=0.25,"Fark %10-25","Fark &gt;%25"))&amp;IF(OR(D369&lt;INDEX(Cables!$AQ:$AQ,MATCH(G369,Cables!$A:$A,0)),E369&gt;INDEX(Cables!$AR:$AR,MATCH(G369,Cables!$A:$A,0)))," · ekstrapolasyon",""))</f>
        <v>Uyumlu (±%10)</v>
      </c>
    </row>
    <row r="370" spans="1:11" x14ac:dyDescent="0.25">
      <c r="A370" s="37" t="s">
        <v>3081</v>
      </c>
      <c r="B370" s="40" t="str">
        <f>INDEX(Legacy_Index!$D:$D,MATCH(A370,Legacy_Index!$A:$A,0))</f>
        <v>1 1/4" LDF</v>
      </c>
      <c r="C370" s="37" t="s">
        <v>3116</v>
      </c>
      <c r="D370" s="37">
        <v>700</v>
      </c>
      <c r="E370" s="37">
        <v>960</v>
      </c>
      <c r="F370" s="37">
        <v>0.91</v>
      </c>
      <c r="G370" s="40" t="str">
        <f>IF(INDEX(Legacy_Index!$G:$G,MATCH(A370,Legacy_Index!$A:$A,0))="","",INDEX(Legacy_Index!$G:$G,MATCH(A370,Legacy_Index!$A:$A,0)))</f>
        <v>CS-LDF6-50</v>
      </c>
      <c r="H370" s="43">
        <f>IF(G370="","",EXP(FORECAST(LN(D370),INDEX(Attenuation!$K:$K,(INDEX(Cables!$AO:$AO,MATCH(G370,Cables!$A:$A,0))-1+MIN(MAX(IFERROR(MATCH(LN(D370),INDEX(Attenuation!$J:$J,INDEX(Cables!$AO:$AO,MATCH(G370,Cables!$A:$A,0))):INDEX(Attenuation!$J:$J,INDEX(Cables!$AO:$AO,MATCH(G370,Cables!$A:$A,0))+INDEX(Cables!$AP:$AP,MATCH(G370,Cables!$A:$A,0))-1),1),1),1),INDEX(Cables!$AP:$AP,MATCH(G370,Cables!$A:$A,0))-1))):INDEX(Attenuation!$K:$K,(INDEX(Cables!$AO:$AO,MATCH(G370,Cables!$A:$A,0))-1+MIN(MAX(IFERROR(MATCH(LN(D370),INDEX(Attenuation!$J:$J,INDEX(Cables!$AO:$AO,MATCH(G370,Cables!$A:$A,0))):INDEX(Attenuation!$J:$J,INDEX(Cables!$AO:$AO,MATCH(G370,Cables!$A:$A,0))+INDEX(Cables!$AP:$AP,MATCH(G370,Cables!$A:$A,0))-1),1),1),1),INDEX(Cables!$AP:$AP,MATCH(G370,Cables!$A:$A,0))-1))+1),INDEX(Attenuation!$J:$J,(INDEX(Cables!$AO:$AO,MATCH(G370,Cables!$A:$A,0))-1+MIN(MAX(IFERROR(MATCH(LN(D370),INDEX(Attenuation!$J:$J,INDEX(Cables!$AO:$AO,MATCH(G370,Cables!$A:$A,0))):INDEX(Attenuation!$J:$J,INDEX(Cables!$AO:$AO,MATCH(G370,Cables!$A:$A,0))+INDEX(Cables!$AP:$AP,MATCH(G370,Cables!$A:$A,0))-1),1),1),1),INDEX(Cables!$AP:$AP,MATCH(G370,Cables!$A:$A,0))-1))):INDEX(Attenuation!$J:$J,(INDEX(Cables!$AO:$AO,MATCH(G370,Cables!$A:$A,0))-1+MIN(MAX(IFERROR(MATCH(LN(D370),INDEX(Attenuation!$J:$J,INDEX(Cables!$AO:$AO,MATCH(G370,Cables!$A:$A,0))):INDEX(Attenuation!$J:$J,INDEX(Cables!$AO:$AO,MATCH(G370,Cables!$A:$A,0))+INDEX(Cables!$AP:$AP,MATCH(G370,Cables!$A:$A,0))-1),1),1),1),INDEX(Cables!$AP:$AP,MATCH(G370,Cables!$A:$A,0))-1))+1)))*0.3048)</f>
        <v>0.69799199999999995</v>
      </c>
      <c r="I370" s="43">
        <f>IF(G370="","",EXP(FORECAST(LN(E370),INDEX(Attenuation!$K:$K,(INDEX(Cables!$AO:$AO,MATCH(G370,Cables!$A:$A,0))-1+MIN(MAX(IFERROR(MATCH(LN(E370),INDEX(Attenuation!$J:$J,INDEX(Cables!$AO:$AO,MATCH(G370,Cables!$A:$A,0))):INDEX(Attenuation!$J:$J,INDEX(Cables!$AO:$AO,MATCH(G370,Cables!$A:$A,0))+INDEX(Cables!$AP:$AP,MATCH(G370,Cables!$A:$A,0))-1),1),1),1),INDEX(Cables!$AP:$AP,MATCH(G370,Cables!$A:$A,0))-1))):INDEX(Attenuation!$K:$K,(INDEX(Cables!$AO:$AO,MATCH(G370,Cables!$A:$A,0))-1+MIN(MAX(IFERROR(MATCH(LN(E370),INDEX(Attenuation!$J:$J,INDEX(Cables!$AO:$AO,MATCH(G370,Cables!$A:$A,0))):INDEX(Attenuation!$J:$J,INDEX(Cables!$AO:$AO,MATCH(G370,Cables!$A:$A,0))+INDEX(Cables!$AP:$AP,MATCH(G370,Cables!$A:$A,0))-1),1),1),1),INDEX(Cables!$AP:$AP,MATCH(G370,Cables!$A:$A,0))-1))+1),INDEX(Attenuation!$J:$J,(INDEX(Cables!$AO:$AO,MATCH(G370,Cables!$A:$A,0))-1+MIN(MAX(IFERROR(MATCH(LN(E370),INDEX(Attenuation!$J:$J,INDEX(Cables!$AO:$AO,MATCH(G370,Cables!$A:$A,0))):INDEX(Attenuation!$J:$J,INDEX(Cables!$AO:$AO,MATCH(G370,Cables!$A:$A,0))+INDEX(Cables!$AP:$AP,MATCH(G370,Cables!$A:$A,0))-1),1),1),1),INDEX(Cables!$AP:$AP,MATCH(G370,Cables!$A:$A,0))-1))):INDEX(Attenuation!$J:$J,(INDEX(Cables!$AO:$AO,MATCH(G370,Cables!$A:$A,0))-1+MIN(MAX(IFERROR(MATCH(LN(E370),INDEX(Attenuation!$J:$J,INDEX(Cables!$AO:$AO,MATCH(G370,Cables!$A:$A,0))):INDEX(Attenuation!$J:$J,INDEX(Cables!$AO:$AO,MATCH(G370,Cables!$A:$A,0))+INDEX(Cables!$AP:$AP,MATCH(G370,Cables!$A:$A,0))-1),1),1),1),INDEX(Cables!$AP:$AP,MATCH(G370,Cables!$A:$A,0))-1))+1)))*0.3048)</f>
        <v>0.83515199999999978</v>
      </c>
      <c r="J370" s="44">
        <f t="shared" si="5"/>
        <v>8.9622008927716434E-2</v>
      </c>
      <c r="K370" s="40" t="str">
        <f>IF(G370="","Doğrulanmadı",IF(ABS(J370)&lt;=0.1,"Uyumlu (±%10)",IF(ABS(J370)&lt;=0.25,"Fark %10-25","Fark &gt;%25"))&amp;IF(OR(D370&lt;INDEX(Cables!$AQ:$AQ,MATCH(G370,Cables!$A:$A,0)),E370&gt;INDEX(Cables!$AR:$AR,MATCH(G370,Cables!$A:$A,0)))," · ekstrapolasyon",""))</f>
        <v>Uyumlu (±%10)</v>
      </c>
    </row>
    <row r="371" spans="1:11" x14ac:dyDescent="0.25">
      <c r="A371" s="37" t="s">
        <v>3081</v>
      </c>
      <c r="B371" s="40" t="str">
        <f>INDEX(Legacy_Index!$D:$D,MATCH(A371,Legacy_Index!$A:$A,0))</f>
        <v>1 1/4" LDF</v>
      </c>
      <c r="C371" s="37" t="s">
        <v>3120</v>
      </c>
      <c r="D371" s="37">
        <v>1200</v>
      </c>
      <c r="E371" s="37">
        <v>1300</v>
      </c>
      <c r="F371" s="37">
        <v>1.1000000000000001</v>
      </c>
      <c r="G371" s="40" t="str">
        <f>IF(INDEX(Legacy_Index!$G:$G,MATCH(A371,Legacy_Index!$A:$A,0))="","",INDEX(Legacy_Index!$G:$G,MATCH(A371,Legacy_Index!$A:$A,0)))</f>
        <v>CS-LDF6-50</v>
      </c>
      <c r="H371" s="43">
        <f>IF(G371="","",EXP(FORECAST(LN(D371),INDEX(Attenuation!$K:$K,(INDEX(Cables!$AO:$AO,MATCH(G371,Cables!$A:$A,0))-1+MIN(MAX(IFERROR(MATCH(LN(D371),INDEX(Attenuation!$J:$J,INDEX(Cables!$AO:$AO,MATCH(G371,Cables!$A:$A,0))):INDEX(Attenuation!$J:$J,INDEX(Cables!$AO:$AO,MATCH(G371,Cables!$A:$A,0))+INDEX(Cables!$AP:$AP,MATCH(G371,Cables!$A:$A,0))-1),1),1),1),INDEX(Cables!$AP:$AP,MATCH(G371,Cables!$A:$A,0))-1))):INDEX(Attenuation!$K:$K,(INDEX(Cables!$AO:$AO,MATCH(G371,Cables!$A:$A,0))-1+MIN(MAX(IFERROR(MATCH(LN(D371),INDEX(Attenuation!$J:$J,INDEX(Cables!$AO:$AO,MATCH(G371,Cables!$A:$A,0))):INDEX(Attenuation!$J:$J,INDEX(Cables!$AO:$AO,MATCH(G371,Cables!$A:$A,0))+INDEX(Cables!$AP:$AP,MATCH(G371,Cables!$A:$A,0))-1),1),1),1),INDEX(Cables!$AP:$AP,MATCH(G371,Cables!$A:$A,0))-1))+1),INDEX(Attenuation!$J:$J,(INDEX(Cables!$AO:$AO,MATCH(G371,Cables!$A:$A,0))-1+MIN(MAX(IFERROR(MATCH(LN(D371),INDEX(Attenuation!$J:$J,INDEX(Cables!$AO:$AO,MATCH(G371,Cables!$A:$A,0))):INDEX(Attenuation!$J:$J,INDEX(Cables!$AO:$AO,MATCH(G371,Cables!$A:$A,0))+INDEX(Cables!$AP:$AP,MATCH(G371,Cables!$A:$A,0))-1),1),1),1),INDEX(Cables!$AP:$AP,MATCH(G371,Cables!$A:$A,0))-1))):INDEX(Attenuation!$J:$J,(INDEX(Cables!$AO:$AO,MATCH(G371,Cables!$A:$A,0))-1+MIN(MAX(IFERROR(MATCH(LN(D371),INDEX(Attenuation!$J:$J,INDEX(Cables!$AO:$AO,MATCH(G371,Cables!$A:$A,0))):INDEX(Attenuation!$J:$J,INDEX(Cables!$AO:$AO,MATCH(G371,Cables!$A:$A,0))+INDEX(Cables!$AP:$AP,MATCH(G371,Cables!$A:$A,0))-1),1),1),1),INDEX(Cables!$AP:$AP,MATCH(G371,Cables!$A:$A,0))-1))+1)))*0.3048)</f>
        <v>0.94939128262554462</v>
      </c>
      <c r="I371" s="43">
        <f>IF(G371="","",EXP(FORECAST(LN(E371),INDEX(Attenuation!$K:$K,(INDEX(Cables!$AO:$AO,MATCH(G371,Cables!$A:$A,0))-1+MIN(MAX(IFERROR(MATCH(LN(E371),INDEX(Attenuation!$J:$J,INDEX(Cables!$AO:$AO,MATCH(G371,Cables!$A:$A,0))):INDEX(Attenuation!$J:$J,INDEX(Cables!$AO:$AO,MATCH(G371,Cables!$A:$A,0))+INDEX(Cables!$AP:$AP,MATCH(G371,Cables!$A:$A,0))-1),1),1),1),INDEX(Cables!$AP:$AP,MATCH(G371,Cables!$A:$A,0))-1))):INDEX(Attenuation!$K:$K,(INDEX(Cables!$AO:$AO,MATCH(G371,Cables!$A:$A,0))-1+MIN(MAX(IFERROR(MATCH(LN(E371),INDEX(Attenuation!$J:$J,INDEX(Cables!$AO:$AO,MATCH(G371,Cables!$A:$A,0))):INDEX(Attenuation!$J:$J,INDEX(Cables!$AO:$AO,MATCH(G371,Cables!$A:$A,0))+INDEX(Cables!$AP:$AP,MATCH(G371,Cables!$A:$A,0))-1),1),1),1),INDEX(Cables!$AP:$AP,MATCH(G371,Cables!$A:$A,0))-1))+1),INDEX(Attenuation!$J:$J,(INDEX(Cables!$AO:$AO,MATCH(G371,Cables!$A:$A,0))-1+MIN(MAX(IFERROR(MATCH(LN(E371),INDEX(Attenuation!$J:$J,INDEX(Cables!$AO:$AO,MATCH(G371,Cables!$A:$A,0))):INDEX(Attenuation!$J:$J,INDEX(Cables!$AO:$AO,MATCH(G371,Cables!$A:$A,0))+INDEX(Cables!$AP:$AP,MATCH(G371,Cables!$A:$A,0))-1),1),1),1),INDEX(Cables!$AP:$AP,MATCH(G371,Cables!$A:$A,0))-1))):INDEX(Attenuation!$J:$J,(INDEX(Cables!$AO:$AO,MATCH(G371,Cables!$A:$A,0))-1+MIN(MAX(IFERROR(MATCH(LN(E371),INDEX(Attenuation!$J:$J,INDEX(Cables!$AO:$AO,MATCH(G371,Cables!$A:$A,0))):INDEX(Attenuation!$J:$J,INDEX(Cables!$AO:$AO,MATCH(G371,Cables!$A:$A,0))+INDEX(Cables!$AP:$AP,MATCH(G371,Cables!$A:$A,0))-1),1),1),1),INDEX(Cables!$AP:$AP,MATCH(G371,Cables!$A:$A,0))-1))+1)))*0.3048)</f>
        <v>0.99493621882801353</v>
      </c>
      <c r="J371" s="44">
        <f t="shared" si="5"/>
        <v>0.10559850891321121</v>
      </c>
      <c r="K371" s="40" t="str">
        <f>IF(G371="","Doğrulanmadı",IF(ABS(J371)&lt;=0.1,"Uyumlu (±%10)",IF(ABS(J371)&lt;=0.25,"Fark %10-25","Fark &gt;%25"))&amp;IF(OR(D371&lt;INDEX(Cables!$AQ:$AQ,MATCH(G371,Cables!$A:$A,0)),E371&gt;INDEX(Cables!$AR:$AR,MATCH(G371,Cables!$A:$A,0)))," · ekstrapolasyon",""))</f>
        <v>Fark %10-25</v>
      </c>
    </row>
    <row r="372" spans="1:11" x14ac:dyDescent="0.25">
      <c r="A372" s="37" t="s">
        <v>3081</v>
      </c>
      <c r="B372" s="40" t="str">
        <f>INDEX(Legacy_Index!$D:$D,MATCH(A372,Legacy_Index!$A:$A,0))</f>
        <v>1 1/4" LDF</v>
      </c>
      <c r="C372" s="37" t="s">
        <v>3121</v>
      </c>
      <c r="D372" s="37">
        <v>2400</v>
      </c>
      <c r="E372" s="37">
        <v>2500</v>
      </c>
      <c r="F372" s="37">
        <v>1.7</v>
      </c>
      <c r="G372" s="40" t="str">
        <f>IF(INDEX(Legacy_Index!$G:$G,MATCH(A372,Legacy_Index!$A:$A,0))="","",INDEX(Legacy_Index!$G:$G,MATCH(A372,Legacy_Index!$A:$A,0)))</f>
        <v>CS-LDF6-50</v>
      </c>
      <c r="H372" s="43">
        <f>IF(G372="","",EXP(FORECAST(LN(D372),INDEX(Attenuation!$K:$K,(INDEX(Cables!$AO:$AO,MATCH(G372,Cables!$A:$A,0))-1+MIN(MAX(IFERROR(MATCH(LN(D372),INDEX(Attenuation!$J:$J,INDEX(Cables!$AO:$AO,MATCH(G372,Cables!$A:$A,0))):INDEX(Attenuation!$J:$J,INDEX(Cables!$AO:$AO,MATCH(G372,Cables!$A:$A,0))+INDEX(Cables!$AP:$AP,MATCH(G372,Cables!$A:$A,0))-1),1),1),1),INDEX(Cables!$AP:$AP,MATCH(G372,Cables!$A:$A,0))-1))):INDEX(Attenuation!$K:$K,(INDEX(Cables!$AO:$AO,MATCH(G372,Cables!$A:$A,0))-1+MIN(MAX(IFERROR(MATCH(LN(D372),INDEX(Attenuation!$J:$J,INDEX(Cables!$AO:$AO,MATCH(G372,Cables!$A:$A,0))):INDEX(Attenuation!$J:$J,INDEX(Cables!$AO:$AO,MATCH(G372,Cables!$A:$A,0))+INDEX(Cables!$AP:$AP,MATCH(G372,Cables!$A:$A,0))-1),1),1),1),INDEX(Cables!$AP:$AP,MATCH(G372,Cables!$A:$A,0))-1))+1),INDEX(Attenuation!$J:$J,(INDEX(Cables!$AO:$AO,MATCH(G372,Cables!$A:$A,0))-1+MIN(MAX(IFERROR(MATCH(LN(D372),INDEX(Attenuation!$J:$J,INDEX(Cables!$AO:$AO,MATCH(G372,Cables!$A:$A,0))):INDEX(Attenuation!$J:$J,INDEX(Cables!$AO:$AO,MATCH(G372,Cables!$A:$A,0))+INDEX(Cables!$AP:$AP,MATCH(G372,Cables!$A:$A,0))-1),1),1),1),INDEX(Cables!$AP:$AP,MATCH(G372,Cables!$A:$A,0))-1))):INDEX(Attenuation!$J:$J,(INDEX(Cables!$AO:$AO,MATCH(G372,Cables!$A:$A,0))-1+MIN(MAX(IFERROR(MATCH(LN(D372),INDEX(Attenuation!$J:$J,INDEX(Cables!$AO:$AO,MATCH(G372,Cables!$A:$A,0))):INDEX(Attenuation!$J:$J,INDEX(Cables!$AO:$AO,MATCH(G372,Cables!$A:$A,0))+INDEX(Cables!$AP:$AP,MATCH(G372,Cables!$A:$A,0))-1),1),1),1),INDEX(Cables!$AP:$AP,MATCH(G372,Cables!$A:$A,0))-1))+1)))*0.3048)</f>
        <v>1.4363551539782735</v>
      </c>
      <c r="I372" s="43">
        <f>IF(G372="","",EXP(FORECAST(LN(E372),INDEX(Attenuation!$K:$K,(INDEX(Cables!$AO:$AO,MATCH(G372,Cables!$A:$A,0))-1+MIN(MAX(IFERROR(MATCH(LN(E372),INDEX(Attenuation!$J:$J,INDEX(Cables!$AO:$AO,MATCH(G372,Cables!$A:$A,0))):INDEX(Attenuation!$J:$J,INDEX(Cables!$AO:$AO,MATCH(G372,Cables!$A:$A,0))+INDEX(Cables!$AP:$AP,MATCH(G372,Cables!$A:$A,0))-1),1),1),1),INDEX(Cables!$AP:$AP,MATCH(G372,Cables!$A:$A,0))-1))):INDEX(Attenuation!$K:$K,(INDEX(Cables!$AO:$AO,MATCH(G372,Cables!$A:$A,0))-1+MIN(MAX(IFERROR(MATCH(LN(E372),INDEX(Attenuation!$J:$J,INDEX(Cables!$AO:$AO,MATCH(G372,Cables!$A:$A,0))):INDEX(Attenuation!$J:$J,INDEX(Cables!$AO:$AO,MATCH(G372,Cables!$A:$A,0))+INDEX(Cables!$AP:$AP,MATCH(G372,Cables!$A:$A,0))-1),1),1),1),INDEX(Cables!$AP:$AP,MATCH(G372,Cables!$A:$A,0))-1))+1),INDEX(Attenuation!$J:$J,(INDEX(Cables!$AO:$AO,MATCH(G372,Cables!$A:$A,0))-1+MIN(MAX(IFERROR(MATCH(LN(E372),INDEX(Attenuation!$J:$J,INDEX(Cables!$AO:$AO,MATCH(G372,Cables!$A:$A,0))):INDEX(Attenuation!$J:$J,INDEX(Cables!$AO:$AO,MATCH(G372,Cables!$A:$A,0))+INDEX(Cables!$AP:$AP,MATCH(G372,Cables!$A:$A,0))-1),1),1),1),INDEX(Cables!$AP:$AP,MATCH(G372,Cables!$A:$A,0))-1))):INDEX(Attenuation!$J:$J,(INDEX(Cables!$AO:$AO,MATCH(G372,Cables!$A:$A,0))-1+MIN(MAX(IFERROR(MATCH(LN(E372),INDEX(Attenuation!$J:$J,INDEX(Cables!$AO:$AO,MATCH(G372,Cables!$A:$A,0))):INDEX(Attenuation!$J:$J,INDEX(Cables!$AO:$AO,MATCH(G372,Cables!$A:$A,0))+INDEX(Cables!$AP:$AP,MATCH(G372,Cables!$A:$A,0))-1),1),1),1),INDEX(Cables!$AP:$AP,MATCH(G372,Cables!$A:$A,0))-1))+1)))*0.3048)</f>
        <v>1.4730896969050196</v>
      </c>
      <c r="J372" s="44">
        <f t="shared" si="5"/>
        <v>0.15403699012471672</v>
      </c>
      <c r="K372" s="40" t="str">
        <f>IF(G372="","Doğrulanmadı",IF(ABS(J372)&lt;=0.1,"Uyumlu (±%10)",IF(ABS(J372)&lt;=0.25,"Fark %10-25","Fark &gt;%25"))&amp;IF(OR(D372&lt;INDEX(Cables!$AQ:$AQ,MATCH(G372,Cables!$A:$A,0)),E372&gt;INDEX(Cables!$AR:$AR,MATCH(G372,Cables!$A:$A,0)))," · ekstrapolasyon",""))</f>
        <v>Fark %10-25</v>
      </c>
    </row>
    <row r="373" spans="1:11" x14ac:dyDescent="0.25">
      <c r="A373" s="37" t="s">
        <v>3081</v>
      </c>
      <c r="B373" s="40" t="str">
        <f>INDEX(Legacy_Index!$D:$D,MATCH(A373,Legacy_Index!$A:$A,0))</f>
        <v>1 1/4" LDF</v>
      </c>
      <c r="C373" s="37" t="s">
        <v>3122</v>
      </c>
      <c r="D373" s="37">
        <v>5725</v>
      </c>
      <c r="E373" s="37">
        <v>5875</v>
      </c>
      <c r="F373" s="37">
        <v>2.8</v>
      </c>
      <c r="G373" s="40" t="str">
        <f>IF(INDEX(Legacy_Index!$G:$G,MATCH(A373,Legacy_Index!$A:$A,0))="","",INDEX(Legacy_Index!$G:$G,MATCH(A373,Legacy_Index!$A:$A,0)))</f>
        <v>CS-LDF6-50</v>
      </c>
      <c r="H373" s="43">
        <f>IF(G373="","",EXP(FORECAST(LN(D373),INDEX(Attenuation!$K:$K,(INDEX(Cables!$AO:$AO,MATCH(G373,Cables!$A:$A,0))-1+MIN(MAX(IFERROR(MATCH(LN(D373),INDEX(Attenuation!$J:$J,INDEX(Cables!$AO:$AO,MATCH(G373,Cables!$A:$A,0))):INDEX(Attenuation!$J:$J,INDEX(Cables!$AO:$AO,MATCH(G373,Cables!$A:$A,0))+INDEX(Cables!$AP:$AP,MATCH(G373,Cables!$A:$A,0))-1),1),1),1),INDEX(Cables!$AP:$AP,MATCH(G373,Cables!$A:$A,0))-1))):INDEX(Attenuation!$K:$K,(INDEX(Cables!$AO:$AO,MATCH(G373,Cables!$A:$A,0))-1+MIN(MAX(IFERROR(MATCH(LN(D373),INDEX(Attenuation!$J:$J,INDEX(Cables!$AO:$AO,MATCH(G373,Cables!$A:$A,0))):INDEX(Attenuation!$J:$J,INDEX(Cables!$AO:$AO,MATCH(G373,Cables!$A:$A,0))+INDEX(Cables!$AP:$AP,MATCH(G373,Cables!$A:$A,0))-1),1),1),1),INDEX(Cables!$AP:$AP,MATCH(G373,Cables!$A:$A,0))-1))+1),INDEX(Attenuation!$J:$J,(INDEX(Cables!$AO:$AO,MATCH(G373,Cables!$A:$A,0))-1+MIN(MAX(IFERROR(MATCH(LN(D373),INDEX(Attenuation!$J:$J,INDEX(Cables!$AO:$AO,MATCH(G373,Cables!$A:$A,0))):INDEX(Attenuation!$J:$J,INDEX(Cables!$AO:$AO,MATCH(G373,Cables!$A:$A,0))+INDEX(Cables!$AP:$AP,MATCH(G373,Cables!$A:$A,0))-1),1),1),1),INDEX(Cables!$AP:$AP,MATCH(G373,Cables!$A:$A,0))-1))):INDEX(Attenuation!$J:$J,(INDEX(Cables!$AO:$AO,MATCH(G373,Cables!$A:$A,0))-1+MIN(MAX(IFERROR(MATCH(LN(D373),INDEX(Attenuation!$J:$J,INDEX(Cables!$AO:$AO,MATCH(G373,Cables!$A:$A,0))):INDEX(Attenuation!$J:$J,INDEX(Cables!$AO:$AO,MATCH(G373,Cables!$A:$A,0))+INDEX(Cables!$AP:$AP,MATCH(G373,Cables!$A:$A,0))-1),1),1),1),INDEX(Cables!$AP:$AP,MATCH(G373,Cables!$A:$A,0))-1))+1)))*0.3048)</f>
        <v>2.4635691136715909</v>
      </c>
      <c r="I373" s="43">
        <f>IF(G373="","",EXP(FORECAST(LN(E373),INDEX(Attenuation!$K:$K,(INDEX(Cables!$AO:$AO,MATCH(G373,Cables!$A:$A,0))-1+MIN(MAX(IFERROR(MATCH(LN(E373),INDEX(Attenuation!$J:$J,INDEX(Cables!$AO:$AO,MATCH(G373,Cables!$A:$A,0))):INDEX(Attenuation!$J:$J,INDEX(Cables!$AO:$AO,MATCH(G373,Cables!$A:$A,0))+INDEX(Cables!$AP:$AP,MATCH(G373,Cables!$A:$A,0))-1),1),1),1),INDEX(Cables!$AP:$AP,MATCH(G373,Cables!$A:$A,0))-1))):INDEX(Attenuation!$K:$K,(INDEX(Cables!$AO:$AO,MATCH(G373,Cables!$A:$A,0))-1+MIN(MAX(IFERROR(MATCH(LN(E373),INDEX(Attenuation!$J:$J,INDEX(Cables!$AO:$AO,MATCH(G373,Cables!$A:$A,0))):INDEX(Attenuation!$J:$J,INDEX(Cables!$AO:$AO,MATCH(G373,Cables!$A:$A,0))+INDEX(Cables!$AP:$AP,MATCH(G373,Cables!$A:$A,0))-1),1),1),1),INDEX(Cables!$AP:$AP,MATCH(G373,Cables!$A:$A,0))-1))+1),INDEX(Attenuation!$J:$J,(INDEX(Cables!$AO:$AO,MATCH(G373,Cables!$A:$A,0))-1+MIN(MAX(IFERROR(MATCH(LN(E373),INDEX(Attenuation!$J:$J,INDEX(Cables!$AO:$AO,MATCH(G373,Cables!$A:$A,0))):INDEX(Attenuation!$J:$J,INDEX(Cables!$AO:$AO,MATCH(G373,Cables!$A:$A,0))+INDEX(Cables!$AP:$AP,MATCH(G373,Cables!$A:$A,0))-1),1),1),1),INDEX(Cables!$AP:$AP,MATCH(G373,Cables!$A:$A,0))-1))):INDEX(Attenuation!$J:$J,(INDEX(Cables!$AO:$AO,MATCH(G373,Cables!$A:$A,0))-1+MIN(MAX(IFERROR(MATCH(LN(E373),INDEX(Attenuation!$J:$J,INDEX(Cables!$AO:$AO,MATCH(G373,Cables!$A:$A,0))):INDEX(Attenuation!$J:$J,INDEX(Cables!$AO:$AO,MATCH(G373,Cables!$A:$A,0))+INDEX(Cables!$AP:$AP,MATCH(G373,Cables!$A:$A,0))-1),1),1),1),INDEX(Cables!$AP:$AP,MATCH(G373,Cables!$A:$A,0))-1))+1)))*0.3048)</f>
        <v>2.5034718344487237</v>
      </c>
      <c r="J373" s="44">
        <f t="shared" si="5"/>
        <v>0.11844677518274249</v>
      </c>
      <c r="K373" s="40" t="str">
        <f>IF(G373="","Doğrulanmadı",IF(ABS(J373)&lt;=0.1,"Uyumlu (±%10)",IF(ABS(J373)&lt;=0.25,"Fark %10-25","Fark &gt;%25"))&amp;IF(OR(D373&lt;INDEX(Cables!$AQ:$AQ,MATCH(G373,Cables!$A:$A,0)),E373&gt;INDEX(Cables!$AR:$AR,MATCH(G373,Cables!$A:$A,0)))," · ekstrapolasyon",""))</f>
        <v>Fark %10-25 · ekstrapolasyon</v>
      </c>
    </row>
    <row r="374" spans="1:11" x14ac:dyDescent="0.25">
      <c r="A374" s="37" t="s">
        <v>3083</v>
      </c>
      <c r="B374" s="40" t="str">
        <f>INDEX(Legacy_Index!$D:$D,MATCH(A374,Legacy_Index!$A:$A,0))</f>
        <v>1 1/4" HELIAX®</v>
      </c>
      <c r="C374" s="37" t="s">
        <v>3113</v>
      </c>
      <c r="D374" s="37">
        <v>70</v>
      </c>
      <c r="E374" s="37">
        <v>100</v>
      </c>
      <c r="F374" s="37">
        <v>0.2</v>
      </c>
      <c r="G374" s="40" t="str">
        <f>IF(INDEX(Legacy_Index!$G:$G,MATCH(A374,Legacy_Index!$A:$A,0))="","",INDEX(Legacy_Index!$G:$G,MATCH(A374,Legacy_Index!$A:$A,0)))</f>
        <v>CS-LDF6-50</v>
      </c>
      <c r="H374" s="43">
        <f>IF(G374="","",EXP(FORECAST(LN(D374),INDEX(Attenuation!$K:$K,(INDEX(Cables!$AO:$AO,MATCH(G374,Cables!$A:$A,0))-1+MIN(MAX(IFERROR(MATCH(LN(D374),INDEX(Attenuation!$J:$J,INDEX(Cables!$AO:$AO,MATCH(G374,Cables!$A:$A,0))):INDEX(Attenuation!$J:$J,INDEX(Cables!$AO:$AO,MATCH(G374,Cables!$A:$A,0))+INDEX(Cables!$AP:$AP,MATCH(G374,Cables!$A:$A,0))-1),1),1),1),INDEX(Cables!$AP:$AP,MATCH(G374,Cables!$A:$A,0))-1))):INDEX(Attenuation!$K:$K,(INDEX(Cables!$AO:$AO,MATCH(G374,Cables!$A:$A,0))-1+MIN(MAX(IFERROR(MATCH(LN(D374),INDEX(Attenuation!$J:$J,INDEX(Cables!$AO:$AO,MATCH(G374,Cables!$A:$A,0))):INDEX(Attenuation!$J:$J,INDEX(Cables!$AO:$AO,MATCH(G374,Cables!$A:$A,0))+INDEX(Cables!$AP:$AP,MATCH(G374,Cables!$A:$A,0))-1),1),1),1),INDEX(Cables!$AP:$AP,MATCH(G374,Cables!$A:$A,0))-1))+1),INDEX(Attenuation!$J:$J,(INDEX(Cables!$AO:$AO,MATCH(G374,Cables!$A:$A,0))-1+MIN(MAX(IFERROR(MATCH(LN(D374),INDEX(Attenuation!$J:$J,INDEX(Cables!$AO:$AO,MATCH(G374,Cables!$A:$A,0))):INDEX(Attenuation!$J:$J,INDEX(Cables!$AO:$AO,MATCH(G374,Cables!$A:$A,0))+INDEX(Cables!$AP:$AP,MATCH(G374,Cables!$A:$A,0))-1),1),1),1),INDEX(Cables!$AP:$AP,MATCH(G374,Cables!$A:$A,0))-1))):INDEX(Attenuation!$J:$J,(INDEX(Cables!$AO:$AO,MATCH(G374,Cables!$A:$A,0))-1+MIN(MAX(IFERROR(MATCH(LN(D374),INDEX(Attenuation!$J:$J,INDEX(Cables!$AO:$AO,MATCH(G374,Cables!$A:$A,0))):INDEX(Attenuation!$J:$J,INDEX(Cables!$AO:$AO,MATCH(G374,Cables!$A:$A,0))+INDEX(Cables!$AP:$AP,MATCH(G374,Cables!$A:$A,0))-1),1),1),1),INDEX(Cables!$AP:$AP,MATCH(G374,Cables!$A:$A,0))-1))+1)))*0.3048)</f>
        <v>0.20047818580003465</v>
      </c>
      <c r="I374" s="43">
        <f>IF(G374="","",EXP(FORECAST(LN(E374),INDEX(Attenuation!$K:$K,(INDEX(Cables!$AO:$AO,MATCH(G374,Cables!$A:$A,0))-1+MIN(MAX(IFERROR(MATCH(LN(E374),INDEX(Attenuation!$J:$J,INDEX(Cables!$AO:$AO,MATCH(G374,Cables!$A:$A,0))):INDEX(Attenuation!$J:$J,INDEX(Cables!$AO:$AO,MATCH(G374,Cables!$A:$A,0))+INDEX(Cables!$AP:$AP,MATCH(G374,Cables!$A:$A,0))-1),1),1),1),INDEX(Cables!$AP:$AP,MATCH(G374,Cables!$A:$A,0))-1))):INDEX(Attenuation!$K:$K,(INDEX(Cables!$AO:$AO,MATCH(G374,Cables!$A:$A,0))-1+MIN(MAX(IFERROR(MATCH(LN(E374),INDEX(Attenuation!$J:$J,INDEX(Cables!$AO:$AO,MATCH(G374,Cables!$A:$A,0))):INDEX(Attenuation!$J:$J,INDEX(Cables!$AO:$AO,MATCH(G374,Cables!$A:$A,0))+INDEX(Cables!$AP:$AP,MATCH(G374,Cables!$A:$A,0))-1),1),1),1),INDEX(Cables!$AP:$AP,MATCH(G374,Cables!$A:$A,0))-1))+1),INDEX(Attenuation!$J:$J,(INDEX(Cables!$AO:$AO,MATCH(G374,Cables!$A:$A,0))-1+MIN(MAX(IFERROR(MATCH(LN(E374),INDEX(Attenuation!$J:$J,INDEX(Cables!$AO:$AO,MATCH(G374,Cables!$A:$A,0))):INDEX(Attenuation!$J:$J,INDEX(Cables!$AO:$AO,MATCH(G374,Cables!$A:$A,0))+INDEX(Cables!$AP:$AP,MATCH(G374,Cables!$A:$A,0))-1),1),1),1),INDEX(Cables!$AP:$AP,MATCH(G374,Cables!$A:$A,0))-1))):INDEX(Attenuation!$J:$J,(INDEX(Cables!$AO:$AO,MATCH(G374,Cables!$A:$A,0))-1+MIN(MAX(IFERROR(MATCH(LN(E374),INDEX(Attenuation!$J:$J,INDEX(Cables!$AO:$AO,MATCH(G374,Cables!$A:$A,0))):INDEX(Attenuation!$J:$J,INDEX(Cables!$AO:$AO,MATCH(G374,Cables!$A:$A,0))+INDEX(Cables!$AP:$AP,MATCH(G374,Cables!$A:$A,0))-1),1),1),1),INDEX(Cables!$AP:$AP,MATCH(G374,Cables!$A:$A,0))-1))+1)))*0.3048)</f>
        <v>0.24170639999999999</v>
      </c>
      <c r="J374" s="44">
        <f t="shared" si="5"/>
        <v>-2.3852260939332126E-3</v>
      </c>
      <c r="K374" s="40" t="str">
        <f>IF(G374="","Doğrulanmadı",IF(ABS(J374)&lt;=0.1,"Uyumlu (±%10)",IF(ABS(J374)&lt;=0.25,"Fark %10-25","Fark &gt;%25"))&amp;IF(OR(D374&lt;INDEX(Cables!$AQ:$AQ,MATCH(G374,Cables!$A:$A,0)),E374&gt;INDEX(Cables!$AR:$AR,MATCH(G374,Cables!$A:$A,0)))," · ekstrapolasyon",""))</f>
        <v>Uyumlu (±%10)</v>
      </c>
    </row>
    <row r="375" spans="1:11" x14ac:dyDescent="0.25">
      <c r="A375" s="37" t="s">
        <v>3083</v>
      </c>
      <c r="B375" s="40" t="str">
        <f>INDEX(Legacy_Index!$D:$D,MATCH(A375,Legacy_Index!$A:$A,0))</f>
        <v>1 1/4" HELIAX®</v>
      </c>
      <c r="C375" s="37" t="s">
        <v>3114</v>
      </c>
      <c r="D375" s="37">
        <v>148</v>
      </c>
      <c r="E375" s="37">
        <v>174</v>
      </c>
      <c r="F375" s="37">
        <v>0.3</v>
      </c>
      <c r="G375" s="40" t="str">
        <f>IF(INDEX(Legacy_Index!$G:$G,MATCH(A375,Legacy_Index!$A:$A,0))="","",INDEX(Legacy_Index!$G:$G,MATCH(A375,Legacy_Index!$A:$A,0)))</f>
        <v>CS-LDF6-50</v>
      </c>
      <c r="H375" s="43">
        <f>IF(G375="","",EXP(FORECAST(LN(D375),INDEX(Attenuation!$K:$K,(INDEX(Cables!$AO:$AO,MATCH(G375,Cables!$A:$A,0))-1+MIN(MAX(IFERROR(MATCH(LN(D375),INDEX(Attenuation!$J:$J,INDEX(Cables!$AO:$AO,MATCH(G375,Cables!$A:$A,0))):INDEX(Attenuation!$J:$J,INDEX(Cables!$AO:$AO,MATCH(G375,Cables!$A:$A,0))+INDEX(Cables!$AP:$AP,MATCH(G375,Cables!$A:$A,0))-1),1),1),1),INDEX(Cables!$AP:$AP,MATCH(G375,Cables!$A:$A,0))-1))):INDEX(Attenuation!$K:$K,(INDEX(Cables!$AO:$AO,MATCH(G375,Cables!$A:$A,0))-1+MIN(MAX(IFERROR(MATCH(LN(D375),INDEX(Attenuation!$J:$J,INDEX(Cables!$AO:$AO,MATCH(G375,Cables!$A:$A,0))):INDEX(Attenuation!$J:$J,INDEX(Cables!$AO:$AO,MATCH(G375,Cables!$A:$A,0))+INDEX(Cables!$AP:$AP,MATCH(G375,Cables!$A:$A,0))-1),1),1),1),INDEX(Cables!$AP:$AP,MATCH(G375,Cables!$A:$A,0))-1))+1),INDEX(Attenuation!$J:$J,(INDEX(Cables!$AO:$AO,MATCH(G375,Cables!$A:$A,0))-1+MIN(MAX(IFERROR(MATCH(LN(D375),INDEX(Attenuation!$J:$J,INDEX(Cables!$AO:$AO,MATCH(G375,Cables!$A:$A,0))):INDEX(Attenuation!$J:$J,INDEX(Cables!$AO:$AO,MATCH(G375,Cables!$A:$A,0))+INDEX(Cables!$AP:$AP,MATCH(G375,Cables!$A:$A,0))-1),1),1),1),INDEX(Cables!$AP:$AP,MATCH(G375,Cables!$A:$A,0))-1))):INDEX(Attenuation!$J:$J,(INDEX(Cables!$AO:$AO,MATCH(G375,Cables!$A:$A,0))-1+MIN(MAX(IFERROR(MATCH(LN(D375),INDEX(Attenuation!$J:$J,INDEX(Cables!$AO:$AO,MATCH(G375,Cables!$A:$A,0))):INDEX(Attenuation!$J:$J,INDEX(Cables!$AO:$AO,MATCH(G375,Cables!$A:$A,0))+INDEX(Cables!$AP:$AP,MATCH(G375,Cables!$A:$A,0))-1),1),1),1),INDEX(Cables!$AP:$AP,MATCH(G375,Cables!$A:$A,0))-1))+1)))*0.3048)</f>
        <v>0.29749554689964541</v>
      </c>
      <c r="I375" s="43">
        <f>IF(G375="","",EXP(FORECAST(LN(E375),INDEX(Attenuation!$K:$K,(INDEX(Cables!$AO:$AO,MATCH(G375,Cables!$A:$A,0))-1+MIN(MAX(IFERROR(MATCH(LN(E375),INDEX(Attenuation!$J:$J,INDEX(Cables!$AO:$AO,MATCH(G375,Cables!$A:$A,0))):INDEX(Attenuation!$J:$J,INDEX(Cables!$AO:$AO,MATCH(G375,Cables!$A:$A,0))+INDEX(Cables!$AP:$AP,MATCH(G375,Cables!$A:$A,0))-1),1),1),1),INDEX(Cables!$AP:$AP,MATCH(G375,Cables!$A:$A,0))-1))):INDEX(Attenuation!$K:$K,(INDEX(Cables!$AO:$AO,MATCH(G375,Cables!$A:$A,0))-1+MIN(MAX(IFERROR(MATCH(LN(E375),INDEX(Attenuation!$J:$J,INDEX(Cables!$AO:$AO,MATCH(G375,Cables!$A:$A,0))):INDEX(Attenuation!$J:$J,INDEX(Cables!$AO:$AO,MATCH(G375,Cables!$A:$A,0))+INDEX(Cables!$AP:$AP,MATCH(G375,Cables!$A:$A,0))-1),1),1),1),INDEX(Cables!$AP:$AP,MATCH(G375,Cables!$A:$A,0))-1))+1),INDEX(Attenuation!$J:$J,(INDEX(Cables!$AO:$AO,MATCH(G375,Cables!$A:$A,0))-1+MIN(MAX(IFERROR(MATCH(LN(E375),INDEX(Attenuation!$J:$J,INDEX(Cables!$AO:$AO,MATCH(G375,Cables!$A:$A,0))):INDEX(Attenuation!$J:$J,INDEX(Cables!$AO:$AO,MATCH(G375,Cables!$A:$A,0))+INDEX(Cables!$AP:$AP,MATCH(G375,Cables!$A:$A,0))-1),1),1),1),INDEX(Cables!$AP:$AP,MATCH(G375,Cables!$A:$A,0))-1))):INDEX(Attenuation!$J:$J,(INDEX(Cables!$AO:$AO,MATCH(G375,Cables!$A:$A,0))-1+MIN(MAX(IFERROR(MATCH(LN(E375),INDEX(Attenuation!$J:$J,INDEX(Cables!$AO:$AO,MATCH(G375,Cables!$A:$A,0))):INDEX(Attenuation!$J:$J,INDEX(Cables!$AO:$AO,MATCH(G375,Cables!$A:$A,0))+INDEX(Cables!$AP:$AP,MATCH(G375,Cables!$A:$A,0))-1),1),1),1),INDEX(Cables!$AP:$AP,MATCH(G375,Cables!$A:$A,0))-1))+1)))*0.3048)</f>
        <v>0.32308799999999999</v>
      </c>
      <c r="J375" s="44">
        <f t="shared" si="5"/>
        <v>0</v>
      </c>
      <c r="K375" s="40" t="str">
        <f>IF(G375="","Doğrulanmadı",IF(ABS(J375)&lt;=0.1,"Uyumlu (±%10)",IF(ABS(J375)&lt;=0.25,"Fark %10-25","Fark &gt;%25"))&amp;IF(OR(D375&lt;INDEX(Cables!$AQ:$AQ,MATCH(G375,Cables!$A:$A,0)),E375&gt;INDEX(Cables!$AR:$AR,MATCH(G375,Cables!$A:$A,0)))," · ekstrapolasyon",""))</f>
        <v>Uyumlu (±%10)</v>
      </c>
    </row>
    <row r="376" spans="1:11" x14ac:dyDescent="0.25">
      <c r="A376" s="37" t="s">
        <v>3083</v>
      </c>
      <c r="B376" s="40" t="str">
        <f>INDEX(Legacy_Index!$D:$D,MATCH(A376,Legacy_Index!$A:$A,0))</f>
        <v>1 1/4" HELIAX®</v>
      </c>
      <c r="C376" s="37" t="s">
        <v>3115</v>
      </c>
      <c r="D376" s="37">
        <v>400</v>
      </c>
      <c r="E376" s="37">
        <v>520</v>
      </c>
      <c r="F376" s="37">
        <v>0.6</v>
      </c>
      <c r="G376" s="40" t="str">
        <f>IF(INDEX(Legacy_Index!$G:$G,MATCH(A376,Legacy_Index!$A:$A,0))="","",INDEX(Legacy_Index!$G:$G,MATCH(A376,Legacy_Index!$A:$A,0)))</f>
        <v>CS-LDF6-50</v>
      </c>
      <c r="H376" s="43">
        <f>IF(G376="","",EXP(FORECAST(LN(D376),INDEX(Attenuation!$K:$K,(INDEX(Cables!$AO:$AO,MATCH(G376,Cables!$A:$A,0))-1+MIN(MAX(IFERROR(MATCH(LN(D376),INDEX(Attenuation!$J:$J,INDEX(Cables!$AO:$AO,MATCH(G376,Cables!$A:$A,0))):INDEX(Attenuation!$J:$J,INDEX(Cables!$AO:$AO,MATCH(G376,Cables!$A:$A,0))+INDEX(Cables!$AP:$AP,MATCH(G376,Cables!$A:$A,0))-1),1),1),1),INDEX(Cables!$AP:$AP,MATCH(G376,Cables!$A:$A,0))-1))):INDEX(Attenuation!$K:$K,(INDEX(Cables!$AO:$AO,MATCH(G376,Cables!$A:$A,0))-1+MIN(MAX(IFERROR(MATCH(LN(D376),INDEX(Attenuation!$J:$J,INDEX(Cables!$AO:$AO,MATCH(G376,Cables!$A:$A,0))):INDEX(Attenuation!$J:$J,INDEX(Cables!$AO:$AO,MATCH(G376,Cables!$A:$A,0))+INDEX(Cables!$AP:$AP,MATCH(G376,Cables!$A:$A,0))-1),1),1),1),INDEX(Cables!$AP:$AP,MATCH(G376,Cables!$A:$A,0))-1))+1),INDEX(Attenuation!$J:$J,(INDEX(Cables!$AO:$AO,MATCH(G376,Cables!$A:$A,0))-1+MIN(MAX(IFERROR(MATCH(LN(D376),INDEX(Attenuation!$J:$J,INDEX(Cables!$AO:$AO,MATCH(G376,Cables!$A:$A,0))):INDEX(Attenuation!$J:$J,INDEX(Cables!$AO:$AO,MATCH(G376,Cables!$A:$A,0))+INDEX(Cables!$AP:$AP,MATCH(G376,Cables!$A:$A,0))-1),1),1),1),INDEX(Cables!$AP:$AP,MATCH(G376,Cables!$A:$A,0))-1))):INDEX(Attenuation!$J:$J,(INDEX(Cables!$AO:$AO,MATCH(G376,Cables!$A:$A,0))-1+MIN(MAX(IFERROR(MATCH(LN(D376),INDEX(Attenuation!$J:$J,INDEX(Cables!$AO:$AO,MATCH(G376,Cables!$A:$A,0))):INDEX(Attenuation!$J:$J,INDEX(Cables!$AO:$AO,MATCH(G376,Cables!$A:$A,0))+INDEX(Cables!$AP:$AP,MATCH(G376,Cables!$A:$A,0))-1),1),1),1),INDEX(Cables!$AP:$AP,MATCH(G376,Cables!$A:$A,0))-1))+1)))*0.3048)</f>
        <v>0.50901600000000002</v>
      </c>
      <c r="I376" s="43">
        <f>IF(G376="","",EXP(FORECAST(LN(E376),INDEX(Attenuation!$K:$K,(INDEX(Cables!$AO:$AO,MATCH(G376,Cables!$A:$A,0))-1+MIN(MAX(IFERROR(MATCH(LN(E376),INDEX(Attenuation!$J:$J,INDEX(Cables!$AO:$AO,MATCH(G376,Cables!$A:$A,0))):INDEX(Attenuation!$J:$J,INDEX(Cables!$AO:$AO,MATCH(G376,Cables!$A:$A,0))+INDEX(Cables!$AP:$AP,MATCH(G376,Cables!$A:$A,0))-1),1),1),1),INDEX(Cables!$AP:$AP,MATCH(G376,Cables!$A:$A,0))-1))):INDEX(Attenuation!$K:$K,(INDEX(Cables!$AO:$AO,MATCH(G376,Cables!$A:$A,0))-1+MIN(MAX(IFERROR(MATCH(LN(E376),INDEX(Attenuation!$J:$J,INDEX(Cables!$AO:$AO,MATCH(G376,Cables!$A:$A,0))):INDEX(Attenuation!$J:$J,INDEX(Cables!$AO:$AO,MATCH(G376,Cables!$A:$A,0))+INDEX(Cables!$AP:$AP,MATCH(G376,Cables!$A:$A,0))-1),1),1),1),INDEX(Cables!$AP:$AP,MATCH(G376,Cables!$A:$A,0))-1))+1),INDEX(Attenuation!$J:$J,(INDEX(Cables!$AO:$AO,MATCH(G376,Cables!$A:$A,0))-1+MIN(MAX(IFERROR(MATCH(LN(E376),INDEX(Attenuation!$J:$J,INDEX(Cables!$AO:$AO,MATCH(G376,Cables!$A:$A,0))):INDEX(Attenuation!$J:$J,INDEX(Cables!$AO:$AO,MATCH(G376,Cables!$A:$A,0))+INDEX(Cables!$AP:$AP,MATCH(G376,Cables!$A:$A,0))-1),1),1),1),INDEX(Cables!$AP:$AP,MATCH(G376,Cables!$A:$A,0))-1))):INDEX(Attenuation!$J:$J,(INDEX(Cables!$AO:$AO,MATCH(G376,Cables!$A:$A,0))-1+MIN(MAX(IFERROR(MATCH(LN(E376),INDEX(Attenuation!$J:$J,INDEX(Cables!$AO:$AO,MATCH(G376,Cables!$A:$A,0))):INDEX(Attenuation!$J:$J,INDEX(Cables!$AO:$AO,MATCH(G376,Cables!$A:$A,0))+INDEX(Cables!$AP:$AP,MATCH(G376,Cables!$A:$A,0))-1),1),1),1),INDEX(Cables!$AP:$AP,MATCH(G376,Cables!$A:$A,0))-1))+1)))*0.3048)</f>
        <v>0.59036495071127326</v>
      </c>
      <c r="J376" s="44">
        <f t="shared" si="5"/>
        <v>1.6320496799680173E-2</v>
      </c>
      <c r="K376" s="40" t="str">
        <f>IF(G376="","Doğrulanmadı",IF(ABS(J376)&lt;=0.1,"Uyumlu (±%10)",IF(ABS(J376)&lt;=0.25,"Fark %10-25","Fark &gt;%25"))&amp;IF(OR(D376&lt;INDEX(Cables!$AQ:$AQ,MATCH(G376,Cables!$A:$A,0)),E376&gt;INDEX(Cables!$AR:$AR,MATCH(G376,Cables!$A:$A,0)))," · ekstrapolasyon",""))</f>
        <v>Uyumlu (±%10)</v>
      </c>
    </row>
    <row r="377" spans="1:11" x14ac:dyDescent="0.25">
      <c r="A377" s="37" t="s">
        <v>3083</v>
      </c>
      <c r="B377" s="40" t="str">
        <f>INDEX(Legacy_Index!$D:$D,MATCH(A377,Legacy_Index!$A:$A,0))</f>
        <v>1 1/4" HELIAX®</v>
      </c>
      <c r="C377" s="37" t="s">
        <v>3116</v>
      </c>
      <c r="D377" s="37">
        <v>700</v>
      </c>
      <c r="E377" s="37">
        <v>960</v>
      </c>
      <c r="F377" s="37">
        <v>0.9</v>
      </c>
      <c r="G377" s="40" t="str">
        <f>IF(INDEX(Legacy_Index!$G:$G,MATCH(A377,Legacy_Index!$A:$A,0))="","",INDEX(Legacy_Index!$G:$G,MATCH(A377,Legacy_Index!$A:$A,0)))</f>
        <v>CS-LDF6-50</v>
      </c>
      <c r="H377" s="43">
        <f>IF(G377="","",EXP(FORECAST(LN(D377),INDEX(Attenuation!$K:$K,(INDEX(Cables!$AO:$AO,MATCH(G377,Cables!$A:$A,0))-1+MIN(MAX(IFERROR(MATCH(LN(D377),INDEX(Attenuation!$J:$J,INDEX(Cables!$AO:$AO,MATCH(G377,Cables!$A:$A,0))):INDEX(Attenuation!$J:$J,INDEX(Cables!$AO:$AO,MATCH(G377,Cables!$A:$A,0))+INDEX(Cables!$AP:$AP,MATCH(G377,Cables!$A:$A,0))-1),1),1),1),INDEX(Cables!$AP:$AP,MATCH(G377,Cables!$A:$A,0))-1))):INDEX(Attenuation!$K:$K,(INDEX(Cables!$AO:$AO,MATCH(G377,Cables!$A:$A,0))-1+MIN(MAX(IFERROR(MATCH(LN(D377),INDEX(Attenuation!$J:$J,INDEX(Cables!$AO:$AO,MATCH(G377,Cables!$A:$A,0))):INDEX(Attenuation!$J:$J,INDEX(Cables!$AO:$AO,MATCH(G377,Cables!$A:$A,0))+INDEX(Cables!$AP:$AP,MATCH(G377,Cables!$A:$A,0))-1),1),1),1),INDEX(Cables!$AP:$AP,MATCH(G377,Cables!$A:$A,0))-1))+1),INDEX(Attenuation!$J:$J,(INDEX(Cables!$AO:$AO,MATCH(G377,Cables!$A:$A,0))-1+MIN(MAX(IFERROR(MATCH(LN(D377),INDEX(Attenuation!$J:$J,INDEX(Cables!$AO:$AO,MATCH(G377,Cables!$A:$A,0))):INDEX(Attenuation!$J:$J,INDEX(Cables!$AO:$AO,MATCH(G377,Cables!$A:$A,0))+INDEX(Cables!$AP:$AP,MATCH(G377,Cables!$A:$A,0))-1),1),1),1),INDEX(Cables!$AP:$AP,MATCH(G377,Cables!$A:$A,0))-1))):INDEX(Attenuation!$J:$J,(INDEX(Cables!$AO:$AO,MATCH(G377,Cables!$A:$A,0))-1+MIN(MAX(IFERROR(MATCH(LN(D377),INDEX(Attenuation!$J:$J,INDEX(Cables!$AO:$AO,MATCH(G377,Cables!$A:$A,0))):INDEX(Attenuation!$J:$J,INDEX(Cables!$AO:$AO,MATCH(G377,Cables!$A:$A,0))+INDEX(Cables!$AP:$AP,MATCH(G377,Cables!$A:$A,0))-1),1),1),1),INDEX(Cables!$AP:$AP,MATCH(G377,Cables!$A:$A,0))-1))+1)))*0.3048)</f>
        <v>0.69799199999999995</v>
      </c>
      <c r="I377" s="43">
        <f>IF(G377="","",EXP(FORECAST(LN(E377),INDEX(Attenuation!$K:$K,(INDEX(Cables!$AO:$AO,MATCH(G377,Cables!$A:$A,0))-1+MIN(MAX(IFERROR(MATCH(LN(E377),INDEX(Attenuation!$J:$J,INDEX(Cables!$AO:$AO,MATCH(G377,Cables!$A:$A,0))):INDEX(Attenuation!$J:$J,INDEX(Cables!$AO:$AO,MATCH(G377,Cables!$A:$A,0))+INDEX(Cables!$AP:$AP,MATCH(G377,Cables!$A:$A,0))-1),1),1),1),INDEX(Cables!$AP:$AP,MATCH(G377,Cables!$A:$A,0))-1))):INDEX(Attenuation!$K:$K,(INDEX(Cables!$AO:$AO,MATCH(G377,Cables!$A:$A,0))-1+MIN(MAX(IFERROR(MATCH(LN(E377),INDEX(Attenuation!$J:$J,INDEX(Cables!$AO:$AO,MATCH(G377,Cables!$A:$A,0))):INDEX(Attenuation!$J:$J,INDEX(Cables!$AO:$AO,MATCH(G377,Cables!$A:$A,0))+INDEX(Cables!$AP:$AP,MATCH(G377,Cables!$A:$A,0))-1),1),1),1),INDEX(Cables!$AP:$AP,MATCH(G377,Cables!$A:$A,0))-1))+1),INDEX(Attenuation!$J:$J,(INDEX(Cables!$AO:$AO,MATCH(G377,Cables!$A:$A,0))-1+MIN(MAX(IFERROR(MATCH(LN(E377),INDEX(Attenuation!$J:$J,INDEX(Cables!$AO:$AO,MATCH(G377,Cables!$A:$A,0))):INDEX(Attenuation!$J:$J,INDEX(Cables!$AO:$AO,MATCH(G377,Cables!$A:$A,0))+INDEX(Cables!$AP:$AP,MATCH(G377,Cables!$A:$A,0))-1),1),1),1),INDEX(Cables!$AP:$AP,MATCH(G377,Cables!$A:$A,0))-1))):INDEX(Attenuation!$J:$J,(INDEX(Cables!$AO:$AO,MATCH(G377,Cables!$A:$A,0))-1+MIN(MAX(IFERROR(MATCH(LN(E377),INDEX(Attenuation!$J:$J,INDEX(Cables!$AO:$AO,MATCH(G377,Cables!$A:$A,0))):INDEX(Attenuation!$J:$J,INDEX(Cables!$AO:$AO,MATCH(G377,Cables!$A:$A,0))+INDEX(Cables!$AP:$AP,MATCH(G377,Cables!$A:$A,0))-1),1),1),1),INDEX(Cables!$AP:$AP,MATCH(G377,Cables!$A:$A,0))-1))+1)))*0.3048)</f>
        <v>0.83515199999999978</v>
      </c>
      <c r="J377" s="44">
        <f t="shared" si="5"/>
        <v>7.7648140697741619E-2</v>
      </c>
      <c r="K377" s="40" t="str">
        <f>IF(G377="","Doğrulanmadı",IF(ABS(J377)&lt;=0.1,"Uyumlu (±%10)",IF(ABS(J377)&lt;=0.25,"Fark %10-25","Fark &gt;%25"))&amp;IF(OR(D377&lt;INDEX(Cables!$AQ:$AQ,MATCH(G377,Cables!$A:$A,0)),E377&gt;INDEX(Cables!$AR:$AR,MATCH(G377,Cables!$A:$A,0)))," · ekstrapolasyon",""))</f>
        <v>Uyumlu (±%10)</v>
      </c>
    </row>
    <row r="378" spans="1:11" x14ac:dyDescent="0.25">
      <c r="A378" s="37" t="s">
        <v>3083</v>
      </c>
      <c r="B378" s="40" t="str">
        <f>INDEX(Legacy_Index!$D:$D,MATCH(A378,Legacy_Index!$A:$A,0))</f>
        <v>1 1/4" HELIAX®</v>
      </c>
      <c r="C378" s="37" t="s">
        <v>3121</v>
      </c>
      <c r="D378" s="37">
        <v>2400</v>
      </c>
      <c r="E378" s="37">
        <v>2500</v>
      </c>
      <c r="F378" s="37">
        <v>1.6</v>
      </c>
      <c r="G378" s="40" t="str">
        <f>IF(INDEX(Legacy_Index!$G:$G,MATCH(A378,Legacy_Index!$A:$A,0))="","",INDEX(Legacy_Index!$G:$G,MATCH(A378,Legacy_Index!$A:$A,0)))</f>
        <v>CS-LDF6-50</v>
      </c>
      <c r="H378" s="43">
        <f>IF(G378="","",EXP(FORECAST(LN(D378),INDEX(Attenuation!$K:$K,(INDEX(Cables!$AO:$AO,MATCH(G378,Cables!$A:$A,0))-1+MIN(MAX(IFERROR(MATCH(LN(D378),INDEX(Attenuation!$J:$J,INDEX(Cables!$AO:$AO,MATCH(G378,Cables!$A:$A,0))):INDEX(Attenuation!$J:$J,INDEX(Cables!$AO:$AO,MATCH(G378,Cables!$A:$A,0))+INDEX(Cables!$AP:$AP,MATCH(G378,Cables!$A:$A,0))-1),1),1),1),INDEX(Cables!$AP:$AP,MATCH(G378,Cables!$A:$A,0))-1))):INDEX(Attenuation!$K:$K,(INDEX(Cables!$AO:$AO,MATCH(G378,Cables!$A:$A,0))-1+MIN(MAX(IFERROR(MATCH(LN(D378),INDEX(Attenuation!$J:$J,INDEX(Cables!$AO:$AO,MATCH(G378,Cables!$A:$A,0))):INDEX(Attenuation!$J:$J,INDEX(Cables!$AO:$AO,MATCH(G378,Cables!$A:$A,0))+INDEX(Cables!$AP:$AP,MATCH(G378,Cables!$A:$A,0))-1),1),1),1),INDEX(Cables!$AP:$AP,MATCH(G378,Cables!$A:$A,0))-1))+1),INDEX(Attenuation!$J:$J,(INDEX(Cables!$AO:$AO,MATCH(G378,Cables!$A:$A,0))-1+MIN(MAX(IFERROR(MATCH(LN(D378),INDEX(Attenuation!$J:$J,INDEX(Cables!$AO:$AO,MATCH(G378,Cables!$A:$A,0))):INDEX(Attenuation!$J:$J,INDEX(Cables!$AO:$AO,MATCH(G378,Cables!$A:$A,0))+INDEX(Cables!$AP:$AP,MATCH(G378,Cables!$A:$A,0))-1),1),1),1),INDEX(Cables!$AP:$AP,MATCH(G378,Cables!$A:$A,0))-1))):INDEX(Attenuation!$J:$J,(INDEX(Cables!$AO:$AO,MATCH(G378,Cables!$A:$A,0))-1+MIN(MAX(IFERROR(MATCH(LN(D378),INDEX(Attenuation!$J:$J,INDEX(Cables!$AO:$AO,MATCH(G378,Cables!$A:$A,0))):INDEX(Attenuation!$J:$J,INDEX(Cables!$AO:$AO,MATCH(G378,Cables!$A:$A,0))+INDEX(Cables!$AP:$AP,MATCH(G378,Cables!$A:$A,0))-1),1),1),1),INDEX(Cables!$AP:$AP,MATCH(G378,Cables!$A:$A,0))-1))+1)))*0.3048)</f>
        <v>1.4363551539782735</v>
      </c>
      <c r="I378" s="43">
        <f>IF(G378="","",EXP(FORECAST(LN(E378),INDEX(Attenuation!$K:$K,(INDEX(Cables!$AO:$AO,MATCH(G378,Cables!$A:$A,0))-1+MIN(MAX(IFERROR(MATCH(LN(E378),INDEX(Attenuation!$J:$J,INDEX(Cables!$AO:$AO,MATCH(G378,Cables!$A:$A,0))):INDEX(Attenuation!$J:$J,INDEX(Cables!$AO:$AO,MATCH(G378,Cables!$A:$A,0))+INDEX(Cables!$AP:$AP,MATCH(G378,Cables!$A:$A,0))-1),1),1),1),INDEX(Cables!$AP:$AP,MATCH(G378,Cables!$A:$A,0))-1))):INDEX(Attenuation!$K:$K,(INDEX(Cables!$AO:$AO,MATCH(G378,Cables!$A:$A,0))-1+MIN(MAX(IFERROR(MATCH(LN(E378),INDEX(Attenuation!$J:$J,INDEX(Cables!$AO:$AO,MATCH(G378,Cables!$A:$A,0))):INDEX(Attenuation!$J:$J,INDEX(Cables!$AO:$AO,MATCH(G378,Cables!$A:$A,0))+INDEX(Cables!$AP:$AP,MATCH(G378,Cables!$A:$A,0))-1),1),1),1),INDEX(Cables!$AP:$AP,MATCH(G378,Cables!$A:$A,0))-1))+1),INDEX(Attenuation!$J:$J,(INDEX(Cables!$AO:$AO,MATCH(G378,Cables!$A:$A,0))-1+MIN(MAX(IFERROR(MATCH(LN(E378),INDEX(Attenuation!$J:$J,INDEX(Cables!$AO:$AO,MATCH(G378,Cables!$A:$A,0))):INDEX(Attenuation!$J:$J,INDEX(Cables!$AO:$AO,MATCH(G378,Cables!$A:$A,0))+INDEX(Cables!$AP:$AP,MATCH(G378,Cables!$A:$A,0))-1),1),1),1),INDEX(Cables!$AP:$AP,MATCH(G378,Cables!$A:$A,0))-1))):INDEX(Attenuation!$J:$J,(INDEX(Cables!$AO:$AO,MATCH(G378,Cables!$A:$A,0))-1+MIN(MAX(IFERROR(MATCH(LN(E378),INDEX(Attenuation!$J:$J,INDEX(Cables!$AO:$AO,MATCH(G378,Cables!$A:$A,0))):INDEX(Attenuation!$J:$J,INDEX(Cables!$AO:$AO,MATCH(G378,Cables!$A:$A,0))+INDEX(Cables!$AP:$AP,MATCH(G378,Cables!$A:$A,0))-1),1),1),1),INDEX(Cables!$AP:$AP,MATCH(G378,Cables!$A:$A,0))-1))+1)))*0.3048)</f>
        <v>1.4730896969050196</v>
      </c>
      <c r="J378" s="44">
        <f t="shared" si="5"/>
        <v>8.6152461293851124E-2</v>
      </c>
      <c r="K378" s="40" t="str">
        <f>IF(G378="","Doğrulanmadı",IF(ABS(J378)&lt;=0.1,"Uyumlu (±%10)",IF(ABS(J378)&lt;=0.25,"Fark %10-25","Fark &gt;%25"))&amp;IF(OR(D378&lt;INDEX(Cables!$AQ:$AQ,MATCH(G378,Cables!$A:$A,0)),E378&gt;INDEX(Cables!$AR:$AR,MATCH(G378,Cables!$A:$A,0)))," · ekstrapolasyon",""))</f>
        <v>Uyumlu (±%10)</v>
      </c>
    </row>
    <row r="379" spans="1:11" x14ac:dyDescent="0.25">
      <c r="A379" s="37" t="s">
        <v>3086</v>
      </c>
      <c r="B379" s="40" t="str">
        <f>INDEX(Legacy_Index!$D:$D,MATCH(A379,Legacy_Index!$A:$A,0))</f>
        <v>1 5/8" LDF</v>
      </c>
      <c r="C379" s="37" t="s">
        <v>3114</v>
      </c>
      <c r="D379" s="37">
        <v>148</v>
      </c>
      <c r="E379" s="37">
        <v>174</v>
      </c>
      <c r="F379" s="37">
        <v>0.28000000000000003</v>
      </c>
      <c r="G379" s="40" t="str">
        <f>IF(INDEX(Legacy_Index!$G:$G,MATCH(A379,Legacy_Index!$A:$A,0))="","",INDEX(Legacy_Index!$G:$G,MATCH(A379,Legacy_Index!$A:$A,0)))</f>
        <v>CS-LDF7-50A</v>
      </c>
      <c r="H379" s="43">
        <f>IF(G379="","",EXP(FORECAST(LN(D379),INDEX(Attenuation!$K:$K,(INDEX(Cables!$AO:$AO,MATCH(G379,Cables!$A:$A,0))-1+MIN(MAX(IFERROR(MATCH(LN(D379),INDEX(Attenuation!$J:$J,INDEX(Cables!$AO:$AO,MATCH(G379,Cables!$A:$A,0))):INDEX(Attenuation!$J:$J,INDEX(Cables!$AO:$AO,MATCH(G379,Cables!$A:$A,0))+INDEX(Cables!$AP:$AP,MATCH(G379,Cables!$A:$A,0))-1),1),1),1),INDEX(Cables!$AP:$AP,MATCH(G379,Cables!$A:$A,0))-1))):INDEX(Attenuation!$K:$K,(INDEX(Cables!$AO:$AO,MATCH(G379,Cables!$A:$A,0))-1+MIN(MAX(IFERROR(MATCH(LN(D379),INDEX(Attenuation!$J:$J,INDEX(Cables!$AO:$AO,MATCH(G379,Cables!$A:$A,0))):INDEX(Attenuation!$J:$J,INDEX(Cables!$AO:$AO,MATCH(G379,Cables!$A:$A,0))+INDEX(Cables!$AP:$AP,MATCH(G379,Cables!$A:$A,0))-1),1),1),1),INDEX(Cables!$AP:$AP,MATCH(G379,Cables!$A:$A,0))-1))+1),INDEX(Attenuation!$J:$J,(INDEX(Cables!$AO:$AO,MATCH(G379,Cables!$A:$A,0))-1+MIN(MAX(IFERROR(MATCH(LN(D379),INDEX(Attenuation!$J:$J,INDEX(Cables!$AO:$AO,MATCH(G379,Cables!$A:$A,0))):INDEX(Attenuation!$J:$J,INDEX(Cables!$AO:$AO,MATCH(G379,Cables!$A:$A,0))+INDEX(Cables!$AP:$AP,MATCH(G379,Cables!$A:$A,0))-1),1),1),1),INDEX(Cables!$AP:$AP,MATCH(G379,Cables!$A:$A,0))-1))):INDEX(Attenuation!$J:$J,(INDEX(Cables!$AO:$AO,MATCH(G379,Cables!$A:$A,0))-1+MIN(MAX(IFERROR(MATCH(LN(D379),INDEX(Attenuation!$J:$J,INDEX(Cables!$AO:$AO,MATCH(G379,Cables!$A:$A,0))):INDEX(Attenuation!$J:$J,INDEX(Cables!$AO:$AO,MATCH(G379,Cables!$A:$A,0))+INDEX(Cables!$AP:$AP,MATCH(G379,Cables!$A:$A,0))-1),1),1),1),INDEX(Cables!$AP:$AP,MATCH(G379,Cables!$A:$A,0))-1))+1)))*0.3048)</f>
        <v>0.2523756354980709</v>
      </c>
      <c r="I379" s="43">
        <f>IF(G379="","",EXP(FORECAST(LN(E379),INDEX(Attenuation!$K:$K,(INDEX(Cables!$AO:$AO,MATCH(G379,Cables!$A:$A,0))-1+MIN(MAX(IFERROR(MATCH(LN(E379),INDEX(Attenuation!$J:$J,INDEX(Cables!$AO:$AO,MATCH(G379,Cables!$A:$A,0))):INDEX(Attenuation!$J:$J,INDEX(Cables!$AO:$AO,MATCH(G379,Cables!$A:$A,0))+INDEX(Cables!$AP:$AP,MATCH(G379,Cables!$A:$A,0))-1),1),1),1),INDEX(Cables!$AP:$AP,MATCH(G379,Cables!$A:$A,0))-1))):INDEX(Attenuation!$K:$K,(INDEX(Cables!$AO:$AO,MATCH(G379,Cables!$A:$A,0))-1+MIN(MAX(IFERROR(MATCH(LN(E379),INDEX(Attenuation!$J:$J,INDEX(Cables!$AO:$AO,MATCH(G379,Cables!$A:$A,0))):INDEX(Attenuation!$J:$J,INDEX(Cables!$AO:$AO,MATCH(G379,Cables!$A:$A,0))+INDEX(Cables!$AP:$AP,MATCH(G379,Cables!$A:$A,0))-1),1),1),1),INDEX(Cables!$AP:$AP,MATCH(G379,Cables!$A:$A,0))-1))+1),INDEX(Attenuation!$J:$J,(INDEX(Cables!$AO:$AO,MATCH(G379,Cables!$A:$A,0))-1+MIN(MAX(IFERROR(MATCH(LN(E379),INDEX(Attenuation!$J:$J,INDEX(Cables!$AO:$AO,MATCH(G379,Cables!$A:$A,0))):INDEX(Attenuation!$J:$J,INDEX(Cables!$AO:$AO,MATCH(G379,Cables!$A:$A,0))+INDEX(Cables!$AP:$AP,MATCH(G379,Cables!$A:$A,0))-1),1),1),1),INDEX(Cables!$AP:$AP,MATCH(G379,Cables!$A:$A,0))-1))):INDEX(Attenuation!$J:$J,(INDEX(Cables!$AO:$AO,MATCH(G379,Cables!$A:$A,0))-1+MIN(MAX(IFERROR(MATCH(LN(E379),INDEX(Attenuation!$J:$J,INDEX(Cables!$AO:$AO,MATCH(G379,Cables!$A:$A,0))):INDEX(Attenuation!$J:$J,INDEX(Cables!$AO:$AO,MATCH(G379,Cables!$A:$A,0))+INDEX(Cables!$AP:$AP,MATCH(G379,Cables!$A:$A,0))-1),1),1),1),INDEX(Cables!$AP:$AP,MATCH(G379,Cables!$A:$A,0))-1))+1)))*0.3048)</f>
        <v>0.27553919999999998</v>
      </c>
      <c r="J379" s="44">
        <f t="shared" si="5"/>
        <v>1.6189348012914495E-2</v>
      </c>
      <c r="K379" s="40" t="str">
        <f>IF(G379="","Doğrulanmadı",IF(ABS(J379)&lt;=0.1,"Uyumlu (±%10)",IF(ABS(J379)&lt;=0.25,"Fark %10-25","Fark &gt;%25"))&amp;IF(OR(D379&lt;INDEX(Cables!$AQ:$AQ,MATCH(G379,Cables!$A:$A,0)),E379&gt;INDEX(Cables!$AR:$AR,MATCH(G379,Cables!$A:$A,0)))," · ekstrapolasyon",""))</f>
        <v>Uyumlu (±%10)</v>
      </c>
    </row>
    <row r="380" spans="1:11" x14ac:dyDescent="0.25">
      <c r="A380" s="37" t="s">
        <v>3086</v>
      </c>
      <c r="B380" s="40" t="str">
        <f>INDEX(Legacy_Index!$D:$D,MATCH(A380,Legacy_Index!$A:$A,0))</f>
        <v>1 5/8" LDF</v>
      </c>
      <c r="C380" s="37" t="s">
        <v>3119</v>
      </c>
      <c r="D380" s="37">
        <v>220</v>
      </c>
      <c r="E380" s="37">
        <v>220</v>
      </c>
      <c r="F380" s="37">
        <v>0.35</v>
      </c>
      <c r="G380" s="40" t="str">
        <f>IF(INDEX(Legacy_Index!$G:$G,MATCH(A380,Legacy_Index!$A:$A,0))="","",INDEX(Legacy_Index!$G:$G,MATCH(A380,Legacy_Index!$A:$A,0)))</f>
        <v>CS-LDF7-50A</v>
      </c>
      <c r="H380" s="43">
        <f>IF(G380="","",EXP(FORECAST(LN(D380),INDEX(Attenuation!$K:$K,(INDEX(Cables!$AO:$AO,MATCH(G380,Cables!$A:$A,0))-1+MIN(MAX(IFERROR(MATCH(LN(D380),INDEX(Attenuation!$J:$J,INDEX(Cables!$AO:$AO,MATCH(G380,Cables!$A:$A,0))):INDEX(Attenuation!$J:$J,INDEX(Cables!$AO:$AO,MATCH(G380,Cables!$A:$A,0))+INDEX(Cables!$AP:$AP,MATCH(G380,Cables!$A:$A,0))-1),1),1),1),INDEX(Cables!$AP:$AP,MATCH(G380,Cables!$A:$A,0))-1))):INDEX(Attenuation!$K:$K,(INDEX(Cables!$AO:$AO,MATCH(G380,Cables!$A:$A,0))-1+MIN(MAX(IFERROR(MATCH(LN(D380),INDEX(Attenuation!$J:$J,INDEX(Cables!$AO:$AO,MATCH(G380,Cables!$A:$A,0))):INDEX(Attenuation!$J:$J,INDEX(Cables!$AO:$AO,MATCH(G380,Cables!$A:$A,0))+INDEX(Cables!$AP:$AP,MATCH(G380,Cables!$A:$A,0))-1),1),1),1),INDEX(Cables!$AP:$AP,MATCH(G380,Cables!$A:$A,0))-1))+1),INDEX(Attenuation!$J:$J,(INDEX(Cables!$AO:$AO,MATCH(G380,Cables!$A:$A,0))-1+MIN(MAX(IFERROR(MATCH(LN(D380),INDEX(Attenuation!$J:$J,INDEX(Cables!$AO:$AO,MATCH(G380,Cables!$A:$A,0))):INDEX(Attenuation!$J:$J,INDEX(Cables!$AO:$AO,MATCH(G380,Cables!$A:$A,0))+INDEX(Cables!$AP:$AP,MATCH(G380,Cables!$A:$A,0))-1),1),1),1),INDEX(Cables!$AP:$AP,MATCH(G380,Cables!$A:$A,0))-1))):INDEX(Attenuation!$J:$J,(INDEX(Cables!$AO:$AO,MATCH(G380,Cables!$A:$A,0))-1+MIN(MAX(IFERROR(MATCH(LN(D380),INDEX(Attenuation!$J:$J,INDEX(Cables!$AO:$AO,MATCH(G380,Cables!$A:$A,0))):INDEX(Attenuation!$J:$J,INDEX(Cables!$AO:$AO,MATCH(G380,Cables!$A:$A,0))+INDEX(Cables!$AP:$AP,MATCH(G380,Cables!$A:$A,0))-1),1),1),1),INDEX(Cables!$AP:$AP,MATCH(G380,Cables!$A:$A,0))-1))+1)))*0.3048)</f>
        <v>0.3135052506016226</v>
      </c>
      <c r="I380" s="43">
        <f>IF(G380="","",EXP(FORECAST(LN(E380),INDEX(Attenuation!$K:$K,(INDEX(Cables!$AO:$AO,MATCH(G380,Cables!$A:$A,0))-1+MIN(MAX(IFERROR(MATCH(LN(E380),INDEX(Attenuation!$J:$J,INDEX(Cables!$AO:$AO,MATCH(G380,Cables!$A:$A,0))):INDEX(Attenuation!$J:$J,INDEX(Cables!$AO:$AO,MATCH(G380,Cables!$A:$A,0))+INDEX(Cables!$AP:$AP,MATCH(G380,Cables!$A:$A,0))-1),1),1),1),INDEX(Cables!$AP:$AP,MATCH(G380,Cables!$A:$A,0))-1))):INDEX(Attenuation!$K:$K,(INDEX(Cables!$AO:$AO,MATCH(G380,Cables!$A:$A,0))-1+MIN(MAX(IFERROR(MATCH(LN(E380),INDEX(Attenuation!$J:$J,INDEX(Cables!$AO:$AO,MATCH(G380,Cables!$A:$A,0))):INDEX(Attenuation!$J:$J,INDEX(Cables!$AO:$AO,MATCH(G380,Cables!$A:$A,0))+INDEX(Cables!$AP:$AP,MATCH(G380,Cables!$A:$A,0))-1),1),1),1),INDEX(Cables!$AP:$AP,MATCH(G380,Cables!$A:$A,0))-1))+1),INDEX(Attenuation!$J:$J,(INDEX(Cables!$AO:$AO,MATCH(G380,Cables!$A:$A,0))-1+MIN(MAX(IFERROR(MATCH(LN(E380),INDEX(Attenuation!$J:$J,INDEX(Cables!$AO:$AO,MATCH(G380,Cables!$A:$A,0))):INDEX(Attenuation!$J:$J,INDEX(Cables!$AO:$AO,MATCH(G380,Cables!$A:$A,0))+INDEX(Cables!$AP:$AP,MATCH(G380,Cables!$A:$A,0))-1),1),1),1),INDEX(Cables!$AP:$AP,MATCH(G380,Cables!$A:$A,0))-1))):INDEX(Attenuation!$J:$J,(INDEX(Cables!$AO:$AO,MATCH(G380,Cables!$A:$A,0))-1+MIN(MAX(IFERROR(MATCH(LN(E380),INDEX(Attenuation!$J:$J,INDEX(Cables!$AO:$AO,MATCH(G380,Cables!$A:$A,0))):INDEX(Attenuation!$J:$J,INDEX(Cables!$AO:$AO,MATCH(G380,Cables!$A:$A,0))+INDEX(Cables!$AP:$AP,MATCH(G380,Cables!$A:$A,0))-1),1),1),1),INDEX(Cables!$AP:$AP,MATCH(G380,Cables!$A:$A,0))-1))+1)))*0.3048)</f>
        <v>0.3135052506016226</v>
      </c>
      <c r="J380" s="44">
        <f t="shared" si="5"/>
        <v>0.11640873423441311</v>
      </c>
      <c r="K380" s="40" t="str">
        <f>IF(G380="","Doğrulanmadı",IF(ABS(J380)&lt;=0.1,"Uyumlu (±%10)",IF(ABS(J380)&lt;=0.25,"Fark %10-25","Fark &gt;%25"))&amp;IF(OR(D380&lt;INDEX(Cables!$AQ:$AQ,MATCH(G380,Cables!$A:$A,0)),E380&gt;INDEX(Cables!$AR:$AR,MATCH(G380,Cables!$A:$A,0)))," · ekstrapolasyon",""))</f>
        <v>Fark %10-25</v>
      </c>
    </row>
    <row r="381" spans="1:11" x14ac:dyDescent="0.25">
      <c r="A381" s="37" t="s">
        <v>3086</v>
      </c>
      <c r="B381" s="40" t="str">
        <f>INDEX(Legacy_Index!$D:$D,MATCH(A381,Legacy_Index!$A:$A,0))</f>
        <v>1 5/8" LDF</v>
      </c>
      <c r="C381" s="37" t="s">
        <v>3115</v>
      </c>
      <c r="D381" s="37">
        <v>400</v>
      </c>
      <c r="E381" s="37">
        <v>520</v>
      </c>
      <c r="F381" s="37">
        <v>0.52</v>
      </c>
      <c r="G381" s="40" t="str">
        <f>IF(INDEX(Legacy_Index!$G:$G,MATCH(A381,Legacy_Index!$A:$A,0))="","",INDEX(Legacy_Index!$G:$G,MATCH(A381,Legacy_Index!$A:$A,0)))</f>
        <v>CS-LDF7-50A</v>
      </c>
      <c r="H381" s="43">
        <f>IF(G381="","",EXP(FORECAST(LN(D381),INDEX(Attenuation!$K:$K,(INDEX(Cables!$AO:$AO,MATCH(G381,Cables!$A:$A,0))-1+MIN(MAX(IFERROR(MATCH(LN(D381),INDEX(Attenuation!$J:$J,INDEX(Cables!$AO:$AO,MATCH(G381,Cables!$A:$A,0))):INDEX(Attenuation!$J:$J,INDEX(Cables!$AO:$AO,MATCH(G381,Cables!$A:$A,0))+INDEX(Cables!$AP:$AP,MATCH(G381,Cables!$A:$A,0))-1),1),1),1),INDEX(Cables!$AP:$AP,MATCH(G381,Cables!$A:$A,0))-1))):INDEX(Attenuation!$K:$K,(INDEX(Cables!$AO:$AO,MATCH(G381,Cables!$A:$A,0))-1+MIN(MAX(IFERROR(MATCH(LN(D381),INDEX(Attenuation!$J:$J,INDEX(Cables!$AO:$AO,MATCH(G381,Cables!$A:$A,0))):INDEX(Attenuation!$J:$J,INDEX(Cables!$AO:$AO,MATCH(G381,Cables!$A:$A,0))+INDEX(Cables!$AP:$AP,MATCH(G381,Cables!$A:$A,0))-1),1),1),1),INDEX(Cables!$AP:$AP,MATCH(G381,Cables!$A:$A,0))-1))+1),INDEX(Attenuation!$J:$J,(INDEX(Cables!$AO:$AO,MATCH(G381,Cables!$A:$A,0))-1+MIN(MAX(IFERROR(MATCH(LN(D381),INDEX(Attenuation!$J:$J,INDEX(Cables!$AO:$AO,MATCH(G381,Cables!$A:$A,0))):INDEX(Attenuation!$J:$J,INDEX(Cables!$AO:$AO,MATCH(G381,Cables!$A:$A,0))+INDEX(Cables!$AP:$AP,MATCH(G381,Cables!$A:$A,0))-1),1),1),1),INDEX(Cables!$AP:$AP,MATCH(G381,Cables!$A:$A,0))-1))):INDEX(Attenuation!$J:$J,(INDEX(Cables!$AO:$AO,MATCH(G381,Cables!$A:$A,0))-1+MIN(MAX(IFERROR(MATCH(LN(D381),INDEX(Attenuation!$J:$J,INDEX(Cables!$AO:$AO,MATCH(G381,Cables!$A:$A,0))):INDEX(Attenuation!$J:$J,INDEX(Cables!$AO:$AO,MATCH(G381,Cables!$A:$A,0))+INDEX(Cables!$AP:$AP,MATCH(G381,Cables!$A:$A,0))-1),1),1),1),INDEX(Cables!$AP:$AP,MATCH(G381,Cables!$A:$A,0))-1))+1)))*0.3048)</f>
        <v>0.43677840000000018</v>
      </c>
      <c r="I381" s="43">
        <f>IF(G381="","",EXP(FORECAST(LN(E381),INDEX(Attenuation!$K:$K,(INDEX(Cables!$AO:$AO,MATCH(G381,Cables!$A:$A,0))-1+MIN(MAX(IFERROR(MATCH(LN(E381),INDEX(Attenuation!$J:$J,INDEX(Cables!$AO:$AO,MATCH(G381,Cables!$A:$A,0))):INDEX(Attenuation!$J:$J,INDEX(Cables!$AO:$AO,MATCH(G381,Cables!$A:$A,0))+INDEX(Cables!$AP:$AP,MATCH(G381,Cables!$A:$A,0))-1),1),1),1),INDEX(Cables!$AP:$AP,MATCH(G381,Cables!$A:$A,0))-1))):INDEX(Attenuation!$K:$K,(INDEX(Cables!$AO:$AO,MATCH(G381,Cables!$A:$A,0))-1+MIN(MAX(IFERROR(MATCH(LN(E381),INDEX(Attenuation!$J:$J,INDEX(Cables!$AO:$AO,MATCH(G381,Cables!$A:$A,0))):INDEX(Attenuation!$J:$J,INDEX(Cables!$AO:$AO,MATCH(G381,Cables!$A:$A,0))+INDEX(Cables!$AP:$AP,MATCH(G381,Cables!$A:$A,0))-1),1),1),1),INDEX(Cables!$AP:$AP,MATCH(G381,Cables!$A:$A,0))-1))+1),INDEX(Attenuation!$J:$J,(INDEX(Cables!$AO:$AO,MATCH(G381,Cables!$A:$A,0))-1+MIN(MAX(IFERROR(MATCH(LN(E381),INDEX(Attenuation!$J:$J,INDEX(Cables!$AO:$AO,MATCH(G381,Cables!$A:$A,0))):INDEX(Attenuation!$J:$J,INDEX(Cables!$AO:$AO,MATCH(G381,Cables!$A:$A,0))+INDEX(Cables!$AP:$AP,MATCH(G381,Cables!$A:$A,0))-1),1),1),1),INDEX(Cables!$AP:$AP,MATCH(G381,Cables!$A:$A,0))-1))):INDEX(Attenuation!$J:$J,(INDEX(Cables!$AO:$AO,MATCH(G381,Cables!$A:$A,0))-1+MIN(MAX(IFERROR(MATCH(LN(E381),INDEX(Attenuation!$J:$J,INDEX(Cables!$AO:$AO,MATCH(G381,Cables!$A:$A,0))):INDEX(Attenuation!$J:$J,INDEX(Cables!$AO:$AO,MATCH(G381,Cables!$A:$A,0))+INDEX(Cables!$AP:$AP,MATCH(G381,Cables!$A:$A,0))-1),1),1),1),INDEX(Cables!$AP:$AP,MATCH(G381,Cables!$A:$A,0))-1))+1)))*0.3048)</f>
        <v>0.50710348428010765</v>
      </c>
      <c r="J381" s="44">
        <f t="shared" si="5"/>
        <v>2.5431723740175993E-2</v>
      </c>
      <c r="K381" s="40" t="str">
        <f>IF(G381="","Doğrulanmadı",IF(ABS(J381)&lt;=0.1,"Uyumlu (±%10)",IF(ABS(J381)&lt;=0.25,"Fark %10-25","Fark &gt;%25"))&amp;IF(OR(D381&lt;INDEX(Cables!$AQ:$AQ,MATCH(G381,Cables!$A:$A,0)),E381&gt;INDEX(Cables!$AR:$AR,MATCH(G381,Cables!$A:$A,0)))," · ekstrapolasyon",""))</f>
        <v>Uyumlu (±%10)</v>
      </c>
    </row>
    <row r="382" spans="1:11" x14ac:dyDescent="0.25">
      <c r="A382" s="37" t="s">
        <v>3086</v>
      </c>
      <c r="B382" s="40" t="str">
        <f>INDEX(Legacy_Index!$D:$D,MATCH(A382,Legacy_Index!$A:$A,0))</f>
        <v>1 5/8" LDF</v>
      </c>
      <c r="C382" s="37" t="s">
        <v>3116</v>
      </c>
      <c r="D382" s="37">
        <v>700</v>
      </c>
      <c r="E382" s="37">
        <v>960</v>
      </c>
      <c r="F382" s="37">
        <v>0.77</v>
      </c>
      <c r="G382" s="40" t="str">
        <f>IF(INDEX(Legacy_Index!$G:$G,MATCH(A382,Legacy_Index!$A:$A,0))="","",INDEX(Legacy_Index!$G:$G,MATCH(A382,Legacy_Index!$A:$A,0)))</f>
        <v>CS-LDF7-50A</v>
      </c>
      <c r="H382" s="43">
        <f>IF(G382="","",EXP(FORECAST(LN(D382),INDEX(Attenuation!$K:$K,(INDEX(Cables!$AO:$AO,MATCH(G382,Cables!$A:$A,0))-1+MIN(MAX(IFERROR(MATCH(LN(D382),INDEX(Attenuation!$J:$J,INDEX(Cables!$AO:$AO,MATCH(G382,Cables!$A:$A,0))):INDEX(Attenuation!$J:$J,INDEX(Cables!$AO:$AO,MATCH(G382,Cables!$A:$A,0))+INDEX(Cables!$AP:$AP,MATCH(G382,Cables!$A:$A,0))-1),1),1),1),INDEX(Cables!$AP:$AP,MATCH(G382,Cables!$A:$A,0))-1))):INDEX(Attenuation!$K:$K,(INDEX(Cables!$AO:$AO,MATCH(G382,Cables!$A:$A,0))-1+MIN(MAX(IFERROR(MATCH(LN(D382),INDEX(Attenuation!$J:$J,INDEX(Cables!$AO:$AO,MATCH(G382,Cables!$A:$A,0))):INDEX(Attenuation!$J:$J,INDEX(Cables!$AO:$AO,MATCH(G382,Cables!$A:$A,0))+INDEX(Cables!$AP:$AP,MATCH(G382,Cables!$A:$A,0))-1),1),1),1),INDEX(Cables!$AP:$AP,MATCH(G382,Cables!$A:$A,0))-1))+1),INDEX(Attenuation!$J:$J,(INDEX(Cables!$AO:$AO,MATCH(G382,Cables!$A:$A,0))-1+MIN(MAX(IFERROR(MATCH(LN(D382),INDEX(Attenuation!$J:$J,INDEX(Cables!$AO:$AO,MATCH(G382,Cables!$A:$A,0))):INDEX(Attenuation!$J:$J,INDEX(Cables!$AO:$AO,MATCH(G382,Cables!$A:$A,0))+INDEX(Cables!$AP:$AP,MATCH(G382,Cables!$A:$A,0))-1),1),1),1),INDEX(Cables!$AP:$AP,MATCH(G382,Cables!$A:$A,0))-1))):INDEX(Attenuation!$J:$J,(INDEX(Cables!$AO:$AO,MATCH(G382,Cables!$A:$A,0))-1+MIN(MAX(IFERROR(MATCH(LN(D382),INDEX(Attenuation!$J:$J,INDEX(Cables!$AO:$AO,MATCH(G382,Cables!$A:$A,0))):INDEX(Attenuation!$J:$J,INDEX(Cables!$AO:$AO,MATCH(G382,Cables!$A:$A,0))+INDEX(Cables!$AP:$AP,MATCH(G382,Cables!$A:$A,0))-1),1),1),1),INDEX(Cables!$AP:$AP,MATCH(G382,Cables!$A:$A,0))-1))+1)))*0.3048)</f>
        <v>0.60167520000000019</v>
      </c>
      <c r="I382" s="43">
        <f>IF(G382="","",EXP(FORECAST(LN(E382),INDEX(Attenuation!$K:$K,(INDEX(Cables!$AO:$AO,MATCH(G382,Cables!$A:$A,0))-1+MIN(MAX(IFERROR(MATCH(LN(E382),INDEX(Attenuation!$J:$J,INDEX(Cables!$AO:$AO,MATCH(G382,Cables!$A:$A,0))):INDEX(Attenuation!$J:$J,INDEX(Cables!$AO:$AO,MATCH(G382,Cables!$A:$A,0))+INDEX(Cables!$AP:$AP,MATCH(G382,Cables!$A:$A,0))-1),1),1),1),INDEX(Cables!$AP:$AP,MATCH(G382,Cables!$A:$A,0))-1))):INDEX(Attenuation!$K:$K,(INDEX(Cables!$AO:$AO,MATCH(G382,Cables!$A:$A,0))-1+MIN(MAX(IFERROR(MATCH(LN(E382),INDEX(Attenuation!$J:$J,INDEX(Cables!$AO:$AO,MATCH(G382,Cables!$A:$A,0))):INDEX(Attenuation!$J:$J,INDEX(Cables!$AO:$AO,MATCH(G382,Cables!$A:$A,0))+INDEX(Cables!$AP:$AP,MATCH(G382,Cables!$A:$A,0))-1),1),1),1),INDEX(Cables!$AP:$AP,MATCH(G382,Cables!$A:$A,0))-1))+1),INDEX(Attenuation!$J:$J,(INDEX(Cables!$AO:$AO,MATCH(G382,Cables!$A:$A,0))-1+MIN(MAX(IFERROR(MATCH(LN(E382),INDEX(Attenuation!$J:$J,INDEX(Cables!$AO:$AO,MATCH(G382,Cables!$A:$A,0))):INDEX(Attenuation!$J:$J,INDEX(Cables!$AO:$AO,MATCH(G382,Cables!$A:$A,0))+INDEX(Cables!$AP:$AP,MATCH(G382,Cables!$A:$A,0))-1),1),1),1),INDEX(Cables!$AP:$AP,MATCH(G382,Cables!$A:$A,0))-1))):INDEX(Attenuation!$J:$J,(INDEX(Cables!$AO:$AO,MATCH(G382,Cables!$A:$A,0))-1+MIN(MAX(IFERROR(MATCH(LN(E382),INDEX(Attenuation!$J:$J,INDEX(Cables!$AO:$AO,MATCH(G382,Cables!$A:$A,0))):INDEX(Attenuation!$J:$J,INDEX(Cables!$AO:$AO,MATCH(G382,Cables!$A:$A,0))+INDEX(Cables!$AP:$AP,MATCH(G382,Cables!$A:$A,0))-1),1),1),1),INDEX(Cables!$AP:$AP,MATCH(G382,Cables!$A:$A,0))-1))+1)))*0.3048)</f>
        <v>0.72420480000000009</v>
      </c>
      <c r="J382" s="44">
        <f t="shared" si="5"/>
        <v>6.323515116166023E-2</v>
      </c>
      <c r="K382" s="40" t="str">
        <f>IF(G382="","Doğrulanmadı",IF(ABS(J382)&lt;=0.1,"Uyumlu (±%10)",IF(ABS(J382)&lt;=0.25,"Fark %10-25","Fark &gt;%25"))&amp;IF(OR(D382&lt;INDEX(Cables!$AQ:$AQ,MATCH(G382,Cables!$A:$A,0)),E382&gt;INDEX(Cables!$AR:$AR,MATCH(G382,Cables!$A:$A,0)))," · ekstrapolasyon",""))</f>
        <v>Uyumlu (±%10)</v>
      </c>
    </row>
    <row r="383" spans="1:11" x14ac:dyDescent="0.25">
      <c r="A383" s="37" t="s">
        <v>3086</v>
      </c>
      <c r="B383" s="40" t="str">
        <f>INDEX(Legacy_Index!$D:$D,MATCH(A383,Legacy_Index!$A:$A,0))</f>
        <v>1 5/8" LDF</v>
      </c>
      <c r="C383" s="37" t="s">
        <v>3120</v>
      </c>
      <c r="D383" s="37">
        <v>1200</v>
      </c>
      <c r="E383" s="37">
        <v>1300</v>
      </c>
      <c r="F383" s="37">
        <v>0.96</v>
      </c>
      <c r="G383" s="40" t="str">
        <f>IF(INDEX(Legacy_Index!$G:$G,MATCH(A383,Legacy_Index!$A:$A,0))="","",INDEX(Legacy_Index!$G:$G,MATCH(A383,Legacy_Index!$A:$A,0)))</f>
        <v>CS-LDF7-50A</v>
      </c>
      <c r="H383" s="43">
        <f>IF(G383="","",EXP(FORECAST(LN(D383),INDEX(Attenuation!$K:$K,(INDEX(Cables!$AO:$AO,MATCH(G383,Cables!$A:$A,0))-1+MIN(MAX(IFERROR(MATCH(LN(D383),INDEX(Attenuation!$J:$J,INDEX(Cables!$AO:$AO,MATCH(G383,Cables!$A:$A,0))):INDEX(Attenuation!$J:$J,INDEX(Cables!$AO:$AO,MATCH(G383,Cables!$A:$A,0))+INDEX(Cables!$AP:$AP,MATCH(G383,Cables!$A:$A,0))-1),1),1),1),INDEX(Cables!$AP:$AP,MATCH(G383,Cables!$A:$A,0))-1))):INDEX(Attenuation!$K:$K,(INDEX(Cables!$AO:$AO,MATCH(G383,Cables!$A:$A,0))-1+MIN(MAX(IFERROR(MATCH(LN(D383),INDEX(Attenuation!$J:$J,INDEX(Cables!$AO:$AO,MATCH(G383,Cables!$A:$A,0))):INDEX(Attenuation!$J:$J,INDEX(Cables!$AO:$AO,MATCH(G383,Cables!$A:$A,0))+INDEX(Cables!$AP:$AP,MATCH(G383,Cables!$A:$A,0))-1),1),1),1),INDEX(Cables!$AP:$AP,MATCH(G383,Cables!$A:$A,0))-1))+1),INDEX(Attenuation!$J:$J,(INDEX(Cables!$AO:$AO,MATCH(G383,Cables!$A:$A,0))-1+MIN(MAX(IFERROR(MATCH(LN(D383),INDEX(Attenuation!$J:$J,INDEX(Cables!$AO:$AO,MATCH(G383,Cables!$A:$A,0))):INDEX(Attenuation!$J:$J,INDEX(Cables!$AO:$AO,MATCH(G383,Cables!$A:$A,0))+INDEX(Cables!$AP:$AP,MATCH(G383,Cables!$A:$A,0))-1),1),1),1),INDEX(Cables!$AP:$AP,MATCH(G383,Cables!$A:$A,0))-1))):INDEX(Attenuation!$J:$J,(INDEX(Cables!$AO:$AO,MATCH(G383,Cables!$A:$A,0))-1+MIN(MAX(IFERROR(MATCH(LN(D383),INDEX(Attenuation!$J:$J,INDEX(Cables!$AO:$AO,MATCH(G383,Cables!$A:$A,0))):INDEX(Attenuation!$J:$J,INDEX(Cables!$AO:$AO,MATCH(G383,Cables!$A:$A,0))+INDEX(Cables!$AP:$AP,MATCH(G383,Cables!$A:$A,0))-1),1),1),1),INDEX(Cables!$AP:$AP,MATCH(G383,Cables!$A:$A,0))-1))+1)))*0.3048)</f>
        <v>0.82723191058674939</v>
      </c>
      <c r="I383" s="43">
        <f>IF(G383="","",EXP(FORECAST(LN(E383),INDEX(Attenuation!$K:$K,(INDEX(Cables!$AO:$AO,MATCH(G383,Cables!$A:$A,0))-1+MIN(MAX(IFERROR(MATCH(LN(E383),INDEX(Attenuation!$J:$J,INDEX(Cables!$AO:$AO,MATCH(G383,Cables!$A:$A,0))):INDEX(Attenuation!$J:$J,INDEX(Cables!$AO:$AO,MATCH(G383,Cables!$A:$A,0))+INDEX(Cables!$AP:$AP,MATCH(G383,Cables!$A:$A,0))-1),1),1),1),INDEX(Cables!$AP:$AP,MATCH(G383,Cables!$A:$A,0))-1))):INDEX(Attenuation!$K:$K,(INDEX(Cables!$AO:$AO,MATCH(G383,Cables!$A:$A,0))-1+MIN(MAX(IFERROR(MATCH(LN(E383),INDEX(Attenuation!$J:$J,INDEX(Cables!$AO:$AO,MATCH(G383,Cables!$A:$A,0))):INDEX(Attenuation!$J:$J,INDEX(Cables!$AO:$AO,MATCH(G383,Cables!$A:$A,0))+INDEX(Cables!$AP:$AP,MATCH(G383,Cables!$A:$A,0))-1),1),1),1),INDEX(Cables!$AP:$AP,MATCH(G383,Cables!$A:$A,0))-1))+1),INDEX(Attenuation!$J:$J,(INDEX(Cables!$AO:$AO,MATCH(G383,Cables!$A:$A,0))-1+MIN(MAX(IFERROR(MATCH(LN(E383),INDEX(Attenuation!$J:$J,INDEX(Cables!$AO:$AO,MATCH(G383,Cables!$A:$A,0))):INDEX(Attenuation!$J:$J,INDEX(Cables!$AO:$AO,MATCH(G383,Cables!$A:$A,0))+INDEX(Cables!$AP:$AP,MATCH(G383,Cables!$A:$A,0))-1),1),1),1),INDEX(Cables!$AP:$AP,MATCH(G383,Cables!$A:$A,0))-1))):INDEX(Attenuation!$J:$J,(INDEX(Cables!$AO:$AO,MATCH(G383,Cables!$A:$A,0))-1+MIN(MAX(IFERROR(MATCH(LN(E383),INDEX(Attenuation!$J:$J,INDEX(Cables!$AO:$AO,MATCH(G383,Cables!$A:$A,0))):INDEX(Attenuation!$J:$J,INDEX(Cables!$AO:$AO,MATCH(G383,Cables!$A:$A,0))+INDEX(Cables!$AP:$AP,MATCH(G383,Cables!$A:$A,0))-1),1),1),1),INDEX(Cables!$AP:$AP,MATCH(G383,Cables!$A:$A,0))-1))+1)))*0.3048)</f>
        <v>0.86804398493860635</v>
      </c>
      <c r="J383" s="44">
        <f t="shared" si="5"/>
        <v>0.1059347413920475</v>
      </c>
      <c r="K383" s="40" t="str">
        <f>IF(G383="","Doğrulanmadı",IF(ABS(J383)&lt;=0.1,"Uyumlu (±%10)",IF(ABS(J383)&lt;=0.25,"Fark %10-25","Fark &gt;%25"))&amp;IF(OR(D383&lt;INDEX(Cables!$AQ:$AQ,MATCH(G383,Cables!$A:$A,0)),E383&gt;INDEX(Cables!$AR:$AR,MATCH(G383,Cables!$A:$A,0)))," · ekstrapolasyon",""))</f>
        <v>Fark %10-25</v>
      </c>
    </row>
    <row r="384" spans="1:11" x14ac:dyDescent="0.25">
      <c r="A384" s="37" t="s">
        <v>3086</v>
      </c>
      <c r="B384" s="40" t="str">
        <f>INDEX(Legacy_Index!$D:$D,MATCH(A384,Legacy_Index!$A:$A,0))</f>
        <v>1 5/8" LDF</v>
      </c>
      <c r="C384" s="37" t="s">
        <v>3121</v>
      </c>
      <c r="D384" s="37">
        <v>2400</v>
      </c>
      <c r="E384" s="37">
        <v>2500</v>
      </c>
      <c r="F384" s="37">
        <v>1.4</v>
      </c>
      <c r="G384" s="40" t="str">
        <f>IF(INDEX(Legacy_Index!$G:$G,MATCH(A384,Legacy_Index!$A:$A,0))="","",INDEX(Legacy_Index!$G:$G,MATCH(A384,Legacy_Index!$A:$A,0)))</f>
        <v>CS-LDF7-50A</v>
      </c>
      <c r="H384" s="43">
        <f>IF(G384="","",EXP(FORECAST(LN(D384),INDEX(Attenuation!$K:$K,(INDEX(Cables!$AO:$AO,MATCH(G384,Cables!$A:$A,0))-1+MIN(MAX(IFERROR(MATCH(LN(D384),INDEX(Attenuation!$J:$J,INDEX(Cables!$AO:$AO,MATCH(G384,Cables!$A:$A,0))):INDEX(Attenuation!$J:$J,INDEX(Cables!$AO:$AO,MATCH(G384,Cables!$A:$A,0))+INDEX(Cables!$AP:$AP,MATCH(G384,Cables!$A:$A,0))-1),1),1),1),INDEX(Cables!$AP:$AP,MATCH(G384,Cables!$A:$A,0))-1))):INDEX(Attenuation!$K:$K,(INDEX(Cables!$AO:$AO,MATCH(G384,Cables!$A:$A,0))-1+MIN(MAX(IFERROR(MATCH(LN(D384),INDEX(Attenuation!$J:$J,INDEX(Cables!$AO:$AO,MATCH(G384,Cables!$A:$A,0))):INDEX(Attenuation!$J:$J,INDEX(Cables!$AO:$AO,MATCH(G384,Cables!$A:$A,0))+INDEX(Cables!$AP:$AP,MATCH(G384,Cables!$A:$A,0))-1),1),1),1),INDEX(Cables!$AP:$AP,MATCH(G384,Cables!$A:$A,0))-1))+1),INDEX(Attenuation!$J:$J,(INDEX(Cables!$AO:$AO,MATCH(G384,Cables!$A:$A,0))-1+MIN(MAX(IFERROR(MATCH(LN(D384),INDEX(Attenuation!$J:$J,INDEX(Cables!$AO:$AO,MATCH(G384,Cables!$A:$A,0))):INDEX(Attenuation!$J:$J,INDEX(Cables!$AO:$AO,MATCH(G384,Cables!$A:$A,0))+INDEX(Cables!$AP:$AP,MATCH(G384,Cables!$A:$A,0))-1),1),1),1),INDEX(Cables!$AP:$AP,MATCH(G384,Cables!$A:$A,0))-1))):INDEX(Attenuation!$J:$J,(INDEX(Cables!$AO:$AO,MATCH(G384,Cables!$A:$A,0))-1+MIN(MAX(IFERROR(MATCH(LN(D384),INDEX(Attenuation!$J:$J,INDEX(Cables!$AO:$AO,MATCH(G384,Cables!$A:$A,0))):INDEX(Attenuation!$J:$J,INDEX(Cables!$AO:$AO,MATCH(G384,Cables!$A:$A,0))+INDEX(Cables!$AP:$AP,MATCH(G384,Cables!$A:$A,0))-1),1),1),1),INDEX(Cables!$AP:$AP,MATCH(G384,Cables!$A:$A,0))-1))+1)))*0.3048)</f>
        <v>1.2674620382631696</v>
      </c>
      <c r="I384" s="43">
        <f>IF(G384="","",EXP(FORECAST(LN(E384),INDEX(Attenuation!$K:$K,(INDEX(Cables!$AO:$AO,MATCH(G384,Cables!$A:$A,0))-1+MIN(MAX(IFERROR(MATCH(LN(E384),INDEX(Attenuation!$J:$J,INDEX(Cables!$AO:$AO,MATCH(G384,Cables!$A:$A,0))):INDEX(Attenuation!$J:$J,INDEX(Cables!$AO:$AO,MATCH(G384,Cables!$A:$A,0))+INDEX(Cables!$AP:$AP,MATCH(G384,Cables!$A:$A,0))-1),1),1),1),INDEX(Cables!$AP:$AP,MATCH(G384,Cables!$A:$A,0))-1))):INDEX(Attenuation!$K:$K,(INDEX(Cables!$AO:$AO,MATCH(G384,Cables!$A:$A,0))-1+MIN(MAX(IFERROR(MATCH(LN(E384),INDEX(Attenuation!$J:$J,INDEX(Cables!$AO:$AO,MATCH(G384,Cables!$A:$A,0))):INDEX(Attenuation!$J:$J,INDEX(Cables!$AO:$AO,MATCH(G384,Cables!$A:$A,0))+INDEX(Cables!$AP:$AP,MATCH(G384,Cables!$A:$A,0))-1),1),1),1),INDEX(Cables!$AP:$AP,MATCH(G384,Cables!$A:$A,0))-1))+1),INDEX(Attenuation!$J:$J,(INDEX(Cables!$AO:$AO,MATCH(G384,Cables!$A:$A,0))-1+MIN(MAX(IFERROR(MATCH(LN(E384),INDEX(Attenuation!$J:$J,INDEX(Cables!$AO:$AO,MATCH(G384,Cables!$A:$A,0))):INDEX(Attenuation!$J:$J,INDEX(Cables!$AO:$AO,MATCH(G384,Cables!$A:$A,0))+INDEX(Cables!$AP:$AP,MATCH(G384,Cables!$A:$A,0))-1),1),1),1),INDEX(Cables!$AP:$AP,MATCH(G384,Cables!$A:$A,0))-1))):INDEX(Attenuation!$J:$J,(INDEX(Cables!$AO:$AO,MATCH(G384,Cables!$A:$A,0))-1+MIN(MAX(IFERROR(MATCH(LN(E384),INDEX(Attenuation!$J:$J,INDEX(Cables!$AO:$AO,MATCH(G384,Cables!$A:$A,0))):INDEX(Attenuation!$J:$J,INDEX(Cables!$AO:$AO,MATCH(G384,Cables!$A:$A,0))+INDEX(Cables!$AP:$AP,MATCH(G384,Cables!$A:$A,0))-1),1),1),1),INDEX(Cables!$AP:$AP,MATCH(G384,Cables!$A:$A,0))-1))+1)))*0.3048)</f>
        <v>1.3005815999999999</v>
      </c>
      <c r="J384" s="44">
        <f t="shared" si="5"/>
        <v>7.6441493559496809E-2</v>
      </c>
      <c r="K384" s="40" t="str">
        <f>IF(G384="","Doğrulanmadı",IF(ABS(J384)&lt;=0.1,"Uyumlu (±%10)",IF(ABS(J384)&lt;=0.25,"Fark %10-25","Fark &gt;%25"))&amp;IF(OR(D384&lt;INDEX(Cables!$AQ:$AQ,MATCH(G384,Cables!$A:$A,0)),E384&gt;INDEX(Cables!$AR:$AR,MATCH(G384,Cables!$A:$A,0)))," · ekstrapolasyon",""))</f>
        <v>Uyumlu (±%10)</v>
      </c>
    </row>
    <row r="385" spans="1:11" x14ac:dyDescent="0.25">
      <c r="A385" s="37" t="s">
        <v>3086</v>
      </c>
      <c r="B385" s="40" t="str">
        <f>INDEX(Legacy_Index!$D:$D,MATCH(A385,Legacy_Index!$A:$A,0))</f>
        <v>1 5/8" LDF</v>
      </c>
      <c r="C385" s="37" t="s">
        <v>3122</v>
      </c>
      <c r="D385" s="37">
        <v>5725</v>
      </c>
      <c r="E385" s="37">
        <v>5875</v>
      </c>
      <c r="F385" s="37">
        <v>2.5</v>
      </c>
      <c r="G385" s="40" t="str">
        <f>IF(INDEX(Legacy_Index!$G:$G,MATCH(A385,Legacy_Index!$A:$A,0))="","",INDEX(Legacy_Index!$G:$G,MATCH(A385,Legacy_Index!$A:$A,0)))</f>
        <v>CS-LDF7-50A</v>
      </c>
      <c r="H385" s="43">
        <f>IF(G385="","",EXP(FORECAST(LN(D385),INDEX(Attenuation!$K:$K,(INDEX(Cables!$AO:$AO,MATCH(G385,Cables!$A:$A,0))-1+MIN(MAX(IFERROR(MATCH(LN(D385),INDEX(Attenuation!$J:$J,INDEX(Cables!$AO:$AO,MATCH(G385,Cables!$A:$A,0))):INDEX(Attenuation!$J:$J,INDEX(Cables!$AO:$AO,MATCH(G385,Cables!$A:$A,0))+INDEX(Cables!$AP:$AP,MATCH(G385,Cables!$A:$A,0))-1),1),1),1),INDEX(Cables!$AP:$AP,MATCH(G385,Cables!$A:$A,0))-1))):INDEX(Attenuation!$K:$K,(INDEX(Cables!$AO:$AO,MATCH(G385,Cables!$A:$A,0))-1+MIN(MAX(IFERROR(MATCH(LN(D385),INDEX(Attenuation!$J:$J,INDEX(Cables!$AO:$AO,MATCH(G385,Cables!$A:$A,0))):INDEX(Attenuation!$J:$J,INDEX(Cables!$AO:$AO,MATCH(G385,Cables!$A:$A,0))+INDEX(Cables!$AP:$AP,MATCH(G385,Cables!$A:$A,0))-1),1),1),1),INDEX(Cables!$AP:$AP,MATCH(G385,Cables!$A:$A,0))-1))+1),INDEX(Attenuation!$J:$J,(INDEX(Cables!$AO:$AO,MATCH(G385,Cables!$A:$A,0))-1+MIN(MAX(IFERROR(MATCH(LN(D385),INDEX(Attenuation!$J:$J,INDEX(Cables!$AO:$AO,MATCH(G385,Cables!$A:$A,0))):INDEX(Attenuation!$J:$J,INDEX(Cables!$AO:$AO,MATCH(G385,Cables!$A:$A,0))+INDEX(Cables!$AP:$AP,MATCH(G385,Cables!$A:$A,0))-1),1),1),1),INDEX(Cables!$AP:$AP,MATCH(G385,Cables!$A:$A,0))-1))):INDEX(Attenuation!$J:$J,(INDEX(Cables!$AO:$AO,MATCH(G385,Cables!$A:$A,0))-1+MIN(MAX(IFERROR(MATCH(LN(D385),INDEX(Attenuation!$J:$J,INDEX(Cables!$AO:$AO,MATCH(G385,Cables!$A:$A,0))):INDEX(Attenuation!$J:$J,INDEX(Cables!$AO:$AO,MATCH(G385,Cables!$A:$A,0))+INDEX(Cables!$AP:$AP,MATCH(G385,Cables!$A:$A,0))-1),1),1),1),INDEX(Cables!$AP:$AP,MATCH(G385,Cables!$A:$A,0))-1))+1)))*0.3048)</f>
        <v>2.1954034336017521</v>
      </c>
      <c r="I385" s="43">
        <f>IF(G385="","",EXP(FORECAST(LN(E385),INDEX(Attenuation!$K:$K,(INDEX(Cables!$AO:$AO,MATCH(G385,Cables!$A:$A,0))-1+MIN(MAX(IFERROR(MATCH(LN(E385),INDEX(Attenuation!$J:$J,INDEX(Cables!$AO:$AO,MATCH(G385,Cables!$A:$A,0))):INDEX(Attenuation!$J:$J,INDEX(Cables!$AO:$AO,MATCH(G385,Cables!$A:$A,0))+INDEX(Cables!$AP:$AP,MATCH(G385,Cables!$A:$A,0))-1),1),1),1),INDEX(Cables!$AP:$AP,MATCH(G385,Cables!$A:$A,0))-1))):INDEX(Attenuation!$K:$K,(INDEX(Cables!$AO:$AO,MATCH(G385,Cables!$A:$A,0))-1+MIN(MAX(IFERROR(MATCH(LN(E385),INDEX(Attenuation!$J:$J,INDEX(Cables!$AO:$AO,MATCH(G385,Cables!$A:$A,0))):INDEX(Attenuation!$J:$J,INDEX(Cables!$AO:$AO,MATCH(G385,Cables!$A:$A,0))+INDEX(Cables!$AP:$AP,MATCH(G385,Cables!$A:$A,0))-1),1),1),1),INDEX(Cables!$AP:$AP,MATCH(G385,Cables!$A:$A,0))-1))+1),INDEX(Attenuation!$J:$J,(INDEX(Cables!$AO:$AO,MATCH(G385,Cables!$A:$A,0))-1+MIN(MAX(IFERROR(MATCH(LN(E385),INDEX(Attenuation!$J:$J,INDEX(Cables!$AO:$AO,MATCH(G385,Cables!$A:$A,0))):INDEX(Attenuation!$J:$J,INDEX(Cables!$AO:$AO,MATCH(G385,Cables!$A:$A,0))+INDEX(Cables!$AP:$AP,MATCH(G385,Cables!$A:$A,0))-1),1),1),1),INDEX(Cables!$AP:$AP,MATCH(G385,Cables!$A:$A,0))-1))):INDEX(Attenuation!$J:$J,(INDEX(Cables!$AO:$AO,MATCH(G385,Cables!$A:$A,0))-1+MIN(MAX(IFERROR(MATCH(LN(E385),INDEX(Attenuation!$J:$J,INDEX(Cables!$AO:$AO,MATCH(G385,Cables!$A:$A,0))):INDEX(Attenuation!$J:$J,INDEX(Cables!$AO:$AO,MATCH(G385,Cables!$A:$A,0))+INDEX(Cables!$AP:$AP,MATCH(G385,Cables!$A:$A,0))-1),1),1),1),INDEX(Cables!$AP:$AP,MATCH(G385,Cables!$A:$A,0))-1))+1)))*0.3048)</f>
        <v>2.231577514234433</v>
      </c>
      <c r="J385" s="44">
        <f t="shared" si="5"/>
        <v>0.12028373832116346</v>
      </c>
      <c r="K385" s="40" t="str">
        <f>IF(G385="","Doğrulanmadı",IF(ABS(J385)&lt;=0.1,"Uyumlu (±%10)",IF(ABS(J385)&lt;=0.25,"Fark %10-25","Fark &gt;%25"))&amp;IF(OR(D385&lt;INDEX(Cables!$AQ:$AQ,MATCH(G385,Cables!$A:$A,0)),E385&gt;INDEX(Cables!$AR:$AR,MATCH(G385,Cables!$A:$A,0)))," · ekstrapolasyon",""))</f>
        <v>Fark %10-25 · ekstrapolasyon</v>
      </c>
    </row>
    <row r="386" spans="1:11" x14ac:dyDescent="0.25">
      <c r="A386" s="37" t="s">
        <v>3088</v>
      </c>
      <c r="B386" s="40" t="str">
        <f>INDEX(Legacy_Index!$D:$D,MATCH(A386,Legacy_Index!$A:$A,0))</f>
        <v>1 5/8" HELIAX®</v>
      </c>
      <c r="C386" s="37" t="s">
        <v>3113</v>
      </c>
      <c r="D386" s="37">
        <v>70</v>
      </c>
      <c r="E386" s="37">
        <v>100</v>
      </c>
      <c r="F386" s="37">
        <v>0.2</v>
      </c>
      <c r="G386" s="40" t="str">
        <f>IF(INDEX(Legacy_Index!$G:$G,MATCH(A386,Legacy_Index!$A:$A,0))="","",INDEX(Legacy_Index!$G:$G,MATCH(A386,Legacy_Index!$A:$A,0)))</f>
        <v>CS-LDF7-50A</v>
      </c>
      <c r="H386" s="43">
        <f>IF(G386="","",EXP(FORECAST(LN(D386),INDEX(Attenuation!$K:$K,(INDEX(Cables!$AO:$AO,MATCH(G386,Cables!$A:$A,0))-1+MIN(MAX(IFERROR(MATCH(LN(D386),INDEX(Attenuation!$J:$J,INDEX(Cables!$AO:$AO,MATCH(G386,Cables!$A:$A,0))):INDEX(Attenuation!$J:$J,INDEX(Cables!$AO:$AO,MATCH(G386,Cables!$A:$A,0))+INDEX(Cables!$AP:$AP,MATCH(G386,Cables!$A:$A,0))-1),1),1),1),INDEX(Cables!$AP:$AP,MATCH(G386,Cables!$A:$A,0))-1))):INDEX(Attenuation!$K:$K,(INDEX(Cables!$AO:$AO,MATCH(G386,Cables!$A:$A,0))-1+MIN(MAX(IFERROR(MATCH(LN(D386),INDEX(Attenuation!$J:$J,INDEX(Cables!$AO:$AO,MATCH(G386,Cables!$A:$A,0))):INDEX(Attenuation!$J:$J,INDEX(Cables!$AO:$AO,MATCH(G386,Cables!$A:$A,0))+INDEX(Cables!$AP:$AP,MATCH(G386,Cables!$A:$A,0))-1),1),1),1),INDEX(Cables!$AP:$AP,MATCH(G386,Cables!$A:$A,0))-1))+1),INDEX(Attenuation!$J:$J,(INDEX(Cables!$AO:$AO,MATCH(G386,Cables!$A:$A,0))-1+MIN(MAX(IFERROR(MATCH(LN(D386),INDEX(Attenuation!$J:$J,INDEX(Cables!$AO:$AO,MATCH(G386,Cables!$A:$A,0))):INDEX(Attenuation!$J:$J,INDEX(Cables!$AO:$AO,MATCH(G386,Cables!$A:$A,0))+INDEX(Cables!$AP:$AP,MATCH(G386,Cables!$A:$A,0))-1),1),1),1),INDEX(Cables!$AP:$AP,MATCH(G386,Cables!$A:$A,0))-1))):INDEX(Attenuation!$J:$J,(INDEX(Cables!$AO:$AO,MATCH(G386,Cables!$A:$A,0))-1+MIN(MAX(IFERROR(MATCH(LN(D386),INDEX(Attenuation!$J:$J,INDEX(Cables!$AO:$AO,MATCH(G386,Cables!$A:$A,0))):INDEX(Attenuation!$J:$J,INDEX(Cables!$AO:$AO,MATCH(G386,Cables!$A:$A,0))+INDEX(Cables!$AP:$AP,MATCH(G386,Cables!$A:$A,0))-1),1),1),1),INDEX(Cables!$AP:$AP,MATCH(G386,Cables!$A:$A,0))-1))+1)))*0.3048)</f>
        <v>0.16932963586667765</v>
      </c>
      <c r="I386" s="43">
        <f>IF(G386="","",EXP(FORECAST(LN(E386),INDEX(Attenuation!$K:$K,(INDEX(Cables!$AO:$AO,MATCH(G386,Cables!$A:$A,0))-1+MIN(MAX(IFERROR(MATCH(LN(E386),INDEX(Attenuation!$J:$J,INDEX(Cables!$AO:$AO,MATCH(G386,Cables!$A:$A,0))):INDEX(Attenuation!$J:$J,INDEX(Cables!$AO:$AO,MATCH(G386,Cables!$A:$A,0))+INDEX(Cables!$AP:$AP,MATCH(G386,Cables!$A:$A,0))-1),1),1),1),INDEX(Cables!$AP:$AP,MATCH(G386,Cables!$A:$A,0))-1))):INDEX(Attenuation!$K:$K,(INDEX(Cables!$AO:$AO,MATCH(G386,Cables!$A:$A,0))-1+MIN(MAX(IFERROR(MATCH(LN(E386),INDEX(Attenuation!$J:$J,INDEX(Cables!$AO:$AO,MATCH(G386,Cables!$A:$A,0))):INDEX(Attenuation!$J:$J,INDEX(Cables!$AO:$AO,MATCH(G386,Cables!$A:$A,0))+INDEX(Cables!$AP:$AP,MATCH(G386,Cables!$A:$A,0))-1),1),1),1),INDEX(Cables!$AP:$AP,MATCH(G386,Cables!$A:$A,0))-1))+1),INDEX(Attenuation!$J:$J,(INDEX(Cables!$AO:$AO,MATCH(G386,Cables!$A:$A,0))-1+MIN(MAX(IFERROR(MATCH(LN(E386),INDEX(Attenuation!$J:$J,INDEX(Cables!$AO:$AO,MATCH(G386,Cables!$A:$A,0))):INDEX(Attenuation!$J:$J,INDEX(Cables!$AO:$AO,MATCH(G386,Cables!$A:$A,0))+INDEX(Cables!$AP:$AP,MATCH(G386,Cables!$A:$A,0))-1),1),1),1),INDEX(Cables!$AP:$AP,MATCH(G386,Cables!$A:$A,0))-1))):INDEX(Attenuation!$J:$J,(INDEX(Cables!$AO:$AO,MATCH(G386,Cables!$A:$A,0))-1+MIN(MAX(IFERROR(MATCH(LN(E386),INDEX(Attenuation!$J:$J,INDEX(Cables!$AO:$AO,MATCH(G386,Cables!$A:$A,0))):INDEX(Attenuation!$J:$J,INDEX(Cables!$AO:$AO,MATCH(G386,Cables!$A:$A,0))+INDEX(Cables!$AP:$AP,MATCH(G386,Cables!$A:$A,0))-1),1),1),1),INDEX(Cables!$AP:$AP,MATCH(G386,Cables!$A:$A,0))-1))+1)))*0.3048)</f>
        <v>0.20452080000000003</v>
      </c>
      <c r="J386" s="44">
        <f t="shared" ref="J386:J449" si="6">IF(G386="","",IF(F386&lt;H386,F386/H386-1,IF(F386&gt;I386,F386/I386-1,0)))</f>
        <v>0</v>
      </c>
      <c r="K386" s="40" t="str">
        <f>IF(G386="","Doğrulanmadı",IF(ABS(J386)&lt;=0.1,"Uyumlu (±%10)",IF(ABS(J386)&lt;=0.25,"Fark %10-25","Fark &gt;%25"))&amp;IF(OR(D386&lt;INDEX(Cables!$AQ:$AQ,MATCH(G386,Cables!$A:$A,0)),E386&gt;INDEX(Cables!$AR:$AR,MATCH(G386,Cables!$A:$A,0)))," · ekstrapolasyon",""))</f>
        <v>Uyumlu (±%10)</v>
      </c>
    </row>
    <row r="387" spans="1:11" x14ac:dyDescent="0.25">
      <c r="A387" s="37" t="s">
        <v>3088</v>
      </c>
      <c r="B387" s="40" t="str">
        <f>INDEX(Legacy_Index!$D:$D,MATCH(A387,Legacy_Index!$A:$A,0))</f>
        <v>1 5/8" HELIAX®</v>
      </c>
      <c r="C387" s="37" t="s">
        <v>3114</v>
      </c>
      <c r="D387" s="37">
        <v>148</v>
      </c>
      <c r="E387" s="37">
        <v>174</v>
      </c>
      <c r="F387" s="37">
        <v>0.3</v>
      </c>
      <c r="G387" s="40" t="str">
        <f>IF(INDEX(Legacy_Index!$G:$G,MATCH(A387,Legacy_Index!$A:$A,0))="","",INDEX(Legacy_Index!$G:$G,MATCH(A387,Legacy_Index!$A:$A,0)))</f>
        <v>CS-LDF7-50A</v>
      </c>
      <c r="H387" s="43">
        <f>IF(G387="","",EXP(FORECAST(LN(D387),INDEX(Attenuation!$K:$K,(INDEX(Cables!$AO:$AO,MATCH(G387,Cables!$A:$A,0))-1+MIN(MAX(IFERROR(MATCH(LN(D387),INDEX(Attenuation!$J:$J,INDEX(Cables!$AO:$AO,MATCH(G387,Cables!$A:$A,0))):INDEX(Attenuation!$J:$J,INDEX(Cables!$AO:$AO,MATCH(G387,Cables!$A:$A,0))+INDEX(Cables!$AP:$AP,MATCH(G387,Cables!$A:$A,0))-1),1),1),1),INDEX(Cables!$AP:$AP,MATCH(G387,Cables!$A:$A,0))-1))):INDEX(Attenuation!$K:$K,(INDEX(Cables!$AO:$AO,MATCH(G387,Cables!$A:$A,0))-1+MIN(MAX(IFERROR(MATCH(LN(D387),INDEX(Attenuation!$J:$J,INDEX(Cables!$AO:$AO,MATCH(G387,Cables!$A:$A,0))):INDEX(Attenuation!$J:$J,INDEX(Cables!$AO:$AO,MATCH(G387,Cables!$A:$A,0))+INDEX(Cables!$AP:$AP,MATCH(G387,Cables!$A:$A,0))-1),1),1),1),INDEX(Cables!$AP:$AP,MATCH(G387,Cables!$A:$A,0))-1))+1),INDEX(Attenuation!$J:$J,(INDEX(Cables!$AO:$AO,MATCH(G387,Cables!$A:$A,0))-1+MIN(MAX(IFERROR(MATCH(LN(D387),INDEX(Attenuation!$J:$J,INDEX(Cables!$AO:$AO,MATCH(G387,Cables!$A:$A,0))):INDEX(Attenuation!$J:$J,INDEX(Cables!$AO:$AO,MATCH(G387,Cables!$A:$A,0))+INDEX(Cables!$AP:$AP,MATCH(G387,Cables!$A:$A,0))-1),1),1),1),INDEX(Cables!$AP:$AP,MATCH(G387,Cables!$A:$A,0))-1))):INDEX(Attenuation!$J:$J,(INDEX(Cables!$AO:$AO,MATCH(G387,Cables!$A:$A,0))-1+MIN(MAX(IFERROR(MATCH(LN(D387),INDEX(Attenuation!$J:$J,INDEX(Cables!$AO:$AO,MATCH(G387,Cables!$A:$A,0))):INDEX(Attenuation!$J:$J,INDEX(Cables!$AO:$AO,MATCH(G387,Cables!$A:$A,0))+INDEX(Cables!$AP:$AP,MATCH(G387,Cables!$A:$A,0))-1),1),1),1),INDEX(Cables!$AP:$AP,MATCH(G387,Cables!$A:$A,0))-1))+1)))*0.3048)</f>
        <v>0.2523756354980709</v>
      </c>
      <c r="I387" s="43">
        <f>IF(G387="","",EXP(FORECAST(LN(E387),INDEX(Attenuation!$K:$K,(INDEX(Cables!$AO:$AO,MATCH(G387,Cables!$A:$A,0))-1+MIN(MAX(IFERROR(MATCH(LN(E387),INDEX(Attenuation!$J:$J,INDEX(Cables!$AO:$AO,MATCH(G387,Cables!$A:$A,0))):INDEX(Attenuation!$J:$J,INDEX(Cables!$AO:$AO,MATCH(G387,Cables!$A:$A,0))+INDEX(Cables!$AP:$AP,MATCH(G387,Cables!$A:$A,0))-1),1),1),1),INDEX(Cables!$AP:$AP,MATCH(G387,Cables!$A:$A,0))-1))):INDEX(Attenuation!$K:$K,(INDEX(Cables!$AO:$AO,MATCH(G387,Cables!$A:$A,0))-1+MIN(MAX(IFERROR(MATCH(LN(E387),INDEX(Attenuation!$J:$J,INDEX(Cables!$AO:$AO,MATCH(G387,Cables!$A:$A,0))):INDEX(Attenuation!$J:$J,INDEX(Cables!$AO:$AO,MATCH(G387,Cables!$A:$A,0))+INDEX(Cables!$AP:$AP,MATCH(G387,Cables!$A:$A,0))-1),1),1),1),INDEX(Cables!$AP:$AP,MATCH(G387,Cables!$A:$A,0))-1))+1),INDEX(Attenuation!$J:$J,(INDEX(Cables!$AO:$AO,MATCH(G387,Cables!$A:$A,0))-1+MIN(MAX(IFERROR(MATCH(LN(E387),INDEX(Attenuation!$J:$J,INDEX(Cables!$AO:$AO,MATCH(G387,Cables!$A:$A,0))):INDEX(Attenuation!$J:$J,INDEX(Cables!$AO:$AO,MATCH(G387,Cables!$A:$A,0))+INDEX(Cables!$AP:$AP,MATCH(G387,Cables!$A:$A,0))-1),1),1),1),INDEX(Cables!$AP:$AP,MATCH(G387,Cables!$A:$A,0))-1))):INDEX(Attenuation!$J:$J,(INDEX(Cables!$AO:$AO,MATCH(G387,Cables!$A:$A,0))-1+MIN(MAX(IFERROR(MATCH(LN(E387),INDEX(Attenuation!$J:$J,INDEX(Cables!$AO:$AO,MATCH(G387,Cables!$A:$A,0))):INDEX(Attenuation!$J:$J,INDEX(Cables!$AO:$AO,MATCH(G387,Cables!$A:$A,0))+INDEX(Cables!$AP:$AP,MATCH(G387,Cables!$A:$A,0))-1),1),1),1),INDEX(Cables!$AP:$AP,MATCH(G387,Cables!$A:$A,0))-1))+1)))*0.3048)</f>
        <v>0.27553919999999998</v>
      </c>
      <c r="J387" s="44">
        <f t="shared" si="6"/>
        <v>8.8774301442408277E-2</v>
      </c>
      <c r="K387" s="40" t="str">
        <f>IF(G387="","Doğrulanmadı",IF(ABS(J387)&lt;=0.1,"Uyumlu (±%10)",IF(ABS(J387)&lt;=0.25,"Fark %10-25","Fark &gt;%25"))&amp;IF(OR(D387&lt;INDEX(Cables!$AQ:$AQ,MATCH(G387,Cables!$A:$A,0)),E387&gt;INDEX(Cables!$AR:$AR,MATCH(G387,Cables!$A:$A,0)))," · ekstrapolasyon",""))</f>
        <v>Uyumlu (±%10)</v>
      </c>
    </row>
    <row r="388" spans="1:11" x14ac:dyDescent="0.25">
      <c r="A388" s="37" t="s">
        <v>3088</v>
      </c>
      <c r="B388" s="40" t="str">
        <f>INDEX(Legacy_Index!$D:$D,MATCH(A388,Legacy_Index!$A:$A,0))</f>
        <v>1 5/8" HELIAX®</v>
      </c>
      <c r="C388" s="37" t="s">
        <v>3115</v>
      </c>
      <c r="D388" s="37">
        <v>400</v>
      </c>
      <c r="E388" s="37">
        <v>520</v>
      </c>
      <c r="F388" s="37">
        <v>0.5</v>
      </c>
      <c r="G388" s="40" t="str">
        <f>IF(INDEX(Legacy_Index!$G:$G,MATCH(A388,Legacy_Index!$A:$A,0))="","",INDEX(Legacy_Index!$G:$G,MATCH(A388,Legacy_Index!$A:$A,0)))</f>
        <v>CS-LDF7-50A</v>
      </c>
      <c r="H388" s="43">
        <f>IF(G388="","",EXP(FORECAST(LN(D388),INDEX(Attenuation!$K:$K,(INDEX(Cables!$AO:$AO,MATCH(G388,Cables!$A:$A,0))-1+MIN(MAX(IFERROR(MATCH(LN(D388),INDEX(Attenuation!$J:$J,INDEX(Cables!$AO:$AO,MATCH(G388,Cables!$A:$A,0))):INDEX(Attenuation!$J:$J,INDEX(Cables!$AO:$AO,MATCH(G388,Cables!$A:$A,0))+INDEX(Cables!$AP:$AP,MATCH(G388,Cables!$A:$A,0))-1),1),1),1),INDEX(Cables!$AP:$AP,MATCH(G388,Cables!$A:$A,0))-1))):INDEX(Attenuation!$K:$K,(INDEX(Cables!$AO:$AO,MATCH(G388,Cables!$A:$A,0))-1+MIN(MAX(IFERROR(MATCH(LN(D388),INDEX(Attenuation!$J:$J,INDEX(Cables!$AO:$AO,MATCH(G388,Cables!$A:$A,0))):INDEX(Attenuation!$J:$J,INDEX(Cables!$AO:$AO,MATCH(G388,Cables!$A:$A,0))+INDEX(Cables!$AP:$AP,MATCH(G388,Cables!$A:$A,0))-1),1),1),1),INDEX(Cables!$AP:$AP,MATCH(G388,Cables!$A:$A,0))-1))+1),INDEX(Attenuation!$J:$J,(INDEX(Cables!$AO:$AO,MATCH(G388,Cables!$A:$A,0))-1+MIN(MAX(IFERROR(MATCH(LN(D388),INDEX(Attenuation!$J:$J,INDEX(Cables!$AO:$AO,MATCH(G388,Cables!$A:$A,0))):INDEX(Attenuation!$J:$J,INDEX(Cables!$AO:$AO,MATCH(G388,Cables!$A:$A,0))+INDEX(Cables!$AP:$AP,MATCH(G388,Cables!$A:$A,0))-1),1),1),1),INDEX(Cables!$AP:$AP,MATCH(G388,Cables!$A:$A,0))-1))):INDEX(Attenuation!$J:$J,(INDEX(Cables!$AO:$AO,MATCH(G388,Cables!$A:$A,0))-1+MIN(MAX(IFERROR(MATCH(LN(D388),INDEX(Attenuation!$J:$J,INDEX(Cables!$AO:$AO,MATCH(G388,Cables!$A:$A,0))):INDEX(Attenuation!$J:$J,INDEX(Cables!$AO:$AO,MATCH(G388,Cables!$A:$A,0))+INDEX(Cables!$AP:$AP,MATCH(G388,Cables!$A:$A,0))-1),1),1),1),INDEX(Cables!$AP:$AP,MATCH(G388,Cables!$A:$A,0))-1))+1)))*0.3048)</f>
        <v>0.43677840000000018</v>
      </c>
      <c r="I388" s="43">
        <f>IF(G388="","",EXP(FORECAST(LN(E388),INDEX(Attenuation!$K:$K,(INDEX(Cables!$AO:$AO,MATCH(G388,Cables!$A:$A,0))-1+MIN(MAX(IFERROR(MATCH(LN(E388),INDEX(Attenuation!$J:$J,INDEX(Cables!$AO:$AO,MATCH(G388,Cables!$A:$A,0))):INDEX(Attenuation!$J:$J,INDEX(Cables!$AO:$AO,MATCH(G388,Cables!$A:$A,0))+INDEX(Cables!$AP:$AP,MATCH(G388,Cables!$A:$A,0))-1),1),1),1),INDEX(Cables!$AP:$AP,MATCH(G388,Cables!$A:$A,0))-1))):INDEX(Attenuation!$K:$K,(INDEX(Cables!$AO:$AO,MATCH(G388,Cables!$A:$A,0))-1+MIN(MAX(IFERROR(MATCH(LN(E388),INDEX(Attenuation!$J:$J,INDEX(Cables!$AO:$AO,MATCH(G388,Cables!$A:$A,0))):INDEX(Attenuation!$J:$J,INDEX(Cables!$AO:$AO,MATCH(G388,Cables!$A:$A,0))+INDEX(Cables!$AP:$AP,MATCH(G388,Cables!$A:$A,0))-1),1),1),1),INDEX(Cables!$AP:$AP,MATCH(G388,Cables!$A:$A,0))-1))+1),INDEX(Attenuation!$J:$J,(INDEX(Cables!$AO:$AO,MATCH(G388,Cables!$A:$A,0))-1+MIN(MAX(IFERROR(MATCH(LN(E388),INDEX(Attenuation!$J:$J,INDEX(Cables!$AO:$AO,MATCH(G388,Cables!$A:$A,0))):INDEX(Attenuation!$J:$J,INDEX(Cables!$AO:$AO,MATCH(G388,Cables!$A:$A,0))+INDEX(Cables!$AP:$AP,MATCH(G388,Cables!$A:$A,0))-1),1),1),1),INDEX(Cables!$AP:$AP,MATCH(G388,Cables!$A:$A,0))-1))):INDEX(Attenuation!$J:$J,(INDEX(Cables!$AO:$AO,MATCH(G388,Cables!$A:$A,0))-1+MIN(MAX(IFERROR(MATCH(LN(E388),INDEX(Attenuation!$J:$J,INDEX(Cables!$AO:$AO,MATCH(G388,Cables!$A:$A,0))):INDEX(Attenuation!$J:$J,INDEX(Cables!$AO:$AO,MATCH(G388,Cables!$A:$A,0))+INDEX(Cables!$AP:$AP,MATCH(G388,Cables!$A:$A,0))-1),1),1),1),INDEX(Cables!$AP:$AP,MATCH(G388,Cables!$A:$A,0))-1))+1)))*0.3048)</f>
        <v>0.50710348428010765</v>
      </c>
      <c r="J388" s="44">
        <f t="shared" si="6"/>
        <v>0</v>
      </c>
      <c r="K388" s="40" t="str">
        <f>IF(G388="","Doğrulanmadı",IF(ABS(J388)&lt;=0.1,"Uyumlu (±%10)",IF(ABS(J388)&lt;=0.25,"Fark %10-25","Fark &gt;%25"))&amp;IF(OR(D388&lt;INDEX(Cables!$AQ:$AQ,MATCH(G388,Cables!$A:$A,0)),E388&gt;INDEX(Cables!$AR:$AR,MATCH(G388,Cables!$A:$A,0)))," · ekstrapolasyon",""))</f>
        <v>Uyumlu (±%10)</v>
      </c>
    </row>
    <row r="389" spans="1:11" x14ac:dyDescent="0.25">
      <c r="A389" s="37" t="s">
        <v>3088</v>
      </c>
      <c r="B389" s="40" t="str">
        <f>INDEX(Legacy_Index!$D:$D,MATCH(A389,Legacy_Index!$A:$A,0))</f>
        <v>1 5/8" HELIAX®</v>
      </c>
      <c r="C389" s="37" t="s">
        <v>3116</v>
      </c>
      <c r="D389" s="37">
        <v>700</v>
      </c>
      <c r="E389" s="37">
        <v>960</v>
      </c>
      <c r="F389" s="37">
        <v>0.7</v>
      </c>
      <c r="G389" s="40" t="str">
        <f>IF(INDEX(Legacy_Index!$G:$G,MATCH(A389,Legacy_Index!$A:$A,0))="","",INDEX(Legacy_Index!$G:$G,MATCH(A389,Legacy_Index!$A:$A,0)))</f>
        <v>CS-LDF7-50A</v>
      </c>
      <c r="H389" s="43">
        <f>IF(G389="","",EXP(FORECAST(LN(D389),INDEX(Attenuation!$K:$K,(INDEX(Cables!$AO:$AO,MATCH(G389,Cables!$A:$A,0))-1+MIN(MAX(IFERROR(MATCH(LN(D389),INDEX(Attenuation!$J:$J,INDEX(Cables!$AO:$AO,MATCH(G389,Cables!$A:$A,0))):INDEX(Attenuation!$J:$J,INDEX(Cables!$AO:$AO,MATCH(G389,Cables!$A:$A,0))+INDEX(Cables!$AP:$AP,MATCH(G389,Cables!$A:$A,0))-1),1),1),1),INDEX(Cables!$AP:$AP,MATCH(G389,Cables!$A:$A,0))-1))):INDEX(Attenuation!$K:$K,(INDEX(Cables!$AO:$AO,MATCH(G389,Cables!$A:$A,0))-1+MIN(MAX(IFERROR(MATCH(LN(D389),INDEX(Attenuation!$J:$J,INDEX(Cables!$AO:$AO,MATCH(G389,Cables!$A:$A,0))):INDEX(Attenuation!$J:$J,INDEX(Cables!$AO:$AO,MATCH(G389,Cables!$A:$A,0))+INDEX(Cables!$AP:$AP,MATCH(G389,Cables!$A:$A,0))-1),1),1),1),INDEX(Cables!$AP:$AP,MATCH(G389,Cables!$A:$A,0))-1))+1),INDEX(Attenuation!$J:$J,(INDEX(Cables!$AO:$AO,MATCH(G389,Cables!$A:$A,0))-1+MIN(MAX(IFERROR(MATCH(LN(D389),INDEX(Attenuation!$J:$J,INDEX(Cables!$AO:$AO,MATCH(G389,Cables!$A:$A,0))):INDEX(Attenuation!$J:$J,INDEX(Cables!$AO:$AO,MATCH(G389,Cables!$A:$A,0))+INDEX(Cables!$AP:$AP,MATCH(G389,Cables!$A:$A,0))-1),1),1),1),INDEX(Cables!$AP:$AP,MATCH(G389,Cables!$A:$A,0))-1))):INDEX(Attenuation!$J:$J,(INDEX(Cables!$AO:$AO,MATCH(G389,Cables!$A:$A,0))-1+MIN(MAX(IFERROR(MATCH(LN(D389),INDEX(Attenuation!$J:$J,INDEX(Cables!$AO:$AO,MATCH(G389,Cables!$A:$A,0))):INDEX(Attenuation!$J:$J,INDEX(Cables!$AO:$AO,MATCH(G389,Cables!$A:$A,0))+INDEX(Cables!$AP:$AP,MATCH(G389,Cables!$A:$A,0))-1),1),1),1),INDEX(Cables!$AP:$AP,MATCH(G389,Cables!$A:$A,0))-1))+1)))*0.3048)</f>
        <v>0.60167520000000019</v>
      </c>
      <c r="I389" s="43">
        <f>IF(G389="","",EXP(FORECAST(LN(E389),INDEX(Attenuation!$K:$K,(INDEX(Cables!$AO:$AO,MATCH(G389,Cables!$A:$A,0))-1+MIN(MAX(IFERROR(MATCH(LN(E389),INDEX(Attenuation!$J:$J,INDEX(Cables!$AO:$AO,MATCH(G389,Cables!$A:$A,0))):INDEX(Attenuation!$J:$J,INDEX(Cables!$AO:$AO,MATCH(G389,Cables!$A:$A,0))+INDEX(Cables!$AP:$AP,MATCH(G389,Cables!$A:$A,0))-1),1),1),1),INDEX(Cables!$AP:$AP,MATCH(G389,Cables!$A:$A,0))-1))):INDEX(Attenuation!$K:$K,(INDEX(Cables!$AO:$AO,MATCH(G389,Cables!$A:$A,0))-1+MIN(MAX(IFERROR(MATCH(LN(E389),INDEX(Attenuation!$J:$J,INDEX(Cables!$AO:$AO,MATCH(G389,Cables!$A:$A,0))):INDEX(Attenuation!$J:$J,INDEX(Cables!$AO:$AO,MATCH(G389,Cables!$A:$A,0))+INDEX(Cables!$AP:$AP,MATCH(G389,Cables!$A:$A,0))-1),1),1),1),INDEX(Cables!$AP:$AP,MATCH(G389,Cables!$A:$A,0))-1))+1),INDEX(Attenuation!$J:$J,(INDEX(Cables!$AO:$AO,MATCH(G389,Cables!$A:$A,0))-1+MIN(MAX(IFERROR(MATCH(LN(E389),INDEX(Attenuation!$J:$J,INDEX(Cables!$AO:$AO,MATCH(G389,Cables!$A:$A,0))):INDEX(Attenuation!$J:$J,INDEX(Cables!$AO:$AO,MATCH(G389,Cables!$A:$A,0))+INDEX(Cables!$AP:$AP,MATCH(G389,Cables!$A:$A,0))-1),1),1),1),INDEX(Cables!$AP:$AP,MATCH(G389,Cables!$A:$A,0))-1))):INDEX(Attenuation!$J:$J,(INDEX(Cables!$AO:$AO,MATCH(G389,Cables!$A:$A,0))-1+MIN(MAX(IFERROR(MATCH(LN(E389),INDEX(Attenuation!$J:$J,INDEX(Cables!$AO:$AO,MATCH(G389,Cables!$A:$A,0))):INDEX(Attenuation!$J:$J,INDEX(Cables!$AO:$AO,MATCH(G389,Cables!$A:$A,0))+INDEX(Cables!$AP:$AP,MATCH(G389,Cables!$A:$A,0))-1),1),1),1),INDEX(Cables!$AP:$AP,MATCH(G389,Cables!$A:$A,0))-1))+1)))*0.3048)</f>
        <v>0.72420480000000009</v>
      </c>
      <c r="J389" s="44">
        <f t="shared" si="6"/>
        <v>0</v>
      </c>
      <c r="K389" s="40" t="str">
        <f>IF(G389="","Doğrulanmadı",IF(ABS(J389)&lt;=0.1,"Uyumlu (±%10)",IF(ABS(J389)&lt;=0.25,"Fark %10-25","Fark &gt;%25"))&amp;IF(OR(D389&lt;INDEX(Cables!$AQ:$AQ,MATCH(G389,Cables!$A:$A,0)),E389&gt;INDEX(Cables!$AR:$AR,MATCH(G389,Cables!$A:$A,0)))," · ekstrapolasyon",""))</f>
        <v>Uyumlu (±%10)</v>
      </c>
    </row>
    <row r="390" spans="1:11" x14ac:dyDescent="0.25">
      <c r="A390" s="37" t="s">
        <v>3088</v>
      </c>
      <c r="B390" s="40" t="str">
        <f>INDEX(Legacy_Index!$D:$D,MATCH(A390,Legacy_Index!$A:$A,0))</f>
        <v>1 5/8" HELIAX®</v>
      </c>
      <c r="C390" s="37" t="s">
        <v>3121</v>
      </c>
      <c r="D390" s="37">
        <v>2400</v>
      </c>
      <c r="E390" s="37">
        <v>2500</v>
      </c>
      <c r="F390" s="37">
        <v>1.4</v>
      </c>
      <c r="G390" s="40" t="str">
        <f>IF(INDEX(Legacy_Index!$G:$G,MATCH(A390,Legacy_Index!$A:$A,0))="","",INDEX(Legacy_Index!$G:$G,MATCH(A390,Legacy_Index!$A:$A,0)))</f>
        <v>CS-LDF7-50A</v>
      </c>
      <c r="H390" s="43">
        <f>IF(G390="","",EXP(FORECAST(LN(D390),INDEX(Attenuation!$K:$K,(INDEX(Cables!$AO:$AO,MATCH(G390,Cables!$A:$A,0))-1+MIN(MAX(IFERROR(MATCH(LN(D390),INDEX(Attenuation!$J:$J,INDEX(Cables!$AO:$AO,MATCH(G390,Cables!$A:$A,0))):INDEX(Attenuation!$J:$J,INDEX(Cables!$AO:$AO,MATCH(G390,Cables!$A:$A,0))+INDEX(Cables!$AP:$AP,MATCH(G390,Cables!$A:$A,0))-1),1),1),1),INDEX(Cables!$AP:$AP,MATCH(G390,Cables!$A:$A,0))-1))):INDEX(Attenuation!$K:$K,(INDEX(Cables!$AO:$AO,MATCH(G390,Cables!$A:$A,0))-1+MIN(MAX(IFERROR(MATCH(LN(D390),INDEX(Attenuation!$J:$J,INDEX(Cables!$AO:$AO,MATCH(G390,Cables!$A:$A,0))):INDEX(Attenuation!$J:$J,INDEX(Cables!$AO:$AO,MATCH(G390,Cables!$A:$A,0))+INDEX(Cables!$AP:$AP,MATCH(G390,Cables!$A:$A,0))-1),1),1),1),INDEX(Cables!$AP:$AP,MATCH(G390,Cables!$A:$A,0))-1))+1),INDEX(Attenuation!$J:$J,(INDEX(Cables!$AO:$AO,MATCH(G390,Cables!$A:$A,0))-1+MIN(MAX(IFERROR(MATCH(LN(D390),INDEX(Attenuation!$J:$J,INDEX(Cables!$AO:$AO,MATCH(G390,Cables!$A:$A,0))):INDEX(Attenuation!$J:$J,INDEX(Cables!$AO:$AO,MATCH(G390,Cables!$A:$A,0))+INDEX(Cables!$AP:$AP,MATCH(G390,Cables!$A:$A,0))-1),1),1),1),INDEX(Cables!$AP:$AP,MATCH(G390,Cables!$A:$A,0))-1))):INDEX(Attenuation!$J:$J,(INDEX(Cables!$AO:$AO,MATCH(G390,Cables!$A:$A,0))-1+MIN(MAX(IFERROR(MATCH(LN(D390),INDEX(Attenuation!$J:$J,INDEX(Cables!$AO:$AO,MATCH(G390,Cables!$A:$A,0))):INDEX(Attenuation!$J:$J,INDEX(Cables!$AO:$AO,MATCH(G390,Cables!$A:$A,0))+INDEX(Cables!$AP:$AP,MATCH(G390,Cables!$A:$A,0))-1),1),1),1),INDEX(Cables!$AP:$AP,MATCH(G390,Cables!$A:$A,0))-1))+1)))*0.3048)</f>
        <v>1.2674620382631696</v>
      </c>
      <c r="I390" s="43">
        <f>IF(G390="","",EXP(FORECAST(LN(E390),INDEX(Attenuation!$K:$K,(INDEX(Cables!$AO:$AO,MATCH(G390,Cables!$A:$A,0))-1+MIN(MAX(IFERROR(MATCH(LN(E390),INDEX(Attenuation!$J:$J,INDEX(Cables!$AO:$AO,MATCH(G390,Cables!$A:$A,0))):INDEX(Attenuation!$J:$J,INDEX(Cables!$AO:$AO,MATCH(G390,Cables!$A:$A,0))+INDEX(Cables!$AP:$AP,MATCH(G390,Cables!$A:$A,0))-1),1),1),1),INDEX(Cables!$AP:$AP,MATCH(G390,Cables!$A:$A,0))-1))):INDEX(Attenuation!$K:$K,(INDEX(Cables!$AO:$AO,MATCH(G390,Cables!$A:$A,0))-1+MIN(MAX(IFERROR(MATCH(LN(E390),INDEX(Attenuation!$J:$J,INDEX(Cables!$AO:$AO,MATCH(G390,Cables!$A:$A,0))):INDEX(Attenuation!$J:$J,INDEX(Cables!$AO:$AO,MATCH(G390,Cables!$A:$A,0))+INDEX(Cables!$AP:$AP,MATCH(G390,Cables!$A:$A,0))-1),1),1),1),INDEX(Cables!$AP:$AP,MATCH(G390,Cables!$A:$A,0))-1))+1),INDEX(Attenuation!$J:$J,(INDEX(Cables!$AO:$AO,MATCH(G390,Cables!$A:$A,0))-1+MIN(MAX(IFERROR(MATCH(LN(E390),INDEX(Attenuation!$J:$J,INDEX(Cables!$AO:$AO,MATCH(G390,Cables!$A:$A,0))):INDEX(Attenuation!$J:$J,INDEX(Cables!$AO:$AO,MATCH(G390,Cables!$A:$A,0))+INDEX(Cables!$AP:$AP,MATCH(G390,Cables!$A:$A,0))-1),1),1),1),INDEX(Cables!$AP:$AP,MATCH(G390,Cables!$A:$A,0))-1))):INDEX(Attenuation!$J:$J,(INDEX(Cables!$AO:$AO,MATCH(G390,Cables!$A:$A,0))-1+MIN(MAX(IFERROR(MATCH(LN(E390),INDEX(Attenuation!$J:$J,INDEX(Cables!$AO:$AO,MATCH(G390,Cables!$A:$A,0))):INDEX(Attenuation!$J:$J,INDEX(Cables!$AO:$AO,MATCH(G390,Cables!$A:$A,0))+INDEX(Cables!$AP:$AP,MATCH(G390,Cables!$A:$A,0))-1),1),1),1),INDEX(Cables!$AP:$AP,MATCH(G390,Cables!$A:$A,0))-1))+1)))*0.3048)</f>
        <v>1.3005815999999999</v>
      </c>
      <c r="J390" s="44">
        <f t="shared" si="6"/>
        <v>7.6441493559496809E-2</v>
      </c>
      <c r="K390" s="40" t="str">
        <f>IF(G390="","Doğrulanmadı",IF(ABS(J390)&lt;=0.1,"Uyumlu (±%10)",IF(ABS(J390)&lt;=0.25,"Fark %10-25","Fark &gt;%25"))&amp;IF(OR(D390&lt;INDEX(Cables!$AQ:$AQ,MATCH(G390,Cables!$A:$A,0)),E390&gt;INDEX(Cables!$AR:$AR,MATCH(G390,Cables!$A:$A,0)))," · ekstrapolasyon",""))</f>
        <v>Uyumlu (±%10)</v>
      </c>
    </row>
    <row r="391" spans="1:11" x14ac:dyDescent="0.25">
      <c r="A391" s="37" t="s">
        <v>3091</v>
      </c>
      <c r="B391" s="40" t="str">
        <f>INDEX(Legacy_Index!$D:$D,MATCH(A391,Legacy_Index!$A:$A,0))</f>
        <v>RG179</v>
      </c>
      <c r="C391" s="37" t="s">
        <v>3113</v>
      </c>
      <c r="D391" s="37">
        <v>70</v>
      </c>
      <c r="E391" s="37">
        <v>100</v>
      </c>
      <c r="F391" s="37">
        <v>9.1999999999999993</v>
      </c>
      <c r="G391" s="40" t="str">
        <f>IF(INDEX(Legacy_Index!$G:$G,MATCH(A391,Legacy_Index!$A:$A,0))="","",INDEX(Legacy_Index!$G:$G,MATCH(A391,Legacy_Index!$A:$A,0)))</f>
        <v>BEL-83264</v>
      </c>
      <c r="H391" s="43">
        <f>IF(G391="","",EXP(FORECAST(LN(D391),INDEX(Attenuation!$K:$K,(INDEX(Cables!$AO:$AO,MATCH(G391,Cables!$A:$A,0))-1+MIN(MAX(IFERROR(MATCH(LN(D391),INDEX(Attenuation!$J:$J,INDEX(Cables!$AO:$AO,MATCH(G391,Cables!$A:$A,0))):INDEX(Attenuation!$J:$J,INDEX(Cables!$AO:$AO,MATCH(G391,Cables!$A:$A,0))+INDEX(Cables!$AP:$AP,MATCH(G391,Cables!$A:$A,0))-1),1),1),1),INDEX(Cables!$AP:$AP,MATCH(G391,Cables!$A:$A,0))-1))):INDEX(Attenuation!$K:$K,(INDEX(Cables!$AO:$AO,MATCH(G391,Cables!$A:$A,0))-1+MIN(MAX(IFERROR(MATCH(LN(D391),INDEX(Attenuation!$J:$J,INDEX(Cables!$AO:$AO,MATCH(G391,Cables!$A:$A,0))):INDEX(Attenuation!$J:$J,INDEX(Cables!$AO:$AO,MATCH(G391,Cables!$A:$A,0))+INDEX(Cables!$AP:$AP,MATCH(G391,Cables!$A:$A,0))-1),1),1),1),INDEX(Cables!$AP:$AP,MATCH(G391,Cables!$A:$A,0))-1))+1),INDEX(Attenuation!$J:$J,(INDEX(Cables!$AO:$AO,MATCH(G391,Cables!$A:$A,0))-1+MIN(MAX(IFERROR(MATCH(LN(D391),INDEX(Attenuation!$J:$J,INDEX(Cables!$AO:$AO,MATCH(G391,Cables!$A:$A,0))):INDEX(Attenuation!$J:$J,INDEX(Cables!$AO:$AO,MATCH(G391,Cables!$A:$A,0))+INDEX(Cables!$AP:$AP,MATCH(G391,Cables!$A:$A,0))-1),1),1),1),INDEX(Cables!$AP:$AP,MATCH(G391,Cables!$A:$A,0))-1))):INDEX(Attenuation!$J:$J,(INDEX(Cables!$AO:$AO,MATCH(G391,Cables!$A:$A,0))-1+MIN(MAX(IFERROR(MATCH(LN(D391),INDEX(Attenuation!$J:$J,INDEX(Cables!$AO:$AO,MATCH(G391,Cables!$A:$A,0))):INDEX(Attenuation!$J:$J,INDEX(Cables!$AO:$AO,MATCH(G391,Cables!$A:$A,0))+INDEX(Cables!$AP:$AP,MATCH(G391,Cables!$A:$A,0))-1),1),1),1),INDEX(Cables!$AP:$AP,MATCH(G391,Cables!$A:$A,0))-1))+1)))*0.3048)</f>
        <v>9.1977345741980781</v>
      </c>
      <c r="I391" s="43">
        <f>IF(G391="","",EXP(FORECAST(LN(E391),INDEX(Attenuation!$K:$K,(INDEX(Cables!$AO:$AO,MATCH(G391,Cables!$A:$A,0))-1+MIN(MAX(IFERROR(MATCH(LN(E391),INDEX(Attenuation!$J:$J,INDEX(Cables!$AO:$AO,MATCH(G391,Cables!$A:$A,0))):INDEX(Attenuation!$J:$J,INDEX(Cables!$AO:$AO,MATCH(G391,Cables!$A:$A,0))+INDEX(Cables!$AP:$AP,MATCH(G391,Cables!$A:$A,0))-1),1),1),1),INDEX(Cables!$AP:$AP,MATCH(G391,Cables!$A:$A,0))-1))):INDEX(Attenuation!$K:$K,(INDEX(Cables!$AO:$AO,MATCH(G391,Cables!$A:$A,0))-1+MIN(MAX(IFERROR(MATCH(LN(E391),INDEX(Attenuation!$J:$J,INDEX(Cables!$AO:$AO,MATCH(G391,Cables!$A:$A,0))):INDEX(Attenuation!$J:$J,INDEX(Cables!$AO:$AO,MATCH(G391,Cables!$A:$A,0))+INDEX(Cables!$AP:$AP,MATCH(G391,Cables!$A:$A,0))-1),1),1),1),INDEX(Cables!$AP:$AP,MATCH(G391,Cables!$A:$A,0))-1))+1),INDEX(Attenuation!$J:$J,(INDEX(Cables!$AO:$AO,MATCH(G391,Cables!$A:$A,0))-1+MIN(MAX(IFERROR(MATCH(LN(E391),INDEX(Attenuation!$J:$J,INDEX(Cables!$AO:$AO,MATCH(G391,Cables!$A:$A,0))):INDEX(Attenuation!$J:$J,INDEX(Cables!$AO:$AO,MATCH(G391,Cables!$A:$A,0))+INDEX(Cables!$AP:$AP,MATCH(G391,Cables!$A:$A,0))-1),1),1),1),INDEX(Cables!$AP:$AP,MATCH(G391,Cables!$A:$A,0))-1))):INDEX(Attenuation!$J:$J,(INDEX(Cables!$AO:$AO,MATCH(G391,Cables!$A:$A,0))-1+MIN(MAX(IFERROR(MATCH(LN(E391),INDEX(Attenuation!$J:$J,INDEX(Cables!$AO:$AO,MATCH(G391,Cables!$A:$A,0))):INDEX(Attenuation!$J:$J,INDEX(Cables!$AO:$AO,MATCH(G391,Cables!$A:$A,0))+INDEX(Cables!$AP:$AP,MATCH(G391,Cables!$A:$A,0))-1),1),1),1),INDEX(Cables!$AP:$AP,MATCH(G391,Cables!$A:$A,0))-1))+1)))*0.3048)</f>
        <v>10.000000000000004</v>
      </c>
      <c r="J391" s="44">
        <f t="shared" si="6"/>
        <v>0</v>
      </c>
      <c r="K391" s="40" t="str">
        <f>IF(G391="","Doğrulanmadı",IF(ABS(J391)&lt;=0.1,"Uyumlu (±%10)",IF(ABS(J391)&lt;=0.25,"Fark %10-25","Fark &gt;%25"))&amp;IF(OR(D391&lt;INDEX(Cables!$AQ:$AQ,MATCH(G391,Cables!$A:$A,0)),E391&gt;INDEX(Cables!$AR:$AR,MATCH(G391,Cables!$A:$A,0)))," · ekstrapolasyon",""))</f>
        <v>Uyumlu (±%10)</v>
      </c>
    </row>
    <row r="392" spans="1:11" x14ac:dyDescent="0.25">
      <c r="A392" s="37" t="s">
        <v>3091</v>
      </c>
      <c r="B392" s="40" t="str">
        <f>INDEX(Legacy_Index!$D:$D,MATCH(A392,Legacy_Index!$A:$A,0))</f>
        <v>RG179</v>
      </c>
      <c r="C392" s="37" t="s">
        <v>3114</v>
      </c>
      <c r="D392" s="37">
        <v>148</v>
      </c>
      <c r="E392" s="37">
        <v>174</v>
      </c>
      <c r="F392" s="37">
        <v>11.5</v>
      </c>
      <c r="G392" s="40" t="str">
        <f>IF(INDEX(Legacy_Index!$G:$G,MATCH(A392,Legacy_Index!$A:$A,0))="","",INDEX(Legacy_Index!$G:$G,MATCH(A392,Legacy_Index!$A:$A,0)))</f>
        <v>BEL-83264</v>
      </c>
      <c r="H392" s="43">
        <f>IF(G392="","",EXP(FORECAST(LN(D392),INDEX(Attenuation!$K:$K,(INDEX(Cables!$AO:$AO,MATCH(G392,Cables!$A:$A,0))-1+MIN(MAX(IFERROR(MATCH(LN(D392),INDEX(Attenuation!$J:$J,INDEX(Cables!$AO:$AO,MATCH(G392,Cables!$A:$A,0))):INDEX(Attenuation!$J:$J,INDEX(Cables!$AO:$AO,MATCH(G392,Cables!$A:$A,0))+INDEX(Cables!$AP:$AP,MATCH(G392,Cables!$A:$A,0))-1),1),1),1),INDEX(Cables!$AP:$AP,MATCH(G392,Cables!$A:$A,0))-1))):INDEX(Attenuation!$K:$K,(INDEX(Cables!$AO:$AO,MATCH(G392,Cables!$A:$A,0))-1+MIN(MAX(IFERROR(MATCH(LN(D392),INDEX(Attenuation!$J:$J,INDEX(Cables!$AO:$AO,MATCH(G392,Cables!$A:$A,0))):INDEX(Attenuation!$J:$J,INDEX(Cables!$AO:$AO,MATCH(G392,Cables!$A:$A,0))+INDEX(Cables!$AP:$AP,MATCH(G392,Cables!$A:$A,0))-1),1),1),1),INDEX(Cables!$AP:$AP,MATCH(G392,Cables!$A:$A,0))-1))+1),INDEX(Attenuation!$J:$J,(INDEX(Cables!$AO:$AO,MATCH(G392,Cables!$A:$A,0))-1+MIN(MAX(IFERROR(MATCH(LN(D392),INDEX(Attenuation!$J:$J,INDEX(Cables!$AO:$AO,MATCH(G392,Cables!$A:$A,0))):INDEX(Attenuation!$J:$J,INDEX(Cables!$AO:$AO,MATCH(G392,Cables!$A:$A,0))+INDEX(Cables!$AP:$AP,MATCH(G392,Cables!$A:$A,0))-1),1),1),1),INDEX(Cables!$AP:$AP,MATCH(G392,Cables!$A:$A,0))-1))):INDEX(Attenuation!$J:$J,(INDEX(Cables!$AO:$AO,MATCH(G392,Cables!$A:$A,0))-1+MIN(MAX(IFERROR(MATCH(LN(D392),INDEX(Attenuation!$J:$J,INDEX(Cables!$AO:$AO,MATCH(G392,Cables!$A:$A,0))):INDEX(Attenuation!$J:$J,INDEX(Cables!$AO:$AO,MATCH(G392,Cables!$A:$A,0))+INDEX(Cables!$AP:$AP,MATCH(G392,Cables!$A:$A,0))-1),1),1),1),INDEX(Cables!$AP:$AP,MATCH(G392,Cables!$A:$A,0))-1))+1)))*0.3048)</f>
        <v>11.34519669218958</v>
      </c>
      <c r="I392" s="43">
        <f>IF(G392="","",EXP(FORECAST(LN(E392),INDEX(Attenuation!$K:$K,(INDEX(Cables!$AO:$AO,MATCH(G392,Cables!$A:$A,0))-1+MIN(MAX(IFERROR(MATCH(LN(E392),INDEX(Attenuation!$J:$J,INDEX(Cables!$AO:$AO,MATCH(G392,Cables!$A:$A,0))):INDEX(Attenuation!$J:$J,INDEX(Cables!$AO:$AO,MATCH(G392,Cables!$A:$A,0))+INDEX(Cables!$AP:$AP,MATCH(G392,Cables!$A:$A,0))-1),1),1),1),INDEX(Cables!$AP:$AP,MATCH(G392,Cables!$A:$A,0))-1))):INDEX(Attenuation!$K:$K,(INDEX(Cables!$AO:$AO,MATCH(G392,Cables!$A:$A,0))-1+MIN(MAX(IFERROR(MATCH(LN(E392),INDEX(Attenuation!$J:$J,INDEX(Cables!$AO:$AO,MATCH(G392,Cables!$A:$A,0))):INDEX(Attenuation!$J:$J,INDEX(Cables!$AO:$AO,MATCH(G392,Cables!$A:$A,0))+INDEX(Cables!$AP:$AP,MATCH(G392,Cables!$A:$A,0))-1),1),1),1),INDEX(Cables!$AP:$AP,MATCH(G392,Cables!$A:$A,0))-1))+1),INDEX(Attenuation!$J:$J,(INDEX(Cables!$AO:$AO,MATCH(G392,Cables!$A:$A,0))-1+MIN(MAX(IFERROR(MATCH(LN(E392),INDEX(Attenuation!$J:$J,INDEX(Cables!$AO:$AO,MATCH(G392,Cables!$A:$A,0))):INDEX(Attenuation!$J:$J,INDEX(Cables!$AO:$AO,MATCH(G392,Cables!$A:$A,0))+INDEX(Cables!$AP:$AP,MATCH(G392,Cables!$A:$A,0))-1),1),1),1),INDEX(Cables!$AP:$AP,MATCH(G392,Cables!$A:$A,0))-1))):INDEX(Attenuation!$J:$J,(INDEX(Cables!$AO:$AO,MATCH(G392,Cables!$A:$A,0))-1+MIN(MAX(IFERROR(MATCH(LN(E392),INDEX(Attenuation!$J:$J,INDEX(Cables!$AO:$AO,MATCH(G392,Cables!$A:$A,0))):INDEX(Attenuation!$J:$J,INDEX(Cables!$AO:$AO,MATCH(G392,Cables!$A:$A,0))+INDEX(Cables!$AP:$AP,MATCH(G392,Cables!$A:$A,0))-1),1),1),1),INDEX(Cables!$AP:$AP,MATCH(G392,Cables!$A:$A,0))-1))+1)))*0.3048)</f>
        <v>11.951971839818913</v>
      </c>
      <c r="J392" s="44">
        <f t="shared" si="6"/>
        <v>0</v>
      </c>
      <c r="K392" s="40" t="str">
        <f>IF(G392="","Doğrulanmadı",IF(ABS(J392)&lt;=0.1,"Uyumlu (±%10)",IF(ABS(J392)&lt;=0.25,"Fark %10-25","Fark &gt;%25"))&amp;IF(OR(D392&lt;INDEX(Cables!$AQ:$AQ,MATCH(G392,Cables!$A:$A,0)),E392&gt;INDEX(Cables!$AR:$AR,MATCH(G392,Cables!$A:$A,0)))," · ekstrapolasyon",""))</f>
        <v>Uyumlu (±%10)</v>
      </c>
    </row>
    <row r="393" spans="1:11" x14ac:dyDescent="0.25">
      <c r="A393" s="37" t="s">
        <v>3091</v>
      </c>
      <c r="B393" s="40" t="str">
        <f>INDEX(Legacy_Index!$D:$D,MATCH(A393,Legacy_Index!$A:$A,0))</f>
        <v>RG179</v>
      </c>
      <c r="C393" s="37" t="s">
        <v>3115</v>
      </c>
      <c r="D393" s="37">
        <v>400</v>
      </c>
      <c r="E393" s="37">
        <v>520</v>
      </c>
      <c r="F393" s="37">
        <v>17</v>
      </c>
      <c r="G393" s="40" t="str">
        <f>IF(INDEX(Legacy_Index!$G:$G,MATCH(A393,Legacy_Index!$A:$A,0))="","",INDEX(Legacy_Index!$G:$G,MATCH(A393,Legacy_Index!$A:$A,0)))</f>
        <v>BEL-83264</v>
      </c>
      <c r="H393" s="43">
        <f>IF(G393="","",EXP(FORECAST(LN(D393),INDEX(Attenuation!$K:$K,(INDEX(Cables!$AO:$AO,MATCH(G393,Cables!$A:$A,0))-1+MIN(MAX(IFERROR(MATCH(LN(D393),INDEX(Attenuation!$J:$J,INDEX(Cables!$AO:$AO,MATCH(G393,Cables!$A:$A,0))):INDEX(Attenuation!$J:$J,INDEX(Cables!$AO:$AO,MATCH(G393,Cables!$A:$A,0))+INDEX(Cables!$AP:$AP,MATCH(G393,Cables!$A:$A,0))-1),1),1),1),INDEX(Cables!$AP:$AP,MATCH(G393,Cables!$A:$A,0))-1))):INDEX(Attenuation!$K:$K,(INDEX(Cables!$AO:$AO,MATCH(G393,Cables!$A:$A,0))-1+MIN(MAX(IFERROR(MATCH(LN(D393),INDEX(Attenuation!$J:$J,INDEX(Cables!$AO:$AO,MATCH(G393,Cables!$A:$A,0))):INDEX(Attenuation!$J:$J,INDEX(Cables!$AO:$AO,MATCH(G393,Cables!$A:$A,0))+INDEX(Cables!$AP:$AP,MATCH(G393,Cables!$A:$A,0))-1),1),1),1),INDEX(Cables!$AP:$AP,MATCH(G393,Cables!$A:$A,0))-1))+1),INDEX(Attenuation!$J:$J,(INDEX(Cables!$AO:$AO,MATCH(G393,Cables!$A:$A,0))-1+MIN(MAX(IFERROR(MATCH(LN(D393),INDEX(Attenuation!$J:$J,INDEX(Cables!$AO:$AO,MATCH(G393,Cables!$A:$A,0))):INDEX(Attenuation!$J:$J,INDEX(Cables!$AO:$AO,MATCH(G393,Cables!$A:$A,0))+INDEX(Cables!$AP:$AP,MATCH(G393,Cables!$A:$A,0))-1),1),1),1),INDEX(Cables!$AP:$AP,MATCH(G393,Cables!$A:$A,0))-1))):INDEX(Attenuation!$J:$J,(INDEX(Cables!$AO:$AO,MATCH(G393,Cables!$A:$A,0))-1+MIN(MAX(IFERROR(MATCH(LN(D393),INDEX(Attenuation!$J:$J,INDEX(Cables!$AO:$AO,MATCH(G393,Cables!$A:$A,0))):INDEX(Attenuation!$J:$J,INDEX(Cables!$AO:$AO,MATCH(G393,Cables!$A:$A,0))+INDEX(Cables!$AP:$AP,MATCH(G393,Cables!$A:$A,0))-1),1),1),1),INDEX(Cables!$AP:$AP,MATCH(G393,Cables!$A:$A,0))-1))+1)))*0.3048)</f>
        <v>16.000000000000007</v>
      </c>
      <c r="I393" s="43">
        <f>IF(G393="","",EXP(FORECAST(LN(E393),INDEX(Attenuation!$K:$K,(INDEX(Cables!$AO:$AO,MATCH(G393,Cables!$A:$A,0))-1+MIN(MAX(IFERROR(MATCH(LN(E393),INDEX(Attenuation!$J:$J,INDEX(Cables!$AO:$AO,MATCH(G393,Cables!$A:$A,0))):INDEX(Attenuation!$J:$J,INDEX(Cables!$AO:$AO,MATCH(G393,Cables!$A:$A,0))+INDEX(Cables!$AP:$AP,MATCH(G393,Cables!$A:$A,0))-1),1),1),1),INDEX(Cables!$AP:$AP,MATCH(G393,Cables!$A:$A,0))-1))):INDEX(Attenuation!$K:$K,(INDEX(Cables!$AO:$AO,MATCH(G393,Cables!$A:$A,0))-1+MIN(MAX(IFERROR(MATCH(LN(E393),INDEX(Attenuation!$J:$J,INDEX(Cables!$AO:$AO,MATCH(G393,Cables!$A:$A,0))):INDEX(Attenuation!$J:$J,INDEX(Cables!$AO:$AO,MATCH(G393,Cables!$A:$A,0))+INDEX(Cables!$AP:$AP,MATCH(G393,Cables!$A:$A,0))-1),1),1),1),INDEX(Cables!$AP:$AP,MATCH(G393,Cables!$A:$A,0))-1))+1),INDEX(Attenuation!$J:$J,(INDEX(Cables!$AO:$AO,MATCH(G393,Cables!$A:$A,0))-1+MIN(MAX(IFERROR(MATCH(LN(E393),INDEX(Attenuation!$J:$J,INDEX(Cables!$AO:$AO,MATCH(G393,Cables!$A:$A,0))):INDEX(Attenuation!$J:$J,INDEX(Cables!$AO:$AO,MATCH(G393,Cables!$A:$A,0))+INDEX(Cables!$AP:$AP,MATCH(G393,Cables!$A:$A,0))-1),1),1),1),INDEX(Cables!$AP:$AP,MATCH(G393,Cables!$A:$A,0))-1))):INDEX(Attenuation!$J:$J,(INDEX(Cables!$AO:$AO,MATCH(G393,Cables!$A:$A,0))-1+MIN(MAX(IFERROR(MATCH(LN(E393),INDEX(Attenuation!$J:$J,INDEX(Cables!$AO:$AO,MATCH(G393,Cables!$A:$A,0))):INDEX(Attenuation!$J:$J,INDEX(Cables!$AO:$AO,MATCH(G393,Cables!$A:$A,0))+INDEX(Cables!$AP:$AP,MATCH(G393,Cables!$A:$A,0))-1),1),1),1),INDEX(Cables!$AP:$AP,MATCH(G393,Cables!$A:$A,0))-1))+1)))*0.3048)</f>
        <v>17.639121290767502</v>
      </c>
      <c r="J393" s="44">
        <f t="shared" si="6"/>
        <v>0</v>
      </c>
      <c r="K393" s="40" t="str">
        <f>IF(G393="","Doğrulanmadı",IF(ABS(J393)&lt;=0.1,"Uyumlu (±%10)",IF(ABS(J393)&lt;=0.25,"Fark %10-25","Fark &gt;%25"))&amp;IF(OR(D393&lt;INDEX(Cables!$AQ:$AQ,MATCH(G393,Cables!$A:$A,0)),E393&gt;INDEX(Cables!$AR:$AR,MATCH(G393,Cables!$A:$A,0)))," · ekstrapolasyon",""))</f>
        <v>Uyumlu (±%10)</v>
      </c>
    </row>
    <row r="394" spans="1:11" x14ac:dyDescent="0.25">
      <c r="A394" s="37" t="s">
        <v>3091</v>
      </c>
      <c r="B394" s="40" t="str">
        <f>INDEX(Legacy_Index!$D:$D,MATCH(A394,Legacy_Index!$A:$A,0))</f>
        <v>RG179</v>
      </c>
      <c r="C394" s="37" t="s">
        <v>3116</v>
      </c>
      <c r="D394" s="37">
        <v>700</v>
      </c>
      <c r="E394" s="37">
        <v>960</v>
      </c>
      <c r="F394" s="37">
        <v>22.3</v>
      </c>
      <c r="G394" s="40" t="str">
        <f>IF(INDEX(Legacy_Index!$G:$G,MATCH(A394,Legacy_Index!$A:$A,0))="","",INDEX(Legacy_Index!$G:$G,MATCH(A394,Legacy_Index!$A:$A,0)))</f>
        <v>BEL-83264</v>
      </c>
      <c r="H394" s="43">
        <f>IF(G394="","",EXP(FORECAST(LN(D394),INDEX(Attenuation!$K:$K,(INDEX(Cables!$AO:$AO,MATCH(G394,Cables!$A:$A,0))-1+MIN(MAX(IFERROR(MATCH(LN(D394),INDEX(Attenuation!$J:$J,INDEX(Cables!$AO:$AO,MATCH(G394,Cables!$A:$A,0))):INDEX(Attenuation!$J:$J,INDEX(Cables!$AO:$AO,MATCH(G394,Cables!$A:$A,0))+INDEX(Cables!$AP:$AP,MATCH(G394,Cables!$A:$A,0))-1),1),1),1),INDEX(Cables!$AP:$AP,MATCH(G394,Cables!$A:$A,0))-1))):INDEX(Attenuation!$K:$K,(INDEX(Cables!$AO:$AO,MATCH(G394,Cables!$A:$A,0))-1+MIN(MAX(IFERROR(MATCH(LN(D394),INDEX(Attenuation!$J:$J,INDEX(Cables!$AO:$AO,MATCH(G394,Cables!$A:$A,0))):INDEX(Attenuation!$J:$J,INDEX(Cables!$AO:$AO,MATCH(G394,Cables!$A:$A,0))+INDEX(Cables!$AP:$AP,MATCH(G394,Cables!$A:$A,0))-1),1),1),1),INDEX(Cables!$AP:$AP,MATCH(G394,Cables!$A:$A,0))-1))+1),INDEX(Attenuation!$J:$J,(INDEX(Cables!$AO:$AO,MATCH(G394,Cables!$A:$A,0))-1+MIN(MAX(IFERROR(MATCH(LN(D394),INDEX(Attenuation!$J:$J,INDEX(Cables!$AO:$AO,MATCH(G394,Cables!$A:$A,0))):INDEX(Attenuation!$J:$J,INDEX(Cables!$AO:$AO,MATCH(G394,Cables!$A:$A,0))+INDEX(Cables!$AP:$AP,MATCH(G394,Cables!$A:$A,0))-1),1),1),1),INDEX(Cables!$AP:$AP,MATCH(G394,Cables!$A:$A,0))-1))):INDEX(Attenuation!$J:$J,(INDEX(Cables!$AO:$AO,MATCH(G394,Cables!$A:$A,0))-1+MIN(MAX(IFERROR(MATCH(LN(D394),INDEX(Attenuation!$J:$J,INDEX(Cables!$AO:$AO,MATCH(G394,Cables!$A:$A,0))):INDEX(Attenuation!$J:$J,INDEX(Cables!$AO:$AO,MATCH(G394,Cables!$A:$A,0))+INDEX(Cables!$AP:$AP,MATCH(G394,Cables!$A:$A,0))-1),1),1),1),INDEX(Cables!$AP:$AP,MATCH(G394,Cables!$A:$A,0))-1))+1)))*0.3048)</f>
        <v>19.700000000000021</v>
      </c>
      <c r="I394" s="43">
        <f>IF(G394="","",EXP(FORECAST(LN(E394),INDEX(Attenuation!$K:$K,(INDEX(Cables!$AO:$AO,MATCH(G394,Cables!$A:$A,0))-1+MIN(MAX(IFERROR(MATCH(LN(E394),INDEX(Attenuation!$J:$J,INDEX(Cables!$AO:$AO,MATCH(G394,Cables!$A:$A,0))):INDEX(Attenuation!$J:$J,INDEX(Cables!$AO:$AO,MATCH(G394,Cables!$A:$A,0))+INDEX(Cables!$AP:$AP,MATCH(G394,Cables!$A:$A,0))-1),1),1),1),INDEX(Cables!$AP:$AP,MATCH(G394,Cables!$A:$A,0))-1))):INDEX(Attenuation!$K:$K,(INDEX(Cables!$AO:$AO,MATCH(G394,Cables!$A:$A,0))-1+MIN(MAX(IFERROR(MATCH(LN(E394),INDEX(Attenuation!$J:$J,INDEX(Cables!$AO:$AO,MATCH(G394,Cables!$A:$A,0))):INDEX(Attenuation!$J:$J,INDEX(Cables!$AO:$AO,MATCH(G394,Cables!$A:$A,0))+INDEX(Cables!$AP:$AP,MATCH(G394,Cables!$A:$A,0))-1),1),1),1),INDEX(Cables!$AP:$AP,MATCH(G394,Cables!$A:$A,0))-1))+1),INDEX(Attenuation!$J:$J,(INDEX(Cables!$AO:$AO,MATCH(G394,Cables!$A:$A,0))-1+MIN(MAX(IFERROR(MATCH(LN(E394),INDEX(Attenuation!$J:$J,INDEX(Cables!$AO:$AO,MATCH(G394,Cables!$A:$A,0))):INDEX(Attenuation!$J:$J,INDEX(Cables!$AO:$AO,MATCH(G394,Cables!$A:$A,0))+INDEX(Cables!$AP:$AP,MATCH(G394,Cables!$A:$A,0))-1),1),1),1),INDEX(Cables!$AP:$AP,MATCH(G394,Cables!$A:$A,0))-1))):INDEX(Attenuation!$J:$J,(INDEX(Cables!$AO:$AO,MATCH(G394,Cables!$A:$A,0))-1+MIN(MAX(IFERROR(MATCH(LN(E394),INDEX(Attenuation!$J:$J,INDEX(Cables!$AO:$AO,MATCH(G394,Cables!$A:$A,0))):INDEX(Attenuation!$J:$J,INDEX(Cables!$AO:$AO,MATCH(G394,Cables!$A:$A,0))+INDEX(Cables!$AP:$AP,MATCH(G394,Cables!$A:$A,0))-1),1),1),1),INDEX(Cables!$AP:$AP,MATCH(G394,Cables!$A:$A,0))-1))+1)))*0.3048)</f>
        <v>23.326473997118494</v>
      </c>
      <c r="J394" s="44">
        <f t="shared" si="6"/>
        <v>0</v>
      </c>
      <c r="K394" s="40" t="str">
        <f>IF(G394="","Doğrulanmadı",IF(ABS(J394)&lt;=0.1,"Uyumlu (±%10)",IF(ABS(J394)&lt;=0.25,"Fark %10-25","Fark &gt;%25"))&amp;IF(OR(D394&lt;INDEX(Cables!$AQ:$AQ,MATCH(G394,Cables!$A:$A,0)),E394&gt;INDEX(Cables!$AR:$AR,MATCH(G394,Cables!$A:$A,0)))," · ekstrapolasyon",""))</f>
        <v>Uyumlu (±%10)</v>
      </c>
    </row>
    <row r="395" spans="1:11" x14ac:dyDescent="0.25">
      <c r="A395" s="37" t="s">
        <v>3095</v>
      </c>
      <c r="B395" s="40" t="str">
        <f>INDEX(Legacy_Index!$D:$D,MATCH(A395,Legacy_Index!$A:$A,0))</f>
        <v>RG59B/U</v>
      </c>
      <c r="C395" s="37" t="s">
        <v>3117</v>
      </c>
      <c r="D395" s="37">
        <v>1</v>
      </c>
      <c r="E395" s="37">
        <v>10</v>
      </c>
      <c r="F395" s="37">
        <v>0.9</v>
      </c>
      <c r="G395" s="40" t="str">
        <f>IF(INDEX(Legacy_Index!$G:$G,MATCH(A395,Legacy_Index!$A:$A,0))="","",INDEX(Legacy_Index!$G:$G,MATCH(A395,Legacy_Index!$A:$A,0)))</f>
        <v>BEL-8263</v>
      </c>
      <c r="H395" s="43">
        <f>IF(G395="","",EXP(FORECAST(LN(D395),INDEX(Attenuation!$K:$K,(INDEX(Cables!$AO:$AO,MATCH(G395,Cables!$A:$A,0))-1+MIN(MAX(IFERROR(MATCH(LN(D395),INDEX(Attenuation!$J:$J,INDEX(Cables!$AO:$AO,MATCH(G395,Cables!$A:$A,0))):INDEX(Attenuation!$J:$J,INDEX(Cables!$AO:$AO,MATCH(G395,Cables!$A:$A,0))+INDEX(Cables!$AP:$AP,MATCH(G395,Cables!$A:$A,0))-1),1),1),1),INDEX(Cables!$AP:$AP,MATCH(G395,Cables!$A:$A,0))-1))):INDEX(Attenuation!$K:$K,(INDEX(Cables!$AO:$AO,MATCH(G395,Cables!$A:$A,0))-1+MIN(MAX(IFERROR(MATCH(LN(D395),INDEX(Attenuation!$J:$J,INDEX(Cables!$AO:$AO,MATCH(G395,Cables!$A:$A,0))):INDEX(Attenuation!$J:$J,INDEX(Cables!$AO:$AO,MATCH(G395,Cables!$A:$A,0))+INDEX(Cables!$AP:$AP,MATCH(G395,Cables!$A:$A,0))-1),1),1),1),INDEX(Cables!$AP:$AP,MATCH(G395,Cables!$A:$A,0))-1))+1),INDEX(Attenuation!$J:$J,(INDEX(Cables!$AO:$AO,MATCH(G395,Cables!$A:$A,0))-1+MIN(MAX(IFERROR(MATCH(LN(D395),INDEX(Attenuation!$J:$J,INDEX(Cables!$AO:$AO,MATCH(G395,Cables!$A:$A,0))):INDEX(Attenuation!$J:$J,INDEX(Cables!$AO:$AO,MATCH(G395,Cables!$A:$A,0))+INDEX(Cables!$AP:$AP,MATCH(G395,Cables!$A:$A,0))-1),1),1),1),INDEX(Cables!$AP:$AP,MATCH(G395,Cables!$A:$A,0))-1))):INDEX(Attenuation!$J:$J,(INDEX(Cables!$AO:$AO,MATCH(G395,Cables!$A:$A,0))-1+MIN(MAX(IFERROR(MATCH(LN(D395),INDEX(Attenuation!$J:$J,INDEX(Cables!$AO:$AO,MATCH(G395,Cables!$A:$A,0))):INDEX(Attenuation!$J:$J,INDEX(Cables!$AO:$AO,MATCH(G395,Cables!$A:$A,0))+INDEX(Cables!$AP:$AP,MATCH(G395,Cables!$A:$A,0))-1),1),1),1),INDEX(Cables!$AP:$AP,MATCH(G395,Cables!$A:$A,0))-1))+1)))*0.3048)</f>
        <v>0.6</v>
      </c>
      <c r="I395" s="43">
        <f>IF(G395="","",EXP(FORECAST(LN(E395),INDEX(Attenuation!$K:$K,(INDEX(Cables!$AO:$AO,MATCH(G395,Cables!$A:$A,0))-1+MIN(MAX(IFERROR(MATCH(LN(E395),INDEX(Attenuation!$J:$J,INDEX(Cables!$AO:$AO,MATCH(G395,Cables!$A:$A,0))):INDEX(Attenuation!$J:$J,INDEX(Cables!$AO:$AO,MATCH(G395,Cables!$A:$A,0))+INDEX(Cables!$AP:$AP,MATCH(G395,Cables!$A:$A,0))-1),1),1),1),INDEX(Cables!$AP:$AP,MATCH(G395,Cables!$A:$A,0))-1))):INDEX(Attenuation!$K:$K,(INDEX(Cables!$AO:$AO,MATCH(G395,Cables!$A:$A,0))-1+MIN(MAX(IFERROR(MATCH(LN(E395),INDEX(Attenuation!$J:$J,INDEX(Cables!$AO:$AO,MATCH(G395,Cables!$A:$A,0))):INDEX(Attenuation!$J:$J,INDEX(Cables!$AO:$AO,MATCH(G395,Cables!$A:$A,0))+INDEX(Cables!$AP:$AP,MATCH(G395,Cables!$A:$A,0))-1),1),1),1),INDEX(Cables!$AP:$AP,MATCH(G395,Cables!$A:$A,0))-1))+1),INDEX(Attenuation!$J:$J,(INDEX(Cables!$AO:$AO,MATCH(G395,Cables!$A:$A,0))-1+MIN(MAX(IFERROR(MATCH(LN(E395),INDEX(Attenuation!$J:$J,INDEX(Cables!$AO:$AO,MATCH(G395,Cables!$A:$A,0))):INDEX(Attenuation!$J:$J,INDEX(Cables!$AO:$AO,MATCH(G395,Cables!$A:$A,0))+INDEX(Cables!$AP:$AP,MATCH(G395,Cables!$A:$A,0))-1),1),1),1),INDEX(Cables!$AP:$AP,MATCH(G395,Cables!$A:$A,0))-1))):INDEX(Attenuation!$J:$J,(INDEX(Cables!$AO:$AO,MATCH(G395,Cables!$A:$A,0))-1+MIN(MAX(IFERROR(MATCH(LN(E395),INDEX(Attenuation!$J:$J,INDEX(Cables!$AO:$AO,MATCH(G395,Cables!$A:$A,0))):INDEX(Attenuation!$J:$J,INDEX(Cables!$AO:$AO,MATCH(G395,Cables!$A:$A,0))+INDEX(Cables!$AP:$AP,MATCH(G395,Cables!$A:$A,0))-1),1),1),1),INDEX(Cables!$AP:$AP,MATCH(G395,Cables!$A:$A,0))-1))+1)))*0.3048)</f>
        <v>1.1000000000000003</v>
      </c>
      <c r="J395" s="44">
        <f t="shared" si="6"/>
        <v>0</v>
      </c>
      <c r="K395" s="40" t="str">
        <f>IF(G395="","Doğrulanmadı",IF(ABS(J395)&lt;=0.1,"Uyumlu (±%10)",IF(ABS(J395)&lt;=0.25,"Fark %10-25","Fark &gt;%25"))&amp;IF(OR(D395&lt;INDEX(Cables!$AQ:$AQ,MATCH(G395,Cables!$A:$A,0)),E395&gt;INDEX(Cables!$AR:$AR,MATCH(G395,Cables!$A:$A,0)))," · ekstrapolasyon",""))</f>
        <v>Uyumlu (±%10)</v>
      </c>
    </row>
    <row r="396" spans="1:11" x14ac:dyDescent="0.25">
      <c r="A396" s="37" t="s">
        <v>3095</v>
      </c>
      <c r="B396" s="40" t="str">
        <f>INDEX(Legacy_Index!$D:$D,MATCH(A396,Legacy_Index!$A:$A,0))</f>
        <v>RG59B/U</v>
      </c>
      <c r="C396" s="37" t="s">
        <v>3118</v>
      </c>
      <c r="D396" s="37">
        <v>30</v>
      </c>
      <c r="E396" s="37">
        <v>50</v>
      </c>
      <c r="F396" s="37">
        <v>2.2999999999999998</v>
      </c>
      <c r="G396" s="40" t="str">
        <f>IF(INDEX(Legacy_Index!$G:$G,MATCH(A396,Legacy_Index!$A:$A,0))="","",INDEX(Legacy_Index!$G:$G,MATCH(A396,Legacy_Index!$A:$A,0)))</f>
        <v>BEL-8263</v>
      </c>
      <c r="H396" s="43">
        <f>IF(G396="","",EXP(FORECAST(LN(D396),INDEX(Attenuation!$K:$K,(INDEX(Cables!$AO:$AO,MATCH(G396,Cables!$A:$A,0))-1+MIN(MAX(IFERROR(MATCH(LN(D396),INDEX(Attenuation!$J:$J,INDEX(Cables!$AO:$AO,MATCH(G396,Cables!$A:$A,0))):INDEX(Attenuation!$J:$J,INDEX(Cables!$AO:$AO,MATCH(G396,Cables!$A:$A,0))+INDEX(Cables!$AP:$AP,MATCH(G396,Cables!$A:$A,0))-1),1),1),1),INDEX(Cables!$AP:$AP,MATCH(G396,Cables!$A:$A,0))-1))):INDEX(Attenuation!$K:$K,(INDEX(Cables!$AO:$AO,MATCH(G396,Cables!$A:$A,0))-1+MIN(MAX(IFERROR(MATCH(LN(D396),INDEX(Attenuation!$J:$J,INDEX(Cables!$AO:$AO,MATCH(G396,Cables!$A:$A,0))):INDEX(Attenuation!$J:$J,INDEX(Cables!$AO:$AO,MATCH(G396,Cables!$A:$A,0))+INDEX(Cables!$AP:$AP,MATCH(G396,Cables!$A:$A,0))-1),1),1),1),INDEX(Cables!$AP:$AP,MATCH(G396,Cables!$A:$A,0))-1))+1),INDEX(Attenuation!$J:$J,(INDEX(Cables!$AO:$AO,MATCH(G396,Cables!$A:$A,0))-1+MIN(MAX(IFERROR(MATCH(LN(D396),INDEX(Attenuation!$J:$J,INDEX(Cables!$AO:$AO,MATCH(G396,Cables!$A:$A,0))):INDEX(Attenuation!$J:$J,INDEX(Cables!$AO:$AO,MATCH(G396,Cables!$A:$A,0))+INDEX(Cables!$AP:$AP,MATCH(G396,Cables!$A:$A,0))-1),1),1),1),INDEX(Cables!$AP:$AP,MATCH(G396,Cables!$A:$A,0))-1))):INDEX(Attenuation!$J:$J,(INDEX(Cables!$AO:$AO,MATCH(G396,Cables!$A:$A,0))-1+MIN(MAX(IFERROR(MATCH(LN(D396),INDEX(Attenuation!$J:$J,INDEX(Cables!$AO:$AO,MATCH(G396,Cables!$A:$A,0))):INDEX(Attenuation!$J:$J,INDEX(Cables!$AO:$AO,MATCH(G396,Cables!$A:$A,0))+INDEX(Cables!$AP:$AP,MATCH(G396,Cables!$A:$A,0))-1),1),1),1),INDEX(Cables!$AP:$AP,MATCH(G396,Cables!$A:$A,0))-1))+1)))*0.3048)</f>
        <v>1.8735803835249323</v>
      </c>
      <c r="I396" s="43">
        <f>IF(G396="","",EXP(FORECAST(LN(E396),INDEX(Attenuation!$K:$K,(INDEX(Cables!$AO:$AO,MATCH(G396,Cables!$A:$A,0))-1+MIN(MAX(IFERROR(MATCH(LN(E396),INDEX(Attenuation!$J:$J,INDEX(Cables!$AO:$AO,MATCH(G396,Cables!$A:$A,0))):INDEX(Attenuation!$J:$J,INDEX(Cables!$AO:$AO,MATCH(G396,Cables!$A:$A,0))+INDEX(Cables!$AP:$AP,MATCH(G396,Cables!$A:$A,0))-1),1),1),1),INDEX(Cables!$AP:$AP,MATCH(G396,Cables!$A:$A,0))-1))):INDEX(Attenuation!$K:$K,(INDEX(Cables!$AO:$AO,MATCH(G396,Cables!$A:$A,0))-1+MIN(MAX(IFERROR(MATCH(LN(E396),INDEX(Attenuation!$J:$J,INDEX(Cables!$AO:$AO,MATCH(G396,Cables!$A:$A,0))):INDEX(Attenuation!$J:$J,INDEX(Cables!$AO:$AO,MATCH(G396,Cables!$A:$A,0))+INDEX(Cables!$AP:$AP,MATCH(G396,Cables!$A:$A,0))-1),1),1),1),INDEX(Cables!$AP:$AP,MATCH(G396,Cables!$A:$A,0))-1))+1),INDEX(Attenuation!$J:$J,(INDEX(Cables!$AO:$AO,MATCH(G396,Cables!$A:$A,0))-1+MIN(MAX(IFERROR(MATCH(LN(E396),INDEX(Attenuation!$J:$J,INDEX(Cables!$AO:$AO,MATCH(G396,Cables!$A:$A,0))):INDEX(Attenuation!$J:$J,INDEX(Cables!$AO:$AO,MATCH(G396,Cables!$A:$A,0))+INDEX(Cables!$AP:$AP,MATCH(G396,Cables!$A:$A,0))-1),1),1),1),INDEX(Cables!$AP:$AP,MATCH(G396,Cables!$A:$A,0))-1))):INDEX(Attenuation!$J:$J,(INDEX(Cables!$AO:$AO,MATCH(G396,Cables!$A:$A,0))-1+MIN(MAX(IFERROR(MATCH(LN(E396),INDEX(Attenuation!$J:$J,INDEX(Cables!$AO:$AO,MATCH(G396,Cables!$A:$A,0))):INDEX(Attenuation!$J:$J,INDEX(Cables!$AO:$AO,MATCH(G396,Cables!$A:$A,0))+INDEX(Cables!$AP:$AP,MATCH(G396,Cables!$A:$A,0))-1),1),1),1),INDEX(Cables!$AP:$AP,MATCH(G396,Cables!$A:$A,0))-1))+1)))*0.3048)</f>
        <v>2.3999999999999986</v>
      </c>
      <c r="J396" s="44">
        <f t="shared" si="6"/>
        <v>0</v>
      </c>
      <c r="K396" s="40" t="str">
        <f>IF(G396="","Doğrulanmadı",IF(ABS(J396)&lt;=0.1,"Uyumlu (±%10)",IF(ABS(J396)&lt;=0.25,"Fark %10-25","Fark &gt;%25"))&amp;IF(OR(D396&lt;INDEX(Cables!$AQ:$AQ,MATCH(G396,Cables!$A:$A,0)),E396&gt;INDEX(Cables!$AR:$AR,MATCH(G396,Cables!$A:$A,0)))," · ekstrapolasyon",""))</f>
        <v>Uyumlu (±%10)</v>
      </c>
    </row>
    <row r="397" spans="1:11" x14ac:dyDescent="0.25">
      <c r="A397" s="37" t="s">
        <v>3095</v>
      </c>
      <c r="B397" s="40" t="str">
        <f>INDEX(Legacy_Index!$D:$D,MATCH(A397,Legacy_Index!$A:$A,0))</f>
        <v>RG59B/U</v>
      </c>
      <c r="C397" s="37" t="s">
        <v>3113</v>
      </c>
      <c r="D397" s="37">
        <v>70</v>
      </c>
      <c r="E397" s="37">
        <v>100</v>
      </c>
      <c r="F397" s="37">
        <v>3.25</v>
      </c>
      <c r="G397" s="40" t="str">
        <f>IF(INDEX(Legacy_Index!$G:$G,MATCH(A397,Legacy_Index!$A:$A,0))="","",INDEX(Legacy_Index!$G:$G,MATCH(A397,Legacy_Index!$A:$A,0)))</f>
        <v>BEL-8263</v>
      </c>
      <c r="H397" s="43">
        <f>IF(G397="","",EXP(FORECAST(LN(D397),INDEX(Attenuation!$K:$K,(INDEX(Cables!$AO:$AO,MATCH(G397,Cables!$A:$A,0))-1+MIN(MAX(IFERROR(MATCH(LN(D397),INDEX(Attenuation!$J:$J,INDEX(Cables!$AO:$AO,MATCH(G397,Cables!$A:$A,0))):INDEX(Attenuation!$J:$J,INDEX(Cables!$AO:$AO,MATCH(G397,Cables!$A:$A,0))+INDEX(Cables!$AP:$AP,MATCH(G397,Cables!$A:$A,0))-1),1),1),1),INDEX(Cables!$AP:$AP,MATCH(G397,Cables!$A:$A,0))-1))):INDEX(Attenuation!$K:$K,(INDEX(Cables!$AO:$AO,MATCH(G397,Cables!$A:$A,0))-1+MIN(MAX(IFERROR(MATCH(LN(D397),INDEX(Attenuation!$J:$J,INDEX(Cables!$AO:$AO,MATCH(G397,Cables!$A:$A,0))):INDEX(Attenuation!$J:$J,INDEX(Cables!$AO:$AO,MATCH(G397,Cables!$A:$A,0))+INDEX(Cables!$AP:$AP,MATCH(G397,Cables!$A:$A,0))-1),1),1),1),INDEX(Cables!$AP:$AP,MATCH(G397,Cables!$A:$A,0))-1))+1),INDEX(Attenuation!$J:$J,(INDEX(Cables!$AO:$AO,MATCH(G397,Cables!$A:$A,0))-1+MIN(MAX(IFERROR(MATCH(LN(D397),INDEX(Attenuation!$J:$J,INDEX(Cables!$AO:$AO,MATCH(G397,Cables!$A:$A,0))):INDEX(Attenuation!$J:$J,INDEX(Cables!$AO:$AO,MATCH(G397,Cables!$A:$A,0))+INDEX(Cables!$AP:$AP,MATCH(G397,Cables!$A:$A,0))-1),1),1),1),INDEX(Cables!$AP:$AP,MATCH(G397,Cables!$A:$A,0))-1))):INDEX(Attenuation!$J:$J,(INDEX(Cables!$AO:$AO,MATCH(G397,Cables!$A:$A,0))-1+MIN(MAX(IFERROR(MATCH(LN(D397),INDEX(Attenuation!$J:$J,INDEX(Cables!$AO:$AO,MATCH(G397,Cables!$A:$A,0))):INDEX(Attenuation!$J:$J,INDEX(Cables!$AO:$AO,MATCH(G397,Cables!$A:$A,0))+INDEX(Cables!$AP:$AP,MATCH(G397,Cables!$A:$A,0))-1),1),1),1),INDEX(Cables!$AP:$AP,MATCH(G397,Cables!$A:$A,0))-1))+1)))*0.3048)</f>
        <v>2.8421083424011111</v>
      </c>
      <c r="I397" s="43">
        <f>IF(G397="","",EXP(FORECAST(LN(E397),INDEX(Attenuation!$K:$K,(INDEX(Cables!$AO:$AO,MATCH(G397,Cables!$A:$A,0))-1+MIN(MAX(IFERROR(MATCH(LN(E397),INDEX(Attenuation!$J:$J,INDEX(Cables!$AO:$AO,MATCH(G397,Cables!$A:$A,0))):INDEX(Attenuation!$J:$J,INDEX(Cables!$AO:$AO,MATCH(G397,Cables!$A:$A,0))+INDEX(Cables!$AP:$AP,MATCH(G397,Cables!$A:$A,0))-1),1),1),1),INDEX(Cables!$AP:$AP,MATCH(G397,Cables!$A:$A,0))-1))):INDEX(Attenuation!$K:$K,(INDEX(Cables!$AO:$AO,MATCH(G397,Cables!$A:$A,0))-1+MIN(MAX(IFERROR(MATCH(LN(E397),INDEX(Attenuation!$J:$J,INDEX(Cables!$AO:$AO,MATCH(G397,Cables!$A:$A,0))):INDEX(Attenuation!$J:$J,INDEX(Cables!$AO:$AO,MATCH(G397,Cables!$A:$A,0))+INDEX(Cables!$AP:$AP,MATCH(G397,Cables!$A:$A,0))-1),1),1),1),INDEX(Cables!$AP:$AP,MATCH(G397,Cables!$A:$A,0))-1))+1),INDEX(Attenuation!$J:$J,(INDEX(Cables!$AO:$AO,MATCH(G397,Cables!$A:$A,0))-1+MIN(MAX(IFERROR(MATCH(LN(E397),INDEX(Attenuation!$J:$J,INDEX(Cables!$AO:$AO,MATCH(G397,Cables!$A:$A,0))):INDEX(Attenuation!$J:$J,INDEX(Cables!$AO:$AO,MATCH(G397,Cables!$A:$A,0))+INDEX(Cables!$AP:$AP,MATCH(G397,Cables!$A:$A,0))-1),1),1),1),INDEX(Cables!$AP:$AP,MATCH(G397,Cables!$A:$A,0))-1))):INDEX(Attenuation!$J:$J,(INDEX(Cables!$AO:$AO,MATCH(G397,Cables!$A:$A,0))-1+MIN(MAX(IFERROR(MATCH(LN(E397),INDEX(Attenuation!$J:$J,INDEX(Cables!$AO:$AO,MATCH(G397,Cables!$A:$A,0))):INDEX(Attenuation!$J:$J,INDEX(Cables!$AO:$AO,MATCH(G397,Cables!$A:$A,0))+INDEX(Cables!$AP:$AP,MATCH(G397,Cables!$A:$A,0))-1),1),1),1),INDEX(Cables!$AP:$AP,MATCH(G397,Cables!$A:$A,0))-1))+1)))*0.3048)</f>
        <v>3.4</v>
      </c>
      <c r="J397" s="44">
        <f t="shared" si="6"/>
        <v>0</v>
      </c>
      <c r="K397" s="40" t="str">
        <f>IF(G397="","Doğrulanmadı",IF(ABS(J397)&lt;=0.1,"Uyumlu (±%10)",IF(ABS(J397)&lt;=0.25,"Fark %10-25","Fark &gt;%25"))&amp;IF(OR(D397&lt;INDEX(Cables!$AQ:$AQ,MATCH(G397,Cables!$A:$A,0)),E397&gt;INDEX(Cables!$AR:$AR,MATCH(G397,Cables!$A:$A,0)))," · ekstrapolasyon",""))</f>
        <v>Uyumlu (±%10)</v>
      </c>
    </row>
    <row r="398" spans="1:11" x14ac:dyDescent="0.25">
      <c r="A398" s="37" t="s">
        <v>3095</v>
      </c>
      <c r="B398" s="40" t="str">
        <f>INDEX(Legacy_Index!$D:$D,MATCH(A398,Legacy_Index!$A:$A,0))</f>
        <v>RG59B/U</v>
      </c>
      <c r="C398" s="37" t="s">
        <v>3114</v>
      </c>
      <c r="D398" s="37">
        <v>148</v>
      </c>
      <c r="E398" s="37">
        <v>174</v>
      </c>
      <c r="F398" s="37">
        <v>4.5</v>
      </c>
      <c r="G398" s="40" t="str">
        <f>IF(INDEX(Legacy_Index!$G:$G,MATCH(A398,Legacy_Index!$A:$A,0))="","",INDEX(Legacy_Index!$G:$G,MATCH(A398,Legacy_Index!$A:$A,0)))</f>
        <v>BEL-8263</v>
      </c>
      <c r="H398" s="43">
        <f>IF(G398="","",EXP(FORECAST(LN(D398),INDEX(Attenuation!$K:$K,(INDEX(Cables!$AO:$AO,MATCH(G398,Cables!$A:$A,0))-1+MIN(MAX(IFERROR(MATCH(LN(D398),INDEX(Attenuation!$J:$J,INDEX(Cables!$AO:$AO,MATCH(G398,Cables!$A:$A,0))):INDEX(Attenuation!$J:$J,INDEX(Cables!$AO:$AO,MATCH(G398,Cables!$A:$A,0))+INDEX(Cables!$AP:$AP,MATCH(G398,Cables!$A:$A,0))-1),1),1),1),INDEX(Cables!$AP:$AP,MATCH(G398,Cables!$A:$A,0))-1))):INDEX(Attenuation!$K:$K,(INDEX(Cables!$AO:$AO,MATCH(G398,Cables!$A:$A,0))-1+MIN(MAX(IFERROR(MATCH(LN(D398),INDEX(Attenuation!$J:$J,INDEX(Cables!$AO:$AO,MATCH(G398,Cables!$A:$A,0))):INDEX(Attenuation!$J:$J,INDEX(Cables!$AO:$AO,MATCH(G398,Cables!$A:$A,0))+INDEX(Cables!$AP:$AP,MATCH(G398,Cables!$A:$A,0))-1),1),1),1),INDEX(Cables!$AP:$AP,MATCH(G398,Cables!$A:$A,0))-1))+1),INDEX(Attenuation!$J:$J,(INDEX(Cables!$AO:$AO,MATCH(G398,Cables!$A:$A,0))-1+MIN(MAX(IFERROR(MATCH(LN(D398),INDEX(Attenuation!$J:$J,INDEX(Cables!$AO:$AO,MATCH(G398,Cables!$A:$A,0))):INDEX(Attenuation!$J:$J,INDEX(Cables!$AO:$AO,MATCH(G398,Cables!$A:$A,0))+INDEX(Cables!$AP:$AP,MATCH(G398,Cables!$A:$A,0))-1),1),1),1),INDEX(Cables!$AP:$AP,MATCH(G398,Cables!$A:$A,0))-1))):INDEX(Attenuation!$J:$J,(INDEX(Cables!$AO:$AO,MATCH(G398,Cables!$A:$A,0))-1+MIN(MAX(IFERROR(MATCH(LN(D398),INDEX(Attenuation!$J:$J,INDEX(Cables!$AO:$AO,MATCH(G398,Cables!$A:$A,0))):INDEX(Attenuation!$J:$J,INDEX(Cables!$AO:$AO,MATCH(G398,Cables!$A:$A,0))+INDEX(Cables!$AP:$AP,MATCH(G398,Cables!$A:$A,0))-1),1),1),1),INDEX(Cables!$AP:$AP,MATCH(G398,Cables!$A:$A,0))-1))+1)))*0.3048)</f>
        <v>4.180698958035749</v>
      </c>
      <c r="I398" s="43">
        <f>IF(G398="","",EXP(FORECAST(LN(E398),INDEX(Attenuation!$K:$K,(INDEX(Cables!$AO:$AO,MATCH(G398,Cables!$A:$A,0))-1+MIN(MAX(IFERROR(MATCH(LN(E398),INDEX(Attenuation!$J:$J,INDEX(Cables!$AO:$AO,MATCH(G398,Cables!$A:$A,0))):INDEX(Attenuation!$J:$J,INDEX(Cables!$AO:$AO,MATCH(G398,Cables!$A:$A,0))+INDEX(Cables!$AP:$AP,MATCH(G398,Cables!$A:$A,0))-1),1),1),1),INDEX(Cables!$AP:$AP,MATCH(G398,Cables!$A:$A,0))-1))):INDEX(Attenuation!$K:$K,(INDEX(Cables!$AO:$AO,MATCH(G398,Cables!$A:$A,0))-1+MIN(MAX(IFERROR(MATCH(LN(E398),INDEX(Attenuation!$J:$J,INDEX(Cables!$AO:$AO,MATCH(G398,Cables!$A:$A,0))):INDEX(Attenuation!$J:$J,INDEX(Cables!$AO:$AO,MATCH(G398,Cables!$A:$A,0))+INDEX(Cables!$AP:$AP,MATCH(G398,Cables!$A:$A,0))-1),1),1),1),INDEX(Cables!$AP:$AP,MATCH(G398,Cables!$A:$A,0))-1))+1),INDEX(Attenuation!$J:$J,(INDEX(Cables!$AO:$AO,MATCH(G398,Cables!$A:$A,0))-1+MIN(MAX(IFERROR(MATCH(LN(E398),INDEX(Attenuation!$J:$J,INDEX(Cables!$AO:$AO,MATCH(G398,Cables!$A:$A,0))):INDEX(Attenuation!$J:$J,INDEX(Cables!$AO:$AO,MATCH(G398,Cables!$A:$A,0))+INDEX(Cables!$AP:$AP,MATCH(G398,Cables!$A:$A,0))-1),1),1),1),INDEX(Cables!$AP:$AP,MATCH(G398,Cables!$A:$A,0))-1))):INDEX(Attenuation!$J:$J,(INDEX(Cables!$AO:$AO,MATCH(G398,Cables!$A:$A,0))-1+MIN(MAX(IFERROR(MATCH(LN(E398),INDEX(Attenuation!$J:$J,INDEX(Cables!$AO:$AO,MATCH(G398,Cables!$A:$A,0))):INDEX(Attenuation!$J:$J,INDEX(Cables!$AO:$AO,MATCH(G398,Cables!$A:$A,0))+INDEX(Cables!$AP:$AP,MATCH(G398,Cables!$A:$A,0))-1),1),1),1),INDEX(Cables!$AP:$AP,MATCH(G398,Cables!$A:$A,0))-1))+1)))*0.3048)</f>
        <v>4.5531062734943006</v>
      </c>
      <c r="J398" s="44">
        <f t="shared" si="6"/>
        <v>0</v>
      </c>
      <c r="K398" s="40" t="str">
        <f>IF(G398="","Doğrulanmadı",IF(ABS(J398)&lt;=0.1,"Uyumlu (±%10)",IF(ABS(J398)&lt;=0.25,"Fark %10-25","Fark &gt;%25"))&amp;IF(OR(D398&lt;INDEX(Cables!$AQ:$AQ,MATCH(G398,Cables!$A:$A,0)),E398&gt;INDEX(Cables!$AR:$AR,MATCH(G398,Cables!$A:$A,0)))," · ekstrapolasyon",""))</f>
        <v>Uyumlu (±%10)</v>
      </c>
    </row>
    <row r="399" spans="1:11" x14ac:dyDescent="0.25">
      <c r="A399" s="37" t="s">
        <v>3095</v>
      </c>
      <c r="B399" s="40" t="str">
        <f>INDEX(Legacy_Index!$D:$D,MATCH(A399,Legacy_Index!$A:$A,0))</f>
        <v>RG59B/U</v>
      </c>
      <c r="C399" s="37" t="s">
        <v>3119</v>
      </c>
      <c r="D399" s="37">
        <v>220</v>
      </c>
      <c r="E399" s="37">
        <v>220</v>
      </c>
      <c r="F399" s="37">
        <v>5</v>
      </c>
      <c r="G399" s="40" t="str">
        <f>IF(INDEX(Legacy_Index!$G:$G,MATCH(A399,Legacy_Index!$A:$A,0))="","",INDEX(Legacy_Index!$G:$G,MATCH(A399,Legacy_Index!$A:$A,0)))</f>
        <v>BEL-8263</v>
      </c>
      <c r="H399" s="43">
        <f>IF(G399="","",EXP(FORECAST(LN(D399),INDEX(Attenuation!$K:$K,(INDEX(Cables!$AO:$AO,MATCH(G399,Cables!$A:$A,0))-1+MIN(MAX(IFERROR(MATCH(LN(D399),INDEX(Attenuation!$J:$J,INDEX(Cables!$AO:$AO,MATCH(G399,Cables!$A:$A,0))):INDEX(Attenuation!$J:$J,INDEX(Cables!$AO:$AO,MATCH(G399,Cables!$A:$A,0))+INDEX(Cables!$AP:$AP,MATCH(G399,Cables!$A:$A,0))-1),1),1),1),INDEX(Cables!$AP:$AP,MATCH(G399,Cables!$A:$A,0))-1))):INDEX(Attenuation!$K:$K,(INDEX(Cables!$AO:$AO,MATCH(G399,Cables!$A:$A,0))-1+MIN(MAX(IFERROR(MATCH(LN(D399),INDEX(Attenuation!$J:$J,INDEX(Cables!$AO:$AO,MATCH(G399,Cables!$A:$A,0))):INDEX(Attenuation!$J:$J,INDEX(Cables!$AO:$AO,MATCH(G399,Cables!$A:$A,0))+INDEX(Cables!$AP:$AP,MATCH(G399,Cables!$A:$A,0))-1),1),1),1),INDEX(Cables!$AP:$AP,MATCH(G399,Cables!$A:$A,0))-1))+1),INDEX(Attenuation!$J:$J,(INDEX(Cables!$AO:$AO,MATCH(G399,Cables!$A:$A,0))-1+MIN(MAX(IFERROR(MATCH(LN(D399),INDEX(Attenuation!$J:$J,INDEX(Cables!$AO:$AO,MATCH(G399,Cables!$A:$A,0))):INDEX(Attenuation!$J:$J,INDEX(Cables!$AO:$AO,MATCH(G399,Cables!$A:$A,0))+INDEX(Cables!$AP:$AP,MATCH(G399,Cables!$A:$A,0))-1),1),1),1),INDEX(Cables!$AP:$AP,MATCH(G399,Cables!$A:$A,0))-1))):INDEX(Attenuation!$J:$J,(INDEX(Cables!$AO:$AO,MATCH(G399,Cables!$A:$A,0))-1+MIN(MAX(IFERROR(MATCH(LN(D399),INDEX(Attenuation!$J:$J,INDEX(Cables!$AO:$AO,MATCH(G399,Cables!$A:$A,0))):INDEX(Attenuation!$J:$J,INDEX(Cables!$AO:$AO,MATCH(G399,Cables!$A:$A,0))+INDEX(Cables!$AP:$AP,MATCH(G399,Cables!$A:$A,0))-1),1),1),1),INDEX(Cables!$AP:$AP,MATCH(G399,Cables!$A:$A,0))-1))+1)))*0.3048)</f>
        <v>5.14630646825578</v>
      </c>
      <c r="I399" s="43">
        <f>IF(G399="","",EXP(FORECAST(LN(E399),INDEX(Attenuation!$K:$K,(INDEX(Cables!$AO:$AO,MATCH(G399,Cables!$A:$A,0))-1+MIN(MAX(IFERROR(MATCH(LN(E399),INDEX(Attenuation!$J:$J,INDEX(Cables!$AO:$AO,MATCH(G399,Cables!$A:$A,0))):INDEX(Attenuation!$J:$J,INDEX(Cables!$AO:$AO,MATCH(G399,Cables!$A:$A,0))+INDEX(Cables!$AP:$AP,MATCH(G399,Cables!$A:$A,0))-1),1),1),1),INDEX(Cables!$AP:$AP,MATCH(G399,Cables!$A:$A,0))-1))):INDEX(Attenuation!$K:$K,(INDEX(Cables!$AO:$AO,MATCH(G399,Cables!$A:$A,0))-1+MIN(MAX(IFERROR(MATCH(LN(E399),INDEX(Attenuation!$J:$J,INDEX(Cables!$AO:$AO,MATCH(G399,Cables!$A:$A,0))):INDEX(Attenuation!$J:$J,INDEX(Cables!$AO:$AO,MATCH(G399,Cables!$A:$A,0))+INDEX(Cables!$AP:$AP,MATCH(G399,Cables!$A:$A,0))-1),1),1),1),INDEX(Cables!$AP:$AP,MATCH(G399,Cables!$A:$A,0))-1))+1),INDEX(Attenuation!$J:$J,(INDEX(Cables!$AO:$AO,MATCH(G399,Cables!$A:$A,0))-1+MIN(MAX(IFERROR(MATCH(LN(E399),INDEX(Attenuation!$J:$J,INDEX(Cables!$AO:$AO,MATCH(G399,Cables!$A:$A,0))):INDEX(Attenuation!$J:$J,INDEX(Cables!$AO:$AO,MATCH(G399,Cables!$A:$A,0))+INDEX(Cables!$AP:$AP,MATCH(G399,Cables!$A:$A,0))-1),1),1),1),INDEX(Cables!$AP:$AP,MATCH(G399,Cables!$A:$A,0))-1))):INDEX(Attenuation!$J:$J,(INDEX(Cables!$AO:$AO,MATCH(G399,Cables!$A:$A,0))-1+MIN(MAX(IFERROR(MATCH(LN(E399),INDEX(Attenuation!$J:$J,INDEX(Cables!$AO:$AO,MATCH(G399,Cables!$A:$A,0))):INDEX(Attenuation!$J:$J,INDEX(Cables!$AO:$AO,MATCH(G399,Cables!$A:$A,0))+INDEX(Cables!$AP:$AP,MATCH(G399,Cables!$A:$A,0))-1),1),1),1),INDEX(Cables!$AP:$AP,MATCH(G399,Cables!$A:$A,0))-1))+1)))*0.3048)</f>
        <v>5.14630646825578</v>
      </c>
      <c r="J399" s="44">
        <f t="shared" si="6"/>
        <v>-2.8429412270382537E-2</v>
      </c>
      <c r="K399" s="40" t="str">
        <f>IF(G399="","Doğrulanmadı",IF(ABS(J399)&lt;=0.1,"Uyumlu (±%10)",IF(ABS(J399)&lt;=0.25,"Fark %10-25","Fark &gt;%25"))&amp;IF(OR(D399&lt;INDEX(Cables!$AQ:$AQ,MATCH(G399,Cables!$A:$A,0)),E399&gt;INDEX(Cables!$AR:$AR,MATCH(G399,Cables!$A:$A,0)))," · ekstrapolasyon",""))</f>
        <v>Uyumlu (±%10)</v>
      </c>
    </row>
    <row r="400" spans="1:11" x14ac:dyDescent="0.25">
      <c r="A400" s="37" t="s">
        <v>3095</v>
      </c>
      <c r="B400" s="40" t="str">
        <f>INDEX(Legacy_Index!$D:$D,MATCH(A400,Legacy_Index!$A:$A,0))</f>
        <v>RG59B/U</v>
      </c>
      <c r="C400" s="37" t="s">
        <v>3115</v>
      </c>
      <c r="D400" s="37">
        <v>400</v>
      </c>
      <c r="E400" s="37">
        <v>520</v>
      </c>
      <c r="F400" s="37">
        <v>9</v>
      </c>
      <c r="G400" s="40" t="str">
        <f>IF(INDEX(Legacy_Index!$G:$G,MATCH(A400,Legacy_Index!$A:$A,0))="","",INDEX(Legacy_Index!$G:$G,MATCH(A400,Legacy_Index!$A:$A,0)))</f>
        <v>BEL-8263</v>
      </c>
      <c r="H400" s="43">
        <f>IF(G400="","",EXP(FORECAST(LN(D400),INDEX(Attenuation!$K:$K,(INDEX(Cables!$AO:$AO,MATCH(G400,Cables!$A:$A,0))-1+MIN(MAX(IFERROR(MATCH(LN(D400),INDEX(Attenuation!$J:$J,INDEX(Cables!$AO:$AO,MATCH(G400,Cables!$A:$A,0))):INDEX(Attenuation!$J:$J,INDEX(Cables!$AO:$AO,MATCH(G400,Cables!$A:$A,0))+INDEX(Cables!$AP:$AP,MATCH(G400,Cables!$A:$A,0))-1),1),1),1),INDEX(Cables!$AP:$AP,MATCH(G400,Cables!$A:$A,0))-1))):INDEX(Attenuation!$K:$K,(INDEX(Cables!$AO:$AO,MATCH(G400,Cables!$A:$A,0))-1+MIN(MAX(IFERROR(MATCH(LN(D400),INDEX(Attenuation!$J:$J,INDEX(Cables!$AO:$AO,MATCH(G400,Cables!$A:$A,0))):INDEX(Attenuation!$J:$J,INDEX(Cables!$AO:$AO,MATCH(G400,Cables!$A:$A,0))+INDEX(Cables!$AP:$AP,MATCH(G400,Cables!$A:$A,0))-1),1),1),1),INDEX(Cables!$AP:$AP,MATCH(G400,Cables!$A:$A,0))-1))+1),INDEX(Attenuation!$J:$J,(INDEX(Cables!$AO:$AO,MATCH(G400,Cables!$A:$A,0))-1+MIN(MAX(IFERROR(MATCH(LN(D400),INDEX(Attenuation!$J:$J,INDEX(Cables!$AO:$AO,MATCH(G400,Cables!$A:$A,0))):INDEX(Attenuation!$J:$J,INDEX(Cables!$AO:$AO,MATCH(G400,Cables!$A:$A,0))+INDEX(Cables!$AP:$AP,MATCH(G400,Cables!$A:$A,0))-1),1),1),1),INDEX(Cables!$AP:$AP,MATCH(G400,Cables!$A:$A,0))-1))):INDEX(Attenuation!$J:$J,(INDEX(Cables!$AO:$AO,MATCH(G400,Cables!$A:$A,0))-1+MIN(MAX(IFERROR(MATCH(LN(D400),INDEX(Attenuation!$J:$J,INDEX(Cables!$AO:$AO,MATCH(G400,Cables!$A:$A,0))):INDEX(Attenuation!$J:$J,INDEX(Cables!$AO:$AO,MATCH(G400,Cables!$A:$A,0))+INDEX(Cables!$AP:$AP,MATCH(G400,Cables!$A:$A,0))-1),1),1),1),INDEX(Cables!$AP:$AP,MATCH(G400,Cables!$A:$A,0))-1))+1)))*0.3048)</f>
        <v>7.0000000000000009</v>
      </c>
      <c r="I400" s="43">
        <f>IF(G400="","",EXP(FORECAST(LN(E400),INDEX(Attenuation!$K:$K,(INDEX(Cables!$AO:$AO,MATCH(G400,Cables!$A:$A,0))-1+MIN(MAX(IFERROR(MATCH(LN(E400),INDEX(Attenuation!$J:$J,INDEX(Cables!$AO:$AO,MATCH(G400,Cables!$A:$A,0))):INDEX(Attenuation!$J:$J,INDEX(Cables!$AO:$AO,MATCH(G400,Cables!$A:$A,0))+INDEX(Cables!$AP:$AP,MATCH(G400,Cables!$A:$A,0))-1),1),1),1),INDEX(Cables!$AP:$AP,MATCH(G400,Cables!$A:$A,0))-1))):INDEX(Attenuation!$K:$K,(INDEX(Cables!$AO:$AO,MATCH(G400,Cables!$A:$A,0))-1+MIN(MAX(IFERROR(MATCH(LN(E400),INDEX(Attenuation!$J:$J,INDEX(Cables!$AO:$AO,MATCH(G400,Cables!$A:$A,0))):INDEX(Attenuation!$J:$J,INDEX(Cables!$AO:$AO,MATCH(G400,Cables!$A:$A,0))+INDEX(Cables!$AP:$AP,MATCH(G400,Cables!$A:$A,0))-1),1),1),1),INDEX(Cables!$AP:$AP,MATCH(G400,Cables!$A:$A,0))-1))+1),INDEX(Attenuation!$J:$J,(INDEX(Cables!$AO:$AO,MATCH(G400,Cables!$A:$A,0))-1+MIN(MAX(IFERROR(MATCH(LN(E400),INDEX(Attenuation!$J:$J,INDEX(Cables!$AO:$AO,MATCH(G400,Cables!$A:$A,0))):INDEX(Attenuation!$J:$J,INDEX(Cables!$AO:$AO,MATCH(G400,Cables!$A:$A,0))+INDEX(Cables!$AP:$AP,MATCH(G400,Cables!$A:$A,0))-1),1),1),1),INDEX(Cables!$AP:$AP,MATCH(G400,Cables!$A:$A,0))-1))):INDEX(Attenuation!$J:$J,(INDEX(Cables!$AO:$AO,MATCH(G400,Cables!$A:$A,0))-1+MIN(MAX(IFERROR(MATCH(LN(E400),INDEX(Attenuation!$J:$J,INDEX(Cables!$AO:$AO,MATCH(G400,Cables!$A:$A,0))):INDEX(Attenuation!$J:$J,INDEX(Cables!$AO:$AO,MATCH(G400,Cables!$A:$A,0))+INDEX(Cables!$AP:$AP,MATCH(G400,Cables!$A:$A,0))-1),1),1),1),INDEX(Cables!$AP:$AP,MATCH(G400,Cables!$A:$A,0))-1))+1)))*0.3048)</f>
        <v>8.1567812496920347</v>
      </c>
      <c r="J400" s="44">
        <f t="shared" si="6"/>
        <v>0.10337640847482588</v>
      </c>
      <c r="K400" s="40" t="str">
        <f>IF(G400="","Doğrulanmadı",IF(ABS(J400)&lt;=0.1,"Uyumlu (±%10)",IF(ABS(J400)&lt;=0.25,"Fark %10-25","Fark &gt;%25"))&amp;IF(OR(D400&lt;INDEX(Cables!$AQ:$AQ,MATCH(G400,Cables!$A:$A,0)),E400&gt;INDEX(Cables!$AR:$AR,MATCH(G400,Cables!$A:$A,0)))," · ekstrapolasyon",""))</f>
        <v>Fark %10-25</v>
      </c>
    </row>
    <row r="401" spans="1:11" x14ac:dyDescent="0.25">
      <c r="A401" s="37" t="s">
        <v>3095</v>
      </c>
      <c r="B401" s="40" t="str">
        <f>INDEX(Legacy_Index!$D:$D,MATCH(A401,Legacy_Index!$A:$A,0))</f>
        <v>RG59B/U</v>
      </c>
      <c r="C401" s="37" t="s">
        <v>3116</v>
      </c>
      <c r="D401" s="37">
        <v>700</v>
      </c>
      <c r="E401" s="37">
        <v>960</v>
      </c>
      <c r="F401" s="37">
        <v>11.1</v>
      </c>
      <c r="G401" s="40" t="str">
        <f>IF(INDEX(Legacy_Index!$G:$G,MATCH(A401,Legacy_Index!$A:$A,0))="","",INDEX(Legacy_Index!$G:$G,MATCH(A401,Legacy_Index!$A:$A,0)))</f>
        <v>BEL-8263</v>
      </c>
      <c r="H401" s="43">
        <f>IF(G401="","",EXP(FORECAST(LN(D401),INDEX(Attenuation!$K:$K,(INDEX(Cables!$AO:$AO,MATCH(G401,Cables!$A:$A,0))-1+MIN(MAX(IFERROR(MATCH(LN(D401),INDEX(Attenuation!$J:$J,INDEX(Cables!$AO:$AO,MATCH(G401,Cables!$A:$A,0))):INDEX(Attenuation!$J:$J,INDEX(Cables!$AO:$AO,MATCH(G401,Cables!$A:$A,0))+INDEX(Cables!$AP:$AP,MATCH(G401,Cables!$A:$A,0))-1),1),1),1),INDEX(Cables!$AP:$AP,MATCH(G401,Cables!$A:$A,0))-1))):INDEX(Attenuation!$K:$K,(INDEX(Cables!$AO:$AO,MATCH(G401,Cables!$A:$A,0))-1+MIN(MAX(IFERROR(MATCH(LN(D401),INDEX(Attenuation!$J:$J,INDEX(Cables!$AO:$AO,MATCH(G401,Cables!$A:$A,0))):INDEX(Attenuation!$J:$J,INDEX(Cables!$AO:$AO,MATCH(G401,Cables!$A:$A,0))+INDEX(Cables!$AP:$AP,MATCH(G401,Cables!$A:$A,0))-1),1),1),1),INDEX(Cables!$AP:$AP,MATCH(G401,Cables!$A:$A,0))-1))+1),INDEX(Attenuation!$J:$J,(INDEX(Cables!$AO:$AO,MATCH(G401,Cables!$A:$A,0))-1+MIN(MAX(IFERROR(MATCH(LN(D401),INDEX(Attenuation!$J:$J,INDEX(Cables!$AO:$AO,MATCH(G401,Cables!$A:$A,0))):INDEX(Attenuation!$J:$J,INDEX(Cables!$AO:$AO,MATCH(G401,Cables!$A:$A,0))+INDEX(Cables!$AP:$AP,MATCH(G401,Cables!$A:$A,0))-1),1),1),1),INDEX(Cables!$AP:$AP,MATCH(G401,Cables!$A:$A,0))-1))):INDEX(Attenuation!$J:$J,(INDEX(Cables!$AO:$AO,MATCH(G401,Cables!$A:$A,0))-1+MIN(MAX(IFERROR(MATCH(LN(D401),INDEX(Attenuation!$J:$J,INDEX(Cables!$AO:$AO,MATCH(G401,Cables!$A:$A,0))):INDEX(Attenuation!$J:$J,INDEX(Cables!$AO:$AO,MATCH(G401,Cables!$A:$A,0))+INDEX(Cables!$AP:$AP,MATCH(G401,Cables!$A:$A,0))-1),1),1),1),INDEX(Cables!$AP:$AP,MATCH(G401,Cables!$A:$A,0))-1))+1)))*0.3048)</f>
        <v>9.6999999999999975</v>
      </c>
      <c r="I401" s="43">
        <f>IF(G401="","",EXP(FORECAST(LN(E401),INDEX(Attenuation!$K:$K,(INDEX(Cables!$AO:$AO,MATCH(G401,Cables!$A:$A,0))-1+MIN(MAX(IFERROR(MATCH(LN(E401),INDEX(Attenuation!$J:$J,INDEX(Cables!$AO:$AO,MATCH(G401,Cables!$A:$A,0))):INDEX(Attenuation!$J:$J,INDEX(Cables!$AO:$AO,MATCH(G401,Cables!$A:$A,0))+INDEX(Cables!$AP:$AP,MATCH(G401,Cables!$A:$A,0))-1),1),1),1),INDEX(Cables!$AP:$AP,MATCH(G401,Cables!$A:$A,0))-1))):INDEX(Attenuation!$K:$K,(INDEX(Cables!$AO:$AO,MATCH(G401,Cables!$A:$A,0))-1+MIN(MAX(IFERROR(MATCH(LN(E401),INDEX(Attenuation!$J:$J,INDEX(Cables!$AO:$AO,MATCH(G401,Cables!$A:$A,0))):INDEX(Attenuation!$J:$J,INDEX(Cables!$AO:$AO,MATCH(G401,Cables!$A:$A,0))+INDEX(Cables!$AP:$AP,MATCH(G401,Cables!$A:$A,0))-1),1),1),1),INDEX(Cables!$AP:$AP,MATCH(G401,Cables!$A:$A,0))-1))+1),INDEX(Attenuation!$J:$J,(INDEX(Cables!$AO:$AO,MATCH(G401,Cables!$A:$A,0))-1+MIN(MAX(IFERROR(MATCH(LN(E401),INDEX(Attenuation!$J:$J,INDEX(Cables!$AO:$AO,MATCH(G401,Cables!$A:$A,0))):INDEX(Attenuation!$J:$J,INDEX(Cables!$AO:$AO,MATCH(G401,Cables!$A:$A,0))+INDEX(Cables!$AP:$AP,MATCH(G401,Cables!$A:$A,0))-1),1),1),1),INDEX(Cables!$AP:$AP,MATCH(G401,Cables!$A:$A,0))-1))):INDEX(Attenuation!$J:$J,(INDEX(Cables!$AO:$AO,MATCH(G401,Cables!$A:$A,0))-1+MIN(MAX(IFERROR(MATCH(LN(E401),INDEX(Attenuation!$J:$J,INDEX(Cables!$AO:$AO,MATCH(G401,Cables!$A:$A,0))):INDEX(Attenuation!$J:$J,INDEX(Cables!$AO:$AO,MATCH(G401,Cables!$A:$A,0))+INDEX(Cables!$AP:$AP,MATCH(G401,Cables!$A:$A,0))-1),1),1),1),INDEX(Cables!$AP:$AP,MATCH(G401,Cables!$A:$A,0))-1))+1)))*0.3048)</f>
        <v>11.642944848108364</v>
      </c>
      <c r="J401" s="44">
        <f t="shared" si="6"/>
        <v>0</v>
      </c>
      <c r="K401" s="40" t="str">
        <f>IF(G401="","Doğrulanmadı",IF(ABS(J401)&lt;=0.1,"Uyumlu (±%10)",IF(ABS(J401)&lt;=0.25,"Fark %10-25","Fark &gt;%25"))&amp;IF(OR(D401&lt;INDEX(Cables!$AQ:$AQ,MATCH(G401,Cables!$A:$A,0)),E401&gt;INDEX(Cables!$AR:$AR,MATCH(G401,Cables!$A:$A,0)))," · ekstrapolasyon",""))</f>
        <v>Uyumlu (±%10)</v>
      </c>
    </row>
    <row r="402" spans="1:11" x14ac:dyDescent="0.25">
      <c r="A402" s="37" t="s">
        <v>3095</v>
      </c>
      <c r="B402" s="40" t="str">
        <f>INDEX(Legacy_Index!$D:$D,MATCH(A402,Legacy_Index!$A:$A,0))</f>
        <v>RG59B/U</v>
      </c>
      <c r="C402" s="37" t="s">
        <v>3120</v>
      </c>
      <c r="D402" s="37">
        <v>1200</v>
      </c>
      <c r="E402" s="37">
        <v>1300</v>
      </c>
      <c r="F402" s="37">
        <v>12.2</v>
      </c>
      <c r="G402" s="40" t="str">
        <f>IF(INDEX(Legacy_Index!$G:$G,MATCH(A402,Legacy_Index!$A:$A,0))="","",INDEX(Legacy_Index!$G:$G,MATCH(A402,Legacy_Index!$A:$A,0)))</f>
        <v>BEL-8263</v>
      </c>
      <c r="H402" s="43">
        <f>IF(G402="","",EXP(FORECAST(LN(D402),INDEX(Attenuation!$K:$K,(INDEX(Cables!$AO:$AO,MATCH(G402,Cables!$A:$A,0))-1+MIN(MAX(IFERROR(MATCH(LN(D402),INDEX(Attenuation!$J:$J,INDEX(Cables!$AO:$AO,MATCH(G402,Cables!$A:$A,0))):INDEX(Attenuation!$J:$J,INDEX(Cables!$AO:$AO,MATCH(G402,Cables!$A:$A,0))+INDEX(Cables!$AP:$AP,MATCH(G402,Cables!$A:$A,0))-1),1),1),1),INDEX(Cables!$AP:$AP,MATCH(G402,Cables!$A:$A,0))-1))):INDEX(Attenuation!$K:$K,(INDEX(Cables!$AO:$AO,MATCH(G402,Cables!$A:$A,0))-1+MIN(MAX(IFERROR(MATCH(LN(D402),INDEX(Attenuation!$J:$J,INDEX(Cables!$AO:$AO,MATCH(G402,Cables!$A:$A,0))):INDEX(Attenuation!$J:$J,INDEX(Cables!$AO:$AO,MATCH(G402,Cables!$A:$A,0))+INDEX(Cables!$AP:$AP,MATCH(G402,Cables!$A:$A,0))-1),1),1),1),INDEX(Cables!$AP:$AP,MATCH(G402,Cables!$A:$A,0))-1))+1),INDEX(Attenuation!$J:$J,(INDEX(Cables!$AO:$AO,MATCH(G402,Cables!$A:$A,0))-1+MIN(MAX(IFERROR(MATCH(LN(D402),INDEX(Attenuation!$J:$J,INDEX(Cables!$AO:$AO,MATCH(G402,Cables!$A:$A,0))):INDEX(Attenuation!$J:$J,INDEX(Cables!$AO:$AO,MATCH(G402,Cables!$A:$A,0))+INDEX(Cables!$AP:$AP,MATCH(G402,Cables!$A:$A,0))-1),1),1),1),INDEX(Cables!$AP:$AP,MATCH(G402,Cables!$A:$A,0))-1))):INDEX(Attenuation!$J:$J,(INDEX(Cables!$AO:$AO,MATCH(G402,Cables!$A:$A,0))-1+MIN(MAX(IFERROR(MATCH(LN(D402),INDEX(Attenuation!$J:$J,INDEX(Cables!$AO:$AO,MATCH(G402,Cables!$A:$A,0))):INDEX(Attenuation!$J:$J,INDEX(Cables!$AO:$AO,MATCH(G402,Cables!$A:$A,0))+INDEX(Cables!$AP:$AP,MATCH(G402,Cables!$A:$A,0))-1),1),1),1),INDEX(Cables!$AP:$AP,MATCH(G402,Cables!$A:$A,0))-1))+1)))*0.3048)</f>
        <v>13.73319004521956</v>
      </c>
      <c r="I402" s="43">
        <f>IF(G402="","",EXP(FORECAST(LN(E402),INDEX(Attenuation!$K:$K,(INDEX(Cables!$AO:$AO,MATCH(G402,Cables!$A:$A,0))-1+MIN(MAX(IFERROR(MATCH(LN(E402),INDEX(Attenuation!$J:$J,INDEX(Cables!$AO:$AO,MATCH(G402,Cables!$A:$A,0))):INDEX(Attenuation!$J:$J,INDEX(Cables!$AO:$AO,MATCH(G402,Cables!$A:$A,0))+INDEX(Cables!$AP:$AP,MATCH(G402,Cables!$A:$A,0))-1),1),1),1),INDEX(Cables!$AP:$AP,MATCH(G402,Cables!$A:$A,0))-1))):INDEX(Attenuation!$K:$K,(INDEX(Cables!$AO:$AO,MATCH(G402,Cables!$A:$A,0))-1+MIN(MAX(IFERROR(MATCH(LN(E402),INDEX(Attenuation!$J:$J,INDEX(Cables!$AO:$AO,MATCH(G402,Cables!$A:$A,0))):INDEX(Attenuation!$J:$J,INDEX(Cables!$AO:$AO,MATCH(G402,Cables!$A:$A,0))+INDEX(Cables!$AP:$AP,MATCH(G402,Cables!$A:$A,0))-1),1),1),1),INDEX(Cables!$AP:$AP,MATCH(G402,Cables!$A:$A,0))-1))+1),INDEX(Attenuation!$J:$J,(INDEX(Cables!$AO:$AO,MATCH(G402,Cables!$A:$A,0))-1+MIN(MAX(IFERROR(MATCH(LN(E402),INDEX(Attenuation!$J:$J,INDEX(Cables!$AO:$AO,MATCH(G402,Cables!$A:$A,0))):INDEX(Attenuation!$J:$J,INDEX(Cables!$AO:$AO,MATCH(G402,Cables!$A:$A,0))+INDEX(Cables!$AP:$AP,MATCH(G402,Cables!$A:$A,0))-1),1),1),1),INDEX(Cables!$AP:$AP,MATCH(G402,Cables!$A:$A,0))-1))):INDEX(Attenuation!$J:$J,(INDEX(Cables!$AO:$AO,MATCH(G402,Cables!$A:$A,0))-1+MIN(MAX(IFERROR(MATCH(LN(E402),INDEX(Attenuation!$J:$J,INDEX(Cables!$AO:$AO,MATCH(G402,Cables!$A:$A,0))):INDEX(Attenuation!$J:$J,INDEX(Cables!$AO:$AO,MATCH(G402,Cables!$A:$A,0))+INDEX(Cables!$AP:$AP,MATCH(G402,Cables!$A:$A,0))-1),1),1),1),INDEX(Cables!$AP:$AP,MATCH(G402,Cables!$A:$A,0))-1))+1)))*0.3048)</f>
        <v>14.571144322769676</v>
      </c>
      <c r="J402" s="44">
        <f t="shared" si="6"/>
        <v>-0.11164121665623161</v>
      </c>
      <c r="K402" s="40" t="str">
        <f>IF(G402="","Doğrulanmadı",IF(ABS(J402)&lt;=0.1,"Uyumlu (±%10)",IF(ABS(J402)&lt;=0.25,"Fark %10-25","Fark &gt;%25"))&amp;IF(OR(D402&lt;INDEX(Cables!$AQ:$AQ,MATCH(G402,Cables!$A:$A,0)),E402&gt;INDEX(Cables!$AR:$AR,MATCH(G402,Cables!$A:$A,0)))," · ekstrapolasyon",""))</f>
        <v>Fark %10-25 · ekstrapolasyon</v>
      </c>
    </row>
    <row r="403" spans="1:11" x14ac:dyDescent="0.25">
      <c r="A403" s="37" t="s">
        <v>3097</v>
      </c>
      <c r="B403" s="40" t="str">
        <f>INDEX(Legacy_Index!$D:$D,MATCH(A403,Legacy_Index!$A:$A,0))</f>
        <v>RG6 *75</v>
      </c>
      <c r="C403" s="37" t="s">
        <v>3117</v>
      </c>
      <c r="D403" s="37">
        <v>1</v>
      </c>
      <c r="E403" s="37">
        <v>10</v>
      </c>
      <c r="F403" s="37">
        <v>1.45</v>
      </c>
      <c r="G403" s="40" t="str">
        <f>IF(INDEX(Legacy_Index!$G:$G,MATCH(A403,Legacy_Index!$A:$A,0))="","",INDEX(Legacy_Index!$G:$G,MATCH(A403,Legacy_Index!$A:$A,0)))</f>
        <v>BEL-1694A</v>
      </c>
      <c r="H403" s="43">
        <f>IF(G403="","",EXP(FORECAST(LN(D403),INDEX(Attenuation!$K:$K,(INDEX(Cables!$AO:$AO,MATCH(G403,Cables!$A:$A,0))-1+MIN(MAX(IFERROR(MATCH(LN(D403),INDEX(Attenuation!$J:$J,INDEX(Cables!$AO:$AO,MATCH(G403,Cables!$A:$A,0))):INDEX(Attenuation!$J:$J,INDEX(Cables!$AO:$AO,MATCH(G403,Cables!$A:$A,0))+INDEX(Cables!$AP:$AP,MATCH(G403,Cables!$A:$A,0))-1),1),1),1),INDEX(Cables!$AP:$AP,MATCH(G403,Cables!$A:$A,0))-1))):INDEX(Attenuation!$K:$K,(INDEX(Cables!$AO:$AO,MATCH(G403,Cables!$A:$A,0))-1+MIN(MAX(IFERROR(MATCH(LN(D403),INDEX(Attenuation!$J:$J,INDEX(Cables!$AO:$AO,MATCH(G403,Cables!$A:$A,0))):INDEX(Attenuation!$J:$J,INDEX(Cables!$AO:$AO,MATCH(G403,Cables!$A:$A,0))+INDEX(Cables!$AP:$AP,MATCH(G403,Cables!$A:$A,0))-1),1),1),1),INDEX(Cables!$AP:$AP,MATCH(G403,Cables!$A:$A,0))-1))+1),INDEX(Attenuation!$J:$J,(INDEX(Cables!$AO:$AO,MATCH(G403,Cables!$A:$A,0))-1+MIN(MAX(IFERROR(MATCH(LN(D403),INDEX(Attenuation!$J:$J,INDEX(Cables!$AO:$AO,MATCH(G403,Cables!$A:$A,0))):INDEX(Attenuation!$J:$J,INDEX(Cables!$AO:$AO,MATCH(G403,Cables!$A:$A,0))+INDEX(Cables!$AP:$AP,MATCH(G403,Cables!$A:$A,0))-1),1),1),1),INDEX(Cables!$AP:$AP,MATCH(G403,Cables!$A:$A,0))-1))):INDEX(Attenuation!$J:$J,(INDEX(Cables!$AO:$AO,MATCH(G403,Cables!$A:$A,0))-1+MIN(MAX(IFERROR(MATCH(LN(D403),INDEX(Attenuation!$J:$J,INDEX(Cables!$AO:$AO,MATCH(G403,Cables!$A:$A,0))):INDEX(Attenuation!$J:$J,INDEX(Cables!$AO:$AO,MATCH(G403,Cables!$A:$A,0))+INDEX(Cables!$AP:$AP,MATCH(G403,Cables!$A:$A,0))-1),1),1),1),INDEX(Cables!$AP:$AP,MATCH(G403,Cables!$A:$A,0))-1))+1)))*0.3048)</f>
        <v>0.24</v>
      </c>
      <c r="I403" s="43">
        <f>IF(G403="","",EXP(FORECAST(LN(E403),INDEX(Attenuation!$K:$K,(INDEX(Cables!$AO:$AO,MATCH(G403,Cables!$A:$A,0))-1+MIN(MAX(IFERROR(MATCH(LN(E403),INDEX(Attenuation!$J:$J,INDEX(Cables!$AO:$AO,MATCH(G403,Cables!$A:$A,0))):INDEX(Attenuation!$J:$J,INDEX(Cables!$AO:$AO,MATCH(G403,Cables!$A:$A,0))+INDEX(Cables!$AP:$AP,MATCH(G403,Cables!$A:$A,0))-1),1),1),1),INDEX(Cables!$AP:$AP,MATCH(G403,Cables!$A:$A,0))-1))):INDEX(Attenuation!$K:$K,(INDEX(Cables!$AO:$AO,MATCH(G403,Cables!$A:$A,0))-1+MIN(MAX(IFERROR(MATCH(LN(E403),INDEX(Attenuation!$J:$J,INDEX(Cables!$AO:$AO,MATCH(G403,Cables!$A:$A,0))):INDEX(Attenuation!$J:$J,INDEX(Cables!$AO:$AO,MATCH(G403,Cables!$A:$A,0))+INDEX(Cables!$AP:$AP,MATCH(G403,Cables!$A:$A,0))-1),1),1),1),INDEX(Cables!$AP:$AP,MATCH(G403,Cables!$A:$A,0))-1))+1),INDEX(Attenuation!$J:$J,(INDEX(Cables!$AO:$AO,MATCH(G403,Cables!$A:$A,0))-1+MIN(MAX(IFERROR(MATCH(LN(E403),INDEX(Attenuation!$J:$J,INDEX(Cables!$AO:$AO,MATCH(G403,Cables!$A:$A,0))):INDEX(Attenuation!$J:$J,INDEX(Cables!$AO:$AO,MATCH(G403,Cables!$A:$A,0))+INDEX(Cables!$AP:$AP,MATCH(G403,Cables!$A:$A,0))-1),1),1),1),INDEX(Cables!$AP:$AP,MATCH(G403,Cables!$A:$A,0))-1))):INDEX(Attenuation!$J:$J,(INDEX(Cables!$AO:$AO,MATCH(G403,Cables!$A:$A,0))-1+MIN(MAX(IFERROR(MATCH(LN(E403),INDEX(Attenuation!$J:$J,INDEX(Cables!$AO:$AO,MATCH(G403,Cables!$A:$A,0))):INDEX(Attenuation!$J:$J,INDEX(Cables!$AO:$AO,MATCH(G403,Cables!$A:$A,0))+INDEX(Cables!$AP:$AP,MATCH(G403,Cables!$A:$A,0))-1),1),1),1),INDEX(Cables!$AP:$AP,MATCH(G403,Cables!$A:$A,0))-1))+1)))*0.3048)</f>
        <v>0.71000000000000008</v>
      </c>
      <c r="J403" s="44">
        <f t="shared" si="6"/>
        <v>1.0422535211267601</v>
      </c>
      <c r="K403" s="40" t="str">
        <f>IF(G403="","Doğrulanmadı",IF(ABS(J403)&lt;=0.1,"Uyumlu (±%10)",IF(ABS(J403)&lt;=0.25,"Fark %10-25","Fark &gt;%25"))&amp;IF(OR(D403&lt;INDEX(Cables!$AQ:$AQ,MATCH(G403,Cables!$A:$A,0)),E403&gt;INDEX(Cables!$AR:$AR,MATCH(G403,Cables!$A:$A,0)))," · ekstrapolasyon",""))</f>
        <v>Fark &gt;%25</v>
      </c>
    </row>
    <row r="404" spans="1:11" x14ac:dyDescent="0.25">
      <c r="A404" s="37" t="s">
        <v>3097</v>
      </c>
      <c r="B404" s="40" t="str">
        <f>INDEX(Legacy_Index!$D:$D,MATCH(A404,Legacy_Index!$A:$A,0))</f>
        <v>RG6 *75</v>
      </c>
      <c r="C404" s="37" t="s">
        <v>3118</v>
      </c>
      <c r="D404" s="37">
        <v>30</v>
      </c>
      <c r="E404" s="37">
        <v>50</v>
      </c>
      <c r="F404" s="37">
        <v>1.4</v>
      </c>
      <c r="G404" s="40" t="str">
        <f>IF(INDEX(Legacy_Index!$G:$G,MATCH(A404,Legacy_Index!$A:$A,0))="","",INDEX(Legacy_Index!$G:$G,MATCH(A404,Legacy_Index!$A:$A,0)))</f>
        <v>BEL-1694A</v>
      </c>
      <c r="H404" s="43">
        <f>IF(G404="","",EXP(FORECAST(LN(D404),INDEX(Attenuation!$K:$K,(INDEX(Cables!$AO:$AO,MATCH(G404,Cables!$A:$A,0))-1+MIN(MAX(IFERROR(MATCH(LN(D404),INDEX(Attenuation!$J:$J,INDEX(Cables!$AO:$AO,MATCH(G404,Cables!$A:$A,0))):INDEX(Attenuation!$J:$J,INDEX(Cables!$AO:$AO,MATCH(G404,Cables!$A:$A,0))+INDEX(Cables!$AP:$AP,MATCH(G404,Cables!$A:$A,0))-1),1),1),1),INDEX(Cables!$AP:$AP,MATCH(G404,Cables!$A:$A,0))-1))):INDEX(Attenuation!$K:$K,(INDEX(Cables!$AO:$AO,MATCH(G404,Cables!$A:$A,0))-1+MIN(MAX(IFERROR(MATCH(LN(D404),INDEX(Attenuation!$J:$J,INDEX(Cables!$AO:$AO,MATCH(G404,Cables!$A:$A,0))):INDEX(Attenuation!$J:$J,INDEX(Cables!$AO:$AO,MATCH(G404,Cables!$A:$A,0))+INDEX(Cables!$AP:$AP,MATCH(G404,Cables!$A:$A,0))-1),1),1),1),INDEX(Cables!$AP:$AP,MATCH(G404,Cables!$A:$A,0))-1))+1),INDEX(Attenuation!$J:$J,(INDEX(Cables!$AO:$AO,MATCH(G404,Cables!$A:$A,0))-1+MIN(MAX(IFERROR(MATCH(LN(D404),INDEX(Attenuation!$J:$J,INDEX(Cables!$AO:$AO,MATCH(G404,Cables!$A:$A,0))):INDEX(Attenuation!$J:$J,INDEX(Cables!$AO:$AO,MATCH(G404,Cables!$A:$A,0))+INDEX(Cables!$AP:$AP,MATCH(G404,Cables!$A:$A,0))-1),1),1),1),INDEX(Cables!$AP:$AP,MATCH(G404,Cables!$A:$A,0))-1))):INDEX(Attenuation!$J:$J,(INDEX(Cables!$AO:$AO,MATCH(G404,Cables!$A:$A,0))-1+MIN(MAX(IFERROR(MATCH(LN(D404),INDEX(Attenuation!$J:$J,INDEX(Cables!$AO:$AO,MATCH(G404,Cables!$A:$A,0))):INDEX(Attenuation!$J:$J,INDEX(Cables!$AO:$AO,MATCH(G404,Cables!$A:$A,0))+INDEX(Cables!$AP:$AP,MATCH(G404,Cables!$A:$A,0))-1),1),1),1),INDEX(Cables!$AP:$AP,MATCH(G404,Cables!$A:$A,0))-1))+1)))*0.3048)</f>
        <v>1.1673736660867098</v>
      </c>
      <c r="I404" s="43">
        <f>IF(G404="","",EXP(FORECAST(LN(E404),INDEX(Attenuation!$K:$K,(INDEX(Cables!$AO:$AO,MATCH(G404,Cables!$A:$A,0))-1+MIN(MAX(IFERROR(MATCH(LN(E404),INDEX(Attenuation!$J:$J,INDEX(Cables!$AO:$AO,MATCH(G404,Cables!$A:$A,0))):INDEX(Attenuation!$J:$J,INDEX(Cables!$AO:$AO,MATCH(G404,Cables!$A:$A,0))+INDEX(Cables!$AP:$AP,MATCH(G404,Cables!$A:$A,0))-1),1),1),1),INDEX(Cables!$AP:$AP,MATCH(G404,Cables!$A:$A,0))-1))):INDEX(Attenuation!$K:$K,(INDEX(Cables!$AO:$AO,MATCH(G404,Cables!$A:$A,0))-1+MIN(MAX(IFERROR(MATCH(LN(E404),INDEX(Attenuation!$J:$J,INDEX(Cables!$AO:$AO,MATCH(G404,Cables!$A:$A,0))):INDEX(Attenuation!$J:$J,INDEX(Cables!$AO:$AO,MATCH(G404,Cables!$A:$A,0))+INDEX(Cables!$AP:$AP,MATCH(G404,Cables!$A:$A,0))-1),1),1),1),INDEX(Cables!$AP:$AP,MATCH(G404,Cables!$A:$A,0))-1))+1),INDEX(Attenuation!$J:$J,(INDEX(Cables!$AO:$AO,MATCH(G404,Cables!$A:$A,0))-1+MIN(MAX(IFERROR(MATCH(LN(E404),INDEX(Attenuation!$J:$J,INDEX(Cables!$AO:$AO,MATCH(G404,Cables!$A:$A,0))):INDEX(Attenuation!$J:$J,INDEX(Cables!$AO:$AO,MATCH(G404,Cables!$A:$A,0))+INDEX(Cables!$AP:$AP,MATCH(G404,Cables!$A:$A,0))-1),1),1),1),INDEX(Cables!$AP:$AP,MATCH(G404,Cables!$A:$A,0))-1))):INDEX(Attenuation!$J:$J,(INDEX(Cables!$AO:$AO,MATCH(G404,Cables!$A:$A,0))-1+MIN(MAX(IFERROR(MATCH(LN(E404),INDEX(Attenuation!$J:$J,INDEX(Cables!$AO:$AO,MATCH(G404,Cables!$A:$A,0))):INDEX(Attenuation!$J:$J,INDEX(Cables!$AO:$AO,MATCH(G404,Cables!$A:$A,0))+INDEX(Cables!$AP:$AP,MATCH(G404,Cables!$A:$A,0))-1),1),1),1),INDEX(Cables!$AP:$AP,MATCH(G404,Cables!$A:$A,0))-1))+1)))*0.3048)</f>
        <v>1.4516815253919515</v>
      </c>
      <c r="J404" s="44">
        <f t="shared" si="6"/>
        <v>0</v>
      </c>
      <c r="K404" s="40" t="str">
        <f>IF(G404="","Doğrulanmadı",IF(ABS(J404)&lt;=0.1,"Uyumlu (±%10)",IF(ABS(J404)&lt;=0.25,"Fark %10-25","Fark &gt;%25"))&amp;IF(OR(D404&lt;INDEX(Cables!$AQ:$AQ,MATCH(G404,Cables!$A:$A,0)),E404&gt;INDEX(Cables!$AR:$AR,MATCH(G404,Cables!$A:$A,0)))," · ekstrapolasyon",""))</f>
        <v>Uyumlu (±%10)</v>
      </c>
    </row>
    <row r="405" spans="1:11" x14ac:dyDescent="0.25">
      <c r="A405" s="37" t="s">
        <v>3097</v>
      </c>
      <c r="B405" s="40" t="str">
        <f>INDEX(Legacy_Index!$D:$D,MATCH(A405,Legacy_Index!$A:$A,0))</f>
        <v>RG6 *75</v>
      </c>
      <c r="C405" s="37" t="s">
        <v>3113</v>
      </c>
      <c r="D405" s="37">
        <v>70</v>
      </c>
      <c r="E405" s="37">
        <v>100</v>
      </c>
      <c r="F405" s="37">
        <v>1.9</v>
      </c>
      <c r="G405" s="40" t="str">
        <f>IF(INDEX(Legacy_Index!$G:$G,MATCH(A405,Legacy_Index!$A:$A,0))="","",INDEX(Legacy_Index!$G:$G,MATCH(A405,Legacy_Index!$A:$A,0)))</f>
        <v>BEL-1694A</v>
      </c>
      <c r="H405" s="43">
        <f>IF(G405="","",EXP(FORECAST(LN(D405),INDEX(Attenuation!$K:$K,(INDEX(Cables!$AO:$AO,MATCH(G405,Cables!$A:$A,0))-1+MIN(MAX(IFERROR(MATCH(LN(D405),INDEX(Attenuation!$J:$J,INDEX(Cables!$AO:$AO,MATCH(G405,Cables!$A:$A,0))):INDEX(Attenuation!$J:$J,INDEX(Cables!$AO:$AO,MATCH(G405,Cables!$A:$A,0))+INDEX(Cables!$AP:$AP,MATCH(G405,Cables!$A:$A,0))-1),1),1),1),INDEX(Cables!$AP:$AP,MATCH(G405,Cables!$A:$A,0))-1))):INDEX(Attenuation!$K:$K,(INDEX(Cables!$AO:$AO,MATCH(G405,Cables!$A:$A,0))-1+MIN(MAX(IFERROR(MATCH(LN(D405),INDEX(Attenuation!$J:$J,INDEX(Cables!$AO:$AO,MATCH(G405,Cables!$A:$A,0))):INDEX(Attenuation!$J:$J,INDEX(Cables!$AO:$AO,MATCH(G405,Cables!$A:$A,0))+INDEX(Cables!$AP:$AP,MATCH(G405,Cables!$A:$A,0))-1),1),1),1),INDEX(Cables!$AP:$AP,MATCH(G405,Cables!$A:$A,0))-1))+1),INDEX(Attenuation!$J:$J,(INDEX(Cables!$AO:$AO,MATCH(G405,Cables!$A:$A,0))-1+MIN(MAX(IFERROR(MATCH(LN(D405),INDEX(Attenuation!$J:$J,INDEX(Cables!$AO:$AO,MATCH(G405,Cables!$A:$A,0))):INDEX(Attenuation!$J:$J,INDEX(Cables!$AO:$AO,MATCH(G405,Cables!$A:$A,0))+INDEX(Cables!$AP:$AP,MATCH(G405,Cables!$A:$A,0))-1),1),1),1),INDEX(Cables!$AP:$AP,MATCH(G405,Cables!$A:$A,0))-1))):INDEX(Attenuation!$J:$J,(INDEX(Cables!$AO:$AO,MATCH(G405,Cables!$A:$A,0))-1+MIN(MAX(IFERROR(MATCH(LN(D405),INDEX(Attenuation!$J:$J,INDEX(Cables!$AO:$AO,MATCH(G405,Cables!$A:$A,0))):INDEX(Attenuation!$J:$J,INDEX(Cables!$AO:$AO,MATCH(G405,Cables!$A:$A,0))+INDEX(Cables!$AP:$AP,MATCH(G405,Cables!$A:$A,0))-1),1),1),1),INDEX(Cables!$AP:$AP,MATCH(G405,Cables!$A:$A,0))-1))+1)))*0.3048)</f>
        <v>1.6751569629873224</v>
      </c>
      <c r="I405" s="43">
        <f>IF(G405="","",EXP(FORECAST(LN(E405),INDEX(Attenuation!$K:$K,(INDEX(Cables!$AO:$AO,MATCH(G405,Cables!$A:$A,0))-1+MIN(MAX(IFERROR(MATCH(LN(E405),INDEX(Attenuation!$J:$J,INDEX(Cables!$AO:$AO,MATCH(G405,Cables!$A:$A,0))):INDEX(Attenuation!$J:$J,INDEX(Cables!$AO:$AO,MATCH(G405,Cables!$A:$A,0))+INDEX(Cables!$AP:$AP,MATCH(G405,Cables!$A:$A,0))-1),1),1),1),INDEX(Cables!$AP:$AP,MATCH(G405,Cables!$A:$A,0))-1))):INDEX(Attenuation!$K:$K,(INDEX(Cables!$AO:$AO,MATCH(G405,Cables!$A:$A,0))-1+MIN(MAX(IFERROR(MATCH(LN(E405),INDEX(Attenuation!$J:$J,INDEX(Cables!$AO:$AO,MATCH(G405,Cables!$A:$A,0))):INDEX(Attenuation!$J:$J,INDEX(Cables!$AO:$AO,MATCH(G405,Cables!$A:$A,0))+INDEX(Cables!$AP:$AP,MATCH(G405,Cables!$A:$A,0))-1),1),1),1),INDEX(Cables!$AP:$AP,MATCH(G405,Cables!$A:$A,0))-1))+1),INDEX(Attenuation!$J:$J,(INDEX(Cables!$AO:$AO,MATCH(G405,Cables!$A:$A,0))-1+MIN(MAX(IFERROR(MATCH(LN(E405),INDEX(Attenuation!$J:$J,INDEX(Cables!$AO:$AO,MATCH(G405,Cables!$A:$A,0))):INDEX(Attenuation!$J:$J,INDEX(Cables!$AO:$AO,MATCH(G405,Cables!$A:$A,0))+INDEX(Cables!$AP:$AP,MATCH(G405,Cables!$A:$A,0))-1),1),1),1),INDEX(Cables!$AP:$AP,MATCH(G405,Cables!$A:$A,0))-1))):INDEX(Attenuation!$J:$J,(INDEX(Cables!$AO:$AO,MATCH(G405,Cables!$A:$A,0))-1+MIN(MAX(IFERROR(MATCH(LN(E405),INDEX(Attenuation!$J:$J,INDEX(Cables!$AO:$AO,MATCH(G405,Cables!$A:$A,0))):INDEX(Attenuation!$J:$J,INDEX(Cables!$AO:$AO,MATCH(G405,Cables!$A:$A,0))+INDEX(Cables!$AP:$AP,MATCH(G405,Cables!$A:$A,0))-1),1),1),1),INDEX(Cables!$AP:$AP,MATCH(G405,Cables!$A:$A,0))-1))+1)))*0.3048)</f>
        <v>1.9499999999999995</v>
      </c>
      <c r="J405" s="44">
        <f t="shared" si="6"/>
        <v>0</v>
      </c>
      <c r="K405" s="40" t="str">
        <f>IF(G405="","Doğrulanmadı",IF(ABS(J405)&lt;=0.1,"Uyumlu (±%10)",IF(ABS(J405)&lt;=0.25,"Fark %10-25","Fark &gt;%25"))&amp;IF(OR(D405&lt;INDEX(Cables!$AQ:$AQ,MATCH(G405,Cables!$A:$A,0)),E405&gt;INDEX(Cables!$AR:$AR,MATCH(G405,Cables!$A:$A,0)))," · ekstrapolasyon",""))</f>
        <v>Uyumlu (±%10)</v>
      </c>
    </row>
    <row r="406" spans="1:11" x14ac:dyDescent="0.25">
      <c r="A406" s="37" t="s">
        <v>3097</v>
      </c>
      <c r="B406" s="40" t="str">
        <f>INDEX(Legacy_Index!$D:$D,MATCH(A406,Legacy_Index!$A:$A,0))</f>
        <v>RG6 *75</v>
      </c>
      <c r="C406" s="37" t="s">
        <v>3114</v>
      </c>
      <c r="D406" s="37">
        <v>148</v>
      </c>
      <c r="E406" s="37">
        <v>174</v>
      </c>
      <c r="F406" s="37">
        <v>2.5</v>
      </c>
      <c r="G406" s="40" t="str">
        <f>IF(INDEX(Legacy_Index!$G:$G,MATCH(A406,Legacy_Index!$A:$A,0))="","",INDEX(Legacy_Index!$G:$G,MATCH(A406,Legacy_Index!$A:$A,0)))</f>
        <v>BEL-1694A</v>
      </c>
      <c r="H406" s="43">
        <f>IF(G406="","",EXP(FORECAST(LN(D406),INDEX(Attenuation!$K:$K,(INDEX(Cables!$AO:$AO,MATCH(G406,Cables!$A:$A,0))-1+MIN(MAX(IFERROR(MATCH(LN(D406),INDEX(Attenuation!$J:$J,INDEX(Cables!$AO:$AO,MATCH(G406,Cables!$A:$A,0))):INDEX(Attenuation!$J:$J,INDEX(Cables!$AO:$AO,MATCH(G406,Cables!$A:$A,0))+INDEX(Cables!$AP:$AP,MATCH(G406,Cables!$A:$A,0))-1),1),1),1),INDEX(Cables!$AP:$AP,MATCH(G406,Cables!$A:$A,0))-1))):INDEX(Attenuation!$K:$K,(INDEX(Cables!$AO:$AO,MATCH(G406,Cables!$A:$A,0))-1+MIN(MAX(IFERROR(MATCH(LN(D406),INDEX(Attenuation!$J:$J,INDEX(Cables!$AO:$AO,MATCH(G406,Cables!$A:$A,0))):INDEX(Attenuation!$J:$J,INDEX(Cables!$AO:$AO,MATCH(G406,Cables!$A:$A,0))+INDEX(Cables!$AP:$AP,MATCH(G406,Cables!$A:$A,0))-1),1),1),1),INDEX(Cables!$AP:$AP,MATCH(G406,Cables!$A:$A,0))-1))+1),INDEX(Attenuation!$J:$J,(INDEX(Cables!$AO:$AO,MATCH(G406,Cables!$A:$A,0))-1+MIN(MAX(IFERROR(MATCH(LN(D406),INDEX(Attenuation!$J:$J,INDEX(Cables!$AO:$AO,MATCH(G406,Cables!$A:$A,0))):INDEX(Attenuation!$J:$J,INDEX(Cables!$AO:$AO,MATCH(G406,Cables!$A:$A,0))+INDEX(Cables!$AP:$AP,MATCH(G406,Cables!$A:$A,0))-1),1),1),1),INDEX(Cables!$AP:$AP,MATCH(G406,Cables!$A:$A,0))-1))):INDEX(Attenuation!$J:$J,(INDEX(Cables!$AO:$AO,MATCH(G406,Cables!$A:$A,0))-1+MIN(MAX(IFERROR(MATCH(LN(D406),INDEX(Attenuation!$J:$J,INDEX(Cables!$AO:$AO,MATCH(G406,Cables!$A:$A,0))):INDEX(Attenuation!$J:$J,INDEX(Cables!$AO:$AO,MATCH(G406,Cables!$A:$A,0))+INDEX(Cables!$AP:$AP,MATCH(G406,Cables!$A:$A,0))-1),1),1),1),INDEX(Cables!$AP:$AP,MATCH(G406,Cables!$A:$A,0))-1))+1)))*0.3048)</f>
        <v>2.3384461640390333</v>
      </c>
      <c r="I406" s="43">
        <f>IF(G406="","",EXP(FORECAST(LN(E406),INDEX(Attenuation!$K:$K,(INDEX(Cables!$AO:$AO,MATCH(G406,Cables!$A:$A,0))-1+MIN(MAX(IFERROR(MATCH(LN(E406),INDEX(Attenuation!$J:$J,INDEX(Cables!$AO:$AO,MATCH(G406,Cables!$A:$A,0))):INDEX(Attenuation!$J:$J,INDEX(Cables!$AO:$AO,MATCH(G406,Cables!$A:$A,0))+INDEX(Cables!$AP:$AP,MATCH(G406,Cables!$A:$A,0))-1),1),1),1),INDEX(Cables!$AP:$AP,MATCH(G406,Cables!$A:$A,0))-1))):INDEX(Attenuation!$K:$K,(INDEX(Cables!$AO:$AO,MATCH(G406,Cables!$A:$A,0))-1+MIN(MAX(IFERROR(MATCH(LN(E406),INDEX(Attenuation!$J:$J,INDEX(Cables!$AO:$AO,MATCH(G406,Cables!$A:$A,0))):INDEX(Attenuation!$J:$J,INDEX(Cables!$AO:$AO,MATCH(G406,Cables!$A:$A,0))+INDEX(Cables!$AP:$AP,MATCH(G406,Cables!$A:$A,0))-1),1),1),1),INDEX(Cables!$AP:$AP,MATCH(G406,Cables!$A:$A,0))-1))+1),INDEX(Attenuation!$J:$J,(INDEX(Cables!$AO:$AO,MATCH(G406,Cables!$A:$A,0))-1+MIN(MAX(IFERROR(MATCH(LN(E406),INDEX(Attenuation!$J:$J,INDEX(Cables!$AO:$AO,MATCH(G406,Cables!$A:$A,0))):INDEX(Attenuation!$J:$J,INDEX(Cables!$AO:$AO,MATCH(G406,Cables!$A:$A,0))+INDEX(Cables!$AP:$AP,MATCH(G406,Cables!$A:$A,0))-1),1),1),1),INDEX(Cables!$AP:$AP,MATCH(G406,Cables!$A:$A,0))-1))):INDEX(Attenuation!$J:$J,(INDEX(Cables!$AO:$AO,MATCH(G406,Cables!$A:$A,0))-1+MIN(MAX(IFERROR(MATCH(LN(E406),INDEX(Attenuation!$J:$J,INDEX(Cables!$AO:$AO,MATCH(G406,Cables!$A:$A,0))):INDEX(Attenuation!$J:$J,INDEX(Cables!$AO:$AO,MATCH(G406,Cables!$A:$A,0))+INDEX(Cables!$AP:$AP,MATCH(G406,Cables!$A:$A,0))-1),1),1),1),INDEX(Cables!$AP:$AP,MATCH(G406,Cables!$A:$A,0))-1))+1)))*0.3048)</f>
        <v>2.5283152434519494</v>
      </c>
      <c r="J406" s="44">
        <f t="shared" si="6"/>
        <v>0</v>
      </c>
      <c r="K406" s="40" t="str">
        <f>IF(G406="","Doğrulanmadı",IF(ABS(J406)&lt;=0.1,"Uyumlu (±%10)",IF(ABS(J406)&lt;=0.25,"Fark %10-25","Fark &gt;%25"))&amp;IF(OR(D406&lt;INDEX(Cables!$AQ:$AQ,MATCH(G406,Cables!$A:$A,0)),E406&gt;INDEX(Cables!$AR:$AR,MATCH(G406,Cables!$A:$A,0)))," · ekstrapolasyon",""))</f>
        <v>Uyumlu (±%10)</v>
      </c>
    </row>
    <row r="407" spans="1:11" x14ac:dyDescent="0.25">
      <c r="A407" s="37" t="s">
        <v>3097</v>
      </c>
      <c r="B407" s="40" t="str">
        <f>INDEX(Legacy_Index!$D:$D,MATCH(A407,Legacy_Index!$A:$A,0))</f>
        <v>RG6 *75</v>
      </c>
      <c r="C407" s="37" t="s">
        <v>3119</v>
      </c>
      <c r="D407" s="37">
        <v>220</v>
      </c>
      <c r="E407" s="37">
        <v>220</v>
      </c>
      <c r="F407" s="37">
        <v>2.9</v>
      </c>
      <c r="G407" s="40" t="str">
        <f>IF(INDEX(Legacy_Index!$G:$G,MATCH(A407,Legacy_Index!$A:$A,0))="","",INDEX(Legacy_Index!$G:$G,MATCH(A407,Legacy_Index!$A:$A,0)))</f>
        <v>BEL-1694A</v>
      </c>
      <c r="H407" s="43">
        <f>IF(G407="","",EXP(FORECAST(LN(D407),INDEX(Attenuation!$K:$K,(INDEX(Cables!$AO:$AO,MATCH(G407,Cables!$A:$A,0))-1+MIN(MAX(IFERROR(MATCH(LN(D407),INDEX(Attenuation!$J:$J,INDEX(Cables!$AO:$AO,MATCH(G407,Cables!$A:$A,0))):INDEX(Attenuation!$J:$J,INDEX(Cables!$AO:$AO,MATCH(G407,Cables!$A:$A,0))+INDEX(Cables!$AP:$AP,MATCH(G407,Cables!$A:$A,0))-1),1),1),1),INDEX(Cables!$AP:$AP,MATCH(G407,Cables!$A:$A,0))-1))):INDEX(Attenuation!$K:$K,(INDEX(Cables!$AO:$AO,MATCH(G407,Cables!$A:$A,0))-1+MIN(MAX(IFERROR(MATCH(LN(D407),INDEX(Attenuation!$J:$J,INDEX(Cables!$AO:$AO,MATCH(G407,Cables!$A:$A,0))):INDEX(Attenuation!$J:$J,INDEX(Cables!$AO:$AO,MATCH(G407,Cables!$A:$A,0))+INDEX(Cables!$AP:$AP,MATCH(G407,Cables!$A:$A,0))-1),1),1),1),INDEX(Cables!$AP:$AP,MATCH(G407,Cables!$A:$A,0))-1))+1),INDEX(Attenuation!$J:$J,(INDEX(Cables!$AO:$AO,MATCH(G407,Cables!$A:$A,0))-1+MIN(MAX(IFERROR(MATCH(LN(D407),INDEX(Attenuation!$J:$J,INDEX(Cables!$AO:$AO,MATCH(G407,Cables!$A:$A,0))):INDEX(Attenuation!$J:$J,INDEX(Cables!$AO:$AO,MATCH(G407,Cables!$A:$A,0))+INDEX(Cables!$AP:$AP,MATCH(G407,Cables!$A:$A,0))-1),1),1),1),INDEX(Cables!$AP:$AP,MATCH(G407,Cables!$A:$A,0))-1))):INDEX(Attenuation!$J:$J,(INDEX(Cables!$AO:$AO,MATCH(G407,Cables!$A:$A,0))-1+MIN(MAX(IFERROR(MATCH(LN(D407),INDEX(Attenuation!$J:$J,INDEX(Cables!$AO:$AO,MATCH(G407,Cables!$A:$A,0))):INDEX(Attenuation!$J:$J,INDEX(Cables!$AO:$AO,MATCH(G407,Cables!$A:$A,0))+INDEX(Cables!$AP:$AP,MATCH(G407,Cables!$A:$A,0))-1),1),1),1),INDEX(Cables!$AP:$AP,MATCH(G407,Cables!$A:$A,0))-1))+1)))*0.3048)</f>
        <v>2.8512336044928484</v>
      </c>
      <c r="I407" s="43">
        <f>IF(G407="","",EXP(FORECAST(LN(E407),INDEX(Attenuation!$K:$K,(INDEX(Cables!$AO:$AO,MATCH(G407,Cables!$A:$A,0))-1+MIN(MAX(IFERROR(MATCH(LN(E407),INDEX(Attenuation!$J:$J,INDEX(Cables!$AO:$AO,MATCH(G407,Cables!$A:$A,0))):INDEX(Attenuation!$J:$J,INDEX(Cables!$AO:$AO,MATCH(G407,Cables!$A:$A,0))+INDEX(Cables!$AP:$AP,MATCH(G407,Cables!$A:$A,0))-1),1),1),1),INDEX(Cables!$AP:$AP,MATCH(G407,Cables!$A:$A,0))-1))):INDEX(Attenuation!$K:$K,(INDEX(Cables!$AO:$AO,MATCH(G407,Cables!$A:$A,0))-1+MIN(MAX(IFERROR(MATCH(LN(E407),INDEX(Attenuation!$J:$J,INDEX(Cables!$AO:$AO,MATCH(G407,Cables!$A:$A,0))):INDEX(Attenuation!$J:$J,INDEX(Cables!$AO:$AO,MATCH(G407,Cables!$A:$A,0))+INDEX(Cables!$AP:$AP,MATCH(G407,Cables!$A:$A,0))-1),1),1),1),INDEX(Cables!$AP:$AP,MATCH(G407,Cables!$A:$A,0))-1))+1),INDEX(Attenuation!$J:$J,(INDEX(Cables!$AO:$AO,MATCH(G407,Cables!$A:$A,0))-1+MIN(MAX(IFERROR(MATCH(LN(E407),INDEX(Attenuation!$J:$J,INDEX(Cables!$AO:$AO,MATCH(G407,Cables!$A:$A,0))):INDEX(Attenuation!$J:$J,INDEX(Cables!$AO:$AO,MATCH(G407,Cables!$A:$A,0))+INDEX(Cables!$AP:$AP,MATCH(G407,Cables!$A:$A,0))-1),1),1),1),INDEX(Cables!$AP:$AP,MATCH(G407,Cables!$A:$A,0))-1))):INDEX(Attenuation!$J:$J,(INDEX(Cables!$AO:$AO,MATCH(G407,Cables!$A:$A,0))-1+MIN(MAX(IFERROR(MATCH(LN(E407),INDEX(Attenuation!$J:$J,INDEX(Cables!$AO:$AO,MATCH(G407,Cables!$A:$A,0))):INDEX(Attenuation!$J:$J,INDEX(Cables!$AO:$AO,MATCH(G407,Cables!$A:$A,0))+INDEX(Cables!$AP:$AP,MATCH(G407,Cables!$A:$A,0))-1),1),1),1),INDEX(Cables!$AP:$AP,MATCH(G407,Cables!$A:$A,0))-1))+1)))*0.3048)</f>
        <v>2.8512336044928484</v>
      </c>
      <c r="J407" s="44">
        <f t="shared" si="6"/>
        <v>1.710361277669703E-2</v>
      </c>
      <c r="K407" s="40" t="str">
        <f>IF(G407="","Doğrulanmadı",IF(ABS(J407)&lt;=0.1,"Uyumlu (±%10)",IF(ABS(J407)&lt;=0.25,"Fark %10-25","Fark &gt;%25"))&amp;IF(OR(D407&lt;INDEX(Cables!$AQ:$AQ,MATCH(G407,Cables!$A:$A,0)),E407&gt;INDEX(Cables!$AR:$AR,MATCH(G407,Cables!$A:$A,0)))," · ekstrapolasyon",""))</f>
        <v>Uyumlu (±%10)</v>
      </c>
    </row>
    <row r="408" spans="1:11" x14ac:dyDescent="0.25">
      <c r="A408" s="37" t="s">
        <v>3097</v>
      </c>
      <c r="B408" s="40" t="str">
        <f>INDEX(Legacy_Index!$D:$D,MATCH(A408,Legacy_Index!$A:$A,0))</f>
        <v>RG6 *75</v>
      </c>
      <c r="C408" s="37" t="s">
        <v>3115</v>
      </c>
      <c r="D408" s="37">
        <v>400</v>
      </c>
      <c r="E408" s="37">
        <v>520</v>
      </c>
      <c r="F408" s="37">
        <v>4.8</v>
      </c>
      <c r="G408" s="40" t="str">
        <f>IF(INDEX(Legacy_Index!$G:$G,MATCH(A408,Legacy_Index!$A:$A,0))="","",INDEX(Legacy_Index!$G:$G,MATCH(A408,Legacy_Index!$A:$A,0)))</f>
        <v>BEL-1694A</v>
      </c>
      <c r="H408" s="43">
        <f>IF(G408="","",EXP(FORECAST(LN(D408),INDEX(Attenuation!$K:$K,(INDEX(Cables!$AO:$AO,MATCH(G408,Cables!$A:$A,0))-1+MIN(MAX(IFERROR(MATCH(LN(D408),INDEX(Attenuation!$J:$J,INDEX(Cables!$AO:$AO,MATCH(G408,Cables!$A:$A,0))):INDEX(Attenuation!$J:$J,INDEX(Cables!$AO:$AO,MATCH(G408,Cables!$A:$A,0))+INDEX(Cables!$AP:$AP,MATCH(G408,Cables!$A:$A,0))-1),1),1),1),INDEX(Cables!$AP:$AP,MATCH(G408,Cables!$A:$A,0))-1))):INDEX(Attenuation!$K:$K,(INDEX(Cables!$AO:$AO,MATCH(G408,Cables!$A:$A,0))-1+MIN(MAX(IFERROR(MATCH(LN(D408),INDEX(Attenuation!$J:$J,INDEX(Cables!$AO:$AO,MATCH(G408,Cables!$A:$A,0))):INDEX(Attenuation!$J:$J,INDEX(Cables!$AO:$AO,MATCH(G408,Cables!$A:$A,0))+INDEX(Cables!$AP:$AP,MATCH(G408,Cables!$A:$A,0))-1),1),1),1),INDEX(Cables!$AP:$AP,MATCH(G408,Cables!$A:$A,0))-1))+1),INDEX(Attenuation!$J:$J,(INDEX(Cables!$AO:$AO,MATCH(G408,Cables!$A:$A,0))-1+MIN(MAX(IFERROR(MATCH(LN(D408),INDEX(Attenuation!$J:$J,INDEX(Cables!$AO:$AO,MATCH(G408,Cables!$A:$A,0))):INDEX(Attenuation!$J:$J,INDEX(Cables!$AO:$AO,MATCH(G408,Cables!$A:$A,0))+INDEX(Cables!$AP:$AP,MATCH(G408,Cables!$A:$A,0))-1),1),1),1),INDEX(Cables!$AP:$AP,MATCH(G408,Cables!$A:$A,0))-1))):INDEX(Attenuation!$J:$J,(INDEX(Cables!$AO:$AO,MATCH(G408,Cables!$A:$A,0))-1+MIN(MAX(IFERROR(MATCH(LN(D408),INDEX(Attenuation!$J:$J,INDEX(Cables!$AO:$AO,MATCH(G408,Cables!$A:$A,0))):INDEX(Attenuation!$J:$J,INDEX(Cables!$AO:$AO,MATCH(G408,Cables!$A:$A,0))+INDEX(Cables!$AP:$AP,MATCH(G408,Cables!$A:$A,0))-1),1),1),1),INDEX(Cables!$AP:$AP,MATCH(G408,Cables!$A:$A,0))-1))+1)))*0.3048)</f>
        <v>3.8852764276499032</v>
      </c>
      <c r="I408" s="43">
        <f>IF(G408="","",EXP(FORECAST(LN(E408),INDEX(Attenuation!$K:$K,(INDEX(Cables!$AO:$AO,MATCH(G408,Cables!$A:$A,0))-1+MIN(MAX(IFERROR(MATCH(LN(E408),INDEX(Attenuation!$J:$J,INDEX(Cables!$AO:$AO,MATCH(G408,Cables!$A:$A,0))):INDEX(Attenuation!$J:$J,INDEX(Cables!$AO:$AO,MATCH(G408,Cables!$A:$A,0))+INDEX(Cables!$AP:$AP,MATCH(G408,Cables!$A:$A,0))-1),1),1),1),INDEX(Cables!$AP:$AP,MATCH(G408,Cables!$A:$A,0))-1))):INDEX(Attenuation!$K:$K,(INDEX(Cables!$AO:$AO,MATCH(G408,Cables!$A:$A,0))-1+MIN(MAX(IFERROR(MATCH(LN(E408),INDEX(Attenuation!$J:$J,INDEX(Cables!$AO:$AO,MATCH(G408,Cables!$A:$A,0))):INDEX(Attenuation!$J:$J,INDEX(Cables!$AO:$AO,MATCH(G408,Cables!$A:$A,0))+INDEX(Cables!$AP:$AP,MATCH(G408,Cables!$A:$A,0))-1),1),1),1),INDEX(Cables!$AP:$AP,MATCH(G408,Cables!$A:$A,0))-1))+1),INDEX(Attenuation!$J:$J,(INDEX(Cables!$AO:$AO,MATCH(G408,Cables!$A:$A,0))-1+MIN(MAX(IFERROR(MATCH(LN(E408),INDEX(Attenuation!$J:$J,INDEX(Cables!$AO:$AO,MATCH(G408,Cables!$A:$A,0))):INDEX(Attenuation!$J:$J,INDEX(Cables!$AO:$AO,MATCH(G408,Cables!$A:$A,0))+INDEX(Cables!$AP:$AP,MATCH(G408,Cables!$A:$A,0))-1),1),1),1),INDEX(Cables!$AP:$AP,MATCH(G408,Cables!$A:$A,0))-1))):INDEX(Attenuation!$J:$J,(INDEX(Cables!$AO:$AO,MATCH(G408,Cables!$A:$A,0))-1+MIN(MAX(IFERROR(MATCH(LN(E408),INDEX(Attenuation!$J:$J,INDEX(Cables!$AO:$AO,MATCH(G408,Cables!$A:$A,0))):INDEX(Attenuation!$J:$J,INDEX(Cables!$AO:$AO,MATCH(G408,Cables!$A:$A,0))+INDEX(Cables!$AP:$AP,MATCH(G408,Cables!$A:$A,0))-1),1),1),1),INDEX(Cables!$AP:$AP,MATCH(G408,Cables!$A:$A,0))-1))+1)))*0.3048)</f>
        <v>4.4176406398951658</v>
      </c>
      <c r="J408" s="44">
        <f t="shared" si="6"/>
        <v>8.6552843762752962E-2</v>
      </c>
      <c r="K408" s="40" t="str">
        <f>IF(G408="","Doğrulanmadı",IF(ABS(J408)&lt;=0.1,"Uyumlu (±%10)",IF(ABS(J408)&lt;=0.25,"Fark %10-25","Fark &gt;%25"))&amp;IF(OR(D408&lt;INDEX(Cables!$AQ:$AQ,MATCH(G408,Cables!$A:$A,0)),E408&gt;INDEX(Cables!$AR:$AR,MATCH(G408,Cables!$A:$A,0)))," · ekstrapolasyon",""))</f>
        <v>Uyumlu (±%10)</v>
      </c>
    </row>
    <row r="409" spans="1:11" x14ac:dyDescent="0.25">
      <c r="A409" s="37" t="s">
        <v>3097</v>
      </c>
      <c r="B409" s="40" t="str">
        <f>INDEX(Legacy_Index!$D:$D,MATCH(A409,Legacy_Index!$A:$A,0))</f>
        <v>RG6 *75</v>
      </c>
      <c r="C409" s="37" t="s">
        <v>3116</v>
      </c>
      <c r="D409" s="37">
        <v>700</v>
      </c>
      <c r="E409" s="37">
        <v>960</v>
      </c>
      <c r="F409" s="37">
        <v>6</v>
      </c>
      <c r="G409" s="40" t="str">
        <f>IF(INDEX(Legacy_Index!$G:$G,MATCH(A409,Legacy_Index!$A:$A,0))="","",INDEX(Legacy_Index!$G:$G,MATCH(A409,Legacy_Index!$A:$A,0)))</f>
        <v>BEL-1694A</v>
      </c>
      <c r="H409" s="43">
        <f>IF(G409="","",EXP(FORECAST(LN(D409),INDEX(Attenuation!$K:$K,(INDEX(Cables!$AO:$AO,MATCH(G409,Cables!$A:$A,0))-1+MIN(MAX(IFERROR(MATCH(LN(D409),INDEX(Attenuation!$J:$J,INDEX(Cables!$AO:$AO,MATCH(G409,Cables!$A:$A,0))):INDEX(Attenuation!$J:$J,INDEX(Cables!$AO:$AO,MATCH(G409,Cables!$A:$A,0))+INDEX(Cables!$AP:$AP,MATCH(G409,Cables!$A:$A,0))-1),1),1),1),INDEX(Cables!$AP:$AP,MATCH(G409,Cables!$A:$A,0))-1))):INDEX(Attenuation!$K:$K,(INDEX(Cables!$AO:$AO,MATCH(G409,Cables!$A:$A,0))-1+MIN(MAX(IFERROR(MATCH(LN(D409),INDEX(Attenuation!$J:$J,INDEX(Cables!$AO:$AO,MATCH(G409,Cables!$A:$A,0))):INDEX(Attenuation!$J:$J,INDEX(Cables!$AO:$AO,MATCH(G409,Cables!$A:$A,0))+INDEX(Cables!$AP:$AP,MATCH(G409,Cables!$A:$A,0))-1),1),1),1),INDEX(Cables!$AP:$AP,MATCH(G409,Cables!$A:$A,0))-1))+1),INDEX(Attenuation!$J:$J,(INDEX(Cables!$AO:$AO,MATCH(G409,Cables!$A:$A,0))-1+MIN(MAX(IFERROR(MATCH(LN(D409),INDEX(Attenuation!$J:$J,INDEX(Cables!$AO:$AO,MATCH(G409,Cables!$A:$A,0))):INDEX(Attenuation!$J:$J,INDEX(Cables!$AO:$AO,MATCH(G409,Cables!$A:$A,0))+INDEX(Cables!$AP:$AP,MATCH(G409,Cables!$A:$A,0))-1),1),1),1),INDEX(Cables!$AP:$AP,MATCH(G409,Cables!$A:$A,0))-1))):INDEX(Attenuation!$J:$J,(INDEX(Cables!$AO:$AO,MATCH(G409,Cables!$A:$A,0))-1+MIN(MAX(IFERROR(MATCH(LN(D409),INDEX(Attenuation!$J:$J,INDEX(Cables!$AO:$AO,MATCH(G409,Cables!$A:$A,0))):INDEX(Attenuation!$J:$J,INDEX(Cables!$AO:$AO,MATCH(G409,Cables!$A:$A,0))+INDEX(Cables!$AP:$AP,MATCH(G409,Cables!$A:$A,0))-1),1),1),1),INDEX(Cables!$AP:$AP,MATCH(G409,Cables!$A:$A,0))-1))+1)))*0.3048)</f>
        <v>5.2157538441153264</v>
      </c>
      <c r="I409" s="43">
        <f>IF(G409="","",EXP(FORECAST(LN(E409),INDEX(Attenuation!$K:$K,(INDEX(Cables!$AO:$AO,MATCH(G409,Cables!$A:$A,0))-1+MIN(MAX(IFERROR(MATCH(LN(E409),INDEX(Attenuation!$J:$J,INDEX(Cables!$AO:$AO,MATCH(G409,Cables!$A:$A,0))):INDEX(Attenuation!$J:$J,INDEX(Cables!$AO:$AO,MATCH(G409,Cables!$A:$A,0))+INDEX(Cables!$AP:$AP,MATCH(G409,Cables!$A:$A,0))-1),1),1),1),INDEX(Cables!$AP:$AP,MATCH(G409,Cables!$A:$A,0))-1))):INDEX(Attenuation!$K:$K,(INDEX(Cables!$AO:$AO,MATCH(G409,Cables!$A:$A,0))-1+MIN(MAX(IFERROR(MATCH(LN(E409),INDEX(Attenuation!$J:$J,INDEX(Cables!$AO:$AO,MATCH(G409,Cables!$A:$A,0))):INDEX(Attenuation!$J:$J,INDEX(Cables!$AO:$AO,MATCH(G409,Cables!$A:$A,0))+INDEX(Cables!$AP:$AP,MATCH(G409,Cables!$A:$A,0))-1),1),1),1),INDEX(Cables!$AP:$AP,MATCH(G409,Cables!$A:$A,0))-1))+1),INDEX(Attenuation!$J:$J,(INDEX(Cables!$AO:$AO,MATCH(G409,Cables!$A:$A,0))-1+MIN(MAX(IFERROR(MATCH(LN(E409),INDEX(Attenuation!$J:$J,INDEX(Cables!$AO:$AO,MATCH(G409,Cables!$A:$A,0))):INDEX(Attenuation!$J:$J,INDEX(Cables!$AO:$AO,MATCH(G409,Cables!$A:$A,0))+INDEX(Cables!$AP:$AP,MATCH(G409,Cables!$A:$A,0))-1),1),1),1),INDEX(Cables!$AP:$AP,MATCH(G409,Cables!$A:$A,0))-1))):INDEX(Attenuation!$J:$J,(INDEX(Cables!$AO:$AO,MATCH(G409,Cables!$A:$A,0))-1+MIN(MAX(IFERROR(MATCH(LN(E409),INDEX(Attenuation!$J:$J,INDEX(Cables!$AO:$AO,MATCH(G409,Cables!$A:$A,0))):INDEX(Attenuation!$J:$J,INDEX(Cables!$AO:$AO,MATCH(G409,Cables!$A:$A,0))+INDEX(Cables!$AP:$AP,MATCH(G409,Cables!$A:$A,0))-1),1),1),1),INDEX(Cables!$AP:$AP,MATCH(G409,Cables!$A:$A,0))-1))+1)))*0.3048)</f>
        <v>6.1636904734735118</v>
      </c>
      <c r="J409" s="44">
        <f t="shared" si="6"/>
        <v>0</v>
      </c>
      <c r="K409" s="40" t="str">
        <f>IF(G409="","Doğrulanmadı",IF(ABS(J409)&lt;=0.1,"Uyumlu (±%10)",IF(ABS(J409)&lt;=0.25,"Fark %10-25","Fark &gt;%25"))&amp;IF(OR(D409&lt;INDEX(Cables!$AQ:$AQ,MATCH(G409,Cables!$A:$A,0)),E409&gt;INDEX(Cables!$AR:$AR,MATCH(G409,Cables!$A:$A,0)))," · ekstrapolasyon",""))</f>
        <v>Uyumlu (±%10)</v>
      </c>
    </row>
    <row r="410" spans="1:11" x14ac:dyDescent="0.25">
      <c r="A410" s="37" t="s">
        <v>3097</v>
      </c>
      <c r="B410" s="40" t="str">
        <f>INDEX(Legacy_Index!$D:$D,MATCH(A410,Legacy_Index!$A:$A,0))</f>
        <v>RG6 *75</v>
      </c>
      <c r="C410" s="37" t="s">
        <v>3120</v>
      </c>
      <c r="D410" s="37">
        <v>1200</v>
      </c>
      <c r="E410" s="37">
        <v>1300</v>
      </c>
      <c r="F410" s="37">
        <v>6.4</v>
      </c>
      <c r="G410" s="40" t="str">
        <f>IF(INDEX(Legacy_Index!$G:$G,MATCH(A410,Legacy_Index!$A:$A,0))="","",INDEX(Legacy_Index!$G:$G,MATCH(A410,Legacy_Index!$A:$A,0)))</f>
        <v>BEL-1694A</v>
      </c>
      <c r="H410" s="43">
        <f>IF(G410="","",EXP(FORECAST(LN(D410),INDEX(Attenuation!$K:$K,(INDEX(Cables!$AO:$AO,MATCH(G410,Cables!$A:$A,0))-1+MIN(MAX(IFERROR(MATCH(LN(D410),INDEX(Attenuation!$J:$J,INDEX(Cables!$AO:$AO,MATCH(G410,Cables!$A:$A,0))):INDEX(Attenuation!$J:$J,INDEX(Cables!$AO:$AO,MATCH(G410,Cables!$A:$A,0))+INDEX(Cables!$AP:$AP,MATCH(G410,Cables!$A:$A,0))-1),1),1),1),INDEX(Cables!$AP:$AP,MATCH(G410,Cables!$A:$A,0))-1))):INDEX(Attenuation!$K:$K,(INDEX(Cables!$AO:$AO,MATCH(G410,Cables!$A:$A,0))-1+MIN(MAX(IFERROR(MATCH(LN(D410),INDEX(Attenuation!$J:$J,INDEX(Cables!$AO:$AO,MATCH(G410,Cables!$A:$A,0))):INDEX(Attenuation!$J:$J,INDEX(Cables!$AO:$AO,MATCH(G410,Cables!$A:$A,0))+INDEX(Cables!$AP:$AP,MATCH(G410,Cables!$A:$A,0))-1),1),1),1),INDEX(Cables!$AP:$AP,MATCH(G410,Cables!$A:$A,0))-1))+1),INDEX(Attenuation!$J:$J,(INDEX(Cables!$AO:$AO,MATCH(G410,Cables!$A:$A,0))-1+MIN(MAX(IFERROR(MATCH(LN(D410),INDEX(Attenuation!$J:$J,INDEX(Cables!$AO:$AO,MATCH(G410,Cables!$A:$A,0))):INDEX(Attenuation!$J:$J,INDEX(Cables!$AO:$AO,MATCH(G410,Cables!$A:$A,0))+INDEX(Cables!$AP:$AP,MATCH(G410,Cables!$A:$A,0))-1),1),1),1),INDEX(Cables!$AP:$AP,MATCH(G410,Cables!$A:$A,0))-1))):INDEX(Attenuation!$J:$J,(INDEX(Cables!$AO:$AO,MATCH(G410,Cables!$A:$A,0))-1+MIN(MAX(IFERROR(MATCH(LN(D410),INDEX(Attenuation!$J:$J,INDEX(Cables!$AO:$AO,MATCH(G410,Cables!$A:$A,0))):INDEX(Attenuation!$J:$J,INDEX(Cables!$AO:$AO,MATCH(G410,Cables!$A:$A,0))+INDEX(Cables!$AP:$AP,MATCH(G410,Cables!$A:$A,0))-1),1),1),1),INDEX(Cables!$AP:$AP,MATCH(G410,Cables!$A:$A,0))-1))+1)))*0.3048)</f>
        <v>6.9350303117095251</v>
      </c>
      <c r="I410" s="43">
        <f>IF(G410="","",EXP(FORECAST(LN(E410),INDEX(Attenuation!$K:$K,(INDEX(Cables!$AO:$AO,MATCH(G410,Cables!$A:$A,0))-1+MIN(MAX(IFERROR(MATCH(LN(E410),INDEX(Attenuation!$J:$J,INDEX(Cables!$AO:$AO,MATCH(G410,Cables!$A:$A,0))):INDEX(Attenuation!$J:$J,INDEX(Cables!$AO:$AO,MATCH(G410,Cables!$A:$A,0))+INDEX(Cables!$AP:$AP,MATCH(G410,Cables!$A:$A,0))-1),1),1),1),INDEX(Cables!$AP:$AP,MATCH(G410,Cables!$A:$A,0))-1))):INDEX(Attenuation!$K:$K,(INDEX(Cables!$AO:$AO,MATCH(G410,Cables!$A:$A,0))-1+MIN(MAX(IFERROR(MATCH(LN(E410),INDEX(Attenuation!$J:$J,INDEX(Cables!$AO:$AO,MATCH(G410,Cables!$A:$A,0))):INDEX(Attenuation!$J:$J,INDEX(Cables!$AO:$AO,MATCH(G410,Cables!$A:$A,0))+INDEX(Cables!$AP:$AP,MATCH(G410,Cables!$A:$A,0))-1),1),1),1),INDEX(Cables!$AP:$AP,MATCH(G410,Cables!$A:$A,0))-1))+1),INDEX(Attenuation!$J:$J,(INDEX(Cables!$AO:$AO,MATCH(G410,Cables!$A:$A,0))-1+MIN(MAX(IFERROR(MATCH(LN(E410),INDEX(Attenuation!$J:$J,INDEX(Cables!$AO:$AO,MATCH(G410,Cables!$A:$A,0))):INDEX(Attenuation!$J:$J,INDEX(Cables!$AO:$AO,MATCH(G410,Cables!$A:$A,0))+INDEX(Cables!$AP:$AP,MATCH(G410,Cables!$A:$A,0))-1),1),1),1),INDEX(Cables!$AP:$AP,MATCH(G410,Cables!$A:$A,0))-1))):INDEX(Attenuation!$J:$J,(INDEX(Cables!$AO:$AO,MATCH(G410,Cables!$A:$A,0))-1+MIN(MAX(IFERROR(MATCH(LN(E410),INDEX(Attenuation!$J:$J,INDEX(Cables!$AO:$AO,MATCH(G410,Cables!$A:$A,0))):INDEX(Attenuation!$J:$J,INDEX(Cables!$AO:$AO,MATCH(G410,Cables!$A:$A,0))+INDEX(Cables!$AP:$AP,MATCH(G410,Cables!$A:$A,0))-1),1),1),1),INDEX(Cables!$AP:$AP,MATCH(G410,Cables!$A:$A,0))-1))+1)))*0.3048)</f>
        <v>7.2336735389626865</v>
      </c>
      <c r="J410" s="44">
        <f t="shared" si="6"/>
        <v>-7.714895071275274E-2</v>
      </c>
      <c r="K410" s="40" t="str">
        <f>IF(G410="","Doğrulanmadı",IF(ABS(J410)&lt;=0.1,"Uyumlu (±%10)",IF(ABS(J410)&lt;=0.25,"Fark %10-25","Fark &gt;%25"))&amp;IF(OR(D410&lt;INDEX(Cables!$AQ:$AQ,MATCH(G410,Cables!$A:$A,0)),E410&gt;INDEX(Cables!$AR:$AR,MATCH(G410,Cables!$A:$A,0)))," · ekstrapolasyon",""))</f>
        <v>Uyumlu (±%10)</v>
      </c>
    </row>
    <row r="411" spans="1:11" x14ac:dyDescent="0.25">
      <c r="A411" s="37" t="s">
        <v>3100</v>
      </c>
      <c r="B411" s="40" t="str">
        <f>INDEX(Legacy_Index!$D:$D,MATCH(A411,Legacy_Index!$A:$A,0))</f>
        <v>RG11/U</v>
      </c>
      <c r="C411" s="37" t="s">
        <v>3117</v>
      </c>
      <c r="D411" s="37">
        <v>1</v>
      </c>
      <c r="E411" s="37">
        <v>10</v>
      </c>
      <c r="F411" s="37">
        <v>0.3</v>
      </c>
      <c r="G411" s="40" t="str">
        <f>IF(INDEX(Legacy_Index!$G:$G,MATCH(A411,Legacy_Index!$A:$A,0))="","",INDEX(Legacy_Index!$G:$G,MATCH(A411,Legacy_Index!$A:$A,0)))</f>
        <v>BEL-8261</v>
      </c>
      <c r="H411" s="43">
        <f>IF(G411="","",EXP(FORECAST(LN(D411),INDEX(Attenuation!$K:$K,(INDEX(Cables!$AO:$AO,MATCH(G411,Cables!$A:$A,0))-1+MIN(MAX(IFERROR(MATCH(LN(D411),INDEX(Attenuation!$J:$J,INDEX(Cables!$AO:$AO,MATCH(G411,Cables!$A:$A,0))):INDEX(Attenuation!$J:$J,INDEX(Cables!$AO:$AO,MATCH(G411,Cables!$A:$A,0))+INDEX(Cables!$AP:$AP,MATCH(G411,Cables!$A:$A,0))-1),1),1),1),INDEX(Cables!$AP:$AP,MATCH(G411,Cables!$A:$A,0))-1))):INDEX(Attenuation!$K:$K,(INDEX(Cables!$AO:$AO,MATCH(G411,Cables!$A:$A,0))-1+MIN(MAX(IFERROR(MATCH(LN(D411),INDEX(Attenuation!$J:$J,INDEX(Cables!$AO:$AO,MATCH(G411,Cables!$A:$A,0))):INDEX(Attenuation!$J:$J,INDEX(Cables!$AO:$AO,MATCH(G411,Cables!$A:$A,0))+INDEX(Cables!$AP:$AP,MATCH(G411,Cables!$A:$A,0))-1),1),1),1),INDEX(Cables!$AP:$AP,MATCH(G411,Cables!$A:$A,0))-1))+1),INDEX(Attenuation!$J:$J,(INDEX(Cables!$AO:$AO,MATCH(G411,Cables!$A:$A,0))-1+MIN(MAX(IFERROR(MATCH(LN(D411),INDEX(Attenuation!$J:$J,INDEX(Cables!$AO:$AO,MATCH(G411,Cables!$A:$A,0))):INDEX(Attenuation!$J:$J,INDEX(Cables!$AO:$AO,MATCH(G411,Cables!$A:$A,0))+INDEX(Cables!$AP:$AP,MATCH(G411,Cables!$A:$A,0))-1),1),1),1),INDEX(Cables!$AP:$AP,MATCH(G411,Cables!$A:$A,0))-1))):INDEX(Attenuation!$J:$J,(INDEX(Cables!$AO:$AO,MATCH(G411,Cables!$A:$A,0))-1+MIN(MAX(IFERROR(MATCH(LN(D411),INDEX(Attenuation!$J:$J,INDEX(Cables!$AO:$AO,MATCH(G411,Cables!$A:$A,0))):INDEX(Attenuation!$J:$J,INDEX(Cables!$AO:$AO,MATCH(G411,Cables!$A:$A,0))+INDEX(Cables!$AP:$AP,MATCH(G411,Cables!$A:$A,0))-1),1),1),1),INDEX(Cables!$AP:$AP,MATCH(G411,Cables!$A:$A,0))-1))+1)))*0.3048)</f>
        <v>0.20000000000000004</v>
      </c>
      <c r="I411" s="43">
        <f>IF(G411="","",EXP(FORECAST(LN(E411),INDEX(Attenuation!$K:$K,(INDEX(Cables!$AO:$AO,MATCH(G411,Cables!$A:$A,0))-1+MIN(MAX(IFERROR(MATCH(LN(E411),INDEX(Attenuation!$J:$J,INDEX(Cables!$AO:$AO,MATCH(G411,Cables!$A:$A,0))):INDEX(Attenuation!$J:$J,INDEX(Cables!$AO:$AO,MATCH(G411,Cables!$A:$A,0))+INDEX(Cables!$AP:$AP,MATCH(G411,Cables!$A:$A,0))-1),1),1),1),INDEX(Cables!$AP:$AP,MATCH(G411,Cables!$A:$A,0))-1))):INDEX(Attenuation!$K:$K,(INDEX(Cables!$AO:$AO,MATCH(G411,Cables!$A:$A,0))-1+MIN(MAX(IFERROR(MATCH(LN(E411),INDEX(Attenuation!$J:$J,INDEX(Cables!$AO:$AO,MATCH(G411,Cables!$A:$A,0))):INDEX(Attenuation!$J:$J,INDEX(Cables!$AO:$AO,MATCH(G411,Cables!$A:$A,0))+INDEX(Cables!$AP:$AP,MATCH(G411,Cables!$A:$A,0))-1),1),1),1),INDEX(Cables!$AP:$AP,MATCH(G411,Cables!$A:$A,0))-1))+1),INDEX(Attenuation!$J:$J,(INDEX(Cables!$AO:$AO,MATCH(G411,Cables!$A:$A,0))-1+MIN(MAX(IFERROR(MATCH(LN(E411),INDEX(Attenuation!$J:$J,INDEX(Cables!$AO:$AO,MATCH(G411,Cables!$A:$A,0))):INDEX(Attenuation!$J:$J,INDEX(Cables!$AO:$AO,MATCH(G411,Cables!$A:$A,0))+INDEX(Cables!$AP:$AP,MATCH(G411,Cables!$A:$A,0))-1),1),1),1),INDEX(Cables!$AP:$AP,MATCH(G411,Cables!$A:$A,0))-1))):INDEX(Attenuation!$J:$J,(INDEX(Cables!$AO:$AO,MATCH(G411,Cables!$A:$A,0))-1+MIN(MAX(IFERROR(MATCH(LN(E411),INDEX(Attenuation!$J:$J,INDEX(Cables!$AO:$AO,MATCH(G411,Cables!$A:$A,0))):INDEX(Attenuation!$J:$J,INDEX(Cables!$AO:$AO,MATCH(G411,Cables!$A:$A,0))+INDEX(Cables!$AP:$AP,MATCH(G411,Cables!$A:$A,0))-1),1),1),1),INDEX(Cables!$AP:$AP,MATCH(G411,Cables!$A:$A,0))-1))+1)))*0.3048)</f>
        <v>0.70000000000000007</v>
      </c>
      <c r="J411" s="44">
        <f t="shared" si="6"/>
        <v>0</v>
      </c>
      <c r="K411" s="40" t="str">
        <f>IF(G411="","Doğrulanmadı",IF(ABS(J411)&lt;=0.1,"Uyumlu (±%10)",IF(ABS(J411)&lt;=0.25,"Fark %10-25","Fark &gt;%25"))&amp;IF(OR(D411&lt;INDEX(Cables!$AQ:$AQ,MATCH(G411,Cables!$A:$A,0)),E411&gt;INDEX(Cables!$AR:$AR,MATCH(G411,Cables!$A:$A,0)))," · ekstrapolasyon",""))</f>
        <v>Uyumlu (±%10)</v>
      </c>
    </row>
    <row r="412" spans="1:11" x14ac:dyDescent="0.25">
      <c r="A412" s="37" t="s">
        <v>3100</v>
      </c>
      <c r="B412" s="40" t="str">
        <f>INDEX(Legacy_Index!$D:$D,MATCH(A412,Legacy_Index!$A:$A,0))</f>
        <v>RG11/U</v>
      </c>
      <c r="C412" s="37" t="s">
        <v>3118</v>
      </c>
      <c r="D412" s="37">
        <v>30</v>
      </c>
      <c r="E412" s="37">
        <v>50</v>
      </c>
      <c r="F412" s="37">
        <v>1</v>
      </c>
      <c r="G412" s="40" t="str">
        <f>IF(INDEX(Legacy_Index!$G:$G,MATCH(A412,Legacy_Index!$A:$A,0))="","",INDEX(Legacy_Index!$G:$G,MATCH(A412,Legacy_Index!$A:$A,0)))</f>
        <v>BEL-8261</v>
      </c>
      <c r="H412" s="43">
        <f>IF(G412="","",EXP(FORECAST(LN(D412),INDEX(Attenuation!$K:$K,(INDEX(Cables!$AO:$AO,MATCH(G412,Cables!$A:$A,0))-1+MIN(MAX(IFERROR(MATCH(LN(D412),INDEX(Attenuation!$J:$J,INDEX(Cables!$AO:$AO,MATCH(G412,Cables!$A:$A,0))):INDEX(Attenuation!$J:$J,INDEX(Cables!$AO:$AO,MATCH(G412,Cables!$A:$A,0))+INDEX(Cables!$AP:$AP,MATCH(G412,Cables!$A:$A,0))-1),1),1),1),INDEX(Cables!$AP:$AP,MATCH(G412,Cables!$A:$A,0))-1))):INDEX(Attenuation!$K:$K,(INDEX(Cables!$AO:$AO,MATCH(G412,Cables!$A:$A,0))-1+MIN(MAX(IFERROR(MATCH(LN(D412),INDEX(Attenuation!$J:$J,INDEX(Cables!$AO:$AO,MATCH(G412,Cables!$A:$A,0))):INDEX(Attenuation!$J:$J,INDEX(Cables!$AO:$AO,MATCH(G412,Cables!$A:$A,0))+INDEX(Cables!$AP:$AP,MATCH(G412,Cables!$A:$A,0))-1),1),1),1),INDEX(Cables!$AP:$AP,MATCH(G412,Cables!$A:$A,0))-1))+1),INDEX(Attenuation!$J:$J,(INDEX(Cables!$AO:$AO,MATCH(G412,Cables!$A:$A,0))-1+MIN(MAX(IFERROR(MATCH(LN(D412),INDEX(Attenuation!$J:$J,INDEX(Cables!$AO:$AO,MATCH(G412,Cables!$A:$A,0))):INDEX(Attenuation!$J:$J,INDEX(Cables!$AO:$AO,MATCH(G412,Cables!$A:$A,0))+INDEX(Cables!$AP:$AP,MATCH(G412,Cables!$A:$A,0))-1),1),1),1),INDEX(Cables!$AP:$AP,MATCH(G412,Cables!$A:$A,0))-1))):INDEX(Attenuation!$J:$J,(INDEX(Cables!$AO:$AO,MATCH(G412,Cables!$A:$A,0))-1+MIN(MAX(IFERROR(MATCH(LN(D412),INDEX(Attenuation!$J:$J,INDEX(Cables!$AO:$AO,MATCH(G412,Cables!$A:$A,0))):INDEX(Attenuation!$J:$J,INDEX(Cables!$AO:$AO,MATCH(G412,Cables!$A:$A,0))+INDEX(Cables!$AP:$AP,MATCH(G412,Cables!$A:$A,0))-1),1),1),1),INDEX(Cables!$AP:$AP,MATCH(G412,Cables!$A:$A,0))-1))+1)))*0.3048)</f>
        <v>1.0681039362073375</v>
      </c>
      <c r="I412" s="43">
        <f>IF(G412="","",EXP(FORECAST(LN(E412),INDEX(Attenuation!$K:$K,(INDEX(Cables!$AO:$AO,MATCH(G412,Cables!$A:$A,0))-1+MIN(MAX(IFERROR(MATCH(LN(E412),INDEX(Attenuation!$J:$J,INDEX(Cables!$AO:$AO,MATCH(G412,Cables!$A:$A,0))):INDEX(Attenuation!$J:$J,INDEX(Cables!$AO:$AO,MATCH(G412,Cables!$A:$A,0))+INDEX(Cables!$AP:$AP,MATCH(G412,Cables!$A:$A,0))-1),1),1),1),INDEX(Cables!$AP:$AP,MATCH(G412,Cables!$A:$A,0))-1))):INDEX(Attenuation!$K:$K,(INDEX(Cables!$AO:$AO,MATCH(G412,Cables!$A:$A,0))-1+MIN(MAX(IFERROR(MATCH(LN(E412),INDEX(Attenuation!$J:$J,INDEX(Cables!$AO:$AO,MATCH(G412,Cables!$A:$A,0))):INDEX(Attenuation!$J:$J,INDEX(Cables!$AO:$AO,MATCH(G412,Cables!$A:$A,0))+INDEX(Cables!$AP:$AP,MATCH(G412,Cables!$A:$A,0))-1),1),1),1),INDEX(Cables!$AP:$AP,MATCH(G412,Cables!$A:$A,0))-1))+1),INDEX(Attenuation!$J:$J,(INDEX(Cables!$AO:$AO,MATCH(G412,Cables!$A:$A,0))-1+MIN(MAX(IFERROR(MATCH(LN(E412),INDEX(Attenuation!$J:$J,INDEX(Cables!$AO:$AO,MATCH(G412,Cables!$A:$A,0))):INDEX(Attenuation!$J:$J,INDEX(Cables!$AO:$AO,MATCH(G412,Cables!$A:$A,0))+INDEX(Cables!$AP:$AP,MATCH(G412,Cables!$A:$A,0))-1),1),1),1),INDEX(Cables!$AP:$AP,MATCH(G412,Cables!$A:$A,0))-1))):INDEX(Attenuation!$J:$J,(INDEX(Cables!$AO:$AO,MATCH(G412,Cables!$A:$A,0))-1+MIN(MAX(IFERROR(MATCH(LN(E412),INDEX(Attenuation!$J:$J,INDEX(Cables!$AO:$AO,MATCH(G412,Cables!$A:$A,0))):INDEX(Attenuation!$J:$J,INDEX(Cables!$AO:$AO,MATCH(G412,Cables!$A:$A,0))+INDEX(Cables!$AP:$AP,MATCH(G412,Cables!$A:$A,0))-1),1),1),1),INDEX(Cables!$AP:$AP,MATCH(G412,Cables!$A:$A,0))-1))+1)))*0.3048)</f>
        <v>1.2999999999999996</v>
      </c>
      <c r="J412" s="44">
        <f t="shared" si="6"/>
        <v>-6.3761525352264314E-2</v>
      </c>
      <c r="K412" s="40" t="str">
        <f>IF(G412="","Doğrulanmadı",IF(ABS(J412)&lt;=0.1,"Uyumlu (±%10)",IF(ABS(J412)&lt;=0.25,"Fark %10-25","Fark &gt;%25"))&amp;IF(OR(D412&lt;INDEX(Cables!$AQ:$AQ,MATCH(G412,Cables!$A:$A,0)),E412&gt;INDEX(Cables!$AR:$AR,MATCH(G412,Cables!$A:$A,0)))," · ekstrapolasyon",""))</f>
        <v>Uyumlu (±%10)</v>
      </c>
    </row>
    <row r="413" spans="1:11" x14ac:dyDescent="0.25">
      <c r="A413" s="37" t="s">
        <v>3100</v>
      </c>
      <c r="B413" s="40" t="str">
        <f>INDEX(Legacy_Index!$D:$D,MATCH(A413,Legacy_Index!$A:$A,0))</f>
        <v>RG11/U</v>
      </c>
      <c r="C413" s="37" t="s">
        <v>3113</v>
      </c>
      <c r="D413" s="37">
        <v>70</v>
      </c>
      <c r="E413" s="37">
        <v>100</v>
      </c>
      <c r="F413" s="37">
        <v>1.7</v>
      </c>
      <c r="G413" s="40" t="str">
        <f>IF(INDEX(Legacy_Index!$G:$G,MATCH(A413,Legacy_Index!$A:$A,0))="","",INDEX(Legacy_Index!$G:$G,MATCH(A413,Legacy_Index!$A:$A,0)))</f>
        <v>BEL-8261</v>
      </c>
      <c r="H413" s="43">
        <f>IF(G413="","",EXP(FORECAST(LN(D413),INDEX(Attenuation!$K:$K,(INDEX(Cables!$AO:$AO,MATCH(G413,Cables!$A:$A,0))-1+MIN(MAX(IFERROR(MATCH(LN(D413),INDEX(Attenuation!$J:$J,INDEX(Cables!$AO:$AO,MATCH(G413,Cables!$A:$A,0))):INDEX(Attenuation!$J:$J,INDEX(Cables!$AO:$AO,MATCH(G413,Cables!$A:$A,0))+INDEX(Cables!$AP:$AP,MATCH(G413,Cables!$A:$A,0))-1),1),1),1),INDEX(Cables!$AP:$AP,MATCH(G413,Cables!$A:$A,0))-1))):INDEX(Attenuation!$K:$K,(INDEX(Cables!$AO:$AO,MATCH(G413,Cables!$A:$A,0))-1+MIN(MAX(IFERROR(MATCH(LN(D413),INDEX(Attenuation!$J:$J,INDEX(Cables!$AO:$AO,MATCH(G413,Cables!$A:$A,0))):INDEX(Attenuation!$J:$J,INDEX(Cables!$AO:$AO,MATCH(G413,Cables!$A:$A,0))+INDEX(Cables!$AP:$AP,MATCH(G413,Cables!$A:$A,0))-1),1),1),1),INDEX(Cables!$AP:$AP,MATCH(G413,Cables!$A:$A,0))-1))+1),INDEX(Attenuation!$J:$J,(INDEX(Cables!$AO:$AO,MATCH(G413,Cables!$A:$A,0))-1+MIN(MAX(IFERROR(MATCH(LN(D413),INDEX(Attenuation!$J:$J,INDEX(Cables!$AO:$AO,MATCH(G413,Cables!$A:$A,0))):INDEX(Attenuation!$J:$J,INDEX(Cables!$AO:$AO,MATCH(G413,Cables!$A:$A,0))+INDEX(Cables!$AP:$AP,MATCH(G413,Cables!$A:$A,0))-1),1),1),1),INDEX(Cables!$AP:$AP,MATCH(G413,Cables!$A:$A,0))-1))):INDEX(Attenuation!$J:$J,(INDEX(Cables!$AO:$AO,MATCH(G413,Cables!$A:$A,0))-1+MIN(MAX(IFERROR(MATCH(LN(D413),INDEX(Attenuation!$J:$J,INDEX(Cables!$AO:$AO,MATCH(G413,Cables!$A:$A,0))):INDEX(Attenuation!$J:$J,INDEX(Cables!$AO:$AO,MATCH(G413,Cables!$A:$A,0))+INDEX(Cables!$AP:$AP,MATCH(G413,Cables!$A:$A,0))-1),1),1),1),INDEX(Cables!$AP:$AP,MATCH(G413,Cables!$A:$A,0))-1))+1)))*0.3048)</f>
        <v>1.602360490520383</v>
      </c>
      <c r="I413" s="43">
        <f>IF(G413="","",EXP(FORECAST(LN(E413),INDEX(Attenuation!$K:$K,(INDEX(Cables!$AO:$AO,MATCH(G413,Cables!$A:$A,0))-1+MIN(MAX(IFERROR(MATCH(LN(E413),INDEX(Attenuation!$J:$J,INDEX(Cables!$AO:$AO,MATCH(G413,Cables!$A:$A,0))):INDEX(Attenuation!$J:$J,INDEX(Cables!$AO:$AO,MATCH(G413,Cables!$A:$A,0))+INDEX(Cables!$AP:$AP,MATCH(G413,Cables!$A:$A,0))-1),1),1),1),INDEX(Cables!$AP:$AP,MATCH(G413,Cables!$A:$A,0))-1))):INDEX(Attenuation!$K:$K,(INDEX(Cables!$AO:$AO,MATCH(G413,Cables!$A:$A,0))-1+MIN(MAX(IFERROR(MATCH(LN(E413),INDEX(Attenuation!$J:$J,INDEX(Cables!$AO:$AO,MATCH(G413,Cables!$A:$A,0))):INDEX(Attenuation!$J:$J,INDEX(Cables!$AO:$AO,MATCH(G413,Cables!$A:$A,0))+INDEX(Cables!$AP:$AP,MATCH(G413,Cables!$A:$A,0))-1),1),1),1),INDEX(Cables!$AP:$AP,MATCH(G413,Cables!$A:$A,0))-1))+1),INDEX(Attenuation!$J:$J,(INDEX(Cables!$AO:$AO,MATCH(G413,Cables!$A:$A,0))-1+MIN(MAX(IFERROR(MATCH(LN(E413),INDEX(Attenuation!$J:$J,INDEX(Cables!$AO:$AO,MATCH(G413,Cables!$A:$A,0))):INDEX(Attenuation!$J:$J,INDEX(Cables!$AO:$AO,MATCH(G413,Cables!$A:$A,0))+INDEX(Cables!$AP:$AP,MATCH(G413,Cables!$A:$A,0))-1),1),1),1),INDEX(Cables!$AP:$AP,MATCH(G413,Cables!$A:$A,0))-1))):INDEX(Attenuation!$J:$J,(INDEX(Cables!$AO:$AO,MATCH(G413,Cables!$A:$A,0))-1+MIN(MAX(IFERROR(MATCH(LN(E413),INDEX(Attenuation!$J:$J,INDEX(Cables!$AO:$AO,MATCH(G413,Cables!$A:$A,0))):INDEX(Attenuation!$J:$J,INDEX(Cables!$AO:$AO,MATCH(G413,Cables!$A:$A,0))+INDEX(Cables!$AP:$AP,MATCH(G413,Cables!$A:$A,0))-1),1),1),1),INDEX(Cables!$AP:$AP,MATCH(G413,Cables!$A:$A,0))-1))+1)))*0.3048)</f>
        <v>2.0000000000000009</v>
      </c>
      <c r="J413" s="44">
        <f t="shared" si="6"/>
        <v>0</v>
      </c>
      <c r="K413" s="40" t="str">
        <f>IF(G413="","Doğrulanmadı",IF(ABS(J413)&lt;=0.1,"Uyumlu (±%10)",IF(ABS(J413)&lt;=0.25,"Fark %10-25","Fark &gt;%25"))&amp;IF(OR(D413&lt;INDEX(Cables!$AQ:$AQ,MATCH(G413,Cables!$A:$A,0)),E413&gt;INDEX(Cables!$AR:$AR,MATCH(G413,Cables!$A:$A,0)))," · ekstrapolasyon",""))</f>
        <v>Uyumlu (±%10)</v>
      </c>
    </row>
    <row r="414" spans="1:11" x14ac:dyDescent="0.25">
      <c r="A414" s="37" t="s">
        <v>3100</v>
      </c>
      <c r="B414" s="40" t="str">
        <f>INDEX(Legacy_Index!$D:$D,MATCH(A414,Legacy_Index!$A:$A,0))</f>
        <v>RG11/U</v>
      </c>
      <c r="C414" s="37" t="s">
        <v>3114</v>
      </c>
      <c r="D414" s="37">
        <v>148</v>
      </c>
      <c r="E414" s="37">
        <v>174</v>
      </c>
      <c r="F414" s="37">
        <v>2.5</v>
      </c>
      <c r="G414" s="40" t="str">
        <f>IF(INDEX(Legacy_Index!$G:$G,MATCH(A414,Legacy_Index!$A:$A,0))="","",INDEX(Legacy_Index!$G:$G,MATCH(A414,Legacy_Index!$A:$A,0)))</f>
        <v>BEL-8261</v>
      </c>
      <c r="H414" s="43">
        <f>IF(G414="","",EXP(FORECAST(LN(D414),INDEX(Attenuation!$K:$K,(INDEX(Cables!$AO:$AO,MATCH(G414,Cables!$A:$A,0))-1+MIN(MAX(IFERROR(MATCH(LN(D414),INDEX(Attenuation!$J:$J,INDEX(Cables!$AO:$AO,MATCH(G414,Cables!$A:$A,0))):INDEX(Attenuation!$J:$J,INDEX(Cables!$AO:$AO,MATCH(G414,Cables!$A:$A,0))+INDEX(Cables!$AP:$AP,MATCH(G414,Cables!$A:$A,0))-1),1),1),1),INDEX(Cables!$AP:$AP,MATCH(G414,Cables!$A:$A,0))-1))):INDEX(Attenuation!$K:$K,(INDEX(Cables!$AO:$AO,MATCH(G414,Cables!$A:$A,0))-1+MIN(MAX(IFERROR(MATCH(LN(D414),INDEX(Attenuation!$J:$J,INDEX(Cables!$AO:$AO,MATCH(G414,Cables!$A:$A,0))):INDEX(Attenuation!$J:$J,INDEX(Cables!$AO:$AO,MATCH(G414,Cables!$A:$A,0))+INDEX(Cables!$AP:$AP,MATCH(G414,Cables!$A:$A,0))-1),1),1),1),INDEX(Cables!$AP:$AP,MATCH(G414,Cables!$A:$A,0))-1))+1),INDEX(Attenuation!$J:$J,(INDEX(Cables!$AO:$AO,MATCH(G414,Cables!$A:$A,0))-1+MIN(MAX(IFERROR(MATCH(LN(D414),INDEX(Attenuation!$J:$J,INDEX(Cables!$AO:$AO,MATCH(G414,Cables!$A:$A,0))):INDEX(Attenuation!$J:$J,INDEX(Cables!$AO:$AO,MATCH(G414,Cables!$A:$A,0))+INDEX(Cables!$AP:$AP,MATCH(G414,Cables!$A:$A,0))-1),1),1),1),INDEX(Cables!$AP:$AP,MATCH(G414,Cables!$A:$A,0))-1))):INDEX(Attenuation!$J:$J,(INDEX(Cables!$AO:$AO,MATCH(G414,Cables!$A:$A,0))-1+MIN(MAX(IFERROR(MATCH(LN(D414),INDEX(Attenuation!$J:$J,INDEX(Cables!$AO:$AO,MATCH(G414,Cables!$A:$A,0))):INDEX(Attenuation!$J:$J,INDEX(Cables!$AO:$AO,MATCH(G414,Cables!$A:$A,0))+INDEX(Cables!$AP:$AP,MATCH(G414,Cables!$A:$A,0))-1),1),1),1),INDEX(Cables!$AP:$AP,MATCH(G414,Cables!$A:$A,0))-1))+1)))*0.3048)</f>
        <v>2.4677393255549025</v>
      </c>
      <c r="I414" s="43">
        <f>IF(G414="","",EXP(FORECAST(LN(E414),INDEX(Attenuation!$K:$K,(INDEX(Cables!$AO:$AO,MATCH(G414,Cables!$A:$A,0))-1+MIN(MAX(IFERROR(MATCH(LN(E414),INDEX(Attenuation!$J:$J,INDEX(Cables!$AO:$AO,MATCH(G414,Cables!$A:$A,0))):INDEX(Attenuation!$J:$J,INDEX(Cables!$AO:$AO,MATCH(G414,Cables!$A:$A,0))+INDEX(Cables!$AP:$AP,MATCH(G414,Cables!$A:$A,0))-1),1),1),1),INDEX(Cables!$AP:$AP,MATCH(G414,Cables!$A:$A,0))-1))):INDEX(Attenuation!$K:$K,(INDEX(Cables!$AO:$AO,MATCH(G414,Cables!$A:$A,0))-1+MIN(MAX(IFERROR(MATCH(LN(E414),INDEX(Attenuation!$J:$J,INDEX(Cables!$AO:$AO,MATCH(G414,Cables!$A:$A,0))):INDEX(Attenuation!$J:$J,INDEX(Cables!$AO:$AO,MATCH(G414,Cables!$A:$A,0))+INDEX(Cables!$AP:$AP,MATCH(G414,Cables!$A:$A,0))-1),1),1),1),INDEX(Cables!$AP:$AP,MATCH(G414,Cables!$A:$A,0))-1))+1),INDEX(Attenuation!$J:$J,(INDEX(Cables!$AO:$AO,MATCH(G414,Cables!$A:$A,0))-1+MIN(MAX(IFERROR(MATCH(LN(E414),INDEX(Attenuation!$J:$J,INDEX(Cables!$AO:$AO,MATCH(G414,Cables!$A:$A,0))):INDEX(Attenuation!$J:$J,INDEX(Cables!$AO:$AO,MATCH(G414,Cables!$A:$A,0))+INDEX(Cables!$AP:$AP,MATCH(G414,Cables!$A:$A,0))-1),1),1),1),INDEX(Cables!$AP:$AP,MATCH(G414,Cables!$A:$A,0))-1))):INDEX(Attenuation!$J:$J,(INDEX(Cables!$AO:$AO,MATCH(G414,Cables!$A:$A,0))-1+MIN(MAX(IFERROR(MATCH(LN(E414),INDEX(Attenuation!$J:$J,INDEX(Cables!$AO:$AO,MATCH(G414,Cables!$A:$A,0))):INDEX(Attenuation!$J:$J,INDEX(Cables!$AO:$AO,MATCH(G414,Cables!$A:$A,0))+INDEX(Cables!$AP:$AP,MATCH(G414,Cables!$A:$A,0))-1),1),1),1),INDEX(Cables!$AP:$AP,MATCH(G414,Cables!$A:$A,0))-1))+1)))*0.3048)</f>
        <v>2.6913929958547169</v>
      </c>
      <c r="J414" s="44">
        <f t="shared" si="6"/>
        <v>0</v>
      </c>
      <c r="K414" s="40" t="str">
        <f>IF(G414="","Doğrulanmadı",IF(ABS(J414)&lt;=0.1,"Uyumlu (±%10)",IF(ABS(J414)&lt;=0.25,"Fark %10-25","Fark &gt;%25"))&amp;IF(OR(D414&lt;INDEX(Cables!$AQ:$AQ,MATCH(G414,Cables!$A:$A,0)),E414&gt;INDEX(Cables!$AR:$AR,MATCH(G414,Cables!$A:$A,0)))," · ekstrapolasyon",""))</f>
        <v>Uyumlu (±%10)</v>
      </c>
    </row>
    <row r="415" spans="1:11" x14ac:dyDescent="0.25">
      <c r="A415" s="37" t="s">
        <v>3100</v>
      </c>
      <c r="B415" s="40" t="str">
        <f>INDEX(Legacy_Index!$D:$D,MATCH(A415,Legacy_Index!$A:$A,0))</f>
        <v>RG11/U</v>
      </c>
      <c r="C415" s="37" t="s">
        <v>3119</v>
      </c>
      <c r="D415" s="37">
        <v>220</v>
      </c>
      <c r="E415" s="37">
        <v>220</v>
      </c>
      <c r="F415" s="37">
        <v>2.2999999999999998</v>
      </c>
      <c r="G415" s="40" t="str">
        <f>IF(INDEX(Legacy_Index!$G:$G,MATCH(A415,Legacy_Index!$A:$A,0))="","",INDEX(Legacy_Index!$G:$G,MATCH(A415,Legacy_Index!$A:$A,0)))</f>
        <v>BEL-8261</v>
      </c>
      <c r="H415" s="43">
        <f>IF(G415="","",EXP(FORECAST(LN(D415),INDEX(Attenuation!$K:$K,(INDEX(Cables!$AO:$AO,MATCH(G415,Cables!$A:$A,0))-1+MIN(MAX(IFERROR(MATCH(LN(D415),INDEX(Attenuation!$J:$J,INDEX(Cables!$AO:$AO,MATCH(G415,Cables!$A:$A,0))):INDEX(Attenuation!$J:$J,INDEX(Cables!$AO:$AO,MATCH(G415,Cables!$A:$A,0))+INDEX(Cables!$AP:$AP,MATCH(G415,Cables!$A:$A,0))-1),1),1),1),INDEX(Cables!$AP:$AP,MATCH(G415,Cables!$A:$A,0))-1))):INDEX(Attenuation!$K:$K,(INDEX(Cables!$AO:$AO,MATCH(G415,Cables!$A:$A,0))-1+MIN(MAX(IFERROR(MATCH(LN(D415),INDEX(Attenuation!$J:$J,INDEX(Cables!$AO:$AO,MATCH(G415,Cables!$A:$A,0))):INDEX(Attenuation!$J:$J,INDEX(Cables!$AO:$AO,MATCH(G415,Cables!$A:$A,0))+INDEX(Cables!$AP:$AP,MATCH(G415,Cables!$A:$A,0))-1),1),1),1),INDEX(Cables!$AP:$AP,MATCH(G415,Cables!$A:$A,0))-1))+1),INDEX(Attenuation!$J:$J,(INDEX(Cables!$AO:$AO,MATCH(G415,Cables!$A:$A,0))-1+MIN(MAX(IFERROR(MATCH(LN(D415),INDEX(Attenuation!$J:$J,INDEX(Cables!$AO:$AO,MATCH(G415,Cables!$A:$A,0))):INDEX(Attenuation!$J:$J,INDEX(Cables!$AO:$AO,MATCH(G415,Cables!$A:$A,0))+INDEX(Cables!$AP:$AP,MATCH(G415,Cables!$A:$A,0))-1),1),1),1),INDEX(Cables!$AP:$AP,MATCH(G415,Cables!$A:$A,0))-1))):INDEX(Attenuation!$J:$J,(INDEX(Cables!$AO:$AO,MATCH(G415,Cables!$A:$A,0))-1+MIN(MAX(IFERROR(MATCH(LN(D415),INDEX(Attenuation!$J:$J,INDEX(Cables!$AO:$AO,MATCH(G415,Cables!$A:$A,0))):INDEX(Attenuation!$J:$J,INDEX(Cables!$AO:$AO,MATCH(G415,Cables!$A:$A,0))+INDEX(Cables!$AP:$AP,MATCH(G415,Cables!$A:$A,0))-1),1),1),1),INDEX(Cables!$AP:$AP,MATCH(G415,Cables!$A:$A,0))-1))+1)))*0.3048)</f>
        <v>3.0515157609938068</v>
      </c>
      <c r="I415" s="43">
        <f>IF(G415="","",EXP(FORECAST(LN(E415),INDEX(Attenuation!$K:$K,(INDEX(Cables!$AO:$AO,MATCH(G415,Cables!$A:$A,0))-1+MIN(MAX(IFERROR(MATCH(LN(E415),INDEX(Attenuation!$J:$J,INDEX(Cables!$AO:$AO,MATCH(G415,Cables!$A:$A,0))):INDEX(Attenuation!$J:$J,INDEX(Cables!$AO:$AO,MATCH(G415,Cables!$A:$A,0))+INDEX(Cables!$AP:$AP,MATCH(G415,Cables!$A:$A,0))-1),1),1),1),INDEX(Cables!$AP:$AP,MATCH(G415,Cables!$A:$A,0))-1))):INDEX(Attenuation!$K:$K,(INDEX(Cables!$AO:$AO,MATCH(G415,Cables!$A:$A,0))-1+MIN(MAX(IFERROR(MATCH(LN(E415),INDEX(Attenuation!$J:$J,INDEX(Cables!$AO:$AO,MATCH(G415,Cables!$A:$A,0))):INDEX(Attenuation!$J:$J,INDEX(Cables!$AO:$AO,MATCH(G415,Cables!$A:$A,0))+INDEX(Cables!$AP:$AP,MATCH(G415,Cables!$A:$A,0))-1),1),1),1),INDEX(Cables!$AP:$AP,MATCH(G415,Cables!$A:$A,0))-1))+1),INDEX(Attenuation!$J:$J,(INDEX(Cables!$AO:$AO,MATCH(G415,Cables!$A:$A,0))-1+MIN(MAX(IFERROR(MATCH(LN(E415),INDEX(Attenuation!$J:$J,INDEX(Cables!$AO:$AO,MATCH(G415,Cables!$A:$A,0))):INDEX(Attenuation!$J:$J,INDEX(Cables!$AO:$AO,MATCH(G415,Cables!$A:$A,0))+INDEX(Cables!$AP:$AP,MATCH(G415,Cables!$A:$A,0))-1),1),1),1),INDEX(Cables!$AP:$AP,MATCH(G415,Cables!$A:$A,0))-1))):INDEX(Attenuation!$J:$J,(INDEX(Cables!$AO:$AO,MATCH(G415,Cables!$A:$A,0))-1+MIN(MAX(IFERROR(MATCH(LN(E415),INDEX(Attenuation!$J:$J,INDEX(Cables!$AO:$AO,MATCH(G415,Cables!$A:$A,0))):INDEX(Attenuation!$J:$J,INDEX(Cables!$AO:$AO,MATCH(G415,Cables!$A:$A,0))+INDEX(Cables!$AP:$AP,MATCH(G415,Cables!$A:$A,0))-1),1),1),1),INDEX(Cables!$AP:$AP,MATCH(G415,Cables!$A:$A,0))-1))+1)))*0.3048)</f>
        <v>3.0515157609938068</v>
      </c>
      <c r="J415" s="44">
        <f t="shared" si="6"/>
        <v>-0.2462762180684448</v>
      </c>
      <c r="K415" s="40" t="str">
        <f>IF(G415="","Doğrulanmadı",IF(ABS(J415)&lt;=0.1,"Uyumlu (±%10)",IF(ABS(J415)&lt;=0.25,"Fark %10-25","Fark &gt;%25"))&amp;IF(OR(D415&lt;INDEX(Cables!$AQ:$AQ,MATCH(G415,Cables!$A:$A,0)),E415&gt;INDEX(Cables!$AR:$AR,MATCH(G415,Cables!$A:$A,0)))," · ekstrapolasyon",""))</f>
        <v>Fark %10-25</v>
      </c>
    </row>
    <row r="416" spans="1:11" x14ac:dyDescent="0.25">
      <c r="A416" s="37" t="s">
        <v>3100</v>
      </c>
      <c r="B416" s="40" t="str">
        <f>INDEX(Legacy_Index!$D:$D,MATCH(A416,Legacy_Index!$A:$A,0))</f>
        <v>RG11/U</v>
      </c>
      <c r="C416" s="37" t="s">
        <v>3115</v>
      </c>
      <c r="D416" s="37">
        <v>400</v>
      </c>
      <c r="E416" s="37">
        <v>520</v>
      </c>
      <c r="F416" s="37">
        <v>4.8</v>
      </c>
      <c r="G416" s="40" t="str">
        <f>IF(INDEX(Legacy_Index!$G:$G,MATCH(A416,Legacy_Index!$A:$A,0))="","",INDEX(Legacy_Index!$G:$G,MATCH(A416,Legacy_Index!$A:$A,0)))</f>
        <v>BEL-8261</v>
      </c>
      <c r="H416" s="43">
        <f>IF(G416="","",EXP(FORECAST(LN(D416),INDEX(Attenuation!$K:$K,(INDEX(Cables!$AO:$AO,MATCH(G416,Cables!$A:$A,0))-1+MIN(MAX(IFERROR(MATCH(LN(D416),INDEX(Attenuation!$J:$J,INDEX(Cables!$AO:$AO,MATCH(G416,Cables!$A:$A,0))):INDEX(Attenuation!$J:$J,INDEX(Cables!$AO:$AO,MATCH(G416,Cables!$A:$A,0))+INDEX(Cables!$AP:$AP,MATCH(G416,Cables!$A:$A,0))-1),1),1),1),INDEX(Cables!$AP:$AP,MATCH(G416,Cables!$A:$A,0))-1))):INDEX(Attenuation!$K:$K,(INDEX(Cables!$AO:$AO,MATCH(G416,Cables!$A:$A,0))-1+MIN(MAX(IFERROR(MATCH(LN(D416),INDEX(Attenuation!$J:$J,INDEX(Cables!$AO:$AO,MATCH(G416,Cables!$A:$A,0))):INDEX(Attenuation!$J:$J,INDEX(Cables!$AO:$AO,MATCH(G416,Cables!$A:$A,0))+INDEX(Cables!$AP:$AP,MATCH(G416,Cables!$A:$A,0))-1),1),1),1),INDEX(Cables!$AP:$AP,MATCH(G416,Cables!$A:$A,0))-1))+1),INDEX(Attenuation!$J:$J,(INDEX(Cables!$AO:$AO,MATCH(G416,Cables!$A:$A,0))-1+MIN(MAX(IFERROR(MATCH(LN(D416),INDEX(Attenuation!$J:$J,INDEX(Cables!$AO:$AO,MATCH(G416,Cables!$A:$A,0))):INDEX(Attenuation!$J:$J,INDEX(Cables!$AO:$AO,MATCH(G416,Cables!$A:$A,0))+INDEX(Cables!$AP:$AP,MATCH(G416,Cables!$A:$A,0))-1),1),1),1),INDEX(Cables!$AP:$AP,MATCH(G416,Cables!$A:$A,0))-1))):INDEX(Attenuation!$J:$J,(INDEX(Cables!$AO:$AO,MATCH(G416,Cables!$A:$A,0))-1+MIN(MAX(IFERROR(MATCH(LN(D416),INDEX(Attenuation!$J:$J,INDEX(Cables!$AO:$AO,MATCH(G416,Cables!$A:$A,0))):INDEX(Attenuation!$J:$J,INDEX(Cables!$AO:$AO,MATCH(G416,Cables!$A:$A,0))+INDEX(Cables!$AP:$AP,MATCH(G416,Cables!$A:$A,0))-1),1),1),1),INDEX(Cables!$AP:$AP,MATCH(G416,Cables!$A:$A,0))-1))+1)))*0.3048)</f>
        <v>4.1999999999999993</v>
      </c>
      <c r="I416" s="43">
        <f>IF(G416="","",EXP(FORECAST(LN(E416),INDEX(Attenuation!$K:$K,(INDEX(Cables!$AO:$AO,MATCH(G416,Cables!$A:$A,0))-1+MIN(MAX(IFERROR(MATCH(LN(E416),INDEX(Attenuation!$J:$J,INDEX(Cables!$AO:$AO,MATCH(G416,Cables!$A:$A,0))):INDEX(Attenuation!$J:$J,INDEX(Cables!$AO:$AO,MATCH(G416,Cables!$A:$A,0))+INDEX(Cables!$AP:$AP,MATCH(G416,Cables!$A:$A,0))-1),1),1),1),INDEX(Cables!$AP:$AP,MATCH(G416,Cables!$A:$A,0))-1))):INDEX(Attenuation!$K:$K,(INDEX(Cables!$AO:$AO,MATCH(G416,Cables!$A:$A,0))-1+MIN(MAX(IFERROR(MATCH(LN(E416),INDEX(Attenuation!$J:$J,INDEX(Cables!$AO:$AO,MATCH(G416,Cables!$A:$A,0))):INDEX(Attenuation!$J:$J,INDEX(Cables!$AO:$AO,MATCH(G416,Cables!$A:$A,0))+INDEX(Cables!$AP:$AP,MATCH(G416,Cables!$A:$A,0))-1),1),1),1),INDEX(Cables!$AP:$AP,MATCH(G416,Cables!$A:$A,0))-1))+1),INDEX(Attenuation!$J:$J,(INDEX(Cables!$AO:$AO,MATCH(G416,Cables!$A:$A,0))-1+MIN(MAX(IFERROR(MATCH(LN(E416),INDEX(Attenuation!$J:$J,INDEX(Cables!$AO:$AO,MATCH(G416,Cables!$A:$A,0))):INDEX(Attenuation!$J:$J,INDEX(Cables!$AO:$AO,MATCH(G416,Cables!$A:$A,0))+INDEX(Cables!$AP:$AP,MATCH(G416,Cables!$A:$A,0))-1),1),1),1),INDEX(Cables!$AP:$AP,MATCH(G416,Cables!$A:$A,0))-1))):INDEX(Attenuation!$J:$J,(INDEX(Cables!$AO:$AO,MATCH(G416,Cables!$A:$A,0))-1+MIN(MAX(IFERROR(MATCH(LN(E416),INDEX(Attenuation!$J:$J,INDEX(Cables!$AO:$AO,MATCH(G416,Cables!$A:$A,0))):INDEX(Attenuation!$J:$J,INDEX(Cables!$AO:$AO,MATCH(G416,Cables!$A:$A,0))+INDEX(Cables!$AP:$AP,MATCH(G416,Cables!$A:$A,0))-1),1),1),1),INDEX(Cables!$AP:$AP,MATCH(G416,Cables!$A:$A,0))-1))+1)))*0.3048)</f>
        <v>4.8861767206729478</v>
      </c>
      <c r="J416" s="44">
        <f t="shared" si="6"/>
        <v>0</v>
      </c>
      <c r="K416" s="40" t="str">
        <f>IF(G416="","Doğrulanmadı",IF(ABS(J416)&lt;=0.1,"Uyumlu (±%10)",IF(ABS(J416)&lt;=0.25,"Fark %10-25","Fark &gt;%25"))&amp;IF(OR(D416&lt;INDEX(Cables!$AQ:$AQ,MATCH(G416,Cables!$A:$A,0)),E416&gt;INDEX(Cables!$AR:$AR,MATCH(G416,Cables!$A:$A,0)))," · ekstrapolasyon",""))</f>
        <v>Uyumlu (±%10)</v>
      </c>
    </row>
    <row r="417" spans="1:11" x14ac:dyDescent="0.25">
      <c r="A417" s="37" t="s">
        <v>3100</v>
      </c>
      <c r="B417" s="40" t="str">
        <f>INDEX(Legacy_Index!$D:$D,MATCH(A417,Legacy_Index!$A:$A,0))</f>
        <v>RG11/U</v>
      </c>
      <c r="C417" s="37" t="s">
        <v>3116</v>
      </c>
      <c r="D417" s="37">
        <v>700</v>
      </c>
      <c r="E417" s="37">
        <v>960</v>
      </c>
      <c r="F417" s="37">
        <v>5.2</v>
      </c>
      <c r="G417" s="40" t="str">
        <f>IF(INDEX(Legacy_Index!$G:$G,MATCH(A417,Legacy_Index!$A:$A,0))="","",INDEX(Legacy_Index!$G:$G,MATCH(A417,Legacy_Index!$A:$A,0)))</f>
        <v>BEL-8261</v>
      </c>
      <c r="H417" s="43">
        <f>IF(G417="","",EXP(FORECAST(LN(D417),INDEX(Attenuation!$K:$K,(INDEX(Cables!$AO:$AO,MATCH(G417,Cables!$A:$A,0))-1+MIN(MAX(IFERROR(MATCH(LN(D417),INDEX(Attenuation!$J:$J,INDEX(Cables!$AO:$AO,MATCH(G417,Cables!$A:$A,0))):INDEX(Attenuation!$J:$J,INDEX(Cables!$AO:$AO,MATCH(G417,Cables!$A:$A,0))+INDEX(Cables!$AP:$AP,MATCH(G417,Cables!$A:$A,0))-1),1),1),1),INDEX(Cables!$AP:$AP,MATCH(G417,Cables!$A:$A,0))-1))):INDEX(Attenuation!$K:$K,(INDEX(Cables!$AO:$AO,MATCH(G417,Cables!$A:$A,0))-1+MIN(MAX(IFERROR(MATCH(LN(D417),INDEX(Attenuation!$J:$J,INDEX(Cables!$AO:$AO,MATCH(G417,Cables!$A:$A,0))):INDEX(Attenuation!$J:$J,INDEX(Cables!$AO:$AO,MATCH(G417,Cables!$A:$A,0))+INDEX(Cables!$AP:$AP,MATCH(G417,Cables!$A:$A,0))-1),1),1),1),INDEX(Cables!$AP:$AP,MATCH(G417,Cables!$A:$A,0))-1))+1),INDEX(Attenuation!$J:$J,(INDEX(Cables!$AO:$AO,MATCH(G417,Cables!$A:$A,0))-1+MIN(MAX(IFERROR(MATCH(LN(D417),INDEX(Attenuation!$J:$J,INDEX(Cables!$AO:$AO,MATCH(G417,Cables!$A:$A,0))):INDEX(Attenuation!$J:$J,INDEX(Cables!$AO:$AO,MATCH(G417,Cables!$A:$A,0))+INDEX(Cables!$AP:$AP,MATCH(G417,Cables!$A:$A,0))-1),1),1),1),INDEX(Cables!$AP:$AP,MATCH(G417,Cables!$A:$A,0))-1))):INDEX(Attenuation!$J:$J,(INDEX(Cables!$AO:$AO,MATCH(G417,Cables!$A:$A,0))-1+MIN(MAX(IFERROR(MATCH(LN(D417),INDEX(Attenuation!$J:$J,INDEX(Cables!$AO:$AO,MATCH(G417,Cables!$A:$A,0))):INDEX(Attenuation!$J:$J,INDEX(Cables!$AO:$AO,MATCH(G417,Cables!$A:$A,0))+INDEX(Cables!$AP:$AP,MATCH(G417,Cables!$A:$A,0))-1),1),1),1),INDEX(Cables!$AP:$AP,MATCH(G417,Cables!$A:$A,0))-1))+1)))*0.3048)</f>
        <v>5.7999999999999989</v>
      </c>
      <c r="I417" s="43">
        <f>IF(G417="","",EXP(FORECAST(LN(E417),INDEX(Attenuation!$K:$K,(INDEX(Cables!$AO:$AO,MATCH(G417,Cables!$A:$A,0))-1+MIN(MAX(IFERROR(MATCH(LN(E417),INDEX(Attenuation!$J:$J,INDEX(Cables!$AO:$AO,MATCH(G417,Cables!$A:$A,0))):INDEX(Attenuation!$J:$J,INDEX(Cables!$AO:$AO,MATCH(G417,Cables!$A:$A,0))+INDEX(Cables!$AP:$AP,MATCH(G417,Cables!$A:$A,0))-1),1),1),1),INDEX(Cables!$AP:$AP,MATCH(G417,Cables!$A:$A,0))-1))):INDEX(Attenuation!$K:$K,(INDEX(Cables!$AO:$AO,MATCH(G417,Cables!$A:$A,0))-1+MIN(MAX(IFERROR(MATCH(LN(E417),INDEX(Attenuation!$J:$J,INDEX(Cables!$AO:$AO,MATCH(G417,Cables!$A:$A,0))):INDEX(Attenuation!$J:$J,INDEX(Cables!$AO:$AO,MATCH(G417,Cables!$A:$A,0))+INDEX(Cables!$AP:$AP,MATCH(G417,Cables!$A:$A,0))-1),1),1),1),INDEX(Cables!$AP:$AP,MATCH(G417,Cables!$A:$A,0))-1))+1),INDEX(Attenuation!$J:$J,(INDEX(Cables!$AO:$AO,MATCH(G417,Cables!$A:$A,0))-1+MIN(MAX(IFERROR(MATCH(LN(E417),INDEX(Attenuation!$J:$J,INDEX(Cables!$AO:$AO,MATCH(G417,Cables!$A:$A,0))):INDEX(Attenuation!$J:$J,INDEX(Cables!$AO:$AO,MATCH(G417,Cables!$A:$A,0))+INDEX(Cables!$AP:$AP,MATCH(G417,Cables!$A:$A,0))-1),1),1),1),INDEX(Cables!$AP:$AP,MATCH(G417,Cables!$A:$A,0))-1))):INDEX(Attenuation!$J:$J,(INDEX(Cables!$AO:$AO,MATCH(G417,Cables!$A:$A,0))-1+MIN(MAX(IFERROR(MATCH(LN(E417),INDEX(Attenuation!$J:$J,INDEX(Cables!$AO:$AO,MATCH(G417,Cables!$A:$A,0))):INDEX(Attenuation!$J:$J,INDEX(Cables!$AO:$AO,MATCH(G417,Cables!$A:$A,0))+INDEX(Cables!$AP:$AP,MATCH(G417,Cables!$A:$A,0))-1),1),1),1),INDEX(Cables!$AP:$AP,MATCH(G417,Cables!$A:$A,0))-1))+1)))*0.3048)</f>
        <v>6.9822254640926333</v>
      </c>
      <c r="J417" s="44">
        <f t="shared" si="6"/>
        <v>-0.10344827586206873</v>
      </c>
      <c r="K417" s="40" t="str">
        <f>IF(G417="","Doğrulanmadı",IF(ABS(J417)&lt;=0.1,"Uyumlu (±%10)",IF(ABS(J417)&lt;=0.25,"Fark %10-25","Fark &gt;%25"))&amp;IF(OR(D417&lt;INDEX(Cables!$AQ:$AQ,MATCH(G417,Cables!$A:$A,0)),E417&gt;INDEX(Cables!$AR:$AR,MATCH(G417,Cables!$A:$A,0)))," · ekstrapolasyon",""))</f>
        <v>Fark %10-25</v>
      </c>
    </row>
    <row r="418" spans="1:11" x14ac:dyDescent="0.25">
      <c r="A418" s="37" t="s">
        <v>3100</v>
      </c>
      <c r="B418" s="40" t="str">
        <f>INDEX(Legacy_Index!$D:$D,MATCH(A418,Legacy_Index!$A:$A,0))</f>
        <v>RG11/U</v>
      </c>
      <c r="C418" s="37" t="s">
        <v>3120</v>
      </c>
      <c r="D418" s="37">
        <v>1200</v>
      </c>
      <c r="E418" s="37">
        <v>1300</v>
      </c>
      <c r="F418" s="37">
        <v>6.8</v>
      </c>
      <c r="G418" s="40" t="str">
        <f>IF(INDEX(Legacy_Index!$G:$G,MATCH(A418,Legacy_Index!$A:$A,0))="","",INDEX(Legacy_Index!$G:$G,MATCH(A418,Legacy_Index!$A:$A,0)))</f>
        <v>BEL-8261</v>
      </c>
      <c r="H418" s="43">
        <f>IF(G418="","",EXP(FORECAST(LN(D418),INDEX(Attenuation!$K:$K,(INDEX(Cables!$AO:$AO,MATCH(G418,Cables!$A:$A,0))-1+MIN(MAX(IFERROR(MATCH(LN(D418),INDEX(Attenuation!$J:$J,INDEX(Cables!$AO:$AO,MATCH(G418,Cables!$A:$A,0))):INDEX(Attenuation!$J:$J,INDEX(Cables!$AO:$AO,MATCH(G418,Cables!$A:$A,0))+INDEX(Cables!$AP:$AP,MATCH(G418,Cables!$A:$A,0))-1),1),1),1),INDEX(Cables!$AP:$AP,MATCH(G418,Cables!$A:$A,0))-1))):INDEX(Attenuation!$K:$K,(INDEX(Cables!$AO:$AO,MATCH(G418,Cables!$A:$A,0))-1+MIN(MAX(IFERROR(MATCH(LN(D418),INDEX(Attenuation!$J:$J,INDEX(Cables!$AO:$AO,MATCH(G418,Cables!$A:$A,0))):INDEX(Attenuation!$J:$J,INDEX(Cables!$AO:$AO,MATCH(G418,Cables!$A:$A,0))+INDEX(Cables!$AP:$AP,MATCH(G418,Cables!$A:$A,0))-1),1),1),1),INDEX(Cables!$AP:$AP,MATCH(G418,Cables!$A:$A,0))-1))+1),INDEX(Attenuation!$J:$J,(INDEX(Cables!$AO:$AO,MATCH(G418,Cables!$A:$A,0))-1+MIN(MAX(IFERROR(MATCH(LN(D418),INDEX(Attenuation!$J:$J,INDEX(Cables!$AO:$AO,MATCH(G418,Cables!$A:$A,0))):INDEX(Attenuation!$J:$J,INDEX(Cables!$AO:$AO,MATCH(G418,Cables!$A:$A,0))+INDEX(Cables!$AP:$AP,MATCH(G418,Cables!$A:$A,0))-1),1),1),1),INDEX(Cables!$AP:$AP,MATCH(G418,Cables!$A:$A,0))-1))):INDEX(Attenuation!$J:$J,(INDEX(Cables!$AO:$AO,MATCH(G418,Cables!$A:$A,0))-1+MIN(MAX(IFERROR(MATCH(LN(D418),INDEX(Attenuation!$J:$J,INDEX(Cables!$AO:$AO,MATCH(G418,Cables!$A:$A,0))):INDEX(Attenuation!$J:$J,INDEX(Cables!$AO:$AO,MATCH(G418,Cables!$A:$A,0))+INDEX(Cables!$AP:$AP,MATCH(G418,Cables!$A:$A,0))-1),1),1),1),INDEX(Cables!$AP:$AP,MATCH(G418,Cables!$A:$A,0))-1))+1)))*0.3048)</f>
        <v>7.6507390747903292</v>
      </c>
      <c r="I418" s="43">
        <f>IF(G418="","",EXP(FORECAST(LN(E418),INDEX(Attenuation!$K:$K,(INDEX(Cables!$AO:$AO,MATCH(G418,Cables!$A:$A,0))-1+MIN(MAX(IFERROR(MATCH(LN(E418),INDEX(Attenuation!$J:$J,INDEX(Cables!$AO:$AO,MATCH(G418,Cables!$A:$A,0))):INDEX(Attenuation!$J:$J,INDEX(Cables!$AO:$AO,MATCH(G418,Cables!$A:$A,0))+INDEX(Cables!$AP:$AP,MATCH(G418,Cables!$A:$A,0))-1),1),1),1),INDEX(Cables!$AP:$AP,MATCH(G418,Cables!$A:$A,0))-1))):INDEX(Attenuation!$K:$K,(INDEX(Cables!$AO:$AO,MATCH(G418,Cables!$A:$A,0))-1+MIN(MAX(IFERROR(MATCH(LN(E418),INDEX(Attenuation!$J:$J,INDEX(Cables!$AO:$AO,MATCH(G418,Cables!$A:$A,0))):INDEX(Attenuation!$J:$J,INDEX(Cables!$AO:$AO,MATCH(G418,Cables!$A:$A,0))+INDEX(Cables!$AP:$AP,MATCH(G418,Cables!$A:$A,0))-1),1),1),1),INDEX(Cables!$AP:$AP,MATCH(G418,Cables!$A:$A,0))-1))+1),INDEX(Attenuation!$J:$J,(INDEX(Cables!$AO:$AO,MATCH(G418,Cables!$A:$A,0))-1+MIN(MAX(IFERROR(MATCH(LN(E418),INDEX(Attenuation!$J:$J,INDEX(Cables!$AO:$AO,MATCH(G418,Cables!$A:$A,0))):INDEX(Attenuation!$J:$J,INDEX(Cables!$AO:$AO,MATCH(G418,Cables!$A:$A,0))+INDEX(Cables!$AP:$AP,MATCH(G418,Cables!$A:$A,0))-1),1),1),1),INDEX(Cables!$AP:$AP,MATCH(G418,Cables!$A:$A,0))-1))):INDEX(Attenuation!$J:$J,(INDEX(Cables!$AO:$AO,MATCH(G418,Cables!$A:$A,0))-1+MIN(MAX(IFERROR(MATCH(LN(E418),INDEX(Attenuation!$J:$J,INDEX(Cables!$AO:$AO,MATCH(G418,Cables!$A:$A,0))):INDEX(Attenuation!$J:$J,INDEX(Cables!$AO:$AO,MATCH(G418,Cables!$A:$A,0))+INDEX(Cables!$AP:$AP,MATCH(G418,Cables!$A:$A,0))-1),1),1),1),INDEX(Cables!$AP:$AP,MATCH(G418,Cables!$A:$A,0))-1))+1)))*0.3048)</f>
        <v>7.9058286083073641</v>
      </c>
      <c r="J418" s="44">
        <f t="shared" si="6"/>
        <v>-0.1111969793341363</v>
      </c>
      <c r="K418" s="40" t="str">
        <f>IF(G418="","Doğrulanmadı",IF(ABS(J418)&lt;=0.1,"Uyumlu (±%10)",IF(ABS(J418)&lt;=0.25,"Fark %10-25","Fark &gt;%25"))&amp;IF(OR(D418&lt;INDEX(Cables!$AQ:$AQ,MATCH(G418,Cables!$A:$A,0)),E418&gt;INDEX(Cables!$AR:$AR,MATCH(G418,Cables!$A:$A,0)))," · ekstrapolasyon",""))</f>
        <v>Fark %10-25 · ekstrapolasyon</v>
      </c>
    </row>
  </sheetData>
  <conditionalFormatting sqref="K2:K418">
    <cfRule type="expression" dxfId="2" priority="1">
      <formula>ISNUMBER(SEARCH("Fark &gt;%25",K2))</formula>
    </cfRule>
    <cfRule type="expression" dxfId="1" priority="2">
      <formula>ISNUMBER(SEARCH("Fark %10-25",K2))</formula>
    </cfRule>
    <cfRule type="expression" dxfId="0" priority="3">
      <formula>ISNUMBER(SEARCH("Uyumlu",K2))</formula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70" customWidth="1"/>
    <col min="4" max="4" width="12" customWidth="1"/>
    <col min="5" max="5" width="9" customWidth="1"/>
  </cols>
  <sheetData>
    <row r="1" spans="1:5" x14ac:dyDescent="0.25">
      <c r="A1" s="27" t="s">
        <v>3123</v>
      </c>
      <c r="B1" s="27" t="s">
        <v>3124</v>
      </c>
      <c r="C1" s="27" t="s">
        <v>3125</v>
      </c>
      <c r="D1" s="27" t="s">
        <v>690</v>
      </c>
      <c r="E1" s="27" t="s">
        <v>3126</v>
      </c>
    </row>
    <row r="2" spans="1:5" x14ac:dyDescent="0.25">
      <c r="A2" s="45" t="s">
        <v>3127</v>
      </c>
      <c r="B2" s="45" t="s">
        <v>52</v>
      </c>
      <c r="C2" s="45" t="s">
        <v>3128</v>
      </c>
      <c r="D2" s="45"/>
      <c r="E2" s="45" t="s">
        <v>3129</v>
      </c>
    </row>
    <row r="3" spans="1:5" x14ac:dyDescent="0.25">
      <c r="A3" s="45" t="s">
        <v>3127</v>
      </c>
      <c r="B3" s="45" t="s">
        <v>112</v>
      </c>
      <c r="C3" s="45" t="s">
        <v>3130</v>
      </c>
      <c r="D3" s="45"/>
      <c r="E3" s="45" t="s">
        <v>3129</v>
      </c>
    </row>
    <row r="4" spans="1:5" x14ac:dyDescent="0.25">
      <c r="A4" s="45" t="s">
        <v>3127</v>
      </c>
      <c r="B4" s="45" t="s">
        <v>113</v>
      </c>
      <c r="C4" s="45" t="s">
        <v>2700</v>
      </c>
      <c r="D4" s="45"/>
      <c r="E4" s="45" t="s">
        <v>3129</v>
      </c>
    </row>
    <row r="5" spans="1:5" x14ac:dyDescent="0.25">
      <c r="A5" s="45" t="s">
        <v>3127</v>
      </c>
      <c r="B5" s="45" t="s">
        <v>114</v>
      </c>
      <c r="C5" s="45" t="s">
        <v>3131</v>
      </c>
      <c r="D5" s="45"/>
      <c r="E5" s="45" t="s">
        <v>3129</v>
      </c>
    </row>
    <row r="6" spans="1:5" x14ac:dyDescent="0.25">
      <c r="A6" s="45" t="s">
        <v>3127</v>
      </c>
      <c r="B6" s="45" t="s">
        <v>115</v>
      </c>
      <c r="C6" s="45" t="s">
        <v>3132</v>
      </c>
      <c r="D6" s="45"/>
      <c r="E6" s="45" t="s">
        <v>3129</v>
      </c>
    </row>
    <row r="7" spans="1:5" x14ac:dyDescent="0.25">
      <c r="A7" s="45" t="s">
        <v>3127</v>
      </c>
      <c r="B7" s="45" t="s">
        <v>116</v>
      </c>
      <c r="C7" s="45" t="s">
        <v>3133</v>
      </c>
      <c r="D7" s="45" t="s">
        <v>3134</v>
      </c>
      <c r="E7" s="45" t="s">
        <v>3129</v>
      </c>
    </row>
    <row r="8" spans="1:5" x14ac:dyDescent="0.25">
      <c r="A8" s="45" t="s">
        <v>3127</v>
      </c>
      <c r="B8" s="45" t="s">
        <v>117</v>
      </c>
      <c r="C8" s="45" t="s">
        <v>3135</v>
      </c>
      <c r="D8" s="45" t="s">
        <v>3134</v>
      </c>
      <c r="E8" s="45" t="s">
        <v>3129</v>
      </c>
    </row>
    <row r="9" spans="1:5" x14ac:dyDescent="0.25">
      <c r="A9" s="45" t="s">
        <v>3127</v>
      </c>
      <c r="B9" s="45" t="s">
        <v>118</v>
      </c>
      <c r="C9" s="45" t="s">
        <v>3136</v>
      </c>
      <c r="D9" s="45" t="s">
        <v>3137</v>
      </c>
      <c r="E9" s="45" t="s">
        <v>3129</v>
      </c>
    </row>
    <row r="10" spans="1:5" x14ac:dyDescent="0.25">
      <c r="A10" s="45" t="s">
        <v>3127</v>
      </c>
      <c r="B10" s="45" t="s">
        <v>119</v>
      </c>
      <c r="C10" s="45" t="s">
        <v>3138</v>
      </c>
      <c r="D10" s="45"/>
      <c r="E10" s="45" t="s">
        <v>3129</v>
      </c>
    </row>
    <row r="11" spans="1:5" x14ac:dyDescent="0.25">
      <c r="A11" s="45" t="s">
        <v>3127</v>
      </c>
      <c r="B11" s="45" t="s">
        <v>120</v>
      </c>
      <c r="C11" s="45" t="s">
        <v>3139</v>
      </c>
      <c r="D11" s="45"/>
      <c r="E11" s="45" t="s">
        <v>3129</v>
      </c>
    </row>
    <row r="12" spans="1:5" x14ac:dyDescent="0.25">
      <c r="A12" s="45" t="s">
        <v>3127</v>
      </c>
      <c r="B12" s="45" t="s">
        <v>121</v>
      </c>
      <c r="C12" s="45" t="s">
        <v>3140</v>
      </c>
      <c r="D12" s="45" t="s">
        <v>3137</v>
      </c>
      <c r="E12" s="45" t="s">
        <v>3129</v>
      </c>
    </row>
    <row r="13" spans="1:5" x14ac:dyDescent="0.25">
      <c r="A13" s="45" t="s">
        <v>3127</v>
      </c>
      <c r="B13" s="45" t="s">
        <v>122</v>
      </c>
      <c r="C13" s="45" t="s">
        <v>3141</v>
      </c>
      <c r="D13" s="45"/>
      <c r="E13" s="45" t="s">
        <v>3129</v>
      </c>
    </row>
    <row r="14" spans="1:5" x14ac:dyDescent="0.25">
      <c r="A14" s="45" t="s">
        <v>3127</v>
      </c>
      <c r="B14" s="45" t="s">
        <v>123</v>
      </c>
      <c r="C14" s="45" t="s">
        <v>3142</v>
      </c>
      <c r="D14" s="45" t="s">
        <v>3137</v>
      </c>
      <c r="E14" s="45" t="s">
        <v>3129</v>
      </c>
    </row>
    <row r="15" spans="1:5" x14ac:dyDescent="0.25">
      <c r="A15" s="45" t="s">
        <v>3127</v>
      </c>
      <c r="B15" s="45" t="s">
        <v>124</v>
      </c>
      <c r="C15" s="45" t="s">
        <v>3143</v>
      </c>
      <c r="D15" s="45"/>
      <c r="E15" s="45" t="s">
        <v>3129</v>
      </c>
    </row>
    <row r="16" spans="1:5" x14ac:dyDescent="0.25">
      <c r="A16" s="45" t="s">
        <v>3127</v>
      </c>
      <c r="B16" s="45" t="s">
        <v>125</v>
      </c>
      <c r="C16" s="45" t="s">
        <v>3144</v>
      </c>
      <c r="D16" s="45" t="s">
        <v>3145</v>
      </c>
      <c r="E16" s="45" t="s">
        <v>3129</v>
      </c>
    </row>
    <row r="17" spans="1:5" x14ac:dyDescent="0.25">
      <c r="A17" s="45" t="s">
        <v>3127</v>
      </c>
      <c r="B17" s="45" t="s">
        <v>126</v>
      </c>
      <c r="C17" s="45" t="s">
        <v>3146</v>
      </c>
      <c r="D17" s="45"/>
      <c r="E17" s="45" t="s">
        <v>3129</v>
      </c>
    </row>
    <row r="18" spans="1:5" x14ac:dyDescent="0.25">
      <c r="A18" s="45" t="s">
        <v>3127</v>
      </c>
      <c r="B18" s="45" t="s">
        <v>84</v>
      </c>
      <c r="C18" s="45" t="s">
        <v>3147</v>
      </c>
      <c r="D18" s="45" t="s">
        <v>2674</v>
      </c>
      <c r="E18" s="45" t="s">
        <v>3129</v>
      </c>
    </row>
    <row r="19" spans="1:5" x14ac:dyDescent="0.25">
      <c r="A19" s="45" t="s">
        <v>3127</v>
      </c>
      <c r="B19" s="45" t="s">
        <v>127</v>
      </c>
      <c r="C19" s="45" t="s">
        <v>3148</v>
      </c>
      <c r="D19" s="45" t="s">
        <v>3149</v>
      </c>
      <c r="E19" s="45" t="s">
        <v>3129</v>
      </c>
    </row>
    <row r="20" spans="1:5" x14ac:dyDescent="0.25">
      <c r="A20" s="45" t="s">
        <v>3127</v>
      </c>
      <c r="B20" s="45" t="s">
        <v>128</v>
      </c>
      <c r="C20" s="45" t="s">
        <v>3150</v>
      </c>
      <c r="D20" s="45" t="s">
        <v>3151</v>
      </c>
      <c r="E20" s="45" t="s">
        <v>3129</v>
      </c>
    </row>
    <row r="21" spans="1:5" x14ac:dyDescent="0.25">
      <c r="A21" s="45" t="s">
        <v>3127</v>
      </c>
      <c r="B21" s="45" t="s">
        <v>129</v>
      </c>
      <c r="C21" s="45" t="s">
        <v>3152</v>
      </c>
      <c r="D21" s="45" t="s">
        <v>3153</v>
      </c>
      <c r="E21" s="45" t="s">
        <v>3129</v>
      </c>
    </row>
    <row r="22" spans="1:5" x14ac:dyDescent="0.25">
      <c r="A22" s="45" t="s">
        <v>3127</v>
      </c>
      <c r="B22" s="45" t="s">
        <v>130</v>
      </c>
      <c r="C22" s="45" t="s">
        <v>3154</v>
      </c>
      <c r="D22" s="45" t="s">
        <v>3153</v>
      </c>
      <c r="E22" s="45" t="s">
        <v>3129</v>
      </c>
    </row>
    <row r="23" spans="1:5" x14ac:dyDescent="0.25">
      <c r="A23" s="45" t="s">
        <v>3127</v>
      </c>
      <c r="B23" s="45" t="s">
        <v>131</v>
      </c>
      <c r="C23" s="45" t="s">
        <v>3155</v>
      </c>
      <c r="D23" s="45" t="s">
        <v>3156</v>
      </c>
      <c r="E23" s="45" t="s">
        <v>3129</v>
      </c>
    </row>
    <row r="24" spans="1:5" x14ac:dyDescent="0.25">
      <c r="A24" s="45" t="s">
        <v>3127</v>
      </c>
      <c r="B24" s="45" t="s">
        <v>132</v>
      </c>
      <c r="C24" s="45" t="s">
        <v>3157</v>
      </c>
      <c r="D24" s="45" t="s">
        <v>3158</v>
      </c>
      <c r="E24" s="45" t="s">
        <v>3129</v>
      </c>
    </row>
    <row r="25" spans="1:5" x14ac:dyDescent="0.25">
      <c r="A25" s="45" t="s">
        <v>3127</v>
      </c>
      <c r="B25" s="45" t="s">
        <v>133</v>
      </c>
      <c r="C25" s="45" t="s">
        <v>3159</v>
      </c>
      <c r="D25" s="45" t="s">
        <v>1895</v>
      </c>
      <c r="E25" s="45" t="s">
        <v>3129</v>
      </c>
    </row>
    <row r="26" spans="1:5" x14ac:dyDescent="0.25">
      <c r="A26" s="45" t="s">
        <v>3127</v>
      </c>
      <c r="B26" s="45" t="s">
        <v>134</v>
      </c>
      <c r="C26" s="45" t="s">
        <v>214</v>
      </c>
      <c r="D26" s="45" t="s">
        <v>3160</v>
      </c>
      <c r="E26" s="45" t="s">
        <v>3129</v>
      </c>
    </row>
    <row r="27" spans="1:5" x14ac:dyDescent="0.25">
      <c r="A27" s="45" t="s">
        <v>3127</v>
      </c>
      <c r="B27" s="45" t="s">
        <v>135</v>
      </c>
      <c r="C27" s="45" t="s">
        <v>3161</v>
      </c>
      <c r="D27" s="45"/>
      <c r="E27" s="45" t="s">
        <v>3129</v>
      </c>
    </row>
    <row r="28" spans="1:5" x14ac:dyDescent="0.25">
      <c r="A28" s="45" t="s">
        <v>3127</v>
      </c>
      <c r="B28" s="45" t="s">
        <v>136</v>
      </c>
      <c r="C28" s="45" t="s">
        <v>3162</v>
      </c>
      <c r="D28" s="45" t="s">
        <v>3137</v>
      </c>
      <c r="E28" s="45" t="s">
        <v>3129</v>
      </c>
    </row>
    <row r="29" spans="1:5" x14ac:dyDescent="0.25">
      <c r="A29" s="45" t="s">
        <v>3127</v>
      </c>
      <c r="B29" s="45" t="s">
        <v>137</v>
      </c>
      <c r="C29" s="45" t="s">
        <v>3163</v>
      </c>
      <c r="D29" s="45" t="s">
        <v>3137</v>
      </c>
      <c r="E29" s="45" t="s">
        <v>3129</v>
      </c>
    </row>
    <row r="30" spans="1:5" x14ac:dyDescent="0.25">
      <c r="A30" s="45" t="s">
        <v>3127</v>
      </c>
      <c r="B30" s="45" t="s">
        <v>138</v>
      </c>
      <c r="C30" s="45" t="s">
        <v>3164</v>
      </c>
      <c r="D30" s="45" t="s">
        <v>3165</v>
      </c>
      <c r="E30" s="45" t="s">
        <v>3129</v>
      </c>
    </row>
    <row r="31" spans="1:5" x14ac:dyDescent="0.25">
      <c r="A31" s="45" t="s">
        <v>3127</v>
      </c>
      <c r="B31" s="45" t="s">
        <v>139</v>
      </c>
      <c r="C31" s="45" t="s">
        <v>3166</v>
      </c>
      <c r="D31" s="45" t="s">
        <v>3167</v>
      </c>
      <c r="E31" s="45" t="s">
        <v>3129</v>
      </c>
    </row>
    <row r="32" spans="1:5" x14ac:dyDescent="0.25">
      <c r="A32" s="45" t="s">
        <v>3127</v>
      </c>
      <c r="B32" s="45" t="s">
        <v>140</v>
      </c>
      <c r="C32" s="45" t="s">
        <v>3168</v>
      </c>
      <c r="D32" s="45" t="s">
        <v>3169</v>
      </c>
      <c r="E32" s="45" t="s">
        <v>3129</v>
      </c>
    </row>
    <row r="33" spans="1:5" x14ac:dyDescent="0.25">
      <c r="A33" s="45" t="s">
        <v>3127</v>
      </c>
      <c r="B33" s="45" t="s">
        <v>141</v>
      </c>
      <c r="C33" s="45" t="s">
        <v>3170</v>
      </c>
      <c r="D33" s="45" t="s">
        <v>3169</v>
      </c>
      <c r="E33" s="45" t="s">
        <v>3129</v>
      </c>
    </row>
    <row r="34" spans="1:5" x14ac:dyDescent="0.25">
      <c r="A34" s="45" t="s">
        <v>3127</v>
      </c>
      <c r="B34" s="45" t="s">
        <v>142</v>
      </c>
      <c r="C34" s="45" t="s">
        <v>3171</v>
      </c>
      <c r="D34" s="45"/>
      <c r="E34" s="45" t="s">
        <v>3129</v>
      </c>
    </row>
    <row r="35" spans="1:5" x14ac:dyDescent="0.25">
      <c r="A35" s="45" t="s">
        <v>3127</v>
      </c>
      <c r="B35" s="45" t="s">
        <v>143</v>
      </c>
      <c r="C35" s="45" t="s">
        <v>3172</v>
      </c>
      <c r="D35" s="45"/>
      <c r="E35" s="45" t="s">
        <v>3129</v>
      </c>
    </row>
    <row r="36" spans="1:5" x14ac:dyDescent="0.25">
      <c r="A36" s="45" t="s">
        <v>3127</v>
      </c>
      <c r="B36" s="45" t="s">
        <v>144</v>
      </c>
      <c r="C36" s="45" t="s">
        <v>3173</v>
      </c>
      <c r="D36" s="45"/>
      <c r="E36" s="45" t="s">
        <v>3129</v>
      </c>
    </row>
    <row r="37" spans="1:5" x14ac:dyDescent="0.25">
      <c r="A37" s="45" t="s">
        <v>3127</v>
      </c>
      <c r="B37" s="45" t="s">
        <v>145</v>
      </c>
      <c r="C37" s="45" t="s">
        <v>3174</v>
      </c>
      <c r="D37" s="45"/>
      <c r="E37" s="45" t="s">
        <v>3129</v>
      </c>
    </row>
    <row r="38" spans="1:5" x14ac:dyDescent="0.25">
      <c r="A38" s="45" t="s">
        <v>3127</v>
      </c>
      <c r="B38" s="45" t="s">
        <v>146</v>
      </c>
      <c r="C38" s="45" t="s">
        <v>3175</v>
      </c>
      <c r="D38" s="45" t="s">
        <v>707</v>
      </c>
      <c r="E38" s="45" t="s">
        <v>3129</v>
      </c>
    </row>
    <row r="39" spans="1:5" x14ac:dyDescent="0.25">
      <c r="A39" s="45" t="s">
        <v>3127</v>
      </c>
      <c r="B39" s="45" t="s">
        <v>147</v>
      </c>
      <c r="C39" s="45" t="s">
        <v>3176</v>
      </c>
      <c r="D39" s="45" t="s">
        <v>707</v>
      </c>
      <c r="E39" s="45" t="s">
        <v>3129</v>
      </c>
    </row>
    <row r="40" spans="1:5" x14ac:dyDescent="0.25">
      <c r="A40" s="45" t="s">
        <v>3127</v>
      </c>
      <c r="B40" s="45" t="s">
        <v>148</v>
      </c>
      <c r="C40" s="45" t="s">
        <v>3177</v>
      </c>
      <c r="D40" s="45"/>
      <c r="E40" s="45" t="s">
        <v>3129</v>
      </c>
    </row>
    <row r="41" spans="1:5" x14ac:dyDescent="0.25">
      <c r="A41" s="45" t="s">
        <v>3127</v>
      </c>
      <c r="B41" s="45" t="s">
        <v>149</v>
      </c>
      <c r="C41" s="45" t="s">
        <v>3178</v>
      </c>
      <c r="D41" s="45"/>
      <c r="E41" s="45" t="s">
        <v>3129</v>
      </c>
    </row>
    <row r="42" spans="1:5" x14ac:dyDescent="0.25">
      <c r="A42" s="45" t="s">
        <v>3127</v>
      </c>
      <c r="B42" s="45" t="s">
        <v>77</v>
      </c>
      <c r="C42" s="45" t="s">
        <v>3179</v>
      </c>
      <c r="D42" s="45"/>
      <c r="E42" s="45" t="s">
        <v>3180</v>
      </c>
    </row>
    <row r="43" spans="1:5" x14ac:dyDescent="0.25">
      <c r="A43" s="45" t="s">
        <v>3127</v>
      </c>
      <c r="B43" s="45" t="s">
        <v>79</v>
      </c>
      <c r="C43" s="45" t="s">
        <v>3181</v>
      </c>
      <c r="D43" s="45"/>
      <c r="E43" s="45" t="s">
        <v>3180</v>
      </c>
    </row>
    <row r="44" spans="1:5" x14ac:dyDescent="0.25">
      <c r="A44" s="45" t="s">
        <v>3127</v>
      </c>
      <c r="B44" s="45" t="s">
        <v>85</v>
      </c>
      <c r="C44" s="45" t="s">
        <v>3182</v>
      </c>
      <c r="D44" s="45" t="s">
        <v>3158</v>
      </c>
      <c r="E44" s="45" t="s">
        <v>3180</v>
      </c>
    </row>
    <row r="45" spans="1:5" x14ac:dyDescent="0.25">
      <c r="A45" s="45" t="s">
        <v>3127</v>
      </c>
      <c r="B45" s="45" t="s">
        <v>87</v>
      </c>
      <c r="C45" s="45" t="s">
        <v>3183</v>
      </c>
      <c r="D45" s="45" t="s">
        <v>3158</v>
      </c>
      <c r="E45" s="45" t="s">
        <v>3180</v>
      </c>
    </row>
    <row r="46" spans="1:5" x14ac:dyDescent="0.25">
      <c r="A46" s="45" t="s">
        <v>3127</v>
      </c>
      <c r="B46" s="45" t="s">
        <v>150</v>
      </c>
      <c r="C46" s="45" t="s">
        <v>3184</v>
      </c>
      <c r="D46" s="45" t="s">
        <v>771</v>
      </c>
      <c r="E46" s="45" t="s">
        <v>3180</v>
      </c>
    </row>
    <row r="47" spans="1:5" x14ac:dyDescent="0.25">
      <c r="A47" s="45" t="s">
        <v>3127</v>
      </c>
      <c r="B47" s="45" t="s">
        <v>151</v>
      </c>
      <c r="C47" s="45" t="s">
        <v>3185</v>
      </c>
      <c r="D47" s="45" t="s">
        <v>771</v>
      </c>
      <c r="E47" s="45" t="s">
        <v>3180</v>
      </c>
    </row>
    <row r="48" spans="1:5" x14ac:dyDescent="0.25">
      <c r="A48" s="45" t="s">
        <v>3127</v>
      </c>
      <c r="B48" s="45" t="s">
        <v>152</v>
      </c>
      <c r="C48" s="45" t="s">
        <v>3186</v>
      </c>
      <c r="D48" s="45" t="s">
        <v>771</v>
      </c>
      <c r="E48" s="45" t="s">
        <v>3180</v>
      </c>
    </row>
    <row r="49" spans="1:5" x14ac:dyDescent="0.25">
      <c r="A49" s="45" t="s">
        <v>3127</v>
      </c>
      <c r="B49" s="45" t="s">
        <v>153</v>
      </c>
      <c r="C49" s="45" t="s">
        <v>3187</v>
      </c>
      <c r="D49" s="45" t="s">
        <v>3145</v>
      </c>
      <c r="E49" s="45" t="s">
        <v>3180</v>
      </c>
    </row>
    <row r="50" spans="1:5" x14ac:dyDescent="0.25">
      <c r="A50" s="45" t="s">
        <v>3127</v>
      </c>
      <c r="B50" s="45" t="s">
        <v>81</v>
      </c>
      <c r="C50" s="45" t="s">
        <v>3188</v>
      </c>
      <c r="D50" s="45"/>
      <c r="E50" s="45" t="s">
        <v>3180</v>
      </c>
    </row>
    <row r="51" spans="1:5" x14ac:dyDescent="0.25">
      <c r="A51" s="45" t="s">
        <v>3127</v>
      </c>
      <c r="B51" s="45" t="s">
        <v>83</v>
      </c>
      <c r="C51" s="45" t="s">
        <v>3189</v>
      </c>
      <c r="D51" s="45"/>
      <c r="E51" s="45" t="s">
        <v>3180</v>
      </c>
    </row>
    <row r="52" spans="1:5" x14ac:dyDescent="0.25">
      <c r="A52" s="45" t="s">
        <v>3190</v>
      </c>
      <c r="B52" s="45" t="s">
        <v>687</v>
      </c>
      <c r="C52" s="45" t="s">
        <v>3191</v>
      </c>
      <c r="D52" s="45"/>
      <c r="E52" s="45" t="s">
        <v>3129</v>
      </c>
    </row>
    <row r="53" spans="1:5" x14ac:dyDescent="0.25">
      <c r="A53" s="45" t="s">
        <v>3190</v>
      </c>
      <c r="B53" s="45" t="s">
        <v>52</v>
      </c>
      <c r="C53" s="45" t="s">
        <v>3192</v>
      </c>
      <c r="D53" s="45"/>
      <c r="E53" s="45" t="s">
        <v>3129</v>
      </c>
    </row>
    <row r="54" spans="1:5" x14ac:dyDescent="0.25">
      <c r="A54" s="45" t="s">
        <v>3190</v>
      </c>
      <c r="B54" s="45" t="s">
        <v>688</v>
      </c>
      <c r="C54" s="45" t="s">
        <v>3193</v>
      </c>
      <c r="D54" s="45" t="s">
        <v>3158</v>
      </c>
      <c r="E54" s="45" t="s">
        <v>3129</v>
      </c>
    </row>
    <row r="55" spans="1:5" x14ac:dyDescent="0.25">
      <c r="A55" s="45" t="s">
        <v>3190</v>
      </c>
      <c r="B55" s="45" t="s">
        <v>689</v>
      </c>
      <c r="C55" s="45" t="s">
        <v>3194</v>
      </c>
      <c r="D55" s="45" t="s">
        <v>3195</v>
      </c>
      <c r="E55" s="45" t="s">
        <v>3129</v>
      </c>
    </row>
    <row r="56" spans="1:5" x14ac:dyDescent="0.25">
      <c r="A56" s="45" t="s">
        <v>3190</v>
      </c>
      <c r="B56" s="45" t="s">
        <v>690</v>
      </c>
      <c r="C56" s="45" t="s">
        <v>3196</v>
      </c>
      <c r="D56" s="45"/>
      <c r="E56" s="45" t="s">
        <v>3129</v>
      </c>
    </row>
    <row r="57" spans="1:5" x14ac:dyDescent="0.25">
      <c r="A57" s="45" t="s">
        <v>3190</v>
      </c>
      <c r="B57" s="45" t="s">
        <v>691</v>
      </c>
      <c r="C57" s="45" t="s">
        <v>3197</v>
      </c>
      <c r="D57" s="45" t="s">
        <v>3169</v>
      </c>
      <c r="E57" s="45" t="s">
        <v>3129</v>
      </c>
    </row>
    <row r="58" spans="1:5" x14ac:dyDescent="0.25">
      <c r="A58" s="45" t="s">
        <v>3190</v>
      </c>
      <c r="B58" s="45" t="s">
        <v>692</v>
      </c>
      <c r="C58" s="45" t="s">
        <v>3198</v>
      </c>
      <c r="D58" s="45"/>
      <c r="E58" s="45" t="s">
        <v>3129</v>
      </c>
    </row>
    <row r="59" spans="1:5" x14ac:dyDescent="0.25">
      <c r="A59" s="45" t="s">
        <v>3190</v>
      </c>
      <c r="B59" s="45" t="s">
        <v>693</v>
      </c>
      <c r="C59" s="45" t="s">
        <v>3199</v>
      </c>
      <c r="D59" s="45"/>
      <c r="E59" s="45" t="s">
        <v>3129</v>
      </c>
    </row>
    <row r="60" spans="1:5" x14ac:dyDescent="0.25">
      <c r="A60" s="45" t="s">
        <v>3190</v>
      </c>
      <c r="B60" s="45" t="s">
        <v>694</v>
      </c>
      <c r="C60" s="45" t="s">
        <v>3200</v>
      </c>
      <c r="D60" s="45" t="s">
        <v>771</v>
      </c>
      <c r="E60" s="45" t="s">
        <v>3180</v>
      </c>
    </row>
    <row r="61" spans="1:5" x14ac:dyDescent="0.25">
      <c r="A61" s="45" t="s">
        <v>3190</v>
      </c>
      <c r="B61" s="45" t="s">
        <v>695</v>
      </c>
      <c r="C61" s="45" t="s">
        <v>3201</v>
      </c>
      <c r="D61" s="45"/>
      <c r="E61" s="45" t="s">
        <v>3180</v>
      </c>
    </row>
    <row r="62" spans="1:5" x14ac:dyDescent="0.25">
      <c r="A62" s="45" t="s">
        <v>3190</v>
      </c>
      <c r="B62" s="45" t="s">
        <v>696</v>
      </c>
      <c r="C62" s="45" t="s">
        <v>3202</v>
      </c>
      <c r="D62" s="45"/>
      <c r="E62" s="45" t="s">
        <v>3180</v>
      </c>
    </row>
    <row r="63" spans="1:5" x14ac:dyDescent="0.25">
      <c r="A63" s="45" t="s">
        <v>3190</v>
      </c>
      <c r="B63" s="45" t="s">
        <v>697</v>
      </c>
      <c r="C63" s="45" t="s">
        <v>3203</v>
      </c>
      <c r="D63" s="45"/>
      <c r="E63" s="45" t="s">
        <v>3180</v>
      </c>
    </row>
    <row r="64" spans="1:5" x14ac:dyDescent="0.25">
      <c r="A64" s="45" t="s">
        <v>3190</v>
      </c>
      <c r="B64" s="45" t="s">
        <v>698</v>
      </c>
      <c r="C64" s="45" t="s">
        <v>3204</v>
      </c>
      <c r="D64" s="45"/>
      <c r="E64" s="45" t="s">
        <v>3180</v>
      </c>
    </row>
    <row r="65" spans="1:5" x14ac:dyDescent="0.25">
      <c r="A65" s="45" t="s">
        <v>3190</v>
      </c>
      <c r="B65" s="45" t="s">
        <v>699</v>
      </c>
      <c r="C65" s="45" t="s">
        <v>3205</v>
      </c>
      <c r="D65" s="45"/>
      <c r="E65" s="45" t="s">
        <v>3180</v>
      </c>
    </row>
    <row r="66" spans="1:5" x14ac:dyDescent="0.25">
      <c r="A66" s="45" t="s">
        <v>3190</v>
      </c>
      <c r="B66" s="45" t="s">
        <v>700</v>
      </c>
      <c r="C66" s="45" t="s">
        <v>3206</v>
      </c>
      <c r="D66" s="45"/>
      <c r="E66" s="45" t="s">
        <v>3180</v>
      </c>
    </row>
    <row r="67" spans="1:5" x14ac:dyDescent="0.25">
      <c r="A67" s="45" t="s">
        <v>3190</v>
      </c>
      <c r="B67" s="45" t="s">
        <v>701</v>
      </c>
      <c r="C67" s="45" t="s">
        <v>3207</v>
      </c>
      <c r="D67" s="45" t="s">
        <v>771</v>
      </c>
      <c r="E67" s="45" t="s">
        <v>3180</v>
      </c>
    </row>
    <row r="68" spans="1:5" x14ac:dyDescent="0.25">
      <c r="A68" s="45" t="s">
        <v>3190</v>
      </c>
      <c r="B68" s="45" t="s">
        <v>702</v>
      </c>
      <c r="C68" s="45" t="s">
        <v>3208</v>
      </c>
      <c r="D68" s="45" t="s">
        <v>3145</v>
      </c>
      <c r="E68" s="45" t="s">
        <v>3180</v>
      </c>
    </row>
    <row r="69" spans="1:5" x14ac:dyDescent="0.25">
      <c r="A69" s="45" t="s">
        <v>3190</v>
      </c>
      <c r="B69" s="45" t="s">
        <v>703</v>
      </c>
      <c r="C69" s="45" t="s">
        <v>3209</v>
      </c>
      <c r="D69" s="45"/>
      <c r="E69" s="45" t="s">
        <v>3180</v>
      </c>
    </row>
    <row r="70" spans="1:5" x14ac:dyDescent="0.25">
      <c r="A70" s="45" t="s">
        <v>3190</v>
      </c>
      <c r="B70" s="45" t="s">
        <v>704</v>
      </c>
      <c r="C70" s="45" t="s">
        <v>3210</v>
      </c>
      <c r="D70" s="45"/>
      <c r="E70" s="45" t="s">
        <v>3180</v>
      </c>
    </row>
    <row r="71" spans="1:5" x14ac:dyDescent="0.25">
      <c r="A71" s="45" t="s">
        <v>3190</v>
      </c>
      <c r="B71" s="45" t="s">
        <v>705</v>
      </c>
      <c r="C71" s="45" t="s">
        <v>111</v>
      </c>
      <c r="D71" s="45"/>
      <c r="E71" s="45" t="s">
        <v>3129</v>
      </c>
    </row>
    <row r="72" spans="1:5" x14ac:dyDescent="0.25">
      <c r="A72" s="45" t="s">
        <v>3211</v>
      </c>
      <c r="B72" s="45" t="s">
        <v>1872</v>
      </c>
      <c r="C72" s="45" t="s">
        <v>3191</v>
      </c>
      <c r="D72" s="45"/>
      <c r="E72" s="45" t="s">
        <v>3129</v>
      </c>
    </row>
    <row r="73" spans="1:5" x14ac:dyDescent="0.25">
      <c r="A73" s="45" t="s">
        <v>3211</v>
      </c>
      <c r="B73" s="45" t="s">
        <v>52</v>
      </c>
      <c r="C73" s="45" t="s">
        <v>3192</v>
      </c>
      <c r="D73" s="45"/>
      <c r="E73" s="45" t="s">
        <v>3129</v>
      </c>
    </row>
    <row r="74" spans="1:5" x14ac:dyDescent="0.25">
      <c r="A74" s="45" t="s">
        <v>3211</v>
      </c>
      <c r="B74" s="45" t="s">
        <v>688</v>
      </c>
      <c r="C74" s="45" t="s">
        <v>3193</v>
      </c>
      <c r="D74" s="45" t="s">
        <v>3158</v>
      </c>
      <c r="E74" s="45" t="s">
        <v>3129</v>
      </c>
    </row>
    <row r="75" spans="1:5" x14ac:dyDescent="0.25">
      <c r="A75" s="45" t="s">
        <v>3211</v>
      </c>
      <c r="B75" s="45" t="s">
        <v>689</v>
      </c>
      <c r="C75" s="45" t="s">
        <v>3212</v>
      </c>
      <c r="D75" s="45" t="s">
        <v>3195</v>
      </c>
      <c r="E75" s="45" t="s">
        <v>3129</v>
      </c>
    </row>
    <row r="76" spans="1:5" x14ac:dyDescent="0.25">
      <c r="A76" s="45" t="s">
        <v>3211</v>
      </c>
      <c r="B76" s="45" t="s">
        <v>690</v>
      </c>
      <c r="C76" s="45" t="s">
        <v>3213</v>
      </c>
      <c r="D76" s="45"/>
      <c r="E76" s="45" t="s">
        <v>3129</v>
      </c>
    </row>
    <row r="77" spans="1:5" x14ac:dyDescent="0.25">
      <c r="A77" s="45" t="s">
        <v>3211</v>
      </c>
      <c r="B77" s="45" t="s">
        <v>1873</v>
      </c>
      <c r="C77" s="45" t="s">
        <v>3214</v>
      </c>
      <c r="D77" s="45" t="s">
        <v>3169</v>
      </c>
      <c r="E77" s="45" t="s">
        <v>3129</v>
      </c>
    </row>
    <row r="78" spans="1:5" x14ac:dyDescent="0.25">
      <c r="A78" s="45" t="s">
        <v>3211</v>
      </c>
      <c r="B78" s="45" t="s">
        <v>692</v>
      </c>
      <c r="C78" s="45" t="s">
        <v>3198</v>
      </c>
      <c r="D78" s="45"/>
      <c r="E78" s="45" t="s">
        <v>3129</v>
      </c>
    </row>
    <row r="79" spans="1:5" x14ac:dyDescent="0.25">
      <c r="A79" s="45" t="s">
        <v>3211</v>
      </c>
      <c r="B79" s="45" t="s">
        <v>693</v>
      </c>
      <c r="C79" s="45" t="s">
        <v>3215</v>
      </c>
      <c r="D79" s="45"/>
      <c r="E79" s="45" t="s">
        <v>3129</v>
      </c>
    </row>
    <row r="80" spans="1:5" x14ac:dyDescent="0.25">
      <c r="A80" s="45" t="s">
        <v>3211</v>
      </c>
      <c r="B80" s="45" t="s">
        <v>1874</v>
      </c>
      <c r="C80" s="45" t="s">
        <v>3216</v>
      </c>
      <c r="D80" s="45" t="s">
        <v>1877</v>
      </c>
      <c r="E80" s="45" t="s">
        <v>3180</v>
      </c>
    </row>
    <row r="81" spans="1:5" x14ac:dyDescent="0.25">
      <c r="A81" s="45" t="s">
        <v>3211</v>
      </c>
      <c r="B81" s="45" t="s">
        <v>695</v>
      </c>
      <c r="C81" s="45" t="s">
        <v>3217</v>
      </c>
      <c r="D81" s="45"/>
      <c r="E81" s="45" t="s">
        <v>3180</v>
      </c>
    </row>
    <row r="82" spans="1:5" x14ac:dyDescent="0.25">
      <c r="A82" s="45" t="s">
        <v>3211</v>
      </c>
      <c r="B82" s="45" t="s">
        <v>1875</v>
      </c>
      <c r="C82" s="45" t="s">
        <v>3218</v>
      </c>
      <c r="D82" s="45"/>
      <c r="E82" s="45" t="s">
        <v>3180</v>
      </c>
    </row>
    <row r="83" spans="1:5" x14ac:dyDescent="0.25">
      <c r="A83" s="45" t="s">
        <v>3211</v>
      </c>
      <c r="B83" s="45" t="s">
        <v>704</v>
      </c>
      <c r="C83" s="45" t="s">
        <v>3219</v>
      </c>
      <c r="D83" s="45"/>
      <c r="E83" s="45" t="s">
        <v>3180</v>
      </c>
    </row>
    <row r="84" spans="1:5" x14ac:dyDescent="0.25">
      <c r="A84" s="45" t="s">
        <v>3211</v>
      </c>
      <c r="B84" s="45" t="s">
        <v>705</v>
      </c>
      <c r="C84" s="45" t="s">
        <v>111</v>
      </c>
      <c r="D84" s="45"/>
      <c r="E84" s="45" t="s">
        <v>3129</v>
      </c>
    </row>
    <row r="85" spans="1:5" x14ac:dyDescent="0.25">
      <c r="A85" s="45" t="s">
        <v>3220</v>
      </c>
      <c r="B85" s="45" t="s">
        <v>692</v>
      </c>
      <c r="C85" s="45" t="s">
        <v>3221</v>
      </c>
      <c r="D85" s="45"/>
      <c r="E85" s="45" t="s">
        <v>3129</v>
      </c>
    </row>
    <row r="86" spans="1:5" x14ac:dyDescent="0.25">
      <c r="A86" s="45" t="s">
        <v>3220</v>
      </c>
      <c r="B86" s="45" t="s">
        <v>2663</v>
      </c>
      <c r="C86" s="45" t="s">
        <v>3222</v>
      </c>
      <c r="D86" s="45"/>
      <c r="E86" s="45" t="s">
        <v>3129</v>
      </c>
    </row>
    <row r="87" spans="1:5" x14ac:dyDescent="0.25">
      <c r="A87" s="45" t="s">
        <v>3220</v>
      </c>
      <c r="B87" s="45" t="s">
        <v>2664</v>
      </c>
      <c r="C87" s="45" t="s">
        <v>3223</v>
      </c>
      <c r="D87" s="45"/>
      <c r="E87" s="45" t="s">
        <v>3129</v>
      </c>
    </row>
    <row r="88" spans="1:5" x14ac:dyDescent="0.25">
      <c r="A88" s="45" t="s">
        <v>3220</v>
      </c>
      <c r="B88" s="45" t="s">
        <v>114</v>
      </c>
      <c r="C88" s="45" t="s">
        <v>3224</v>
      </c>
      <c r="D88" s="45"/>
      <c r="E88" s="45" t="s">
        <v>3129</v>
      </c>
    </row>
    <row r="89" spans="1:5" x14ac:dyDescent="0.25">
      <c r="A89" s="45" t="s">
        <v>3220</v>
      </c>
      <c r="B89" s="45" t="s">
        <v>2665</v>
      </c>
      <c r="C89" s="45" t="s">
        <v>3225</v>
      </c>
      <c r="D89" s="45"/>
      <c r="E89" s="45" t="s">
        <v>3129</v>
      </c>
    </row>
    <row r="90" spans="1:5" x14ac:dyDescent="0.25">
      <c r="A90" s="45" t="s">
        <v>3220</v>
      </c>
      <c r="B90" s="45" t="s">
        <v>2666</v>
      </c>
      <c r="C90" s="45" t="s">
        <v>3226</v>
      </c>
      <c r="D90" s="45"/>
      <c r="E90" s="45" t="s">
        <v>3129</v>
      </c>
    </row>
    <row r="91" spans="1:5" x14ac:dyDescent="0.25">
      <c r="A91" s="45" t="s">
        <v>3220</v>
      </c>
      <c r="B91" s="45" t="s">
        <v>2667</v>
      </c>
      <c r="C91" s="45" t="s">
        <v>3227</v>
      </c>
      <c r="D91" s="45"/>
      <c r="E91" s="45" t="s">
        <v>3129</v>
      </c>
    </row>
    <row r="92" spans="1:5" x14ac:dyDescent="0.25">
      <c r="A92" s="45" t="s">
        <v>3220</v>
      </c>
      <c r="B92" s="45" t="s">
        <v>2668</v>
      </c>
      <c r="C92" s="45" t="s">
        <v>3228</v>
      </c>
      <c r="D92" s="45"/>
      <c r="E92" s="45" t="s">
        <v>3129</v>
      </c>
    </row>
    <row r="93" spans="1:5" x14ac:dyDescent="0.25">
      <c r="A93" s="45" t="s">
        <v>3220</v>
      </c>
      <c r="B93" s="45" t="s">
        <v>2669</v>
      </c>
      <c r="C93" s="45" t="s">
        <v>3229</v>
      </c>
      <c r="D93" s="45"/>
      <c r="E93" s="45" t="s">
        <v>3129</v>
      </c>
    </row>
    <row r="94" spans="1:5" x14ac:dyDescent="0.25">
      <c r="A94" s="45" t="s">
        <v>3220</v>
      </c>
      <c r="B94" s="45" t="s">
        <v>2670</v>
      </c>
      <c r="C94" s="45" t="s">
        <v>3230</v>
      </c>
      <c r="D94" s="45"/>
      <c r="E94" s="45" t="s">
        <v>3129</v>
      </c>
    </row>
    <row r="95" spans="1:5" x14ac:dyDescent="0.25">
      <c r="A95" s="45" t="s">
        <v>3220</v>
      </c>
      <c r="B95" s="45" t="s">
        <v>149</v>
      </c>
      <c r="C95" s="45" t="s">
        <v>111</v>
      </c>
      <c r="D95" s="45"/>
      <c r="E95" s="45" t="s">
        <v>3129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README</vt:lpstr>
      <vt:lpstr>Ham_Bands</vt:lpstr>
      <vt:lpstr>Graph</vt:lpstr>
      <vt:lpstr>Calculator</vt:lpstr>
      <vt:lpstr>Cables</vt:lpstr>
      <vt:lpstr>Attenuation</vt:lpstr>
      <vt:lpstr>Power</vt:lpstr>
      <vt:lpstr>Sources</vt:lpstr>
      <vt:lpstr>Legacy_Index</vt:lpstr>
      <vt:lpstr>Legacy_Points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TA3HX</dc:creator>
  <cp:lastModifiedBy>TA3HX</cp:lastModifiedBy>
  <dcterms:created xsi:type="dcterms:W3CDTF">2026-10-09T04:38:58Z</dcterms:created>
  <dcterms:modified xsi:type="dcterms:W3CDTF">2026-10-09T04:39:05Z</dcterms:modified>
</cp:coreProperties>
</file>